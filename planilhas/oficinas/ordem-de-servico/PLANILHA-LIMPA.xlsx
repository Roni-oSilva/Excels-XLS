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Clientes" sheetId="3" r:id="rId3"/>
    <sheet name="Veículos" sheetId="4" r:id="rId4"/>
    <sheet name="Peças" sheetId="5" r:id="rId5"/>
    <sheet name="Entradas" sheetId="6" r:id="rId6"/>
    <sheet name="OS" sheetId="7" r:id="rId7"/>
    <sheet name="Itens da OS" sheetId="8" r:id="rId8"/>
    <sheet name="Histórico" sheetId="9" r:id="rId9"/>
    <sheet name="Dashboard" sheetId="10" r:id="rId10"/>
  </sheets>
  <definedNames>
    <definedName name="_xlnm._FilterDatabase" localSheetId="7" hidden="1">'Itens da OS'!$A$4:$J$3004</definedName>
    <definedName name="_xlnm._FilterDatabase" localSheetId="6" hidden="1">OS!$A$4:$AA$1004</definedName>
    <definedName name="_xlnm._FilterDatabase" localSheetId="4" hidden="1">Peças!$A$4:$K$504</definedName>
    <definedName name="CliNome">Clientes!$A$5:$A$304</definedName>
    <definedName name="ComMec">Config!$C$8</definedName>
    <definedName name="EntCod">Entradas!$B$5:$B$1004</definedName>
    <definedName name="EntQtd">Entradas!$C$5:$C$1004</definedName>
    <definedName name="Formas">Config!$G$5:$G$14</definedName>
    <definedName name="HistPlaca">Histórico!$C$4</definedName>
    <definedName name="Hoje">Config!$C$5</definedName>
    <definedName name="ItCod">'Itens da OS'!$B$5:$B$3004</definedName>
    <definedName name="ItCusto">'Itens da OS'!$H$5:$H$3004</definedName>
    <definedName name="ItOS">'Itens da OS'!$A$5:$A$3004</definedName>
    <definedName name="ItQtd">'Itens da OS'!$C$5:$C$3004</definedName>
    <definedName name="ItStatus">'Itens da OS'!$I$5:$I$3004</definedName>
    <definedName name="ItTotal">'Itens da OS'!$G$5:$G$3004</definedName>
    <definedName name="MarkupPeca">Config!$C$7</definedName>
    <definedName name="Mecanicos">Config!$E$5:$E$14</definedName>
    <definedName name="OSNum">OS!$A$5:$A$1004</definedName>
    <definedName name="OSStatus">OS!$I$5:$I$1004</definedName>
    <definedName name="PecCod">Peças!$A$5:$A$504</definedName>
    <definedName name="PecCusto">Peças!$C$5:$C$504</definedName>
    <definedName name="PecDesc">Peças!$B$5:$B$504</definedName>
    <definedName name="PecPreco">Peças!$G$5:$G$504</definedName>
    <definedName name="PrazoMax">Config!$C$9</definedName>
    <definedName name="StatusOS">Config!$B$14:$B$20</definedName>
    <definedName name="ValorHora">Config!$C$6</definedName>
    <definedName name="VeicCli">Veículos!$D$5:$D$304</definedName>
    <definedName name="VeicModelo">Veículos!$B$5:$B$304</definedName>
    <definedName name="VeicPlaca">Veículos!$A$5:$A$304</definedName>
  </definedNames>
  <calcPr calcId="124519" fullCalcOnLoad="1"/>
</workbook>
</file>

<file path=xl/sharedStrings.xml><?xml version="1.0" encoding="utf-8"?>
<sst xmlns="http://schemas.openxmlformats.org/spreadsheetml/2006/main" count="189" uniqueCount="167">
  <si>
    <t>Ordem de Serviço para Oficinas</t>
  </si>
  <si>
    <t>Carvex XLS · Cada peça na OS, cada real no caixa</t>
  </si>
  <si>
    <t>O que esta planilha faz</t>
  </si>
  <si>
    <t>Cadastre clientes, veículos e peças e abra as ordens de serviço. A planilha calcula mão de obra, peças, total, lucro de cada OS, dá baixa no estoque de peças, avisa OS atrasadas e o que falta receber, mostra o histórico por placa e o faturamento do mês.</t>
  </si>
  <si>
    <t>Como começar (5 minutos)</t>
  </si>
  <si>
    <t>1. Config</t>
  </si>
  <si>
    <t>Informe o valor da hora de mão de obra, o markup padrão sobre as peças, a comissão dos mecânicos e o prazo máximo de uma OS (dias).</t>
  </si>
  <si>
    <t>2. Cadastre clientes e veículos</t>
  </si>
  <si>
    <t>Em Clientes e Veículos: nome/telefone e placa/modelo/ano. Cada veículo pertence a um cliente.</t>
  </si>
  <si>
    <t>3. Cadastre as peças</t>
  </si>
  <si>
    <t>Em Peças: código, custo e (opcional) preço fixo. Se o preço ficar vazio, a planilha usa custo + markup.</t>
  </si>
  <si>
    <t>4. Abra a OS</t>
  </si>
  <si>
    <t>Em OS: número, data, placa, serviço, mecânico, status e horas. Em Itens da OS lance as peças usadas (mesmo número da OS).</t>
  </si>
  <si>
    <t>5. Entregue e receba</t>
  </si>
  <si>
    <t>Ao entregar, mude o status para Entregue, informe data de entrega, forma de pagamento e valor recebido.</t>
  </si>
  <si>
    <t>Mapa das abas (clique para ir)</t>
  </si>
  <si>
    <t>Config</t>
  </si>
  <si>
    <t>Valor da hora, markup, comissão, prazo, mecânicos e formas de pagamento.</t>
  </si>
  <si>
    <t>Clientes</t>
  </si>
  <si>
    <t>Cadastro de clientes.</t>
  </si>
  <si>
    <t>Veículos</t>
  </si>
  <si>
    <t>Placa, modelo e dono.</t>
  </si>
  <si>
    <t>Peças</t>
  </si>
  <si>
    <t>Cadastro e estoque atual de peças.</t>
  </si>
  <si>
    <t>Entradas</t>
  </si>
  <si>
    <t>Compras de peças (repõem o estoque).</t>
  </si>
  <si>
    <t>OS</t>
  </si>
  <si>
    <t>Ordens de serviço, totais e lucro.</t>
  </si>
  <si>
    <t>Itens da OS</t>
  </si>
  <si>
    <t>Peças usadas em cada OS.</t>
  </si>
  <si>
    <t>Histórico</t>
  </si>
  <si>
    <t>Todas as OS de uma placa.</t>
  </si>
  <si>
    <t>Dashboard</t>
  </si>
  <si>
    <t>Faturamento, lucro, OS atrasadas e a receber.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</si>
  <si>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</si>
  <si>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</si>
  <si>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</si>
  <si>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</si>
  <si>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</si>
  <si>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</si>
  <si>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</si>
  <si>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</si>
  <si>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estoque de uma peça só baixa quando a OS sai do status 'Orçamento' (e não está 'Cancelada').</t>
  </si>
  <si>
    <t>• O faturamento do mês considera apenas OS com status Entregue e data de entrega no mês.</t>
  </si>
  <si>
    <t>• O número da OS deve ser único. Use o mesmo número em OS e em Itens da OS.</t>
  </si>
  <si>
    <t>Carvex XLS · Ordem de Serviço para Oficinas · versão 1.0 · Dúvidas: consulte o TUTORIAL.md e o MANUAL.md que acompanham o produto.</t>
  </si>
  <si>
    <t>Configurações</t>
  </si>
  <si>
    <t>Preencha as células amarelas.</t>
  </si>
  <si>
    <t>Oficina</t>
  </si>
  <si>
    <t>Data de hoje (referência)</t>
  </si>
  <si>
    <t>Valor da hora de mão de obra (R$)</t>
  </si>
  <si>
    <t>Markup padrão sobre o custo das peças (%)</t>
  </si>
  <si>
    <t>Comissão dos mecânicos sobre mão de obra (%)</t>
  </si>
  <si>
    <t>Prazo máximo de uma OS aberta (dias)</t>
  </si>
  <si>
    <t>Mecânicos</t>
  </si>
  <si>
    <t>Formas de pagamento</t>
  </si>
  <si>
    <t>Pix</t>
  </si>
  <si>
    <t>Dinheiro</t>
  </si>
  <si>
    <t>Cartão de débito</t>
  </si>
  <si>
    <t>Cartão de crédito</t>
  </si>
  <si>
    <t>Boleto</t>
  </si>
  <si>
    <t>Transferência</t>
  </si>
  <si>
    <t>Status da OS: Orçamento, Aprovado, Em execução, Aguardando peça, Finalizado, Entregue, Cancelada (fixos).</t>
  </si>
  <si>
    <t>Lista de status</t>
  </si>
  <si>
    <t>Orçamento</t>
  </si>
  <si>
    <t>Aprovado</t>
  </si>
  <si>
    <t>Em execução</t>
  </si>
  <si>
    <t>Aguardando peça</t>
  </si>
  <si>
    <t>Finalizado</t>
  </si>
  <si>
    <t>Entregue</t>
  </si>
  <si>
    <t>Cancelada</t>
  </si>
  <si>
    <t>Um cliente por linha.</t>
  </si>
  <si>
    <t>Nome do cliente</t>
  </si>
  <si>
    <t>Telefone</t>
  </si>
  <si>
    <t>Observação</t>
  </si>
  <si>
    <t>Placa única. Escolha o cliente da lista.</t>
  </si>
  <si>
    <t>Placa</t>
  </si>
  <si>
    <t>Modelo</t>
  </si>
  <si>
    <t>Ano</t>
  </si>
  <si>
    <t>Cliente</t>
  </si>
  <si>
    <t>Peças e estoque</t>
  </si>
  <si>
    <t>Preço vazio = custo + markup. O estoque atual é calculado pelas Entradas e pelas OS.</t>
  </si>
  <si>
    <t>Código</t>
  </si>
  <si>
    <t>Descrição</t>
  </si>
  <si>
    <t>Custo (R$)</t>
  </si>
  <si>
    <t>Preço de venda fixo (R$)</t>
  </si>
  <si>
    <t>Estoque inicial</t>
  </si>
  <si>
    <t>Estoque mínimo</t>
  </si>
  <si>
    <t>Preço de venda EFETIVO</t>
  </si>
  <si>
    <t>Usadas em OS</t>
  </si>
  <si>
    <t>ESTOQUE ATUAL</t>
  </si>
  <si>
    <t>Situação</t>
  </si>
  <si>
    <t>Entradas de peças (compras)</t>
  </si>
  <si>
    <t>Registre cada compra para repor o estoque.</t>
  </si>
  <si>
    <t>Data</t>
  </si>
  <si>
    <t>Código da peça</t>
  </si>
  <si>
    <t>Quantidade</t>
  </si>
  <si>
    <t>Custo unitário (R$)</t>
  </si>
  <si>
    <t>Fornecedor</t>
  </si>
  <si>
    <t>NF / pedido</t>
  </si>
  <si>
    <t>Total (R$)</t>
  </si>
  <si>
    <t>Ordens de Serviço</t>
  </si>
  <si>
    <t>Uma linha por OS. As peças usadas são lançadas na aba Itens da OS com o mesmo número.</t>
  </si>
  <si>
    <t>Nº OS</t>
  </si>
  <si>
    <t>Data de entrada</t>
  </si>
  <si>
    <t>Km</t>
  </si>
  <si>
    <t>Serviço / defeito relatado</t>
  </si>
  <si>
    <t>Mecânico</t>
  </si>
  <si>
    <t>Status</t>
  </si>
  <si>
    <t>Horas de mão de obra</t>
  </si>
  <si>
    <t>Serviços de terceiros (R$)</t>
  </si>
  <si>
    <t>Desconto (R$)</t>
  </si>
  <si>
    <t>Data de entrega</t>
  </si>
  <si>
    <t>Forma de pagamento</t>
  </si>
  <si>
    <t>Valor recebido (R$)</t>
  </si>
  <si>
    <t>Mão de obra (R$)</t>
  </si>
  <si>
    <t>Peças (R$)</t>
  </si>
  <si>
    <t>TOTAL DA OS</t>
  </si>
  <si>
    <t>Custo das peças</t>
  </si>
  <si>
    <t>Comissão do mecânico</t>
  </si>
  <si>
    <t>LUCRO BRUTO</t>
  </si>
  <si>
    <t>Margem</t>
  </si>
  <si>
    <t>Saldo a receber</t>
  </si>
  <si>
    <t>Dias na oficina</t>
  </si>
  <si>
    <t>ALERTA</t>
  </si>
  <si>
    <t>Mês (faturamento)</t>
  </si>
  <si>
    <t>Seq. histórico</t>
  </si>
  <si>
    <t>Itens (peças) da OS</t>
  </si>
  <si>
    <t>Uma linha por peça usada. O preço vem da aba Peças (ou digite um preço diferente).</t>
  </si>
  <si>
    <t>Preço unitário (opcional)</t>
  </si>
  <si>
    <t>Preço efetivo</t>
  </si>
  <si>
    <t>Status da OS</t>
  </si>
  <si>
    <t>Conferência</t>
  </si>
  <si>
    <t>Histórico do veículo</t>
  </si>
  <si>
    <t>Escolha a placa e veja todas as OS dele (até 25).</t>
  </si>
  <si>
    <t>Placa:</t>
  </si>
  <si>
    <t>Cliente:</t>
  </si>
  <si>
    <t>Modelo:</t>
  </si>
  <si>
    <t>OS no total:</t>
  </si>
  <si>
    <t>Total gasto:</t>
  </si>
  <si>
    <t>#</t>
  </si>
  <si>
    <t>Serviço</t>
  </si>
  <si>
    <t>Dashboard da oficina</t>
  </si>
  <si>
    <t>Mês de referência = mês da data de hoje.</t>
  </si>
  <si>
    <t>FATURAMENTO DO MÊS</t>
  </si>
  <si>
    <t>OS ENTREGUES NO MÊS</t>
  </si>
  <si>
    <t>TICKET MÉDIO</t>
  </si>
  <si>
    <t>LUCRO BRUTO DO MÊS</t>
  </si>
  <si>
    <t>MARGEM DO MÊS</t>
  </si>
  <si>
    <t>OS EM ANDAMENTO</t>
  </si>
  <si>
    <t>AGUARDANDO PEÇA</t>
  </si>
  <si>
    <t>A RECEBER</t>
  </si>
  <si>
    <t>OS ATRASADAS</t>
  </si>
  <si>
    <t>ORÇAMENTOS PENDENTES (R$)</t>
  </si>
  <si>
    <t>PEÇAS EM RUPTURA</t>
  </si>
  <si>
    <t>PEÇAS A REPOR</t>
  </si>
  <si>
    <t>ESTOQUE DE PEÇAS (custo)</t>
  </si>
  <si>
    <t>CLIENTES</t>
  </si>
  <si>
    <t>VEÍCULOS</t>
  </si>
  <si>
    <t>Faturamento por mês (ano da data de hoje)</t>
  </si>
  <si>
    <t>Mês</t>
  </si>
  <si>
    <t>Faturamento</t>
  </si>
  <si>
    <t>Lucro bruto</t>
  </si>
  <si>
    <t>OS entregues</t>
  </si>
  <si>
    <t>Mecânicos no mês</t>
  </si>
  <si>
    <t>Mão de obra</t>
  </si>
  <si>
    <t>Comissão</t>
  </si>
</sst>
</file>

<file path=xl/styles.xml><?xml version="1.0" encoding="utf-8"?>
<styleSheet xmlns="http://schemas.openxmlformats.org/spreadsheetml/2006/main">
  <numFmts count="7">
    <numFmt numFmtId="164" formatCode="dd/mm/yyyy"/>
    <numFmt numFmtId="165" formatCode="&quot;R$&quot; #,##0.00;[Red]-&quot;R$&quot; #,##0.00"/>
    <numFmt numFmtId="166" formatCode="0%"/>
    <numFmt numFmtId="167" formatCode="#,##0"/>
    <numFmt numFmtId="168" formatCode="0.0"/>
    <numFmt numFmtId="169" formatCode="0.0%"/>
    <numFmt numFmtId="170" formatCode="mmm/yy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12" fillId="4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horizontal="center"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165" fontId="6" fillId="3" borderId="2" xfId="0" applyNumberFormat="1" applyFont="1" applyFill="1" applyBorder="1" applyAlignment="1" applyProtection="1">
      <alignment vertical="center"/>
      <protection locked="0"/>
    </xf>
    <xf numFmtId="167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9" fillId="4" borderId="2" xfId="0" applyNumberFormat="1" applyFont="1" applyFill="1" applyBorder="1" applyAlignment="1">
      <alignment vertical="center"/>
    </xf>
    <xf numFmtId="167" fontId="12" fillId="4" borderId="2" xfId="0" applyNumberFormat="1" applyFont="1" applyFill="1" applyBorder="1" applyAlignment="1">
      <alignment horizontal="center" vertical="center"/>
    </xf>
    <xf numFmtId="167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>
      <alignment vertical="center"/>
    </xf>
    <xf numFmtId="165" fontId="12" fillId="4" borderId="2" xfId="0" applyNumberFormat="1" applyFont="1" applyFill="1" applyBorder="1" applyAlignment="1">
      <alignment vertical="center"/>
    </xf>
    <xf numFmtId="167" fontId="6" fillId="3" borderId="2" xfId="0" applyNumberFormat="1" applyFont="1" applyFill="1" applyBorder="1" applyAlignment="1" applyProtection="1">
      <alignment vertical="center"/>
      <protection locked="0"/>
    </xf>
    <xf numFmtId="168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>
      <alignment vertical="center"/>
    </xf>
    <xf numFmtId="169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70" fontId="12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165" fontId="15" fillId="6" borderId="5" xfId="0" applyNumberFormat="1" applyFont="1" applyFill="1" applyBorder="1" applyAlignment="1">
      <alignment horizontal="center" vertical="center"/>
    </xf>
    <xf numFmtId="167" fontId="15" fillId="6" borderId="5" xfId="0" applyNumberFormat="1" applyFont="1" applyFill="1" applyBorder="1" applyAlignment="1">
      <alignment horizontal="center" vertical="center"/>
    </xf>
    <xf numFmtId="169" fontId="15" fillId="6" borderId="5" xfId="0" applyNumberFormat="1" applyFont="1" applyFill="1" applyBorder="1" applyAlignment="1">
      <alignment horizontal="center" vertical="center"/>
    </xf>
    <xf numFmtId="167" fontId="16" fillId="6" borderId="5" xfId="0" applyNumberFormat="1" applyFont="1" applyFill="1" applyBorder="1" applyAlignment="1">
      <alignment horizontal="center" vertical="center"/>
    </xf>
    <xf numFmtId="165" fontId="17" fillId="6" borderId="5" xfId="0" applyNumberFormat="1" applyFont="1" applyFill="1" applyBorder="1" applyAlignment="1">
      <alignment horizontal="center" vertical="center"/>
    </xf>
    <xf numFmtId="167" fontId="17" fillId="6" borderId="5" xfId="0" applyNumberFormat="1" applyFont="1" applyFill="1" applyBorder="1" applyAlignment="1">
      <alignment horizontal="center" vertical="center"/>
    </xf>
    <xf numFmtId="170" fontId="9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color rgb="FF15803D"/>
      </font>
      <fill>
        <patternFill>
          <bgColor rgb="FFDCFCE7"/>
        </patternFill>
      </fill>
    </dxf>
    <dxf>
      <font>
        <color rgb="FF166534"/>
      </font>
      <fill>
        <patternFill>
          <bgColor rgb="FFBBF7D0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6B7280"/>
      </font>
      <fill>
        <patternFill>
          <bgColor rgb="FFE5E7EB"/>
        </patternFill>
      </fill>
    </dxf>
    <dxf>
      <font>
        <b/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Faturamento e lucro bruto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16A34A"/>
            </a:solidFill>
          </c:spPr>
          <c:cat>
            <c:numRef>
              <c:f>Dashboard!$A$15:$A$26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Dashboard!$B$15:$B$26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Lucro bruto</c:v>
          </c:tx>
          <c:spPr>
            <a:solidFill>
              <a:srgbClr val="0B3B24"/>
            </a:solidFill>
          </c:spPr>
          <c:cat>
            <c:numRef>
              <c:f>Dashboard!$A$15:$A$26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Dashboard!$C$15:$C$26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8</xdr:col>
      <xdr:colOff>114300</xdr:colOff>
      <xdr:row>41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5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3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0" spans="2:3" ht="18" customHeight="1">
      <c r="B20" s="7" t="s">
        <v>26</v>
      </c>
      <c r="C20" s="6" t="s">
        <v>27</v>
      </c>
    </row>
    <row r="21" spans="2:3" ht="18" customHeight="1">
      <c r="B21" s="7" t="s">
        <v>28</v>
      </c>
      <c r="C21" s="6" t="s">
        <v>29</v>
      </c>
    </row>
    <row r="22" spans="2:3" ht="18" customHeight="1">
      <c r="B22" s="7" t="s">
        <v>30</v>
      </c>
      <c r="C22" s="6" t="s">
        <v>31</v>
      </c>
    </row>
    <row r="23" spans="2:3" ht="18" customHeight="1">
      <c r="B23" s="7" t="s">
        <v>32</v>
      </c>
      <c r="C23" s="6" t="s">
        <v>33</v>
      </c>
    </row>
    <row r="25" spans="2:3">
      <c r="B25" s="3" t="s">
        <v>34</v>
      </c>
      <c r="C25" s="3"/>
    </row>
    <row r="26" spans="2:3">
      <c r="B26" s="8" t="s">
        <v>35</v>
      </c>
      <c r="C26" s="6" t="s">
        <v>36</v>
      </c>
    </row>
    <row r="27" spans="2:3">
      <c r="B27" s="9" t="s">
        <v>37</v>
      </c>
      <c r="C27" s="6" t="s">
        <v>38</v>
      </c>
    </row>
    <row r="28" spans="2:3">
      <c r="B28" s="10" t="s">
        <v>39</v>
      </c>
      <c r="C28" s="6" t="s">
        <v>40</v>
      </c>
    </row>
    <row r="30" spans="2:3">
      <c r="B30" s="3" t="s">
        <v>41</v>
      </c>
      <c r="C30" s="3"/>
    </row>
    <row r="31" spans="2:3" ht="18" customHeight="1">
      <c r="B31" s="6" t="s">
        <v>42</v>
      </c>
      <c r="C31" s="6"/>
    </row>
    <row r="32" spans="2:3" ht="18" customHeight="1">
      <c r="B32" s="6" t="s">
        <v>43</v>
      </c>
      <c r="C32" s="6"/>
    </row>
    <row r="33" spans="2:3" ht="18" customHeight="1">
      <c r="B33" s="6" t="s">
        <v>44</v>
      </c>
      <c r="C33" s="6"/>
    </row>
    <row r="35" spans="2:3">
      <c r="B35" s="11" t="s">
        <v>45</v>
      </c>
      <c r="C35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5:C25"/>
    <mergeCell ref="B30:C30"/>
    <mergeCell ref="B31:C31"/>
    <mergeCell ref="B32:C32"/>
    <mergeCell ref="B33:C33"/>
    <mergeCell ref="B35:C35"/>
  </mergeCells>
  <hyperlinks>
    <hyperlink ref="B15" location="'Config'!A1" display="Config"/>
    <hyperlink ref="B16" location="'Clientes'!A1" display="Clientes"/>
    <hyperlink ref="B17" location="'Veículos'!A1" display="Veículos"/>
    <hyperlink ref="B18" location="'Peças'!A1" display="Peças"/>
    <hyperlink ref="B19" location="'Entradas'!A1" display="Entradas"/>
    <hyperlink ref="B20" location="'OS'!A1" display="OS"/>
    <hyperlink ref="B21" location="'Itens da OS'!A1" display="Itens da OS"/>
    <hyperlink ref="B22" location="'Histórico'!A1" display="Histórico"/>
    <hyperlink ref="B23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20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16.7109375" customWidth="1"/>
    <col min="4" max="4" width="3.7109375" customWidth="1"/>
    <col min="5" max="5" width="22.7109375" customWidth="1"/>
    <col min="6" max="6" width="3.7109375" customWidth="1"/>
    <col min="7" max="7" width="22.7109375" customWidth="1"/>
  </cols>
  <sheetData>
    <row r="1" spans="1:8" ht="36" customHeight="1">
      <c r="A1" s="1" t="s">
        <v>46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47</v>
      </c>
      <c r="B2" s="2"/>
      <c r="C2" s="2"/>
      <c r="D2" s="2"/>
      <c r="E2" s="2"/>
      <c r="F2" s="2"/>
      <c r="G2" s="2"/>
      <c r="H2" s="2"/>
    </row>
    <row r="4" spans="1:8">
      <c r="B4" s="12" t="s">
        <v>48</v>
      </c>
      <c r="C4" s="13"/>
      <c r="E4" s="10" t="s">
        <v>54</v>
      </c>
      <c r="G4" s="10" t="s">
        <v>55</v>
      </c>
    </row>
    <row r="5" spans="1:8">
      <c r="B5" s="12" t="s">
        <v>49</v>
      </c>
      <c r="C5" s="14">
        <f>TODAY()</f>
        <v>46303.0</v>
      </c>
      <c r="E5" s="13"/>
      <c r="G5" s="13" t="s">
        <v>56</v>
      </c>
    </row>
    <row r="6" spans="1:8">
      <c r="B6" s="12" t="s">
        <v>50</v>
      </c>
      <c r="C6" s="15"/>
      <c r="E6" s="13"/>
      <c r="G6" s="13" t="s">
        <v>57</v>
      </c>
    </row>
    <row r="7" spans="1:8">
      <c r="B7" s="12" t="s">
        <v>51</v>
      </c>
      <c r="C7" s="16">
        <v>0.4</v>
      </c>
      <c r="E7" s="13"/>
      <c r="G7" s="13" t="s">
        <v>58</v>
      </c>
    </row>
    <row r="8" spans="1:8">
      <c r="B8" s="12" t="s">
        <v>52</v>
      </c>
      <c r="C8" s="16"/>
      <c r="E8" s="13"/>
      <c r="G8" s="13" t="s">
        <v>59</v>
      </c>
    </row>
    <row r="9" spans="1:8">
      <c r="B9" s="12" t="s">
        <v>53</v>
      </c>
      <c r="C9" s="17">
        <v>5</v>
      </c>
      <c r="E9" s="13"/>
      <c r="G9" s="13" t="s">
        <v>60</v>
      </c>
    </row>
    <row r="10" spans="1:8">
      <c r="E10" s="13"/>
      <c r="G10" s="13" t="s">
        <v>61</v>
      </c>
    </row>
    <row r="11" spans="1:8">
      <c r="E11" s="13"/>
      <c r="G11" s="13"/>
    </row>
    <row r="12" spans="1:8">
      <c r="B12" s="11" t="s">
        <v>62</v>
      </c>
      <c r="E12" s="13"/>
      <c r="G12" s="13"/>
    </row>
    <row r="13" spans="1:8">
      <c r="B13" s="10" t="s">
        <v>63</v>
      </c>
      <c r="E13" s="13"/>
      <c r="G13" s="13"/>
    </row>
    <row r="14" spans="1:8">
      <c r="B14" s="18" t="s">
        <v>64</v>
      </c>
      <c r="E14" s="13"/>
      <c r="G14" s="13"/>
    </row>
    <row r="15" spans="1:8">
      <c r="B15" s="18" t="s">
        <v>65</v>
      </c>
    </row>
    <row r="16" spans="1:8">
      <c r="B16" s="18" t="s">
        <v>66</v>
      </c>
    </row>
    <row r="17" spans="2:2">
      <c r="B17" s="18" t="s">
        <v>67</v>
      </c>
    </row>
    <row r="18" spans="2:2">
      <c r="B18" s="18" t="s">
        <v>68</v>
      </c>
    </row>
    <row r="19" spans="2:2">
      <c r="B19" s="18" t="s">
        <v>69</v>
      </c>
    </row>
    <row r="20" spans="2:2">
      <c r="B20" s="18" t="s">
        <v>70</v>
      </c>
    </row>
  </sheetData>
  <mergeCells count="2">
    <mergeCell ref="A1:H1"/>
    <mergeCell ref="A2:H2"/>
  </mergeCells>
  <dataValidations count="3">
    <dataValidation type="decimal" operator="greaterThanOrEqual" allowBlank="1" showInputMessage="1" showErrorMessage="1" errorTitle="Valor inválido" error="Digite um número maior ou igual a 0." sqref="C6">
      <formula1>0</formula1>
    </dataValidation>
    <dataValidation type="decimal" allowBlank="1" showInputMessage="1" showErrorMessage="1" errorTitle="Valor inválido" error="Digite um número entre 0 e 5." sqref="C7:C8">
      <formula1>0</formula1>
      <formula2>5</formula2>
    </dataValidation>
    <dataValidation type="whole" allowBlank="1" showInputMessage="1" showErrorMessage="1" errorTitle="Valor inválido" error="Digite um número entre 1 e 90." sqref="C9">
      <formula1>1</formula1>
      <formula2>90</formula2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C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2" width="18.7109375" customWidth="1"/>
    <col min="3" max="3" width="36.7109375" customWidth="1"/>
  </cols>
  <sheetData>
    <row r="1" spans="1:3" ht="36" customHeight="1">
      <c r="A1" s="1" t="s">
        <v>18</v>
      </c>
      <c r="B1" s="1"/>
      <c r="C1" s="1"/>
    </row>
    <row r="2" spans="1:3" ht="20" customHeight="1">
      <c r="A2" s="2" t="s">
        <v>71</v>
      </c>
      <c r="B2" s="2"/>
      <c r="C2" s="2"/>
    </row>
    <row r="4" spans="1:3" ht="26" customHeight="1">
      <c r="A4" s="10" t="s">
        <v>72</v>
      </c>
      <c r="B4" s="10" t="s">
        <v>73</v>
      </c>
      <c r="C4" s="10" t="s">
        <v>74</v>
      </c>
    </row>
    <row r="5" spans="1:3">
      <c r="A5" s="13"/>
      <c r="B5" s="13"/>
      <c r="C5" s="13"/>
    </row>
    <row r="6" spans="1:3">
      <c r="A6" s="13"/>
      <c r="B6" s="13"/>
      <c r="C6" s="13"/>
    </row>
    <row r="7" spans="1:3">
      <c r="A7" s="13"/>
      <c r="B7" s="13"/>
      <c r="C7" s="13"/>
    </row>
    <row r="8" spans="1:3">
      <c r="A8" s="13"/>
      <c r="B8" s="13"/>
      <c r="C8" s="13"/>
    </row>
    <row r="9" spans="1:3">
      <c r="A9" s="13"/>
      <c r="B9" s="13"/>
      <c r="C9" s="13"/>
    </row>
    <row r="10" spans="1:3">
      <c r="A10" s="13"/>
      <c r="B10" s="13"/>
      <c r="C10" s="13"/>
    </row>
    <row r="11" spans="1:3">
      <c r="A11" s="13"/>
      <c r="B11" s="13"/>
      <c r="C11" s="13"/>
    </row>
    <row r="12" spans="1:3">
      <c r="A12" s="13"/>
      <c r="B12" s="13"/>
      <c r="C12" s="13"/>
    </row>
    <row r="13" spans="1:3">
      <c r="A13" s="13"/>
      <c r="B13" s="13"/>
      <c r="C13" s="13"/>
    </row>
    <row r="14" spans="1:3">
      <c r="A14" s="13"/>
      <c r="B14" s="13"/>
      <c r="C14" s="13"/>
    </row>
    <row r="15" spans="1:3">
      <c r="A15" s="13"/>
      <c r="B15" s="13"/>
      <c r="C15" s="13"/>
    </row>
    <row r="16" spans="1:3">
      <c r="A16" s="13"/>
      <c r="B16" s="13"/>
      <c r="C16" s="13"/>
    </row>
    <row r="17" spans="1:3">
      <c r="A17" s="13"/>
      <c r="B17" s="13"/>
      <c r="C17" s="13"/>
    </row>
    <row r="18" spans="1:3">
      <c r="A18" s="13"/>
      <c r="B18" s="13"/>
      <c r="C18" s="13"/>
    </row>
    <row r="19" spans="1:3">
      <c r="A19" s="13"/>
      <c r="B19" s="13"/>
      <c r="C19" s="13"/>
    </row>
    <row r="20" spans="1:3">
      <c r="A20" s="13"/>
      <c r="B20" s="13"/>
      <c r="C20" s="13"/>
    </row>
    <row r="21" spans="1:3">
      <c r="A21" s="13"/>
      <c r="B21" s="13"/>
      <c r="C21" s="13"/>
    </row>
    <row r="22" spans="1:3">
      <c r="A22" s="13"/>
      <c r="B22" s="13"/>
      <c r="C22" s="13"/>
    </row>
    <row r="23" spans="1:3">
      <c r="A23" s="13"/>
      <c r="B23" s="13"/>
      <c r="C23" s="13"/>
    </row>
    <row r="24" spans="1:3">
      <c r="A24" s="13"/>
      <c r="B24" s="13"/>
      <c r="C24" s="13"/>
    </row>
    <row r="25" spans="1:3">
      <c r="A25" s="13"/>
      <c r="B25" s="13"/>
      <c r="C25" s="13"/>
    </row>
    <row r="26" spans="1:3">
      <c r="A26" s="13"/>
      <c r="B26" s="13"/>
      <c r="C26" s="13"/>
    </row>
    <row r="27" spans="1:3">
      <c r="A27" s="13"/>
      <c r="B27" s="13"/>
      <c r="C27" s="13"/>
    </row>
    <row r="28" spans="1:3">
      <c r="A28" s="13"/>
      <c r="B28" s="13"/>
      <c r="C28" s="13"/>
    </row>
    <row r="29" spans="1:3">
      <c r="A29" s="13"/>
      <c r="B29" s="13"/>
      <c r="C29" s="13"/>
    </row>
    <row r="30" spans="1:3">
      <c r="A30" s="13"/>
      <c r="B30" s="13"/>
      <c r="C30" s="13"/>
    </row>
    <row r="31" spans="1:3">
      <c r="A31" s="13"/>
      <c r="B31" s="13"/>
      <c r="C31" s="13"/>
    </row>
    <row r="32" spans="1:3">
      <c r="A32" s="13"/>
      <c r="B32" s="13"/>
      <c r="C32" s="13"/>
    </row>
    <row r="33" spans="1:3">
      <c r="A33" s="13"/>
      <c r="B33" s="13"/>
      <c r="C33" s="13"/>
    </row>
    <row r="34" spans="1:3">
      <c r="A34" s="13"/>
      <c r="B34" s="13"/>
      <c r="C34" s="13"/>
    </row>
    <row r="35" spans="1:3">
      <c r="A35" s="13"/>
      <c r="B35" s="13"/>
      <c r="C35" s="13"/>
    </row>
    <row r="36" spans="1:3">
      <c r="A36" s="13"/>
      <c r="B36" s="13"/>
      <c r="C36" s="13"/>
    </row>
    <row r="37" spans="1:3">
      <c r="A37" s="13"/>
      <c r="B37" s="13"/>
      <c r="C37" s="13"/>
    </row>
    <row r="38" spans="1:3">
      <c r="A38" s="13"/>
      <c r="B38" s="13"/>
      <c r="C38" s="13"/>
    </row>
    <row r="39" spans="1:3">
      <c r="A39" s="13"/>
      <c r="B39" s="13"/>
      <c r="C39" s="13"/>
    </row>
    <row r="40" spans="1:3">
      <c r="A40" s="13"/>
      <c r="B40" s="13"/>
      <c r="C40" s="13"/>
    </row>
    <row r="41" spans="1:3">
      <c r="A41" s="13"/>
      <c r="B41" s="13"/>
      <c r="C41" s="13"/>
    </row>
    <row r="42" spans="1:3">
      <c r="A42" s="13"/>
      <c r="B42" s="13"/>
      <c r="C42" s="13"/>
    </row>
    <row r="43" spans="1:3">
      <c r="A43" s="13"/>
      <c r="B43" s="13"/>
      <c r="C43" s="13"/>
    </row>
    <row r="44" spans="1:3">
      <c r="A44" s="13"/>
      <c r="B44" s="13"/>
      <c r="C44" s="13"/>
    </row>
    <row r="45" spans="1:3">
      <c r="A45" s="13"/>
      <c r="B45" s="13"/>
      <c r="C45" s="13"/>
    </row>
    <row r="46" spans="1:3">
      <c r="A46" s="13"/>
      <c r="B46" s="13"/>
      <c r="C46" s="13"/>
    </row>
    <row r="47" spans="1:3">
      <c r="A47" s="13"/>
      <c r="B47" s="13"/>
      <c r="C47" s="13"/>
    </row>
    <row r="48" spans="1:3">
      <c r="A48" s="13"/>
      <c r="B48" s="13"/>
      <c r="C48" s="13"/>
    </row>
    <row r="49" spans="1:3">
      <c r="A49" s="13"/>
      <c r="B49" s="13"/>
      <c r="C49" s="13"/>
    </row>
    <row r="50" spans="1:3">
      <c r="A50" s="13"/>
      <c r="B50" s="13"/>
      <c r="C50" s="13"/>
    </row>
    <row r="51" spans="1:3">
      <c r="A51" s="13"/>
      <c r="B51" s="13"/>
      <c r="C51" s="13"/>
    </row>
    <row r="52" spans="1:3">
      <c r="A52" s="13"/>
      <c r="B52" s="13"/>
      <c r="C52" s="13"/>
    </row>
    <row r="53" spans="1:3">
      <c r="A53" s="13"/>
      <c r="B53" s="13"/>
      <c r="C53" s="13"/>
    </row>
    <row r="54" spans="1:3">
      <c r="A54" s="13"/>
      <c r="B54" s="13"/>
      <c r="C54" s="13"/>
    </row>
    <row r="55" spans="1:3">
      <c r="A55" s="13"/>
      <c r="B55" s="13"/>
      <c r="C55" s="13"/>
    </row>
    <row r="56" spans="1:3">
      <c r="A56" s="13"/>
      <c r="B56" s="13"/>
      <c r="C56" s="13"/>
    </row>
    <row r="57" spans="1:3">
      <c r="A57" s="13"/>
      <c r="B57" s="13"/>
      <c r="C57" s="13"/>
    </row>
    <row r="58" spans="1:3">
      <c r="A58" s="13"/>
      <c r="B58" s="13"/>
      <c r="C58" s="13"/>
    </row>
    <row r="59" spans="1:3">
      <c r="A59" s="13"/>
      <c r="B59" s="13"/>
      <c r="C59" s="13"/>
    </row>
    <row r="60" spans="1:3">
      <c r="A60" s="13"/>
      <c r="B60" s="13"/>
      <c r="C60" s="13"/>
    </row>
    <row r="61" spans="1:3">
      <c r="A61" s="13"/>
      <c r="B61" s="13"/>
      <c r="C61" s="13"/>
    </row>
    <row r="62" spans="1:3">
      <c r="A62" s="13"/>
      <c r="B62" s="13"/>
      <c r="C62" s="13"/>
    </row>
    <row r="63" spans="1:3">
      <c r="A63" s="13"/>
      <c r="B63" s="13"/>
      <c r="C63" s="13"/>
    </row>
    <row r="64" spans="1:3">
      <c r="A64" s="13"/>
      <c r="B64" s="13"/>
      <c r="C64" s="13"/>
    </row>
    <row r="65" spans="1:3">
      <c r="A65" s="13"/>
      <c r="B65" s="13"/>
      <c r="C65" s="13"/>
    </row>
    <row r="66" spans="1:3">
      <c r="A66" s="13"/>
      <c r="B66" s="13"/>
      <c r="C66" s="13"/>
    </row>
    <row r="67" spans="1:3">
      <c r="A67" s="13"/>
      <c r="B67" s="13"/>
      <c r="C67" s="13"/>
    </row>
    <row r="68" spans="1:3">
      <c r="A68" s="13"/>
      <c r="B68" s="13"/>
      <c r="C68" s="13"/>
    </row>
    <row r="69" spans="1:3">
      <c r="A69" s="13"/>
      <c r="B69" s="13"/>
      <c r="C69" s="13"/>
    </row>
    <row r="70" spans="1:3">
      <c r="A70" s="13"/>
      <c r="B70" s="13"/>
      <c r="C70" s="13"/>
    </row>
    <row r="71" spans="1:3">
      <c r="A71" s="13"/>
      <c r="B71" s="13"/>
      <c r="C71" s="13"/>
    </row>
    <row r="72" spans="1:3">
      <c r="A72" s="13"/>
      <c r="B72" s="13"/>
      <c r="C72" s="13"/>
    </row>
    <row r="73" spans="1:3">
      <c r="A73" s="13"/>
      <c r="B73" s="13"/>
      <c r="C73" s="13"/>
    </row>
    <row r="74" spans="1:3">
      <c r="A74" s="13"/>
      <c r="B74" s="13"/>
      <c r="C74" s="13"/>
    </row>
    <row r="75" spans="1:3">
      <c r="A75" s="13"/>
      <c r="B75" s="13"/>
      <c r="C75" s="13"/>
    </row>
    <row r="76" spans="1:3">
      <c r="A76" s="13"/>
      <c r="B76" s="13"/>
      <c r="C76" s="13"/>
    </row>
    <row r="77" spans="1:3">
      <c r="A77" s="13"/>
      <c r="B77" s="13"/>
      <c r="C77" s="13"/>
    </row>
    <row r="78" spans="1:3">
      <c r="A78" s="13"/>
      <c r="B78" s="13"/>
      <c r="C78" s="13"/>
    </row>
    <row r="79" spans="1:3">
      <c r="A79" s="13"/>
      <c r="B79" s="13"/>
      <c r="C79" s="13"/>
    </row>
    <row r="80" spans="1:3">
      <c r="A80" s="13"/>
      <c r="B80" s="13"/>
      <c r="C80" s="13"/>
    </row>
    <row r="81" spans="1:3">
      <c r="A81" s="13"/>
      <c r="B81" s="13"/>
      <c r="C81" s="13"/>
    </row>
    <row r="82" spans="1:3">
      <c r="A82" s="13"/>
      <c r="B82" s="13"/>
      <c r="C82" s="13"/>
    </row>
    <row r="83" spans="1:3">
      <c r="A83" s="13"/>
      <c r="B83" s="13"/>
      <c r="C83" s="13"/>
    </row>
    <row r="84" spans="1:3">
      <c r="A84" s="13"/>
      <c r="B84" s="13"/>
      <c r="C84" s="13"/>
    </row>
    <row r="85" spans="1:3">
      <c r="A85" s="13"/>
      <c r="B85" s="13"/>
      <c r="C85" s="13"/>
    </row>
    <row r="86" spans="1:3">
      <c r="A86" s="13"/>
      <c r="B86" s="13"/>
      <c r="C86" s="13"/>
    </row>
    <row r="87" spans="1:3">
      <c r="A87" s="13"/>
      <c r="B87" s="13"/>
      <c r="C87" s="13"/>
    </row>
    <row r="88" spans="1:3">
      <c r="A88" s="13"/>
      <c r="B88" s="13"/>
      <c r="C88" s="13"/>
    </row>
    <row r="89" spans="1:3">
      <c r="A89" s="13"/>
      <c r="B89" s="13"/>
      <c r="C89" s="13"/>
    </row>
    <row r="90" spans="1:3">
      <c r="A90" s="13"/>
      <c r="B90" s="13"/>
      <c r="C90" s="13"/>
    </row>
    <row r="91" spans="1:3">
      <c r="A91" s="13"/>
      <c r="B91" s="13"/>
      <c r="C91" s="13"/>
    </row>
    <row r="92" spans="1:3">
      <c r="A92" s="13"/>
      <c r="B92" s="13"/>
      <c r="C92" s="13"/>
    </row>
    <row r="93" spans="1:3">
      <c r="A93" s="13"/>
      <c r="B93" s="13"/>
      <c r="C93" s="13"/>
    </row>
    <row r="94" spans="1:3">
      <c r="A94" s="13"/>
      <c r="B94" s="13"/>
      <c r="C94" s="13"/>
    </row>
    <row r="95" spans="1:3">
      <c r="A95" s="13"/>
      <c r="B95" s="13"/>
      <c r="C95" s="13"/>
    </row>
    <row r="96" spans="1:3">
      <c r="A96" s="13"/>
      <c r="B96" s="13"/>
      <c r="C96" s="13"/>
    </row>
    <row r="97" spans="1:3">
      <c r="A97" s="13"/>
      <c r="B97" s="13"/>
      <c r="C97" s="13"/>
    </row>
    <row r="98" spans="1:3">
      <c r="A98" s="13"/>
      <c r="B98" s="13"/>
      <c r="C98" s="13"/>
    </row>
    <row r="99" spans="1:3">
      <c r="A99" s="13"/>
      <c r="B99" s="13"/>
      <c r="C99" s="13"/>
    </row>
    <row r="100" spans="1:3">
      <c r="A100" s="13"/>
      <c r="B100" s="13"/>
      <c r="C100" s="13"/>
    </row>
    <row r="101" spans="1:3">
      <c r="A101" s="13"/>
      <c r="B101" s="13"/>
      <c r="C101" s="13"/>
    </row>
    <row r="102" spans="1:3">
      <c r="A102" s="13"/>
      <c r="B102" s="13"/>
      <c r="C102" s="13"/>
    </row>
    <row r="103" spans="1:3">
      <c r="A103" s="13"/>
      <c r="B103" s="13"/>
      <c r="C103" s="13"/>
    </row>
    <row r="104" spans="1:3">
      <c r="A104" s="13"/>
      <c r="B104" s="13"/>
      <c r="C104" s="13"/>
    </row>
    <row r="105" spans="1:3">
      <c r="A105" s="13"/>
      <c r="B105" s="13"/>
      <c r="C105" s="13"/>
    </row>
    <row r="106" spans="1:3">
      <c r="A106" s="13"/>
      <c r="B106" s="13"/>
      <c r="C106" s="13"/>
    </row>
    <row r="107" spans="1:3">
      <c r="A107" s="13"/>
      <c r="B107" s="13"/>
      <c r="C107" s="13"/>
    </row>
    <row r="108" spans="1:3">
      <c r="A108" s="13"/>
      <c r="B108" s="13"/>
      <c r="C108" s="13"/>
    </row>
    <row r="109" spans="1:3">
      <c r="A109" s="13"/>
      <c r="B109" s="13"/>
      <c r="C109" s="13"/>
    </row>
    <row r="110" spans="1:3">
      <c r="A110" s="13"/>
      <c r="B110" s="13"/>
      <c r="C110" s="13"/>
    </row>
    <row r="111" spans="1:3">
      <c r="A111" s="13"/>
      <c r="B111" s="13"/>
      <c r="C111" s="13"/>
    </row>
    <row r="112" spans="1:3">
      <c r="A112" s="13"/>
      <c r="B112" s="13"/>
      <c r="C112" s="13"/>
    </row>
    <row r="113" spans="1:3">
      <c r="A113" s="13"/>
      <c r="B113" s="13"/>
      <c r="C113" s="13"/>
    </row>
    <row r="114" spans="1:3">
      <c r="A114" s="13"/>
      <c r="B114" s="13"/>
      <c r="C114" s="13"/>
    </row>
    <row r="115" spans="1:3">
      <c r="A115" s="13"/>
      <c r="B115" s="13"/>
      <c r="C115" s="13"/>
    </row>
    <row r="116" spans="1:3">
      <c r="A116" s="13"/>
      <c r="B116" s="13"/>
      <c r="C116" s="13"/>
    </row>
    <row r="117" spans="1:3">
      <c r="A117" s="13"/>
      <c r="B117" s="13"/>
      <c r="C117" s="13"/>
    </row>
    <row r="118" spans="1:3">
      <c r="A118" s="13"/>
      <c r="B118" s="13"/>
      <c r="C118" s="13"/>
    </row>
    <row r="119" spans="1:3">
      <c r="A119" s="13"/>
      <c r="B119" s="13"/>
      <c r="C119" s="13"/>
    </row>
    <row r="120" spans="1:3">
      <c r="A120" s="13"/>
      <c r="B120" s="13"/>
      <c r="C120" s="13"/>
    </row>
    <row r="121" spans="1:3">
      <c r="A121" s="13"/>
      <c r="B121" s="13"/>
      <c r="C121" s="13"/>
    </row>
    <row r="122" spans="1:3">
      <c r="A122" s="13"/>
      <c r="B122" s="13"/>
      <c r="C122" s="13"/>
    </row>
    <row r="123" spans="1:3">
      <c r="A123" s="13"/>
      <c r="B123" s="13"/>
      <c r="C123" s="13"/>
    </row>
    <row r="124" spans="1:3">
      <c r="A124" s="13"/>
      <c r="B124" s="13"/>
      <c r="C124" s="13"/>
    </row>
    <row r="125" spans="1:3">
      <c r="A125" s="13"/>
      <c r="B125" s="13"/>
      <c r="C125" s="13"/>
    </row>
    <row r="126" spans="1:3">
      <c r="A126" s="13"/>
      <c r="B126" s="13"/>
      <c r="C126" s="13"/>
    </row>
    <row r="127" spans="1:3">
      <c r="A127" s="13"/>
      <c r="B127" s="13"/>
      <c r="C127" s="13"/>
    </row>
    <row r="128" spans="1:3">
      <c r="A128" s="13"/>
      <c r="B128" s="13"/>
      <c r="C128" s="13"/>
    </row>
    <row r="129" spans="1:3">
      <c r="A129" s="13"/>
      <c r="B129" s="13"/>
      <c r="C129" s="13"/>
    </row>
    <row r="130" spans="1:3">
      <c r="A130" s="13"/>
      <c r="B130" s="13"/>
      <c r="C130" s="13"/>
    </row>
    <row r="131" spans="1:3">
      <c r="A131" s="13"/>
      <c r="B131" s="13"/>
      <c r="C131" s="13"/>
    </row>
    <row r="132" spans="1:3">
      <c r="A132" s="13"/>
      <c r="B132" s="13"/>
      <c r="C132" s="13"/>
    </row>
    <row r="133" spans="1:3">
      <c r="A133" s="13"/>
      <c r="B133" s="13"/>
      <c r="C133" s="13"/>
    </row>
    <row r="134" spans="1:3">
      <c r="A134" s="13"/>
      <c r="B134" s="13"/>
      <c r="C134" s="13"/>
    </row>
    <row r="135" spans="1:3">
      <c r="A135" s="13"/>
      <c r="B135" s="13"/>
      <c r="C135" s="13"/>
    </row>
    <row r="136" spans="1:3">
      <c r="A136" s="13"/>
      <c r="B136" s="13"/>
      <c r="C136" s="13"/>
    </row>
    <row r="137" spans="1:3">
      <c r="A137" s="13"/>
      <c r="B137" s="13"/>
      <c r="C137" s="13"/>
    </row>
    <row r="138" spans="1:3">
      <c r="A138" s="13"/>
      <c r="B138" s="13"/>
      <c r="C138" s="13"/>
    </row>
    <row r="139" spans="1:3">
      <c r="A139" s="13"/>
      <c r="B139" s="13"/>
      <c r="C139" s="13"/>
    </row>
    <row r="140" spans="1:3">
      <c r="A140" s="13"/>
      <c r="B140" s="13"/>
      <c r="C140" s="13"/>
    </row>
    <row r="141" spans="1:3">
      <c r="A141" s="13"/>
      <c r="B141" s="13"/>
      <c r="C141" s="13"/>
    </row>
    <row r="142" spans="1:3">
      <c r="A142" s="13"/>
      <c r="B142" s="13"/>
      <c r="C142" s="13"/>
    </row>
    <row r="143" spans="1:3">
      <c r="A143" s="13"/>
      <c r="B143" s="13"/>
      <c r="C143" s="13"/>
    </row>
    <row r="144" spans="1:3">
      <c r="A144" s="13"/>
      <c r="B144" s="13"/>
      <c r="C144" s="13"/>
    </row>
    <row r="145" spans="1:3">
      <c r="A145" s="13"/>
      <c r="B145" s="13"/>
      <c r="C145" s="13"/>
    </row>
    <row r="146" spans="1:3">
      <c r="A146" s="13"/>
      <c r="B146" s="13"/>
      <c r="C146" s="13"/>
    </row>
    <row r="147" spans="1:3">
      <c r="A147" s="13"/>
      <c r="B147" s="13"/>
      <c r="C147" s="13"/>
    </row>
    <row r="148" spans="1:3">
      <c r="A148" s="13"/>
      <c r="B148" s="13"/>
      <c r="C148" s="13"/>
    </row>
    <row r="149" spans="1:3">
      <c r="A149" s="13"/>
      <c r="B149" s="13"/>
      <c r="C149" s="13"/>
    </row>
    <row r="150" spans="1:3">
      <c r="A150" s="13"/>
      <c r="B150" s="13"/>
      <c r="C150" s="13"/>
    </row>
    <row r="151" spans="1:3">
      <c r="A151" s="13"/>
      <c r="B151" s="13"/>
      <c r="C151" s="13"/>
    </row>
    <row r="152" spans="1:3">
      <c r="A152" s="13"/>
      <c r="B152" s="13"/>
      <c r="C152" s="13"/>
    </row>
    <row r="153" spans="1:3">
      <c r="A153" s="13"/>
      <c r="B153" s="13"/>
      <c r="C153" s="13"/>
    </row>
    <row r="154" spans="1:3">
      <c r="A154" s="13"/>
      <c r="B154" s="13"/>
      <c r="C154" s="13"/>
    </row>
    <row r="155" spans="1:3">
      <c r="A155" s="13"/>
      <c r="B155" s="13"/>
      <c r="C155" s="13"/>
    </row>
    <row r="156" spans="1:3">
      <c r="A156" s="13"/>
      <c r="B156" s="13"/>
      <c r="C156" s="13"/>
    </row>
    <row r="157" spans="1:3">
      <c r="A157" s="13"/>
      <c r="B157" s="13"/>
      <c r="C157" s="13"/>
    </row>
    <row r="158" spans="1:3">
      <c r="A158" s="13"/>
      <c r="B158" s="13"/>
      <c r="C158" s="13"/>
    </row>
    <row r="159" spans="1:3">
      <c r="A159" s="13"/>
      <c r="B159" s="13"/>
      <c r="C159" s="13"/>
    </row>
    <row r="160" spans="1:3">
      <c r="A160" s="13"/>
      <c r="B160" s="13"/>
      <c r="C160" s="13"/>
    </row>
    <row r="161" spans="1:3">
      <c r="A161" s="13"/>
      <c r="B161" s="13"/>
      <c r="C161" s="13"/>
    </row>
    <row r="162" spans="1:3">
      <c r="A162" s="13"/>
      <c r="B162" s="13"/>
      <c r="C162" s="13"/>
    </row>
    <row r="163" spans="1:3">
      <c r="A163" s="13"/>
      <c r="B163" s="13"/>
      <c r="C163" s="13"/>
    </row>
    <row r="164" spans="1:3">
      <c r="A164" s="13"/>
      <c r="B164" s="13"/>
      <c r="C164" s="13"/>
    </row>
    <row r="165" spans="1:3">
      <c r="A165" s="13"/>
      <c r="B165" s="13"/>
      <c r="C165" s="13"/>
    </row>
    <row r="166" spans="1:3">
      <c r="A166" s="13"/>
      <c r="B166" s="13"/>
      <c r="C166" s="13"/>
    </row>
    <row r="167" spans="1:3">
      <c r="A167" s="13"/>
      <c r="B167" s="13"/>
      <c r="C167" s="13"/>
    </row>
    <row r="168" spans="1:3">
      <c r="A168" s="13"/>
      <c r="B168" s="13"/>
      <c r="C168" s="13"/>
    </row>
    <row r="169" spans="1:3">
      <c r="A169" s="13"/>
      <c r="B169" s="13"/>
      <c r="C169" s="13"/>
    </row>
    <row r="170" spans="1:3">
      <c r="A170" s="13"/>
      <c r="B170" s="13"/>
      <c r="C170" s="13"/>
    </row>
    <row r="171" spans="1:3">
      <c r="A171" s="13"/>
      <c r="B171" s="13"/>
      <c r="C171" s="13"/>
    </row>
    <row r="172" spans="1:3">
      <c r="A172" s="13"/>
      <c r="B172" s="13"/>
      <c r="C172" s="13"/>
    </row>
    <row r="173" spans="1:3">
      <c r="A173" s="13"/>
      <c r="B173" s="13"/>
      <c r="C173" s="13"/>
    </row>
    <row r="174" spans="1:3">
      <c r="A174" s="13"/>
      <c r="B174" s="13"/>
      <c r="C174" s="13"/>
    </row>
    <row r="175" spans="1:3">
      <c r="A175" s="13"/>
      <c r="B175" s="13"/>
      <c r="C175" s="13"/>
    </row>
    <row r="176" spans="1:3">
      <c r="A176" s="13"/>
      <c r="B176" s="13"/>
      <c r="C176" s="13"/>
    </row>
    <row r="177" spans="1:3">
      <c r="A177" s="13"/>
      <c r="B177" s="13"/>
      <c r="C177" s="13"/>
    </row>
    <row r="178" spans="1:3">
      <c r="A178" s="13"/>
      <c r="B178" s="13"/>
      <c r="C178" s="13"/>
    </row>
    <row r="179" spans="1:3">
      <c r="A179" s="13"/>
      <c r="B179" s="13"/>
      <c r="C179" s="13"/>
    </row>
    <row r="180" spans="1:3">
      <c r="A180" s="13"/>
      <c r="B180" s="13"/>
      <c r="C180" s="13"/>
    </row>
    <row r="181" spans="1:3">
      <c r="A181" s="13"/>
      <c r="B181" s="13"/>
      <c r="C181" s="13"/>
    </row>
    <row r="182" spans="1:3">
      <c r="A182" s="13"/>
      <c r="B182" s="13"/>
      <c r="C182" s="13"/>
    </row>
    <row r="183" spans="1:3">
      <c r="A183" s="13"/>
      <c r="B183" s="13"/>
      <c r="C183" s="13"/>
    </row>
    <row r="184" spans="1:3">
      <c r="A184" s="13"/>
      <c r="B184" s="13"/>
      <c r="C184" s="13"/>
    </row>
    <row r="185" spans="1:3">
      <c r="A185" s="13"/>
      <c r="B185" s="13"/>
      <c r="C185" s="13"/>
    </row>
    <row r="186" spans="1:3">
      <c r="A186" s="13"/>
      <c r="B186" s="13"/>
      <c r="C186" s="13"/>
    </row>
    <row r="187" spans="1:3">
      <c r="A187" s="13"/>
      <c r="B187" s="13"/>
      <c r="C187" s="13"/>
    </row>
    <row r="188" spans="1:3">
      <c r="A188" s="13"/>
      <c r="B188" s="13"/>
      <c r="C188" s="13"/>
    </row>
    <row r="189" spans="1:3">
      <c r="A189" s="13"/>
      <c r="B189" s="13"/>
      <c r="C189" s="13"/>
    </row>
    <row r="190" spans="1:3">
      <c r="A190" s="13"/>
      <c r="B190" s="13"/>
      <c r="C190" s="13"/>
    </row>
    <row r="191" spans="1:3">
      <c r="A191" s="13"/>
      <c r="B191" s="13"/>
      <c r="C191" s="13"/>
    </row>
    <row r="192" spans="1:3">
      <c r="A192" s="13"/>
      <c r="B192" s="13"/>
      <c r="C192" s="13"/>
    </row>
    <row r="193" spans="1:3">
      <c r="A193" s="13"/>
      <c r="B193" s="13"/>
      <c r="C193" s="13"/>
    </row>
    <row r="194" spans="1:3">
      <c r="A194" s="13"/>
      <c r="B194" s="13"/>
      <c r="C194" s="13"/>
    </row>
    <row r="195" spans="1:3">
      <c r="A195" s="13"/>
      <c r="B195" s="13"/>
      <c r="C195" s="13"/>
    </row>
    <row r="196" spans="1:3">
      <c r="A196" s="13"/>
      <c r="B196" s="13"/>
      <c r="C196" s="13"/>
    </row>
    <row r="197" spans="1:3">
      <c r="A197" s="13"/>
      <c r="B197" s="13"/>
      <c r="C197" s="13"/>
    </row>
    <row r="198" spans="1:3">
      <c r="A198" s="13"/>
      <c r="B198" s="13"/>
      <c r="C198" s="13"/>
    </row>
    <row r="199" spans="1:3">
      <c r="A199" s="13"/>
      <c r="B199" s="13"/>
      <c r="C199" s="13"/>
    </row>
    <row r="200" spans="1:3">
      <c r="A200" s="13"/>
      <c r="B200" s="13"/>
      <c r="C200" s="13"/>
    </row>
    <row r="201" spans="1:3">
      <c r="A201" s="13"/>
      <c r="B201" s="13"/>
      <c r="C201" s="13"/>
    </row>
    <row r="202" spans="1:3">
      <c r="A202" s="13"/>
      <c r="B202" s="13"/>
      <c r="C202" s="13"/>
    </row>
    <row r="203" spans="1:3">
      <c r="A203" s="13"/>
      <c r="B203" s="13"/>
      <c r="C203" s="13"/>
    </row>
    <row r="204" spans="1:3">
      <c r="A204" s="13"/>
      <c r="B204" s="13"/>
      <c r="C204" s="13"/>
    </row>
    <row r="205" spans="1:3">
      <c r="A205" s="13"/>
      <c r="B205" s="13"/>
      <c r="C205" s="13"/>
    </row>
    <row r="206" spans="1:3">
      <c r="A206" s="13"/>
      <c r="B206" s="13"/>
      <c r="C206" s="13"/>
    </row>
    <row r="207" spans="1:3">
      <c r="A207" s="13"/>
      <c r="B207" s="13"/>
      <c r="C207" s="13"/>
    </row>
    <row r="208" spans="1:3">
      <c r="A208" s="13"/>
      <c r="B208" s="13"/>
      <c r="C208" s="13"/>
    </row>
    <row r="209" spans="1:3">
      <c r="A209" s="13"/>
      <c r="B209" s="13"/>
      <c r="C209" s="13"/>
    </row>
    <row r="210" spans="1:3">
      <c r="A210" s="13"/>
      <c r="B210" s="13"/>
      <c r="C210" s="13"/>
    </row>
    <row r="211" spans="1:3">
      <c r="A211" s="13"/>
      <c r="B211" s="13"/>
      <c r="C211" s="13"/>
    </row>
    <row r="212" spans="1:3">
      <c r="A212" s="13"/>
      <c r="B212" s="13"/>
      <c r="C212" s="13"/>
    </row>
    <row r="213" spans="1:3">
      <c r="A213" s="13"/>
      <c r="B213" s="13"/>
      <c r="C213" s="13"/>
    </row>
    <row r="214" spans="1:3">
      <c r="A214" s="13"/>
      <c r="B214" s="13"/>
      <c r="C214" s="13"/>
    </row>
    <row r="215" spans="1:3">
      <c r="A215" s="13"/>
      <c r="B215" s="13"/>
      <c r="C215" s="13"/>
    </row>
    <row r="216" spans="1:3">
      <c r="A216" s="13"/>
      <c r="B216" s="13"/>
      <c r="C216" s="13"/>
    </row>
    <row r="217" spans="1:3">
      <c r="A217" s="13"/>
      <c r="B217" s="13"/>
      <c r="C217" s="13"/>
    </row>
    <row r="218" spans="1:3">
      <c r="A218" s="13"/>
      <c r="B218" s="13"/>
      <c r="C218" s="13"/>
    </row>
    <row r="219" spans="1:3">
      <c r="A219" s="13"/>
      <c r="B219" s="13"/>
      <c r="C219" s="13"/>
    </row>
    <row r="220" spans="1:3">
      <c r="A220" s="13"/>
      <c r="B220" s="13"/>
      <c r="C220" s="13"/>
    </row>
    <row r="221" spans="1:3">
      <c r="A221" s="13"/>
      <c r="B221" s="13"/>
      <c r="C221" s="13"/>
    </row>
    <row r="222" spans="1:3">
      <c r="A222" s="13"/>
      <c r="B222" s="13"/>
      <c r="C222" s="13"/>
    </row>
    <row r="223" spans="1:3">
      <c r="A223" s="13"/>
      <c r="B223" s="13"/>
      <c r="C223" s="13"/>
    </row>
    <row r="224" spans="1:3">
      <c r="A224" s="13"/>
      <c r="B224" s="13"/>
      <c r="C224" s="13"/>
    </row>
    <row r="225" spans="1:3">
      <c r="A225" s="13"/>
      <c r="B225" s="13"/>
      <c r="C225" s="13"/>
    </row>
    <row r="226" spans="1:3">
      <c r="A226" s="13"/>
      <c r="B226" s="13"/>
      <c r="C226" s="13"/>
    </row>
    <row r="227" spans="1:3">
      <c r="A227" s="13"/>
      <c r="B227" s="13"/>
      <c r="C227" s="13"/>
    </row>
    <row r="228" spans="1:3">
      <c r="A228" s="13"/>
      <c r="B228" s="13"/>
      <c r="C228" s="13"/>
    </row>
    <row r="229" spans="1:3">
      <c r="A229" s="13"/>
      <c r="B229" s="13"/>
      <c r="C229" s="13"/>
    </row>
    <row r="230" spans="1:3">
      <c r="A230" s="13"/>
      <c r="B230" s="13"/>
      <c r="C230" s="13"/>
    </row>
    <row r="231" spans="1:3">
      <c r="A231" s="13"/>
      <c r="B231" s="13"/>
      <c r="C231" s="13"/>
    </row>
    <row r="232" spans="1:3">
      <c r="A232" s="13"/>
      <c r="B232" s="13"/>
      <c r="C232" s="13"/>
    </row>
    <row r="233" spans="1:3">
      <c r="A233" s="13"/>
      <c r="B233" s="13"/>
      <c r="C233" s="13"/>
    </row>
    <row r="234" spans="1:3">
      <c r="A234" s="13"/>
      <c r="B234" s="13"/>
      <c r="C234" s="13"/>
    </row>
    <row r="235" spans="1:3">
      <c r="A235" s="13"/>
      <c r="B235" s="13"/>
      <c r="C235" s="13"/>
    </row>
    <row r="236" spans="1:3">
      <c r="A236" s="13"/>
      <c r="B236" s="13"/>
      <c r="C236" s="13"/>
    </row>
    <row r="237" spans="1:3">
      <c r="A237" s="13"/>
      <c r="B237" s="13"/>
      <c r="C237" s="13"/>
    </row>
    <row r="238" spans="1:3">
      <c r="A238" s="13"/>
      <c r="B238" s="13"/>
      <c r="C238" s="13"/>
    </row>
    <row r="239" spans="1:3">
      <c r="A239" s="13"/>
      <c r="B239" s="13"/>
      <c r="C239" s="13"/>
    </row>
    <row r="240" spans="1:3">
      <c r="A240" s="13"/>
      <c r="B240" s="13"/>
      <c r="C240" s="13"/>
    </row>
    <row r="241" spans="1:3">
      <c r="A241" s="13"/>
      <c r="B241" s="13"/>
      <c r="C241" s="13"/>
    </row>
    <row r="242" spans="1:3">
      <c r="A242" s="13"/>
      <c r="B242" s="13"/>
      <c r="C242" s="13"/>
    </row>
    <row r="243" spans="1:3">
      <c r="A243" s="13"/>
      <c r="B243" s="13"/>
      <c r="C243" s="13"/>
    </row>
    <row r="244" spans="1:3">
      <c r="A244" s="13"/>
      <c r="B244" s="13"/>
      <c r="C244" s="13"/>
    </row>
    <row r="245" spans="1:3">
      <c r="A245" s="13"/>
      <c r="B245" s="13"/>
      <c r="C245" s="13"/>
    </row>
    <row r="246" spans="1:3">
      <c r="A246" s="13"/>
      <c r="B246" s="13"/>
      <c r="C246" s="13"/>
    </row>
    <row r="247" spans="1:3">
      <c r="A247" s="13"/>
      <c r="B247" s="13"/>
      <c r="C247" s="13"/>
    </row>
    <row r="248" spans="1:3">
      <c r="A248" s="13"/>
      <c r="B248" s="13"/>
      <c r="C248" s="13"/>
    </row>
    <row r="249" spans="1:3">
      <c r="A249" s="13"/>
      <c r="B249" s="13"/>
      <c r="C249" s="13"/>
    </row>
    <row r="250" spans="1:3">
      <c r="A250" s="13"/>
      <c r="B250" s="13"/>
      <c r="C250" s="13"/>
    </row>
    <row r="251" spans="1:3">
      <c r="A251" s="13"/>
      <c r="B251" s="13"/>
      <c r="C251" s="13"/>
    </row>
    <row r="252" spans="1:3">
      <c r="A252" s="13"/>
      <c r="B252" s="13"/>
      <c r="C252" s="13"/>
    </row>
    <row r="253" spans="1:3">
      <c r="A253" s="13"/>
      <c r="B253" s="13"/>
      <c r="C253" s="13"/>
    </row>
    <row r="254" spans="1:3">
      <c r="A254" s="13"/>
      <c r="B254" s="13"/>
      <c r="C254" s="13"/>
    </row>
    <row r="255" spans="1:3">
      <c r="A255" s="13"/>
      <c r="B255" s="13"/>
      <c r="C255" s="13"/>
    </row>
    <row r="256" spans="1:3">
      <c r="A256" s="13"/>
      <c r="B256" s="13"/>
      <c r="C256" s="13"/>
    </row>
    <row r="257" spans="1:3">
      <c r="A257" s="13"/>
      <c r="B257" s="13"/>
      <c r="C257" s="13"/>
    </row>
    <row r="258" spans="1:3">
      <c r="A258" s="13"/>
      <c r="B258" s="13"/>
      <c r="C258" s="13"/>
    </row>
    <row r="259" spans="1:3">
      <c r="A259" s="13"/>
      <c r="B259" s="13"/>
      <c r="C259" s="13"/>
    </row>
    <row r="260" spans="1:3">
      <c r="A260" s="13"/>
      <c r="B260" s="13"/>
      <c r="C260" s="13"/>
    </row>
    <row r="261" spans="1:3">
      <c r="A261" s="13"/>
      <c r="B261" s="13"/>
      <c r="C261" s="13"/>
    </row>
    <row r="262" spans="1:3">
      <c r="A262" s="13"/>
      <c r="B262" s="13"/>
      <c r="C262" s="13"/>
    </row>
    <row r="263" spans="1:3">
      <c r="A263" s="13"/>
      <c r="B263" s="13"/>
      <c r="C263" s="13"/>
    </row>
    <row r="264" spans="1:3">
      <c r="A264" s="13"/>
      <c r="B264" s="13"/>
      <c r="C264" s="13"/>
    </row>
    <row r="265" spans="1:3">
      <c r="A265" s="13"/>
      <c r="B265" s="13"/>
      <c r="C265" s="13"/>
    </row>
    <row r="266" spans="1:3">
      <c r="A266" s="13"/>
      <c r="B266" s="13"/>
      <c r="C266" s="13"/>
    </row>
    <row r="267" spans="1:3">
      <c r="A267" s="13"/>
      <c r="B267" s="13"/>
      <c r="C267" s="13"/>
    </row>
    <row r="268" spans="1:3">
      <c r="A268" s="13"/>
      <c r="B268" s="13"/>
      <c r="C268" s="13"/>
    </row>
    <row r="269" spans="1:3">
      <c r="A269" s="13"/>
      <c r="B269" s="13"/>
      <c r="C269" s="13"/>
    </row>
    <row r="270" spans="1:3">
      <c r="A270" s="13"/>
      <c r="B270" s="13"/>
      <c r="C270" s="13"/>
    </row>
    <row r="271" spans="1:3">
      <c r="A271" s="13"/>
      <c r="B271" s="13"/>
      <c r="C271" s="13"/>
    </row>
    <row r="272" spans="1:3">
      <c r="A272" s="13"/>
      <c r="B272" s="13"/>
      <c r="C272" s="13"/>
    </row>
    <row r="273" spans="1:3">
      <c r="A273" s="13"/>
      <c r="B273" s="13"/>
      <c r="C273" s="13"/>
    </row>
    <row r="274" spans="1:3">
      <c r="A274" s="13"/>
      <c r="B274" s="13"/>
      <c r="C274" s="13"/>
    </row>
    <row r="275" spans="1:3">
      <c r="A275" s="13"/>
      <c r="B275" s="13"/>
      <c r="C275" s="13"/>
    </row>
    <row r="276" spans="1:3">
      <c r="A276" s="13"/>
      <c r="B276" s="13"/>
      <c r="C276" s="13"/>
    </row>
    <row r="277" spans="1:3">
      <c r="A277" s="13"/>
      <c r="B277" s="13"/>
      <c r="C277" s="13"/>
    </row>
    <row r="278" spans="1:3">
      <c r="A278" s="13"/>
      <c r="B278" s="13"/>
      <c r="C278" s="13"/>
    </row>
    <row r="279" spans="1:3">
      <c r="A279" s="13"/>
      <c r="B279" s="13"/>
      <c r="C279" s="13"/>
    </row>
    <row r="280" spans="1:3">
      <c r="A280" s="13"/>
      <c r="B280" s="13"/>
      <c r="C280" s="13"/>
    </row>
    <row r="281" spans="1:3">
      <c r="A281" s="13"/>
      <c r="B281" s="13"/>
      <c r="C281" s="13"/>
    </row>
    <row r="282" spans="1:3">
      <c r="A282" s="13"/>
      <c r="B282" s="13"/>
      <c r="C282" s="13"/>
    </row>
    <row r="283" spans="1:3">
      <c r="A283" s="13"/>
      <c r="B283" s="13"/>
      <c r="C283" s="13"/>
    </row>
    <row r="284" spans="1:3">
      <c r="A284" s="13"/>
      <c r="B284" s="13"/>
      <c r="C284" s="13"/>
    </row>
    <row r="285" spans="1:3">
      <c r="A285" s="13"/>
      <c r="B285" s="13"/>
      <c r="C285" s="13"/>
    </row>
    <row r="286" spans="1:3">
      <c r="A286" s="13"/>
      <c r="B286" s="13"/>
      <c r="C286" s="13"/>
    </row>
    <row r="287" spans="1:3">
      <c r="A287" s="13"/>
      <c r="B287" s="13"/>
      <c r="C287" s="13"/>
    </row>
    <row r="288" spans="1:3">
      <c r="A288" s="13"/>
      <c r="B288" s="13"/>
      <c r="C288" s="13"/>
    </row>
    <row r="289" spans="1:3">
      <c r="A289" s="13"/>
      <c r="B289" s="13"/>
      <c r="C289" s="13"/>
    </row>
    <row r="290" spans="1:3">
      <c r="A290" s="13"/>
      <c r="B290" s="13"/>
      <c r="C290" s="13"/>
    </row>
    <row r="291" spans="1:3">
      <c r="A291" s="13"/>
      <c r="B291" s="13"/>
      <c r="C291" s="13"/>
    </row>
    <row r="292" spans="1:3">
      <c r="A292" s="13"/>
      <c r="B292" s="13"/>
      <c r="C292" s="13"/>
    </row>
    <row r="293" spans="1:3">
      <c r="A293" s="13"/>
      <c r="B293" s="13"/>
      <c r="C293" s="13"/>
    </row>
    <row r="294" spans="1:3">
      <c r="A294" s="13"/>
      <c r="B294" s="13"/>
      <c r="C294" s="13"/>
    </row>
    <row r="295" spans="1:3">
      <c r="A295" s="13"/>
      <c r="B295" s="13"/>
      <c r="C295" s="13"/>
    </row>
    <row r="296" spans="1:3">
      <c r="A296" s="13"/>
      <c r="B296" s="13"/>
      <c r="C296" s="13"/>
    </row>
    <row r="297" spans="1:3">
      <c r="A297" s="13"/>
      <c r="B297" s="13"/>
      <c r="C297" s="13"/>
    </row>
    <row r="298" spans="1:3">
      <c r="A298" s="13"/>
      <c r="B298" s="13"/>
      <c r="C298" s="13"/>
    </row>
    <row r="299" spans="1:3">
      <c r="A299" s="13"/>
      <c r="B299" s="13"/>
      <c r="C299" s="13"/>
    </row>
    <row r="300" spans="1:3">
      <c r="A300" s="13"/>
      <c r="B300" s="13"/>
      <c r="C300" s="13"/>
    </row>
    <row r="301" spans="1:3">
      <c r="A301" s="13"/>
      <c r="B301" s="13"/>
      <c r="C301" s="13"/>
    </row>
    <row r="302" spans="1:3">
      <c r="A302" s="13"/>
      <c r="B302" s="13"/>
      <c r="C302" s="13"/>
    </row>
    <row r="303" spans="1:3">
      <c r="A303" s="13"/>
      <c r="B303" s="13"/>
      <c r="C303" s="13"/>
    </row>
    <row r="304" spans="1:3">
      <c r="A304" s="13"/>
      <c r="B304" s="13"/>
      <c r="C304" s="13"/>
    </row>
  </sheetData>
  <mergeCells count="2">
    <mergeCell ref="A1:C1"/>
    <mergeCell ref="A2:C2"/>
  </mergeCell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8.7109375" customWidth="1"/>
    <col min="4" max="5" width="28.7109375" customWidth="1"/>
  </cols>
  <sheetData>
    <row r="1" spans="1:5" ht="36" customHeight="1">
      <c r="A1" s="1" t="s">
        <v>20</v>
      </c>
      <c r="B1" s="1"/>
      <c r="C1" s="1"/>
      <c r="D1" s="1"/>
      <c r="E1" s="1"/>
    </row>
    <row r="2" spans="1:5" ht="20" customHeight="1">
      <c r="A2" s="2" t="s">
        <v>75</v>
      </c>
      <c r="B2" s="2"/>
      <c r="C2" s="2"/>
      <c r="D2" s="2"/>
      <c r="E2" s="2"/>
    </row>
    <row r="4" spans="1:5" ht="26" customHeight="1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74</v>
      </c>
    </row>
    <row r="5" spans="1:5">
      <c r="A5" s="13"/>
      <c r="B5" s="13"/>
      <c r="C5" s="17"/>
      <c r="D5" s="13"/>
      <c r="E5" s="13"/>
    </row>
    <row r="6" spans="1:5">
      <c r="A6" s="13"/>
      <c r="B6" s="13"/>
      <c r="C6" s="17"/>
      <c r="D6" s="13"/>
      <c r="E6" s="13"/>
    </row>
    <row r="7" spans="1:5">
      <c r="A7" s="13"/>
      <c r="B7" s="13"/>
      <c r="C7" s="17"/>
      <c r="D7" s="13"/>
      <c r="E7" s="13"/>
    </row>
    <row r="8" spans="1:5">
      <c r="A8" s="13"/>
      <c r="B8" s="13"/>
      <c r="C8" s="17"/>
      <c r="D8" s="13"/>
      <c r="E8" s="13"/>
    </row>
    <row r="9" spans="1:5">
      <c r="A9" s="13"/>
      <c r="B9" s="13"/>
      <c r="C9" s="17"/>
      <c r="D9" s="13"/>
      <c r="E9" s="13"/>
    </row>
    <row r="10" spans="1:5">
      <c r="A10" s="13"/>
      <c r="B10" s="13"/>
      <c r="C10" s="17"/>
      <c r="D10" s="13"/>
      <c r="E10" s="13"/>
    </row>
    <row r="11" spans="1:5">
      <c r="A11" s="13"/>
      <c r="B11" s="13"/>
      <c r="C11" s="17"/>
      <c r="D11" s="13"/>
      <c r="E11" s="13"/>
    </row>
    <row r="12" spans="1:5">
      <c r="A12" s="13"/>
      <c r="B12" s="13"/>
      <c r="C12" s="17"/>
      <c r="D12" s="13"/>
      <c r="E12" s="13"/>
    </row>
    <row r="13" spans="1:5">
      <c r="A13" s="13"/>
      <c r="B13" s="13"/>
      <c r="C13" s="17"/>
      <c r="D13" s="13"/>
      <c r="E13" s="13"/>
    </row>
    <row r="14" spans="1:5">
      <c r="A14" s="13"/>
      <c r="B14" s="13"/>
      <c r="C14" s="17"/>
      <c r="D14" s="13"/>
      <c r="E14" s="13"/>
    </row>
    <row r="15" spans="1:5">
      <c r="A15" s="13"/>
      <c r="B15" s="13"/>
      <c r="C15" s="17"/>
      <c r="D15" s="13"/>
      <c r="E15" s="13"/>
    </row>
    <row r="16" spans="1:5">
      <c r="A16" s="13"/>
      <c r="B16" s="13"/>
      <c r="C16" s="17"/>
      <c r="D16" s="13"/>
      <c r="E16" s="13"/>
    </row>
    <row r="17" spans="1:5">
      <c r="A17" s="13"/>
      <c r="B17" s="13"/>
      <c r="C17" s="17"/>
      <c r="D17" s="13"/>
      <c r="E17" s="13"/>
    </row>
    <row r="18" spans="1:5">
      <c r="A18" s="13"/>
      <c r="B18" s="13"/>
      <c r="C18" s="17"/>
      <c r="D18" s="13"/>
      <c r="E18" s="13"/>
    </row>
    <row r="19" spans="1:5">
      <c r="A19" s="13"/>
      <c r="B19" s="13"/>
      <c r="C19" s="17"/>
      <c r="D19" s="13"/>
      <c r="E19" s="13"/>
    </row>
    <row r="20" spans="1:5">
      <c r="A20" s="13"/>
      <c r="B20" s="13"/>
      <c r="C20" s="17"/>
      <c r="D20" s="13"/>
      <c r="E20" s="13"/>
    </row>
    <row r="21" spans="1:5">
      <c r="A21" s="13"/>
      <c r="B21" s="13"/>
      <c r="C21" s="17"/>
      <c r="D21" s="13"/>
      <c r="E21" s="13"/>
    </row>
    <row r="22" spans="1:5">
      <c r="A22" s="13"/>
      <c r="B22" s="13"/>
      <c r="C22" s="17"/>
      <c r="D22" s="13"/>
      <c r="E22" s="13"/>
    </row>
    <row r="23" spans="1:5">
      <c r="A23" s="13"/>
      <c r="B23" s="13"/>
      <c r="C23" s="17"/>
      <c r="D23" s="13"/>
      <c r="E23" s="13"/>
    </row>
    <row r="24" spans="1:5">
      <c r="A24" s="13"/>
      <c r="B24" s="13"/>
      <c r="C24" s="17"/>
      <c r="D24" s="13"/>
      <c r="E24" s="13"/>
    </row>
    <row r="25" spans="1:5">
      <c r="A25" s="13"/>
      <c r="B25" s="13"/>
      <c r="C25" s="17"/>
      <c r="D25" s="13"/>
      <c r="E25" s="13"/>
    </row>
    <row r="26" spans="1:5">
      <c r="A26" s="13"/>
      <c r="B26" s="13"/>
      <c r="C26" s="17"/>
      <c r="D26" s="13"/>
      <c r="E26" s="13"/>
    </row>
    <row r="27" spans="1:5">
      <c r="A27" s="13"/>
      <c r="B27" s="13"/>
      <c r="C27" s="17"/>
      <c r="D27" s="13"/>
      <c r="E27" s="13"/>
    </row>
    <row r="28" spans="1:5">
      <c r="A28" s="13"/>
      <c r="B28" s="13"/>
      <c r="C28" s="17"/>
      <c r="D28" s="13"/>
      <c r="E28" s="13"/>
    </row>
    <row r="29" spans="1:5">
      <c r="A29" s="13"/>
      <c r="B29" s="13"/>
      <c r="C29" s="17"/>
      <c r="D29" s="13"/>
      <c r="E29" s="13"/>
    </row>
    <row r="30" spans="1:5">
      <c r="A30" s="13"/>
      <c r="B30" s="13"/>
      <c r="C30" s="17"/>
      <c r="D30" s="13"/>
      <c r="E30" s="13"/>
    </row>
    <row r="31" spans="1:5">
      <c r="A31" s="13"/>
      <c r="B31" s="13"/>
      <c r="C31" s="17"/>
      <c r="D31" s="13"/>
      <c r="E31" s="13"/>
    </row>
    <row r="32" spans="1:5">
      <c r="A32" s="13"/>
      <c r="B32" s="13"/>
      <c r="C32" s="17"/>
      <c r="D32" s="13"/>
      <c r="E32" s="13"/>
    </row>
    <row r="33" spans="1:5">
      <c r="A33" s="13"/>
      <c r="B33" s="13"/>
      <c r="C33" s="17"/>
      <c r="D33" s="13"/>
      <c r="E33" s="13"/>
    </row>
    <row r="34" spans="1:5">
      <c r="A34" s="13"/>
      <c r="B34" s="13"/>
      <c r="C34" s="17"/>
      <c r="D34" s="13"/>
      <c r="E34" s="13"/>
    </row>
    <row r="35" spans="1:5">
      <c r="A35" s="13"/>
      <c r="B35" s="13"/>
      <c r="C35" s="17"/>
      <c r="D35" s="13"/>
      <c r="E35" s="13"/>
    </row>
    <row r="36" spans="1:5">
      <c r="A36" s="13"/>
      <c r="B36" s="13"/>
      <c r="C36" s="17"/>
      <c r="D36" s="13"/>
      <c r="E36" s="13"/>
    </row>
    <row r="37" spans="1:5">
      <c r="A37" s="13"/>
      <c r="B37" s="13"/>
      <c r="C37" s="17"/>
      <c r="D37" s="13"/>
      <c r="E37" s="13"/>
    </row>
    <row r="38" spans="1:5">
      <c r="A38" s="13"/>
      <c r="B38" s="13"/>
      <c r="C38" s="17"/>
      <c r="D38" s="13"/>
      <c r="E38" s="13"/>
    </row>
    <row r="39" spans="1:5">
      <c r="A39" s="13"/>
      <c r="B39" s="13"/>
      <c r="C39" s="17"/>
      <c r="D39" s="13"/>
      <c r="E39" s="13"/>
    </row>
    <row r="40" spans="1:5">
      <c r="A40" s="13"/>
      <c r="B40" s="13"/>
      <c r="C40" s="17"/>
      <c r="D40" s="13"/>
      <c r="E40" s="13"/>
    </row>
    <row r="41" spans="1:5">
      <c r="A41" s="13"/>
      <c r="B41" s="13"/>
      <c r="C41" s="17"/>
      <c r="D41" s="13"/>
      <c r="E41" s="13"/>
    </row>
    <row r="42" spans="1:5">
      <c r="A42" s="13"/>
      <c r="B42" s="13"/>
      <c r="C42" s="17"/>
      <c r="D42" s="13"/>
      <c r="E42" s="13"/>
    </row>
    <row r="43" spans="1:5">
      <c r="A43" s="13"/>
      <c r="B43" s="13"/>
      <c r="C43" s="17"/>
      <c r="D43" s="13"/>
      <c r="E43" s="13"/>
    </row>
    <row r="44" spans="1:5">
      <c r="A44" s="13"/>
      <c r="B44" s="13"/>
      <c r="C44" s="17"/>
      <c r="D44" s="13"/>
      <c r="E44" s="13"/>
    </row>
    <row r="45" spans="1:5">
      <c r="A45" s="13"/>
      <c r="B45" s="13"/>
      <c r="C45" s="17"/>
      <c r="D45" s="13"/>
      <c r="E45" s="13"/>
    </row>
    <row r="46" spans="1:5">
      <c r="A46" s="13"/>
      <c r="B46" s="13"/>
      <c r="C46" s="17"/>
      <c r="D46" s="13"/>
      <c r="E46" s="13"/>
    </row>
    <row r="47" spans="1:5">
      <c r="A47" s="13"/>
      <c r="B47" s="13"/>
      <c r="C47" s="17"/>
      <c r="D47" s="13"/>
      <c r="E47" s="13"/>
    </row>
    <row r="48" spans="1:5">
      <c r="A48" s="13"/>
      <c r="B48" s="13"/>
      <c r="C48" s="17"/>
      <c r="D48" s="13"/>
      <c r="E48" s="13"/>
    </row>
    <row r="49" spans="1:5">
      <c r="A49" s="13"/>
      <c r="B49" s="13"/>
      <c r="C49" s="17"/>
      <c r="D49" s="13"/>
      <c r="E49" s="13"/>
    </row>
    <row r="50" spans="1:5">
      <c r="A50" s="13"/>
      <c r="B50" s="13"/>
      <c r="C50" s="17"/>
      <c r="D50" s="13"/>
      <c r="E50" s="13"/>
    </row>
    <row r="51" spans="1:5">
      <c r="A51" s="13"/>
      <c r="B51" s="13"/>
      <c r="C51" s="17"/>
      <c r="D51" s="13"/>
      <c r="E51" s="13"/>
    </row>
    <row r="52" spans="1:5">
      <c r="A52" s="13"/>
      <c r="B52" s="13"/>
      <c r="C52" s="17"/>
      <c r="D52" s="13"/>
      <c r="E52" s="13"/>
    </row>
    <row r="53" spans="1:5">
      <c r="A53" s="13"/>
      <c r="B53" s="13"/>
      <c r="C53" s="17"/>
      <c r="D53" s="13"/>
      <c r="E53" s="13"/>
    </row>
    <row r="54" spans="1:5">
      <c r="A54" s="13"/>
      <c r="B54" s="13"/>
      <c r="C54" s="17"/>
      <c r="D54" s="13"/>
      <c r="E54" s="13"/>
    </row>
    <row r="55" spans="1:5">
      <c r="A55" s="13"/>
      <c r="B55" s="13"/>
      <c r="C55" s="17"/>
      <c r="D55" s="13"/>
      <c r="E55" s="13"/>
    </row>
    <row r="56" spans="1:5">
      <c r="A56" s="13"/>
      <c r="B56" s="13"/>
      <c r="C56" s="17"/>
      <c r="D56" s="13"/>
      <c r="E56" s="13"/>
    </row>
    <row r="57" spans="1:5">
      <c r="A57" s="13"/>
      <c r="B57" s="13"/>
      <c r="C57" s="17"/>
      <c r="D57" s="13"/>
      <c r="E57" s="13"/>
    </row>
    <row r="58" spans="1:5">
      <c r="A58" s="13"/>
      <c r="B58" s="13"/>
      <c r="C58" s="17"/>
      <c r="D58" s="13"/>
      <c r="E58" s="13"/>
    </row>
    <row r="59" spans="1:5">
      <c r="A59" s="13"/>
      <c r="B59" s="13"/>
      <c r="C59" s="17"/>
      <c r="D59" s="13"/>
      <c r="E59" s="13"/>
    </row>
    <row r="60" spans="1:5">
      <c r="A60" s="13"/>
      <c r="B60" s="13"/>
      <c r="C60" s="17"/>
      <c r="D60" s="13"/>
      <c r="E60" s="13"/>
    </row>
    <row r="61" spans="1:5">
      <c r="A61" s="13"/>
      <c r="B61" s="13"/>
      <c r="C61" s="17"/>
      <c r="D61" s="13"/>
      <c r="E61" s="13"/>
    </row>
    <row r="62" spans="1:5">
      <c r="A62" s="13"/>
      <c r="B62" s="13"/>
      <c r="C62" s="17"/>
      <c r="D62" s="13"/>
      <c r="E62" s="13"/>
    </row>
    <row r="63" spans="1:5">
      <c r="A63" s="13"/>
      <c r="B63" s="13"/>
      <c r="C63" s="17"/>
      <c r="D63" s="13"/>
      <c r="E63" s="13"/>
    </row>
    <row r="64" spans="1:5">
      <c r="A64" s="13"/>
      <c r="B64" s="13"/>
      <c r="C64" s="17"/>
      <c r="D64" s="13"/>
      <c r="E64" s="13"/>
    </row>
    <row r="65" spans="1:5">
      <c r="A65" s="13"/>
      <c r="B65" s="13"/>
      <c r="C65" s="17"/>
      <c r="D65" s="13"/>
      <c r="E65" s="13"/>
    </row>
    <row r="66" spans="1:5">
      <c r="A66" s="13"/>
      <c r="B66" s="13"/>
      <c r="C66" s="17"/>
      <c r="D66" s="13"/>
      <c r="E66" s="13"/>
    </row>
    <row r="67" spans="1:5">
      <c r="A67" s="13"/>
      <c r="B67" s="13"/>
      <c r="C67" s="17"/>
      <c r="D67" s="13"/>
      <c r="E67" s="13"/>
    </row>
    <row r="68" spans="1:5">
      <c r="A68" s="13"/>
      <c r="B68" s="13"/>
      <c r="C68" s="17"/>
      <c r="D68" s="13"/>
      <c r="E68" s="13"/>
    </row>
    <row r="69" spans="1:5">
      <c r="A69" s="13"/>
      <c r="B69" s="13"/>
      <c r="C69" s="17"/>
      <c r="D69" s="13"/>
      <c r="E69" s="13"/>
    </row>
    <row r="70" spans="1:5">
      <c r="A70" s="13"/>
      <c r="B70" s="13"/>
      <c r="C70" s="17"/>
      <c r="D70" s="13"/>
      <c r="E70" s="13"/>
    </row>
    <row r="71" spans="1:5">
      <c r="A71" s="13"/>
      <c r="B71" s="13"/>
      <c r="C71" s="17"/>
      <c r="D71" s="13"/>
      <c r="E71" s="13"/>
    </row>
    <row r="72" spans="1:5">
      <c r="A72" s="13"/>
      <c r="B72" s="13"/>
      <c r="C72" s="17"/>
      <c r="D72" s="13"/>
      <c r="E72" s="13"/>
    </row>
    <row r="73" spans="1:5">
      <c r="A73" s="13"/>
      <c r="B73" s="13"/>
      <c r="C73" s="17"/>
      <c r="D73" s="13"/>
      <c r="E73" s="13"/>
    </row>
    <row r="74" spans="1:5">
      <c r="A74" s="13"/>
      <c r="B74" s="13"/>
      <c r="C74" s="17"/>
      <c r="D74" s="13"/>
      <c r="E74" s="13"/>
    </row>
    <row r="75" spans="1:5">
      <c r="A75" s="13"/>
      <c r="B75" s="13"/>
      <c r="C75" s="17"/>
      <c r="D75" s="13"/>
      <c r="E75" s="13"/>
    </row>
    <row r="76" spans="1:5">
      <c r="A76" s="13"/>
      <c r="B76" s="13"/>
      <c r="C76" s="17"/>
      <c r="D76" s="13"/>
      <c r="E76" s="13"/>
    </row>
    <row r="77" spans="1:5">
      <c r="A77" s="13"/>
      <c r="B77" s="13"/>
      <c r="C77" s="17"/>
      <c r="D77" s="13"/>
      <c r="E77" s="13"/>
    </row>
    <row r="78" spans="1:5">
      <c r="A78" s="13"/>
      <c r="B78" s="13"/>
      <c r="C78" s="17"/>
      <c r="D78" s="13"/>
      <c r="E78" s="13"/>
    </row>
    <row r="79" spans="1:5">
      <c r="A79" s="13"/>
      <c r="B79" s="13"/>
      <c r="C79" s="17"/>
      <c r="D79" s="13"/>
      <c r="E79" s="13"/>
    </row>
    <row r="80" spans="1:5">
      <c r="A80" s="13"/>
      <c r="B80" s="13"/>
      <c r="C80" s="17"/>
      <c r="D80" s="13"/>
      <c r="E80" s="13"/>
    </row>
    <row r="81" spans="1:5">
      <c r="A81" s="13"/>
      <c r="B81" s="13"/>
      <c r="C81" s="17"/>
      <c r="D81" s="13"/>
      <c r="E81" s="13"/>
    </row>
    <row r="82" spans="1:5">
      <c r="A82" s="13"/>
      <c r="B82" s="13"/>
      <c r="C82" s="17"/>
      <c r="D82" s="13"/>
      <c r="E82" s="13"/>
    </row>
    <row r="83" spans="1:5">
      <c r="A83" s="13"/>
      <c r="B83" s="13"/>
      <c r="C83" s="17"/>
      <c r="D83" s="13"/>
      <c r="E83" s="13"/>
    </row>
    <row r="84" spans="1:5">
      <c r="A84" s="13"/>
      <c r="B84" s="13"/>
      <c r="C84" s="17"/>
      <c r="D84" s="13"/>
      <c r="E84" s="13"/>
    </row>
    <row r="85" spans="1:5">
      <c r="A85" s="13"/>
      <c r="B85" s="13"/>
      <c r="C85" s="17"/>
      <c r="D85" s="13"/>
      <c r="E85" s="13"/>
    </row>
    <row r="86" spans="1:5">
      <c r="A86" s="13"/>
      <c r="B86" s="13"/>
      <c r="C86" s="17"/>
      <c r="D86" s="13"/>
      <c r="E86" s="13"/>
    </row>
    <row r="87" spans="1:5">
      <c r="A87" s="13"/>
      <c r="B87" s="13"/>
      <c r="C87" s="17"/>
      <c r="D87" s="13"/>
      <c r="E87" s="13"/>
    </row>
    <row r="88" spans="1:5">
      <c r="A88" s="13"/>
      <c r="B88" s="13"/>
      <c r="C88" s="17"/>
      <c r="D88" s="13"/>
      <c r="E88" s="13"/>
    </row>
    <row r="89" spans="1:5">
      <c r="A89" s="13"/>
      <c r="B89" s="13"/>
      <c r="C89" s="17"/>
      <c r="D89" s="13"/>
      <c r="E89" s="13"/>
    </row>
    <row r="90" spans="1:5">
      <c r="A90" s="13"/>
      <c r="B90" s="13"/>
      <c r="C90" s="17"/>
      <c r="D90" s="13"/>
      <c r="E90" s="13"/>
    </row>
    <row r="91" spans="1:5">
      <c r="A91" s="13"/>
      <c r="B91" s="13"/>
      <c r="C91" s="17"/>
      <c r="D91" s="13"/>
      <c r="E91" s="13"/>
    </row>
    <row r="92" spans="1:5">
      <c r="A92" s="13"/>
      <c r="B92" s="13"/>
      <c r="C92" s="17"/>
      <c r="D92" s="13"/>
      <c r="E92" s="13"/>
    </row>
    <row r="93" spans="1:5">
      <c r="A93" s="13"/>
      <c r="B93" s="13"/>
      <c r="C93" s="17"/>
      <c r="D93" s="13"/>
      <c r="E93" s="13"/>
    </row>
    <row r="94" spans="1:5">
      <c r="A94" s="13"/>
      <c r="B94" s="13"/>
      <c r="C94" s="17"/>
      <c r="D94" s="13"/>
      <c r="E94" s="13"/>
    </row>
    <row r="95" spans="1:5">
      <c r="A95" s="13"/>
      <c r="B95" s="13"/>
      <c r="C95" s="17"/>
      <c r="D95" s="13"/>
      <c r="E95" s="13"/>
    </row>
    <row r="96" spans="1:5">
      <c r="A96" s="13"/>
      <c r="B96" s="13"/>
      <c r="C96" s="17"/>
      <c r="D96" s="13"/>
      <c r="E96" s="13"/>
    </row>
    <row r="97" spans="1:5">
      <c r="A97" s="13"/>
      <c r="B97" s="13"/>
      <c r="C97" s="17"/>
      <c r="D97" s="13"/>
      <c r="E97" s="13"/>
    </row>
    <row r="98" spans="1:5">
      <c r="A98" s="13"/>
      <c r="B98" s="13"/>
      <c r="C98" s="17"/>
      <c r="D98" s="13"/>
      <c r="E98" s="13"/>
    </row>
    <row r="99" spans="1:5">
      <c r="A99" s="13"/>
      <c r="B99" s="13"/>
      <c r="C99" s="17"/>
      <c r="D99" s="13"/>
      <c r="E99" s="13"/>
    </row>
    <row r="100" spans="1:5">
      <c r="A100" s="13"/>
      <c r="B100" s="13"/>
      <c r="C100" s="17"/>
      <c r="D100" s="13"/>
      <c r="E100" s="13"/>
    </row>
    <row r="101" spans="1:5">
      <c r="A101" s="13"/>
      <c r="B101" s="13"/>
      <c r="C101" s="17"/>
      <c r="D101" s="13"/>
      <c r="E101" s="13"/>
    </row>
    <row r="102" spans="1:5">
      <c r="A102" s="13"/>
      <c r="B102" s="13"/>
      <c r="C102" s="17"/>
      <c r="D102" s="13"/>
      <c r="E102" s="13"/>
    </row>
    <row r="103" spans="1:5">
      <c r="A103" s="13"/>
      <c r="B103" s="13"/>
      <c r="C103" s="17"/>
      <c r="D103" s="13"/>
      <c r="E103" s="13"/>
    </row>
    <row r="104" spans="1:5">
      <c r="A104" s="13"/>
      <c r="B104" s="13"/>
      <c r="C104" s="17"/>
      <c r="D104" s="13"/>
      <c r="E104" s="13"/>
    </row>
    <row r="105" spans="1:5">
      <c r="A105" s="13"/>
      <c r="B105" s="13"/>
      <c r="C105" s="17"/>
      <c r="D105" s="13"/>
      <c r="E105" s="13"/>
    </row>
    <row r="106" spans="1:5">
      <c r="A106" s="13"/>
      <c r="B106" s="13"/>
      <c r="C106" s="17"/>
      <c r="D106" s="13"/>
      <c r="E106" s="13"/>
    </row>
    <row r="107" spans="1:5">
      <c r="A107" s="13"/>
      <c r="B107" s="13"/>
      <c r="C107" s="17"/>
      <c r="D107" s="13"/>
      <c r="E107" s="13"/>
    </row>
    <row r="108" spans="1:5">
      <c r="A108" s="13"/>
      <c r="B108" s="13"/>
      <c r="C108" s="17"/>
      <c r="D108" s="13"/>
      <c r="E108" s="13"/>
    </row>
    <row r="109" spans="1:5">
      <c r="A109" s="13"/>
      <c r="B109" s="13"/>
      <c r="C109" s="17"/>
      <c r="D109" s="13"/>
      <c r="E109" s="13"/>
    </row>
    <row r="110" spans="1:5">
      <c r="A110" s="13"/>
      <c r="B110" s="13"/>
      <c r="C110" s="17"/>
      <c r="D110" s="13"/>
      <c r="E110" s="13"/>
    </row>
    <row r="111" spans="1:5">
      <c r="A111" s="13"/>
      <c r="B111" s="13"/>
      <c r="C111" s="17"/>
      <c r="D111" s="13"/>
      <c r="E111" s="13"/>
    </row>
    <row r="112" spans="1:5">
      <c r="A112" s="13"/>
      <c r="B112" s="13"/>
      <c r="C112" s="17"/>
      <c r="D112" s="13"/>
      <c r="E112" s="13"/>
    </row>
    <row r="113" spans="1:5">
      <c r="A113" s="13"/>
      <c r="B113" s="13"/>
      <c r="C113" s="17"/>
      <c r="D113" s="13"/>
      <c r="E113" s="13"/>
    </row>
    <row r="114" spans="1:5">
      <c r="A114" s="13"/>
      <c r="B114" s="13"/>
      <c r="C114" s="17"/>
      <c r="D114" s="13"/>
      <c r="E114" s="13"/>
    </row>
    <row r="115" spans="1:5">
      <c r="A115" s="13"/>
      <c r="B115" s="13"/>
      <c r="C115" s="17"/>
      <c r="D115" s="13"/>
      <c r="E115" s="13"/>
    </row>
    <row r="116" spans="1:5">
      <c r="A116" s="13"/>
      <c r="B116" s="13"/>
      <c r="C116" s="17"/>
      <c r="D116" s="13"/>
      <c r="E116" s="13"/>
    </row>
    <row r="117" spans="1:5">
      <c r="A117" s="13"/>
      <c r="B117" s="13"/>
      <c r="C117" s="17"/>
      <c r="D117" s="13"/>
      <c r="E117" s="13"/>
    </row>
    <row r="118" spans="1:5">
      <c r="A118" s="13"/>
      <c r="B118" s="13"/>
      <c r="C118" s="17"/>
      <c r="D118" s="13"/>
      <c r="E118" s="13"/>
    </row>
    <row r="119" spans="1:5">
      <c r="A119" s="13"/>
      <c r="B119" s="13"/>
      <c r="C119" s="17"/>
      <c r="D119" s="13"/>
      <c r="E119" s="13"/>
    </row>
    <row r="120" spans="1:5">
      <c r="A120" s="13"/>
      <c r="B120" s="13"/>
      <c r="C120" s="17"/>
      <c r="D120" s="13"/>
      <c r="E120" s="13"/>
    </row>
    <row r="121" spans="1:5">
      <c r="A121" s="13"/>
      <c r="B121" s="13"/>
      <c r="C121" s="17"/>
      <c r="D121" s="13"/>
      <c r="E121" s="13"/>
    </row>
    <row r="122" spans="1:5">
      <c r="A122" s="13"/>
      <c r="B122" s="13"/>
      <c r="C122" s="17"/>
      <c r="D122" s="13"/>
      <c r="E122" s="13"/>
    </row>
    <row r="123" spans="1:5">
      <c r="A123" s="13"/>
      <c r="B123" s="13"/>
      <c r="C123" s="17"/>
      <c r="D123" s="13"/>
      <c r="E123" s="13"/>
    </row>
    <row r="124" spans="1:5">
      <c r="A124" s="13"/>
      <c r="B124" s="13"/>
      <c r="C124" s="17"/>
      <c r="D124" s="13"/>
      <c r="E124" s="13"/>
    </row>
    <row r="125" spans="1:5">
      <c r="A125" s="13"/>
      <c r="B125" s="13"/>
      <c r="C125" s="17"/>
      <c r="D125" s="13"/>
      <c r="E125" s="13"/>
    </row>
    <row r="126" spans="1:5">
      <c r="A126" s="13"/>
      <c r="B126" s="13"/>
      <c r="C126" s="17"/>
      <c r="D126" s="13"/>
      <c r="E126" s="13"/>
    </row>
    <row r="127" spans="1:5">
      <c r="A127" s="13"/>
      <c r="B127" s="13"/>
      <c r="C127" s="17"/>
      <c r="D127" s="13"/>
      <c r="E127" s="13"/>
    </row>
    <row r="128" spans="1:5">
      <c r="A128" s="13"/>
      <c r="B128" s="13"/>
      <c r="C128" s="17"/>
      <c r="D128" s="13"/>
      <c r="E128" s="13"/>
    </row>
    <row r="129" spans="1:5">
      <c r="A129" s="13"/>
      <c r="B129" s="13"/>
      <c r="C129" s="17"/>
      <c r="D129" s="13"/>
      <c r="E129" s="13"/>
    </row>
    <row r="130" spans="1:5">
      <c r="A130" s="13"/>
      <c r="B130" s="13"/>
      <c r="C130" s="17"/>
      <c r="D130" s="13"/>
      <c r="E130" s="13"/>
    </row>
    <row r="131" spans="1:5">
      <c r="A131" s="13"/>
      <c r="B131" s="13"/>
      <c r="C131" s="17"/>
      <c r="D131" s="13"/>
      <c r="E131" s="13"/>
    </row>
    <row r="132" spans="1:5">
      <c r="A132" s="13"/>
      <c r="B132" s="13"/>
      <c r="C132" s="17"/>
      <c r="D132" s="13"/>
      <c r="E132" s="13"/>
    </row>
    <row r="133" spans="1:5">
      <c r="A133" s="13"/>
      <c r="B133" s="13"/>
      <c r="C133" s="17"/>
      <c r="D133" s="13"/>
      <c r="E133" s="13"/>
    </row>
    <row r="134" spans="1:5">
      <c r="A134" s="13"/>
      <c r="B134" s="13"/>
      <c r="C134" s="17"/>
      <c r="D134" s="13"/>
      <c r="E134" s="13"/>
    </row>
    <row r="135" spans="1:5">
      <c r="A135" s="13"/>
      <c r="B135" s="13"/>
      <c r="C135" s="17"/>
      <c r="D135" s="13"/>
      <c r="E135" s="13"/>
    </row>
    <row r="136" spans="1:5">
      <c r="A136" s="13"/>
      <c r="B136" s="13"/>
      <c r="C136" s="17"/>
      <c r="D136" s="13"/>
      <c r="E136" s="13"/>
    </row>
    <row r="137" spans="1:5">
      <c r="A137" s="13"/>
      <c r="B137" s="13"/>
      <c r="C137" s="17"/>
      <c r="D137" s="13"/>
      <c r="E137" s="13"/>
    </row>
    <row r="138" spans="1:5">
      <c r="A138" s="13"/>
      <c r="B138" s="13"/>
      <c r="C138" s="17"/>
      <c r="D138" s="13"/>
      <c r="E138" s="13"/>
    </row>
    <row r="139" spans="1:5">
      <c r="A139" s="13"/>
      <c r="B139" s="13"/>
      <c r="C139" s="17"/>
      <c r="D139" s="13"/>
      <c r="E139" s="13"/>
    </row>
    <row r="140" spans="1:5">
      <c r="A140" s="13"/>
      <c r="B140" s="13"/>
      <c r="C140" s="17"/>
      <c r="D140" s="13"/>
      <c r="E140" s="13"/>
    </row>
    <row r="141" spans="1:5">
      <c r="A141" s="13"/>
      <c r="B141" s="13"/>
      <c r="C141" s="17"/>
      <c r="D141" s="13"/>
      <c r="E141" s="13"/>
    </row>
    <row r="142" spans="1:5">
      <c r="A142" s="13"/>
      <c r="B142" s="13"/>
      <c r="C142" s="17"/>
      <c r="D142" s="13"/>
      <c r="E142" s="13"/>
    </row>
    <row r="143" spans="1:5">
      <c r="A143" s="13"/>
      <c r="B143" s="13"/>
      <c r="C143" s="17"/>
      <c r="D143" s="13"/>
      <c r="E143" s="13"/>
    </row>
    <row r="144" spans="1:5">
      <c r="A144" s="13"/>
      <c r="B144" s="13"/>
      <c r="C144" s="17"/>
      <c r="D144" s="13"/>
      <c r="E144" s="13"/>
    </row>
    <row r="145" spans="1:5">
      <c r="A145" s="13"/>
      <c r="B145" s="13"/>
      <c r="C145" s="17"/>
      <c r="D145" s="13"/>
      <c r="E145" s="13"/>
    </row>
    <row r="146" spans="1:5">
      <c r="A146" s="13"/>
      <c r="B146" s="13"/>
      <c r="C146" s="17"/>
      <c r="D146" s="13"/>
      <c r="E146" s="13"/>
    </row>
    <row r="147" spans="1:5">
      <c r="A147" s="13"/>
      <c r="B147" s="13"/>
      <c r="C147" s="17"/>
      <c r="D147" s="13"/>
      <c r="E147" s="13"/>
    </row>
    <row r="148" spans="1:5">
      <c r="A148" s="13"/>
      <c r="B148" s="13"/>
      <c r="C148" s="17"/>
      <c r="D148" s="13"/>
      <c r="E148" s="13"/>
    </row>
    <row r="149" spans="1:5">
      <c r="A149" s="13"/>
      <c r="B149" s="13"/>
      <c r="C149" s="17"/>
      <c r="D149" s="13"/>
      <c r="E149" s="13"/>
    </row>
    <row r="150" spans="1:5">
      <c r="A150" s="13"/>
      <c r="B150" s="13"/>
      <c r="C150" s="17"/>
      <c r="D150" s="13"/>
      <c r="E150" s="13"/>
    </row>
    <row r="151" spans="1:5">
      <c r="A151" s="13"/>
      <c r="B151" s="13"/>
      <c r="C151" s="17"/>
      <c r="D151" s="13"/>
      <c r="E151" s="13"/>
    </row>
    <row r="152" spans="1:5">
      <c r="A152" s="13"/>
      <c r="B152" s="13"/>
      <c r="C152" s="17"/>
      <c r="D152" s="13"/>
      <c r="E152" s="13"/>
    </row>
    <row r="153" spans="1:5">
      <c r="A153" s="13"/>
      <c r="B153" s="13"/>
      <c r="C153" s="17"/>
      <c r="D153" s="13"/>
      <c r="E153" s="13"/>
    </row>
    <row r="154" spans="1:5">
      <c r="A154" s="13"/>
      <c r="B154" s="13"/>
      <c r="C154" s="17"/>
      <c r="D154" s="13"/>
      <c r="E154" s="13"/>
    </row>
    <row r="155" spans="1:5">
      <c r="A155" s="13"/>
      <c r="B155" s="13"/>
      <c r="C155" s="17"/>
      <c r="D155" s="13"/>
      <c r="E155" s="13"/>
    </row>
    <row r="156" spans="1:5">
      <c r="A156" s="13"/>
      <c r="B156" s="13"/>
      <c r="C156" s="17"/>
      <c r="D156" s="13"/>
      <c r="E156" s="13"/>
    </row>
    <row r="157" spans="1:5">
      <c r="A157" s="13"/>
      <c r="B157" s="13"/>
      <c r="C157" s="17"/>
      <c r="D157" s="13"/>
      <c r="E157" s="13"/>
    </row>
    <row r="158" spans="1:5">
      <c r="A158" s="13"/>
      <c r="B158" s="13"/>
      <c r="C158" s="17"/>
      <c r="D158" s="13"/>
      <c r="E158" s="13"/>
    </row>
    <row r="159" spans="1:5">
      <c r="A159" s="13"/>
      <c r="B159" s="13"/>
      <c r="C159" s="17"/>
      <c r="D159" s="13"/>
      <c r="E159" s="13"/>
    </row>
    <row r="160" spans="1:5">
      <c r="A160" s="13"/>
      <c r="B160" s="13"/>
      <c r="C160" s="17"/>
      <c r="D160" s="13"/>
      <c r="E160" s="13"/>
    </row>
    <row r="161" spans="1:5">
      <c r="A161" s="13"/>
      <c r="B161" s="13"/>
      <c r="C161" s="17"/>
      <c r="D161" s="13"/>
      <c r="E161" s="13"/>
    </row>
    <row r="162" spans="1:5">
      <c r="A162" s="13"/>
      <c r="B162" s="13"/>
      <c r="C162" s="17"/>
      <c r="D162" s="13"/>
      <c r="E162" s="13"/>
    </row>
    <row r="163" spans="1:5">
      <c r="A163" s="13"/>
      <c r="B163" s="13"/>
      <c r="C163" s="17"/>
      <c r="D163" s="13"/>
      <c r="E163" s="13"/>
    </row>
    <row r="164" spans="1:5">
      <c r="A164" s="13"/>
      <c r="B164" s="13"/>
      <c r="C164" s="17"/>
      <c r="D164" s="13"/>
      <c r="E164" s="13"/>
    </row>
    <row r="165" spans="1:5">
      <c r="A165" s="13"/>
      <c r="B165" s="13"/>
      <c r="C165" s="17"/>
      <c r="D165" s="13"/>
      <c r="E165" s="13"/>
    </row>
    <row r="166" spans="1:5">
      <c r="A166" s="13"/>
      <c r="B166" s="13"/>
      <c r="C166" s="17"/>
      <c r="D166" s="13"/>
      <c r="E166" s="13"/>
    </row>
    <row r="167" spans="1:5">
      <c r="A167" s="13"/>
      <c r="B167" s="13"/>
      <c r="C167" s="17"/>
      <c r="D167" s="13"/>
      <c r="E167" s="13"/>
    </row>
    <row r="168" spans="1:5">
      <c r="A168" s="13"/>
      <c r="B168" s="13"/>
      <c r="C168" s="17"/>
      <c r="D168" s="13"/>
      <c r="E168" s="13"/>
    </row>
    <row r="169" spans="1:5">
      <c r="A169" s="13"/>
      <c r="B169" s="13"/>
      <c r="C169" s="17"/>
      <c r="D169" s="13"/>
      <c r="E169" s="13"/>
    </row>
    <row r="170" spans="1:5">
      <c r="A170" s="13"/>
      <c r="B170" s="13"/>
      <c r="C170" s="17"/>
      <c r="D170" s="13"/>
      <c r="E170" s="13"/>
    </row>
    <row r="171" spans="1:5">
      <c r="A171" s="13"/>
      <c r="B171" s="13"/>
      <c r="C171" s="17"/>
      <c r="D171" s="13"/>
      <c r="E171" s="13"/>
    </row>
    <row r="172" spans="1:5">
      <c r="A172" s="13"/>
      <c r="B172" s="13"/>
      <c r="C172" s="17"/>
      <c r="D172" s="13"/>
      <c r="E172" s="13"/>
    </row>
    <row r="173" spans="1:5">
      <c r="A173" s="13"/>
      <c r="B173" s="13"/>
      <c r="C173" s="17"/>
      <c r="D173" s="13"/>
      <c r="E173" s="13"/>
    </row>
    <row r="174" spans="1:5">
      <c r="A174" s="13"/>
      <c r="B174" s="13"/>
      <c r="C174" s="17"/>
      <c r="D174" s="13"/>
      <c r="E174" s="13"/>
    </row>
    <row r="175" spans="1:5">
      <c r="A175" s="13"/>
      <c r="B175" s="13"/>
      <c r="C175" s="17"/>
      <c r="D175" s="13"/>
      <c r="E175" s="13"/>
    </row>
    <row r="176" spans="1:5">
      <c r="A176" s="13"/>
      <c r="B176" s="13"/>
      <c r="C176" s="17"/>
      <c r="D176" s="13"/>
      <c r="E176" s="13"/>
    </row>
    <row r="177" spans="1:5">
      <c r="A177" s="13"/>
      <c r="B177" s="13"/>
      <c r="C177" s="17"/>
      <c r="D177" s="13"/>
      <c r="E177" s="13"/>
    </row>
    <row r="178" spans="1:5">
      <c r="A178" s="13"/>
      <c r="B178" s="13"/>
      <c r="C178" s="17"/>
      <c r="D178" s="13"/>
      <c r="E178" s="13"/>
    </row>
    <row r="179" spans="1:5">
      <c r="A179" s="13"/>
      <c r="B179" s="13"/>
      <c r="C179" s="17"/>
      <c r="D179" s="13"/>
      <c r="E179" s="13"/>
    </row>
    <row r="180" spans="1:5">
      <c r="A180" s="13"/>
      <c r="B180" s="13"/>
      <c r="C180" s="17"/>
      <c r="D180" s="13"/>
      <c r="E180" s="13"/>
    </row>
    <row r="181" spans="1:5">
      <c r="A181" s="13"/>
      <c r="B181" s="13"/>
      <c r="C181" s="17"/>
      <c r="D181" s="13"/>
      <c r="E181" s="13"/>
    </row>
    <row r="182" spans="1:5">
      <c r="A182" s="13"/>
      <c r="B182" s="13"/>
      <c r="C182" s="17"/>
      <c r="D182" s="13"/>
      <c r="E182" s="13"/>
    </row>
    <row r="183" spans="1:5">
      <c r="A183" s="13"/>
      <c r="B183" s="13"/>
      <c r="C183" s="17"/>
      <c r="D183" s="13"/>
      <c r="E183" s="13"/>
    </row>
    <row r="184" spans="1:5">
      <c r="A184" s="13"/>
      <c r="B184" s="13"/>
      <c r="C184" s="17"/>
      <c r="D184" s="13"/>
      <c r="E184" s="13"/>
    </row>
    <row r="185" spans="1:5">
      <c r="A185" s="13"/>
      <c r="B185" s="13"/>
      <c r="C185" s="17"/>
      <c r="D185" s="13"/>
      <c r="E185" s="13"/>
    </row>
    <row r="186" spans="1:5">
      <c r="A186" s="13"/>
      <c r="B186" s="13"/>
      <c r="C186" s="17"/>
      <c r="D186" s="13"/>
      <c r="E186" s="13"/>
    </row>
    <row r="187" spans="1:5">
      <c r="A187" s="13"/>
      <c r="B187" s="13"/>
      <c r="C187" s="17"/>
      <c r="D187" s="13"/>
      <c r="E187" s="13"/>
    </row>
    <row r="188" spans="1:5">
      <c r="A188" s="13"/>
      <c r="B188" s="13"/>
      <c r="C188" s="17"/>
      <c r="D188" s="13"/>
      <c r="E188" s="13"/>
    </row>
    <row r="189" spans="1:5">
      <c r="A189" s="13"/>
      <c r="B189" s="13"/>
      <c r="C189" s="17"/>
      <c r="D189" s="13"/>
      <c r="E189" s="13"/>
    </row>
    <row r="190" spans="1:5">
      <c r="A190" s="13"/>
      <c r="B190" s="13"/>
      <c r="C190" s="17"/>
      <c r="D190" s="13"/>
      <c r="E190" s="13"/>
    </row>
    <row r="191" spans="1:5">
      <c r="A191" s="13"/>
      <c r="B191" s="13"/>
      <c r="C191" s="17"/>
      <c r="D191" s="13"/>
      <c r="E191" s="13"/>
    </row>
    <row r="192" spans="1:5">
      <c r="A192" s="13"/>
      <c r="B192" s="13"/>
      <c r="C192" s="17"/>
      <c r="D192" s="13"/>
      <c r="E192" s="13"/>
    </row>
    <row r="193" spans="1:5">
      <c r="A193" s="13"/>
      <c r="B193" s="13"/>
      <c r="C193" s="17"/>
      <c r="D193" s="13"/>
      <c r="E193" s="13"/>
    </row>
    <row r="194" spans="1:5">
      <c r="A194" s="13"/>
      <c r="B194" s="13"/>
      <c r="C194" s="17"/>
      <c r="D194" s="13"/>
      <c r="E194" s="13"/>
    </row>
    <row r="195" spans="1:5">
      <c r="A195" s="13"/>
      <c r="B195" s="13"/>
      <c r="C195" s="17"/>
      <c r="D195" s="13"/>
      <c r="E195" s="13"/>
    </row>
    <row r="196" spans="1:5">
      <c r="A196" s="13"/>
      <c r="B196" s="13"/>
      <c r="C196" s="17"/>
      <c r="D196" s="13"/>
      <c r="E196" s="13"/>
    </row>
    <row r="197" spans="1:5">
      <c r="A197" s="13"/>
      <c r="B197" s="13"/>
      <c r="C197" s="17"/>
      <c r="D197" s="13"/>
      <c r="E197" s="13"/>
    </row>
    <row r="198" spans="1:5">
      <c r="A198" s="13"/>
      <c r="B198" s="13"/>
      <c r="C198" s="17"/>
      <c r="D198" s="13"/>
      <c r="E198" s="13"/>
    </row>
    <row r="199" spans="1:5">
      <c r="A199" s="13"/>
      <c r="B199" s="13"/>
      <c r="C199" s="17"/>
      <c r="D199" s="13"/>
      <c r="E199" s="13"/>
    </row>
    <row r="200" spans="1:5">
      <c r="A200" s="13"/>
      <c r="B200" s="13"/>
      <c r="C200" s="17"/>
      <c r="D200" s="13"/>
      <c r="E200" s="13"/>
    </row>
    <row r="201" spans="1:5">
      <c r="A201" s="13"/>
      <c r="B201" s="13"/>
      <c r="C201" s="17"/>
      <c r="D201" s="13"/>
      <c r="E201" s="13"/>
    </row>
    <row r="202" spans="1:5">
      <c r="A202" s="13"/>
      <c r="B202" s="13"/>
      <c r="C202" s="17"/>
      <c r="D202" s="13"/>
      <c r="E202" s="13"/>
    </row>
    <row r="203" spans="1:5">
      <c r="A203" s="13"/>
      <c r="B203" s="13"/>
      <c r="C203" s="17"/>
      <c r="D203" s="13"/>
      <c r="E203" s="13"/>
    </row>
    <row r="204" spans="1:5">
      <c r="A204" s="13"/>
      <c r="B204" s="13"/>
      <c r="C204" s="17"/>
      <c r="D204" s="13"/>
      <c r="E204" s="13"/>
    </row>
    <row r="205" spans="1:5">
      <c r="A205" s="13"/>
      <c r="B205" s="13"/>
      <c r="C205" s="17"/>
      <c r="D205" s="13"/>
      <c r="E205" s="13"/>
    </row>
    <row r="206" spans="1:5">
      <c r="A206" s="13"/>
      <c r="B206" s="13"/>
      <c r="C206" s="17"/>
      <c r="D206" s="13"/>
      <c r="E206" s="13"/>
    </row>
    <row r="207" spans="1:5">
      <c r="A207" s="13"/>
      <c r="B207" s="13"/>
      <c r="C207" s="17"/>
      <c r="D207" s="13"/>
      <c r="E207" s="13"/>
    </row>
    <row r="208" spans="1:5">
      <c r="A208" s="13"/>
      <c r="B208" s="13"/>
      <c r="C208" s="17"/>
      <c r="D208" s="13"/>
      <c r="E208" s="13"/>
    </row>
    <row r="209" spans="1:5">
      <c r="A209" s="13"/>
      <c r="B209" s="13"/>
      <c r="C209" s="17"/>
      <c r="D209" s="13"/>
      <c r="E209" s="13"/>
    </row>
    <row r="210" spans="1:5">
      <c r="A210" s="13"/>
      <c r="B210" s="13"/>
      <c r="C210" s="17"/>
      <c r="D210" s="13"/>
      <c r="E210" s="13"/>
    </row>
    <row r="211" spans="1:5">
      <c r="A211" s="13"/>
      <c r="B211" s="13"/>
      <c r="C211" s="17"/>
      <c r="D211" s="13"/>
      <c r="E211" s="13"/>
    </row>
    <row r="212" spans="1:5">
      <c r="A212" s="13"/>
      <c r="B212" s="13"/>
      <c r="C212" s="17"/>
      <c r="D212" s="13"/>
      <c r="E212" s="13"/>
    </row>
    <row r="213" spans="1:5">
      <c r="A213" s="13"/>
      <c r="B213" s="13"/>
      <c r="C213" s="17"/>
      <c r="D213" s="13"/>
      <c r="E213" s="13"/>
    </row>
    <row r="214" spans="1:5">
      <c r="A214" s="13"/>
      <c r="B214" s="13"/>
      <c r="C214" s="17"/>
      <c r="D214" s="13"/>
      <c r="E214" s="13"/>
    </row>
    <row r="215" spans="1:5">
      <c r="A215" s="13"/>
      <c r="B215" s="13"/>
      <c r="C215" s="17"/>
      <c r="D215" s="13"/>
      <c r="E215" s="13"/>
    </row>
    <row r="216" spans="1:5">
      <c r="A216" s="13"/>
      <c r="B216" s="13"/>
      <c r="C216" s="17"/>
      <c r="D216" s="13"/>
      <c r="E216" s="13"/>
    </row>
    <row r="217" spans="1:5">
      <c r="A217" s="13"/>
      <c r="B217" s="13"/>
      <c r="C217" s="17"/>
      <c r="D217" s="13"/>
      <c r="E217" s="13"/>
    </row>
    <row r="218" spans="1:5">
      <c r="A218" s="13"/>
      <c r="B218" s="13"/>
      <c r="C218" s="17"/>
      <c r="D218" s="13"/>
      <c r="E218" s="13"/>
    </row>
    <row r="219" spans="1:5">
      <c r="A219" s="13"/>
      <c r="B219" s="13"/>
      <c r="C219" s="17"/>
      <c r="D219" s="13"/>
      <c r="E219" s="13"/>
    </row>
    <row r="220" spans="1:5">
      <c r="A220" s="13"/>
      <c r="B220" s="13"/>
      <c r="C220" s="17"/>
      <c r="D220" s="13"/>
      <c r="E220" s="13"/>
    </row>
    <row r="221" spans="1:5">
      <c r="A221" s="13"/>
      <c r="B221" s="13"/>
      <c r="C221" s="17"/>
      <c r="D221" s="13"/>
      <c r="E221" s="13"/>
    </row>
    <row r="222" spans="1:5">
      <c r="A222" s="13"/>
      <c r="B222" s="13"/>
      <c r="C222" s="17"/>
      <c r="D222" s="13"/>
      <c r="E222" s="13"/>
    </row>
    <row r="223" spans="1:5">
      <c r="A223" s="13"/>
      <c r="B223" s="13"/>
      <c r="C223" s="17"/>
      <c r="D223" s="13"/>
      <c r="E223" s="13"/>
    </row>
    <row r="224" spans="1:5">
      <c r="A224" s="13"/>
      <c r="B224" s="13"/>
      <c r="C224" s="17"/>
      <c r="D224" s="13"/>
      <c r="E224" s="13"/>
    </row>
    <row r="225" spans="1:5">
      <c r="A225" s="13"/>
      <c r="B225" s="13"/>
      <c r="C225" s="17"/>
      <c r="D225" s="13"/>
      <c r="E225" s="13"/>
    </row>
    <row r="226" spans="1:5">
      <c r="A226" s="13"/>
      <c r="B226" s="13"/>
      <c r="C226" s="17"/>
      <c r="D226" s="13"/>
      <c r="E226" s="13"/>
    </row>
    <row r="227" spans="1:5">
      <c r="A227" s="13"/>
      <c r="B227" s="13"/>
      <c r="C227" s="17"/>
      <c r="D227" s="13"/>
      <c r="E227" s="13"/>
    </row>
    <row r="228" spans="1:5">
      <c r="A228" s="13"/>
      <c r="B228" s="13"/>
      <c r="C228" s="17"/>
      <c r="D228" s="13"/>
      <c r="E228" s="13"/>
    </row>
    <row r="229" spans="1:5">
      <c r="A229" s="13"/>
      <c r="B229" s="13"/>
      <c r="C229" s="17"/>
      <c r="D229" s="13"/>
      <c r="E229" s="13"/>
    </row>
    <row r="230" spans="1:5">
      <c r="A230" s="13"/>
      <c r="B230" s="13"/>
      <c r="C230" s="17"/>
      <c r="D230" s="13"/>
      <c r="E230" s="13"/>
    </row>
    <row r="231" spans="1:5">
      <c r="A231" s="13"/>
      <c r="B231" s="13"/>
      <c r="C231" s="17"/>
      <c r="D231" s="13"/>
      <c r="E231" s="13"/>
    </row>
    <row r="232" spans="1:5">
      <c r="A232" s="13"/>
      <c r="B232" s="13"/>
      <c r="C232" s="17"/>
      <c r="D232" s="13"/>
      <c r="E232" s="13"/>
    </row>
    <row r="233" spans="1:5">
      <c r="A233" s="13"/>
      <c r="B233" s="13"/>
      <c r="C233" s="17"/>
      <c r="D233" s="13"/>
      <c r="E233" s="13"/>
    </row>
    <row r="234" spans="1:5">
      <c r="A234" s="13"/>
      <c r="B234" s="13"/>
      <c r="C234" s="17"/>
      <c r="D234" s="13"/>
      <c r="E234" s="13"/>
    </row>
    <row r="235" spans="1:5">
      <c r="A235" s="13"/>
      <c r="B235" s="13"/>
      <c r="C235" s="17"/>
      <c r="D235" s="13"/>
      <c r="E235" s="13"/>
    </row>
    <row r="236" spans="1:5">
      <c r="A236" s="13"/>
      <c r="B236" s="13"/>
      <c r="C236" s="17"/>
      <c r="D236" s="13"/>
      <c r="E236" s="13"/>
    </row>
    <row r="237" spans="1:5">
      <c r="A237" s="13"/>
      <c r="B237" s="13"/>
      <c r="C237" s="17"/>
      <c r="D237" s="13"/>
      <c r="E237" s="13"/>
    </row>
    <row r="238" spans="1:5">
      <c r="A238" s="13"/>
      <c r="B238" s="13"/>
      <c r="C238" s="17"/>
      <c r="D238" s="13"/>
      <c r="E238" s="13"/>
    </row>
    <row r="239" spans="1:5">
      <c r="A239" s="13"/>
      <c r="B239" s="13"/>
      <c r="C239" s="17"/>
      <c r="D239" s="13"/>
      <c r="E239" s="13"/>
    </row>
    <row r="240" spans="1:5">
      <c r="A240" s="13"/>
      <c r="B240" s="13"/>
      <c r="C240" s="17"/>
      <c r="D240" s="13"/>
      <c r="E240" s="13"/>
    </row>
    <row r="241" spans="1:5">
      <c r="A241" s="13"/>
      <c r="B241" s="13"/>
      <c r="C241" s="17"/>
      <c r="D241" s="13"/>
      <c r="E241" s="13"/>
    </row>
    <row r="242" spans="1:5">
      <c r="A242" s="13"/>
      <c r="B242" s="13"/>
      <c r="C242" s="17"/>
      <c r="D242" s="13"/>
      <c r="E242" s="13"/>
    </row>
    <row r="243" spans="1:5">
      <c r="A243" s="13"/>
      <c r="B243" s="13"/>
      <c r="C243" s="17"/>
      <c r="D243" s="13"/>
      <c r="E243" s="13"/>
    </row>
    <row r="244" spans="1:5">
      <c r="A244" s="13"/>
      <c r="B244" s="13"/>
      <c r="C244" s="17"/>
      <c r="D244" s="13"/>
      <c r="E244" s="13"/>
    </row>
    <row r="245" spans="1:5">
      <c r="A245" s="13"/>
      <c r="B245" s="13"/>
      <c r="C245" s="17"/>
      <c r="D245" s="13"/>
      <c r="E245" s="13"/>
    </row>
    <row r="246" spans="1:5">
      <c r="A246" s="13"/>
      <c r="B246" s="13"/>
      <c r="C246" s="17"/>
      <c r="D246" s="13"/>
      <c r="E246" s="13"/>
    </row>
    <row r="247" spans="1:5">
      <c r="A247" s="13"/>
      <c r="B247" s="13"/>
      <c r="C247" s="17"/>
      <c r="D247" s="13"/>
      <c r="E247" s="13"/>
    </row>
    <row r="248" spans="1:5">
      <c r="A248" s="13"/>
      <c r="B248" s="13"/>
      <c r="C248" s="17"/>
      <c r="D248" s="13"/>
      <c r="E248" s="13"/>
    </row>
    <row r="249" spans="1:5">
      <c r="A249" s="13"/>
      <c r="B249" s="13"/>
      <c r="C249" s="17"/>
      <c r="D249" s="13"/>
      <c r="E249" s="13"/>
    </row>
    <row r="250" spans="1:5">
      <c r="A250" s="13"/>
      <c r="B250" s="13"/>
      <c r="C250" s="17"/>
      <c r="D250" s="13"/>
      <c r="E250" s="13"/>
    </row>
    <row r="251" spans="1:5">
      <c r="A251" s="13"/>
      <c r="B251" s="13"/>
      <c r="C251" s="17"/>
      <c r="D251" s="13"/>
      <c r="E251" s="13"/>
    </row>
    <row r="252" spans="1:5">
      <c r="A252" s="13"/>
      <c r="B252" s="13"/>
      <c r="C252" s="17"/>
      <c r="D252" s="13"/>
      <c r="E252" s="13"/>
    </row>
    <row r="253" spans="1:5">
      <c r="A253" s="13"/>
      <c r="B253" s="13"/>
      <c r="C253" s="17"/>
      <c r="D253" s="13"/>
      <c r="E253" s="13"/>
    </row>
    <row r="254" spans="1:5">
      <c r="A254" s="13"/>
      <c r="B254" s="13"/>
      <c r="C254" s="17"/>
      <c r="D254" s="13"/>
      <c r="E254" s="13"/>
    </row>
    <row r="255" spans="1:5">
      <c r="A255" s="13"/>
      <c r="B255" s="13"/>
      <c r="C255" s="17"/>
      <c r="D255" s="13"/>
      <c r="E255" s="13"/>
    </row>
    <row r="256" spans="1:5">
      <c r="A256" s="13"/>
      <c r="B256" s="13"/>
      <c r="C256" s="17"/>
      <c r="D256" s="13"/>
      <c r="E256" s="13"/>
    </row>
    <row r="257" spans="1:5">
      <c r="A257" s="13"/>
      <c r="B257" s="13"/>
      <c r="C257" s="17"/>
      <c r="D257" s="13"/>
      <c r="E257" s="13"/>
    </row>
    <row r="258" spans="1:5">
      <c r="A258" s="13"/>
      <c r="B258" s="13"/>
      <c r="C258" s="17"/>
      <c r="D258" s="13"/>
      <c r="E258" s="13"/>
    </row>
    <row r="259" spans="1:5">
      <c r="A259" s="13"/>
      <c r="B259" s="13"/>
      <c r="C259" s="17"/>
      <c r="D259" s="13"/>
      <c r="E259" s="13"/>
    </row>
    <row r="260" spans="1:5">
      <c r="A260" s="13"/>
      <c r="B260" s="13"/>
      <c r="C260" s="17"/>
      <c r="D260" s="13"/>
      <c r="E260" s="13"/>
    </row>
    <row r="261" spans="1:5">
      <c r="A261" s="13"/>
      <c r="B261" s="13"/>
      <c r="C261" s="17"/>
      <c r="D261" s="13"/>
      <c r="E261" s="13"/>
    </row>
    <row r="262" spans="1:5">
      <c r="A262" s="13"/>
      <c r="B262" s="13"/>
      <c r="C262" s="17"/>
      <c r="D262" s="13"/>
      <c r="E262" s="13"/>
    </row>
    <row r="263" spans="1:5">
      <c r="A263" s="13"/>
      <c r="B263" s="13"/>
      <c r="C263" s="17"/>
      <c r="D263" s="13"/>
      <c r="E263" s="13"/>
    </row>
    <row r="264" spans="1:5">
      <c r="A264" s="13"/>
      <c r="B264" s="13"/>
      <c r="C264" s="17"/>
      <c r="D264" s="13"/>
      <c r="E264" s="13"/>
    </row>
    <row r="265" spans="1:5">
      <c r="A265" s="13"/>
      <c r="B265" s="13"/>
      <c r="C265" s="17"/>
      <c r="D265" s="13"/>
      <c r="E265" s="13"/>
    </row>
    <row r="266" spans="1:5">
      <c r="A266" s="13"/>
      <c r="B266" s="13"/>
      <c r="C266" s="17"/>
      <c r="D266" s="13"/>
      <c r="E266" s="13"/>
    </row>
    <row r="267" spans="1:5">
      <c r="A267" s="13"/>
      <c r="B267" s="13"/>
      <c r="C267" s="17"/>
      <c r="D267" s="13"/>
      <c r="E267" s="13"/>
    </row>
    <row r="268" spans="1:5">
      <c r="A268" s="13"/>
      <c r="B268" s="13"/>
      <c r="C268" s="17"/>
      <c r="D268" s="13"/>
      <c r="E268" s="13"/>
    </row>
    <row r="269" spans="1:5">
      <c r="A269" s="13"/>
      <c r="B269" s="13"/>
      <c r="C269" s="17"/>
      <c r="D269" s="13"/>
      <c r="E269" s="13"/>
    </row>
    <row r="270" spans="1:5">
      <c r="A270" s="13"/>
      <c r="B270" s="13"/>
      <c r="C270" s="17"/>
      <c r="D270" s="13"/>
      <c r="E270" s="13"/>
    </row>
    <row r="271" spans="1:5">
      <c r="A271" s="13"/>
      <c r="B271" s="13"/>
      <c r="C271" s="17"/>
      <c r="D271" s="13"/>
      <c r="E271" s="13"/>
    </row>
    <row r="272" spans="1:5">
      <c r="A272" s="13"/>
      <c r="B272" s="13"/>
      <c r="C272" s="17"/>
      <c r="D272" s="13"/>
      <c r="E272" s="13"/>
    </row>
    <row r="273" spans="1:5">
      <c r="A273" s="13"/>
      <c r="B273" s="13"/>
      <c r="C273" s="17"/>
      <c r="D273" s="13"/>
      <c r="E273" s="13"/>
    </row>
    <row r="274" spans="1:5">
      <c r="A274" s="13"/>
      <c r="B274" s="13"/>
      <c r="C274" s="17"/>
      <c r="D274" s="13"/>
      <c r="E274" s="13"/>
    </row>
    <row r="275" spans="1:5">
      <c r="A275" s="13"/>
      <c r="B275" s="13"/>
      <c r="C275" s="17"/>
      <c r="D275" s="13"/>
      <c r="E275" s="13"/>
    </row>
    <row r="276" spans="1:5">
      <c r="A276" s="13"/>
      <c r="B276" s="13"/>
      <c r="C276" s="17"/>
      <c r="D276" s="13"/>
      <c r="E276" s="13"/>
    </row>
    <row r="277" spans="1:5">
      <c r="A277" s="13"/>
      <c r="B277" s="13"/>
      <c r="C277" s="17"/>
      <c r="D277" s="13"/>
      <c r="E277" s="13"/>
    </row>
    <row r="278" spans="1:5">
      <c r="A278" s="13"/>
      <c r="B278" s="13"/>
      <c r="C278" s="17"/>
      <c r="D278" s="13"/>
      <c r="E278" s="13"/>
    </row>
    <row r="279" spans="1:5">
      <c r="A279" s="13"/>
      <c r="B279" s="13"/>
      <c r="C279" s="17"/>
      <c r="D279" s="13"/>
      <c r="E279" s="13"/>
    </row>
    <row r="280" spans="1:5">
      <c r="A280" s="13"/>
      <c r="B280" s="13"/>
      <c r="C280" s="17"/>
      <c r="D280" s="13"/>
      <c r="E280" s="13"/>
    </row>
    <row r="281" spans="1:5">
      <c r="A281" s="13"/>
      <c r="B281" s="13"/>
      <c r="C281" s="17"/>
      <c r="D281" s="13"/>
      <c r="E281" s="13"/>
    </row>
    <row r="282" spans="1:5">
      <c r="A282" s="13"/>
      <c r="B282" s="13"/>
      <c r="C282" s="17"/>
      <c r="D282" s="13"/>
      <c r="E282" s="13"/>
    </row>
    <row r="283" spans="1:5">
      <c r="A283" s="13"/>
      <c r="B283" s="13"/>
      <c r="C283" s="17"/>
      <c r="D283" s="13"/>
      <c r="E283" s="13"/>
    </row>
    <row r="284" spans="1:5">
      <c r="A284" s="13"/>
      <c r="B284" s="13"/>
      <c r="C284" s="17"/>
      <c r="D284" s="13"/>
      <c r="E284" s="13"/>
    </row>
    <row r="285" spans="1:5">
      <c r="A285" s="13"/>
      <c r="B285" s="13"/>
      <c r="C285" s="17"/>
      <c r="D285" s="13"/>
      <c r="E285" s="13"/>
    </row>
    <row r="286" spans="1:5">
      <c r="A286" s="13"/>
      <c r="B286" s="13"/>
      <c r="C286" s="17"/>
      <c r="D286" s="13"/>
      <c r="E286" s="13"/>
    </row>
    <row r="287" spans="1:5">
      <c r="A287" s="13"/>
      <c r="B287" s="13"/>
      <c r="C287" s="17"/>
      <c r="D287" s="13"/>
      <c r="E287" s="13"/>
    </row>
    <row r="288" spans="1:5">
      <c r="A288" s="13"/>
      <c r="B288" s="13"/>
      <c r="C288" s="17"/>
      <c r="D288" s="13"/>
      <c r="E288" s="13"/>
    </row>
    <row r="289" spans="1:5">
      <c r="A289" s="13"/>
      <c r="B289" s="13"/>
      <c r="C289" s="17"/>
      <c r="D289" s="13"/>
      <c r="E289" s="13"/>
    </row>
    <row r="290" spans="1:5">
      <c r="A290" s="13"/>
      <c r="B290" s="13"/>
      <c r="C290" s="17"/>
      <c r="D290" s="13"/>
      <c r="E290" s="13"/>
    </row>
    <row r="291" spans="1:5">
      <c r="A291" s="13"/>
      <c r="B291" s="13"/>
      <c r="C291" s="17"/>
      <c r="D291" s="13"/>
      <c r="E291" s="13"/>
    </row>
    <row r="292" spans="1:5">
      <c r="A292" s="13"/>
      <c r="B292" s="13"/>
      <c r="C292" s="17"/>
      <c r="D292" s="13"/>
      <c r="E292" s="13"/>
    </row>
    <row r="293" spans="1:5">
      <c r="A293" s="13"/>
      <c r="B293" s="13"/>
      <c r="C293" s="17"/>
      <c r="D293" s="13"/>
      <c r="E293" s="13"/>
    </row>
    <row r="294" spans="1:5">
      <c r="A294" s="13"/>
      <c r="B294" s="13"/>
      <c r="C294" s="17"/>
      <c r="D294" s="13"/>
      <c r="E294" s="13"/>
    </row>
    <row r="295" spans="1:5">
      <c r="A295" s="13"/>
      <c r="B295" s="13"/>
      <c r="C295" s="17"/>
      <c r="D295" s="13"/>
      <c r="E295" s="13"/>
    </row>
    <row r="296" spans="1:5">
      <c r="A296" s="13"/>
      <c r="B296" s="13"/>
      <c r="C296" s="17"/>
      <c r="D296" s="13"/>
      <c r="E296" s="13"/>
    </row>
    <row r="297" spans="1:5">
      <c r="A297" s="13"/>
      <c r="B297" s="13"/>
      <c r="C297" s="17"/>
      <c r="D297" s="13"/>
      <c r="E297" s="13"/>
    </row>
    <row r="298" spans="1:5">
      <c r="A298" s="13"/>
      <c r="B298" s="13"/>
      <c r="C298" s="17"/>
      <c r="D298" s="13"/>
      <c r="E298" s="13"/>
    </row>
    <row r="299" spans="1:5">
      <c r="A299" s="13"/>
      <c r="B299" s="13"/>
      <c r="C299" s="17"/>
      <c r="D299" s="13"/>
      <c r="E299" s="13"/>
    </row>
    <row r="300" spans="1:5">
      <c r="A300" s="13"/>
      <c r="B300" s="13"/>
      <c r="C300" s="17"/>
      <c r="D300" s="13"/>
      <c r="E300" s="13"/>
    </row>
    <row r="301" spans="1:5">
      <c r="A301" s="13"/>
      <c r="B301" s="13"/>
      <c r="C301" s="17"/>
      <c r="D301" s="13"/>
      <c r="E301" s="13"/>
    </row>
    <row r="302" spans="1:5">
      <c r="A302" s="13"/>
      <c r="B302" s="13"/>
      <c r="C302" s="17"/>
      <c r="D302" s="13"/>
      <c r="E302" s="13"/>
    </row>
    <row r="303" spans="1:5">
      <c r="A303" s="13"/>
      <c r="B303" s="13"/>
      <c r="C303" s="17"/>
      <c r="D303" s="13"/>
      <c r="E303" s="13"/>
    </row>
    <row r="304" spans="1:5">
      <c r="A304" s="13"/>
      <c r="B304" s="13"/>
      <c r="C304" s="17"/>
      <c r="D304" s="13"/>
      <c r="E304" s="13"/>
    </row>
  </sheetData>
  <mergeCells count="2">
    <mergeCell ref="A1:E1"/>
    <mergeCell ref="A2:E2"/>
  </mergeCells>
  <dataValidations count="1">
    <dataValidation type="list" allowBlank="1" showInputMessage="1" showErrorMessage="1" errorTitle="Valor inválido" error="Escolha um item da lista." sqref="D5:D304">
      <formula1>CliNome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5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34.7109375" customWidth="1"/>
    <col min="3" max="3" width="12.7109375" customWidth="1"/>
    <col min="4" max="4" width="14.7109375" customWidth="1"/>
    <col min="5" max="6" width="10.7109375" customWidth="1"/>
    <col min="7" max="7" width="14.7109375" customWidth="1"/>
    <col min="8" max="9" width="10.7109375" customWidth="1"/>
    <col min="10" max="11" width="12.7109375" customWidth="1"/>
  </cols>
  <sheetData>
    <row r="1" spans="1:11" ht="36" customHeight="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44" customHeight="1">
      <c r="A4" s="10" t="s">
        <v>82</v>
      </c>
      <c r="B4" s="10" t="s">
        <v>83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24</v>
      </c>
      <c r="I4" s="10" t="s">
        <v>89</v>
      </c>
      <c r="J4" s="10" t="s">
        <v>90</v>
      </c>
      <c r="K4" s="10" t="s">
        <v>91</v>
      </c>
    </row>
    <row r="5" spans="1:11">
      <c r="A5" s="13"/>
      <c r="B5" s="13"/>
      <c r="C5" s="19"/>
      <c r="D5" s="19"/>
      <c r="E5" s="20"/>
      <c r="F5" s="20"/>
      <c r="G5" s="21">
        <f>IF($A5="","",IF($D5&lt;&gt;"",$D5,N($C5)*(1+MarkupPeca)))</f>
        <v>0</v>
      </c>
      <c r="H5" s="22">
        <f>IF($A5="","",SUMIFS(EntQtd,EntCod,$A5))</f>
        <v>0</v>
      </c>
      <c r="I5" s="22">
        <f>IF($A5="","",SUMIFS(ItQtd,ItCod,$A5,ItStatus,"&lt;&gt;Orçamento",ItStatus,"&lt;&gt;Cancelada"))</f>
        <v>0</v>
      </c>
      <c r="J5" s="23">
        <f>IF($A5="","",N($E5)+$H5-$I5)</f>
        <v>0</v>
      </c>
      <c r="K5" s="24">
        <f>IF($A5="","",IF($J5&lt;=0,"RUPTURA",IF($J5&lt;=N($F5),"REPOR","OK")))</f>
        <v>0</v>
      </c>
    </row>
    <row r="6" spans="1:11">
      <c r="A6" s="13"/>
      <c r="B6" s="13"/>
      <c r="C6" s="19"/>
      <c r="D6" s="19"/>
      <c r="E6" s="20"/>
      <c r="F6" s="20"/>
      <c r="G6" s="21">
        <f>IF($A6="","",IF($D6&lt;&gt;"",$D6,N($C6)*(1+MarkupPeca)))</f>
        <v>0</v>
      </c>
      <c r="H6" s="22">
        <f>IF($A6="","",SUMIFS(EntQtd,EntCod,$A6))</f>
        <v>0</v>
      </c>
      <c r="I6" s="22">
        <f>IF($A6="","",SUMIFS(ItQtd,ItCod,$A6,ItStatus,"&lt;&gt;Orçamento",ItStatus,"&lt;&gt;Cancelada"))</f>
        <v>0</v>
      </c>
      <c r="J6" s="23">
        <f>IF($A6="","",N($E6)+$H6-$I6)</f>
        <v>0</v>
      </c>
      <c r="K6" s="24">
        <f>IF($A6="","",IF($J6&lt;=0,"RUPTURA",IF($J6&lt;=N($F6),"REPOR","OK")))</f>
        <v>0</v>
      </c>
    </row>
    <row r="7" spans="1:11">
      <c r="A7" s="13"/>
      <c r="B7" s="13"/>
      <c r="C7" s="19"/>
      <c r="D7" s="19"/>
      <c r="E7" s="20"/>
      <c r="F7" s="20"/>
      <c r="G7" s="21">
        <f>IF($A7="","",IF($D7&lt;&gt;"",$D7,N($C7)*(1+MarkupPeca)))</f>
        <v>0</v>
      </c>
      <c r="H7" s="22">
        <f>IF($A7="","",SUMIFS(EntQtd,EntCod,$A7))</f>
        <v>0</v>
      </c>
      <c r="I7" s="22">
        <f>IF($A7="","",SUMIFS(ItQtd,ItCod,$A7,ItStatus,"&lt;&gt;Orçamento",ItStatus,"&lt;&gt;Cancelada"))</f>
        <v>0</v>
      </c>
      <c r="J7" s="23">
        <f>IF($A7="","",N($E7)+$H7-$I7)</f>
        <v>0</v>
      </c>
      <c r="K7" s="24">
        <f>IF($A7="","",IF($J7&lt;=0,"RUPTURA",IF($J7&lt;=N($F7),"REPOR","OK")))</f>
        <v>0</v>
      </c>
    </row>
    <row r="8" spans="1:11">
      <c r="A8" s="13"/>
      <c r="B8" s="13"/>
      <c r="C8" s="19"/>
      <c r="D8" s="19"/>
      <c r="E8" s="20"/>
      <c r="F8" s="20"/>
      <c r="G8" s="21">
        <f>IF($A8="","",IF($D8&lt;&gt;"",$D8,N($C8)*(1+MarkupPeca)))</f>
        <v>0</v>
      </c>
      <c r="H8" s="22">
        <f>IF($A8="","",SUMIFS(EntQtd,EntCod,$A8))</f>
        <v>0</v>
      </c>
      <c r="I8" s="22">
        <f>IF($A8="","",SUMIFS(ItQtd,ItCod,$A8,ItStatus,"&lt;&gt;Orçamento",ItStatus,"&lt;&gt;Cancelada"))</f>
        <v>0</v>
      </c>
      <c r="J8" s="23">
        <f>IF($A8="","",N($E8)+$H8-$I8)</f>
        <v>0</v>
      </c>
      <c r="K8" s="24">
        <f>IF($A8="","",IF($J8&lt;=0,"RUPTURA",IF($J8&lt;=N($F8),"REPOR","OK")))</f>
        <v>0</v>
      </c>
    </row>
    <row r="9" spans="1:11">
      <c r="A9" s="13"/>
      <c r="B9" s="13"/>
      <c r="C9" s="19"/>
      <c r="D9" s="19"/>
      <c r="E9" s="20"/>
      <c r="F9" s="20"/>
      <c r="G9" s="21">
        <f>IF($A9="","",IF($D9&lt;&gt;"",$D9,N($C9)*(1+MarkupPeca)))</f>
        <v>0</v>
      </c>
      <c r="H9" s="22">
        <f>IF($A9="","",SUMIFS(EntQtd,EntCod,$A9))</f>
        <v>0</v>
      </c>
      <c r="I9" s="22">
        <f>IF($A9="","",SUMIFS(ItQtd,ItCod,$A9,ItStatus,"&lt;&gt;Orçamento",ItStatus,"&lt;&gt;Cancelada"))</f>
        <v>0</v>
      </c>
      <c r="J9" s="23">
        <f>IF($A9="","",N($E9)+$H9-$I9)</f>
        <v>0</v>
      </c>
      <c r="K9" s="24">
        <f>IF($A9="","",IF($J9&lt;=0,"RUPTURA",IF($J9&lt;=N($F9),"REPOR","OK")))</f>
        <v>0</v>
      </c>
    </row>
    <row r="10" spans="1:11">
      <c r="A10" s="13"/>
      <c r="B10" s="13"/>
      <c r="C10" s="19"/>
      <c r="D10" s="19"/>
      <c r="E10" s="20"/>
      <c r="F10" s="20"/>
      <c r="G10" s="21">
        <f>IF($A10="","",IF($D10&lt;&gt;"",$D10,N($C10)*(1+MarkupPeca)))</f>
        <v>0</v>
      </c>
      <c r="H10" s="22">
        <f>IF($A10="","",SUMIFS(EntQtd,EntCod,$A10))</f>
        <v>0</v>
      </c>
      <c r="I10" s="22">
        <f>IF($A10="","",SUMIFS(ItQtd,ItCod,$A10,ItStatus,"&lt;&gt;Orçamento",ItStatus,"&lt;&gt;Cancelada"))</f>
        <v>0</v>
      </c>
      <c r="J10" s="23">
        <f>IF($A10="","",N($E10)+$H10-$I10)</f>
        <v>0</v>
      </c>
      <c r="K10" s="24">
        <f>IF($A10="","",IF($J10&lt;=0,"RUPTURA",IF($J10&lt;=N($F10),"REPOR","OK")))</f>
        <v>0</v>
      </c>
    </row>
    <row r="11" spans="1:11">
      <c r="A11" s="13"/>
      <c r="B11" s="13"/>
      <c r="C11" s="19"/>
      <c r="D11" s="19"/>
      <c r="E11" s="20"/>
      <c r="F11" s="20"/>
      <c r="G11" s="21">
        <f>IF($A11="","",IF($D11&lt;&gt;"",$D11,N($C11)*(1+MarkupPeca)))</f>
        <v>0</v>
      </c>
      <c r="H11" s="22">
        <f>IF($A11="","",SUMIFS(EntQtd,EntCod,$A11))</f>
        <v>0</v>
      </c>
      <c r="I11" s="22">
        <f>IF($A11="","",SUMIFS(ItQtd,ItCod,$A11,ItStatus,"&lt;&gt;Orçamento",ItStatus,"&lt;&gt;Cancelada"))</f>
        <v>0</v>
      </c>
      <c r="J11" s="23">
        <f>IF($A11="","",N($E11)+$H11-$I11)</f>
        <v>0</v>
      </c>
      <c r="K11" s="24">
        <f>IF($A11="","",IF($J11&lt;=0,"RUPTURA",IF($J11&lt;=N($F11),"REPOR","OK")))</f>
        <v>0</v>
      </c>
    </row>
    <row r="12" spans="1:11">
      <c r="A12" s="13"/>
      <c r="B12" s="13"/>
      <c r="C12" s="19"/>
      <c r="D12" s="19"/>
      <c r="E12" s="20"/>
      <c r="F12" s="20"/>
      <c r="G12" s="21">
        <f>IF($A12="","",IF($D12&lt;&gt;"",$D12,N($C12)*(1+MarkupPeca)))</f>
        <v>0</v>
      </c>
      <c r="H12" s="22">
        <f>IF($A12="","",SUMIFS(EntQtd,EntCod,$A12))</f>
        <v>0</v>
      </c>
      <c r="I12" s="22">
        <f>IF($A12="","",SUMIFS(ItQtd,ItCod,$A12,ItStatus,"&lt;&gt;Orçamento",ItStatus,"&lt;&gt;Cancelada"))</f>
        <v>0</v>
      </c>
      <c r="J12" s="23">
        <f>IF($A12="","",N($E12)+$H12-$I12)</f>
        <v>0</v>
      </c>
      <c r="K12" s="24">
        <f>IF($A12="","",IF($J12&lt;=0,"RUPTURA",IF($J12&lt;=N($F12),"REPOR","OK")))</f>
        <v>0</v>
      </c>
    </row>
    <row r="13" spans="1:11">
      <c r="A13" s="13"/>
      <c r="B13" s="13"/>
      <c r="C13" s="19"/>
      <c r="D13" s="19"/>
      <c r="E13" s="20"/>
      <c r="F13" s="20"/>
      <c r="G13" s="21">
        <f>IF($A13="","",IF($D13&lt;&gt;"",$D13,N($C13)*(1+MarkupPeca)))</f>
        <v>0</v>
      </c>
      <c r="H13" s="22">
        <f>IF($A13="","",SUMIFS(EntQtd,EntCod,$A13))</f>
        <v>0</v>
      </c>
      <c r="I13" s="22">
        <f>IF($A13="","",SUMIFS(ItQtd,ItCod,$A13,ItStatus,"&lt;&gt;Orçamento",ItStatus,"&lt;&gt;Cancelada"))</f>
        <v>0</v>
      </c>
      <c r="J13" s="23">
        <f>IF($A13="","",N($E13)+$H13-$I13)</f>
        <v>0</v>
      </c>
      <c r="K13" s="24">
        <f>IF($A13="","",IF($J13&lt;=0,"RUPTURA",IF($J13&lt;=N($F13),"REPOR","OK")))</f>
        <v>0</v>
      </c>
    </row>
    <row r="14" spans="1:11">
      <c r="A14" s="13"/>
      <c r="B14" s="13"/>
      <c r="C14" s="19"/>
      <c r="D14" s="19"/>
      <c r="E14" s="20"/>
      <c r="F14" s="20"/>
      <c r="G14" s="21">
        <f>IF($A14="","",IF($D14&lt;&gt;"",$D14,N($C14)*(1+MarkupPeca)))</f>
        <v>0</v>
      </c>
      <c r="H14" s="22">
        <f>IF($A14="","",SUMIFS(EntQtd,EntCod,$A14))</f>
        <v>0</v>
      </c>
      <c r="I14" s="22">
        <f>IF($A14="","",SUMIFS(ItQtd,ItCod,$A14,ItStatus,"&lt;&gt;Orçamento",ItStatus,"&lt;&gt;Cancelada"))</f>
        <v>0</v>
      </c>
      <c r="J14" s="23">
        <f>IF($A14="","",N($E14)+$H14-$I14)</f>
        <v>0</v>
      </c>
      <c r="K14" s="24">
        <f>IF($A14="","",IF($J14&lt;=0,"RUPTURA",IF($J14&lt;=N($F14),"REPOR","OK")))</f>
        <v>0</v>
      </c>
    </row>
    <row r="15" spans="1:11">
      <c r="A15" s="13"/>
      <c r="B15" s="13"/>
      <c r="C15" s="19"/>
      <c r="D15" s="19"/>
      <c r="E15" s="20"/>
      <c r="F15" s="20"/>
      <c r="G15" s="21">
        <f>IF($A15="","",IF($D15&lt;&gt;"",$D15,N($C15)*(1+MarkupPeca)))</f>
        <v>0</v>
      </c>
      <c r="H15" s="22">
        <f>IF($A15="","",SUMIFS(EntQtd,EntCod,$A15))</f>
        <v>0</v>
      </c>
      <c r="I15" s="22">
        <f>IF($A15="","",SUMIFS(ItQtd,ItCod,$A15,ItStatus,"&lt;&gt;Orçamento",ItStatus,"&lt;&gt;Cancelada"))</f>
        <v>0</v>
      </c>
      <c r="J15" s="23">
        <f>IF($A15="","",N($E15)+$H15-$I15)</f>
        <v>0</v>
      </c>
      <c r="K15" s="24">
        <f>IF($A15="","",IF($J15&lt;=0,"RUPTURA",IF($J15&lt;=N($F15),"REPOR","OK")))</f>
        <v>0</v>
      </c>
    </row>
    <row r="16" spans="1:11">
      <c r="A16" s="13"/>
      <c r="B16" s="13"/>
      <c r="C16" s="19"/>
      <c r="D16" s="19"/>
      <c r="E16" s="20"/>
      <c r="F16" s="20"/>
      <c r="G16" s="21">
        <f>IF($A16="","",IF($D16&lt;&gt;"",$D16,N($C16)*(1+MarkupPeca)))</f>
        <v>0</v>
      </c>
      <c r="H16" s="22">
        <f>IF($A16="","",SUMIFS(EntQtd,EntCod,$A16))</f>
        <v>0</v>
      </c>
      <c r="I16" s="22">
        <f>IF($A16="","",SUMIFS(ItQtd,ItCod,$A16,ItStatus,"&lt;&gt;Orçamento",ItStatus,"&lt;&gt;Cancelada"))</f>
        <v>0</v>
      </c>
      <c r="J16" s="23">
        <f>IF($A16="","",N($E16)+$H16-$I16)</f>
        <v>0</v>
      </c>
      <c r="K16" s="24">
        <f>IF($A16="","",IF($J16&lt;=0,"RUPTURA",IF($J16&lt;=N($F16),"REPOR","OK")))</f>
        <v>0</v>
      </c>
    </row>
    <row r="17" spans="1:11">
      <c r="A17" s="13"/>
      <c r="B17" s="13"/>
      <c r="C17" s="19"/>
      <c r="D17" s="19"/>
      <c r="E17" s="20"/>
      <c r="F17" s="20"/>
      <c r="G17" s="21">
        <f>IF($A17="","",IF($D17&lt;&gt;"",$D17,N($C17)*(1+MarkupPeca)))</f>
        <v>0</v>
      </c>
      <c r="H17" s="22">
        <f>IF($A17="","",SUMIFS(EntQtd,EntCod,$A17))</f>
        <v>0</v>
      </c>
      <c r="I17" s="22">
        <f>IF($A17="","",SUMIFS(ItQtd,ItCod,$A17,ItStatus,"&lt;&gt;Orçamento",ItStatus,"&lt;&gt;Cancelada"))</f>
        <v>0</v>
      </c>
      <c r="J17" s="23">
        <f>IF($A17="","",N($E17)+$H17-$I17)</f>
        <v>0</v>
      </c>
      <c r="K17" s="24">
        <f>IF($A17="","",IF($J17&lt;=0,"RUPTURA",IF($J17&lt;=N($F17),"REPOR","OK")))</f>
        <v>0</v>
      </c>
    </row>
    <row r="18" spans="1:11">
      <c r="A18" s="13"/>
      <c r="B18" s="13"/>
      <c r="C18" s="19"/>
      <c r="D18" s="19"/>
      <c r="E18" s="20"/>
      <c r="F18" s="20"/>
      <c r="G18" s="21">
        <f>IF($A18="","",IF($D18&lt;&gt;"",$D18,N($C18)*(1+MarkupPeca)))</f>
        <v>0</v>
      </c>
      <c r="H18" s="22">
        <f>IF($A18="","",SUMIFS(EntQtd,EntCod,$A18))</f>
        <v>0</v>
      </c>
      <c r="I18" s="22">
        <f>IF($A18="","",SUMIFS(ItQtd,ItCod,$A18,ItStatus,"&lt;&gt;Orçamento",ItStatus,"&lt;&gt;Cancelada"))</f>
        <v>0</v>
      </c>
      <c r="J18" s="23">
        <f>IF($A18="","",N($E18)+$H18-$I18)</f>
        <v>0</v>
      </c>
      <c r="K18" s="24">
        <f>IF($A18="","",IF($J18&lt;=0,"RUPTURA",IF($J18&lt;=N($F18),"REPOR","OK")))</f>
        <v>0</v>
      </c>
    </row>
    <row r="19" spans="1:11">
      <c r="A19" s="13"/>
      <c r="B19" s="13"/>
      <c r="C19" s="19"/>
      <c r="D19" s="19"/>
      <c r="E19" s="20"/>
      <c r="F19" s="20"/>
      <c r="G19" s="21">
        <f>IF($A19="","",IF($D19&lt;&gt;"",$D19,N($C19)*(1+MarkupPeca)))</f>
        <v>0</v>
      </c>
      <c r="H19" s="22">
        <f>IF($A19="","",SUMIFS(EntQtd,EntCod,$A19))</f>
        <v>0</v>
      </c>
      <c r="I19" s="22">
        <f>IF($A19="","",SUMIFS(ItQtd,ItCod,$A19,ItStatus,"&lt;&gt;Orçamento",ItStatus,"&lt;&gt;Cancelada"))</f>
        <v>0</v>
      </c>
      <c r="J19" s="23">
        <f>IF($A19="","",N($E19)+$H19-$I19)</f>
        <v>0</v>
      </c>
      <c r="K19" s="24">
        <f>IF($A19="","",IF($J19&lt;=0,"RUPTURA",IF($J19&lt;=N($F19),"REPOR","OK")))</f>
        <v>0</v>
      </c>
    </row>
    <row r="20" spans="1:11">
      <c r="A20" s="13"/>
      <c r="B20" s="13"/>
      <c r="C20" s="19"/>
      <c r="D20" s="19"/>
      <c r="E20" s="20"/>
      <c r="F20" s="20"/>
      <c r="G20" s="21">
        <f>IF($A20="","",IF($D20&lt;&gt;"",$D20,N($C20)*(1+MarkupPeca)))</f>
        <v>0</v>
      </c>
      <c r="H20" s="22">
        <f>IF($A20="","",SUMIFS(EntQtd,EntCod,$A20))</f>
        <v>0</v>
      </c>
      <c r="I20" s="22">
        <f>IF($A20="","",SUMIFS(ItQtd,ItCod,$A20,ItStatus,"&lt;&gt;Orçamento",ItStatus,"&lt;&gt;Cancelada"))</f>
        <v>0</v>
      </c>
      <c r="J20" s="23">
        <f>IF($A20="","",N($E20)+$H20-$I20)</f>
        <v>0</v>
      </c>
      <c r="K20" s="24">
        <f>IF($A20="","",IF($J20&lt;=0,"RUPTURA",IF($J20&lt;=N($F20),"REPOR","OK")))</f>
        <v>0</v>
      </c>
    </row>
    <row r="21" spans="1:11">
      <c r="A21" s="13"/>
      <c r="B21" s="13"/>
      <c r="C21" s="19"/>
      <c r="D21" s="19"/>
      <c r="E21" s="20"/>
      <c r="F21" s="20"/>
      <c r="G21" s="21">
        <f>IF($A21="","",IF($D21&lt;&gt;"",$D21,N($C21)*(1+MarkupPeca)))</f>
        <v>0</v>
      </c>
      <c r="H21" s="22">
        <f>IF($A21="","",SUMIFS(EntQtd,EntCod,$A21))</f>
        <v>0</v>
      </c>
      <c r="I21" s="22">
        <f>IF($A21="","",SUMIFS(ItQtd,ItCod,$A21,ItStatus,"&lt;&gt;Orçamento",ItStatus,"&lt;&gt;Cancelada"))</f>
        <v>0</v>
      </c>
      <c r="J21" s="23">
        <f>IF($A21="","",N($E21)+$H21-$I21)</f>
        <v>0</v>
      </c>
      <c r="K21" s="24">
        <f>IF($A21="","",IF($J21&lt;=0,"RUPTURA",IF($J21&lt;=N($F21),"REPOR","OK")))</f>
        <v>0</v>
      </c>
    </row>
    <row r="22" spans="1:11">
      <c r="A22" s="13"/>
      <c r="B22" s="13"/>
      <c r="C22" s="19"/>
      <c r="D22" s="19"/>
      <c r="E22" s="20"/>
      <c r="F22" s="20"/>
      <c r="G22" s="21">
        <f>IF($A22="","",IF($D22&lt;&gt;"",$D22,N($C22)*(1+MarkupPeca)))</f>
        <v>0</v>
      </c>
      <c r="H22" s="22">
        <f>IF($A22="","",SUMIFS(EntQtd,EntCod,$A22))</f>
        <v>0</v>
      </c>
      <c r="I22" s="22">
        <f>IF($A22="","",SUMIFS(ItQtd,ItCod,$A22,ItStatus,"&lt;&gt;Orçamento",ItStatus,"&lt;&gt;Cancelada"))</f>
        <v>0</v>
      </c>
      <c r="J22" s="23">
        <f>IF($A22="","",N($E22)+$H22-$I22)</f>
        <v>0</v>
      </c>
      <c r="K22" s="24">
        <f>IF($A22="","",IF($J22&lt;=0,"RUPTURA",IF($J22&lt;=N($F22),"REPOR","OK")))</f>
        <v>0</v>
      </c>
    </row>
    <row r="23" spans="1:11">
      <c r="A23" s="13"/>
      <c r="B23" s="13"/>
      <c r="C23" s="19"/>
      <c r="D23" s="19"/>
      <c r="E23" s="20"/>
      <c r="F23" s="20"/>
      <c r="G23" s="21">
        <f>IF($A23="","",IF($D23&lt;&gt;"",$D23,N($C23)*(1+MarkupPeca)))</f>
        <v>0</v>
      </c>
      <c r="H23" s="22">
        <f>IF($A23="","",SUMIFS(EntQtd,EntCod,$A23))</f>
        <v>0</v>
      </c>
      <c r="I23" s="22">
        <f>IF($A23="","",SUMIFS(ItQtd,ItCod,$A23,ItStatus,"&lt;&gt;Orçamento",ItStatus,"&lt;&gt;Cancelada"))</f>
        <v>0</v>
      </c>
      <c r="J23" s="23">
        <f>IF($A23="","",N($E23)+$H23-$I23)</f>
        <v>0</v>
      </c>
      <c r="K23" s="24">
        <f>IF($A23="","",IF($J23&lt;=0,"RUPTURA",IF($J23&lt;=N($F23),"REPOR","OK")))</f>
        <v>0</v>
      </c>
    </row>
    <row r="24" spans="1:11">
      <c r="A24" s="13"/>
      <c r="B24" s="13"/>
      <c r="C24" s="19"/>
      <c r="D24" s="19"/>
      <c r="E24" s="20"/>
      <c r="F24" s="20"/>
      <c r="G24" s="21">
        <f>IF($A24="","",IF($D24&lt;&gt;"",$D24,N($C24)*(1+MarkupPeca)))</f>
        <v>0</v>
      </c>
      <c r="H24" s="22">
        <f>IF($A24="","",SUMIFS(EntQtd,EntCod,$A24))</f>
        <v>0</v>
      </c>
      <c r="I24" s="22">
        <f>IF($A24="","",SUMIFS(ItQtd,ItCod,$A24,ItStatus,"&lt;&gt;Orçamento",ItStatus,"&lt;&gt;Cancelada"))</f>
        <v>0</v>
      </c>
      <c r="J24" s="23">
        <f>IF($A24="","",N($E24)+$H24-$I24)</f>
        <v>0</v>
      </c>
      <c r="K24" s="24">
        <f>IF($A24="","",IF($J24&lt;=0,"RUPTURA",IF($J24&lt;=N($F24),"REPOR","OK")))</f>
        <v>0</v>
      </c>
    </row>
    <row r="25" spans="1:11">
      <c r="A25" s="13"/>
      <c r="B25" s="13"/>
      <c r="C25" s="19"/>
      <c r="D25" s="19"/>
      <c r="E25" s="20"/>
      <c r="F25" s="20"/>
      <c r="G25" s="21">
        <f>IF($A25="","",IF($D25&lt;&gt;"",$D25,N($C25)*(1+MarkupPeca)))</f>
        <v>0</v>
      </c>
      <c r="H25" s="22">
        <f>IF($A25="","",SUMIFS(EntQtd,EntCod,$A25))</f>
        <v>0</v>
      </c>
      <c r="I25" s="22">
        <f>IF($A25="","",SUMIFS(ItQtd,ItCod,$A25,ItStatus,"&lt;&gt;Orçamento",ItStatus,"&lt;&gt;Cancelada"))</f>
        <v>0</v>
      </c>
      <c r="J25" s="23">
        <f>IF($A25="","",N($E25)+$H25-$I25)</f>
        <v>0</v>
      </c>
      <c r="K25" s="24">
        <f>IF($A25="","",IF($J25&lt;=0,"RUPTURA",IF($J25&lt;=N($F25),"REPOR","OK")))</f>
        <v>0</v>
      </c>
    </row>
    <row r="26" spans="1:11">
      <c r="A26" s="13"/>
      <c r="B26" s="13"/>
      <c r="C26" s="19"/>
      <c r="D26" s="19"/>
      <c r="E26" s="20"/>
      <c r="F26" s="20"/>
      <c r="G26" s="21">
        <f>IF($A26="","",IF($D26&lt;&gt;"",$D26,N($C26)*(1+MarkupPeca)))</f>
        <v>0</v>
      </c>
      <c r="H26" s="22">
        <f>IF($A26="","",SUMIFS(EntQtd,EntCod,$A26))</f>
        <v>0</v>
      </c>
      <c r="I26" s="22">
        <f>IF($A26="","",SUMIFS(ItQtd,ItCod,$A26,ItStatus,"&lt;&gt;Orçamento",ItStatus,"&lt;&gt;Cancelada"))</f>
        <v>0</v>
      </c>
      <c r="J26" s="23">
        <f>IF($A26="","",N($E26)+$H26-$I26)</f>
        <v>0</v>
      </c>
      <c r="K26" s="24">
        <f>IF($A26="","",IF($J26&lt;=0,"RUPTURA",IF($J26&lt;=N($F26),"REPOR","OK")))</f>
        <v>0</v>
      </c>
    </row>
    <row r="27" spans="1:11">
      <c r="A27" s="13"/>
      <c r="B27" s="13"/>
      <c r="C27" s="19"/>
      <c r="D27" s="19"/>
      <c r="E27" s="20"/>
      <c r="F27" s="20"/>
      <c r="G27" s="21">
        <f>IF($A27="","",IF($D27&lt;&gt;"",$D27,N($C27)*(1+MarkupPeca)))</f>
        <v>0</v>
      </c>
      <c r="H27" s="22">
        <f>IF($A27="","",SUMIFS(EntQtd,EntCod,$A27))</f>
        <v>0</v>
      </c>
      <c r="I27" s="22">
        <f>IF($A27="","",SUMIFS(ItQtd,ItCod,$A27,ItStatus,"&lt;&gt;Orçamento",ItStatus,"&lt;&gt;Cancelada"))</f>
        <v>0</v>
      </c>
      <c r="J27" s="23">
        <f>IF($A27="","",N($E27)+$H27-$I27)</f>
        <v>0</v>
      </c>
      <c r="K27" s="24">
        <f>IF($A27="","",IF($J27&lt;=0,"RUPTURA",IF($J27&lt;=N($F27),"REPOR","OK")))</f>
        <v>0</v>
      </c>
    </row>
    <row r="28" spans="1:11">
      <c r="A28" s="13"/>
      <c r="B28" s="13"/>
      <c r="C28" s="19"/>
      <c r="D28" s="19"/>
      <c r="E28" s="20"/>
      <c r="F28" s="20"/>
      <c r="G28" s="21">
        <f>IF($A28="","",IF($D28&lt;&gt;"",$D28,N($C28)*(1+MarkupPeca)))</f>
        <v>0</v>
      </c>
      <c r="H28" s="22">
        <f>IF($A28="","",SUMIFS(EntQtd,EntCod,$A28))</f>
        <v>0</v>
      </c>
      <c r="I28" s="22">
        <f>IF($A28="","",SUMIFS(ItQtd,ItCod,$A28,ItStatus,"&lt;&gt;Orçamento",ItStatus,"&lt;&gt;Cancelada"))</f>
        <v>0</v>
      </c>
      <c r="J28" s="23">
        <f>IF($A28="","",N($E28)+$H28-$I28)</f>
        <v>0</v>
      </c>
      <c r="K28" s="24">
        <f>IF($A28="","",IF($J28&lt;=0,"RUPTURA",IF($J28&lt;=N($F28),"REPOR","OK")))</f>
        <v>0</v>
      </c>
    </row>
    <row r="29" spans="1:11">
      <c r="A29" s="13"/>
      <c r="B29" s="13"/>
      <c r="C29" s="19"/>
      <c r="D29" s="19"/>
      <c r="E29" s="20"/>
      <c r="F29" s="20"/>
      <c r="G29" s="21">
        <f>IF($A29="","",IF($D29&lt;&gt;"",$D29,N($C29)*(1+MarkupPeca)))</f>
        <v>0</v>
      </c>
      <c r="H29" s="22">
        <f>IF($A29="","",SUMIFS(EntQtd,EntCod,$A29))</f>
        <v>0</v>
      </c>
      <c r="I29" s="22">
        <f>IF($A29="","",SUMIFS(ItQtd,ItCod,$A29,ItStatus,"&lt;&gt;Orçamento",ItStatus,"&lt;&gt;Cancelada"))</f>
        <v>0</v>
      </c>
      <c r="J29" s="23">
        <f>IF($A29="","",N($E29)+$H29-$I29)</f>
        <v>0</v>
      </c>
      <c r="K29" s="24">
        <f>IF($A29="","",IF($J29&lt;=0,"RUPTURA",IF($J29&lt;=N($F29),"REPOR","OK")))</f>
        <v>0</v>
      </c>
    </row>
    <row r="30" spans="1:11">
      <c r="A30" s="13"/>
      <c r="B30" s="13"/>
      <c r="C30" s="19"/>
      <c r="D30" s="19"/>
      <c r="E30" s="20"/>
      <c r="F30" s="20"/>
      <c r="G30" s="21">
        <f>IF($A30="","",IF($D30&lt;&gt;"",$D30,N($C30)*(1+MarkupPeca)))</f>
        <v>0</v>
      </c>
      <c r="H30" s="22">
        <f>IF($A30="","",SUMIFS(EntQtd,EntCod,$A30))</f>
        <v>0</v>
      </c>
      <c r="I30" s="22">
        <f>IF($A30="","",SUMIFS(ItQtd,ItCod,$A30,ItStatus,"&lt;&gt;Orçamento",ItStatus,"&lt;&gt;Cancelada"))</f>
        <v>0</v>
      </c>
      <c r="J30" s="23">
        <f>IF($A30="","",N($E30)+$H30-$I30)</f>
        <v>0</v>
      </c>
      <c r="K30" s="24">
        <f>IF($A30="","",IF($J30&lt;=0,"RUPTURA",IF($J30&lt;=N($F30),"REPOR","OK")))</f>
        <v>0</v>
      </c>
    </row>
    <row r="31" spans="1:11">
      <c r="A31" s="13"/>
      <c r="B31" s="13"/>
      <c r="C31" s="19"/>
      <c r="D31" s="19"/>
      <c r="E31" s="20"/>
      <c r="F31" s="20"/>
      <c r="G31" s="21">
        <f>IF($A31="","",IF($D31&lt;&gt;"",$D31,N($C31)*(1+MarkupPeca)))</f>
        <v>0</v>
      </c>
      <c r="H31" s="22">
        <f>IF($A31="","",SUMIFS(EntQtd,EntCod,$A31))</f>
        <v>0</v>
      </c>
      <c r="I31" s="22">
        <f>IF($A31="","",SUMIFS(ItQtd,ItCod,$A31,ItStatus,"&lt;&gt;Orçamento",ItStatus,"&lt;&gt;Cancelada"))</f>
        <v>0</v>
      </c>
      <c r="J31" s="23">
        <f>IF($A31="","",N($E31)+$H31-$I31)</f>
        <v>0</v>
      </c>
      <c r="K31" s="24">
        <f>IF($A31="","",IF($J31&lt;=0,"RUPTURA",IF($J31&lt;=N($F31),"REPOR","OK")))</f>
        <v>0</v>
      </c>
    </row>
    <row r="32" spans="1:11">
      <c r="A32" s="13"/>
      <c r="B32" s="13"/>
      <c r="C32" s="19"/>
      <c r="D32" s="19"/>
      <c r="E32" s="20"/>
      <c r="F32" s="20"/>
      <c r="G32" s="21">
        <f>IF($A32="","",IF($D32&lt;&gt;"",$D32,N($C32)*(1+MarkupPeca)))</f>
        <v>0</v>
      </c>
      <c r="H32" s="22">
        <f>IF($A32="","",SUMIFS(EntQtd,EntCod,$A32))</f>
        <v>0</v>
      </c>
      <c r="I32" s="22">
        <f>IF($A32="","",SUMIFS(ItQtd,ItCod,$A32,ItStatus,"&lt;&gt;Orçamento",ItStatus,"&lt;&gt;Cancelada"))</f>
        <v>0</v>
      </c>
      <c r="J32" s="23">
        <f>IF($A32="","",N($E32)+$H32-$I32)</f>
        <v>0</v>
      </c>
      <c r="K32" s="24">
        <f>IF($A32="","",IF($J32&lt;=0,"RUPTURA",IF($J32&lt;=N($F32),"REPOR","OK")))</f>
        <v>0</v>
      </c>
    </row>
    <row r="33" spans="1:11">
      <c r="A33" s="13"/>
      <c r="B33" s="13"/>
      <c r="C33" s="19"/>
      <c r="D33" s="19"/>
      <c r="E33" s="20"/>
      <c r="F33" s="20"/>
      <c r="G33" s="21">
        <f>IF($A33="","",IF($D33&lt;&gt;"",$D33,N($C33)*(1+MarkupPeca)))</f>
        <v>0</v>
      </c>
      <c r="H33" s="22">
        <f>IF($A33="","",SUMIFS(EntQtd,EntCod,$A33))</f>
        <v>0</v>
      </c>
      <c r="I33" s="22">
        <f>IF($A33="","",SUMIFS(ItQtd,ItCod,$A33,ItStatus,"&lt;&gt;Orçamento",ItStatus,"&lt;&gt;Cancelada"))</f>
        <v>0</v>
      </c>
      <c r="J33" s="23">
        <f>IF($A33="","",N($E33)+$H33-$I33)</f>
        <v>0</v>
      </c>
      <c r="K33" s="24">
        <f>IF($A33="","",IF($J33&lt;=0,"RUPTURA",IF($J33&lt;=N($F33),"REPOR","OK")))</f>
        <v>0</v>
      </c>
    </row>
    <row r="34" spans="1:11">
      <c r="A34" s="13"/>
      <c r="B34" s="13"/>
      <c r="C34" s="19"/>
      <c r="D34" s="19"/>
      <c r="E34" s="20"/>
      <c r="F34" s="20"/>
      <c r="G34" s="21">
        <f>IF($A34="","",IF($D34&lt;&gt;"",$D34,N($C34)*(1+MarkupPeca)))</f>
        <v>0</v>
      </c>
      <c r="H34" s="22">
        <f>IF($A34="","",SUMIFS(EntQtd,EntCod,$A34))</f>
        <v>0</v>
      </c>
      <c r="I34" s="22">
        <f>IF($A34="","",SUMIFS(ItQtd,ItCod,$A34,ItStatus,"&lt;&gt;Orçamento",ItStatus,"&lt;&gt;Cancelada"))</f>
        <v>0</v>
      </c>
      <c r="J34" s="23">
        <f>IF($A34="","",N($E34)+$H34-$I34)</f>
        <v>0</v>
      </c>
      <c r="K34" s="24">
        <f>IF($A34="","",IF($J34&lt;=0,"RUPTURA",IF($J34&lt;=N($F34),"REPOR","OK")))</f>
        <v>0</v>
      </c>
    </row>
    <row r="35" spans="1:11">
      <c r="A35" s="13"/>
      <c r="B35" s="13"/>
      <c r="C35" s="19"/>
      <c r="D35" s="19"/>
      <c r="E35" s="20"/>
      <c r="F35" s="20"/>
      <c r="G35" s="21">
        <f>IF($A35="","",IF($D35&lt;&gt;"",$D35,N($C35)*(1+MarkupPeca)))</f>
        <v>0</v>
      </c>
      <c r="H35" s="22">
        <f>IF($A35="","",SUMIFS(EntQtd,EntCod,$A35))</f>
        <v>0</v>
      </c>
      <c r="I35" s="22">
        <f>IF($A35="","",SUMIFS(ItQtd,ItCod,$A35,ItStatus,"&lt;&gt;Orçamento",ItStatus,"&lt;&gt;Cancelada"))</f>
        <v>0</v>
      </c>
      <c r="J35" s="23">
        <f>IF($A35="","",N($E35)+$H35-$I35)</f>
        <v>0</v>
      </c>
      <c r="K35" s="24">
        <f>IF($A35="","",IF($J35&lt;=0,"RUPTURA",IF($J35&lt;=N($F35),"REPOR","OK")))</f>
        <v>0</v>
      </c>
    </row>
    <row r="36" spans="1:11">
      <c r="A36" s="13"/>
      <c r="B36" s="13"/>
      <c r="C36" s="19"/>
      <c r="D36" s="19"/>
      <c r="E36" s="20"/>
      <c r="F36" s="20"/>
      <c r="G36" s="21">
        <f>IF($A36="","",IF($D36&lt;&gt;"",$D36,N($C36)*(1+MarkupPeca)))</f>
        <v>0</v>
      </c>
      <c r="H36" s="22">
        <f>IF($A36="","",SUMIFS(EntQtd,EntCod,$A36))</f>
        <v>0</v>
      </c>
      <c r="I36" s="22">
        <f>IF($A36="","",SUMIFS(ItQtd,ItCod,$A36,ItStatus,"&lt;&gt;Orçamento",ItStatus,"&lt;&gt;Cancelada"))</f>
        <v>0</v>
      </c>
      <c r="J36" s="23">
        <f>IF($A36="","",N($E36)+$H36-$I36)</f>
        <v>0</v>
      </c>
      <c r="K36" s="24">
        <f>IF($A36="","",IF($J36&lt;=0,"RUPTURA",IF($J36&lt;=N($F36),"REPOR","OK")))</f>
        <v>0</v>
      </c>
    </row>
    <row r="37" spans="1:11">
      <c r="A37" s="13"/>
      <c r="B37" s="13"/>
      <c r="C37" s="19"/>
      <c r="D37" s="19"/>
      <c r="E37" s="20"/>
      <c r="F37" s="20"/>
      <c r="G37" s="21">
        <f>IF($A37="","",IF($D37&lt;&gt;"",$D37,N($C37)*(1+MarkupPeca)))</f>
        <v>0</v>
      </c>
      <c r="H37" s="22">
        <f>IF($A37="","",SUMIFS(EntQtd,EntCod,$A37))</f>
        <v>0</v>
      </c>
      <c r="I37" s="22">
        <f>IF($A37="","",SUMIFS(ItQtd,ItCod,$A37,ItStatus,"&lt;&gt;Orçamento",ItStatus,"&lt;&gt;Cancelada"))</f>
        <v>0</v>
      </c>
      <c r="J37" s="23">
        <f>IF($A37="","",N($E37)+$H37-$I37)</f>
        <v>0</v>
      </c>
      <c r="K37" s="24">
        <f>IF($A37="","",IF($J37&lt;=0,"RUPTURA",IF($J37&lt;=N($F37),"REPOR","OK")))</f>
        <v>0</v>
      </c>
    </row>
    <row r="38" spans="1:11">
      <c r="A38" s="13"/>
      <c r="B38" s="13"/>
      <c r="C38" s="19"/>
      <c r="D38" s="19"/>
      <c r="E38" s="20"/>
      <c r="F38" s="20"/>
      <c r="G38" s="21">
        <f>IF($A38="","",IF($D38&lt;&gt;"",$D38,N($C38)*(1+MarkupPeca)))</f>
        <v>0</v>
      </c>
      <c r="H38" s="22">
        <f>IF($A38="","",SUMIFS(EntQtd,EntCod,$A38))</f>
        <v>0</v>
      </c>
      <c r="I38" s="22">
        <f>IF($A38="","",SUMIFS(ItQtd,ItCod,$A38,ItStatus,"&lt;&gt;Orçamento",ItStatus,"&lt;&gt;Cancelada"))</f>
        <v>0</v>
      </c>
      <c r="J38" s="23">
        <f>IF($A38="","",N($E38)+$H38-$I38)</f>
        <v>0</v>
      </c>
      <c r="K38" s="24">
        <f>IF($A38="","",IF($J38&lt;=0,"RUPTURA",IF($J38&lt;=N($F38),"REPOR","OK")))</f>
        <v>0</v>
      </c>
    </row>
    <row r="39" spans="1:11">
      <c r="A39" s="13"/>
      <c r="B39" s="13"/>
      <c r="C39" s="19"/>
      <c r="D39" s="19"/>
      <c r="E39" s="20"/>
      <c r="F39" s="20"/>
      <c r="G39" s="21">
        <f>IF($A39="","",IF($D39&lt;&gt;"",$D39,N($C39)*(1+MarkupPeca)))</f>
        <v>0</v>
      </c>
      <c r="H39" s="22">
        <f>IF($A39="","",SUMIFS(EntQtd,EntCod,$A39))</f>
        <v>0</v>
      </c>
      <c r="I39" s="22">
        <f>IF($A39="","",SUMIFS(ItQtd,ItCod,$A39,ItStatus,"&lt;&gt;Orçamento",ItStatus,"&lt;&gt;Cancelada"))</f>
        <v>0</v>
      </c>
      <c r="J39" s="23">
        <f>IF($A39="","",N($E39)+$H39-$I39)</f>
        <v>0</v>
      </c>
      <c r="K39" s="24">
        <f>IF($A39="","",IF($J39&lt;=0,"RUPTURA",IF($J39&lt;=N($F39),"REPOR","OK")))</f>
        <v>0</v>
      </c>
    </row>
    <row r="40" spans="1:11">
      <c r="A40" s="13"/>
      <c r="B40" s="13"/>
      <c r="C40" s="19"/>
      <c r="D40" s="19"/>
      <c r="E40" s="20"/>
      <c r="F40" s="20"/>
      <c r="G40" s="21">
        <f>IF($A40="","",IF($D40&lt;&gt;"",$D40,N($C40)*(1+MarkupPeca)))</f>
        <v>0</v>
      </c>
      <c r="H40" s="22">
        <f>IF($A40="","",SUMIFS(EntQtd,EntCod,$A40))</f>
        <v>0</v>
      </c>
      <c r="I40" s="22">
        <f>IF($A40="","",SUMIFS(ItQtd,ItCod,$A40,ItStatus,"&lt;&gt;Orçamento",ItStatus,"&lt;&gt;Cancelada"))</f>
        <v>0</v>
      </c>
      <c r="J40" s="23">
        <f>IF($A40="","",N($E40)+$H40-$I40)</f>
        <v>0</v>
      </c>
      <c r="K40" s="24">
        <f>IF($A40="","",IF($J40&lt;=0,"RUPTURA",IF($J40&lt;=N($F40),"REPOR","OK")))</f>
        <v>0</v>
      </c>
    </row>
    <row r="41" spans="1:11">
      <c r="A41" s="13"/>
      <c r="B41" s="13"/>
      <c r="C41" s="19"/>
      <c r="D41" s="19"/>
      <c r="E41" s="20"/>
      <c r="F41" s="20"/>
      <c r="G41" s="21">
        <f>IF($A41="","",IF($D41&lt;&gt;"",$D41,N($C41)*(1+MarkupPeca)))</f>
        <v>0</v>
      </c>
      <c r="H41" s="22">
        <f>IF($A41="","",SUMIFS(EntQtd,EntCod,$A41))</f>
        <v>0</v>
      </c>
      <c r="I41" s="22">
        <f>IF($A41="","",SUMIFS(ItQtd,ItCod,$A41,ItStatus,"&lt;&gt;Orçamento",ItStatus,"&lt;&gt;Cancelada"))</f>
        <v>0</v>
      </c>
      <c r="J41" s="23">
        <f>IF($A41="","",N($E41)+$H41-$I41)</f>
        <v>0</v>
      </c>
      <c r="K41" s="24">
        <f>IF($A41="","",IF($J41&lt;=0,"RUPTURA",IF($J41&lt;=N($F41),"REPOR","OK")))</f>
        <v>0</v>
      </c>
    </row>
    <row r="42" spans="1:11">
      <c r="A42" s="13"/>
      <c r="B42" s="13"/>
      <c r="C42" s="19"/>
      <c r="D42" s="19"/>
      <c r="E42" s="20"/>
      <c r="F42" s="20"/>
      <c r="G42" s="21">
        <f>IF($A42="","",IF($D42&lt;&gt;"",$D42,N($C42)*(1+MarkupPeca)))</f>
        <v>0</v>
      </c>
      <c r="H42" s="22">
        <f>IF($A42="","",SUMIFS(EntQtd,EntCod,$A42))</f>
        <v>0</v>
      </c>
      <c r="I42" s="22">
        <f>IF($A42="","",SUMIFS(ItQtd,ItCod,$A42,ItStatus,"&lt;&gt;Orçamento",ItStatus,"&lt;&gt;Cancelada"))</f>
        <v>0</v>
      </c>
      <c r="J42" s="23">
        <f>IF($A42="","",N($E42)+$H42-$I42)</f>
        <v>0</v>
      </c>
      <c r="K42" s="24">
        <f>IF($A42="","",IF($J42&lt;=0,"RUPTURA",IF($J42&lt;=N($F42),"REPOR","OK")))</f>
        <v>0</v>
      </c>
    </row>
    <row r="43" spans="1:11">
      <c r="A43" s="13"/>
      <c r="B43" s="13"/>
      <c r="C43" s="19"/>
      <c r="D43" s="19"/>
      <c r="E43" s="20"/>
      <c r="F43" s="20"/>
      <c r="G43" s="21">
        <f>IF($A43="","",IF($D43&lt;&gt;"",$D43,N($C43)*(1+MarkupPeca)))</f>
        <v>0</v>
      </c>
      <c r="H43" s="22">
        <f>IF($A43="","",SUMIFS(EntQtd,EntCod,$A43))</f>
        <v>0</v>
      </c>
      <c r="I43" s="22">
        <f>IF($A43="","",SUMIFS(ItQtd,ItCod,$A43,ItStatus,"&lt;&gt;Orçamento",ItStatus,"&lt;&gt;Cancelada"))</f>
        <v>0</v>
      </c>
      <c r="J43" s="23">
        <f>IF($A43="","",N($E43)+$H43-$I43)</f>
        <v>0</v>
      </c>
      <c r="K43" s="24">
        <f>IF($A43="","",IF($J43&lt;=0,"RUPTURA",IF($J43&lt;=N($F43),"REPOR","OK")))</f>
        <v>0</v>
      </c>
    </row>
    <row r="44" spans="1:11">
      <c r="A44" s="13"/>
      <c r="B44" s="13"/>
      <c r="C44" s="19"/>
      <c r="D44" s="19"/>
      <c r="E44" s="20"/>
      <c r="F44" s="20"/>
      <c r="G44" s="21">
        <f>IF($A44="","",IF($D44&lt;&gt;"",$D44,N($C44)*(1+MarkupPeca)))</f>
        <v>0</v>
      </c>
      <c r="H44" s="22">
        <f>IF($A44="","",SUMIFS(EntQtd,EntCod,$A44))</f>
        <v>0</v>
      </c>
      <c r="I44" s="22">
        <f>IF($A44="","",SUMIFS(ItQtd,ItCod,$A44,ItStatus,"&lt;&gt;Orçamento",ItStatus,"&lt;&gt;Cancelada"))</f>
        <v>0</v>
      </c>
      <c r="J44" s="23">
        <f>IF($A44="","",N($E44)+$H44-$I44)</f>
        <v>0</v>
      </c>
      <c r="K44" s="24">
        <f>IF($A44="","",IF($J44&lt;=0,"RUPTURA",IF($J44&lt;=N($F44),"REPOR","OK")))</f>
        <v>0</v>
      </c>
    </row>
    <row r="45" spans="1:11">
      <c r="A45" s="13"/>
      <c r="B45" s="13"/>
      <c r="C45" s="19"/>
      <c r="D45" s="19"/>
      <c r="E45" s="20"/>
      <c r="F45" s="20"/>
      <c r="G45" s="21">
        <f>IF($A45="","",IF($D45&lt;&gt;"",$D45,N($C45)*(1+MarkupPeca)))</f>
        <v>0</v>
      </c>
      <c r="H45" s="22">
        <f>IF($A45="","",SUMIFS(EntQtd,EntCod,$A45))</f>
        <v>0</v>
      </c>
      <c r="I45" s="22">
        <f>IF($A45="","",SUMIFS(ItQtd,ItCod,$A45,ItStatus,"&lt;&gt;Orçamento",ItStatus,"&lt;&gt;Cancelada"))</f>
        <v>0</v>
      </c>
      <c r="J45" s="23">
        <f>IF($A45="","",N($E45)+$H45-$I45)</f>
        <v>0</v>
      </c>
      <c r="K45" s="24">
        <f>IF($A45="","",IF($J45&lt;=0,"RUPTURA",IF($J45&lt;=N($F45),"REPOR","OK")))</f>
        <v>0</v>
      </c>
    </row>
    <row r="46" spans="1:11">
      <c r="A46" s="13"/>
      <c r="B46" s="13"/>
      <c r="C46" s="19"/>
      <c r="D46" s="19"/>
      <c r="E46" s="20"/>
      <c r="F46" s="20"/>
      <c r="G46" s="21">
        <f>IF($A46="","",IF($D46&lt;&gt;"",$D46,N($C46)*(1+MarkupPeca)))</f>
        <v>0</v>
      </c>
      <c r="H46" s="22">
        <f>IF($A46="","",SUMIFS(EntQtd,EntCod,$A46))</f>
        <v>0</v>
      </c>
      <c r="I46" s="22">
        <f>IF($A46="","",SUMIFS(ItQtd,ItCod,$A46,ItStatus,"&lt;&gt;Orçamento",ItStatus,"&lt;&gt;Cancelada"))</f>
        <v>0</v>
      </c>
      <c r="J46" s="23">
        <f>IF($A46="","",N($E46)+$H46-$I46)</f>
        <v>0</v>
      </c>
      <c r="K46" s="24">
        <f>IF($A46="","",IF($J46&lt;=0,"RUPTURA",IF($J46&lt;=N($F46),"REPOR","OK")))</f>
        <v>0</v>
      </c>
    </row>
    <row r="47" spans="1:11">
      <c r="A47" s="13"/>
      <c r="B47" s="13"/>
      <c r="C47" s="19"/>
      <c r="D47" s="19"/>
      <c r="E47" s="20"/>
      <c r="F47" s="20"/>
      <c r="G47" s="21">
        <f>IF($A47="","",IF($D47&lt;&gt;"",$D47,N($C47)*(1+MarkupPeca)))</f>
        <v>0</v>
      </c>
      <c r="H47" s="22">
        <f>IF($A47="","",SUMIFS(EntQtd,EntCod,$A47))</f>
        <v>0</v>
      </c>
      <c r="I47" s="22">
        <f>IF($A47="","",SUMIFS(ItQtd,ItCod,$A47,ItStatus,"&lt;&gt;Orçamento",ItStatus,"&lt;&gt;Cancelada"))</f>
        <v>0</v>
      </c>
      <c r="J47" s="23">
        <f>IF($A47="","",N($E47)+$H47-$I47)</f>
        <v>0</v>
      </c>
      <c r="K47" s="24">
        <f>IF($A47="","",IF($J47&lt;=0,"RUPTURA",IF($J47&lt;=N($F47),"REPOR","OK")))</f>
        <v>0</v>
      </c>
    </row>
    <row r="48" spans="1:11">
      <c r="A48" s="13"/>
      <c r="B48" s="13"/>
      <c r="C48" s="19"/>
      <c r="D48" s="19"/>
      <c r="E48" s="20"/>
      <c r="F48" s="20"/>
      <c r="G48" s="21">
        <f>IF($A48="","",IF($D48&lt;&gt;"",$D48,N($C48)*(1+MarkupPeca)))</f>
        <v>0</v>
      </c>
      <c r="H48" s="22">
        <f>IF($A48="","",SUMIFS(EntQtd,EntCod,$A48))</f>
        <v>0</v>
      </c>
      <c r="I48" s="22">
        <f>IF($A48="","",SUMIFS(ItQtd,ItCod,$A48,ItStatus,"&lt;&gt;Orçamento",ItStatus,"&lt;&gt;Cancelada"))</f>
        <v>0</v>
      </c>
      <c r="J48" s="23">
        <f>IF($A48="","",N($E48)+$H48-$I48)</f>
        <v>0</v>
      </c>
      <c r="K48" s="24">
        <f>IF($A48="","",IF($J48&lt;=0,"RUPTURA",IF($J48&lt;=N($F48),"REPOR","OK")))</f>
        <v>0</v>
      </c>
    </row>
    <row r="49" spans="1:11">
      <c r="A49" s="13"/>
      <c r="B49" s="13"/>
      <c r="C49" s="19"/>
      <c r="D49" s="19"/>
      <c r="E49" s="20"/>
      <c r="F49" s="20"/>
      <c r="G49" s="21">
        <f>IF($A49="","",IF($D49&lt;&gt;"",$D49,N($C49)*(1+MarkupPeca)))</f>
        <v>0</v>
      </c>
      <c r="H49" s="22">
        <f>IF($A49="","",SUMIFS(EntQtd,EntCod,$A49))</f>
        <v>0</v>
      </c>
      <c r="I49" s="22">
        <f>IF($A49="","",SUMIFS(ItQtd,ItCod,$A49,ItStatus,"&lt;&gt;Orçamento",ItStatus,"&lt;&gt;Cancelada"))</f>
        <v>0</v>
      </c>
      <c r="J49" s="23">
        <f>IF($A49="","",N($E49)+$H49-$I49)</f>
        <v>0</v>
      </c>
      <c r="K49" s="24">
        <f>IF($A49="","",IF($J49&lt;=0,"RUPTURA",IF($J49&lt;=N($F49),"REPOR","OK")))</f>
        <v>0</v>
      </c>
    </row>
    <row r="50" spans="1:11">
      <c r="A50" s="13"/>
      <c r="B50" s="13"/>
      <c r="C50" s="19"/>
      <c r="D50" s="19"/>
      <c r="E50" s="20"/>
      <c r="F50" s="20"/>
      <c r="G50" s="21">
        <f>IF($A50="","",IF($D50&lt;&gt;"",$D50,N($C50)*(1+MarkupPeca)))</f>
        <v>0</v>
      </c>
      <c r="H50" s="22">
        <f>IF($A50="","",SUMIFS(EntQtd,EntCod,$A50))</f>
        <v>0</v>
      </c>
      <c r="I50" s="22">
        <f>IF($A50="","",SUMIFS(ItQtd,ItCod,$A50,ItStatus,"&lt;&gt;Orçamento",ItStatus,"&lt;&gt;Cancelada"))</f>
        <v>0</v>
      </c>
      <c r="J50" s="23">
        <f>IF($A50="","",N($E50)+$H50-$I50)</f>
        <v>0</v>
      </c>
      <c r="K50" s="24">
        <f>IF($A50="","",IF($J50&lt;=0,"RUPTURA",IF($J50&lt;=N($F50),"REPOR","OK")))</f>
        <v>0</v>
      </c>
    </row>
    <row r="51" spans="1:11">
      <c r="A51" s="13"/>
      <c r="B51" s="13"/>
      <c r="C51" s="19"/>
      <c r="D51" s="19"/>
      <c r="E51" s="20"/>
      <c r="F51" s="20"/>
      <c r="G51" s="21">
        <f>IF($A51="","",IF($D51&lt;&gt;"",$D51,N($C51)*(1+MarkupPeca)))</f>
        <v>0</v>
      </c>
      <c r="H51" s="22">
        <f>IF($A51="","",SUMIFS(EntQtd,EntCod,$A51))</f>
        <v>0</v>
      </c>
      <c r="I51" s="22">
        <f>IF($A51="","",SUMIFS(ItQtd,ItCod,$A51,ItStatus,"&lt;&gt;Orçamento",ItStatus,"&lt;&gt;Cancelada"))</f>
        <v>0</v>
      </c>
      <c r="J51" s="23">
        <f>IF($A51="","",N($E51)+$H51-$I51)</f>
        <v>0</v>
      </c>
      <c r="K51" s="24">
        <f>IF($A51="","",IF($J51&lt;=0,"RUPTURA",IF($J51&lt;=N($F51),"REPOR","OK")))</f>
        <v>0</v>
      </c>
    </row>
    <row r="52" spans="1:11">
      <c r="A52" s="13"/>
      <c r="B52" s="13"/>
      <c r="C52" s="19"/>
      <c r="D52" s="19"/>
      <c r="E52" s="20"/>
      <c r="F52" s="20"/>
      <c r="G52" s="21">
        <f>IF($A52="","",IF($D52&lt;&gt;"",$D52,N($C52)*(1+MarkupPeca)))</f>
        <v>0</v>
      </c>
      <c r="H52" s="22">
        <f>IF($A52="","",SUMIFS(EntQtd,EntCod,$A52))</f>
        <v>0</v>
      </c>
      <c r="I52" s="22">
        <f>IF($A52="","",SUMIFS(ItQtd,ItCod,$A52,ItStatus,"&lt;&gt;Orçamento",ItStatus,"&lt;&gt;Cancelada"))</f>
        <v>0</v>
      </c>
      <c r="J52" s="23">
        <f>IF($A52="","",N($E52)+$H52-$I52)</f>
        <v>0</v>
      </c>
      <c r="K52" s="24">
        <f>IF($A52="","",IF($J52&lt;=0,"RUPTURA",IF($J52&lt;=N($F52),"REPOR","OK")))</f>
        <v>0</v>
      </c>
    </row>
    <row r="53" spans="1:11">
      <c r="A53" s="13"/>
      <c r="B53" s="13"/>
      <c r="C53" s="19"/>
      <c r="D53" s="19"/>
      <c r="E53" s="20"/>
      <c r="F53" s="20"/>
      <c r="G53" s="21">
        <f>IF($A53="","",IF($D53&lt;&gt;"",$D53,N($C53)*(1+MarkupPeca)))</f>
        <v>0</v>
      </c>
      <c r="H53" s="22">
        <f>IF($A53="","",SUMIFS(EntQtd,EntCod,$A53))</f>
        <v>0</v>
      </c>
      <c r="I53" s="22">
        <f>IF($A53="","",SUMIFS(ItQtd,ItCod,$A53,ItStatus,"&lt;&gt;Orçamento",ItStatus,"&lt;&gt;Cancelada"))</f>
        <v>0</v>
      </c>
      <c r="J53" s="23">
        <f>IF($A53="","",N($E53)+$H53-$I53)</f>
        <v>0</v>
      </c>
      <c r="K53" s="24">
        <f>IF($A53="","",IF($J53&lt;=0,"RUPTURA",IF($J53&lt;=N($F53),"REPOR","OK")))</f>
        <v>0</v>
      </c>
    </row>
    <row r="54" spans="1:11">
      <c r="A54" s="13"/>
      <c r="B54" s="13"/>
      <c r="C54" s="19"/>
      <c r="D54" s="19"/>
      <c r="E54" s="20"/>
      <c r="F54" s="20"/>
      <c r="G54" s="21">
        <f>IF($A54="","",IF($D54&lt;&gt;"",$D54,N($C54)*(1+MarkupPeca)))</f>
        <v>0</v>
      </c>
      <c r="H54" s="22">
        <f>IF($A54="","",SUMIFS(EntQtd,EntCod,$A54))</f>
        <v>0</v>
      </c>
      <c r="I54" s="22">
        <f>IF($A54="","",SUMIFS(ItQtd,ItCod,$A54,ItStatus,"&lt;&gt;Orçamento",ItStatus,"&lt;&gt;Cancelada"))</f>
        <v>0</v>
      </c>
      <c r="J54" s="23">
        <f>IF($A54="","",N($E54)+$H54-$I54)</f>
        <v>0</v>
      </c>
      <c r="K54" s="24">
        <f>IF($A54="","",IF($J54&lt;=0,"RUPTURA",IF($J54&lt;=N($F54),"REPOR","OK")))</f>
        <v>0</v>
      </c>
    </row>
    <row r="55" spans="1:11">
      <c r="A55" s="13"/>
      <c r="B55" s="13"/>
      <c r="C55" s="19"/>
      <c r="D55" s="19"/>
      <c r="E55" s="20"/>
      <c r="F55" s="20"/>
      <c r="G55" s="21">
        <f>IF($A55="","",IF($D55&lt;&gt;"",$D55,N($C55)*(1+MarkupPeca)))</f>
        <v>0</v>
      </c>
      <c r="H55" s="22">
        <f>IF($A55="","",SUMIFS(EntQtd,EntCod,$A55))</f>
        <v>0</v>
      </c>
      <c r="I55" s="22">
        <f>IF($A55="","",SUMIFS(ItQtd,ItCod,$A55,ItStatus,"&lt;&gt;Orçamento",ItStatus,"&lt;&gt;Cancelada"))</f>
        <v>0</v>
      </c>
      <c r="J55" s="23">
        <f>IF($A55="","",N($E55)+$H55-$I55)</f>
        <v>0</v>
      </c>
      <c r="K55" s="24">
        <f>IF($A55="","",IF($J55&lt;=0,"RUPTURA",IF($J55&lt;=N($F55),"REPOR","OK")))</f>
        <v>0</v>
      </c>
    </row>
    <row r="56" spans="1:11">
      <c r="A56" s="13"/>
      <c r="B56" s="13"/>
      <c r="C56" s="19"/>
      <c r="D56" s="19"/>
      <c r="E56" s="20"/>
      <c r="F56" s="20"/>
      <c r="G56" s="21">
        <f>IF($A56="","",IF($D56&lt;&gt;"",$D56,N($C56)*(1+MarkupPeca)))</f>
        <v>0</v>
      </c>
      <c r="H56" s="22">
        <f>IF($A56="","",SUMIFS(EntQtd,EntCod,$A56))</f>
        <v>0</v>
      </c>
      <c r="I56" s="22">
        <f>IF($A56="","",SUMIFS(ItQtd,ItCod,$A56,ItStatus,"&lt;&gt;Orçamento",ItStatus,"&lt;&gt;Cancelada"))</f>
        <v>0</v>
      </c>
      <c r="J56" s="23">
        <f>IF($A56="","",N($E56)+$H56-$I56)</f>
        <v>0</v>
      </c>
      <c r="K56" s="24">
        <f>IF($A56="","",IF($J56&lt;=0,"RUPTURA",IF($J56&lt;=N($F56),"REPOR","OK")))</f>
        <v>0</v>
      </c>
    </row>
    <row r="57" spans="1:11">
      <c r="A57" s="13"/>
      <c r="B57" s="13"/>
      <c r="C57" s="19"/>
      <c r="D57" s="19"/>
      <c r="E57" s="20"/>
      <c r="F57" s="20"/>
      <c r="G57" s="21">
        <f>IF($A57="","",IF($D57&lt;&gt;"",$D57,N($C57)*(1+MarkupPeca)))</f>
        <v>0</v>
      </c>
      <c r="H57" s="22">
        <f>IF($A57="","",SUMIFS(EntQtd,EntCod,$A57))</f>
        <v>0</v>
      </c>
      <c r="I57" s="22">
        <f>IF($A57="","",SUMIFS(ItQtd,ItCod,$A57,ItStatus,"&lt;&gt;Orçamento",ItStatus,"&lt;&gt;Cancelada"))</f>
        <v>0</v>
      </c>
      <c r="J57" s="23">
        <f>IF($A57="","",N($E57)+$H57-$I57)</f>
        <v>0</v>
      </c>
      <c r="K57" s="24">
        <f>IF($A57="","",IF($J57&lt;=0,"RUPTURA",IF($J57&lt;=N($F57),"REPOR","OK")))</f>
        <v>0</v>
      </c>
    </row>
    <row r="58" spans="1:11">
      <c r="A58" s="13"/>
      <c r="B58" s="13"/>
      <c r="C58" s="19"/>
      <c r="D58" s="19"/>
      <c r="E58" s="20"/>
      <c r="F58" s="20"/>
      <c r="G58" s="21">
        <f>IF($A58="","",IF($D58&lt;&gt;"",$D58,N($C58)*(1+MarkupPeca)))</f>
        <v>0</v>
      </c>
      <c r="H58" s="22">
        <f>IF($A58="","",SUMIFS(EntQtd,EntCod,$A58))</f>
        <v>0</v>
      </c>
      <c r="I58" s="22">
        <f>IF($A58="","",SUMIFS(ItQtd,ItCod,$A58,ItStatus,"&lt;&gt;Orçamento",ItStatus,"&lt;&gt;Cancelada"))</f>
        <v>0</v>
      </c>
      <c r="J58" s="23">
        <f>IF($A58="","",N($E58)+$H58-$I58)</f>
        <v>0</v>
      </c>
      <c r="K58" s="24">
        <f>IF($A58="","",IF($J58&lt;=0,"RUPTURA",IF($J58&lt;=N($F58),"REPOR","OK")))</f>
        <v>0</v>
      </c>
    </row>
    <row r="59" spans="1:11">
      <c r="A59" s="13"/>
      <c r="B59" s="13"/>
      <c r="C59" s="19"/>
      <c r="D59" s="19"/>
      <c r="E59" s="20"/>
      <c r="F59" s="20"/>
      <c r="G59" s="21">
        <f>IF($A59="","",IF($D59&lt;&gt;"",$D59,N($C59)*(1+MarkupPeca)))</f>
        <v>0</v>
      </c>
      <c r="H59" s="22">
        <f>IF($A59="","",SUMIFS(EntQtd,EntCod,$A59))</f>
        <v>0</v>
      </c>
      <c r="I59" s="22">
        <f>IF($A59="","",SUMIFS(ItQtd,ItCod,$A59,ItStatus,"&lt;&gt;Orçamento",ItStatus,"&lt;&gt;Cancelada"))</f>
        <v>0</v>
      </c>
      <c r="J59" s="23">
        <f>IF($A59="","",N($E59)+$H59-$I59)</f>
        <v>0</v>
      </c>
      <c r="K59" s="24">
        <f>IF($A59="","",IF($J59&lt;=0,"RUPTURA",IF($J59&lt;=N($F59),"REPOR","OK")))</f>
        <v>0</v>
      </c>
    </row>
    <row r="60" spans="1:11">
      <c r="A60" s="13"/>
      <c r="B60" s="13"/>
      <c r="C60" s="19"/>
      <c r="D60" s="19"/>
      <c r="E60" s="20"/>
      <c r="F60" s="20"/>
      <c r="G60" s="21">
        <f>IF($A60="","",IF($D60&lt;&gt;"",$D60,N($C60)*(1+MarkupPeca)))</f>
        <v>0</v>
      </c>
      <c r="H60" s="22">
        <f>IF($A60="","",SUMIFS(EntQtd,EntCod,$A60))</f>
        <v>0</v>
      </c>
      <c r="I60" s="22">
        <f>IF($A60="","",SUMIFS(ItQtd,ItCod,$A60,ItStatus,"&lt;&gt;Orçamento",ItStatus,"&lt;&gt;Cancelada"))</f>
        <v>0</v>
      </c>
      <c r="J60" s="23">
        <f>IF($A60="","",N($E60)+$H60-$I60)</f>
        <v>0</v>
      </c>
      <c r="K60" s="24">
        <f>IF($A60="","",IF($J60&lt;=0,"RUPTURA",IF($J60&lt;=N($F60),"REPOR","OK")))</f>
        <v>0</v>
      </c>
    </row>
    <row r="61" spans="1:11">
      <c r="A61" s="13"/>
      <c r="B61" s="13"/>
      <c r="C61" s="19"/>
      <c r="D61" s="19"/>
      <c r="E61" s="20"/>
      <c r="F61" s="20"/>
      <c r="G61" s="21">
        <f>IF($A61="","",IF($D61&lt;&gt;"",$D61,N($C61)*(1+MarkupPeca)))</f>
        <v>0</v>
      </c>
      <c r="H61" s="22">
        <f>IF($A61="","",SUMIFS(EntQtd,EntCod,$A61))</f>
        <v>0</v>
      </c>
      <c r="I61" s="22">
        <f>IF($A61="","",SUMIFS(ItQtd,ItCod,$A61,ItStatus,"&lt;&gt;Orçamento",ItStatus,"&lt;&gt;Cancelada"))</f>
        <v>0</v>
      </c>
      <c r="J61" s="23">
        <f>IF($A61="","",N($E61)+$H61-$I61)</f>
        <v>0</v>
      </c>
      <c r="K61" s="24">
        <f>IF($A61="","",IF($J61&lt;=0,"RUPTURA",IF($J61&lt;=N($F61),"REPOR","OK")))</f>
        <v>0</v>
      </c>
    </row>
    <row r="62" spans="1:11">
      <c r="A62" s="13"/>
      <c r="B62" s="13"/>
      <c r="C62" s="19"/>
      <c r="D62" s="19"/>
      <c r="E62" s="20"/>
      <c r="F62" s="20"/>
      <c r="G62" s="21">
        <f>IF($A62="","",IF($D62&lt;&gt;"",$D62,N($C62)*(1+MarkupPeca)))</f>
        <v>0</v>
      </c>
      <c r="H62" s="22">
        <f>IF($A62="","",SUMIFS(EntQtd,EntCod,$A62))</f>
        <v>0</v>
      </c>
      <c r="I62" s="22">
        <f>IF($A62="","",SUMIFS(ItQtd,ItCod,$A62,ItStatus,"&lt;&gt;Orçamento",ItStatus,"&lt;&gt;Cancelada"))</f>
        <v>0</v>
      </c>
      <c r="J62" s="23">
        <f>IF($A62="","",N($E62)+$H62-$I62)</f>
        <v>0</v>
      </c>
      <c r="K62" s="24">
        <f>IF($A62="","",IF($J62&lt;=0,"RUPTURA",IF($J62&lt;=N($F62),"REPOR","OK")))</f>
        <v>0</v>
      </c>
    </row>
    <row r="63" spans="1:11">
      <c r="A63" s="13"/>
      <c r="B63" s="13"/>
      <c r="C63" s="19"/>
      <c r="D63" s="19"/>
      <c r="E63" s="20"/>
      <c r="F63" s="20"/>
      <c r="G63" s="21">
        <f>IF($A63="","",IF($D63&lt;&gt;"",$D63,N($C63)*(1+MarkupPeca)))</f>
        <v>0</v>
      </c>
      <c r="H63" s="22">
        <f>IF($A63="","",SUMIFS(EntQtd,EntCod,$A63))</f>
        <v>0</v>
      </c>
      <c r="I63" s="22">
        <f>IF($A63="","",SUMIFS(ItQtd,ItCod,$A63,ItStatus,"&lt;&gt;Orçamento",ItStatus,"&lt;&gt;Cancelada"))</f>
        <v>0</v>
      </c>
      <c r="J63" s="23">
        <f>IF($A63="","",N($E63)+$H63-$I63)</f>
        <v>0</v>
      </c>
      <c r="K63" s="24">
        <f>IF($A63="","",IF($J63&lt;=0,"RUPTURA",IF($J63&lt;=N($F63),"REPOR","OK")))</f>
        <v>0</v>
      </c>
    </row>
    <row r="64" spans="1:11">
      <c r="A64" s="13"/>
      <c r="B64" s="13"/>
      <c r="C64" s="19"/>
      <c r="D64" s="19"/>
      <c r="E64" s="20"/>
      <c r="F64" s="20"/>
      <c r="G64" s="21">
        <f>IF($A64="","",IF($D64&lt;&gt;"",$D64,N($C64)*(1+MarkupPeca)))</f>
        <v>0</v>
      </c>
      <c r="H64" s="22">
        <f>IF($A64="","",SUMIFS(EntQtd,EntCod,$A64))</f>
        <v>0</v>
      </c>
      <c r="I64" s="22">
        <f>IF($A64="","",SUMIFS(ItQtd,ItCod,$A64,ItStatus,"&lt;&gt;Orçamento",ItStatus,"&lt;&gt;Cancelada"))</f>
        <v>0</v>
      </c>
      <c r="J64" s="23">
        <f>IF($A64="","",N($E64)+$H64-$I64)</f>
        <v>0</v>
      </c>
      <c r="K64" s="24">
        <f>IF($A64="","",IF($J64&lt;=0,"RUPTURA",IF($J64&lt;=N($F64),"REPOR","OK")))</f>
        <v>0</v>
      </c>
    </row>
    <row r="65" spans="1:11">
      <c r="A65" s="13"/>
      <c r="B65" s="13"/>
      <c r="C65" s="19"/>
      <c r="D65" s="19"/>
      <c r="E65" s="20"/>
      <c r="F65" s="20"/>
      <c r="G65" s="21">
        <f>IF($A65="","",IF($D65&lt;&gt;"",$D65,N($C65)*(1+MarkupPeca)))</f>
        <v>0</v>
      </c>
      <c r="H65" s="22">
        <f>IF($A65="","",SUMIFS(EntQtd,EntCod,$A65))</f>
        <v>0</v>
      </c>
      <c r="I65" s="22">
        <f>IF($A65="","",SUMIFS(ItQtd,ItCod,$A65,ItStatus,"&lt;&gt;Orçamento",ItStatus,"&lt;&gt;Cancelada"))</f>
        <v>0</v>
      </c>
      <c r="J65" s="23">
        <f>IF($A65="","",N($E65)+$H65-$I65)</f>
        <v>0</v>
      </c>
      <c r="K65" s="24">
        <f>IF($A65="","",IF($J65&lt;=0,"RUPTURA",IF($J65&lt;=N($F65),"REPOR","OK")))</f>
        <v>0</v>
      </c>
    </row>
    <row r="66" spans="1:11">
      <c r="A66" s="13"/>
      <c r="B66" s="13"/>
      <c r="C66" s="19"/>
      <c r="D66" s="19"/>
      <c r="E66" s="20"/>
      <c r="F66" s="20"/>
      <c r="G66" s="21">
        <f>IF($A66="","",IF($D66&lt;&gt;"",$D66,N($C66)*(1+MarkupPeca)))</f>
        <v>0</v>
      </c>
      <c r="H66" s="22">
        <f>IF($A66="","",SUMIFS(EntQtd,EntCod,$A66))</f>
        <v>0</v>
      </c>
      <c r="I66" s="22">
        <f>IF($A66="","",SUMIFS(ItQtd,ItCod,$A66,ItStatus,"&lt;&gt;Orçamento",ItStatus,"&lt;&gt;Cancelada"))</f>
        <v>0</v>
      </c>
      <c r="J66" s="23">
        <f>IF($A66="","",N($E66)+$H66-$I66)</f>
        <v>0</v>
      </c>
      <c r="K66" s="24">
        <f>IF($A66="","",IF($J66&lt;=0,"RUPTURA",IF($J66&lt;=N($F66),"REPOR","OK")))</f>
        <v>0</v>
      </c>
    </row>
    <row r="67" spans="1:11">
      <c r="A67" s="13"/>
      <c r="B67" s="13"/>
      <c r="C67" s="19"/>
      <c r="D67" s="19"/>
      <c r="E67" s="20"/>
      <c r="F67" s="20"/>
      <c r="G67" s="21">
        <f>IF($A67="","",IF($D67&lt;&gt;"",$D67,N($C67)*(1+MarkupPeca)))</f>
        <v>0</v>
      </c>
      <c r="H67" s="22">
        <f>IF($A67="","",SUMIFS(EntQtd,EntCod,$A67))</f>
        <v>0</v>
      </c>
      <c r="I67" s="22">
        <f>IF($A67="","",SUMIFS(ItQtd,ItCod,$A67,ItStatus,"&lt;&gt;Orçamento",ItStatus,"&lt;&gt;Cancelada"))</f>
        <v>0</v>
      </c>
      <c r="J67" s="23">
        <f>IF($A67="","",N($E67)+$H67-$I67)</f>
        <v>0</v>
      </c>
      <c r="K67" s="24">
        <f>IF($A67="","",IF($J67&lt;=0,"RUPTURA",IF($J67&lt;=N($F67),"REPOR","OK")))</f>
        <v>0</v>
      </c>
    </row>
    <row r="68" spans="1:11">
      <c r="A68" s="13"/>
      <c r="B68" s="13"/>
      <c r="C68" s="19"/>
      <c r="D68" s="19"/>
      <c r="E68" s="20"/>
      <c r="F68" s="20"/>
      <c r="G68" s="21">
        <f>IF($A68="","",IF($D68&lt;&gt;"",$D68,N($C68)*(1+MarkupPeca)))</f>
        <v>0</v>
      </c>
      <c r="H68" s="22">
        <f>IF($A68="","",SUMIFS(EntQtd,EntCod,$A68))</f>
        <v>0</v>
      </c>
      <c r="I68" s="22">
        <f>IF($A68="","",SUMIFS(ItQtd,ItCod,$A68,ItStatus,"&lt;&gt;Orçamento",ItStatus,"&lt;&gt;Cancelada"))</f>
        <v>0</v>
      </c>
      <c r="J68" s="23">
        <f>IF($A68="","",N($E68)+$H68-$I68)</f>
        <v>0</v>
      </c>
      <c r="K68" s="24">
        <f>IF($A68="","",IF($J68&lt;=0,"RUPTURA",IF($J68&lt;=N($F68),"REPOR","OK")))</f>
        <v>0</v>
      </c>
    </row>
    <row r="69" spans="1:11">
      <c r="A69" s="13"/>
      <c r="B69" s="13"/>
      <c r="C69" s="19"/>
      <c r="D69" s="19"/>
      <c r="E69" s="20"/>
      <c r="F69" s="20"/>
      <c r="G69" s="21">
        <f>IF($A69="","",IF($D69&lt;&gt;"",$D69,N($C69)*(1+MarkupPeca)))</f>
        <v>0</v>
      </c>
      <c r="H69" s="22">
        <f>IF($A69="","",SUMIFS(EntQtd,EntCod,$A69))</f>
        <v>0</v>
      </c>
      <c r="I69" s="22">
        <f>IF($A69="","",SUMIFS(ItQtd,ItCod,$A69,ItStatus,"&lt;&gt;Orçamento",ItStatus,"&lt;&gt;Cancelada"))</f>
        <v>0</v>
      </c>
      <c r="J69" s="23">
        <f>IF($A69="","",N($E69)+$H69-$I69)</f>
        <v>0</v>
      </c>
      <c r="K69" s="24">
        <f>IF($A69="","",IF($J69&lt;=0,"RUPTURA",IF($J69&lt;=N($F69),"REPOR","OK")))</f>
        <v>0</v>
      </c>
    </row>
    <row r="70" spans="1:11">
      <c r="A70" s="13"/>
      <c r="B70" s="13"/>
      <c r="C70" s="19"/>
      <c r="D70" s="19"/>
      <c r="E70" s="20"/>
      <c r="F70" s="20"/>
      <c r="G70" s="21">
        <f>IF($A70="","",IF($D70&lt;&gt;"",$D70,N($C70)*(1+MarkupPeca)))</f>
        <v>0</v>
      </c>
      <c r="H70" s="22">
        <f>IF($A70="","",SUMIFS(EntQtd,EntCod,$A70))</f>
        <v>0</v>
      </c>
      <c r="I70" s="22">
        <f>IF($A70="","",SUMIFS(ItQtd,ItCod,$A70,ItStatus,"&lt;&gt;Orçamento",ItStatus,"&lt;&gt;Cancelada"))</f>
        <v>0</v>
      </c>
      <c r="J70" s="23">
        <f>IF($A70="","",N($E70)+$H70-$I70)</f>
        <v>0</v>
      </c>
      <c r="K70" s="24">
        <f>IF($A70="","",IF($J70&lt;=0,"RUPTURA",IF($J70&lt;=N($F70),"REPOR","OK")))</f>
        <v>0</v>
      </c>
    </row>
    <row r="71" spans="1:11">
      <c r="A71" s="13"/>
      <c r="B71" s="13"/>
      <c r="C71" s="19"/>
      <c r="D71" s="19"/>
      <c r="E71" s="20"/>
      <c r="F71" s="20"/>
      <c r="G71" s="21">
        <f>IF($A71="","",IF($D71&lt;&gt;"",$D71,N($C71)*(1+MarkupPeca)))</f>
        <v>0</v>
      </c>
      <c r="H71" s="22">
        <f>IF($A71="","",SUMIFS(EntQtd,EntCod,$A71))</f>
        <v>0</v>
      </c>
      <c r="I71" s="22">
        <f>IF($A71="","",SUMIFS(ItQtd,ItCod,$A71,ItStatus,"&lt;&gt;Orçamento",ItStatus,"&lt;&gt;Cancelada"))</f>
        <v>0</v>
      </c>
      <c r="J71" s="23">
        <f>IF($A71="","",N($E71)+$H71-$I71)</f>
        <v>0</v>
      </c>
      <c r="K71" s="24">
        <f>IF($A71="","",IF($J71&lt;=0,"RUPTURA",IF($J71&lt;=N($F71),"REPOR","OK")))</f>
        <v>0</v>
      </c>
    </row>
    <row r="72" spans="1:11">
      <c r="A72" s="13"/>
      <c r="B72" s="13"/>
      <c r="C72" s="19"/>
      <c r="D72" s="19"/>
      <c r="E72" s="20"/>
      <c r="F72" s="20"/>
      <c r="G72" s="21">
        <f>IF($A72="","",IF($D72&lt;&gt;"",$D72,N($C72)*(1+MarkupPeca)))</f>
        <v>0</v>
      </c>
      <c r="H72" s="22">
        <f>IF($A72="","",SUMIFS(EntQtd,EntCod,$A72))</f>
        <v>0</v>
      </c>
      <c r="I72" s="22">
        <f>IF($A72="","",SUMIFS(ItQtd,ItCod,$A72,ItStatus,"&lt;&gt;Orçamento",ItStatus,"&lt;&gt;Cancelada"))</f>
        <v>0</v>
      </c>
      <c r="J72" s="23">
        <f>IF($A72="","",N($E72)+$H72-$I72)</f>
        <v>0</v>
      </c>
      <c r="K72" s="24">
        <f>IF($A72="","",IF($J72&lt;=0,"RUPTURA",IF($J72&lt;=N($F72),"REPOR","OK")))</f>
        <v>0</v>
      </c>
    </row>
    <row r="73" spans="1:11">
      <c r="A73" s="13"/>
      <c r="B73" s="13"/>
      <c r="C73" s="19"/>
      <c r="D73" s="19"/>
      <c r="E73" s="20"/>
      <c r="F73" s="20"/>
      <c r="G73" s="21">
        <f>IF($A73="","",IF($D73&lt;&gt;"",$D73,N($C73)*(1+MarkupPeca)))</f>
        <v>0</v>
      </c>
      <c r="H73" s="22">
        <f>IF($A73="","",SUMIFS(EntQtd,EntCod,$A73))</f>
        <v>0</v>
      </c>
      <c r="I73" s="22">
        <f>IF($A73="","",SUMIFS(ItQtd,ItCod,$A73,ItStatus,"&lt;&gt;Orçamento",ItStatus,"&lt;&gt;Cancelada"))</f>
        <v>0</v>
      </c>
      <c r="J73" s="23">
        <f>IF($A73="","",N($E73)+$H73-$I73)</f>
        <v>0</v>
      </c>
      <c r="K73" s="24">
        <f>IF($A73="","",IF($J73&lt;=0,"RUPTURA",IF($J73&lt;=N($F73),"REPOR","OK")))</f>
        <v>0</v>
      </c>
    </row>
    <row r="74" spans="1:11">
      <c r="A74" s="13"/>
      <c r="B74" s="13"/>
      <c r="C74" s="19"/>
      <c r="D74" s="19"/>
      <c r="E74" s="20"/>
      <c r="F74" s="20"/>
      <c r="G74" s="21">
        <f>IF($A74="","",IF($D74&lt;&gt;"",$D74,N($C74)*(1+MarkupPeca)))</f>
        <v>0</v>
      </c>
      <c r="H74" s="22">
        <f>IF($A74="","",SUMIFS(EntQtd,EntCod,$A74))</f>
        <v>0</v>
      </c>
      <c r="I74" s="22">
        <f>IF($A74="","",SUMIFS(ItQtd,ItCod,$A74,ItStatus,"&lt;&gt;Orçamento",ItStatus,"&lt;&gt;Cancelada"))</f>
        <v>0</v>
      </c>
      <c r="J74" s="23">
        <f>IF($A74="","",N($E74)+$H74-$I74)</f>
        <v>0</v>
      </c>
      <c r="K74" s="24">
        <f>IF($A74="","",IF($J74&lt;=0,"RUPTURA",IF($J74&lt;=N($F74),"REPOR","OK")))</f>
        <v>0</v>
      </c>
    </row>
    <row r="75" spans="1:11">
      <c r="A75" s="13"/>
      <c r="B75" s="13"/>
      <c r="C75" s="19"/>
      <c r="D75" s="19"/>
      <c r="E75" s="20"/>
      <c r="F75" s="20"/>
      <c r="G75" s="21">
        <f>IF($A75="","",IF($D75&lt;&gt;"",$D75,N($C75)*(1+MarkupPeca)))</f>
        <v>0</v>
      </c>
      <c r="H75" s="22">
        <f>IF($A75="","",SUMIFS(EntQtd,EntCod,$A75))</f>
        <v>0</v>
      </c>
      <c r="I75" s="22">
        <f>IF($A75="","",SUMIFS(ItQtd,ItCod,$A75,ItStatus,"&lt;&gt;Orçamento",ItStatus,"&lt;&gt;Cancelada"))</f>
        <v>0</v>
      </c>
      <c r="J75" s="23">
        <f>IF($A75="","",N($E75)+$H75-$I75)</f>
        <v>0</v>
      </c>
      <c r="K75" s="24">
        <f>IF($A75="","",IF($J75&lt;=0,"RUPTURA",IF($J75&lt;=N($F75),"REPOR","OK")))</f>
        <v>0</v>
      </c>
    </row>
    <row r="76" spans="1:11">
      <c r="A76" s="13"/>
      <c r="B76" s="13"/>
      <c r="C76" s="19"/>
      <c r="D76" s="19"/>
      <c r="E76" s="20"/>
      <c r="F76" s="20"/>
      <c r="G76" s="21">
        <f>IF($A76="","",IF($D76&lt;&gt;"",$D76,N($C76)*(1+MarkupPeca)))</f>
        <v>0</v>
      </c>
      <c r="H76" s="22">
        <f>IF($A76="","",SUMIFS(EntQtd,EntCod,$A76))</f>
        <v>0</v>
      </c>
      <c r="I76" s="22">
        <f>IF($A76="","",SUMIFS(ItQtd,ItCod,$A76,ItStatus,"&lt;&gt;Orçamento",ItStatus,"&lt;&gt;Cancelada"))</f>
        <v>0</v>
      </c>
      <c r="J76" s="23">
        <f>IF($A76="","",N($E76)+$H76-$I76)</f>
        <v>0</v>
      </c>
      <c r="K76" s="24">
        <f>IF($A76="","",IF($J76&lt;=0,"RUPTURA",IF($J76&lt;=N($F76),"REPOR","OK")))</f>
        <v>0</v>
      </c>
    </row>
    <row r="77" spans="1:11">
      <c r="A77" s="13"/>
      <c r="B77" s="13"/>
      <c r="C77" s="19"/>
      <c r="D77" s="19"/>
      <c r="E77" s="20"/>
      <c r="F77" s="20"/>
      <c r="G77" s="21">
        <f>IF($A77="","",IF($D77&lt;&gt;"",$D77,N($C77)*(1+MarkupPeca)))</f>
        <v>0</v>
      </c>
      <c r="H77" s="22">
        <f>IF($A77="","",SUMIFS(EntQtd,EntCod,$A77))</f>
        <v>0</v>
      </c>
      <c r="I77" s="22">
        <f>IF($A77="","",SUMIFS(ItQtd,ItCod,$A77,ItStatus,"&lt;&gt;Orçamento",ItStatus,"&lt;&gt;Cancelada"))</f>
        <v>0</v>
      </c>
      <c r="J77" s="23">
        <f>IF($A77="","",N($E77)+$H77-$I77)</f>
        <v>0</v>
      </c>
      <c r="K77" s="24">
        <f>IF($A77="","",IF($J77&lt;=0,"RUPTURA",IF($J77&lt;=N($F77),"REPOR","OK")))</f>
        <v>0</v>
      </c>
    </row>
    <row r="78" spans="1:11">
      <c r="A78" s="13"/>
      <c r="B78" s="13"/>
      <c r="C78" s="19"/>
      <c r="D78" s="19"/>
      <c r="E78" s="20"/>
      <c r="F78" s="20"/>
      <c r="G78" s="21">
        <f>IF($A78="","",IF($D78&lt;&gt;"",$D78,N($C78)*(1+MarkupPeca)))</f>
        <v>0</v>
      </c>
      <c r="H78" s="22">
        <f>IF($A78="","",SUMIFS(EntQtd,EntCod,$A78))</f>
        <v>0</v>
      </c>
      <c r="I78" s="22">
        <f>IF($A78="","",SUMIFS(ItQtd,ItCod,$A78,ItStatus,"&lt;&gt;Orçamento",ItStatus,"&lt;&gt;Cancelada"))</f>
        <v>0</v>
      </c>
      <c r="J78" s="23">
        <f>IF($A78="","",N($E78)+$H78-$I78)</f>
        <v>0</v>
      </c>
      <c r="K78" s="24">
        <f>IF($A78="","",IF($J78&lt;=0,"RUPTURA",IF($J78&lt;=N($F78),"REPOR","OK")))</f>
        <v>0</v>
      </c>
    </row>
    <row r="79" spans="1:11">
      <c r="A79" s="13"/>
      <c r="B79" s="13"/>
      <c r="C79" s="19"/>
      <c r="D79" s="19"/>
      <c r="E79" s="20"/>
      <c r="F79" s="20"/>
      <c r="G79" s="21">
        <f>IF($A79="","",IF($D79&lt;&gt;"",$D79,N($C79)*(1+MarkupPeca)))</f>
        <v>0</v>
      </c>
      <c r="H79" s="22">
        <f>IF($A79="","",SUMIFS(EntQtd,EntCod,$A79))</f>
        <v>0</v>
      </c>
      <c r="I79" s="22">
        <f>IF($A79="","",SUMIFS(ItQtd,ItCod,$A79,ItStatus,"&lt;&gt;Orçamento",ItStatus,"&lt;&gt;Cancelada"))</f>
        <v>0</v>
      </c>
      <c r="J79" s="23">
        <f>IF($A79="","",N($E79)+$H79-$I79)</f>
        <v>0</v>
      </c>
      <c r="K79" s="24">
        <f>IF($A79="","",IF($J79&lt;=0,"RUPTURA",IF($J79&lt;=N($F79),"REPOR","OK")))</f>
        <v>0</v>
      </c>
    </row>
    <row r="80" spans="1:11">
      <c r="A80" s="13"/>
      <c r="B80" s="13"/>
      <c r="C80" s="19"/>
      <c r="D80" s="19"/>
      <c r="E80" s="20"/>
      <c r="F80" s="20"/>
      <c r="G80" s="21">
        <f>IF($A80="","",IF($D80&lt;&gt;"",$D80,N($C80)*(1+MarkupPeca)))</f>
        <v>0</v>
      </c>
      <c r="H80" s="22">
        <f>IF($A80="","",SUMIFS(EntQtd,EntCod,$A80))</f>
        <v>0</v>
      </c>
      <c r="I80" s="22">
        <f>IF($A80="","",SUMIFS(ItQtd,ItCod,$A80,ItStatus,"&lt;&gt;Orçamento",ItStatus,"&lt;&gt;Cancelada"))</f>
        <v>0</v>
      </c>
      <c r="J80" s="23">
        <f>IF($A80="","",N($E80)+$H80-$I80)</f>
        <v>0</v>
      </c>
      <c r="K80" s="24">
        <f>IF($A80="","",IF($J80&lt;=0,"RUPTURA",IF($J80&lt;=N($F80),"REPOR","OK")))</f>
        <v>0</v>
      </c>
    </row>
    <row r="81" spans="1:11">
      <c r="A81" s="13"/>
      <c r="B81" s="13"/>
      <c r="C81" s="19"/>
      <c r="D81" s="19"/>
      <c r="E81" s="20"/>
      <c r="F81" s="20"/>
      <c r="G81" s="21">
        <f>IF($A81="","",IF($D81&lt;&gt;"",$D81,N($C81)*(1+MarkupPeca)))</f>
        <v>0</v>
      </c>
      <c r="H81" s="22">
        <f>IF($A81="","",SUMIFS(EntQtd,EntCod,$A81))</f>
        <v>0</v>
      </c>
      <c r="I81" s="22">
        <f>IF($A81="","",SUMIFS(ItQtd,ItCod,$A81,ItStatus,"&lt;&gt;Orçamento",ItStatus,"&lt;&gt;Cancelada"))</f>
        <v>0</v>
      </c>
      <c r="J81" s="23">
        <f>IF($A81="","",N($E81)+$H81-$I81)</f>
        <v>0</v>
      </c>
      <c r="K81" s="24">
        <f>IF($A81="","",IF($J81&lt;=0,"RUPTURA",IF($J81&lt;=N($F81),"REPOR","OK")))</f>
        <v>0</v>
      </c>
    </row>
    <row r="82" spans="1:11">
      <c r="A82" s="13"/>
      <c r="B82" s="13"/>
      <c r="C82" s="19"/>
      <c r="D82" s="19"/>
      <c r="E82" s="20"/>
      <c r="F82" s="20"/>
      <c r="G82" s="21">
        <f>IF($A82="","",IF($D82&lt;&gt;"",$D82,N($C82)*(1+MarkupPeca)))</f>
        <v>0</v>
      </c>
      <c r="H82" s="22">
        <f>IF($A82="","",SUMIFS(EntQtd,EntCod,$A82))</f>
        <v>0</v>
      </c>
      <c r="I82" s="22">
        <f>IF($A82="","",SUMIFS(ItQtd,ItCod,$A82,ItStatus,"&lt;&gt;Orçamento",ItStatus,"&lt;&gt;Cancelada"))</f>
        <v>0</v>
      </c>
      <c r="J82" s="23">
        <f>IF($A82="","",N($E82)+$H82-$I82)</f>
        <v>0</v>
      </c>
      <c r="K82" s="24">
        <f>IF($A82="","",IF($J82&lt;=0,"RUPTURA",IF($J82&lt;=N($F82),"REPOR","OK")))</f>
        <v>0</v>
      </c>
    </row>
    <row r="83" spans="1:11">
      <c r="A83" s="13"/>
      <c r="B83" s="13"/>
      <c r="C83" s="19"/>
      <c r="D83" s="19"/>
      <c r="E83" s="20"/>
      <c r="F83" s="20"/>
      <c r="G83" s="21">
        <f>IF($A83="","",IF($D83&lt;&gt;"",$D83,N($C83)*(1+MarkupPeca)))</f>
        <v>0</v>
      </c>
      <c r="H83" s="22">
        <f>IF($A83="","",SUMIFS(EntQtd,EntCod,$A83))</f>
        <v>0</v>
      </c>
      <c r="I83" s="22">
        <f>IF($A83="","",SUMIFS(ItQtd,ItCod,$A83,ItStatus,"&lt;&gt;Orçamento",ItStatus,"&lt;&gt;Cancelada"))</f>
        <v>0</v>
      </c>
      <c r="J83" s="23">
        <f>IF($A83="","",N($E83)+$H83-$I83)</f>
        <v>0</v>
      </c>
      <c r="K83" s="24">
        <f>IF($A83="","",IF($J83&lt;=0,"RUPTURA",IF($J83&lt;=N($F83),"REPOR","OK")))</f>
        <v>0</v>
      </c>
    </row>
    <row r="84" spans="1:11">
      <c r="A84" s="13"/>
      <c r="B84" s="13"/>
      <c r="C84" s="19"/>
      <c r="D84" s="19"/>
      <c r="E84" s="20"/>
      <c r="F84" s="20"/>
      <c r="G84" s="21">
        <f>IF($A84="","",IF($D84&lt;&gt;"",$D84,N($C84)*(1+MarkupPeca)))</f>
        <v>0</v>
      </c>
      <c r="H84" s="22">
        <f>IF($A84="","",SUMIFS(EntQtd,EntCod,$A84))</f>
        <v>0</v>
      </c>
      <c r="I84" s="22">
        <f>IF($A84="","",SUMIFS(ItQtd,ItCod,$A84,ItStatus,"&lt;&gt;Orçamento",ItStatus,"&lt;&gt;Cancelada"))</f>
        <v>0</v>
      </c>
      <c r="J84" s="23">
        <f>IF($A84="","",N($E84)+$H84-$I84)</f>
        <v>0</v>
      </c>
      <c r="K84" s="24">
        <f>IF($A84="","",IF($J84&lt;=0,"RUPTURA",IF($J84&lt;=N($F84),"REPOR","OK")))</f>
        <v>0</v>
      </c>
    </row>
    <row r="85" spans="1:11">
      <c r="A85" s="13"/>
      <c r="B85" s="13"/>
      <c r="C85" s="19"/>
      <c r="D85" s="19"/>
      <c r="E85" s="20"/>
      <c r="F85" s="20"/>
      <c r="G85" s="21">
        <f>IF($A85="","",IF($D85&lt;&gt;"",$D85,N($C85)*(1+MarkupPeca)))</f>
        <v>0</v>
      </c>
      <c r="H85" s="22">
        <f>IF($A85="","",SUMIFS(EntQtd,EntCod,$A85))</f>
        <v>0</v>
      </c>
      <c r="I85" s="22">
        <f>IF($A85="","",SUMIFS(ItQtd,ItCod,$A85,ItStatus,"&lt;&gt;Orçamento",ItStatus,"&lt;&gt;Cancelada"))</f>
        <v>0</v>
      </c>
      <c r="J85" s="23">
        <f>IF($A85="","",N($E85)+$H85-$I85)</f>
        <v>0</v>
      </c>
      <c r="K85" s="24">
        <f>IF($A85="","",IF($J85&lt;=0,"RUPTURA",IF($J85&lt;=N($F85),"REPOR","OK")))</f>
        <v>0</v>
      </c>
    </row>
    <row r="86" spans="1:11">
      <c r="A86" s="13"/>
      <c r="B86" s="13"/>
      <c r="C86" s="19"/>
      <c r="D86" s="19"/>
      <c r="E86" s="20"/>
      <c r="F86" s="20"/>
      <c r="G86" s="21">
        <f>IF($A86="","",IF($D86&lt;&gt;"",$D86,N($C86)*(1+MarkupPeca)))</f>
        <v>0</v>
      </c>
      <c r="H86" s="22">
        <f>IF($A86="","",SUMIFS(EntQtd,EntCod,$A86))</f>
        <v>0</v>
      </c>
      <c r="I86" s="22">
        <f>IF($A86="","",SUMIFS(ItQtd,ItCod,$A86,ItStatus,"&lt;&gt;Orçamento",ItStatus,"&lt;&gt;Cancelada"))</f>
        <v>0</v>
      </c>
      <c r="J86" s="23">
        <f>IF($A86="","",N($E86)+$H86-$I86)</f>
        <v>0</v>
      </c>
      <c r="K86" s="24">
        <f>IF($A86="","",IF($J86&lt;=0,"RUPTURA",IF($J86&lt;=N($F86),"REPOR","OK")))</f>
        <v>0</v>
      </c>
    </row>
    <row r="87" spans="1:11">
      <c r="A87" s="13"/>
      <c r="B87" s="13"/>
      <c r="C87" s="19"/>
      <c r="D87" s="19"/>
      <c r="E87" s="20"/>
      <c r="F87" s="20"/>
      <c r="G87" s="21">
        <f>IF($A87="","",IF($D87&lt;&gt;"",$D87,N($C87)*(1+MarkupPeca)))</f>
        <v>0</v>
      </c>
      <c r="H87" s="22">
        <f>IF($A87="","",SUMIFS(EntQtd,EntCod,$A87))</f>
        <v>0</v>
      </c>
      <c r="I87" s="22">
        <f>IF($A87="","",SUMIFS(ItQtd,ItCod,$A87,ItStatus,"&lt;&gt;Orçamento",ItStatus,"&lt;&gt;Cancelada"))</f>
        <v>0</v>
      </c>
      <c r="J87" s="23">
        <f>IF($A87="","",N($E87)+$H87-$I87)</f>
        <v>0</v>
      </c>
      <c r="K87" s="24">
        <f>IF($A87="","",IF($J87&lt;=0,"RUPTURA",IF($J87&lt;=N($F87),"REPOR","OK")))</f>
        <v>0</v>
      </c>
    </row>
    <row r="88" spans="1:11">
      <c r="A88" s="13"/>
      <c r="B88" s="13"/>
      <c r="C88" s="19"/>
      <c r="D88" s="19"/>
      <c r="E88" s="20"/>
      <c r="F88" s="20"/>
      <c r="G88" s="21">
        <f>IF($A88="","",IF($D88&lt;&gt;"",$D88,N($C88)*(1+MarkupPeca)))</f>
        <v>0</v>
      </c>
      <c r="H88" s="22">
        <f>IF($A88="","",SUMIFS(EntQtd,EntCod,$A88))</f>
        <v>0</v>
      </c>
      <c r="I88" s="22">
        <f>IF($A88="","",SUMIFS(ItQtd,ItCod,$A88,ItStatus,"&lt;&gt;Orçamento",ItStatus,"&lt;&gt;Cancelada"))</f>
        <v>0</v>
      </c>
      <c r="J88" s="23">
        <f>IF($A88="","",N($E88)+$H88-$I88)</f>
        <v>0</v>
      </c>
      <c r="K88" s="24">
        <f>IF($A88="","",IF($J88&lt;=0,"RUPTURA",IF($J88&lt;=N($F88),"REPOR","OK")))</f>
        <v>0</v>
      </c>
    </row>
    <row r="89" spans="1:11">
      <c r="A89" s="13"/>
      <c r="B89" s="13"/>
      <c r="C89" s="19"/>
      <c r="D89" s="19"/>
      <c r="E89" s="20"/>
      <c r="F89" s="20"/>
      <c r="G89" s="21">
        <f>IF($A89="","",IF($D89&lt;&gt;"",$D89,N($C89)*(1+MarkupPeca)))</f>
        <v>0</v>
      </c>
      <c r="H89" s="22">
        <f>IF($A89="","",SUMIFS(EntQtd,EntCod,$A89))</f>
        <v>0</v>
      </c>
      <c r="I89" s="22">
        <f>IF($A89="","",SUMIFS(ItQtd,ItCod,$A89,ItStatus,"&lt;&gt;Orçamento",ItStatus,"&lt;&gt;Cancelada"))</f>
        <v>0</v>
      </c>
      <c r="J89" s="23">
        <f>IF($A89="","",N($E89)+$H89-$I89)</f>
        <v>0</v>
      </c>
      <c r="K89" s="24">
        <f>IF($A89="","",IF($J89&lt;=0,"RUPTURA",IF($J89&lt;=N($F89),"REPOR","OK")))</f>
        <v>0</v>
      </c>
    </row>
    <row r="90" spans="1:11">
      <c r="A90" s="13"/>
      <c r="B90" s="13"/>
      <c r="C90" s="19"/>
      <c r="D90" s="19"/>
      <c r="E90" s="20"/>
      <c r="F90" s="20"/>
      <c r="G90" s="21">
        <f>IF($A90="","",IF($D90&lt;&gt;"",$D90,N($C90)*(1+MarkupPeca)))</f>
        <v>0</v>
      </c>
      <c r="H90" s="22">
        <f>IF($A90="","",SUMIFS(EntQtd,EntCod,$A90))</f>
        <v>0</v>
      </c>
      <c r="I90" s="22">
        <f>IF($A90="","",SUMIFS(ItQtd,ItCod,$A90,ItStatus,"&lt;&gt;Orçamento",ItStatus,"&lt;&gt;Cancelada"))</f>
        <v>0</v>
      </c>
      <c r="J90" s="23">
        <f>IF($A90="","",N($E90)+$H90-$I90)</f>
        <v>0</v>
      </c>
      <c r="K90" s="24">
        <f>IF($A90="","",IF($J90&lt;=0,"RUPTURA",IF($J90&lt;=N($F90),"REPOR","OK")))</f>
        <v>0</v>
      </c>
    </row>
    <row r="91" spans="1:11">
      <c r="A91" s="13"/>
      <c r="B91" s="13"/>
      <c r="C91" s="19"/>
      <c r="D91" s="19"/>
      <c r="E91" s="20"/>
      <c r="F91" s="20"/>
      <c r="G91" s="21">
        <f>IF($A91="","",IF($D91&lt;&gt;"",$D91,N($C91)*(1+MarkupPeca)))</f>
        <v>0</v>
      </c>
      <c r="H91" s="22">
        <f>IF($A91="","",SUMIFS(EntQtd,EntCod,$A91))</f>
        <v>0</v>
      </c>
      <c r="I91" s="22">
        <f>IF($A91="","",SUMIFS(ItQtd,ItCod,$A91,ItStatus,"&lt;&gt;Orçamento",ItStatus,"&lt;&gt;Cancelada"))</f>
        <v>0</v>
      </c>
      <c r="J91" s="23">
        <f>IF($A91="","",N($E91)+$H91-$I91)</f>
        <v>0</v>
      </c>
      <c r="K91" s="24">
        <f>IF($A91="","",IF($J91&lt;=0,"RUPTURA",IF($J91&lt;=N($F91),"REPOR","OK")))</f>
        <v>0</v>
      </c>
    </row>
    <row r="92" spans="1:11">
      <c r="A92" s="13"/>
      <c r="B92" s="13"/>
      <c r="C92" s="19"/>
      <c r="D92" s="19"/>
      <c r="E92" s="20"/>
      <c r="F92" s="20"/>
      <c r="G92" s="21">
        <f>IF($A92="","",IF($D92&lt;&gt;"",$D92,N($C92)*(1+MarkupPeca)))</f>
        <v>0</v>
      </c>
      <c r="H92" s="22">
        <f>IF($A92="","",SUMIFS(EntQtd,EntCod,$A92))</f>
        <v>0</v>
      </c>
      <c r="I92" s="22">
        <f>IF($A92="","",SUMIFS(ItQtd,ItCod,$A92,ItStatus,"&lt;&gt;Orçamento",ItStatus,"&lt;&gt;Cancelada"))</f>
        <v>0</v>
      </c>
      <c r="J92" s="23">
        <f>IF($A92="","",N($E92)+$H92-$I92)</f>
        <v>0</v>
      </c>
      <c r="K92" s="24">
        <f>IF($A92="","",IF($J92&lt;=0,"RUPTURA",IF($J92&lt;=N($F92),"REPOR","OK")))</f>
        <v>0</v>
      </c>
    </row>
    <row r="93" spans="1:11">
      <c r="A93" s="13"/>
      <c r="B93" s="13"/>
      <c r="C93" s="19"/>
      <c r="D93" s="19"/>
      <c r="E93" s="20"/>
      <c r="F93" s="20"/>
      <c r="G93" s="21">
        <f>IF($A93="","",IF($D93&lt;&gt;"",$D93,N($C93)*(1+MarkupPeca)))</f>
        <v>0</v>
      </c>
      <c r="H93" s="22">
        <f>IF($A93="","",SUMIFS(EntQtd,EntCod,$A93))</f>
        <v>0</v>
      </c>
      <c r="I93" s="22">
        <f>IF($A93="","",SUMIFS(ItQtd,ItCod,$A93,ItStatus,"&lt;&gt;Orçamento",ItStatus,"&lt;&gt;Cancelada"))</f>
        <v>0</v>
      </c>
      <c r="J93" s="23">
        <f>IF($A93="","",N($E93)+$H93-$I93)</f>
        <v>0</v>
      </c>
      <c r="K93" s="24">
        <f>IF($A93="","",IF($J93&lt;=0,"RUPTURA",IF($J93&lt;=N($F93),"REPOR","OK")))</f>
        <v>0</v>
      </c>
    </row>
    <row r="94" spans="1:11">
      <c r="A94" s="13"/>
      <c r="B94" s="13"/>
      <c r="C94" s="19"/>
      <c r="D94" s="19"/>
      <c r="E94" s="20"/>
      <c r="F94" s="20"/>
      <c r="G94" s="21">
        <f>IF($A94="","",IF($D94&lt;&gt;"",$D94,N($C94)*(1+MarkupPeca)))</f>
        <v>0</v>
      </c>
      <c r="H94" s="22">
        <f>IF($A94="","",SUMIFS(EntQtd,EntCod,$A94))</f>
        <v>0</v>
      </c>
      <c r="I94" s="22">
        <f>IF($A94="","",SUMIFS(ItQtd,ItCod,$A94,ItStatus,"&lt;&gt;Orçamento",ItStatus,"&lt;&gt;Cancelada"))</f>
        <v>0</v>
      </c>
      <c r="J94" s="23">
        <f>IF($A94="","",N($E94)+$H94-$I94)</f>
        <v>0</v>
      </c>
      <c r="K94" s="24">
        <f>IF($A94="","",IF($J94&lt;=0,"RUPTURA",IF($J94&lt;=N($F94),"REPOR","OK")))</f>
        <v>0</v>
      </c>
    </row>
    <row r="95" spans="1:11">
      <c r="A95" s="13"/>
      <c r="B95" s="13"/>
      <c r="C95" s="19"/>
      <c r="D95" s="19"/>
      <c r="E95" s="20"/>
      <c r="F95" s="20"/>
      <c r="G95" s="21">
        <f>IF($A95="","",IF($D95&lt;&gt;"",$D95,N($C95)*(1+MarkupPeca)))</f>
        <v>0</v>
      </c>
      <c r="H95" s="22">
        <f>IF($A95="","",SUMIFS(EntQtd,EntCod,$A95))</f>
        <v>0</v>
      </c>
      <c r="I95" s="22">
        <f>IF($A95="","",SUMIFS(ItQtd,ItCod,$A95,ItStatus,"&lt;&gt;Orçamento",ItStatus,"&lt;&gt;Cancelada"))</f>
        <v>0</v>
      </c>
      <c r="J95" s="23">
        <f>IF($A95="","",N($E95)+$H95-$I95)</f>
        <v>0</v>
      </c>
      <c r="K95" s="24">
        <f>IF($A95="","",IF($J95&lt;=0,"RUPTURA",IF($J95&lt;=N($F95),"REPOR","OK")))</f>
        <v>0</v>
      </c>
    </row>
    <row r="96" spans="1:11">
      <c r="A96" s="13"/>
      <c r="B96" s="13"/>
      <c r="C96" s="19"/>
      <c r="D96" s="19"/>
      <c r="E96" s="20"/>
      <c r="F96" s="20"/>
      <c r="G96" s="21">
        <f>IF($A96="","",IF($D96&lt;&gt;"",$D96,N($C96)*(1+MarkupPeca)))</f>
        <v>0</v>
      </c>
      <c r="H96" s="22">
        <f>IF($A96="","",SUMIFS(EntQtd,EntCod,$A96))</f>
        <v>0</v>
      </c>
      <c r="I96" s="22">
        <f>IF($A96="","",SUMIFS(ItQtd,ItCod,$A96,ItStatus,"&lt;&gt;Orçamento",ItStatus,"&lt;&gt;Cancelada"))</f>
        <v>0</v>
      </c>
      <c r="J96" s="23">
        <f>IF($A96="","",N($E96)+$H96-$I96)</f>
        <v>0</v>
      </c>
      <c r="K96" s="24">
        <f>IF($A96="","",IF($J96&lt;=0,"RUPTURA",IF($J96&lt;=N($F96),"REPOR","OK")))</f>
        <v>0</v>
      </c>
    </row>
    <row r="97" spans="1:11">
      <c r="A97" s="13"/>
      <c r="B97" s="13"/>
      <c r="C97" s="19"/>
      <c r="D97" s="19"/>
      <c r="E97" s="20"/>
      <c r="F97" s="20"/>
      <c r="G97" s="21">
        <f>IF($A97="","",IF($D97&lt;&gt;"",$D97,N($C97)*(1+MarkupPeca)))</f>
        <v>0</v>
      </c>
      <c r="H97" s="22">
        <f>IF($A97="","",SUMIFS(EntQtd,EntCod,$A97))</f>
        <v>0</v>
      </c>
      <c r="I97" s="22">
        <f>IF($A97="","",SUMIFS(ItQtd,ItCod,$A97,ItStatus,"&lt;&gt;Orçamento",ItStatus,"&lt;&gt;Cancelada"))</f>
        <v>0</v>
      </c>
      <c r="J97" s="23">
        <f>IF($A97="","",N($E97)+$H97-$I97)</f>
        <v>0</v>
      </c>
      <c r="K97" s="24">
        <f>IF($A97="","",IF($J97&lt;=0,"RUPTURA",IF($J97&lt;=N($F97),"REPOR","OK")))</f>
        <v>0</v>
      </c>
    </row>
    <row r="98" spans="1:11">
      <c r="A98" s="13"/>
      <c r="B98" s="13"/>
      <c r="C98" s="19"/>
      <c r="D98" s="19"/>
      <c r="E98" s="20"/>
      <c r="F98" s="20"/>
      <c r="G98" s="21">
        <f>IF($A98="","",IF($D98&lt;&gt;"",$D98,N($C98)*(1+MarkupPeca)))</f>
        <v>0</v>
      </c>
      <c r="H98" s="22">
        <f>IF($A98="","",SUMIFS(EntQtd,EntCod,$A98))</f>
        <v>0</v>
      </c>
      <c r="I98" s="22">
        <f>IF($A98="","",SUMIFS(ItQtd,ItCod,$A98,ItStatus,"&lt;&gt;Orçamento",ItStatus,"&lt;&gt;Cancelada"))</f>
        <v>0</v>
      </c>
      <c r="J98" s="23">
        <f>IF($A98="","",N($E98)+$H98-$I98)</f>
        <v>0</v>
      </c>
      <c r="K98" s="24">
        <f>IF($A98="","",IF($J98&lt;=0,"RUPTURA",IF($J98&lt;=N($F98),"REPOR","OK")))</f>
        <v>0</v>
      </c>
    </row>
    <row r="99" spans="1:11">
      <c r="A99" s="13"/>
      <c r="B99" s="13"/>
      <c r="C99" s="19"/>
      <c r="D99" s="19"/>
      <c r="E99" s="20"/>
      <c r="F99" s="20"/>
      <c r="G99" s="21">
        <f>IF($A99="","",IF($D99&lt;&gt;"",$D99,N($C99)*(1+MarkupPeca)))</f>
        <v>0</v>
      </c>
      <c r="H99" s="22">
        <f>IF($A99="","",SUMIFS(EntQtd,EntCod,$A99))</f>
        <v>0</v>
      </c>
      <c r="I99" s="22">
        <f>IF($A99="","",SUMIFS(ItQtd,ItCod,$A99,ItStatus,"&lt;&gt;Orçamento",ItStatus,"&lt;&gt;Cancelada"))</f>
        <v>0</v>
      </c>
      <c r="J99" s="23">
        <f>IF($A99="","",N($E99)+$H99-$I99)</f>
        <v>0</v>
      </c>
      <c r="K99" s="24">
        <f>IF($A99="","",IF($J99&lt;=0,"RUPTURA",IF($J99&lt;=N($F99),"REPOR","OK")))</f>
        <v>0</v>
      </c>
    </row>
    <row r="100" spans="1:11">
      <c r="A100" s="13"/>
      <c r="B100" s="13"/>
      <c r="C100" s="19"/>
      <c r="D100" s="19"/>
      <c r="E100" s="20"/>
      <c r="F100" s="20"/>
      <c r="G100" s="21">
        <f>IF($A100="","",IF($D100&lt;&gt;"",$D100,N($C100)*(1+MarkupPeca)))</f>
        <v>0</v>
      </c>
      <c r="H100" s="22">
        <f>IF($A100="","",SUMIFS(EntQtd,EntCod,$A100))</f>
        <v>0</v>
      </c>
      <c r="I100" s="22">
        <f>IF($A100="","",SUMIFS(ItQtd,ItCod,$A100,ItStatus,"&lt;&gt;Orçamento",ItStatus,"&lt;&gt;Cancelada"))</f>
        <v>0</v>
      </c>
      <c r="J100" s="23">
        <f>IF($A100="","",N($E100)+$H100-$I100)</f>
        <v>0</v>
      </c>
      <c r="K100" s="24">
        <f>IF($A100="","",IF($J100&lt;=0,"RUPTURA",IF($J100&lt;=N($F100),"REPOR","OK")))</f>
        <v>0</v>
      </c>
    </row>
    <row r="101" spans="1:11">
      <c r="A101" s="13"/>
      <c r="B101" s="13"/>
      <c r="C101" s="19"/>
      <c r="D101" s="19"/>
      <c r="E101" s="20"/>
      <c r="F101" s="20"/>
      <c r="G101" s="21">
        <f>IF($A101="","",IF($D101&lt;&gt;"",$D101,N($C101)*(1+MarkupPeca)))</f>
        <v>0</v>
      </c>
      <c r="H101" s="22">
        <f>IF($A101="","",SUMIFS(EntQtd,EntCod,$A101))</f>
        <v>0</v>
      </c>
      <c r="I101" s="22">
        <f>IF($A101="","",SUMIFS(ItQtd,ItCod,$A101,ItStatus,"&lt;&gt;Orçamento",ItStatus,"&lt;&gt;Cancelada"))</f>
        <v>0</v>
      </c>
      <c r="J101" s="23">
        <f>IF($A101="","",N($E101)+$H101-$I101)</f>
        <v>0</v>
      </c>
      <c r="K101" s="24">
        <f>IF($A101="","",IF($J101&lt;=0,"RUPTURA",IF($J101&lt;=N($F101),"REPOR","OK")))</f>
        <v>0</v>
      </c>
    </row>
    <row r="102" spans="1:11">
      <c r="A102" s="13"/>
      <c r="B102" s="13"/>
      <c r="C102" s="19"/>
      <c r="D102" s="19"/>
      <c r="E102" s="20"/>
      <c r="F102" s="20"/>
      <c r="G102" s="21">
        <f>IF($A102="","",IF($D102&lt;&gt;"",$D102,N($C102)*(1+MarkupPeca)))</f>
        <v>0</v>
      </c>
      <c r="H102" s="22">
        <f>IF($A102="","",SUMIFS(EntQtd,EntCod,$A102))</f>
        <v>0</v>
      </c>
      <c r="I102" s="22">
        <f>IF($A102="","",SUMIFS(ItQtd,ItCod,$A102,ItStatus,"&lt;&gt;Orçamento",ItStatus,"&lt;&gt;Cancelada"))</f>
        <v>0</v>
      </c>
      <c r="J102" s="23">
        <f>IF($A102="","",N($E102)+$H102-$I102)</f>
        <v>0</v>
      </c>
      <c r="K102" s="24">
        <f>IF($A102="","",IF($J102&lt;=0,"RUPTURA",IF($J102&lt;=N($F102),"REPOR","OK")))</f>
        <v>0</v>
      </c>
    </row>
    <row r="103" spans="1:11">
      <c r="A103" s="13"/>
      <c r="B103" s="13"/>
      <c r="C103" s="19"/>
      <c r="D103" s="19"/>
      <c r="E103" s="20"/>
      <c r="F103" s="20"/>
      <c r="G103" s="21">
        <f>IF($A103="","",IF($D103&lt;&gt;"",$D103,N($C103)*(1+MarkupPeca)))</f>
        <v>0</v>
      </c>
      <c r="H103" s="22">
        <f>IF($A103="","",SUMIFS(EntQtd,EntCod,$A103))</f>
        <v>0</v>
      </c>
      <c r="I103" s="22">
        <f>IF($A103="","",SUMIFS(ItQtd,ItCod,$A103,ItStatus,"&lt;&gt;Orçamento",ItStatus,"&lt;&gt;Cancelada"))</f>
        <v>0</v>
      </c>
      <c r="J103" s="23">
        <f>IF($A103="","",N($E103)+$H103-$I103)</f>
        <v>0</v>
      </c>
      <c r="K103" s="24">
        <f>IF($A103="","",IF($J103&lt;=0,"RUPTURA",IF($J103&lt;=N($F103),"REPOR","OK")))</f>
        <v>0</v>
      </c>
    </row>
    <row r="104" spans="1:11">
      <c r="A104" s="13"/>
      <c r="B104" s="13"/>
      <c r="C104" s="19"/>
      <c r="D104" s="19"/>
      <c r="E104" s="20"/>
      <c r="F104" s="20"/>
      <c r="G104" s="21">
        <f>IF($A104="","",IF($D104&lt;&gt;"",$D104,N($C104)*(1+MarkupPeca)))</f>
        <v>0</v>
      </c>
      <c r="H104" s="22">
        <f>IF($A104="","",SUMIFS(EntQtd,EntCod,$A104))</f>
        <v>0</v>
      </c>
      <c r="I104" s="22">
        <f>IF($A104="","",SUMIFS(ItQtd,ItCod,$A104,ItStatus,"&lt;&gt;Orçamento",ItStatus,"&lt;&gt;Cancelada"))</f>
        <v>0</v>
      </c>
      <c r="J104" s="23">
        <f>IF($A104="","",N($E104)+$H104-$I104)</f>
        <v>0</v>
      </c>
      <c r="K104" s="24">
        <f>IF($A104="","",IF($J104&lt;=0,"RUPTURA",IF($J104&lt;=N($F104),"REPOR","OK")))</f>
        <v>0</v>
      </c>
    </row>
    <row r="105" spans="1:11">
      <c r="A105" s="13"/>
      <c r="B105" s="13"/>
      <c r="C105" s="19"/>
      <c r="D105" s="19"/>
      <c r="E105" s="20"/>
      <c r="F105" s="20"/>
      <c r="G105" s="21">
        <f>IF($A105="","",IF($D105&lt;&gt;"",$D105,N($C105)*(1+MarkupPeca)))</f>
        <v>0</v>
      </c>
      <c r="H105" s="22">
        <f>IF($A105="","",SUMIFS(EntQtd,EntCod,$A105))</f>
        <v>0</v>
      </c>
      <c r="I105" s="22">
        <f>IF($A105="","",SUMIFS(ItQtd,ItCod,$A105,ItStatus,"&lt;&gt;Orçamento",ItStatus,"&lt;&gt;Cancelada"))</f>
        <v>0</v>
      </c>
      <c r="J105" s="23">
        <f>IF($A105="","",N($E105)+$H105-$I105)</f>
        <v>0</v>
      </c>
      <c r="K105" s="24">
        <f>IF($A105="","",IF($J105&lt;=0,"RUPTURA",IF($J105&lt;=N($F105),"REPOR","OK")))</f>
        <v>0</v>
      </c>
    </row>
    <row r="106" spans="1:11">
      <c r="A106" s="13"/>
      <c r="B106" s="13"/>
      <c r="C106" s="19"/>
      <c r="D106" s="19"/>
      <c r="E106" s="20"/>
      <c r="F106" s="20"/>
      <c r="G106" s="21">
        <f>IF($A106="","",IF($D106&lt;&gt;"",$D106,N($C106)*(1+MarkupPeca)))</f>
        <v>0</v>
      </c>
      <c r="H106" s="22">
        <f>IF($A106="","",SUMIFS(EntQtd,EntCod,$A106))</f>
        <v>0</v>
      </c>
      <c r="I106" s="22">
        <f>IF($A106="","",SUMIFS(ItQtd,ItCod,$A106,ItStatus,"&lt;&gt;Orçamento",ItStatus,"&lt;&gt;Cancelada"))</f>
        <v>0</v>
      </c>
      <c r="J106" s="23">
        <f>IF($A106="","",N($E106)+$H106-$I106)</f>
        <v>0</v>
      </c>
      <c r="K106" s="24">
        <f>IF($A106="","",IF($J106&lt;=0,"RUPTURA",IF($J106&lt;=N($F106),"REPOR","OK")))</f>
        <v>0</v>
      </c>
    </row>
    <row r="107" spans="1:11">
      <c r="A107" s="13"/>
      <c r="B107" s="13"/>
      <c r="C107" s="19"/>
      <c r="D107" s="19"/>
      <c r="E107" s="20"/>
      <c r="F107" s="20"/>
      <c r="G107" s="21">
        <f>IF($A107="","",IF($D107&lt;&gt;"",$D107,N($C107)*(1+MarkupPeca)))</f>
        <v>0</v>
      </c>
      <c r="H107" s="22">
        <f>IF($A107="","",SUMIFS(EntQtd,EntCod,$A107))</f>
        <v>0</v>
      </c>
      <c r="I107" s="22">
        <f>IF($A107="","",SUMIFS(ItQtd,ItCod,$A107,ItStatus,"&lt;&gt;Orçamento",ItStatus,"&lt;&gt;Cancelada"))</f>
        <v>0</v>
      </c>
      <c r="J107" s="23">
        <f>IF($A107="","",N($E107)+$H107-$I107)</f>
        <v>0</v>
      </c>
      <c r="K107" s="24">
        <f>IF($A107="","",IF($J107&lt;=0,"RUPTURA",IF($J107&lt;=N($F107),"REPOR","OK")))</f>
        <v>0</v>
      </c>
    </row>
    <row r="108" spans="1:11">
      <c r="A108" s="13"/>
      <c r="B108" s="13"/>
      <c r="C108" s="19"/>
      <c r="D108" s="19"/>
      <c r="E108" s="20"/>
      <c r="F108" s="20"/>
      <c r="G108" s="21">
        <f>IF($A108="","",IF($D108&lt;&gt;"",$D108,N($C108)*(1+MarkupPeca)))</f>
        <v>0</v>
      </c>
      <c r="H108" s="22">
        <f>IF($A108="","",SUMIFS(EntQtd,EntCod,$A108))</f>
        <v>0</v>
      </c>
      <c r="I108" s="22">
        <f>IF($A108="","",SUMIFS(ItQtd,ItCod,$A108,ItStatus,"&lt;&gt;Orçamento",ItStatus,"&lt;&gt;Cancelada"))</f>
        <v>0</v>
      </c>
      <c r="J108" s="23">
        <f>IF($A108="","",N($E108)+$H108-$I108)</f>
        <v>0</v>
      </c>
      <c r="K108" s="24">
        <f>IF($A108="","",IF($J108&lt;=0,"RUPTURA",IF($J108&lt;=N($F108),"REPOR","OK")))</f>
        <v>0</v>
      </c>
    </row>
    <row r="109" spans="1:11">
      <c r="A109" s="13"/>
      <c r="B109" s="13"/>
      <c r="C109" s="19"/>
      <c r="D109" s="19"/>
      <c r="E109" s="20"/>
      <c r="F109" s="20"/>
      <c r="G109" s="21">
        <f>IF($A109="","",IF($D109&lt;&gt;"",$D109,N($C109)*(1+MarkupPeca)))</f>
        <v>0</v>
      </c>
      <c r="H109" s="22">
        <f>IF($A109="","",SUMIFS(EntQtd,EntCod,$A109))</f>
        <v>0</v>
      </c>
      <c r="I109" s="22">
        <f>IF($A109="","",SUMIFS(ItQtd,ItCod,$A109,ItStatus,"&lt;&gt;Orçamento",ItStatus,"&lt;&gt;Cancelada"))</f>
        <v>0</v>
      </c>
      <c r="J109" s="23">
        <f>IF($A109="","",N($E109)+$H109-$I109)</f>
        <v>0</v>
      </c>
      <c r="K109" s="24">
        <f>IF($A109="","",IF($J109&lt;=0,"RUPTURA",IF($J109&lt;=N($F109),"REPOR","OK")))</f>
        <v>0</v>
      </c>
    </row>
    <row r="110" spans="1:11">
      <c r="A110" s="13"/>
      <c r="B110" s="13"/>
      <c r="C110" s="19"/>
      <c r="D110" s="19"/>
      <c r="E110" s="20"/>
      <c r="F110" s="20"/>
      <c r="G110" s="21">
        <f>IF($A110="","",IF($D110&lt;&gt;"",$D110,N($C110)*(1+MarkupPeca)))</f>
        <v>0</v>
      </c>
      <c r="H110" s="22">
        <f>IF($A110="","",SUMIFS(EntQtd,EntCod,$A110))</f>
        <v>0</v>
      </c>
      <c r="I110" s="22">
        <f>IF($A110="","",SUMIFS(ItQtd,ItCod,$A110,ItStatus,"&lt;&gt;Orçamento",ItStatus,"&lt;&gt;Cancelada"))</f>
        <v>0</v>
      </c>
      <c r="J110" s="23">
        <f>IF($A110="","",N($E110)+$H110-$I110)</f>
        <v>0</v>
      </c>
      <c r="K110" s="24">
        <f>IF($A110="","",IF($J110&lt;=0,"RUPTURA",IF($J110&lt;=N($F110),"REPOR","OK")))</f>
        <v>0</v>
      </c>
    </row>
    <row r="111" spans="1:11">
      <c r="A111" s="13"/>
      <c r="B111" s="13"/>
      <c r="C111" s="19"/>
      <c r="D111" s="19"/>
      <c r="E111" s="20"/>
      <c r="F111" s="20"/>
      <c r="G111" s="21">
        <f>IF($A111="","",IF($D111&lt;&gt;"",$D111,N($C111)*(1+MarkupPeca)))</f>
        <v>0</v>
      </c>
      <c r="H111" s="22">
        <f>IF($A111="","",SUMIFS(EntQtd,EntCod,$A111))</f>
        <v>0</v>
      </c>
      <c r="I111" s="22">
        <f>IF($A111="","",SUMIFS(ItQtd,ItCod,$A111,ItStatus,"&lt;&gt;Orçamento",ItStatus,"&lt;&gt;Cancelada"))</f>
        <v>0</v>
      </c>
      <c r="J111" s="23">
        <f>IF($A111="","",N($E111)+$H111-$I111)</f>
        <v>0</v>
      </c>
      <c r="K111" s="24">
        <f>IF($A111="","",IF($J111&lt;=0,"RUPTURA",IF($J111&lt;=N($F111),"REPOR","OK")))</f>
        <v>0</v>
      </c>
    </row>
    <row r="112" spans="1:11">
      <c r="A112" s="13"/>
      <c r="B112" s="13"/>
      <c r="C112" s="19"/>
      <c r="D112" s="19"/>
      <c r="E112" s="20"/>
      <c r="F112" s="20"/>
      <c r="G112" s="21">
        <f>IF($A112="","",IF($D112&lt;&gt;"",$D112,N($C112)*(1+MarkupPeca)))</f>
        <v>0</v>
      </c>
      <c r="H112" s="22">
        <f>IF($A112="","",SUMIFS(EntQtd,EntCod,$A112))</f>
        <v>0</v>
      </c>
      <c r="I112" s="22">
        <f>IF($A112="","",SUMIFS(ItQtd,ItCod,$A112,ItStatus,"&lt;&gt;Orçamento",ItStatus,"&lt;&gt;Cancelada"))</f>
        <v>0</v>
      </c>
      <c r="J112" s="23">
        <f>IF($A112="","",N($E112)+$H112-$I112)</f>
        <v>0</v>
      </c>
      <c r="K112" s="24">
        <f>IF($A112="","",IF($J112&lt;=0,"RUPTURA",IF($J112&lt;=N($F112),"REPOR","OK")))</f>
        <v>0</v>
      </c>
    </row>
    <row r="113" spans="1:11">
      <c r="A113" s="13"/>
      <c r="B113" s="13"/>
      <c r="C113" s="19"/>
      <c r="D113" s="19"/>
      <c r="E113" s="20"/>
      <c r="F113" s="20"/>
      <c r="G113" s="21">
        <f>IF($A113="","",IF($D113&lt;&gt;"",$D113,N($C113)*(1+MarkupPeca)))</f>
        <v>0</v>
      </c>
      <c r="H113" s="22">
        <f>IF($A113="","",SUMIFS(EntQtd,EntCod,$A113))</f>
        <v>0</v>
      </c>
      <c r="I113" s="22">
        <f>IF($A113="","",SUMIFS(ItQtd,ItCod,$A113,ItStatus,"&lt;&gt;Orçamento",ItStatus,"&lt;&gt;Cancelada"))</f>
        <v>0</v>
      </c>
      <c r="J113" s="23">
        <f>IF($A113="","",N($E113)+$H113-$I113)</f>
        <v>0</v>
      </c>
      <c r="K113" s="24">
        <f>IF($A113="","",IF($J113&lt;=0,"RUPTURA",IF($J113&lt;=N($F113),"REPOR","OK")))</f>
        <v>0</v>
      </c>
    </row>
    <row r="114" spans="1:11">
      <c r="A114" s="13"/>
      <c r="B114" s="13"/>
      <c r="C114" s="19"/>
      <c r="D114" s="19"/>
      <c r="E114" s="20"/>
      <c r="F114" s="20"/>
      <c r="G114" s="21">
        <f>IF($A114="","",IF($D114&lt;&gt;"",$D114,N($C114)*(1+MarkupPeca)))</f>
        <v>0</v>
      </c>
      <c r="H114" s="22">
        <f>IF($A114="","",SUMIFS(EntQtd,EntCod,$A114))</f>
        <v>0</v>
      </c>
      <c r="I114" s="22">
        <f>IF($A114="","",SUMIFS(ItQtd,ItCod,$A114,ItStatus,"&lt;&gt;Orçamento",ItStatus,"&lt;&gt;Cancelada"))</f>
        <v>0</v>
      </c>
      <c r="J114" s="23">
        <f>IF($A114="","",N($E114)+$H114-$I114)</f>
        <v>0</v>
      </c>
      <c r="K114" s="24">
        <f>IF($A114="","",IF($J114&lt;=0,"RUPTURA",IF($J114&lt;=N($F114),"REPOR","OK")))</f>
        <v>0</v>
      </c>
    </row>
    <row r="115" spans="1:11">
      <c r="A115" s="13"/>
      <c r="B115" s="13"/>
      <c r="C115" s="19"/>
      <c r="D115" s="19"/>
      <c r="E115" s="20"/>
      <c r="F115" s="20"/>
      <c r="G115" s="21">
        <f>IF($A115="","",IF($D115&lt;&gt;"",$D115,N($C115)*(1+MarkupPeca)))</f>
        <v>0</v>
      </c>
      <c r="H115" s="22">
        <f>IF($A115="","",SUMIFS(EntQtd,EntCod,$A115))</f>
        <v>0</v>
      </c>
      <c r="I115" s="22">
        <f>IF($A115="","",SUMIFS(ItQtd,ItCod,$A115,ItStatus,"&lt;&gt;Orçamento",ItStatus,"&lt;&gt;Cancelada"))</f>
        <v>0</v>
      </c>
      <c r="J115" s="23">
        <f>IF($A115="","",N($E115)+$H115-$I115)</f>
        <v>0</v>
      </c>
      <c r="K115" s="24">
        <f>IF($A115="","",IF($J115&lt;=0,"RUPTURA",IF($J115&lt;=N($F115),"REPOR","OK")))</f>
        <v>0</v>
      </c>
    </row>
    <row r="116" spans="1:11">
      <c r="A116" s="13"/>
      <c r="B116" s="13"/>
      <c r="C116" s="19"/>
      <c r="D116" s="19"/>
      <c r="E116" s="20"/>
      <c r="F116" s="20"/>
      <c r="G116" s="21">
        <f>IF($A116="","",IF($D116&lt;&gt;"",$D116,N($C116)*(1+MarkupPeca)))</f>
        <v>0</v>
      </c>
      <c r="H116" s="22">
        <f>IF($A116="","",SUMIFS(EntQtd,EntCod,$A116))</f>
        <v>0</v>
      </c>
      <c r="I116" s="22">
        <f>IF($A116="","",SUMIFS(ItQtd,ItCod,$A116,ItStatus,"&lt;&gt;Orçamento",ItStatus,"&lt;&gt;Cancelada"))</f>
        <v>0</v>
      </c>
      <c r="J116" s="23">
        <f>IF($A116="","",N($E116)+$H116-$I116)</f>
        <v>0</v>
      </c>
      <c r="K116" s="24">
        <f>IF($A116="","",IF($J116&lt;=0,"RUPTURA",IF($J116&lt;=N($F116),"REPOR","OK")))</f>
        <v>0</v>
      </c>
    </row>
    <row r="117" spans="1:11">
      <c r="A117" s="13"/>
      <c r="B117" s="13"/>
      <c r="C117" s="19"/>
      <c r="D117" s="19"/>
      <c r="E117" s="20"/>
      <c r="F117" s="20"/>
      <c r="G117" s="21">
        <f>IF($A117="","",IF($D117&lt;&gt;"",$D117,N($C117)*(1+MarkupPeca)))</f>
        <v>0</v>
      </c>
      <c r="H117" s="22">
        <f>IF($A117="","",SUMIFS(EntQtd,EntCod,$A117))</f>
        <v>0</v>
      </c>
      <c r="I117" s="22">
        <f>IF($A117="","",SUMIFS(ItQtd,ItCod,$A117,ItStatus,"&lt;&gt;Orçamento",ItStatus,"&lt;&gt;Cancelada"))</f>
        <v>0</v>
      </c>
      <c r="J117" s="23">
        <f>IF($A117="","",N($E117)+$H117-$I117)</f>
        <v>0</v>
      </c>
      <c r="K117" s="24">
        <f>IF($A117="","",IF($J117&lt;=0,"RUPTURA",IF($J117&lt;=N($F117),"REPOR","OK")))</f>
        <v>0</v>
      </c>
    </row>
    <row r="118" spans="1:11">
      <c r="A118" s="13"/>
      <c r="B118" s="13"/>
      <c r="C118" s="19"/>
      <c r="D118" s="19"/>
      <c r="E118" s="20"/>
      <c r="F118" s="20"/>
      <c r="G118" s="21">
        <f>IF($A118="","",IF($D118&lt;&gt;"",$D118,N($C118)*(1+MarkupPeca)))</f>
        <v>0</v>
      </c>
      <c r="H118" s="22">
        <f>IF($A118="","",SUMIFS(EntQtd,EntCod,$A118))</f>
        <v>0</v>
      </c>
      <c r="I118" s="22">
        <f>IF($A118="","",SUMIFS(ItQtd,ItCod,$A118,ItStatus,"&lt;&gt;Orçamento",ItStatus,"&lt;&gt;Cancelada"))</f>
        <v>0</v>
      </c>
      <c r="J118" s="23">
        <f>IF($A118="","",N($E118)+$H118-$I118)</f>
        <v>0</v>
      </c>
      <c r="K118" s="24">
        <f>IF($A118="","",IF($J118&lt;=0,"RUPTURA",IF($J118&lt;=N($F118),"REPOR","OK")))</f>
        <v>0</v>
      </c>
    </row>
    <row r="119" spans="1:11">
      <c r="A119" s="13"/>
      <c r="B119" s="13"/>
      <c r="C119" s="19"/>
      <c r="D119" s="19"/>
      <c r="E119" s="20"/>
      <c r="F119" s="20"/>
      <c r="G119" s="21">
        <f>IF($A119="","",IF($D119&lt;&gt;"",$D119,N($C119)*(1+MarkupPeca)))</f>
        <v>0</v>
      </c>
      <c r="H119" s="22">
        <f>IF($A119="","",SUMIFS(EntQtd,EntCod,$A119))</f>
        <v>0</v>
      </c>
      <c r="I119" s="22">
        <f>IF($A119="","",SUMIFS(ItQtd,ItCod,$A119,ItStatus,"&lt;&gt;Orçamento",ItStatus,"&lt;&gt;Cancelada"))</f>
        <v>0</v>
      </c>
      <c r="J119" s="23">
        <f>IF($A119="","",N($E119)+$H119-$I119)</f>
        <v>0</v>
      </c>
      <c r="K119" s="24">
        <f>IF($A119="","",IF($J119&lt;=0,"RUPTURA",IF($J119&lt;=N($F119),"REPOR","OK")))</f>
        <v>0</v>
      </c>
    </row>
    <row r="120" spans="1:11">
      <c r="A120" s="13"/>
      <c r="B120" s="13"/>
      <c r="C120" s="19"/>
      <c r="D120" s="19"/>
      <c r="E120" s="20"/>
      <c r="F120" s="20"/>
      <c r="G120" s="21">
        <f>IF($A120="","",IF($D120&lt;&gt;"",$D120,N($C120)*(1+MarkupPeca)))</f>
        <v>0</v>
      </c>
      <c r="H120" s="22">
        <f>IF($A120="","",SUMIFS(EntQtd,EntCod,$A120))</f>
        <v>0</v>
      </c>
      <c r="I120" s="22">
        <f>IF($A120="","",SUMIFS(ItQtd,ItCod,$A120,ItStatus,"&lt;&gt;Orçamento",ItStatus,"&lt;&gt;Cancelada"))</f>
        <v>0</v>
      </c>
      <c r="J120" s="23">
        <f>IF($A120="","",N($E120)+$H120-$I120)</f>
        <v>0</v>
      </c>
      <c r="K120" s="24">
        <f>IF($A120="","",IF($J120&lt;=0,"RUPTURA",IF($J120&lt;=N($F120),"REPOR","OK")))</f>
        <v>0</v>
      </c>
    </row>
    <row r="121" spans="1:11">
      <c r="A121" s="13"/>
      <c r="B121" s="13"/>
      <c r="C121" s="19"/>
      <c r="D121" s="19"/>
      <c r="E121" s="20"/>
      <c r="F121" s="20"/>
      <c r="G121" s="21">
        <f>IF($A121="","",IF($D121&lt;&gt;"",$D121,N($C121)*(1+MarkupPeca)))</f>
        <v>0</v>
      </c>
      <c r="H121" s="22">
        <f>IF($A121="","",SUMIFS(EntQtd,EntCod,$A121))</f>
        <v>0</v>
      </c>
      <c r="I121" s="22">
        <f>IF($A121="","",SUMIFS(ItQtd,ItCod,$A121,ItStatus,"&lt;&gt;Orçamento",ItStatus,"&lt;&gt;Cancelada"))</f>
        <v>0</v>
      </c>
      <c r="J121" s="23">
        <f>IF($A121="","",N($E121)+$H121-$I121)</f>
        <v>0</v>
      </c>
      <c r="K121" s="24">
        <f>IF($A121="","",IF($J121&lt;=0,"RUPTURA",IF($J121&lt;=N($F121),"REPOR","OK")))</f>
        <v>0</v>
      </c>
    </row>
    <row r="122" spans="1:11">
      <c r="A122" s="13"/>
      <c r="B122" s="13"/>
      <c r="C122" s="19"/>
      <c r="D122" s="19"/>
      <c r="E122" s="20"/>
      <c r="F122" s="20"/>
      <c r="G122" s="21">
        <f>IF($A122="","",IF($D122&lt;&gt;"",$D122,N($C122)*(1+MarkupPeca)))</f>
        <v>0</v>
      </c>
      <c r="H122" s="22">
        <f>IF($A122="","",SUMIFS(EntQtd,EntCod,$A122))</f>
        <v>0</v>
      </c>
      <c r="I122" s="22">
        <f>IF($A122="","",SUMIFS(ItQtd,ItCod,$A122,ItStatus,"&lt;&gt;Orçamento",ItStatus,"&lt;&gt;Cancelada"))</f>
        <v>0</v>
      </c>
      <c r="J122" s="23">
        <f>IF($A122="","",N($E122)+$H122-$I122)</f>
        <v>0</v>
      </c>
      <c r="K122" s="24">
        <f>IF($A122="","",IF($J122&lt;=0,"RUPTURA",IF($J122&lt;=N($F122),"REPOR","OK")))</f>
        <v>0</v>
      </c>
    </row>
    <row r="123" spans="1:11">
      <c r="A123" s="13"/>
      <c r="B123" s="13"/>
      <c r="C123" s="19"/>
      <c r="D123" s="19"/>
      <c r="E123" s="20"/>
      <c r="F123" s="20"/>
      <c r="G123" s="21">
        <f>IF($A123="","",IF($D123&lt;&gt;"",$D123,N($C123)*(1+MarkupPeca)))</f>
        <v>0</v>
      </c>
      <c r="H123" s="22">
        <f>IF($A123="","",SUMIFS(EntQtd,EntCod,$A123))</f>
        <v>0</v>
      </c>
      <c r="I123" s="22">
        <f>IF($A123="","",SUMIFS(ItQtd,ItCod,$A123,ItStatus,"&lt;&gt;Orçamento",ItStatus,"&lt;&gt;Cancelada"))</f>
        <v>0</v>
      </c>
      <c r="J123" s="23">
        <f>IF($A123="","",N($E123)+$H123-$I123)</f>
        <v>0</v>
      </c>
      <c r="K123" s="24">
        <f>IF($A123="","",IF($J123&lt;=0,"RUPTURA",IF($J123&lt;=N($F123),"REPOR","OK")))</f>
        <v>0</v>
      </c>
    </row>
    <row r="124" spans="1:11">
      <c r="A124" s="13"/>
      <c r="B124" s="13"/>
      <c r="C124" s="19"/>
      <c r="D124" s="19"/>
      <c r="E124" s="20"/>
      <c r="F124" s="20"/>
      <c r="G124" s="21">
        <f>IF($A124="","",IF($D124&lt;&gt;"",$D124,N($C124)*(1+MarkupPeca)))</f>
        <v>0</v>
      </c>
      <c r="H124" s="22">
        <f>IF($A124="","",SUMIFS(EntQtd,EntCod,$A124))</f>
        <v>0</v>
      </c>
      <c r="I124" s="22">
        <f>IF($A124="","",SUMIFS(ItQtd,ItCod,$A124,ItStatus,"&lt;&gt;Orçamento",ItStatus,"&lt;&gt;Cancelada"))</f>
        <v>0</v>
      </c>
      <c r="J124" s="23">
        <f>IF($A124="","",N($E124)+$H124-$I124)</f>
        <v>0</v>
      </c>
      <c r="K124" s="24">
        <f>IF($A124="","",IF($J124&lt;=0,"RUPTURA",IF($J124&lt;=N($F124),"REPOR","OK")))</f>
        <v>0</v>
      </c>
    </row>
    <row r="125" spans="1:11">
      <c r="A125" s="13"/>
      <c r="B125" s="13"/>
      <c r="C125" s="19"/>
      <c r="D125" s="19"/>
      <c r="E125" s="20"/>
      <c r="F125" s="20"/>
      <c r="G125" s="21">
        <f>IF($A125="","",IF($D125&lt;&gt;"",$D125,N($C125)*(1+MarkupPeca)))</f>
        <v>0</v>
      </c>
      <c r="H125" s="22">
        <f>IF($A125="","",SUMIFS(EntQtd,EntCod,$A125))</f>
        <v>0</v>
      </c>
      <c r="I125" s="22">
        <f>IF($A125="","",SUMIFS(ItQtd,ItCod,$A125,ItStatus,"&lt;&gt;Orçamento",ItStatus,"&lt;&gt;Cancelada"))</f>
        <v>0</v>
      </c>
      <c r="J125" s="23">
        <f>IF($A125="","",N($E125)+$H125-$I125)</f>
        <v>0</v>
      </c>
      <c r="K125" s="24">
        <f>IF($A125="","",IF($J125&lt;=0,"RUPTURA",IF($J125&lt;=N($F125),"REPOR","OK")))</f>
        <v>0</v>
      </c>
    </row>
    <row r="126" spans="1:11">
      <c r="A126" s="13"/>
      <c r="B126" s="13"/>
      <c r="C126" s="19"/>
      <c r="D126" s="19"/>
      <c r="E126" s="20"/>
      <c r="F126" s="20"/>
      <c r="G126" s="21">
        <f>IF($A126="","",IF($D126&lt;&gt;"",$D126,N($C126)*(1+MarkupPeca)))</f>
        <v>0</v>
      </c>
      <c r="H126" s="22">
        <f>IF($A126="","",SUMIFS(EntQtd,EntCod,$A126))</f>
        <v>0</v>
      </c>
      <c r="I126" s="22">
        <f>IF($A126="","",SUMIFS(ItQtd,ItCod,$A126,ItStatus,"&lt;&gt;Orçamento",ItStatus,"&lt;&gt;Cancelada"))</f>
        <v>0</v>
      </c>
      <c r="J126" s="23">
        <f>IF($A126="","",N($E126)+$H126-$I126)</f>
        <v>0</v>
      </c>
      <c r="K126" s="24">
        <f>IF($A126="","",IF($J126&lt;=0,"RUPTURA",IF($J126&lt;=N($F126),"REPOR","OK")))</f>
        <v>0</v>
      </c>
    </row>
    <row r="127" spans="1:11">
      <c r="A127" s="13"/>
      <c r="B127" s="13"/>
      <c r="C127" s="19"/>
      <c r="D127" s="19"/>
      <c r="E127" s="20"/>
      <c r="F127" s="20"/>
      <c r="G127" s="21">
        <f>IF($A127="","",IF($D127&lt;&gt;"",$D127,N($C127)*(1+MarkupPeca)))</f>
        <v>0</v>
      </c>
      <c r="H127" s="22">
        <f>IF($A127="","",SUMIFS(EntQtd,EntCod,$A127))</f>
        <v>0</v>
      </c>
      <c r="I127" s="22">
        <f>IF($A127="","",SUMIFS(ItQtd,ItCod,$A127,ItStatus,"&lt;&gt;Orçamento",ItStatus,"&lt;&gt;Cancelada"))</f>
        <v>0</v>
      </c>
      <c r="J127" s="23">
        <f>IF($A127="","",N($E127)+$H127-$I127)</f>
        <v>0</v>
      </c>
      <c r="K127" s="24">
        <f>IF($A127="","",IF($J127&lt;=0,"RUPTURA",IF($J127&lt;=N($F127),"REPOR","OK")))</f>
        <v>0</v>
      </c>
    </row>
    <row r="128" spans="1:11">
      <c r="A128" s="13"/>
      <c r="B128" s="13"/>
      <c r="C128" s="19"/>
      <c r="D128" s="19"/>
      <c r="E128" s="20"/>
      <c r="F128" s="20"/>
      <c r="G128" s="21">
        <f>IF($A128="","",IF($D128&lt;&gt;"",$D128,N($C128)*(1+MarkupPeca)))</f>
        <v>0</v>
      </c>
      <c r="H128" s="22">
        <f>IF($A128="","",SUMIFS(EntQtd,EntCod,$A128))</f>
        <v>0</v>
      </c>
      <c r="I128" s="22">
        <f>IF($A128="","",SUMIFS(ItQtd,ItCod,$A128,ItStatus,"&lt;&gt;Orçamento",ItStatus,"&lt;&gt;Cancelada"))</f>
        <v>0</v>
      </c>
      <c r="J128" s="23">
        <f>IF($A128="","",N($E128)+$H128-$I128)</f>
        <v>0</v>
      </c>
      <c r="K128" s="24">
        <f>IF($A128="","",IF($J128&lt;=0,"RUPTURA",IF($J128&lt;=N($F128),"REPOR","OK")))</f>
        <v>0</v>
      </c>
    </row>
    <row r="129" spans="1:11">
      <c r="A129" s="13"/>
      <c r="B129" s="13"/>
      <c r="C129" s="19"/>
      <c r="D129" s="19"/>
      <c r="E129" s="20"/>
      <c r="F129" s="20"/>
      <c r="G129" s="21">
        <f>IF($A129="","",IF($D129&lt;&gt;"",$D129,N($C129)*(1+MarkupPeca)))</f>
        <v>0</v>
      </c>
      <c r="H129" s="22">
        <f>IF($A129="","",SUMIFS(EntQtd,EntCod,$A129))</f>
        <v>0</v>
      </c>
      <c r="I129" s="22">
        <f>IF($A129="","",SUMIFS(ItQtd,ItCod,$A129,ItStatus,"&lt;&gt;Orçamento",ItStatus,"&lt;&gt;Cancelada"))</f>
        <v>0</v>
      </c>
      <c r="J129" s="23">
        <f>IF($A129="","",N($E129)+$H129-$I129)</f>
        <v>0</v>
      </c>
      <c r="K129" s="24">
        <f>IF($A129="","",IF($J129&lt;=0,"RUPTURA",IF($J129&lt;=N($F129),"REPOR","OK")))</f>
        <v>0</v>
      </c>
    </row>
    <row r="130" spans="1:11">
      <c r="A130" s="13"/>
      <c r="B130" s="13"/>
      <c r="C130" s="19"/>
      <c r="D130" s="19"/>
      <c r="E130" s="20"/>
      <c r="F130" s="20"/>
      <c r="G130" s="21">
        <f>IF($A130="","",IF($D130&lt;&gt;"",$D130,N($C130)*(1+MarkupPeca)))</f>
        <v>0</v>
      </c>
      <c r="H130" s="22">
        <f>IF($A130="","",SUMIFS(EntQtd,EntCod,$A130))</f>
        <v>0</v>
      </c>
      <c r="I130" s="22">
        <f>IF($A130="","",SUMIFS(ItQtd,ItCod,$A130,ItStatus,"&lt;&gt;Orçamento",ItStatus,"&lt;&gt;Cancelada"))</f>
        <v>0</v>
      </c>
      <c r="J130" s="23">
        <f>IF($A130="","",N($E130)+$H130-$I130)</f>
        <v>0</v>
      </c>
      <c r="K130" s="24">
        <f>IF($A130="","",IF($J130&lt;=0,"RUPTURA",IF($J130&lt;=N($F130),"REPOR","OK")))</f>
        <v>0</v>
      </c>
    </row>
    <row r="131" spans="1:11">
      <c r="A131" s="13"/>
      <c r="B131" s="13"/>
      <c r="C131" s="19"/>
      <c r="D131" s="19"/>
      <c r="E131" s="20"/>
      <c r="F131" s="20"/>
      <c r="G131" s="21">
        <f>IF($A131="","",IF($D131&lt;&gt;"",$D131,N($C131)*(1+MarkupPeca)))</f>
        <v>0</v>
      </c>
      <c r="H131" s="22">
        <f>IF($A131="","",SUMIFS(EntQtd,EntCod,$A131))</f>
        <v>0</v>
      </c>
      <c r="I131" s="22">
        <f>IF($A131="","",SUMIFS(ItQtd,ItCod,$A131,ItStatus,"&lt;&gt;Orçamento",ItStatus,"&lt;&gt;Cancelada"))</f>
        <v>0</v>
      </c>
      <c r="J131" s="23">
        <f>IF($A131="","",N($E131)+$H131-$I131)</f>
        <v>0</v>
      </c>
      <c r="K131" s="24">
        <f>IF($A131="","",IF($J131&lt;=0,"RUPTURA",IF($J131&lt;=N($F131),"REPOR","OK")))</f>
        <v>0</v>
      </c>
    </row>
    <row r="132" spans="1:11">
      <c r="A132" s="13"/>
      <c r="B132" s="13"/>
      <c r="C132" s="19"/>
      <c r="D132" s="19"/>
      <c r="E132" s="20"/>
      <c r="F132" s="20"/>
      <c r="G132" s="21">
        <f>IF($A132="","",IF($D132&lt;&gt;"",$D132,N($C132)*(1+MarkupPeca)))</f>
        <v>0</v>
      </c>
      <c r="H132" s="22">
        <f>IF($A132="","",SUMIFS(EntQtd,EntCod,$A132))</f>
        <v>0</v>
      </c>
      <c r="I132" s="22">
        <f>IF($A132="","",SUMIFS(ItQtd,ItCod,$A132,ItStatus,"&lt;&gt;Orçamento",ItStatus,"&lt;&gt;Cancelada"))</f>
        <v>0</v>
      </c>
      <c r="J132" s="23">
        <f>IF($A132="","",N($E132)+$H132-$I132)</f>
        <v>0</v>
      </c>
      <c r="K132" s="24">
        <f>IF($A132="","",IF($J132&lt;=0,"RUPTURA",IF($J132&lt;=N($F132),"REPOR","OK")))</f>
        <v>0</v>
      </c>
    </row>
    <row r="133" spans="1:11">
      <c r="A133" s="13"/>
      <c r="B133" s="13"/>
      <c r="C133" s="19"/>
      <c r="D133" s="19"/>
      <c r="E133" s="20"/>
      <c r="F133" s="20"/>
      <c r="G133" s="21">
        <f>IF($A133="","",IF($D133&lt;&gt;"",$D133,N($C133)*(1+MarkupPeca)))</f>
        <v>0</v>
      </c>
      <c r="H133" s="22">
        <f>IF($A133="","",SUMIFS(EntQtd,EntCod,$A133))</f>
        <v>0</v>
      </c>
      <c r="I133" s="22">
        <f>IF($A133="","",SUMIFS(ItQtd,ItCod,$A133,ItStatus,"&lt;&gt;Orçamento",ItStatus,"&lt;&gt;Cancelada"))</f>
        <v>0</v>
      </c>
      <c r="J133" s="23">
        <f>IF($A133="","",N($E133)+$H133-$I133)</f>
        <v>0</v>
      </c>
      <c r="K133" s="24">
        <f>IF($A133="","",IF($J133&lt;=0,"RUPTURA",IF($J133&lt;=N($F133),"REPOR","OK")))</f>
        <v>0</v>
      </c>
    </row>
    <row r="134" spans="1:11">
      <c r="A134" s="13"/>
      <c r="B134" s="13"/>
      <c r="C134" s="19"/>
      <c r="D134" s="19"/>
      <c r="E134" s="20"/>
      <c r="F134" s="20"/>
      <c r="G134" s="21">
        <f>IF($A134="","",IF($D134&lt;&gt;"",$D134,N($C134)*(1+MarkupPeca)))</f>
        <v>0</v>
      </c>
      <c r="H134" s="22">
        <f>IF($A134="","",SUMIFS(EntQtd,EntCod,$A134))</f>
        <v>0</v>
      </c>
      <c r="I134" s="22">
        <f>IF($A134="","",SUMIFS(ItQtd,ItCod,$A134,ItStatus,"&lt;&gt;Orçamento",ItStatus,"&lt;&gt;Cancelada"))</f>
        <v>0</v>
      </c>
      <c r="J134" s="23">
        <f>IF($A134="","",N($E134)+$H134-$I134)</f>
        <v>0</v>
      </c>
      <c r="K134" s="24">
        <f>IF($A134="","",IF($J134&lt;=0,"RUPTURA",IF($J134&lt;=N($F134),"REPOR","OK")))</f>
        <v>0</v>
      </c>
    </row>
    <row r="135" spans="1:11">
      <c r="A135" s="13"/>
      <c r="B135" s="13"/>
      <c r="C135" s="19"/>
      <c r="D135" s="19"/>
      <c r="E135" s="20"/>
      <c r="F135" s="20"/>
      <c r="G135" s="21">
        <f>IF($A135="","",IF($D135&lt;&gt;"",$D135,N($C135)*(1+MarkupPeca)))</f>
        <v>0</v>
      </c>
      <c r="H135" s="22">
        <f>IF($A135="","",SUMIFS(EntQtd,EntCod,$A135))</f>
        <v>0</v>
      </c>
      <c r="I135" s="22">
        <f>IF($A135="","",SUMIFS(ItQtd,ItCod,$A135,ItStatus,"&lt;&gt;Orçamento",ItStatus,"&lt;&gt;Cancelada"))</f>
        <v>0</v>
      </c>
      <c r="J135" s="23">
        <f>IF($A135="","",N($E135)+$H135-$I135)</f>
        <v>0</v>
      </c>
      <c r="K135" s="24">
        <f>IF($A135="","",IF($J135&lt;=0,"RUPTURA",IF($J135&lt;=N($F135),"REPOR","OK")))</f>
        <v>0</v>
      </c>
    </row>
    <row r="136" spans="1:11">
      <c r="A136" s="13"/>
      <c r="B136" s="13"/>
      <c r="C136" s="19"/>
      <c r="D136" s="19"/>
      <c r="E136" s="20"/>
      <c r="F136" s="20"/>
      <c r="G136" s="21">
        <f>IF($A136="","",IF($D136&lt;&gt;"",$D136,N($C136)*(1+MarkupPeca)))</f>
        <v>0</v>
      </c>
      <c r="H136" s="22">
        <f>IF($A136="","",SUMIFS(EntQtd,EntCod,$A136))</f>
        <v>0</v>
      </c>
      <c r="I136" s="22">
        <f>IF($A136="","",SUMIFS(ItQtd,ItCod,$A136,ItStatus,"&lt;&gt;Orçamento",ItStatus,"&lt;&gt;Cancelada"))</f>
        <v>0</v>
      </c>
      <c r="J136" s="23">
        <f>IF($A136="","",N($E136)+$H136-$I136)</f>
        <v>0</v>
      </c>
      <c r="K136" s="24">
        <f>IF($A136="","",IF($J136&lt;=0,"RUPTURA",IF($J136&lt;=N($F136),"REPOR","OK")))</f>
        <v>0</v>
      </c>
    </row>
    <row r="137" spans="1:11">
      <c r="A137" s="13"/>
      <c r="B137" s="13"/>
      <c r="C137" s="19"/>
      <c r="D137" s="19"/>
      <c r="E137" s="20"/>
      <c r="F137" s="20"/>
      <c r="G137" s="21">
        <f>IF($A137="","",IF($D137&lt;&gt;"",$D137,N($C137)*(1+MarkupPeca)))</f>
        <v>0</v>
      </c>
      <c r="H137" s="22">
        <f>IF($A137="","",SUMIFS(EntQtd,EntCod,$A137))</f>
        <v>0</v>
      </c>
      <c r="I137" s="22">
        <f>IF($A137="","",SUMIFS(ItQtd,ItCod,$A137,ItStatus,"&lt;&gt;Orçamento",ItStatus,"&lt;&gt;Cancelada"))</f>
        <v>0</v>
      </c>
      <c r="J137" s="23">
        <f>IF($A137="","",N($E137)+$H137-$I137)</f>
        <v>0</v>
      </c>
      <c r="K137" s="24">
        <f>IF($A137="","",IF($J137&lt;=0,"RUPTURA",IF($J137&lt;=N($F137),"REPOR","OK")))</f>
        <v>0</v>
      </c>
    </row>
    <row r="138" spans="1:11">
      <c r="A138" s="13"/>
      <c r="B138" s="13"/>
      <c r="C138" s="19"/>
      <c r="D138" s="19"/>
      <c r="E138" s="20"/>
      <c r="F138" s="20"/>
      <c r="G138" s="21">
        <f>IF($A138="","",IF($D138&lt;&gt;"",$D138,N($C138)*(1+MarkupPeca)))</f>
        <v>0</v>
      </c>
      <c r="H138" s="22">
        <f>IF($A138="","",SUMIFS(EntQtd,EntCod,$A138))</f>
        <v>0</v>
      </c>
      <c r="I138" s="22">
        <f>IF($A138="","",SUMIFS(ItQtd,ItCod,$A138,ItStatus,"&lt;&gt;Orçamento",ItStatus,"&lt;&gt;Cancelada"))</f>
        <v>0</v>
      </c>
      <c r="J138" s="23">
        <f>IF($A138="","",N($E138)+$H138-$I138)</f>
        <v>0</v>
      </c>
      <c r="K138" s="24">
        <f>IF($A138="","",IF($J138&lt;=0,"RUPTURA",IF($J138&lt;=N($F138),"REPOR","OK")))</f>
        <v>0</v>
      </c>
    </row>
    <row r="139" spans="1:11">
      <c r="A139" s="13"/>
      <c r="B139" s="13"/>
      <c r="C139" s="19"/>
      <c r="D139" s="19"/>
      <c r="E139" s="20"/>
      <c r="F139" s="20"/>
      <c r="G139" s="21">
        <f>IF($A139="","",IF($D139&lt;&gt;"",$D139,N($C139)*(1+MarkupPeca)))</f>
        <v>0</v>
      </c>
      <c r="H139" s="22">
        <f>IF($A139="","",SUMIFS(EntQtd,EntCod,$A139))</f>
        <v>0</v>
      </c>
      <c r="I139" s="22">
        <f>IF($A139="","",SUMIFS(ItQtd,ItCod,$A139,ItStatus,"&lt;&gt;Orçamento",ItStatus,"&lt;&gt;Cancelada"))</f>
        <v>0</v>
      </c>
      <c r="J139" s="23">
        <f>IF($A139="","",N($E139)+$H139-$I139)</f>
        <v>0</v>
      </c>
      <c r="K139" s="24">
        <f>IF($A139="","",IF($J139&lt;=0,"RUPTURA",IF($J139&lt;=N($F139),"REPOR","OK")))</f>
        <v>0</v>
      </c>
    </row>
    <row r="140" spans="1:11">
      <c r="A140" s="13"/>
      <c r="B140" s="13"/>
      <c r="C140" s="19"/>
      <c r="D140" s="19"/>
      <c r="E140" s="20"/>
      <c r="F140" s="20"/>
      <c r="G140" s="21">
        <f>IF($A140="","",IF($D140&lt;&gt;"",$D140,N($C140)*(1+MarkupPeca)))</f>
        <v>0</v>
      </c>
      <c r="H140" s="22">
        <f>IF($A140="","",SUMIFS(EntQtd,EntCod,$A140))</f>
        <v>0</v>
      </c>
      <c r="I140" s="22">
        <f>IF($A140="","",SUMIFS(ItQtd,ItCod,$A140,ItStatus,"&lt;&gt;Orçamento",ItStatus,"&lt;&gt;Cancelada"))</f>
        <v>0</v>
      </c>
      <c r="J140" s="23">
        <f>IF($A140="","",N($E140)+$H140-$I140)</f>
        <v>0</v>
      </c>
      <c r="K140" s="24">
        <f>IF($A140="","",IF($J140&lt;=0,"RUPTURA",IF($J140&lt;=N($F140),"REPOR","OK")))</f>
        <v>0</v>
      </c>
    </row>
    <row r="141" spans="1:11">
      <c r="A141" s="13"/>
      <c r="B141" s="13"/>
      <c r="C141" s="19"/>
      <c r="D141" s="19"/>
      <c r="E141" s="20"/>
      <c r="F141" s="20"/>
      <c r="G141" s="21">
        <f>IF($A141="","",IF($D141&lt;&gt;"",$D141,N($C141)*(1+MarkupPeca)))</f>
        <v>0</v>
      </c>
      <c r="H141" s="22">
        <f>IF($A141="","",SUMIFS(EntQtd,EntCod,$A141))</f>
        <v>0</v>
      </c>
      <c r="I141" s="22">
        <f>IF($A141="","",SUMIFS(ItQtd,ItCod,$A141,ItStatus,"&lt;&gt;Orçamento",ItStatus,"&lt;&gt;Cancelada"))</f>
        <v>0</v>
      </c>
      <c r="J141" s="23">
        <f>IF($A141="","",N($E141)+$H141-$I141)</f>
        <v>0</v>
      </c>
      <c r="K141" s="24">
        <f>IF($A141="","",IF($J141&lt;=0,"RUPTURA",IF($J141&lt;=N($F141),"REPOR","OK")))</f>
        <v>0</v>
      </c>
    </row>
    <row r="142" spans="1:11">
      <c r="A142" s="13"/>
      <c r="B142" s="13"/>
      <c r="C142" s="19"/>
      <c r="D142" s="19"/>
      <c r="E142" s="20"/>
      <c r="F142" s="20"/>
      <c r="G142" s="21">
        <f>IF($A142="","",IF($D142&lt;&gt;"",$D142,N($C142)*(1+MarkupPeca)))</f>
        <v>0</v>
      </c>
      <c r="H142" s="22">
        <f>IF($A142="","",SUMIFS(EntQtd,EntCod,$A142))</f>
        <v>0</v>
      </c>
      <c r="I142" s="22">
        <f>IF($A142="","",SUMIFS(ItQtd,ItCod,$A142,ItStatus,"&lt;&gt;Orçamento",ItStatus,"&lt;&gt;Cancelada"))</f>
        <v>0</v>
      </c>
      <c r="J142" s="23">
        <f>IF($A142="","",N($E142)+$H142-$I142)</f>
        <v>0</v>
      </c>
      <c r="K142" s="24">
        <f>IF($A142="","",IF($J142&lt;=0,"RUPTURA",IF($J142&lt;=N($F142),"REPOR","OK")))</f>
        <v>0</v>
      </c>
    </row>
    <row r="143" spans="1:11">
      <c r="A143" s="13"/>
      <c r="B143" s="13"/>
      <c r="C143" s="19"/>
      <c r="D143" s="19"/>
      <c r="E143" s="20"/>
      <c r="F143" s="20"/>
      <c r="G143" s="21">
        <f>IF($A143="","",IF($D143&lt;&gt;"",$D143,N($C143)*(1+MarkupPeca)))</f>
        <v>0</v>
      </c>
      <c r="H143" s="22">
        <f>IF($A143="","",SUMIFS(EntQtd,EntCod,$A143))</f>
        <v>0</v>
      </c>
      <c r="I143" s="22">
        <f>IF($A143="","",SUMIFS(ItQtd,ItCod,$A143,ItStatus,"&lt;&gt;Orçamento",ItStatus,"&lt;&gt;Cancelada"))</f>
        <v>0</v>
      </c>
      <c r="J143" s="23">
        <f>IF($A143="","",N($E143)+$H143-$I143)</f>
        <v>0</v>
      </c>
      <c r="K143" s="24">
        <f>IF($A143="","",IF($J143&lt;=0,"RUPTURA",IF($J143&lt;=N($F143),"REPOR","OK")))</f>
        <v>0</v>
      </c>
    </row>
    <row r="144" spans="1:11">
      <c r="A144" s="13"/>
      <c r="B144" s="13"/>
      <c r="C144" s="19"/>
      <c r="D144" s="19"/>
      <c r="E144" s="20"/>
      <c r="F144" s="20"/>
      <c r="G144" s="21">
        <f>IF($A144="","",IF($D144&lt;&gt;"",$D144,N($C144)*(1+MarkupPeca)))</f>
        <v>0</v>
      </c>
      <c r="H144" s="22">
        <f>IF($A144="","",SUMIFS(EntQtd,EntCod,$A144))</f>
        <v>0</v>
      </c>
      <c r="I144" s="22">
        <f>IF($A144="","",SUMIFS(ItQtd,ItCod,$A144,ItStatus,"&lt;&gt;Orçamento",ItStatus,"&lt;&gt;Cancelada"))</f>
        <v>0</v>
      </c>
      <c r="J144" s="23">
        <f>IF($A144="","",N($E144)+$H144-$I144)</f>
        <v>0</v>
      </c>
      <c r="K144" s="24">
        <f>IF($A144="","",IF($J144&lt;=0,"RUPTURA",IF($J144&lt;=N($F144),"REPOR","OK")))</f>
        <v>0</v>
      </c>
    </row>
    <row r="145" spans="1:11">
      <c r="A145" s="13"/>
      <c r="B145" s="13"/>
      <c r="C145" s="19"/>
      <c r="D145" s="19"/>
      <c r="E145" s="20"/>
      <c r="F145" s="20"/>
      <c r="G145" s="21">
        <f>IF($A145="","",IF($D145&lt;&gt;"",$D145,N($C145)*(1+MarkupPeca)))</f>
        <v>0</v>
      </c>
      <c r="H145" s="22">
        <f>IF($A145="","",SUMIFS(EntQtd,EntCod,$A145))</f>
        <v>0</v>
      </c>
      <c r="I145" s="22">
        <f>IF($A145="","",SUMIFS(ItQtd,ItCod,$A145,ItStatus,"&lt;&gt;Orçamento",ItStatus,"&lt;&gt;Cancelada"))</f>
        <v>0</v>
      </c>
      <c r="J145" s="23">
        <f>IF($A145="","",N($E145)+$H145-$I145)</f>
        <v>0</v>
      </c>
      <c r="K145" s="24">
        <f>IF($A145="","",IF($J145&lt;=0,"RUPTURA",IF($J145&lt;=N($F145),"REPOR","OK")))</f>
        <v>0</v>
      </c>
    </row>
    <row r="146" spans="1:11">
      <c r="A146" s="13"/>
      <c r="B146" s="13"/>
      <c r="C146" s="19"/>
      <c r="D146" s="19"/>
      <c r="E146" s="20"/>
      <c r="F146" s="20"/>
      <c r="G146" s="21">
        <f>IF($A146="","",IF($D146&lt;&gt;"",$D146,N($C146)*(1+MarkupPeca)))</f>
        <v>0</v>
      </c>
      <c r="H146" s="22">
        <f>IF($A146="","",SUMIFS(EntQtd,EntCod,$A146))</f>
        <v>0</v>
      </c>
      <c r="I146" s="22">
        <f>IF($A146="","",SUMIFS(ItQtd,ItCod,$A146,ItStatus,"&lt;&gt;Orçamento",ItStatus,"&lt;&gt;Cancelada"))</f>
        <v>0</v>
      </c>
      <c r="J146" s="23">
        <f>IF($A146="","",N($E146)+$H146-$I146)</f>
        <v>0</v>
      </c>
      <c r="K146" s="24">
        <f>IF($A146="","",IF($J146&lt;=0,"RUPTURA",IF($J146&lt;=N($F146),"REPOR","OK")))</f>
        <v>0</v>
      </c>
    </row>
    <row r="147" spans="1:11">
      <c r="A147" s="13"/>
      <c r="B147" s="13"/>
      <c r="C147" s="19"/>
      <c r="D147" s="19"/>
      <c r="E147" s="20"/>
      <c r="F147" s="20"/>
      <c r="G147" s="21">
        <f>IF($A147="","",IF($D147&lt;&gt;"",$D147,N($C147)*(1+MarkupPeca)))</f>
        <v>0</v>
      </c>
      <c r="H147" s="22">
        <f>IF($A147="","",SUMIFS(EntQtd,EntCod,$A147))</f>
        <v>0</v>
      </c>
      <c r="I147" s="22">
        <f>IF($A147="","",SUMIFS(ItQtd,ItCod,$A147,ItStatus,"&lt;&gt;Orçamento",ItStatus,"&lt;&gt;Cancelada"))</f>
        <v>0</v>
      </c>
      <c r="J147" s="23">
        <f>IF($A147="","",N($E147)+$H147-$I147)</f>
        <v>0</v>
      </c>
      <c r="K147" s="24">
        <f>IF($A147="","",IF($J147&lt;=0,"RUPTURA",IF($J147&lt;=N($F147),"REPOR","OK")))</f>
        <v>0</v>
      </c>
    </row>
    <row r="148" spans="1:11">
      <c r="A148" s="13"/>
      <c r="B148" s="13"/>
      <c r="C148" s="19"/>
      <c r="D148" s="19"/>
      <c r="E148" s="20"/>
      <c r="F148" s="20"/>
      <c r="G148" s="21">
        <f>IF($A148="","",IF($D148&lt;&gt;"",$D148,N($C148)*(1+MarkupPeca)))</f>
        <v>0</v>
      </c>
      <c r="H148" s="22">
        <f>IF($A148="","",SUMIFS(EntQtd,EntCod,$A148))</f>
        <v>0</v>
      </c>
      <c r="I148" s="22">
        <f>IF($A148="","",SUMIFS(ItQtd,ItCod,$A148,ItStatus,"&lt;&gt;Orçamento",ItStatus,"&lt;&gt;Cancelada"))</f>
        <v>0</v>
      </c>
      <c r="J148" s="23">
        <f>IF($A148="","",N($E148)+$H148-$I148)</f>
        <v>0</v>
      </c>
      <c r="K148" s="24">
        <f>IF($A148="","",IF($J148&lt;=0,"RUPTURA",IF($J148&lt;=N($F148),"REPOR","OK")))</f>
        <v>0</v>
      </c>
    </row>
    <row r="149" spans="1:11">
      <c r="A149" s="13"/>
      <c r="B149" s="13"/>
      <c r="C149" s="19"/>
      <c r="D149" s="19"/>
      <c r="E149" s="20"/>
      <c r="F149" s="20"/>
      <c r="G149" s="21">
        <f>IF($A149="","",IF($D149&lt;&gt;"",$D149,N($C149)*(1+MarkupPeca)))</f>
        <v>0</v>
      </c>
      <c r="H149" s="22">
        <f>IF($A149="","",SUMIFS(EntQtd,EntCod,$A149))</f>
        <v>0</v>
      </c>
      <c r="I149" s="22">
        <f>IF($A149="","",SUMIFS(ItQtd,ItCod,$A149,ItStatus,"&lt;&gt;Orçamento",ItStatus,"&lt;&gt;Cancelada"))</f>
        <v>0</v>
      </c>
      <c r="J149" s="23">
        <f>IF($A149="","",N($E149)+$H149-$I149)</f>
        <v>0</v>
      </c>
      <c r="K149" s="24">
        <f>IF($A149="","",IF($J149&lt;=0,"RUPTURA",IF($J149&lt;=N($F149),"REPOR","OK")))</f>
        <v>0</v>
      </c>
    </row>
    <row r="150" spans="1:11">
      <c r="A150" s="13"/>
      <c r="B150" s="13"/>
      <c r="C150" s="19"/>
      <c r="D150" s="19"/>
      <c r="E150" s="20"/>
      <c r="F150" s="20"/>
      <c r="G150" s="21">
        <f>IF($A150="","",IF($D150&lt;&gt;"",$D150,N($C150)*(1+MarkupPeca)))</f>
        <v>0</v>
      </c>
      <c r="H150" s="22">
        <f>IF($A150="","",SUMIFS(EntQtd,EntCod,$A150))</f>
        <v>0</v>
      </c>
      <c r="I150" s="22">
        <f>IF($A150="","",SUMIFS(ItQtd,ItCod,$A150,ItStatus,"&lt;&gt;Orçamento",ItStatus,"&lt;&gt;Cancelada"))</f>
        <v>0</v>
      </c>
      <c r="J150" s="23">
        <f>IF($A150="","",N($E150)+$H150-$I150)</f>
        <v>0</v>
      </c>
      <c r="K150" s="24">
        <f>IF($A150="","",IF($J150&lt;=0,"RUPTURA",IF($J150&lt;=N($F150),"REPOR","OK")))</f>
        <v>0</v>
      </c>
    </row>
    <row r="151" spans="1:11">
      <c r="A151" s="13"/>
      <c r="B151" s="13"/>
      <c r="C151" s="19"/>
      <c r="D151" s="19"/>
      <c r="E151" s="20"/>
      <c r="F151" s="20"/>
      <c r="G151" s="21">
        <f>IF($A151="","",IF($D151&lt;&gt;"",$D151,N($C151)*(1+MarkupPeca)))</f>
        <v>0</v>
      </c>
      <c r="H151" s="22">
        <f>IF($A151="","",SUMIFS(EntQtd,EntCod,$A151))</f>
        <v>0</v>
      </c>
      <c r="I151" s="22">
        <f>IF($A151="","",SUMIFS(ItQtd,ItCod,$A151,ItStatus,"&lt;&gt;Orçamento",ItStatus,"&lt;&gt;Cancelada"))</f>
        <v>0</v>
      </c>
      <c r="J151" s="23">
        <f>IF($A151="","",N($E151)+$H151-$I151)</f>
        <v>0</v>
      </c>
      <c r="K151" s="24">
        <f>IF($A151="","",IF($J151&lt;=0,"RUPTURA",IF($J151&lt;=N($F151),"REPOR","OK")))</f>
        <v>0</v>
      </c>
    </row>
    <row r="152" spans="1:11">
      <c r="A152" s="13"/>
      <c r="B152" s="13"/>
      <c r="C152" s="19"/>
      <c r="D152" s="19"/>
      <c r="E152" s="20"/>
      <c r="F152" s="20"/>
      <c r="G152" s="21">
        <f>IF($A152="","",IF($D152&lt;&gt;"",$D152,N($C152)*(1+MarkupPeca)))</f>
        <v>0</v>
      </c>
      <c r="H152" s="22">
        <f>IF($A152="","",SUMIFS(EntQtd,EntCod,$A152))</f>
        <v>0</v>
      </c>
      <c r="I152" s="22">
        <f>IF($A152="","",SUMIFS(ItQtd,ItCod,$A152,ItStatus,"&lt;&gt;Orçamento",ItStatus,"&lt;&gt;Cancelada"))</f>
        <v>0</v>
      </c>
      <c r="J152" s="23">
        <f>IF($A152="","",N($E152)+$H152-$I152)</f>
        <v>0</v>
      </c>
      <c r="K152" s="24">
        <f>IF($A152="","",IF($J152&lt;=0,"RUPTURA",IF($J152&lt;=N($F152),"REPOR","OK")))</f>
        <v>0</v>
      </c>
    </row>
    <row r="153" spans="1:11">
      <c r="A153" s="13"/>
      <c r="B153" s="13"/>
      <c r="C153" s="19"/>
      <c r="D153" s="19"/>
      <c r="E153" s="20"/>
      <c r="F153" s="20"/>
      <c r="G153" s="21">
        <f>IF($A153="","",IF($D153&lt;&gt;"",$D153,N($C153)*(1+MarkupPeca)))</f>
        <v>0</v>
      </c>
      <c r="H153" s="22">
        <f>IF($A153="","",SUMIFS(EntQtd,EntCod,$A153))</f>
        <v>0</v>
      </c>
      <c r="I153" s="22">
        <f>IF($A153="","",SUMIFS(ItQtd,ItCod,$A153,ItStatus,"&lt;&gt;Orçamento",ItStatus,"&lt;&gt;Cancelada"))</f>
        <v>0</v>
      </c>
      <c r="J153" s="23">
        <f>IF($A153="","",N($E153)+$H153-$I153)</f>
        <v>0</v>
      </c>
      <c r="K153" s="24">
        <f>IF($A153="","",IF($J153&lt;=0,"RUPTURA",IF($J153&lt;=N($F153),"REPOR","OK")))</f>
        <v>0</v>
      </c>
    </row>
    <row r="154" spans="1:11">
      <c r="A154" s="13"/>
      <c r="B154" s="13"/>
      <c r="C154" s="19"/>
      <c r="D154" s="19"/>
      <c r="E154" s="20"/>
      <c r="F154" s="20"/>
      <c r="G154" s="21">
        <f>IF($A154="","",IF($D154&lt;&gt;"",$D154,N($C154)*(1+MarkupPeca)))</f>
        <v>0</v>
      </c>
      <c r="H154" s="22">
        <f>IF($A154="","",SUMIFS(EntQtd,EntCod,$A154))</f>
        <v>0</v>
      </c>
      <c r="I154" s="22">
        <f>IF($A154="","",SUMIFS(ItQtd,ItCod,$A154,ItStatus,"&lt;&gt;Orçamento",ItStatus,"&lt;&gt;Cancelada"))</f>
        <v>0</v>
      </c>
      <c r="J154" s="23">
        <f>IF($A154="","",N($E154)+$H154-$I154)</f>
        <v>0</v>
      </c>
      <c r="K154" s="24">
        <f>IF($A154="","",IF($J154&lt;=0,"RUPTURA",IF($J154&lt;=N($F154),"REPOR","OK")))</f>
        <v>0</v>
      </c>
    </row>
    <row r="155" spans="1:11">
      <c r="A155" s="13"/>
      <c r="B155" s="13"/>
      <c r="C155" s="19"/>
      <c r="D155" s="19"/>
      <c r="E155" s="20"/>
      <c r="F155" s="20"/>
      <c r="G155" s="21">
        <f>IF($A155="","",IF($D155&lt;&gt;"",$D155,N($C155)*(1+MarkupPeca)))</f>
        <v>0</v>
      </c>
      <c r="H155" s="22">
        <f>IF($A155="","",SUMIFS(EntQtd,EntCod,$A155))</f>
        <v>0</v>
      </c>
      <c r="I155" s="22">
        <f>IF($A155="","",SUMIFS(ItQtd,ItCod,$A155,ItStatus,"&lt;&gt;Orçamento",ItStatus,"&lt;&gt;Cancelada"))</f>
        <v>0</v>
      </c>
      <c r="J155" s="23">
        <f>IF($A155="","",N($E155)+$H155-$I155)</f>
        <v>0</v>
      </c>
      <c r="K155" s="24">
        <f>IF($A155="","",IF($J155&lt;=0,"RUPTURA",IF($J155&lt;=N($F155),"REPOR","OK")))</f>
        <v>0</v>
      </c>
    </row>
    <row r="156" spans="1:11">
      <c r="A156" s="13"/>
      <c r="B156" s="13"/>
      <c r="C156" s="19"/>
      <c r="D156" s="19"/>
      <c r="E156" s="20"/>
      <c r="F156" s="20"/>
      <c r="G156" s="21">
        <f>IF($A156="","",IF($D156&lt;&gt;"",$D156,N($C156)*(1+MarkupPeca)))</f>
        <v>0</v>
      </c>
      <c r="H156" s="22">
        <f>IF($A156="","",SUMIFS(EntQtd,EntCod,$A156))</f>
        <v>0</v>
      </c>
      <c r="I156" s="22">
        <f>IF($A156="","",SUMIFS(ItQtd,ItCod,$A156,ItStatus,"&lt;&gt;Orçamento",ItStatus,"&lt;&gt;Cancelada"))</f>
        <v>0</v>
      </c>
      <c r="J156" s="23">
        <f>IF($A156="","",N($E156)+$H156-$I156)</f>
        <v>0</v>
      </c>
      <c r="K156" s="24">
        <f>IF($A156="","",IF($J156&lt;=0,"RUPTURA",IF($J156&lt;=N($F156),"REPOR","OK")))</f>
        <v>0</v>
      </c>
    </row>
    <row r="157" spans="1:11">
      <c r="A157" s="13"/>
      <c r="B157" s="13"/>
      <c r="C157" s="19"/>
      <c r="D157" s="19"/>
      <c r="E157" s="20"/>
      <c r="F157" s="20"/>
      <c r="G157" s="21">
        <f>IF($A157="","",IF($D157&lt;&gt;"",$D157,N($C157)*(1+MarkupPeca)))</f>
        <v>0</v>
      </c>
      <c r="H157" s="22">
        <f>IF($A157="","",SUMIFS(EntQtd,EntCod,$A157))</f>
        <v>0</v>
      </c>
      <c r="I157" s="22">
        <f>IF($A157="","",SUMIFS(ItQtd,ItCod,$A157,ItStatus,"&lt;&gt;Orçamento",ItStatus,"&lt;&gt;Cancelada"))</f>
        <v>0</v>
      </c>
      <c r="J157" s="23">
        <f>IF($A157="","",N($E157)+$H157-$I157)</f>
        <v>0</v>
      </c>
      <c r="K157" s="24">
        <f>IF($A157="","",IF($J157&lt;=0,"RUPTURA",IF($J157&lt;=N($F157),"REPOR","OK")))</f>
        <v>0</v>
      </c>
    </row>
    <row r="158" spans="1:11">
      <c r="A158" s="13"/>
      <c r="B158" s="13"/>
      <c r="C158" s="19"/>
      <c r="D158" s="19"/>
      <c r="E158" s="20"/>
      <c r="F158" s="20"/>
      <c r="G158" s="21">
        <f>IF($A158="","",IF($D158&lt;&gt;"",$D158,N($C158)*(1+MarkupPeca)))</f>
        <v>0</v>
      </c>
      <c r="H158" s="22">
        <f>IF($A158="","",SUMIFS(EntQtd,EntCod,$A158))</f>
        <v>0</v>
      </c>
      <c r="I158" s="22">
        <f>IF($A158="","",SUMIFS(ItQtd,ItCod,$A158,ItStatus,"&lt;&gt;Orçamento",ItStatus,"&lt;&gt;Cancelada"))</f>
        <v>0</v>
      </c>
      <c r="J158" s="23">
        <f>IF($A158="","",N($E158)+$H158-$I158)</f>
        <v>0</v>
      </c>
      <c r="K158" s="24">
        <f>IF($A158="","",IF($J158&lt;=0,"RUPTURA",IF($J158&lt;=N($F158),"REPOR","OK")))</f>
        <v>0</v>
      </c>
    </row>
    <row r="159" spans="1:11">
      <c r="A159" s="13"/>
      <c r="B159" s="13"/>
      <c r="C159" s="19"/>
      <c r="D159" s="19"/>
      <c r="E159" s="20"/>
      <c r="F159" s="20"/>
      <c r="G159" s="21">
        <f>IF($A159="","",IF($D159&lt;&gt;"",$D159,N($C159)*(1+MarkupPeca)))</f>
        <v>0</v>
      </c>
      <c r="H159" s="22">
        <f>IF($A159="","",SUMIFS(EntQtd,EntCod,$A159))</f>
        <v>0</v>
      </c>
      <c r="I159" s="22">
        <f>IF($A159="","",SUMIFS(ItQtd,ItCod,$A159,ItStatus,"&lt;&gt;Orçamento",ItStatus,"&lt;&gt;Cancelada"))</f>
        <v>0</v>
      </c>
      <c r="J159" s="23">
        <f>IF($A159="","",N($E159)+$H159-$I159)</f>
        <v>0</v>
      </c>
      <c r="K159" s="24">
        <f>IF($A159="","",IF($J159&lt;=0,"RUPTURA",IF($J159&lt;=N($F159),"REPOR","OK")))</f>
        <v>0</v>
      </c>
    </row>
    <row r="160" spans="1:11">
      <c r="A160" s="13"/>
      <c r="B160" s="13"/>
      <c r="C160" s="19"/>
      <c r="D160" s="19"/>
      <c r="E160" s="20"/>
      <c r="F160" s="20"/>
      <c r="G160" s="21">
        <f>IF($A160="","",IF($D160&lt;&gt;"",$D160,N($C160)*(1+MarkupPeca)))</f>
        <v>0</v>
      </c>
      <c r="H160" s="22">
        <f>IF($A160="","",SUMIFS(EntQtd,EntCod,$A160))</f>
        <v>0</v>
      </c>
      <c r="I160" s="22">
        <f>IF($A160="","",SUMIFS(ItQtd,ItCod,$A160,ItStatus,"&lt;&gt;Orçamento",ItStatus,"&lt;&gt;Cancelada"))</f>
        <v>0</v>
      </c>
      <c r="J160" s="23">
        <f>IF($A160="","",N($E160)+$H160-$I160)</f>
        <v>0</v>
      </c>
      <c r="K160" s="24">
        <f>IF($A160="","",IF($J160&lt;=0,"RUPTURA",IF($J160&lt;=N($F160),"REPOR","OK")))</f>
        <v>0</v>
      </c>
    </row>
    <row r="161" spans="1:11">
      <c r="A161" s="13"/>
      <c r="B161" s="13"/>
      <c r="C161" s="19"/>
      <c r="D161" s="19"/>
      <c r="E161" s="20"/>
      <c r="F161" s="20"/>
      <c r="G161" s="21">
        <f>IF($A161="","",IF($D161&lt;&gt;"",$D161,N($C161)*(1+MarkupPeca)))</f>
        <v>0</v>
      </c>
      <c r="H161" s="22">
        <f>IF($A161="","",SUMIFS(EntQtd,EntCod,$A161))</f>
        <v>0</v>
      </c>
      <c r="I161" s="22">
        <f>IF($A161="","",SUMIFS(ItQtd,ItCod,$A161,ItStatus,"&lt;&gt;Orçamento",ItStatus,"&lt;&gt;Cancelada"))</f>
        <v>0</v>
      </c>
      <c r="J161" s="23">
        <f>IF($A161="","",N($E161)+$H161-$I161)</f>
        <v>0</v>
      </c>
      <c r="K161" s="24">
        <f>IF($A161="","",IF($J161&lt;=0,"RUPTURA",IF($J161&lt;=N($F161),"REPOR","OK")))</f>
        <v>0</v>
      </c>
    </row>
    <row r="162" spans="1:11">
      <c r="A162" s="13"/>
      <c r="B162" s="13"/>
      <c r="C162" s="19"/>
      <c r="D162" s="19"/>
      <c r="E162" s="20"/>
      <c r="F162" s="20"/>
      <c r="G162" s="21">
        <f>IF($A162="","",IF($D162&lt;&gt;"",$D162,N($C162)*(1+MarkupPeca)))</f>
        <v>0</v>
      </c>
      <c r="H162" s="22">
        <f>IF($A162="","",SUMIFS(EntQtd,EntCod,$A162))</f>
        <v>0</v>
      </c>
      <c r="I162" s="22">
        <f>IF($A162="","",SUMIFS(ItQtd,ItCod,$A162,ItStatus,"&lt;&gt;Orçamento",ItStatus,"&lt;&gt;Cancelada"))</f>
        <v>0</v>
      </c>
      <c r="J162" s="23">
        <f>IF($A162="","",N($E162)+$H162-$I162)</f>
        <v>0</v>
      </c>
      <c r="K162" s="24">
        <f>IF($A162="","",IF($J162&lt;=0,"RUPTURA",IF($J162&lt;=N($F162),"REPOR","OK")))</f>
        <v>0</v>
      </c>
    </row>
    <row r="163" spans="1:11">
      <c r="A163" s="13"/>
      <c r="B163" s="13"/>
      <c r="C163" s="19"/>
      <c r="D163" s="19"/>
      <c r="E163" s="20"/>
      <c r="F163" s="20"/>
      <c r="G163" s="21">
        <f>IF($A163="","",IF($D163&lt;&gt;"",$D163,N($C163)*(1+MarkupPeca)))</f>
        <v>0</v>
      </c>
      <c r="H163" s="22">
        <f>IF($A163="","",SUMIFS(EntQtd,EntCod,$A163))</f>
        <v>0</v>
      </c>
      <c r="I163" s="22">
        <f>IF($A163="","",SUMIFS(ItQtd,ItCod,$A163,ItStatus,"&lt;&gt;Orçamento",ItStatus,"&lt;&gt;Cancelada"))</f>
        <v>0</v>
      </c>
      <c r="J163" s="23">
        <f>IF($A163="","",N($E163)+$H163-$I163)</f>
        <v>0</v>
      </c>
      <c r="K163" s="24">
        <f>IF($A163="","",IF($J163&lt;=0,"RUPTURA",IF($J163&lt;=N($F163),"REPOR","OK")))</f>
        <v>0</v>
      </c>
    </row>
    <row r="164" spans="1:11">
      <c r="A164" s="13"/>
      <c r="B164" s="13"/>
      <c r="C164" s="19"/>
      <c r="D164" s="19"/>
      <c r="E164" s="20"/>
      <c r="F164" s="20"/>
      <c r="G164" s="21">
        <f>IF($A164="","",IF($D164&lt;&gt;"",$D164,N($C164)*(1+MarkupPeca)))</f>
        <v>0</v>
      </c>
      <c r="H164" s="22">
        <f>IF($A164="","",SUMIFS(EntQtd,EntCod,$A164))</f>
        <v>0</v>
      </c>
      <c r="I164" s="22">
        <f>IF($A164="","",SUMIFS(ItQtd,ItCod,$A164,ItStatus,"&lt;&gt;Orçamento",ItStatus,"&lt;&gt;Cancelada"))</f>
        <v>0</v>
      </c>
      <c r="J164" s="23">
        <f>IF($A164="","",N($E164)+$H164-$I164)</f>
        <v>0</v>
      </c>
      <c r="K164" s="24">
        <f>IF($A164="","",IF($J164&lt;=0,"RUPTURA",IF($J164&lt;=N($F164),"REPOR","OK")))</f>
        <v>0</v>
      </c>
    </row>
    <row r="165" spans="1:11">
      <c r="A165" s="13"/>
      <c r="B165" s="13"/>
      <c r="C165" s="19"/>
      <c r="D165" s="19"/>
      <c r="E165" s="20"/>
      <c r="F165" s="20"/>
      <c r="G165" s="21">
        <f>IF($A165="","",IF($D165&lt;&gt;"",$D165,N($C165)*(1+MarkupPeca)))</f>
        <v>0</v>
      </c>
      <c r="H165" s="22">
        <f>IF($A165="","",SUMIFS(EntQtd,EntCod,$A165))</f>
        <v>0</v>
      </c>
      <c r="I165" s="22">
        <f>IF($A165="","",SUMIFS(ItQtd,ItCod,$A165,ItStatus,"&lt;&gt;Orçamento",ItStatus,"&lt;&gt;Cancelada"))</f>
        <v>0</v>
      </c>
      <c r="J165" s="23">
        <f>IF($A165="","",N($E165)+$H165-$I165)</f>
        <v>0</v>
      </c>
      <c r="K165" s="24">
        <f>IF($A165="","",IF($J165&lt;=0,"RUPTURA",IF($J165&lt;=N($F165),"REPOR","OK")))</f>
        <v>0</v>
      </c>
    </row>
    <row r="166" spans="1:11">
      <c r="A166" s="13"/>
      <c r="B166" s="13"/>
      <c r="C166" s="19"/>
      <c r="D166" s="19"/>
      <c r="E166" s="20"/>
      <c r="F166" s="20"/>
      <c r="G166" s="21">
        <f>IF($A166="","",IF($D166&lt;&gt;"",$D166,N($C166)*(1+MarkupPeca)))</f>
        <v>0</v>
      </c>
      <c r="H166" s="22">
        <f>IF($A166="","",SUMIFS(EntQtd,EntCod,$A166))</f>
        <v>0</v>
      </c>
      <c r="I166" s="22">
        <f>IF($A166="","",SUMIFS(ItQtd,ItCod,$A166,ItStatus,"&lt;&gt;Orçamento",ItStatus,"&lt;&gt;Cancelada"))</f>
        <v>0</v>
      </c>
      <c r="J166" s="23">
        <f>IF($A166="","",N($E166)+$H166-$I166)</f>
        <v>0</v>
      </c>
      <c r="K166" s="24">
        <f>IF($A166="","",IF($J166&lt;=0,"RUPTURA",IF($J166&lt;=N($F166),"REPOR","OK")))</f>
        <v>0</v>
      </c>
    </row>
    <row r="167" spans="1:11">
      <c r="A167" s="13"/>
      <c r="B167" s="13"/>
      <c r="C167" s="19"/>
      <c r="D167" s="19"/>
      <c r="E167" s="20"/>
      <c r="F167" s="20"/>
      <c r="G167" s="21">
        <f>IF($A167="","",IF($D167&lt;&gt;"",$D167,N($C167)*(1+MarkupPeca)))</f>
        <v>0</v>
      </c>
      <c r="H167" s="22">
        <f>IF($A167="","",SUMIFS(EntQtd,EntCod,$A167))</f>
        <v>0</v>
      </c>
      <c r="I167" s="22">
        <f>IF($A167="","",SUMIFS(ItQtd,ItCod,$A167,ItStatus,"&lt;&gt;Orçamento",ItStatus,"&lt;&gt;Cancelada"))</f>
        <v>0</v>
      </c>
      <c r="J167" s="23">
        <f>IF($A167="","",N($E167)+$H167-$I167)</f>
        <v>0</v>
      </c>
      <c r="K167" s="24">
        <f>IF($A167="","",IF($J167&lt;=0,"RUPTURA",IF($J167&lt;=N($F167),"REPOR","OK")))</f>
        <v>0</v>
      </c>
    </row>
    <row r="168" spans="1:11">
      <c r="A168" s="13"/>
      <c r="B168" s="13"/>
      <c r="C168" s="19"/>
      <c r="D168" s="19"/>
      <c r="E168" s="20"/>
      <c r="F168" s="20"/>
      <c r="G168" s="21">
        <f>IF($A168="","",IF($D168&lt;&gt;"",$D168,N($C168)*(1+MarkupPeca)))</f>
        <v>0</v>
      </c>
      <c r="H168" s="22">
        <f>IF($A168="","",SUMIFS(EntQtd,EntCod,$A168))</f>
        <v>0</v>
      </c>
      <c r="I168" s="22">
        <f>IF($A168="","",SUMIFS(ItQtd,ItCod,$A168,ItStatus,"&lt;&gt;Orçamento",ItStatus,"&lt;&gt;Cancelada"))</f>
        <v>0</v>
      </c>
      <c r="J168" s="23">
        <f>IF($A168="","",N($E168)+$H168-$I168)</f>
        <v>0</v>
      </c>
      <c r="K168" s="24">
        <f>IF($A168="","",IF($J168&lt;=0,"RUPTURA",IF($J168&lt;=N($F168),"REPOR","OK")))</f>
        <v>0</v>
      </c>
    </row>
    <row r="169" spans="1:11">
      <c r="A169" s="13"/>
      <c r="B169" s="13"/>
      <c r="C169" s="19"/>
      <c r="D169" s="19"/>
      <c r="E169" s="20"/>
      <c r="F169" s="20"/>
      <c r="G169" s="21">
        <f>IF($A169="","",IF($D169&lt;&gt;"",$D169,N($C169)*(1+MarkupPeca)))</f>
        <v>0</v>
      </c>
      <c r="H169" s="22">
        <f>IF($A169="","",SUMIFS(EntQtd,EntCod,$A169))</f>
        <v>0</v>
      </c>
      <c r="I169" s="22">
        <f>IF($A169="","",SUMIFS(ItQtd,ItCod,$A169,ItStatus,"&lt;&gt;Orçamento",ItStatus,"&lt;&gt;Cancelada"))</f>
        <v>0</v>
      </c>
      <c r="J169" s="23">
        <f>IF($A169="","",N($E169)+$H169-$I169)</f>
        <v>0</v>
      </c>
      <c r="K169" s="24">
        <f>IF($A169="","",IF($J169&lt;=0,"RUPTURA",IF($J169&lt;=N($F169),"REPOR","OK")))</f>
        <v>0</v>
      </c>
    </row>
    <row r="170" spans="1:11">
      <c r="A170" s="13"/>
      <c r="B170" s="13"/>
      <c r="C170" s="19"/>
      <c r="D170" s="19"/>
      <c r="E170" s="20"/>
      <c r="F170" s="20"/>
      <c r="G170" s="21">
        <f>IF($A170="","",IF($D170&lt;&gt;"",$D170,N($C170)*(1+MarkupPeca)))</f>
        <v>0</v>
      </c>
      <c r="H170" s="22">
        <f>IF($A170="","",SUMIFS(EntQtd,EntCod,$A170))</f>
        <v>0</v>
      </c>
      <c r="I170" s="22">
        <f>IF($A170="","",SUMIFS(ItQtd,ItCod,$A170,ItStatus,"&lt;&gt;Orçamento",ItStatus,"&lt;&gt;Cancelada"))</f>
        <v>0</v>
      </c>
      <c r="J170" s="23">
        <f>IF($A170="","",N($E170)+$H170-$I170)</f>
        <v>0</v>
      </c>
      <c r="K170" s="24">
        <f>IF($A170="","",IF($J170&lt;=0,"RUPTURA",IF($J170&lt;=N($F170),"REPOR","OK")))</f>
        <v>0</v>
      </c>
    </row>
    <row r="171" spans="1:11">
      <c r="A171" s="13"/>
      <c r="B171" s="13"/>
      <c r="C171" s="19"/>
      <c r="D171" s="19"/>
      <c r="E171" s="20"/>
      <c r="F171" s="20"/>
      <c r="G171" s="21">
        <f>IF($A171="","",IF($D171&lt;&gt;"",$D171,N($C171)*(1+MarkupPeca)))</f>
        <v>0</v>
      </c>
      <c r="H171" s="22">
        <f>IF($A171="","",SUMIFS(EntQtd,EntCod,$A171))</f>
        <v>0</v>
      </c>
      <c r="I171" s="22">
        <f>IF($A171="","",SUMIFS(ItQtd,ItCod,$A171,ItStatus,"&lt;&gt;Orçamento",ItStatus,"&lt;&gt;Cancelada"))</f>
        <v>0</v>
      </c>
      <c r="J171" s="23">
        <f>IF($A171="","",N($E171)+$H171-$I171)</f>
        <v>0</v>
      </c>
      <c r="K171" s="24">
        <f>IF($A171="","",IF($J171&lt;=0,"RUPTURA",IF($J171&lt;=N($F171),"REPOR","OK")))</f>
        <v>0</v>
      </c>
    </row>
    <row r="172" spans="1:11">
      <c r="A172" s="13"/>
      <c r="B172" s="13"/>
      <c r="C172" s="19"/>
      <c r="D172" s="19"/>
      <c r="E172" s="20"/>
      <c r="F172" s="20"/>
      <c r="G172" s="21">
        <f>IF($A172="","",IF($D172&lt;&gt;"",$D172,N($C172)*(1+MarkupPeca)))</f>
        <v>0</v>
      </c>
      <c r="H172" s="22">
        <f>IF($A172="","",SUMIFS(EntQtd,EntCod,$A172))</f>
        <v>0</v>
      </c>
      <c r="I172" s="22">
        <f>IF($A172="","",SUMIFS(ItQtd,ItCod,$A172,ItStatus,"&lt;&gt;Orçamento",ItStatus,"&lt;&gt;Cancelada"))</f>
        <v>0</v>
      </c>
      <c r="J172" s="23">
        <f>IF($A172="","",N($E172)+$H172-$I172)</f>
        <v>0</v>
      </c>
      <c r="K172" s="24">
        <f>IF($A172="","",IF($J172&lt;=0,"RUPTURA",IF($J172&lt;=N($F172),"REPOR","OK")))</f>
        <v>0</v>
      </c>
    </row>
    <row r="173" spans="1:11">
      <c r="A173" s="13"/>
      <c r="B173" s="13"/>
      <c r="C173" s="19"/>
      <c r="D173" s="19"/>
      <c r="E173" s="20"/>
      <c r="F173" s="20"/>
      <c r="G173" s="21">
        <f>IF($A173="","",IF($D173&lt;&gt;"",$D173,N($C173)*(1+MarkupPeca)))</f>
        <v>0</v>
      </c>
      <c r="H173" s="22">
        <f>IF($A173="","",SUMIFS(EntQtd,EntCod,$A173))</f>
        <v>0</v>
      </c>
      <c r="I173" s="22">
        <f>IF($A173="","",SUMIFS(ItQtd,ItCod,$A173,ItStatus,"&lt;&gt;Orçamento",ItStatus,"&lt;&gt;Cancelada"))</f>
        <v>0</v>
      </c>
      <c r="J173" s="23">
        <f>IF($A173="","",N($E173)+$H173-$I173)</f>
        <v>0</v>
      </c>
      <c r="K173" s="24">
        <f>IF($A173="","",IF($J173&lt;=0,"RUPTURA",IF($J173&lt;=N($F173),"REPOR","OK")))</f>
        <v>0</v>
      </c>
    </row>
    <row r="174" spans="1:11">
      <c r="A174" s="13"/>
      <c r="B174" s="13"/>
      <c r="C174" s="19"/>
      <c r="D174" s="19"/>
      <c r="E174" s="20"/>
      <c r="F174" s="20"/>
      <c r="G174" s="21">
        <f>IF($A174="","",IF($D174&lt;&gt;"",$D174,N($C174)*(1+MarkupPeca)))</f>
        <v>0</v>
      </c>
      <c r="H174" s="22">
        <f>IF($A174="","",SUMIFS(EntQtd,EntCod,$A174))</f>
        <v>0</v>
      </c>
      <c r="I174" s="22">
        <f>IF($A174="","",SUMIFS(ItQtd,ItCod,$A174,ItStatus,"&lt;&gt;Orçamento",ItStatus,"&lt;&gt;Cancelada"))</f>
        <v>0</v>
      </c>
      <c r="J174" s="23">
        <f>IF($A174="","",N($E174)+$H174-$I174)</f>
        <v>0</v>
      </c>
      <c r="K174" s="24">
        <f>IF($A174="","",IF($J174&lt;=0,"RUPTURA",IF($J174&lt;=N($F174),"REPOR","OK")))</f>
        <v>0</v>
      </c>
    </row>
    <row r="175" spans="1:11">
      <c r="A175" s="13"/>
      <c r="B175" s="13"/>
      <c r="C175" s="19"/>
      <c r="D175" s="19"/>
      <c r="E175" s="20"/>
      <c r="F175" s="20"/>
      <c r="G175" s="21">
        <f>IF($A175="","",IF($D175&lt;&gt;"",$D175,N($C175)*(1+MarkupPeca)))</f>
        <v>0</v>
      </c>
      <c r="H175" s="22">
        <f>IF($A175="","",SUMIFS(EntQtd,EntCod,$A175))</f>
        <v>0</v>
      </c>
      <c r="I175" s="22">
        <f>IF($A175="","",SUMIFS(ItQtd,ItCod,$A175,ItStatus,"&lt;&gt;Orçamento",ItStatus,"&lt;&gt;Cancelada"))</f>
        <v>0</v>
      </c>
      <c r="J175" s="23">
        <f>IF($A175="","",N($E175)+$H175-$I175)</f>
        <v>0</v>
      </c>
      <c r="K175" s="24">
        <f>IF($A175="","",IF($J175&lt;=0,"RUPTURA",IF($J175&lt;=N($F175),"REPOR","OK")))</f>
        <v>0</v>
      </c>
    </row>
    <row r="176" spans="1:11">
      <c r="A176" s="13"/>
      <c r="B176" s="13"/>
      <c r="C176" s="19"/>
      <c r="D176" s="19"/>
      <c r="E176" s="20"/>
      <c r="F176" s="20"/>
      <c r="G176" s="21">
        <f>IF($A176="","",IF($D176&lt;&gt;"",$D176,N($C176)*(1+MarkupPeca)))</f>
        <v>0</v>
      </c>
      <c r="H176" s="22">
        <f>IF($A176="","",SUMIFS(EntQtd,EntCod,$A176))</f>
        <v>0</v>
      </c>
      <c r="I176" s="22">
        <f>IF($A176="","",SUMIFS(ItQtd,ItCod,$A176,ItStatus,"&lt;&gt;Orçamento",ItStatus,"&lt;&gt;Cancelada"))</f>
        <v>0</v>
      </c>
      <c r="J176" s="23">
        <f>IF($A176="","",N($E176)+$H176-$I176)</f>
        <v>0</v>
      </c>
      <c r="K176" s="24">
        <f>IF($A176="","",IF($J176&lt;=0,"RUPTURA",IF($J176&lt;=N($F176),"REPOR","OK")))</f>
        <v>0</v>
      </c>
    </row>
    <row r="177" spans="1:11">
      <c r="A177" s="13"/>
      <c r="B177" s="13"/>
      <c r="C177" s="19"/>
      <c r="D177" s="19"/>
      <c r="E177" s="20"/>
      <c r="F177" s="20"/>
      <c r="G177" s="21">
        <f>IF($A177="","",IF($D177&lt;&gt;"",$D177,N($C177)*(1+MarkupPeca)))</f>
        <v>0</v>
      </c>
      <c r="H177" s="22">
        <f>IF($A177="","",SUMIFS(EntQtd,EntCod,$A177))</f>
        <v>0</v>
      </c>
      <c r="I177" s="22">
        <f>IF($A177="","",SUMIFS(ItQtd,ItCod,$A177,ItStatus,"&lt;&gt;Orçamento",ItStatus,"&lt;&gt;Cancelada"))</f>
        <v>0</v>
      </c>
      <c r="J177" s="23">
        <f>IF($A177="","",N($E177)+$H177-$I177)</f>
        <v>0</v>
      </c>
      <c r="K177" s="24">
        <f>IF($A177="","",IF($J177&lt;=0,"RUPTURA",IF($J177&lt;=N($F177),"REPOR","OK")))</f>
        <v>0</v>
      </c>
    </row>
    <row r="178" spans="1:11">
      <c r="A178" s="13"/>
      <c r="B178" s="13"/>
      <c r="C178" s="19"/>
      <c r="D178" s="19"/>
      <c r="E178" s="20"/>
      <c r="F178" s="20"/>
      <c r="G178" s="21">
        <f>IF($A178="","",IF($D178&lt;&gt;"",$D178,N($C178)*(1+MarkupPeca)))</f>
        <v>0</v>
      </c>
      <c r="H178" s="22">
        <f>IF($A178="","",SUMIFS(EntQtd,EntCod,$A178))</f>
        <v>0</v>
      </c>
      <c r="I178" s="22">
        <f>IF($A178="","",SUMIFS(ItQtd,ItCod,$A178,ItStatus,"&lt;&gt;Orçamento",ItStatus,"&lt;&gt;Cancelada"))</f>
        <v>0</v>
      </c>
      <c r="J178" s="23">
        <f>IF($A178="","",N($E178)+$H178-$I178)</f>
        <v>0</v>
      </c>
      <c r="K178" s="24">
        <f>IF($A178="","",IF($J178&lt;=0,"RUPTURA",IF($J178&lt;=N($F178),"REPOR","OK")))</f>
        <v>0</v>
      </c>
    </row>
    <row r="179" spans="1:11">
      <c r="A179" s="13"/>
      <c r="B179" s="13"/>
      <c r="C179" s="19"/>
      <c r="D179" s="19"/>
      <c r="E179" s="20"/>
      <c r="F179" s="20"/>
      <c r="G179" s="21">
        <f>IF($A179="","",IF($D179&lt;&gt;"",$D179,N($C179)*(1+MarkupPeca)))</f>
        <v>0</v>
      </c>
      <c r="H179" s="22">
        <f>IF($A179="","",SUMIFS(EntQtd,EntCod,$A179))</f>
        <v>0</v>
      </c>
      <c r="I179" s="22">
        <f>IF($A179="","",SUMIFS(ItQtd,ItCod,$A179,ItStatus,"&lt;&gt;Orçamento",ItStatus,"&lt;&gt;Cancelada"))</f>
        <v>0</v>
      </c>
      <c r="J179" s="23">
        <f>IF($A179="","",N($E179)+$H179-$I179)</f>
        <v>0</v>
      </c>
      <c r="K179" s="24">
        <f>IF($A179="","",IF($J179&lt;=0,"RUPTURA",IF($J179&lt;=N($F179),"REPOR","OK")))</f>
        <v>0</v>
      </c>
    </row>
    <row r="180" spans="1:11">
      <c r="A180" s="13"/>
      <c r="B180" s="13"/>
      <c r="C180" s="19"/>
      <c r="D180" s="19"/>
      <c r="E180" s="20"/>
      <c r="F180" s="20"/>
      <c r="G180" s="21">
        <f>IF($A180="","",IF($D180&lt;&gt;"",$D180,N($C180)*(1+MarkupPeca)))</f>
        <v>0</v>
      </c>
      <c r="H180" s="22">
        <f>IF($A180="","",SUMIFS(EntQtd,EntCod,$A180))</f>
        <v>0</v>
      </c>
      <c r="I180" s="22">
        <f>IF($A180="","",SUMIFS(ItQtd,ItCod,$A180,ItStatus,"&lt;&gt;Orçamento",ItStatus,"&lt;&gt;Cancelada"))</f>
        <v>0</v>
      </c>
      <c r="J180" s="23">
        <f>IF($A180="","",N($E180)+$H180-$I180)</f>
        <v>0</v>
      </c>
      <c r="K180" s="24">
        <f>IF($A180="","",IF($J180&lt;=0,"RUPTURA",IF($J180&lt;=N($F180),"REPOR","OK")))</f>
        <v>0</v>
      </c>
    </row>
    <row r="181" spans="1:11">
      <c r="A181" s="13"/>
      <c r="B181" s="13"/>
      <c r="C181" s="19"/>
      <c r="D181" s="19"/>
      <c r="E181" s="20"/>
      <c r="F181" s="20"/>
      <c r="G181" s="21">
        <f>IF($A181="","",IF($D181&lt;&gt;"",$D181,N($C181)*(1+MarkupPeca)))</f>
        <v>0</v>
      </c>
      <c r="H181" s="22">
        <f>IF($A181="","",SUMIFS(EntQtd,EntCod,$A181))</f>
        <v>0</v>
      </c>
      <c r="I181" s="22">
        <f>IF($A181="","",SUMIFS(ItQtd,ItCod,$A181,ItStatus,"&lt;&gt;Orçamento",ItStatus,"&lt;&gt;Cancelada"))</f>
        <v>0</v>
      </c>
      <c r="J181" s="23">
        <f>IF($A181="","",N($E181)+$H181-$I181)</f>
        <v>0</v>
      </c>
      <c r="K181" s="24">
        <f>IF($A181="","",IF($J181&lt;=0,"RUPTURA",IF($J181&lt;=N($F181),"REPOR","OK")))</f>
        <v>0</v>
      </c>
    </row>
    <row r="182" spans="1:11">
      <c r="A182" s="13"/>
      <c r="B182" s="13"/>
      <c r="C182" s="19"/>
      <c r="D182" s="19"/>
      <c r="E182" s="20"/>
      <c r="F182" s="20"/>
      <c r="G182" s="21">
        <f>IF($A182="","",IF($D182&lt;&gt;"",$D182,N($C182)*(1+MarkupPeca)))</f>
        <v>0</v>
      </c>
      <c r="H182" s="22">
        <f>IF($A182="","",SUMIFS(EntQtd,EntCod,$A182))</f>
        <v>0</v>
      </c>
      <c r="I182" s="22">
        <f>IF($A182="","",SUMIFS(ItQtd,ItCod,$A182,ItStatus,"&lt;&gt;Orçamento",ItStatus,"&lt;&gt;Cancelada"))</f>
        <v>0</v>
      </c>
      <c r="J182" s="23">
        <f>IF($A182="","",N($E182)+$H182-$I182)</f>
        <v>0</v>
      </c>
      <c r="K182" s="24">
        <f>IF($A182="","",IF($J182&lt;=0,"RUPTURA",IF($J182&lt;=N($F182),"REPOR","OK")))</f>
        <v>0</v>
      </c>
    </row>
    <row r="183" spans="1:11">
      <c r="A183" s="13"/>
      <c r="B183" s="13"/>
      <c r="C183" s="19"/>
      <c r="D183" s="19"/>
      <c r="E183" s="20"/>
      <c r="F183" s="20"/>
      <c r="G183" s="21">
        <f>IF($A183="","",IF($D183&lt;&gt;"",$D183,N($C183)*(1+MarkupPeca)))</f>
        <v>0</v>
      </c>
      <c r="H183" s="22">
        <f>IF($A183="","",SUMIFS(EntQtd,EntCod,$A183))</f>
        <v>0</v>
      </c>
      <c r="I183" s="22">
        <f>IF($A183="","",SUMIFS(ItQtd,ItCod,$A183,ItStatus,"&lt;&gt;Orçamento",ItStatus,"&lt;&gt;Cancelada"))</f>
        <v>0</v>
      </c>
      <c r="J183" s="23">
        <f>IF($A183="","",N($E183)+$H183-$I183)</f>
        <v>0</v>
      </c>
      <c r="K183" s="24">
        <f>IF($A183="","",IF($J183&lt;=0,"RUPTURA",IF($J183&lt;=N($F183),"REPOR","OK")))</f>
        <v>0</v>
      </c>
    </row>
    <row r="184" spans="1:11">
      <c r="A184" s="13"/>
      <c r="B184" s="13"/>
      <c r="C184" s="19"/>
      <c r="D184" s="19"/>
      <c r="E184" s="20"/>
      <c r="F184" s="20"/>
      <c r="G184" s="21">
        <f>IF($A184="","",IF($D184&lt;&gt;"",$D184,N($C184)*(1+MarkupPeca)))</f>
        <v>0</v>
      </c>
      <c r="H184" s="22">
        <f>IF($A184="","",SUMIFS(EntQtd,EntCod,$A184))</f>
        <v>0</v>
      </c>
      <c r="I184" s="22">
        <f>IF($A184="","",SUMIFS(ItQtd,ItCod,$A184,ItStatus,"&lt;&gt;Orçamento",ItStatus,"&lt;&gt;Cancelada"))</f>
        <v>0</v>
      </c>
      <c r="J184" s="23">
        <f>IF($A184="","",N($E184)+$H184-$I184)</f>
        <v>0</v>
      </c>
      <c r="K184" s="24">
        <f>IF($A184="","",IF($J184&lt;=0,"RUPTURA",IF($J184&lt;=N($F184),"REPOR","OK")))</f>
        <v>0</v>
      </c>
    </row>
    <row r="185" spans="1:11">
      <c r="A185" s="13"/>
      <c r="B185" s="13"/>
      <c r="C185" s="19"/>
      <c r="D185" s="19"/>
      <c r="E185" s="20"/>
      <c r="F185" s="20"/>
      <c r="G185" s="21">
        <f>IF($A185="","",IF($D185&lt;&gt;"",$D185,N($C185)*(1+MarkupPeca)))</f>
        <v>0</v>
      </c>
      <c r="H185" s="22">
        <f>IF($A185="","",SUMIFS(EntQtd,EntCod,$A185))</f>
        <v>0</v>
      </c>
      <c r="I185" s="22">
        <f>IF($A185="","",SUMIFS(ItQtd,ItCod,$A185,ItStatus,"&lt;&gt;Orçamento",ItStatus,"&lt;&gt;Cancelada"))</f>
        <v>0</v>
      </c>
      <c r="J185" s="23">
        <f>IF($A185="","",N($E185)+$H185-$I185)</f>
        <v>0</v>
      </c>
      <c r="K185" s="24">
        <f>IF($A185="","",IF($J185&lt;=0,"RUPTURA",IF($J185&lt;=N($F185),"REPOR","OK")))</f>
        <v>0</v>
      </c>
    </row>
    <row r="186" spans="1:11">
      <c r="A186" s="13"/>
      <c r="B186" s="13"/>
      <c r="C186" s="19"/>
      <c r="D186" s="19"/>
      <c r="E186" s="20"/>
      <c r="F186" s="20"/>
      <c r="G186" s="21">
        <f>IF($A186="","",IF($D186&lt;&gt;"",$D186,N($C186)*(1+MarkupPeca)))</f>
        <v>0</v>
      </c>
      <c r="H186" s="22">
        <f>IF($A186="","",SUMIFS(EntQtd,EntCod,$A186))</f>
        <v>0</v>
      </c>
      <c r="I186" s="22">
        <f>IF($A186="","",SUMIFS(ItQtd,ItCod,$A186,ItStatus,"&lt;&gt;Orçamento",ItStatus,"&lt;&gt;Cancelada"))</f>
        <v>0</v>
      </c>
      <c r="J186" s="23">
        <f>IF($A186="","",N($E186)+$H186-$I186)</f>
        <v>0</v>
      </c>
      <c r="K186" s="24">
        <f>IF($A186="","",IF($J186&lt;=0,"RUPTURA",IF($J186&lt;=N($F186),"REPOR","OK")))</f>
        <v>0</v>
      </c>
    </row>
    <row r="187" spans="1:11">
      <c r="A187" s="13"/>
      <c r="B187" s="13"/>
      <c r="C187" s="19"/>
      <c r="D187" s="19"/>
      <c r="E187" s="20"/>
      <c r="F187" s="20"/>
      <c r="G187" s="21">
        <f>IF($A187="","",IF($D187&lt;&gt;"",$D187,N($C187)*(1+MarkupPeca)))</f>
        <v>0</v>
      </c>
      <c r="H187" s="22">
        <f>IF($A187="","",SUMIFS(EntQtd,EntCod,$A187))</f>
        <v>0</v>
      </c>
      <c r="I187" s="22">
        <f>IF($A187="","",SUMIFS(ItQtd,ItCod,$A187,ItStatus,"&lt;&gt;Orçamento",ItStatus,"&lt;&gt;Cancelada"))</f>
        <v>0</v>
      </c>
      <c r="J187" s="23">
        <f>IF($A187="","",N($E187)+$H187-$I187)</f>
        <v>0</v>
      </c>
      <c r="K187" s="24">
        <f>IF($A187="","",IF($J187&lt;=0,"RUPTURA",IF($J187&lt;=N($F187),"REPOR","OK")))</f>
        <v>0</v>
      </c>
    </row>
    <row r="188" spans="1:11">
      <c r="A188" s="13"/>
      <c r="B188" s="13"/>
      <c r="C188" s="19"/>
      <c r="D188" s="19"/>
      <c r="E188" s="20"/>
      <c r="F188" s="20"/>
      <c r="G188" s="21">
        <f>IF($A188="","",IF($D188&lt;&gt;"",$D188,N($C188)*(1+MarkupPeca)))</f>
        <v>0</v>
      </c>
      <c r="H188" s="22">
        <f>IF($A188="","",SUMIFS(EntQtd,EntCod,$A188))</f>
        <v>0</v>
      </c>
      <c r="I188" s="22">
        <f>IF($A188="","",SUMIFS(ItQtd,ItCod,$A188,ItStatus,"&lt;&gt;Orçamento",ItStatus,"&lt;&gt;Cancelada"))</f>
        <v>0</v>
      </c>
      <c r="J188" s="23">
        <f>IF($A188="","",N($E188)+$H188-$I188)</f>
        <v>0</v>
      </c>
      <c r="K188" s="24">
        <f>IF($A188="","",IF($J188&lt;=0,"RUPTURA",IF($J188&lt;=N($F188),"REPOR","OK")))</f>
        <v>0</v>
      </c>
    </row>
    <row r="189" spans="1:11">
      <c r="A189" s="13"/>
      <c r="B189" s="13"/>
      <c r="C189" s="19"/>
      <c r="D189" s="19"/>
      <c r="E189" s="20"/>
      <c r="F189" s="20"/>
      <c r="G189" s="21">
        <f>IF($A189="","",IF($D189&lt;&gt;"",$D189,N($C189)*(1+MarkupPeca)))</f>
        <v>0</v>
      </c>
      <c r="H189" s="22">
        <f>IF($A189="","",SUMIFS(EntQtd,EntCod,$A189))</f>
        <v>0</v>
      </c>
      <c r="I189" s="22">
        <f>IF($A189="","",SUMIFS(ItQtd,ItCod,$A189,ItStatus,"&lt;&gt;Orçamento",ItStatus,"&lt;&gt;Cancelada"))</f>
        <v>0</v>
      </c>
      <c r="J189" s="23">
        <f>IF($A189="","",N($E189)+$H189-$I189)</f>
        <v>0</v>
      </c>
      <c r="K189" s="24">
        <f>IF($A189="","",IF($J189&lt;=0,"RUPTURA",IF($J189&lt;=N($F189),"REPOR","OK")))</f>
        <v>0</v>
      </c>
    </row>
    <row r="190" spans="1:11">
      <c r="A190" s="13"/>
      <c r="B190" s="13"/>
      <c r="C190" s="19"/>
      <c r="D190" s="19"/>
      <c r="E190" s="20"/>
      <c r="F190" s="20"/>
      <c r="G190" s="21">
        <f>IF($A190="","",IF($D190&lt;&gt;"",$D190,N($C190)*(1+MarkupPeca)))</f>
        <v>0</v>
      </c>
      <c r="H190" s="22">
        <f>IF($A190="","",SUMIFS(EntQtd,EntCod,$A190))</f>
        <v>0</v>
      </c>
      <c r="I190" s="22">
        <f>IF($A190="","",SUMIFS(ItQtd,ItCod,$A190,ItStatus,"&lt;&gt;Orçamento",ItStatus,"&lt;&gt;Cancelada"))</f>
        <v>0</v>
      </c>
      <c r="J190" s="23">
        <f>IF($A190="","",N($E190)+$H190-$I190)</f>
        <v>0</v>
      </c>
      <c r="K190" s="24">
        <f>IF($A190="","",IF($J190&lt;=0,"RUPTURA",IF($J190&lt;=N($F190),"REPOR","OK")))</f>
        <v>0</v>
      </c>
    </row>
    <row r="191" spans="1:11">
      <c r="A191" s="13"/>
      <c r="B191" s="13"/>
      <c r="C191" s="19"/>
      <c r="D191" s="19"/>
      <c r="E191" s="20"/>
      <c r="F191" s="20"/>
      <c r="G191" s="21">
        <f>IF($A191="","",IF($D191&lt;&gt;"",$D191,N($C191)*(1+MarkupPeca)))</f>
        <v>0</v>
      </c>
      <c r="H191" s="22">
        <f>IF($A191="","",SUMIFS(EntQtd,EntCod,$A191))</f>
        <v>0</v>
      </c>
      <c r="I191" s="22">
        <f>IF($A191="","",SUMIFS(ItQtd,ItCod,$A191,ItStatus,"&lt;&gt;Orçamento",ItStatus,"&lt;&gt;Cancelada"))</f>
        <v>0</v>
      </c>
      <c r="J191" s="23">
        <f>IF($A191="","",N($E191)+$H191-$I191)</f>
        <v>0</v>
      </c>
      <c r="K191" s="24">
        <f>IF($A191="","",IF($J191&lt;=0,"RUPTURA",IF($J191&lt;=N($F191),"REPOR","OK")))</f>
        <v>0</v>
      </c>
    </row>
    <row r="192" spans="1:11">
      <c r="A192" s="13"/>
      <c r="B192" s="13"/>
      <c r="C192" s="19"/>
      <c r="D192" s="19"/>
      <c r="E192" s="20"/>
      <c r="F192" s="20"/>
      <c r="G192" s="21">
        <f>IF($A192="","",IF($D192&lt;&gt;"",$D192,N($C192)*(1+MarkupPeca)))</f>
        <v>0</v>
      </c>
      <c r="H192" s="22">
        <f>IF($A192="","",SUMIFS(EntQtd,EntCod,$A192))</f>
        <v>0</v>
      </c>
      <c r="I192" s="22">
        <f>IF($A192="","",SUMIFS(ItQtd,ItCod,$A192,ItStatus,"&lt;&gt;Orçamento",ItStatus,"&lt;&gt;Cancelada"))</f>
        <v>0</v>
      </c>
      <c r="J192" s="23">
        <f>IF($A192="","",N($E192)+$H192-$I192)</f>
        <v>0</v>
      </c>
      <c r="K192" s="24">
        <f>IF($A192="","",IF($J192&lt;=0,"RUPTURA",IF($J192&lt;=N($F192),"REPOR","OK")))</f>
        <v>0</v>
      </c>
    </row>
    <row r="193" spans="1:11">
      <c r="A193" s="13"/>
      <c r="B193" s="13"/>
      <c r="C193" s="19"/>
      <c r="D193" s="19"/>
      <c r="E193" s="20"/>
      <c r="F193" s="20"/>
      <c r="G193" s="21">
        <f>IF($A193="","",IF($D193&lt;&gt;"",$D193,N($C193)*(1+MarkupPeca)))</f>
        <v>0</v>
      </c>
      <c r="H193" s="22">
        <f>IF($A193="","",SUMIFS(EntQtd,EntCod,$A193))</f>
        <v>0</v>
      </c>
      <c r="I193" s="22">
        <f>IF($A193="","",SUMIFS(ItQtd,ItCod,$A193,ItStatus,"&lt;&gt;Orçamento",ItStatus,"&lt;&gt;Cancelada"))</f>
        <v>0</v>
      </c>
      <c r="J193" s="23">
        <f>IF($A193="","",N($E193)+$H193-$I193)</f>
        <v>0</v>
      </c>
      <c r="K193" s="24">
        <f>IF($A193="","",IF($J193&lt;=0,"RUPTURA",IF($J193&lt;=N($F193),"REPOR","OK")))</f>
        <v>0</v>
      </c>
    </row>
    <row r="194" spans="1:11">
      <c r="A194" s="13"/>
      <c r="B194" s="13"/>
      <c r="C194" s="19"/>
      <c r="D194" s="19"/>
      <c r="E194" s="20"/>
      <c r="F194" s="20"/>
      <c r="G194" s="21">
        <f>IF($A194="","",IF($D194&lt;&gt;"",$D194,N($C194)*(1+MarkupPeca)))</f>
        <v>0</v>
      </c>
      <c r="H194" s="22">
        <f>IF($A194="","",SUMIFS(EntQtd,EntCod,$A194))</f>
        <v>0</v>
      </c>
      <c r="I194" s="22">
        <f>IF($A194="","",SUMIFS(ItQtd,ItCod,$A194,ItStatus,"&lt;&gt;Orçamento",ItStatus,"&lt;&gt;Cancelada"))</f>
        <v>0</v>
      </c>
      <c r="J194" s="23">
        <f>IF($A194="","",N($E194)+$H194-$I194)</f>
        <v>0</v>
      </c>
      <c r="K194" s="24">
        <f>IF($A194="","",IF($J194&lt;=0,"RUPTURA",IF($J194&lt;=N($F194),"REPOR","OK")))</f>
        <v>0</v>
      </c>
    </row>
    <row r="195" spans="1:11">
      <c r="A195" s="13"/>
      <c r="B195" s="13"/>
      <c r="C195" s="19"/>
      <c r="D195" s="19"/>
      <c r="E195" s="20"/>
      <c r="F195" s="20"/>
      <c r="G195" s="21">
        <f>IF($A195="","",IF($D195&lt;&gt;"",$D195,N($C195)*(1+MarkupPeca)))</f>
        <v>0</v>
      </c>
      <c r="H195" s="22">
        <f>IF($A195="","",SUMIFS(EntQtd,EntCod,$A195))</f>
        <v>0</v>
      </c>
      <c r="I195" s="22">
        <f>IF($A195="","",SUMIFS(ItQtd,ItCod,$A195,ItStatus,"&lt;&gt;Orçamento",ItStatus,"&lt;&gt;Cancelada"))</f>
        <v>0</v>
      </c>
      <c r="J195" s="23">
        <f>IF($A195="","",N($E195)+$H195-$I195)</f>
        <v>0</v>
      </c>
      <c r="K195" s="24">
        <f>IF($A195="","",IF($J195&lt;=0,"RUPTURA",IF($J195&lt;=N($F195),"REPOR","OK")))</f>
        <v>0</v>
      </c>
    </row>
    <row r="196" spans="1:11">
      <c r="A196" s="13"/>
      <c r="B196" s="13"/>
      <c r="C196" s="19"/>
      <c r="D196" s="19"/>
      <c r="E196" s="20"/>
      <c r="F196" s="20"/>
      <c r="G196" s="21">
        <f>IF($A196="","",IF($D196&lt;&gt;"",$D196,N($C196)*(1+MarkupPeca)))</f>
        <v>0</v>
      </c>
      <c r="H196" s="22">
        <f>IF($A196="","",SUMIFS(EntQtd,EntCod,$A196))</f>
        <v>0</v>
      </c>
      <c r="I196" s="22">
        <f>IF($A196="","",SUMIFS(ItQtd,ItCod,$A196,ItStatus,"&lt;&gt;Orçamento",ItStatus,"&lt;&gt;Cancelada"))</f>
        <v>0</v>
      </c>
      <c r="J196" s="23">
        <f>IF($A196="","",N($E196)+$H196-$I196)</f>
        <v>0</v>
      </c>
      <c r="K196" s="24">
        <f>IF($A196="","",IF($J196&lt;=0,"RUPTURA",IF($J196&lt;=N($F196),"REPOR","OK")))</f>
        <v>0</v>
      </c>
    </row>
    <row r="197" spans="1:11">
      <c r="A197" s="13"/>
      <c r="B197" s="13"/>
      <c r="C197" s="19"/>
      <c r="D197" s="19"/>
      <c r="E197" s="20"/>
      <c r="F197" s="20"/>
      <c r="G197" s="21">
        <f>IF($A197="","",IF($D197&lt;&gt;"",$D197,N($C197)*(1+MarkupPeca)))</f>
        <v>0</v>
      </c>
      <c r="H197" s="22">
        <f>IF($A197="","",SUMIFS(EntQtd,EntCod,$A197))</f>
        <v>0</v>
      </c>
      <c r="I197" s="22">
        <f>IF($A197="","",SUMIFS(ItQtd,ItCod,$A197,ItStatus,"&lt;&gt;Orçamento",ItStatus,"&lt;&gt;Cancelada"))</f>
        <v>0</v>
      </c>
      <c r="J197" s="23">
        <f>IF($A197="","",N($E197)+$H197-$I197)</f>
        <v>0</v>
      </c>
      <c r="K197" s="24">
        <f>IF($A197="","",IF($J197&lt;=0,"RUPTURA",IF($J197&lt;=N($F197),"REPOR","OK")))</f>
        <v>0</v>
      </c>
    </row>
    <row r="198" spans="1:11">
      <c r="A198" s="13"/>
      <c r="B198" s="13"/>
      <c r="C198" s="19"/>
      <c r="D198" s="19"/>
      <c r="E198" s="20"/>
      <c r="F198" s="20"/>
      <c r="G198" s="21">
        <f>IF($A198="","",IF($D198&lt;&gt;"",$D198,N($C198)*(1+MarkupPeca)))</f>
        <v>0</v>
      </c>
      <c r="H198" s="22">
        <f>IF($A198="","",SUMIFS(EntQtd,EntCod,$A198))</f>
        <v>0</v>
      </c>
      <c r="I198" s="22">
        <f>IF($A198="","",SUMIFS(ItQtd,ItCod,$A198,ItStatus,"&lt;&gt;Orçamento",ItStatus,"&lt;&gt;Cancelada"))</f>
        <v>0</v>
      </c>
      <c r="J198" s="23">
        <f>IF($A198="","",N($E198)+$H198-$I198)</f>
        <v>0</v>
      </c>
      <c r="K198" s="24">
        <f>IF($A198="","",IF($J198&lt;=0,"RUPTURA",IF($J198&lt;=N($F198),"REPOR","OK")))</f>
        <v>0</v>
      </c>
    </row>
    <row r="199" spans="1:11">
      <c r="A199" s="13"/>
      <c r="B199" s="13"/>
      <c r="C199" s="19"/>
      <c r="D199" s="19"/>
      <c r="E199" s="20"/>
      <c r="F199" s="20"/>
      <c r="G199" s="21">
        <f>IF($A199="","",IF($D199&lt;&gt;"",$D199,N($C199)*(1+MarkupPeca)))</f>
        <v>0</v>
      </c>
      <c r="H199" s="22">
        <f>IF($A199="","",SUMIFS(EntQtd,EntCod,$A199))</f>
        <v>0</v>
      </c>
      <c r="I199" s="22">
        <f>IF($A199="","",SUMIFS(ItQtd,ItCod,$A199,ItStatus,"&lt;&gt;Orçamento",ItStatus,"&lt;&gt;Cancelada"))</f>
        <v>0</v>
      </c>
      <c r="J199" s="23">
        <f>IF($A199="","",N($E199)+$H199-$I199)</f>
        <v>0</v>
      </c>
      <c r="K199" s="24">
        <f>IF($A199="","",IF($J199&lt;=0,"RUPTURA",IF($J199&lt;=N($F199),"REPOR","OK")))</f>
        <v>0</v>
      </c>
    </row>
    <row r="200" spans="1:11">
      <c r="A200" s="13"/>
      <c r="B200" s="13"/>
      <c r="C200" s="19"/>
      <c r="D200" s="19"/>
      <c r="E200" s="20"/>
      <c r="F200" s="20"/>
      <c r="G200" s="21">
        <f>IF($A200="","",IF($D200&lt;&gt;"",$D200,N($C200)*(1+MarkupPeca)))</f>
        <v>0</v>
      </c>
      <c r="H200" s="22">
        <f>IF($A200="","",SUMIFS(EntQtd,EntCod,$A200))</f>
        <v>0</v>
      </c>
      <c r="I200" s="22">
        <f>IF($A200="","",SUMIFS(ItQtd,ItCod,$A200,ItStatus,"&lt;&gt;Orçamento",ItStatus,"&lt;&gt;Cancelada"))</f>
        <v>0</v>
      </c>
      <c r="J200" s="23">
        <f>IF($A200="","",N($E200)+$H200-$I200)</f>
        <v>0</v>
      </c>
      <c r="K200" s="24">
        <f>IF($A200="","",IF($J200&lt;=0,"RUPTURA",IF($J200&lt;=N($F200),"REPOR","OK")))</f>
        <v>0</v>
      </c>
    </row>
    <row r="201" spans="1:11">
      <c r="A201" s="13"/>
      <c r="B201" s="13"/>
      <c r="C201" s="19"/>
      <c r="D201" s="19"/>
      <c r="E201" s="20"/>
      <c r="F201" s="20"/>
      <c r="G201" s="21">
        <f>IF($A201="","",IF($D201&lt;&gt;"",$D201,N($C201)*(1+MarkupPeca)))</f>
        <v>0</v>
      </c>
      <c r="H201" s="22">
        <f>IF($A201="","",SUMIFS(EntQtd,EntCod,$A201))</f>
        <v>0</v>
      </c>
      <c r="I201" s="22">
        <f>IF($A201="","",SUMIFS(ItQtd,ItCod,$A201,ItStatus,"&lt;&gt;Orçamento",ItStatus,"&lt;&gt;Cancelada"))</f>
        <v>0</v>
      </c>
      <c r="J201" s="23">
        <f>IF($A201="","",N($E201)+$H201-$I201)</f>
        <v>0</v>
      </c>
      <c r="K201" s="24">
        <f>IF($A201="","",IF($J201&lt;=0,"RUPTURA",IF($J201&lt;=N($F201),"REPOR","OK")))</f>
        <v>0</v>
      </c>
    </row>
    <row r="202" spans="1:11">
      <c r="A202" s="13"/>
      <c r="B202" s="13"/>
      <c r="C202" s="19"/>
      <c r="D202" s="19"/>
      <c r="E202" s="20"/>
      <c r="F202" s="20"/>
      <c r="G202" s="21">
        <f>IF($A202="","",IF($D202&lt;&gt;"",$D202,N($C202)*(1+MarkupPeca)))</f>
        <v>0</v>
      </c>
      <c r="H202" s="22">
        <f>IF($A202="","",SUMIFS(EntQtd,EntCod,$A202))</f>
        <v>0</v>
      </c>
      <c r="I202" s="22">
        <f>IF($A202="","",SUMIFS(ItQtd,ItCod,$A202,ItStatus,"&lt;&gt;Orçamento",ItStatus,"&lt;&gt;Cancelada"))</f>
        <v>0</v>
      </c>
      <c r="J202" s="23">
        <f>IF($A202="","",N($E202)+$H202-$I202)</f>
        <v>0</v>
      </c>
      <c r="K202" s="24">
        <f>IF($A202="","",IF($J202&lt;=0,"RUPTURA",IF($J202&lt;=N($F202),"REPOR","OK")))</f>
        <v>0</v>
      </c>
    </row>
    <row r="203" spans="1:11">
      <c r="A203" s="13"/>
      <c r="B203" s="13"/>
      <c r="C203" s="19"/>
      <c r="D203" s="19"/>
      <c r="E203" s="20"/>
      <c r="F203" s="20"/>
      <c r="G203" s="21">
        <f>IF($A203="","",IF($D203&lt;&gt;"",$D203,N($C203)*(1+MarkupPeca)))</f>
        <v>0</v>
      </c>
      <c r="H203" s="22">
        <f>IF($A203="","",SUMIFS(EntQtd,EntCod,$A203))</f>
        <v>0</v>
      </c>
      <c r="I203" s="22">
        <f>IF($A203="","",SUMIFS(ItQtd,ItCod,$A203,ItStatus,"&lt;&gt;Orçamento",ItStatus,"&lt;&gt;Cancelada"))</f>
        <v>0</v>
      </c>
      <c r="J203" s="23">
        <f>IF($A203="","",N($E203)+$H203-$I203)</f>
        <v>0</v>
      </c>
      <c r="K203" s="24">
        <f>IF($A203="","",IF($J203&lt;=0,"RUPTURA",IF($J203&lt;=N($F203),"REPOR","OK")))</f>
        <v>0</v>
      </c>
    </row>
    <row r="204" spans="1:11">
      <c r="A204" s="13"/>
      <c r="B204" s="13"/>
      <c r="C204" s="19"/>
      <c r="D204" s="19"/>
      <c r="E204" s="20"/>
      <c r="F204" s="20"/>
      <c r="G204" s="21">
        <f>IF($A204="","",IF($D204&lt;&gt;"",$D204,N($C204)*(1+MarkupPeca)))</f>
        <v>0</v>
      </c>
      <c r="H204" s="22">
        <f>IF($A204="","",SUMIFS(EntQtd,EntCod,$A204))</f>
        <v>0</v>
      </c>
      <c r="I204" s="22">
        <f>IF($A204="","",SUMIFS(ItQtd,ItCod,$A204,ItStatus,"&lt;&gt;Orçamento",ItStatus,"&lt;&gt;Cancelada"))</f>
        <v>0</v>
      </c>
      <c r="J204" s="23">
        <f>IF($A204="","",N($E204)+$H204-$I204)</f>
        <v>0</v>
      </c>
      <c r="K204" s="24">
        <f>IF($A204="","",IF($J204&lt;=0,"RUPTURA",IF($J204&lt;=N($F204),"REPOR","OK")))</f>
        <v>0</v>
      </c>
    </row>
    <row r="205" spans="1:11">
      <c r="A205" s="13"/>
      <c r="B205" s="13"/>
      <c r="C205" s="19"/>
      <c r="D205" s="19"/>
      <c r="E205" s="20"/>
      <c r="F205" s="20"/>
      <c r="G205" s="21">
        <f>IF($A205="","",IF($D205&lt;&gt;"",$D205,N($C205)*(1+MarkupPeca)))</f>
        <v>0</v>
      </c>
      <c r="H205" s="22">
        <f>IF($A205="","",SUMIFS(EntQtd,EntCod,$A205))</f>
        <v>0</v>
      </c>
      <c r="I205" s="22">
        <f>IF($A205="","",SUMIFS(ItQtd,ItCod,$A205,ItStatus,"&lt;&gt;Orçamento",ItStatus,"&lt;&gt;Cancelada"))</f>
        <v>0</v>
      </c>
      <c r="J205" s="23">
        <f>IF($A205="","",N($E205)+$H205-$I205)</f>
        <v>0</v>
      </c>
      <c r="K205" s="24">
        <f>IF($A205="","",IF($J205&lt;=0,"RUPTURA",IF($J205&lt;=N($F205),"REPOR","OK")))</f>
        <v>0</v>
      </c>
    </row>
    <row r="206" spans="1:11">
      <c r="A206" s="13"/>
      <c r="B206" s="13"/>
      <c r="C206" s="19"/>
      <c r="D206" s="19"/>
      <c r="E206" s="20"/>
      <c r="F206" s="20"/>
      <c r="G206" s="21">
        <f>IF($A206="","",IF($D206&lt;&gt;"",$D206,N($C206)*(1+MarkupPeca)))</f>
        <v>0</v>
      </c>
      <c r="H206" s="22">
        <f>IF($A206="","",SUMIFS(EntQtd,EntCod,$A206))</f>
        <v>0</v>
      </c>
      <c r="I206" s="22">
        <f>IF($A206="","",SUMIFS(ItQtd,ItCod,$A206,ItStatus,"&lt;&gt;Orçamento",ItStatus,"&lt;&gt;Cancelada"))</f>
        <v>0</v>
      </c>
      <c r="J206" s="23">
        <f>IF($A206="","",N($E206)+$H206-$I206)</f>
        <v>0</v>
      </c>
      <c r="K206" s="24">
        <f>IF($A206="","",IF($J206&lt;=0,"RUPTURA",IF($J206&lt;=N($F206),"REPOR","OK")))</f>
        <v>0</v>
      </c>
    </row>
    <row r="207" spans="1:11">
      <c r="A207" s="13"/>
      <c r="B207" s="13"/>
      <c r="C207" s="19"/>
      <c r="D207" s="19"/>
      <c r="E207" s="20"/>
      <c r="F207" s="20"/>
      <c r="G207" s="21">
        <f>IF($A207="","",IF($D207&lt;&gt;"",$D207,N($C207)*(1+MarkupPeca)))</f>
        <v>0</v>
      </c>
      <c r="H207" s="22">
        <f>IF($A207="","",SUMIFS(EntQtd,EntCod,$A207))</f>
        <v>0</v>
      </c>
      <c r="I207" s="22">
        <f>IF($A207="","",SUMIFS(ItQtd,ItCod,$A207,ItStatus,"&lt;&gt;Orçamento",ItStatus,"&lt;&gt;Cancelada"))</f>
        <v>0</v>
      </c>
      <c r="J207" s="23">
        <f>IF($A207="","",N($E207)+$H207-$I207)</f>
        <v>0</v>
      </c>
      <c r="K207" s="24">
        <f>IF($A207="","",IF($J207&lt;=0,"RUPTURA",IF($J207&lt;=N($F207),"REPOR","OK")))</f>
        <v>0</v>
      </c>
    </row>
    <row r="208" spans="1:11">
      <c r="A208" s="13"/>
      <c r="B208" s="13"/>
      <c r="C208" s="19"/>
      <c r="D208" s="19"/>
      <c r="E208" s="20"/>
      <c r="F208" s="20"/>
      <c r="G208" s="21">
        <f>IF($A208="","",IF($D208&lt;&gt;"",$D208,N($C208)*(1+MarkupPeca)))</f>
        <v>0</v>
      </c>
      <c r="H208" s="22">
        <f>IF($A208="","",SUMIFS(EntQtd,EntCod,$A208))</f>
        <v>0</v>
      </c>
      <c r="I208" s="22">
        <f>IF($A208="","",SUMIFS(ItQtd,ItCod,$A208,ItStatus,"&lt;&gt;Orçamento",ItStatus,"&lt;&gt;Cancelada"))</f>
        <v>0</v>
      </c>
      <c r="J208" s="23">
        <f>IF($A208="","",N($E208)+$H208-$I208)</f>
        <v>0</v>
      </c>
      <c r="K208" s="24">
        <f>IF($A208="","",IF($J208&lt;=0,"RUPTURA",IF($J208&lt;=N($F208),"REPOR","OK")))</f>
        <v>0</v>
      </c>
    </row>
    <row r="209" spans="1:11">
      <c r="A209" s="13"/>
      <c r="B209" s="13"/>
      <c r="C209" s="19"/>
      <c r="D209" s="19"/>
      <c r="E209" s="20"/>
      <c r="F209" s="20"/>
      <c r="G209" s="21">
        <f>IF($A209="","",IF($D209&lt;&gt;"",$D209,N($C209)*(1+MarkupPeca)))</f>
        <v>0</v>
      </c>
      <c r="H209" s="22">
        <f>IF($A209="","",SUMIFS(EntQtd,EntCod,$A209))</f>
        <v>0</v>
      </c>
      <c r="I209" s="22">
        <f>IF($A209="","",SUMIFS(ItQtd,ItCod,$A209,ItStatus,"&lt;&gt;Orçamento",ItStatus,"&lt;&gt;Cancelada"))</f>
        <v>0</v>
      </c>
      <c r="J209" s="23">
        <f>IF($A209="","",N($E209)+$H209-$I209)</f>
        <v>0</v>
      </c>
      <c r="K209" s="24">
        <f>IF($A209="","",IF($J209&lt;=0,"RUPTURA",IF($J209&lt;=N($F209),"REPOR","OK")))</f>
        <v>0</v>
      </c>
    </row>
    <row r="210" spans="1:11">
      <c r="A210" s="13"/>
      <c r="B210" s="13"/>
      <c r="C210" s="19"/>
      <c r="D210" s="19"/>
      <c r="E210" s="20"/>
      <c r="F210" s="20"/>
      <c r="G210" s="21">
        <f>IF($A210="","",IF($D210&lt;&gt;"",$D210,N($C210)*(1+MarkupPeca)))</f>
        <v>0</v>
      </c>
      <c r="H210" s="22">
        <f>IF($A210="","",SUMIFS(EntQtd,EntCod,$A210))</f>
        <v>0</v>
      </c>
      <c r="I210" s="22">
        <f>IF($A210="","",SUMIFS(ItQtd,ItCod,$A210,ItStatus,"&lt;&gt;Orçamento",ItStatus,"&lt;&gt;Cancelada"))</f>
        <v>0</v>
      </c>
      <c r="J210" s="23">
        <f>IF($A210="","",N($E210)+$H210-$I210)</f>
        <v>0</v>
      </c>
      <c r="K210" s="24">
        <f>IF($A210="","",IF($J210&lt;=0,"RUPTURA",IF($J210&lt;=N($F210),"REPOR","OK")))</f>
        <v>0</v>
      </c>
    </row>
    <row r="211" spans="1:11">
      <c r="A211" s="13"/>
      <c r="B211" s="13"/>
      <c r="C211" s="19"/>
      <c r="D211" s="19"/>
      <c r="E211" s="20"/>
      <c r="F211" s="20"/>
      <c r="G211" s="21">
        <f>IF($A211="","",IF($D211&lt;&gt;"",$D211,N($C211)*(1+MarkupPeca)))</f>
        <v>0</v>
      </c>
      <c r="H211" s="22">
        <f>IF($A211="","",SUMIFS(EntQtd,EntCod,$A211))</f>
        <v>0</v>
      </c>
      <c r="I211" s="22">
        <f>IF($A211="","",SUMIFS(ItQtd,ItCod,$A211,ItStatus,"&lt;&gt;Orçamento",ItStatus,"&lt;&gt;Cancelada"))</f>
        <v>0</v>
      </c>
      <c r="J211" s="23">
        <f>IF($A211="","",N($E211)+$H211-$I211)</f>
        <v>0</v>
      </c>
      <c r="K211" s="24">
        <f>IF($A211="","",IF($J211&lt;=0,"RUPTURA",IF($J211&lt;=N($F211),"REPOR","OK")))</f>
        <v>0</v>
      </c>
    </row>
    <row r="212" spans="1:11">
      <c r="A212" s="13"/>
      <c r="B212" s="13"/>
      <c r="C212" s="19"/>
      <c r="D212" s="19"/>
      <c r="E212" s="20"/>
      <c r="F212" s="20"/>
      <c r="G212" s="21">
        <f>IF($A212="","",IF($D212&lt;&gt;"",$D212,N($C212)*(1+MarkupPeca)))</f>
        <v>0</v>
      </c>
      <c r="H212" s="22">
        <f>IF($A212="","",SUMIFS(EntQtd,EntCod,$A212))</f>
        <v>0</v>
      </c>
      <c r="I212" s="22">
        <f>IF($A212="","",SUMIFS(ItQtd,ItCod,$A212,ItStatus,"&lt;&gt;Orçamento",ItStatus,"&lt;&gt;Cancelada"))</f>
        <v>0</v>
      </c>
      <c r="J212" s="23">
        <f>IF($A212="","",N($E212)+$H212-$I212)</f>
        <v>0</v>
      </c>
      <c r="K212" s="24">
        <f>IF($A212="","",IF($J212&lt;=0,"RUPTURA",IF($J212&lt;=N($F212),"REPOR","OK")))</f>
        <v>0</v>
      </c>
    </row>
    <row r="213" spans="1:11">
      <c r="A213" s="13"/>
      <c r="B213" s="13"/>
      <c r="C213" s="19"/>
      <c r="D213" s="19"/>
      <c r="E213" s="20"/>
      <c r="F213" s="20"/>
      <c r="G213" s="21">
        <f>IF($A213="","",IF($D213&lt;&gt;"",$D213,N($C213)*(1+MarkupPeca)))</f>
        <v>0</v>
      </c>
      <c r="H213" s="22">
        <f>IF($A213="","",SUMIFS(EntQtd,EntCod,$A213))</f>
        <v>0</v>
      </c>
      <c r="I213" s="22">
        <f>IF($A213="","",SUMIFS(ItQtd,ItCod,$A213,ItStatus,"&lt;&gt;Orçamento",ItStatus,"&lt;&gt;Cancelada"))</f>
        <v>0</v>
      </c>
      <c r="J213" s="23">
        <f>IF($A213="","",N($E213)+$H213-$I213)</f>
        <v>0</v>
      </c>
      <c r="K213" s="24">
        <f>IF($A213="","",IF($J213&lt;=0,"RUPTURA",IF($J213&lt;=N($F213),"REPOR","OK")))</f>
        <v>0</v>
      </c>
    </row>
    <row r="214" spans="1:11">
      <c r="A214" s="13"/>
      <c r="B214" s="13"/>
      <c r="C214" s="19"/>
      <c r="D214" s="19"/>
      <c r="E214" s="20"/>
      <c r="F214" s="20"/>
      <c r="G214" s="21">
        <f>IF($A214="","",IF($D214&lt;&gt;"",$D214,N($C214)*(1+MarkupPeca)))</f>
        <v>0</v>
      </c>
      <c r="H214" s="22">
        <f>IF($A214="","",SUMIFS(EntQtd,EntCod,$A214))</f>
        <v>0</v>
      </c>
      <c r="I214" s="22">
        <f>IF($A214="","",SUMIFS(ItQtd,ItCod,$A214,ItStatus,"&lt;&gt;Orçamento",ItStatus,"&lt;&gt;Cancelada"))</f>
        <v>0</v>
      </c>
      <c r="J214" s="23">
        <f>IF($A214="","",N($E214)+$H214-$I214)</f>
        <v>0</v>
      </c>
      <c r="K214" s="24">
        <f>IF($A214="","",IF($J214&lt;=0,"RUPTURA",IF($J214&lt;=N($F214),"REPOR","OK")))</f>
        <v>0</v>
      </c>
    </row>
    <row r="215" spans="1:11">
      <c r="A215" s="13"/>
      <c r="B215" s="13"/>
      <c r="C215" s="19"/>
      <c r="D215" s="19"/>
      <c r="E215" s="20"/>
      <c r="F215" s="20"/>
      <c r="G215" s="21">
        <f>IF($A215="","",IF($D215&lt;&gt;"",$D215,N($C215)*(1+MarkupPeca)))</f>
        <v>0</v>
      </c>
      <c r="H215" s="22">
        <f>IF($A215="","",SUMIFS(EntQtd,EntCod,$A215))</f>
        <v>0</v>
      </c>
      <c r="I215" s="22">
        <f>IF($A215="","",SUMIFS(ItQtd,ItCod,$A215,ItStatus,"&lt;&gt;Orçamento",ItStatus,"&lt;&gt;Cancelada"))</f>
        <v>0</v>
      </c>
      <c r="J215" s="23">
        <f>IF($A215="","",N($E215)+$H215-$I215)</f>
        <v>0</v>
      </c>
      <c r="K215" s="24">
        <f>IF($A215="","",IF($J215&lt;=0,"RUPTURA",IF($J215&lt;=N($F215),"REPOR","OK")))</f>
        <v>0</v>
      </c>
    </row>
    <row r="216" spans="1:11">
      <c r="A216" s="13"/>
      <c r="B216" s="13"/>
      <c r="C216" s="19"/>
      <c r="D216" s="19"/>
      <c r="E216" s="20"/>
      <c r="F216" s="20"/>
      <c r="G216" s="21">
        <f>IF($A216="","",IF($D216&lt;&gt;"",$D216,N($C216)*(1+MarkupPeca)))</f>
        <v>0</v>
      </c>
      <c r="H216" s="22">
        <f>IF($A216="","",SUMIFS(EntQtd,EntCod,$A216))</f>
        <v>0</v>
      </c>
      <c r="I216" s="22">
        <f>IF($A216="","",SUMIFS(ItQtd,ItCod,$A216,ItStatus,"&lt;&gt;Orçamento",ItStatus,"&lt;&gt;Cancelada"))</f>
        <v>0</v>
      </c>
      <c r="J216" s="23">
        <f>IF($A216="","",N($E216)+$H216-$I216)</f>
        <v>0</v>
      </c>
      <c r="K216" s="24">
        <f>IF($A216="","",IF($J216&lt;=0,"RUPTURA",IF($J216&lt;=N($F216),"REPOR","OK")))</f>
        <v>0</v>
      </c>
    </row>
    <row r="217" spans="1:11">
      <c r="A217" s="13"/>
      <c r="B217" s="13"/>
      <c r="C217" s="19"/>
      <c r="D217" s="19"/>
      <c r="E217" s="20"/>
      <c r="F217" s="20"/>
      <c r="G217" s="21">
        <f>IF($A217="","",IF($D217&lt;&gt;"",$D217,N($C217)*(1+MarkupPeca)))</f>
        <v>0</v>
      </c>
      <c r="H217" s="22">
        <f>IF($A217="","",SUMIFS(EntQtd,EntCod,$A217))</f>
        <v>0</v>
      </c>
      <c r="I217" s="22">
        <f>IF($A217="","",SUMIFS(ItQtd,ItCod,$A217,ItStatus,"&lt;&gt;Orçamento",ItStatus,"&lt;&gt;Cancelada"))</f>
        <v>0</v>
      </c>
      <c r="J217" s="23">
        <f>IF($A217="","",N($E217)+$H217-$I217)</f>
        <v>0</v>
      </c>
      <c r="K217" s="24">
        <f>IF($A217="","",IF($J217&lt;=0,"RUPTURA",IF($J217&lt;=N($F217),"REPOR","OK")))</f>
        <v>0</v>
      </c>
    </row>
    <row r="218" spans="1:11">
      <c r="A218" s="13"/>
      <c r="B218" s="13"/>
      <c r="C218" s="19"/>
      <c r="D218" s="19"/>
      <c r="E218" s="20"/>
      <c r="F218" s="20"/>
      <c r="G218" s="21">
        <f>IF($A218="","",IF($D218&lt;&gt;"",$D218,N($C218)*(1+MarkupPeca)))</f>
        <v>0</v>
      </c>
      <c r="H218" s="22">
        <f>IF($A218="","",SUMIFS(EntQtd,EntCod,$A218))</f>
        <v>0</v>
      </c>
      <c r="I218" s="22">
        <f>IF($A218="","",SUMIFS(ItQtd,ItCod,$A218,ItStatus,"&lt;&gt;Orçamento",ItStatus,"&lt;&gt;Cancelada"))</f>
        <v>0</v>
      </c>
      <c r="J218" s="23">
        <f>IF($A218="","",N($E218)+$H218-$I218)</f>
        <v>0</v>
      </c>
      <c r="K218" s="24">
        <f>IF($A218="","",IF($J218&lt;=0,"RUPTURA",IF($J218&lt;=N($F218),"REPOR","OK")))</f>
        <v>0</v>
      </c>
    </row>
    <row r="219" spans="1:11">
      <c r="A219" s="13"/>
      <c r="B219" s="13"/>
      <c r="C219" s="19"/>
      <c r="D219" s="19"/>
      <c r="E219" s="20"/>
      <c r="F219" s="20"/>
      <c r="G219" s="21">
        <f>IF($A219="","",IF($D219&lt;&gt;"",$D219,N($C219)*(1+MarkupPeca)))</f>
        <v>0</v>
      </c>
      <c r="H219" s="22">
        <f>IF($A219="","",SUMIFS(EntQtd,EntCod,$A219))</f>
        <v>0</v>
      </c>
      <c r="I219" s="22">
        <f>IF($A219="","",SUMIFS(ItQtd,ItCod,$A219,ItStatus,"&lt;&gt;Orçamento",ItStatus,"&lt;&gt;Cancelada"))</f>
        <v>0</v>
      </c>
      <c r="J219" s="23">
        <f>IF($A219="","",N($E219)+$H219-$I219)</f>
        <v>0</v>
      </c>
      <c r="K219" s="24">
        <f>IF($A219="","",IF($J219&lt;=0,"RUPTURA",IF($J219&lt;=N($F219),"REPOR","OK")))</f>
        <v>0</v>
      </c>
    </row>
    <row r="220" spans="1:11">
      <c r="A220" s="13"/>
      <c r="B220" s="13"/>
      <c r="C220" s="19"/>
      <c r="D220" s="19"/>
      <c r="E220" s="20"/>
      <c r="F220" s="20"/>
      <c r="G220" s="21">
        <f>IF($A220="","",IF($D220&lt;&gt;"",$D220,N($C220)*(1+MarkupPeca)))</f>
        <v>0</v>
      </c>
      <c r="H220" s="22">
        <f>IF($A220="","",SUMIFS(EntQtd,EntCod,$A220))</f>
        <v>0</v>
      </c>
      <c r="I220" s="22">
        <f>IF($A220="","",SUMIFS(ItQtd,ItCod,$A220,ItStatus,"&lt;&gt;Orçamento",ItStatus,"&lt;&gt;Cancelada"))</f>
        <v>0</v>
      </c>
      <c r="J220" s="23">
        <f>IF($A220="","",N($E220)+$H220-$I220)</f>
        <v>0</v>
      </c>
      <c r="K220" s="24">
        <f>IF($A220="","",IF($J220&lt;=0,"RUPTURA",IF($J220&lt;=N($F220),"REPOR","OK")))</f>
        <v>0</v>
      </c>
    </row>
    <row r="221" spans="1:11">
      <c r="A221" s="13"/>
      <c r="B221" s="13"/>
      <c r="C221" s="19"/>
      <c r="D221" s="19"/>
      <c r="E221" s="20"/>
      <c r="F221" s="20"/>
      <c r="G221" s="21">
        <f>IF($A221="","",IF($D221&lt;&gt;"",$D221,N($C221)*(1+MarkupPeca)))</f>
        <v>0</v>
      </c>
      <c r="H221" s="22">
        <f>IF($A221="","",SUMIFS(EntQtd,EntCod,$A221))</f>
        <v>0</v>
      </c>
      <c r="I221" s="22">
        <f>IF($A221="","",SUMIFS(ItQtd,ItCod,$A221,ItStatus,"&lt;&gt;Orçamento",ItStatus,"&lt;&gt;Cancelada"))</f>
        <v>0</v>
      </c>
      <c r="J221" s="23">
        <f>IF($A221="","",N($E221)+$H221-$I221)</f>
        <v>0</v>
      </c>
      <c r="K221" s="24">
        <f>IF($A221="","",IF($J221&lt;=0,"RUPTURA",IF($J221&lt;=N($F221),"REPOR","OK")))</f>
        <v>0</v>
      </c>
    </row>
    <row r="222" spans="1:11">
      <c r="A222" s="13"/>
      <c r="B222" s="13"/>
      <c r="C222" s="19"/>
      <c r="D222" s="19"/>
      <c r="E222" s="20"/>
      <c r="F222" s="20"/>
      <c r="G222" s="21">
        <f>IF($A222="","",IF($D222&lt;&gt;"",$D222,N($C222)*(1+MarkupPeca)))</f>
        <v>0</v>
      </c>
      <c r="H222" s="22">
        <f>IF($A222="","",SUMIFS(EntQtd,EntCod,$A222))</f>
        <v>0</v>
      </c>
      <c r="I222" s="22">
        <f>IF($A222="","",SUMIFS(ItQtd,ItCod,$A222,ItStatus,"&lt;&gt;Orçamento",ItStatus,"&lt;&gt;Cancelada"))</f>
        <v>0</v>
      </c>
      <c r="J222" s="23">
        <f>IF($A222="","",N($E222)+$H222-$I222)</f>
        <v>0</v>
      </c>
      <c r="K222" s="24">
        <f>IF($A222="","",IF($J222&lt;=0,"RUPTURA",IF($J222&lt;=N($F222),"REPOR","OK")))</f>
        <v>0</v>
      </c>
    </row>
    <row r="223" spans="1:11">
      <c r="A223" s="13"/>
      <c r="B223" s="13"/>
      <c r="C223" s="19"/>
      <c r="D223" s="19"/>
      <c r="E223" s="20"/>
      <c r="F223" s="20"/>
      <c r="G223" s="21">
        <f>IF($A223="","",IF($D223&lt;&gt;"",$D223,N($C223)*(1+MarkupPeca)))</f>
        <v>0</v>
      </c>
      <c r="H223" s="22">
        <f>IF($A223="","",SUMIFS(EntQtd,EntCod,$A223))</f>
        <v>0</v>
      </c>
      <c r="I223" s="22">
        <f>IF($A223="","",SUMIFS(ItQtd,ItCod,$A223,ItStatus,"&lt;&gt;Orçamento",ItStatus,"&lt;&gt;Cancelada"))</f>
        <v>0</v>
      </c>
      <c r="J223" s="23">
        <f>IF($A223="","",N($E223)+$H223-$I223)</f>
        <v>0</v>
      </c>
      <c r="K223" s="24">
        <f>IF($A223="","",IF($J223&lt;=0,"RUPTURA",IF($J223&lt;=N($F223),"REPOR","OK")))</f>
        <v>0</v>
      </c>
    </row>
    <row r="224" spans="1:11">
      <c r="A224" s="13"/>
      <c r="B224" s="13"/>
      <c r="C224" s="19"/>
      <c r="D224" s="19"/>
      <c r="E224" s="20"/>
      <c r="F224" s="20"/>
      <c r="G224" s="21">
        <f>IF($A224="","",IF($D224&lt;&gt;"",$D224,N($C224)*(1+MarkupPeca)))</f>
        <v>0</v>
      </c>
      <c r="H224" s="22">
        <f>IF($A224="","",SUMIFS(EntQtd,EntCod,$A224))</f>
        <v>0</v>
      </c>
      <c r="I224" s="22">
        <f>IF($A224="","",SUMIFS(ItQtd,ItCod,$A224,ItStatus,"&lt;&gt;Orçamento",ItStatus,"&lt;&gt;Cancelada"))</f>
        <v>0</v>
      </c>
      <c r="J224" s="23">
        <f>IF($A224="","",N($E224)+$H224-$I224)</f>
        <v>0</v>
      </c>
      <c r="K224" s="24">
        <f>IF($A224="","",IF($J224&lt;=0,"RUPTURA",IF($J224&lt;=N($F224),"REPOR","OK")))</f>
        <v>0</v>
      </c>
    </row>
    <row r="225" spans="1:11">
      <c r="A225" s="13"/>
      <c r="B225" s="13"/>
      <c r="C225" s="19"/>
      <c r="D225" s="19"/>
      <c r="E225" s="20"/>
      <c r="F225" s="20"/>
      <c r="G225" s="21">
        <f>IF($A225="","",IF($D225&lt;&gt;"",$D225,N($C225)*(1+MarkupPeca)))</f>
        <v>0</v>
      </c>
      <c r="H225" s="22">
        <f>IF($A225="","",SUMIFS(EntQtd,EntCod,$A225))</f>
        <v>0</v>
      </c>
      <c r="I225" s="22">
        <f>IF($A225="","",SUMIFS(ItQtd,ItCod,$A225,ItStatus,"&lt;&gt;Orçamento",ItStatus,"&lt;&gt;Cancelada"))</f>
        <v>0</v>
      </c>
      <c r="J225" s="23">
        <f>IF($A225="","",N($E225)+$H225-$I225)</f>
        <v>0</v>
      </c>
      <c r="K225" s="24">
        <f>IF($A225="","",IF($J225&lt;=0,"RUPTURA",IF($J225&lt;=N($F225),"REPOR","OK")))</f>
        <v>0</v>
      </c>
    </row>
    <row r="226" spans="1:11">
      <c r="A226" s="13"/>
      <c r="B226" s="13"/>
      <c r="C226" s="19"/>
      <c r="D226" s="19"/>
      <c r="E226" s="20"/>
      <c r="F226" s="20"/>
      <c r="G226" s="21">
        <f>IF($A226="","",IF($D226&lt;&gt;"",$D226,N($C226)*(1+MarkupPeca)))</f>
        <v>0</v>
      </c>
      <c r="H226" s="22">
        <f>IF($A226="","",SUMIFS(EntQtd,EntCod,$A226))</f>
        <v>0</v>
      </c>
      <c r="I226" s="22">
        <f>IF($A226="","",SUMIFS(ItQtd,ItCod,$A226,ItStatus,"&lt;&gt;Orçamento",ItStatus,"&lt;&gt;Cancelada"))</f>
        <v>0</v>
      </c>
      <c r="J226" s="23">
        <f>IF($A226="","",N($E226)+$H226-$I226)</f>
        <v>0</v>
      </c>
      <c r="K226" s="24">
        <f>IF($A226="","",IF($J226&lt;=0,"RUPTURA",IF($J226&lt;=N($F226),"REPOR","OK")))</f>
        <v>0</v>
      </c>
    </row>
    <row r="227" spans="1:11">
      <c r="A227" s="13"/>
      <c r="B227" s="13"/>
      <c r="C227" s="19"/>
      <c r="D227" s="19"/>
      <c r="E227" s="20"/>
      <c r="F227" s="20"/>
      <c r="G227" s="21">
        <f>IF($A227="","",IF($D227&lt;&gt;"",$D227,N($C227)*(1+MarkupPeca)))</f>
        <v>0</v>
      </c>
      <c r="H227" s="22">
        <f>IF($A227="","",SUMIFS(EntQtd,EntCod,$A227))</f>
        <v>0</v>
      </c>
      <c r="I227" s="22">
        <f>IF($A227="","",SUMIFS(ItQtd,ItCod,$A227,ItStatus,"&lt;&gt;Orçamento",ItStatus,"&lt;&gt;Cancelada"))</f>
        <v>0</v>
      </c>
      <c r="J227" s="23">
        <f>IF($A227="","",N($E227)+$H227-$I227)</f>
        <v>0</v>
      </c>
      <c r="K227" s="24">
        <f>IF($A227="","",IF($J227&lt;=0,"RUPTURA",IF($J227&lt;=N($F227),"REPOR","OK")))</f>
        <v>0</v>
      </c>
    </row>
    <row r="228" spans="1:11">
      <c r="A228" s="13"/>
      <c r="B228" s="13"/>
      <c r="C228" s="19"/>
      <c r="D228" s="19"/>
      <c r="E228" s="20"/>
      <c r="F228" s="20"/>
      <c r="G228" s="21">
        <f>IF($A228="","",IF($D228&lt;&gt;"",$D228,N($C228)*(1+MarkupPeca)))</f>
        <v>0</v>
      </c>
      <c r="H228" s="22">
        <f>IF($A228="","",SUMIFS(EntQtd,EntCod,$A228))</f>
        <v>0</v>
      </c>
      <c r="I228" s="22">
        <f>IF($A228="","",SUMIFS(ItQtd,ItCod,$A228,ItStatus,"&lt;&gt;Orçamento",ItStatus,"&lt;&gt;Cancelada"))</f>
        <v>0</v>
      </c>
      <c r="J228" s="23">
        <f>IF($A228="","",N($E228)+$H228-$I228)</f>
        <v>0</v>
      </c>
      <c r="K228" s="24">
        <f>IF($A228="","",IF($J228&lt;=0,"RUPTURA",IF($J228&lt;=N($F228),"REPOR","OK")))</f>
        <v>0</v>
      </c>
    </row>
    <row r="229" spans="1:11">
      <c r="A229" s="13"/>
      <c r="B229" s="13"/>
      <c r="C229" s="19"/>
      <c r="D229" s="19"/>
      <c r="E229" s="20"/>
      <c r="F229" s="20"/>
      <c r="G229" s="21">
        <f>IF($A229="","",IF($D229&lt;&gt;"",$D229,N($C229)*(1+MarkupPeca)))</f>
        <v>0</v>
      </c>
      <c r="H229" s="22">
        <f>IF($A229="","",SUMIFS(EntQtd,EntCod,$A229))</f>
        <v>0</v>
      </c>
      <c r="I229" s="22">
        <f>IF($A229="","",SUMIFS(ItQtd,ItCod,$A229,ItStatus,"&lt;&gt;Orçamento",ItStatus,"&lt;&gt;Cancelada"))</f>
        <v>0</v>
      </c>
      <c r="J229" s="23">
        <f>IF($A229="","",N($E229)+$H229-$I229)</f>
        <v>0</v>
      </c>
      <c r="K229" s="24">
        <f>IF($A229="","",IF($J229&lt;=0,"RUPTURA",IF($J229&lt;=N($F229),"REPOR","OK")))</f>
        <v>0</v>
      </c>
    </row>
    <row r="230" spans="1:11">
      <c r="A230" s="13"/>
      <c r="B230" s="13"/>
      <c r="C230" s="19"/>
      <c r="D230" s="19"/>
      <c r="E230" s="20"/>
      <c r="F230" s="20"/>
      <c r="G230" s="21">
        <f>IF($A230="","",IF($D230&lt;&gt;"",$D230,N($C230)*(1+MarkupPeca)))</f>
        <v>0</v>
      </c>
      <c r="H230" s="22">
        <f>IF($A230="","",SUMIFS(EntQtd,EntCod,$A230))</f>
        <v>0</v>
      </c>
      <c r="I230" s="22">
        <f>IF($A230="","",SUMIFS(ItQtd,ItCod,$A230,ItStatus,"&lt;&gt;Orçamento",ItStatus,"&lt;&gt;Cancelada"))</f>
        <v>0</v>
      </c>
      <c r="J230" s="23">
        <f>IF($A230="","",N($E230)+$H230-$I230)</f>
        <v>0</v>
      </c>
      <c r="K230" s="24">
        <f>IF($A230="","",IF($J230&lt;=0,"RUPTURA",IF($J230&lt;=N($F230),"REPOR","OK")))</f>
        <v>0</v>
      </c>
    </row>
    <row r="231" spans="1:11">
      <c r="A231" s="13"/>
      <c r="B231" s="13"/>
      <c r="C231" s="19"/>
      <c r="D231" s="19"/>
      <c r="E231" s="20"/>
      <c r="F231" s="20"/>
      <c r="G231" s="21">
        <f>IF($A231="","",IF($D231&lt;&gt;"",$D231,N($C231)*(1+MarkupPeca)))</f>
        <v>0</v>
      </c>
      <c r="H231" s="22">
        <f>IF($A231="","",SUMIFS(EntQtd,EntCod,$A231))</f>
        <v>0</v>
      </c>
      <c r="I231" s="22">
        <f>IF($A231="","",SUMIFS(ItQtd,ItCod,$A231,ItStatus,"&lt;&gt;Orçamento",ItStatus,"&lt;&gt;Cancelada"))</f>
        <v>0</v>
      </c>
      <c r="J231" s="23">
        <f>IF($A231="","",N($E231)+$H231-$I231)</f>
        <v>0</v>
      </c>
      <c r="K231" s="24">
        <f>IF($A231="","",IF($J231&lt;=0,"RUPTURA",IF($J231&lt;=N($F231),"REPOR","OK")))</f>
        <v>0</v>
      </c>
    </row>
    <row r="232" spans="1:11">
      <c r="A232" s="13"/>
      <c r="B232" s="13"/>
      <c r="C232" s="19"/>
      <c r="D232" s="19"/>
      <c r="E232" s="20"/>
      <c r="F232" s="20"/>
      <c r="G232" s="21">
        <f>IF($A232="","",IF($D232&lt;&gt;"",$D232,N($C232)*(1+MarkupPeca)))</f>
        <v>0</v>
      </c>
      <c r="H232" s="22">
        <f>IF($A232="","",SUMIFS(EntQtd,EntCod,$A232))</f>
        <v>0</v>
      </c>
      <c r="I232" s="22">
        <f>IF($A232="","",SUMIFS(ItQtd,ItCod,$A232,ItStatus,"&lt;&gt;Orçamento",ItStatus,"&lt;&gt;Cancelada"))</f>
        <v>0</v>
      </c>
      <c r="J232" s="23">
        <f>IF($A232="","",N($E232)+$H232-$I232)</f>
        <v>0</v>
      </c>
      <c r="K232" s="24">
        <f>IF($A232="","",IF($J232&lt;=0,"RUPTURA",IF($J232&lt;=N($F232),"REPOR","OK")))</f>
        <v>0</v>
      </c>
    </row>
    <row r="233" spans="1:11">
      <c r="A233" s="13"/>
      <c r="B233" s="13"/>
      <c r="C233" s="19"/>
      <c r="D233" s="19"/>
      <c r="E233" s="20"/>
      <c r="F233" s="20"/>
      <c r="G233" s="21">
        <f>IF($A233="","",IF($D233&lt;&gt;"",$D233,N($C233)*(1+MarkupPeca)))</f>
        <v>0</v>
      </c>
      <c r="H233" s="22">
        <f>IF($A233="","",SUMIFS(EntQtd,EntCod,$A233))</f>
        <v>0</v>
      </c>
      <c r="I233" s="22">
        <f>IF($A233="","",SUMIFS(ItQtd,ItCod,$A233,ItStatus,"&lt;&gt;Orçamento",ItStatus,"&lt;&gt;Cancelada"))</f>
        <v>0</v>
      </c>
      <c r="J233" s="23">
        <f>IF($A233="","",N($E233)+$H233-$I233)</f>
        <v>0</v>
      </c>
      <c r="K233" s="24">
        <f>IF($A233="","",IF($J233&lt;=0,"RUPTURA",IF($J233&lt;=N($F233),"REPOR","OK")))</f>
        <v>0</v>
      </c>
    </row>
    <row r="234" spans="1:11">
      <c r="A234" s="13"/>
      <c r="B234" s="13"/>
      <c r="C234" s="19"/>
      <c r="D234" s="19"/>
      <c r="E234" s="20"/>
      <c r="F234" s="20"/>
      <c r="G234" s="21">
        <f>IF($A234="","",IF($D234&lt;&gt;"",$D234,N($C234)*(1+MarkupPeca)))</f>
        <v>0</v>
      </c>
      <c r="H234" s="22">
        <f>IF($A234="","",SUMIFS(EntQtd,EntCod,$A234))</f>
        <v>0</v>
      </c>
      <c r="I234" s="22">
        <f>IF($A234="","",SUMIFS(ItQtd,ItCod,$A234,ItStatus,"&lt;&gt;Orçamento",ItStatus,"&lt;&gt;Cancelada"))</f>
        <v>0</v>
      </c>
      <c r="J234" s="23">
        <f>IF($A234="","",N($E234)+$H234-$I234)</f>
        <v>0</v>
      </c>
      <c r="K234" s="24">
        <f>IF($A234="","",IF($J234&lt;=0,"RUPTURA",IF($J234&lt;=N($F234),"REPOR","OK")))</f>
        <v>0</v>
      </c>
    </row>
    <row r="235" spans="1:11">
      <c r="A235" s="13"/>
      <c r="B235" s="13"/>
      <c r="C235" s="19"/>
      <c r="D235" s="19"/>
      <c r="E235" s="20"/>
      <c r="F235" s="20"/>
      <c r="G235" s="21">
        <f>IF($A235="","",IF($D235&lt;&gt;"",$D235,N($C235)*(1+MarkupPeca)))</f>
        <v>0</v>
      </c>
      <c r="H235" s="22">
        <f>IF($A235="","",SUMIFS(EntQtd,EntCod,$A235))</f>
        <v>0</v>
      </c>
      <c r="I235" s="22">
        <f>IF($A235="","",SUMIFS(ItQtd,ItCod,$A235,ItStatus,"&lt;&gt;Orçamento",ItStatus,"&lt;&gt;Cancelada"))</f>
        <v>0</v>
      </c>
      <c r="J235" s="23">
        <f>IF($A235="","",N($E235)+$H235-$I235)</f>
        <v>0</v>
      </c>
      <c r="K235" s="24">
        <f>IF($A235="","",IF($J235&lt;=0,"RUPTURA",IF($J235&lt;=N($F235),"REPOR","OK")))</f>
        <v>0</v>
      </c>
    </row>
    <row r="236" spans="1:11">
      <c r="A236" s="13"/>
      <c r="B236" s="13"/>
      <c r="C236" s="19"/>
      <c r="D236" s="19"/>
      <c r="E236" s="20"/>
      <c r="F236" s="20"/>
      <c r="G236" s="21">
        <f>IF($A236="","",IF($D236&lt;&gt;"",$D236,N($C236)*(1+MarkupPeca)))</f>
        <v>0</v>
      </c>
      <c r="H236" s="22">
        <f>IF($A236="","",SUMIFS(EntQtd,EntCod,$A236))</f>
        <v>0</v>
      </c>
      <c r="I236" s="22">
        <f>IF($A236="","",SUMIFS(ItQtd,ItCod,$A236,ItStatus,"&lt;&gt;Orçamento",ItStatus,"&lt;&gt;Cancelada"))</f>
        <v>0</v>
      </c>
      <c r="J236" s="23">
        <f>IF($A236="","",N($E236)+$H236-$I236)</f>
        <v>0</v>
      </c>
      <c r="K236" s="24">
        <f>IF($A236="","",IF($J236&lt;=0,"RUPTURA",IF($J236&lt;=N($F236),"REPOR","OK")))</f>
        <v>0</v>
      </c>
    </row>
    <row r="237" spans="1:11">
      <c r="A237" s="13"/>
      <c r="B237" s="13"/>
      <c r="C237" s="19"/>
      <c r="D237" s="19"/>
      <c r="E237" s="20"/>
      <c r="F237" s="20"/>
      <c r="G237" s="21">
        <f>IF($A237="","",IF($D237&lt;&gt;"",$D237,N($C237)*(1+MarkupPeca)))</f>
        <v>0</v>
      </c>
      <c r="H237" s="22">
        <f>IF($A237="","",SUMIFS(EntQtd,EntCod,$A237))</f>
        <v>0</v>
      </c>
      <c r="I237" s="22">
        <f>IF($A237="","",SUMIFS(ItQtd,ItCod,$A237,ItStatus,"&lt;&gt;Orçamento",ItStatus,"&lt;&gt;Cancelada"))</f>
        <v>0</v>
      </c>
      <c r="J237" s="23">
        <f>IF($A237="","",N($E237)+$H237-$I237)</f>
        <v>0</v>
      </c>
      <c r="K237" s="24">
        <f>IF($A237="","",IF($J237&lt;=0,"RUPTURA",IF($J237&lt;=N($F237),"REPOR","OK")))</f>
        <v>0</v>
      </c>
    </row>
    <row r="238" spans="1:11">
      <c r="A238" s="13"/>
      <c r="B238" s="13"/>
      <c r="C238" s="19"/>
      <c r="D238" s="19"/>
      <c r="E238" s="20"/>
      <c r="F238" s="20"/>
      <c r="G238" s="21">
        <f>IF($A238="","",IF($D238&lt;&gt;"",$D238,N($C238)*(1+MarkupPeca)))</f>
        <v>0</v>
      </c>
      <c r="H238" s="22">
        <f>IF($A238="","",SUMIFS(EntQtd,EntCod,$A238))</f>
        <v>0</v>
      </c>
      <c r="I238" s="22">
        <f>IF($A238="","",SUMIFS(ItQtd,ItCod,$A238,ItStatus,"&lt;&gt;Orçamento",ItStatus,"&lt;&gt;Cancelada"))</f>
        <v>0</v>
      </c>
      <c r="J238" s="23">
        <f>IF($A238="","",N($E238)+$H238-$I238)</f>
        <v>0</v>
      </c>
      <c r="K238" s="24">
        <f>IF($A238="","",IF($J238&lt;=0,"RUPTURA",IF($J238&lt;=N($F238),"REPOR","OK")))</f>
        <v>0</v>
      </c>
    </row>
    <row r="239" spans="1:11">
      <c r="A239" s="13"/>
      <c r="B239" s="13"/>
      <c r="C239" s="19"/>
      <c r="D239" s="19"/>
      <c r="E239" s="20"/>
      <c r="F239" s="20"/>
      <c r="G239" s="21">
        <f>IF($A239="","",IF($D239&lt;&gt;"",$D239,N($C239)*(1+MarkupPeca)))</f>
        <v>0</v>
      </c>
      <c r="H239" s="22">
        <f>IF($A239="","",SUMIFS(EntQtd,EntCod,$A239))</f>
        <v>0</v>
      </c>
      <c r="I239" s="22">
        <f>IF($A239="","",SUMIFS(ItQtd,ItCod,$A239,ItStatus,"&lt;&gt;Orçamento",ItStatus,"&lt;&gt;Cancelada"))</f>
        <v>0</v>
      </c>
      <c r="J239" s="23">
        <f>IF($A239="","",N($E239)+$H239-$I239)</f>
        <v>0</v>
      </c>
      <c r="K239" s="24">
        <f>IF($A239="","",IF($J239&lt;=0,"RUPTURA",IF($J239&lt;=N($F239),"REPOR","OK")))</f>
        <v>0</v>
      </c>
    </row>
    <row r="240" spans="1:11">
      <c r="A240" s="13"/>
      <c r="B240" s="13"/>
      <c r="C240" s="19"/>
      <c r="D240" s="19"/>
      <c r="E240" s="20"/>
      <c r="F240" s="20"/>
      <c r="G240" s="21">
        <f>IF($A240="","",IF($D240&lt;&gt;"",$D240,N($C240)*(1+MarkupPeca)))</f>
        <v>0</v>
      </c>
      <c r="H240" s="22">
        <f>IF($A240="","",SUMIFS(EntQtd,EntCod,$A240))</f>
        <v>0</v>
      </c>
      <c r="I240" s="22">
        <f>IF($A240="","",SUMIFS(ItQtd,ItCod,$A240,ItStatus,"&lt;&gt;Orçamento",ItStatus,"&lt;&gt;Cancelada"))</f>
        <v>0</v>
      </c>
      <c r="J240" s="23">
        <f>IF($A240="","",N($E240)+$H240-$I240)</f>
        <v>0</v>
      </c>
      <c r="K240" s="24">
        <f>IF($A240="","",IF($J240&lt;=0,"RUPTURA",IF($J240&lt;=N($F240),"REPOR","OK")))</f>
        <v>0</v>
      </c>
    </row>
    <row r="241" spans="1:11">
      <c r="A241" s="13"/>
      <c r="B241" s="13"/>
      <c r="C241" s="19"/>
      <c r="D241" s="19"/>
      <c r="E241" s="20"/>
      <c r="F241" s="20"/>
      <c r="G241" s="21">
        <f>IF($A241="","",IF($D241&lt;&gt;"",$D241,N($C241)*(1+MarkupPeca)))</f>
        <v>0</v>
      </c>
      <c r="H241" s="22">
        <f>IF($A241="","",SUMIFS(EntQtd,EntCod,$A241))</f>
        <v>0</v>
      </c>
      <c r="I241" s="22">
        <f>IF($A241="","",SUMIFS(ItQtd,ItCod,$A241,ItStatus,"&lt;&gt;Orçamento",ItStatus,"&lt;&gt;Cancelada"))</f>
        <v>0</v>
      </c>
      <c r="J241" s="23">
        <f>IF($A241="","",N($E241)+$H241-$I241)</f>
        <v>0</v>
      </c>
      <c r="K241" s="24">
        <f>IF($A241="","",IF($J241&lt;=0,"RUPTURA",IF($J241&lt;=N($F241),"REPOR","OK")))</f>
        <v>0</v>
      </c>
    </row>
    <row r="242" spans="1:11">
      <c r="A242" s="13"/>
      <c r="B242" s="13"/>
      <c r="C242" s="19"/>
      <c r="D242" s="19"/>
      <c r="E242" s="20"/>
      <c r="F242" s="20"/>
      <c r="G242" s="21">
        <f>IF($A242="","",IF($D242&lt;&gt;"",$D242,N($C242)*(1+MarkupPeca)))</f>
        <v>0</v>
      </c>
      <c r="H242" s="22">
        <f>IF($A242="","",SUMIFS(EntQtd,EntCod,$A242))</f>
        <v>0</v>
      </c>
      <c r="I242" s="22">
        <f>IF($A242="","",SUMIFS(ItQtd,ItCod,$A242,ItStatus,"&lt;&gt;Orçamento",ItStatus,"&lt;&gt;Cancelada"))</f>
        <v>0</v>
      </c>
      <c r="J242" s="23">
        <f>IF($A242="","",N($E242)+$H242-$I242)</f>
        <v>0</v>
      </c>
      <c r="K242" s="24">
        <f>IF($A242="","",IF($J242&lt;=0,"RUPTURA",IF($J242&lt;=N($F242),"REPOR","OK")))</f>
        <v>0</v>
      </c>
    </row>
    <row r="243" spans="1:11">
      <c r="A243" s="13"/>
      <c r="B243" s="13"/>
      <c r="C243" s="19"/>
      <c r="D243" s="19"/>
      <c r="E243" s="20"/>
      <c r="F243" s="20"/>
      <c r="G243" s="21">
        <f>IF($A243="","",IF($D243&lt;&gt;"",$D243,N($C243)*(1+MarkupPeca)))</f>
        <v>0</v>
      </c>
      <c r="H243" s="22">
        <f>IF($A243="","",SUMIFS(EntQtd,EntCod,$A243))</f>
        <v>0</v>
      </c>
      <c r="I243" s="22">
        <f>IF($A243="","",SUMIFS(ItQtd,ItCod,$A243,ItStatus,"&lt;&gt;Orçamento",ItStatus,"&lt;&gt;Cancelada"))</f>
        <v>0</v>
      </c>
      <c r="J243" s="23">
        <f>IF($A243="","",N($E243)+$H243-$I243)</f>
        <v>0</v>
      </c>
      <c r="K243" s="24">
        <f>IF($A243="","",IF($J243&lt;=0,"RUPTURA",IF($J243&lt;=N($F243),"REPOR","OK")))</f>
        <v>0</v>
      </c>
    </row>
    <row r="244" spans="1:11">
      <c r="A244" s="13"/>
      <c r="B244" s="13"/>
      <c r="C244" s="19"/>
      <c r="D244" s="19"/>
      <c r="E244" s="20"/>
      <c r="F244" s="20"/>
      <c r="G244" s="21">
        <f>IF($A244="","",IF($D244&lt;&gt;"",$D244,N($C244)*(1+MarkupPeca)))</f>
        <v>0</v>
      </c>
      <c r="H244" s="22">
        <f>IF($A244="","",SUMIFS(EntQtd,EntCod,$A244))</f>
        <v>0</v>
      </c>
      <c r="I244" s="22">
        <f>IF($A244="","",SUMIFS(ItQtd,ItCod,$A244,ItStatus,"&lt;&gt;Orçamento",ItStatus,"&lt;&gt;Cancelada"))</f>
        <v>0</v>
      </c>
      <c r="J244" s="23">
        <f>IF($A244="","",N($E244)+$H244-$I244)</f>
        <v>0</v>
      </c>
      <c r="K244" s="24">
        <f>IF($A244="","",IF($J244&lt;=0,"RUPTURA",IF($J244&lt;=N($F244),"REPOR","OK")))</f>
        <v>0</v>
      </c>
    </row>
    <row r="245" spans="1:11">
      <c r="A245" s="13"/>
      <c r="B245" s="13"/>
      <c r="C245" s="19"/>
      <c r="D245" s="19"/>
      <c r="E245" s="20"/>
      <c r="F245" s="20"/>
      <c r="G245" s="21">
        <f>IF($A245="","",IF($D245&lt;&gt;"",$D245,N($C245)*(1+MarkupPeca)))</f>
        <v>0</v>
      </c>
      <c r="H245" s="22">
        <f>IF($A245="","",SUMIFS(EntQtd,EntCod,$A245))</f>
        <v>0</v>
      </c>
      <c r="I245" s="22">
        <f>IF($A245="","",SUMIFS(ItQtd,ItCod,$A245,ItStatus,"&lt;&gt;Orçamento",ItStatus,"&lt;&gt;Cancelada"))</f>
        <v>0</v>
      </c>
      <c r="J245" s="23">
        <f>IF($A245="","",N($E245)+$H245-$I245)</f>
        <v>0</v>
      </c>
      <c r="K245" s="24">
        <f>IF($A245="","",IF($J245&lt;=0,"RUPTURA",IF($J245&lt;=N($F245),"REPOR","OK")))</f>
        <v>0</v>
      </c>
    </row>
    <row r="246" spans="1:11">
      <c r="A246" s="13"/>
      <c r="B246" s="13"/>
      <c r="C246" s="19"/>
      <c r="D246" s="19"/>
      <c r="E246" s="20"/>
      <c r="F246" s="20"/>
      <c r="G246" s="21">
        <f>IF($A246="","",IF($D246&lt;&gt;"",$D246,N($C246)*(1+MarkupPeca)))</f>
        <v>0</v>
      </c>
      <c r="H246" s="22">
        <f>IF($A246="","",SUMIFS(EntQtd,EntCod,$A246))</f>
        <v>0</v>
      </c>
      <c r="I246" s="22">
        <f>IF($A246="","",SUMIFS(ItQtd,ItCod,$A246,ItStatus,"&lt;&gt;Orçamento",ItStatus,"&lt;&gt;Cancelada"))</f>
        <v>0</v>
      </c>
      <c r="J246" s="23">
        <f>IF($A246="","",N($E246)+$H246-$I246)</f>
        <v>0</v>
      </c>
      <c r="K246" s="24">
        <f>IF($A246="","",IF($J246&lt;=0,"RUPTURA",IF($J246&lt;=N($F246),"REPOR","OK")))</f>
        <v>0</v>
      </c>
    </row>
    <row r="247" spans="1:11">
      <c r="A247" s="13"/>
      <c r="B247" s="13"/>
      <c r="C247" s="19"/>
      <c r="D247" s="19"/>
      <c r="E247" s="20"/>
      <c r="F247" s="20"/>
      <c r="G247" s="21">
        <f>IF($A247="","",IF($D247&lt;&gt;"",$D247,N($C247)*(1+MarkupPeca)))</f>
        <v>0</v>
      </c>
      <c r="H247" s="22">
        <f>IF($A247="","",SUMIFS(EntQtd,EntCod,$A247))</f>
        <v>0</v>
      </c>
      <c r="I247" s="22">
        <f>IF($A247="","",SUMIFS(ItQtd,ItCod,$A247,ItStatus,"&lt;&gt;Orçamento",ItStatus,"&lt;&gt;Cancelada"))</f>
        <v>0</v>
      </c>
      <c r="J247" s="23">
        <f>IF($A247="","",N($E247)+$H247-$I247)</f>
        <v>0</v>
      </c>
      <c r="K247" s="24">
        <f>IF($A247="","",IF($J247&lt;=0,"RUPTURA",IF($J247&lt;=N($F247),"REPOR","OK")))</f>
        <v>0</v>
      </c>
    </row>
    <row r="248" spans="1:11">
      <c r="A248" s="13"/>
      <c r="B248" s="13"/>
      <c r="C248" s="19"/>
      <c r="D248" s="19"/>
      <c r="E248" s="20"/>
      <c r="F248" s="20"/>
      <c r="G248" s="21">
        <f>IF($A248="","",IF($D248&lt;&gt;"",$D248,N($C248)*(1+MarkupPeca)))</f>
        <v>0</v>
      </c>
      <c r="H248" s="22">
        <f>IF($A248="","",SUMIFS(EntQtd,EntCod,$A248))</f>
        <v>0</v>
      </c>
      <c r="I248" s="22">
        <f>IF($A248="","",SUMIFS(ItQtd,ItCod,$A248,ItStatus,"&lt;&gt;Orçamento",ItStatus,"&lt;&gt;Cancelada"))</f>
        <v>0</v>
      </c>
      <c r="J248" s="23">
        <f>IF($A248="","",N($E248)+$H248-$I248)</f>
        <v>0</v>
      </c>
      <c r="K248" s="24">
        <f>IF($A248="","",IF($J248&lt;=0,"RUPTURA",IF($J248&lt;=N($F248),"REPOR","OK")))</f>
        <v>0</v>
      </c>
    </row>
    <row r="249" spans="1:11">
      <c r="A249" s="13"/>
      <c r="B249" s="13"/>
      <c r="C249" s="19"/>
      <c r="D249" s="19"/>
      <c r="E249" s="20"/>
      <c r="F249" s="20"/>
      <c r="G249" s="21">
        <f>IF($A249="","",IF($D249&lt;&gt;"",$D249,N($C249)*(1+MarkupPeca)))</f>
        <v>0</v>
      </c>
      <c r="H249" s="22">
        <f>IF($A249="","",SUMIFS(EntQtd,EntCod,$A249))</f>
        <v>0</v>
      </c>
      <c r="I249" s="22">
        <f>IF($A249="","",SUMIFS(ItQtd,ItCod,$A249,ItStatus,"&lt;&gt;Orçamento",ItStatus,"&lt;&gt;Cancelada"))</f>
        <v>0</v>
      </c>
      <c r="J249" s="23">
        <f>IF($A249="","",N($E249)+$H249-$I249)</f>
        <v>0</v>
      </c>
      <c r="K249" s="24">
        <f>IF($A249="","",IF($J249&lt;=0,"RUPTURA",IF($J249&lt;=N($F249),"REPOR","OK")))</f>
        <v>0</v>
      </c>
    </row>
    <row r="250" spans="1:11">
      <c r="A250" s="13"/>
      <c r="B250" s="13"/>
      <c r="C250" s="19"/>
      <c r="D250" s="19"/>
      <c r="E250" s="20"/>
      <c r="F250" s="20"/>
      <c r="G250" s="21">
        <f>IF($A250="","",IF($D250&lt;&gt;"",$D250,N($C250)*(1+MarkupPeca)))</f>
        <v>0</v>
      </c>
      <c r="H250" s="22">
        <f>IF($A250="","",SUMIFS(EntQtd,EntCod,$A250))</f>
        <v>0</v>
      </c>
      <c r="I250" s="22">
        <f>IF($A250="","",SUMIFS(ItQtd,ItCod,$A250,ItStatus,"&lt;&gt;Orçamento",ItStatus,"&lt;&gt;Cancelada"))</f>
        <v>0</v>
      </c>
      <c r="J250" s="23">
        <f>IF($A250="","",N($E250)+$H250-$I250)</f>
        <v>0</v>
      </c>
      <c r="K250" s="24">
        <f>IF($A250="","",IF($J250&lt;=0,"RUPTURA",IF($J250&lt;=N($F250),"REPOR","OK")))</f>
        <v>0</v>
      </c>
    </row>
    <row r="251" spans="1:11">
      <c r="A251" s="13"/>
      <c r="B251" s="13"/>
      <c r="C251" s="19"/>
      <c r="D251" s="19"/>
      <c r="E251" s="20"/>
      <c r="F251" s="20"/>
      <c r="G251" s="21">
        <f>IF($A251="","",IF($D251&lt;&gt;"",$D251,N($C251)*(1+MarkupPeca)))</f>
        <v>0</v>
      </c>
      <c r="H251" s="22">
        <f>IF($A251="","",SUMIFS(EntQtd,EntCod,$A251))</f>
        <v>0</v>
      </c>
      <c r="I251" s="22">
        <f>IF($A251="","",SUMIFS(ItQtd,ItCod,$A251,ItStatus,"&lt;&gt;Orçamento",ItStatus,"&lt;&gt;Cancelada"))</f>
        <v>0</v>
      </c>
      <c r="J251" s="23">
        <f>IF($A251="","",N($E251)+$H251-$I251)</f>
        <v>0</v>
      </c>
      <c r="K251" s="24">
        <f>IF($A251="","",IF($J251&lt;=0,"RUPTURA",IF($J251&lt;=N($F251),"REPOR","OK")))</f>
        <v>0</v>
      </c>
    </row>
    <row r="252" spans="1:11">
      <c r="A252" s="13"/>
      <c r="B252" s="13"/>
      <c r="C252" s="19"/>
      <c r="D252" s="19"/>
      <c r="E252" s="20"/>
      <c r="F252" s="20"/>
      <c r="G252" s="21">
        <f>IF($A252="","",IF($D252&lt;&gt;"",$D252,N($C252)*(1+MarkupPeca)))</f>
        <v>0</v>
      </c>
      <c r="H252" s="22">
        <f>IF($A252="","",SUMIFS(EntQtd,EntCod,$A252))</f>
        <v>0</v>
      </c>
      <c r="I252" s="22">
        <f>IF($A252="","",SUMIFS(ItQtd,ItCod,$A252,ItStatus,"&lt;&gt;Orçamento",ItStatus,"&lt;&gt;Cancelada"))</f>
        <v>0</v>
      </c>
      <c r="J252" s="23">
        <f>IF($A252="","",N($E252)+$H252-$I252)</f>
        <v>0</v>
      </c>
      <c r="K252" s="24">
        <f>IF($A252="","",IF($J252&lt;=0,"RUPTURA",IF($J252&lt;=N($F252),"REPOR","OK")))</f>
        <v>0</v>
      </c>
    </row>
    <row r="253" spans="1:11">
      <c r="A253" s="13"/>
      <c r="B253" s="13"/>
      <c r="C253" s="19"/>
      <c r="D253" s="19"/>
      <c r="E253" s="20"/>
      <c r="F253" s="20"/>
      <c r="G253" s="21">
        <f>IF($A253="","",IF($D253&lt;&gt;"",$D253,N($C253)*(1+MarkupPeca)))</f>
        <v>0</v>
      </c>
      <c r="H253" s="22">
        <f>IF($A253="","",SUMIFS(EntQtd,EntCod,$A253))</f>
        <v>0</v>
      </c>
      <c r="I253" s="22">
        <f>IF($A253="","",SUMIFS(ItQtd,ItCod,$A253,ItStatus,"&lt;&gt;Orçamento",ItStatus,"&lt;&gt;Cancelada"))</f>
        <v>0</v>
      </c>
      <c r="J253" s="23">
        <f>IF($A253="","",N($E253)+$H253-$I253)</f>
        <v>0</v>
      </c>
      <c r="K253" s="24">
        <f>IF($A253="","",IF($J253&lt;=0,"RUPTURA",IF($J253&lt;=N($F253),"REPOR","OK")))</f>
        <v>0</v>
      </c>
    </row>
    <row r="254" spans="1:11">
      <c r="A254" s="13"/>
      <c r="B254" s="13"/>
      <c r="C254" s="19"/>
      <c r="D254" s="19"/>
      <c r="E254" s="20"/>
      <c r="F254" s="20"/>
      <c r="G254" s="21">
        <f>IF($A254="","",IF($D254&lt;&gt;"",$D254,N($C254)*(1+MarkupPeca)))</f>
        <v>0</v>
      </c>
      <c r="H254" s="22">
        <f>IF($A254="","",SUMIFS(EntQtd,EntCod,$A254))</f>
        <v>0</v>
      </c>
      <c r="I254" s="22">
        <f>IF($A254="","",SUMIFS(ItQtd,ItCod,$A254,ItStatus,"&lt;&gt;Orçamento",ItStatus,"&lt;&gt;Cancelada"))</f>
        <v>0</v>
      </c>
      <c r="J254" s="23">
        <f>IF($A254="","",N($E254)+$H254-$I254)</f>
        <v>0</v>
      </c>
      <c r="K254" s="24">
        <f>IF($A254="","",IF($J254&lt;=0,"RUPTURA",IF($J254&lt;=N($F254),"REPOR","OK")))</f>
        <v>0</v>
      </c>
    </row>
    <row r="255" spans="1:11">
      <c r="A255" s="13"/>
      <c r="B255" s="13"/>
      <c r="C255" s="19"/>
      <c r="D255" s="19"/>
      <c r="E255" s="20"/>
      <c r="F255" s="20"/>
      <c r="G255" s="21">
        <f>IF($A255="","",IF($D255&lt;&gt;"",$D255,N($C255)*(1+MarkupPeca)))</f>
        <v>0</v>
      </c>
      <c r="H255" s="22">
        <f>IF($A255="","",SUMIFS(EntQtd,EntCod,$A255))</f>
        <v>0</v>
      </c>
      <c r="I255" s="22">
        <f>IF($A255="","",SUMIFS(ItQtd,ItCod,$A255,ItStatus,"&lt;&gt;Orçamento",ItStatus,"&lt;&gt;Cancelada"))</f>
        <v>0</v>
      </c>
      <c r="J255" s="23">
        <f>IF($A255="","",N($E255)+$H255-$I255)</f>
        <v>0</v>
      </c>
      <c r="K255" s="24">
        <f>IF($A255="","",IF($J255&lt;=0,"RUPTURA",IF($J255&lt;=N($F255),"REPOR","OK")))</f>
        <v>0</v>
      </c>
    </row>
    <row r="256" spans="1:11">
      <c r="A256" s="13"/>
      <c r="B256" s="13"/>
      <c r="C256" s="19"/>
      <c r="D256" s="19"/>
      <c r="E256" s="20"/>
      <c r="F256" s="20"/>
      <c r="G256" s="21">
        <f>IF($A256="","",IF($D256&lt;&gt;"",$D256,N($C256)*(1+MarkupPeca)))</f>
        <v>0</v>
      </c>
      <c r="H256" s="22">
        <f>IF($A256="","",SUMIFS(EntQtd,EntCod,$A256))</f>
        <v>0</v>
      </c>
      <c r="I256" s="22">
        <f>IF($A256="","",SUMIFS(ItQtd,ItCod,$A256,ItStatus,"&lt;&gt;Orçamento",ItStatus,"&lt;&gt;Cancelada"))</f>
        <v>0</v>
      </c>
      <c r="J256" s="23">
        <f>IF($A256="","",N($E256)+$H256-$I256)</f>
        <v>0</v>
      </c>
      <c r="K256" s="24">
        <f>IF($A256="","",IF($J256&lt;=0,"RUPTURA",IF($J256&lt;=N($F256),"REPOR","OK")))</f>
        <v>0</v>
      </c>
    </row>
    <row r="257" spans="1:11">
      <c r="A257" s="13"/>
      <c r="B257" s="13"/>
      <c r="C257" s="19"/>
      <c r="D257" s="19"/>
      <c r="E257" s="20"/>
      <c r="F257" s="20"/>
      <c r="G257" s="21">
        <f>IF($A257="","",IF($D257&lt;&gt;"",$D257,N($C257)*(1+MarkupPeca)))</f>
        <v>0</v>
      </c>
      <c r="H257" s="22">
        <f>IF($A257="","",SUMIFS(EntQtd,EntCod,$A257))</f>
        <v>0</v>
      </c>
      <c r="I257" s="22">
        <f>IF($A257="","",SUMIFS(ItQtd,ItCod,$A257,ItStatus,"&lt;&gt;Orçamento",ItStatus,"&lt;&gt;Cancelada"))</f>
        <v>0</v>
      </c>
      <c r="J257" s="23">
        <f>IF($A257="","",N($E257)+$H257-$I257)</f>
        <v>0</v>
      </c>
      <c r="K257" s="24">
        <f>IF($A257="","",IF($J257&lt;=0,"RUPTURA",IF($J257&lt;=N($F257),"REPOR","OK")))</f>
        <v>0</v>
      </c>
    </row>
    <row r="258" spans="1:11">
      <c r="A258" s="13"/>
      <c r="B258" s="13"/>
      <c r="C258" s="19"/>
      <c r="D258" s="19"/>
      <c r="E258" s="20"/>
      <c r="F258" s="20"/>
      <c r="G258" s="21">
        <f>IF($A258="","",IF($D258&lt;&gt;"",$D258,N($C258)*(1+MarkupPeca)))</f>
        <v>0</v>
      </c>
      <c r="H258" s="22">
        <f>IF($A258="","",SUMIFS(EntQtd,EntCod,$A258))</f>
        <v>0</v>
      </c>
      <c r="I258" s="22">
        <f>IF($A258="","",SUMIFS(ItQtd,ItCod,$A258,ItStatus,"&lt;&gt;Orçamento",ItStatus,"&lt;&gt;Cancelada"))</f>
        <v>0</v>
      </c>
      <c r="J258" s="23">
        <f>IF($A258="","",N($E258)+$H258-$I258)</f>
        <v>0</v>
      </c>
      <c r="K258" s="24">
        <f>IF($A258="","",IF($J258&lt;=0,"RUPTURA",IF($J258&lt;=N($F258),"REPOR","OK")))</f>
        <v>0</v>
      </c>
    </row>
    <row r="259" spans="1:11">
      <c r="A259" s="13"/>
      <c r="B259" s="13"/>
      <c r="C259" s="19"/>
      <c r="D259" s="19"/>
      <c r="E259" s="20"/>
      <c r="F259" s="20"/>
      <c r="G259" s="21">
        <f>IF($A259="","",IF($D259&lt;&gt;"",$D259,N($C259)*(1+MarkupPeca)))</f>
        <v>0</v>
      </c>
      <c r="H259" s="22">
        <f>IF($A259="","",SUMIFS(EntQtd,EntCod,$A259))</f>
        <v>0</v>
      </c>
      <c r="I259" s="22">
        <f>IF($A259="","",SUMIFS(ItQtd,ItCod,$A259,ItStatus,"&lt;&gt;Orçamento",ItStatus,"&lt;&gt;Cancelada"))</f>
        <v>0</v>
      </c>
      <c r="J259" s="23">
        <f>IF($A259="","",N($E259)+$H259-$I259)</f>
        <v>0</v>
      </c>
      <c r="K259" s="24">
        <f>IF($A259="","",IF($J259&lt;=0,"RUPTURA",IF($J259&lt;=N($F259),"REPOR","OK")))</f>
        <v>0</v>
      </c>
    </row>
    <row r="260" spans="1:11">
      <c r="A260" s="13"/>
      <c r="B260" s="13"/>
      <c r="C260" s="19"/>
      <c r="D260" s="19"/>
      <c r="E260" s="20"/>
      <c r="F260" s="20"/>
      <c r="G260" s="21">
        <f>IF($A260="","",IF($D260&lt;&gt;"",$D260,N($C260)*(1+MarkupPeca)))</f>
        <v>0</v>
      </c>
      <c r="H260" s="22">
        <f>IF($A260="","",SUMIFS(EntQtd,EntCod,$A260))</f>
        <v>0</v>
      </c>
      <c r="I260" s="22">
        <f>IF($A260="","",SUMIFS(ItQtd,ItCod,$A260,ItStatus,"&lt;&gt;Orçamento",ItStatus,"&lt;&gt;Cancelada"))</f>
        <v>0</v>
      </c>
      <c r="J260" s="23">
        <f>IF($A260="","",N($E260)+$H260-$I260)</f>
        <v>0</v>
      </c>
      <c r="K260" s="24">
        <f>IF($A260="","",IF($J260&lt;=0,"RUPTURA",IF($J260&lt;=N($F260),"REPOR","OK")))</f>
        <v>0</v>
      </c>
    </row>
    <row r="261" spans="1:11">
      <c r="A261" s="13"/>
      <c r="B261" s="13"/>
      <c r="C261" s="19"/>
      <c r="D261" s="19"/>
      <c r="E261" s="20"/>
      <c r="F261" s="20"/>
      <c r="G261" s="21">
        <f>IF($A261="","",IF($D261&lt;&gt;"",$D261,N($C261)*(1+MarkupPeca)))</f>
        <v>0</v>
      </c>
      <c r="H261" s="22">
        <f>IF($A261="","",SUMIFS(EntQtd,EntCod,$A261))</f>
        <v>0</v>
      </c>
      <c r="I261" s="22">
        <f>IF($A261="","",SUMIFS(ItQtd,ItCod,$A261,ItStatus,"&lt;&gt;Orçamento",ItStatus,"&lt;&gt;Cancelada"))</f>
        <v>0</v>
      </c>
      <c r="J261" s="23">
        <f>IF($A261="","",N($E261)+$H261-$I261)</f>
        <v>0</v>
      </c>
      <c r="K261" s="24">
        <f>IF($A261="","",IF($J261&lt;=0,"RUPTURA",IF($J261&lt;=N($F261),"REPOR","OK")))</f>
        <v>0</v>
      </c>
    </row>
    <row r="262" spans="1:11">
      <c r="A262" s="13"/>
      <c r="B262" s="13"/>
      <c r="C262" s="19"/>
      <c r="D262" s="19"/>
      <c r="E262" s="20"/>
      <c r="F262" s="20"/>
      <c r="G262" s="21">
        <f>IF($A262="","",IF($D262&lt;&gt;"",$D262,N($C262)*(1+MarkupPeca)))</f>
        <v>0</v>
      </c>
      <c r="H262" s="22">
        <f>IF($A262="","",SUMIFS(EntQtd,EntCod,$A262))</f>
        <v>0</v>
      </c>
      <c r="I262" s="22">
        <f>IF($A262="","",SUMIFS(ItQtd,ItCod,$A262,ItStatus,"&lt;&gt;Orçamento",ItStatus,"&lt;&gt;Cancelada"))</f>
        <v>0</v>
      </c>
      <c r="J262" s="23">
        <f>IF($A262="","",N($E262)+$H262-$I262)</f>
        <v>0</v>
      </c>
      <c r="K262" s="24">
        <f>IF($A262="","",IF($J262&lt;=0,"RUPTURA",IF($J262&lt;=N($F262),"REPOR","OK")))</f>
        <v>0</v>
      </c>
    </row>
    <row r="263" spans="1:11">
      <c r="A263" s="13"/>
      <c r="B263" s="13"/>
      <c r="C263" s="19"/>
      <c r="D263" s="19"/>
      <c r="E263" s="20"/>
      <c r="F263" s="20"/>
      <c r="G263" s="21">
        <f>IF($A263="","",IF($D263&lt;&gt;"",$D263,N($C263)*(1+MarkupPeca)))</f>
        <v>0</v>
      </c>
      <c r="H263" s="22">
        <f>IF($A263="","",SUMIFS(EntQtd,EntCod,$A263))</f>
        <v>0</v>
      </c>
      <c r="I263" s="22">
        <f>IF($A263="","",SUMIFS(ItQtd,ItCod,$A263,ItStatus,"&lt;&gt;Orçamento",ItStatus,"&lt;&gt;Cancelada"))</f>
        <v>0</v>
      </c>
      <c r="J263" s="23">
        <f>IF($A263="","",N($E263)+$H263-$I263)</f>
        <v>0</v>
      </c>
      <c r="K263" s="24">
        <f>IF($A263="","",IF($J263&lt;=0,"RUPTURA",IF($J263&lt;=N($F263),"REPOR","OK")))</f>
        <v>0</v>
      </c>
    </row>
    <row r="264" spans="1:11">
      <c r="A264" s="13"/>
      <c r="B264" s="13"/>
      <c r="C264" s="19"/>
      <c r="D264" s="19"/>
      <c r="E264" s="20"/>
      <c r="F264" s="20"/>
      <c r="G264" s="21">
        <f>IF($A264="","",IF($D264&lt;&gt;"",$D264,N($C264)*(1+MarkupPeca)))</f>
        <v>0</v>
      </c>
      <c r="H264" s="22">
        <f>IF($A264="","",SUMIFS(EntQtd,EntCod,$A264))</f>
        <v>0</v>
      </c>
      <c r="I264" s="22">
        <f>IF($A264="","",SUMIFS(ItQtd,ItCod,$A264,ItStatus,"&lt;&gt;Orçamento",ItStatus,"&lt;&gt;Cancelada"))</f>
        <v>0</v>
      </c>
      <c r="J264" s="23">
        <f>IF($A264="","",N($E264)+$H264-$I264)</f>
        <v>0</v>
      </c>
      <c r="K264" s="24">
        <f>IF($A264="","",IF($J264&lt;=0,"RUPTURA",IF($J264&lt;=N($F264),"REPOR","OK")))</f>
        <v>0</v>
      </c>
    </row>
    <row r="265" spans="1:11">
      <c r="A265" s="13"/>
      <c r="B265" s="13"/>
      <c r="C265" s="19"/>
      <c r="D265" s="19"/>
      <c r="E265" s="20"/>
      <c r="F265" s="20"/>
      <c r="G265" s="21">
        <f>IF($A265="","",IF($D265&lt;&gt;"",$D265,N($C265)*(1+MarkupPeca)))</f>
        <v>0</v>
      </c>
      <c r="H265" s="22">
        <f>IF($A265="","",SUMIFS(EntQtd,EntCod,$A265))</f>
        <v>0</v>
      </c>
      <c r="I265" s="22">
        <f>IF($A265="","",SUMIFS(ItQtd,ItCod,$A265,ItStatus,"&lt;&gt;Orçamento",ItStatus,"&lt;&gt;Cancelada"))</f>
        <v>0</v>
      </c>
      <c r="J265" s="23">
        <f>IF($A265="","",N($E265)+$H265-$I265)</f>
        <v>0</v>
      </c>
      <c r="K265" s="24">
        <f>IF($A265="","",IF($J265&lt;=0,"RUPTURA",IF($J265&lt;=N($F265),"REPOR","OK")))</f>
        <v>0</v>
      </c>
    </row>
    <row r="266" spans="1:11">
      <c r="A266" s="13"/>
      <c r="B266" s="13"/>
      <c r="C266" s="19"/>
      <c r="D266" s="19"/>
      <c r="E266" s="20"/>
      <c r="F266" s="20"/>
      <c r="G266" s="21">
        <f>IF($A266="","",IF($D266&lt;&gt;"",$D266,N($C266)*(1+MarkupPeca)))</f>
        <v>0</v>
      </c>
      <c r="H266" s="22">
        <f>IF($A266="","",SUMIFS(EntQtd,EntCod,$A266))</f>
        <v>0</v>
      </c>
      <c r="I266" s="22">
        <f>IF($A266="","",SUMIFS(ItQtd,ItCod,$A266,ItStatus,"&lt;&gt;Orçamento",ItStatus,"&lt;&gt;Cancelada"))</f>
        <v>0</v>
      </c>
      <c r="J266" s="23">
        <f>IF($A266="","",N($E266)+$H266-$I266)</f>
        <v>0</v>
      </c>
      <c r="K266" s="24">
        <f>IF($A266="","",IF($J266&lt;=0,"RUPTURA",IF($J266&lt;=N($F266),"REPOR","OK")))</f>
        <v>0</v>
      </c>
    </row>
    <row r="267" spans="1:11">
      <c r="A267" s="13"/>
      <c r="B267" s="13"/>
      <c r="C267" s="19"/>
      <c r="D267" s="19"/>
      <c r="E267" s="20"/>
      <c r="F267" s="20"/>
      <c r="G267" s="21">
        <f>IF($A267="","",IF($D267&lt;&gt;"",$D267,N($C267)*(1+MarkupPeca)))</f>
        <v>0</v>
      </c>
      <c r="H267" s="22">
        <f>IF($A267="","",SUMIFS(EntQtd,EntCod,$A267))</f>
        <v>0</v>
      </c>
      <c r="I267" s="22">
        <f>IF($A267="","",SUMIFS(ItQtd,ItCod,$A267,ItStatus,"&lt;&gt;Orçamento",ItStatus,"&lt;&gt;Cancelada"))</f>
        <v>0</v>
      </c>
      <c r="J267" s="23">
        <f>IF($A267="","",N($E267)+$H267-$I267)</f>
        <v>0</v>
      </c>
      <c r="K267" s="24">
        <f>IF($A267="","",IF($J267&lt;=0,"RUPTURA",IF($J267&lt;=N($F267),"REPOR","OK")))</f>
        <v>0</v>
      </c>
    </row>
    <row r="268" spans="1:11">
      <c r="A268" s="13"/>
      <c r="B268" s="13"/>
      <c r="C268" s="19"/>
      <c r="D268" s="19"/>
      <c r="E268" s="20"/>
      <c r="F268" s="20"/>
      <c r="G268" s="21">
        <f>IF($A268="","",IF($D268&lt;&gt;"",$D268,N($C268)*(1+MarkupPeca)))</f>
        <v>0</v>
      </c>
      <c r="H268" s="22">
        <f>IF($A268="","",SUMIFS(EntQtd,EntCod,$A268))</f>
        <v>0</v>
      </c>
      <c r="I268" s="22">
        <f>IF($A268="","",SUMIFS(ItQtd,ItCod,$A268,ItStatus,"&lt;&gt;Orçamento",ItStatus,"&lt;&gt;Cancelada"))</f>
        <v>0</v>
      </c>
      <c r="J268" s="23">
        <f>IF($A268="","",N($E268)+$H268-$I268)</f>
        <v>0</v>
      </c>
      <c r="K268" s="24">
        <f>IF($A268="","",IF($J268&lt;=0,"RUPTURA",IF($J268&lt;=N($F268),"REPOR","OK")))</f>
        <v>0</v>
      </c>
    </row>
    <row r="269" spans="1:11">
      <c r="A269" s="13"/>
      <c r="B269" s="13"/>
      <c r="C269" s="19"/>
      <c r="D269" s="19"/>
      <c r="E269" s="20"/>
      <c r="F269" s="20"/>
      <c r="G269" s="21">
        <f>IF($A269="","",IF($D269&lt;&gt;"",$D269,N($C269)*(1+MarkupPeca)))</f>
        <v>0</v>
      </c>
      <c r="H269" s="22">
        <f>IF($A269="","",SUMIFS(EntQtd,EntCod,$A269))</f>
        <v>0</v>
      </c>
      <c r="I269" s="22">
        <f>IF($A269="","",SUMIFS(ItQtd,ItCod,$A269,ItStatus,"&lt;&gt;Orçamento",ItStatus,"&lt;&gt;Cancelada"))</f>
        <v>0</v>
      </c>
      <c r="J269" s="23">
        <f>IF($A269="","",N($E269)+$H269-$I269)</f>
        <v>0</v>
      </c>
      <c r="K269" s="24">
        <f>IF($A269="","",IF($J269&lt;=0,"RUPTURA",IF($J269&lt;=N($F269),"REPOR","OK")))</f>
        <v>0</v>
      </c>
    </row>
    <row r="270" spans="1:11">
      <c r="A270" s="13"/>
      <c r="B270" s="13"/>
      <c r="C270" s="19"/>
      <c r="D270" s="19"/>
      <c r="E270" s="20"/>
      <c r="F270" s="20"/>
      <c r="G270" s="21">
        <f>IF($A270="","",IF($D270&lt;&gt;"",$D270,N($C270)*(1+MarkupPeca)))</f>
        <v>0</v>
      </c>
      <c r="H270" s="22">
        <f>IF($A270="","",SUMIFS(EntQtd,EntCod,$A270))</f>
        <v>0</v>
      </c>
      <c r="I270" s="22">
        <f>IF($A270="","",SUMIFS(ItQtd,ItCod,$A270,ItStatus,"&lt;&gt;Orçamento",ItStatus,"&lt;&gt;Cancelada"))</f>
        <v>0</v>
      </c>
      <c r="J270" s="23">
        <f>IF($A270="","",N($E270)+$H270-$I270)</f>
        <v>0</v>
      </c>
      <c r="K270" s="24">
        <f>IF($A270="","",IF($J270&lt;=0,"RUPTURA",IF($J270&lt;=N($F270),"REPOR","OK")))</f>
        <v>0</v>
      </c>
    </row>
    <row r="271" spans="1:11">
      <c r="A271" s="13"/>
      <c r="B271" s="13"/>
      <c r="C271" s="19"/>
      <c r="D271" s="19"/>
      <c r="E271" s="20"/>
      <c r="F271" s="20"/>
      <c r="G271" s="21">
        <f>IF($A271="","",IF($D271&lt;&gt;"",$D271,N($C271)*(1+MarkupPeca)))</f>
        <v>0</v>
      </c>
      <c r="H271" s="22">
        <f>IF($A271="","",SUMIFS(EntQtd,EntCod,$A271))</f>
        <v>0</v>
      </c>
      <c r="I271" s="22">
        <f>IF($A271="","",SUMIFS(ItQtd,ItCod,$A271,ItStatus,"&lt;&gt;Orçamento",ItStatus,"&lt;&gt;Cancelada"))</f>
        <v>0</v>
      </c>
      <c r="J271" s="23">
        <f>IF($A271="","",N($E271)+$H271-$I271)</f>
        <v>0</v>
      </c>
      <c r="K271" s="24">
        <f>IF($A271="","",IF($J271&lt;=0,"RUPTURA",IF($J271&lt;=N($F271),"REPOR","OK")))</f>
        <v>0</v>
      </c>
    </row>
    <row r="272" spans="1:11">
      <c r="A272" s="13"/>
      <c r="B272" s="13"/>
      <c r="C272" s="19"/>
      <c r="D272" s="19"/>
      <c r="E272" s="20"/>
      <c r="F272" s="20"/>
      <c r="G272" s="21">
        <f>IF($A272="","",IF($D272&lt;&gt;"",$D272,N($C272)*(1+MarkupPeca)))</f>
        <v>0</v>
      </c>
      <c r="H272" s="22">
        <f>IF($A272="","",SUMIFS(EntQtd,EntCod,$A272))</f>
        <v>0</v>
      </c>
      <c r="I272" s="22">
        <f>IF($A272="","",SUMIFS(ItQtd,ItCod,$A272,ItStatus,"&lt;&gt;Orçamento",ItStatus,"&lt;&gt;Cancelada"))</f>
        <v>0</v>
      </c>
      <c r="J272" s="23">
        <f>IF($A272="","",N($E272)+$H272-$I272)</f>
        <v>0</v>
      </c>
      <c r="K272" s="24">
        <f>IF($A272="","",IF($J272&lt;=0,"RUPTURA",IF($J272&lt;=N($F272),"REPOR","OK")))</f>
        <v>0</v>
      </c>
    </row>
    <row r="273" spans="1:11">
      <c r="A273" s="13"/>
      <c r="B273" s="13"/>
      <c r="C273" s="19"/>
      <c r="D273" s="19"/>
      <c r="E273" s="20"/>
      <c r="F273" s="20"/>
      <c r="G273" s="21">
        <f>IF($A273="","",IF($D273&lt;&gt;"",$D273,N($C273)*(1+MarkupPeca)))</f>
        <v>0</v>
      </c>
      <c r="H273" s="22">
        <f>IF($A273="","",SUMIFS(EntQtd,EntCod,$A273))</f>
        <v>0</v>
      </c>
      <c r="I273" s="22">
        <f>IF($A273="","",SUMIFS(ItQtd,ItCod,$A273,ItStatus,"&lt;&gt;Orçamento",ItStatus,"&lt;&gt;Cancelada"))</f>
        <v>0</v>
      </c>
      <c r="J273" s="23">
        <f>IF($A273="","",N($E273)+$H273-$I273)</f>
        <v>0</v>
      </c>
      <c r="K273" s="24">
        <f>IF($A273="","",IF($J273&lt;=0,"RUPTURA",IF($J273&lt;=N($F273),"REPOR","OK")))</f>
        <v>0</v>
      </c>
    </row>
    <row r="274" spans="1:11">
      <c r="A274" s="13"/>
      <c r="B274" s="13"/>
      <c r="C274" s="19"/>
      <c r="D274" s="19"/>
      <c r="E274" s="20"/>
      <c r="F274" s="20"/>
      <c r="G274" s="21">
        <f>IF($A274="","",IF($D274&lt;&gt;"",$D274,N($C274)*(1+MarkupPeca)))</f>
        <v>0</v>
      </c>
      <c r="H274" s="22">
        <f>IF($A274="","",SUMIFS(EntQtd,EntCod,$A274))</f>
        <v>0</v>
      </c>
      <c r="I274" s="22">
        <f>IF($A274="","",SUMIFS(ItQtd,ItCod,$A274,ItStatus,"&lt;&gt;Orçamento",ItStatus,"&lt;&gt;Cancelada"))</f>
        <v>0</v>
      </c>
      <c r="J274" s="23">
        <f>IF($A274="","",N($E274)+$H274-$I274)</f>
        <v>0</v>
      </c>
      <c r="K274" s="24">
        <f>IF($A274="","",IF($J274&lt;=0,"RUPTURA",IF($J274&lt;=N($F274),"REPOR","OK")))</f>
        <v>0</v>
      </c>
    </row>
    <row r="275" spans="1:11">
      <c r="A275" s="13"/>
      <c r="B275" s="13"/>
      <c r="C275" s="19"/>
      <c r="D275" s="19"/>
      <c r="E275" s="20"/>
      <c r="F275" s="20"/>
      <c r="G275" s="21">
        <f>IF($A275="","",IF($D275&lt;&gt;"",$D275,N($C275)*(1+MarkupPeca)))</f>
        <v>0</v>
      </c>
      <c r="H275" s="22">
        <f>IF($A275="","",SUMIFS(EntQtd,EntCod,$A275))</f>
        <v>0</v>
      </c>
      <c r="I275" s="22">
        <f>IF($A275="","",SUMIFS(ItQtd,ItCod,$A275,ItStatus,"&lt;&gt;Orçamento",ItStatus,"&lt;&gt;Cancelada"))</f>
        <v>0</v>
      </c>
      <c r="J275" s="23">
        <f>IF($A275="","",N($E275)+$H275-$I275)</f>
        <v>0</v>
      </c>
      <c r="K275" s="24">
        <f>IF($A275="","",IF($J275&lt;=0,"RUPTURA",IF($J275&lt;=N($F275),"REPOR","OK")))</f>
        <v>0</v>
      </c>
    </row>
    <row r="276" spans="1:11">
      <c r="A276" s="13"/>
      <c r="B276" s="13"/>
      <c r="C276" s="19"/>
      <c r="D276" s="19"/>
      <c r="E276" s="20"/>
      <c r="F276" s="20"/>
      <c r="G276" s="21">
        <f>IF($A276="","",IF($D276&lt;&gt;"",$D276,N($C276)*(1+MarkupPeca)))</f>
        <v>0</v>
      </c>
      <c r="H276" s="22">
        <f>IF($A276="","",SUMIFS(EntQtd,EntCod,$A276))</f>
        <v>0</v>
      </c>
      <c r="I276" s="22">
        <f>IF($A276="","",SUMIFS(ItQtd,ItCod,$A276,ItStatus,"&lt;&gt;Orçamento",ItStatus,"&lt;&gt;Cancelada"))</f>
        <v>0</v>
      </c>
      <c r="J276" s="23">
        <f>IF($A276="","",N($E276)+$H276-$I276)</f>
        <v>0</v>
      </c>
      <c r="K276" s="24">
        <f>IF($A276="","",IF($J276&lt;=0,"RUPTURA",IF($J276&lt;=N($F276),"REPOR","OK")))</f>
        <v>0</v>
      </c>
    </row>
    <row r="277" spans="1:11">
      <c r="A277" s="13"/>
      <c r="B277" s="13"/>
      <c r="C277" s="19"/>
      <c r="D277" s="19"/>
      <c r="E277" s="20"/>
      <c r="F277" s="20"/>
      <c r="G277" s="21">
        <f>IF($A277="","",IF($D277&lt;&gt;"",$D277,N($C277)*(1+MarkupPeca)))</f>
        <v>0</v>
      </c>
      <c r="H277" s="22">
        <f>IF($A277="","",SUMIFS(EntQtd,EntCod,$A277))</f>
        <v>0</v>
      </c>
      <c r="I277" s="22">
        <f>IF($A277="","",SUMIFS(ItQtd,ItCod,$A277,ItStatus,"&lt;&gt;Orçamento",ItStatus,"&lt;&gt;Cancelada"))</f>
        <v>0</v>
      </c>
      <c r="J277" s="23">
        <f>IF($A277="","",N($E277)+$H277-$I277)</f>
        <v>0</v>
      </c>
      <c r="K277" s="24">
        <f>IF($A277="","",IF($J277&lt;=0,"RUPTURA",IF($J277&lt;=N($F277),"REPOR","OK")))</f>
        <v>0</v>
      </c>
    </row>
    <row r="278" spans="1:11">
      <c r="A278" s="13"/>
      <c r="B278" s="13"/>
      <c r="C278" s="19"/>
      <c r="D278" s="19"/>
      <c r="E278" s="20"/>
      <c r="F278" s="20"/>
      <c r="G278" s="21">
        <f>IF($A278="","",IF($D278&lt;&gt;"",$D278,N($C278)*(1+MarkupPeca)))</f>
        <v>0</v>
      </c>
      <c r="H278" s="22">
        <f>IF($A278="","",SUMIFS(EntQtd,EntCod,$A278))</f>
        <v>0</v>
      </c>
      <c r="I278" s="22">
        <f>IF($A278="","",SUMIFS(ItQtd,ItCod,$A278,ItStatus,"&lt;&gt;Orçamento",ItStatus,"&lt;&gt;Cancelada"))</f>
        <v>0</v>
      </c>
      <c r="J278" s="23">
        <f>IF($A278="","",N($E278)+$H278-$I278)</f>
        <v>0</v>
      </c>
      <c r="K278" s="24">
        <f>IF($A278="","",IF($J278&lt;=0,"RUPTURA",IF($J278&lt;=N($F278),"REPOR","OK")))</f>
        <v>0</v>
      </c>
    </row>
    <row r="279" spans="1:11">
      <c r="A279" s="13"/>
      <c r="B279" s="13"/>
      <c r="C279" s="19"/>
      <c r="D279" s="19"/>
      <c r="E279" s="20"/>
      <c r="F279" s="20"/>
      <c r="G279" s="21">
        <f>IF($A279="","",IF($D279&lt;&gt;"",$D279,N($C279)*(1+MarkupPeca)))</f>
        <v>0</v>
      </c>
      <c r="H279" s="22">
        <f>IF($A279="","",SUMIFS(EntQtd,EntCod,$A279))</f>
        <v>0</v>
      </c>
      <c r="I279" s="22">
        <f>IF($A279="","",SUMIFS(ItQtd,ItCod,$A279,ItStatus,"&lt;&gt;Orçamento",ItStatus,"&lt;&gt;Cancelada"))</f>
        <v>0</v>
      </c>
      <c r="J279" s="23">
        <f>IF($A279="","",N($E279)+$H279-$I279)</f>
        <v>0</v>
      </c>
      <c r="K279" s="24">
        <f>IF($A279="","",IF($J279&lt;=0,"RUPTURA",IF($J279&lt;=N($F279),"REPOR","OK")))</f>
        <v>0</v>
      </c>
    </row>
    <row r="280" spans="1:11">
      <c r="A280" s="13"/>
      <c r="B280" s="13"/>
      <c r="C280" s="19"/>
      <c r="D280" s="19"/>
      <c r="E280" s="20"/>
      <c r="F280" s="20"/>
      <c r="G280" s="21">
        <f>IF($A280="","",IF($D280&lt;&gt;"",$D280,N($C280)*(1+MarkupPeca)))</f>
        <v>0</v>
      </c>
      <c r="H280" s="22">
        <f>IF($A280="","",SUMIFS(EntQtd,EntCod,$A280))</f>
        <v>0</v>
      </c>
      <c r="I280" s="22">
        <f>IF($A280="","",SUMIFS(ItQtd,ItCod,$A280,ItStatus,"&lt;&gt;Orçamento",ItStatus,"&lt;&gt;Cancelada"))</f>
        <v>0</v>
      </c>
      <c r="J280" s="23">
        <f>IF($A280="","",N($E280)+$H280-$I280)</f>
        <v>0</v>
      </c>
      <c r="K280" s="24">
        <f>IF($A280="","",IF($J280&lt;=0,"RUPTURA",IF($J280&lt;=N($F280),"REPOR","OK")))</f>
        <v>0</v>
      </c>
    </row>
    <row r="281" spans="1:11">
      <c r="A281" s="13"/>
      <c r="B281" s="13"/>
      <c r="C281" s="19"/>
      <c r="D281" s="19"/>
      <c r="E281" s="20"/>
      <c r="F281" s="20"/>
      <c r="G281" s="21">
        <f>IF($A281="","",IF($D281&lt;&gt;"",$D281,N($C281)*(1+MarkupPeca)))</f>
        <v>0</v>
      </c>
      <c r="H281" s="22">
        <f>IF($A281="","",SUMIFS(EntQtd,EntCod,$A281))</f>
        <v>0</v>
      </c>
      <c r="I281" s="22">
        <f>IF($A281="","",SUMIFS(ItQtd,ItCod,$A281,ItStatus,"&lt;&gt;Orçamento",ItStatus,"&lt;&gt;Cancelada"))</f>
        <v>0</v>
      </c>
      <c r="J281" s="23">
        <f>IF($A281="","",N($E281)+$H281-$I281)</f>
        <v>0</v>
      </c>
      <c r="K281" s="24">
        <f>IF($A281="","",IF($J281&lt;=0,"RUPTURA",IF($J281&lt;=N($F281),"REPOR","OK")))</f>
        <v>0</v>
      </c>
    </row>
    <row r="282" spans="1:11">
      <c r="A282" s="13"/>
      <c r="B282" s="13"/>
      <c r="C282" s="19"/>
      <c r="D282" s="19"/>
      <c r="E282" s="20"/>
      <c r="F282" s="20"/>
      <c r="G282" s="21">
        <f>IF($A282="","",IF($D282&lt;&gt;"",$D282,N($C282)*(1+MarkupPeca)))</f>
        <v>0</v>
      </c>
      <c r="H282" s="22">
        <f>IF($A282="","",SUMIFS(EntQtd,EntCod,$A282))</f>
        <v>0</v>
      </c>
      <c r="I282" s="22">
        <f>IF($A282="","",SUMIFS(ItQtd,ItCod,$A282,ItStatus,"&lt;&gt;Orçamento",ItStatus,"&lt;&gt;Cancelada"))</f>
        <v>0</v>
      </c>
      <c r="J282" s="23">
        <f>IF($A282="","",N($E282)+$H282-$I282)</f>
        <v>0</v>
      </c>
      <c r="K282" s="24">
        <f>IF($A282="","",IF($J282&lt;=0,"RUPTURA",IF($J282&lt;=N($F282),"REPOR","OK")))</f>
        <v>0</v>
      </c>
    </row>
    <row r="283" spans="1:11">
      <c r="A283" s="13"/>
      <c r="B283" s="13"/>
      <c r="C283" s="19"/>
      <c r="D283" s="19"/>
      <c r="E283" s="20"/>
      <c r="F283" s="20"/>
      <c r="G283" s="21">
        <f>IF($A283="","",IF($D283&lt;&gt;"",$D283,N($C283)*(1+MarkupPeca)))</f>
        <v>0</v>
      </c>
      <c r="H283" s="22">
        <f>IF($A283="","",SUMIFS(EntQtd,EntCod,$A283))</f>
        <v>0</v>
      </c>
      <c r="I283" s="22">
        <f>IF($A283="","",SUMIFS(ItQtd,ItCod,$A283,ItStatus,"&lt;&gt;Orçamento",ItStatus,"&lt;&gt;Cancelada"))</f>
        <v>0</v>
      </c>
      <c r="J283" s="23">
        <f>IF($A283="","",N($E283)+$H283-$I283)</f>
        <v>0</v>
      </c>
      <c r="K283" s="24">
        <f>IF($A283="","",IF($J283&lt;=0,"RUPTURA",IF($J283&lt;=N($F283),"REPOR","OK")))</f>
        <v>0</v>
      </c>
    </row>
    <row r="284" spans="1:11">
      <c r="A284" s="13"/>
      <c r="B284" s="13"/>
      <c r="C284" s="19"/>
      <c r="D284" s="19"/>
      <c r="E284" s="20"/>
      <c r="F284" s="20"/>
      <c r="G284" s="21">
        <f>IF($A284="","",IF($D284&lt;&gt;"",$D284,N($C284)*(1+MarkupPeca)))</f>
        <v>0</v>
      </c>
      <c r="H284" s="22">
        <f>IF($A284="","",SUMIFS(EntQtd,EntCod,$A284))</f>
        <v>0</v>
      </c>
      <c r="I284" s="22">
        <f>IF($A284="","",SUMIFS(ItQtd,ItCod,$A284,ItStatus,"&lt;&gt;Orçamento",ItStatus,"&lt;&gt;Cancelada"))</f>
        <v>0</v>
      </c>
      <c r="J284" s="23">
        <f>IF($A284="","",N($E284)+$H284-$I284)</f>
        <v>0</v>
      </c>
      <c r="K284" s="24">
        <f>IF($A284="","",IF($J284&lt;=0,"RUPTURA",IF($J284&lt;=N($F284),"REPOR","OK")))</f>
        <v>0</v>
      </c>
    </row>
    <row r="285" spans="1:11">
      <c r="A285" s="13"/>
      <c r="B285" s="13"/>
      <c r="C285" s="19"/>
      <c r="D285" s="19"/>
      <c r="E285" s="20"/>
      <c r="F285" s="20"/>
      <c r="G285" s="21">
        <f>IF($A285="","",IF($D285&lt;&gt;"",$D285,N($C285)*(1+MarkupPeca)))</f>
        <v>0</v>
      </c>
      <c r="H285" s="22">
        <f>IF($A285="","",SUMIFS(EntQtd,EntCod,$A285))</f>
        <v>0</v>
      </c>
      <c r="I285" s="22">
        <f>IF($A285="","",SUMIFS(ItQtd,ItCod,$A285,ItStatus,"&lt;&gt;Orçamento",ItStatus,"&lt;&gt;Cancelada"))</f>
        <v>0</v>
      </c>
      <c r="J285" s="23">
        <f>IF($A285="","",N($E285)+$H285-$I285)</f>
        <v>0</v>
      </c>
      <c r="K285" s="24">
        <f>IF($A285="","",IF($J285&lt;=0,"RUPTURA",IF($J285&lt;=N($F285),"REPOR","OK")))</f>
        <v>0</v>
      </c>
    </row>
    <row r="286" spans="1:11">
      <c r="A286" s="13"/>
      <c r="B286" s="13"/>
      <c r="C286" s="19"/>
      <c r="D286" s="19"/>
      <c r="E286" s="20"/>
      <c r="F286" s="20"/>
      <c r="G286" s="21">
        <f>IF($A286="","",IF($D286&lt;&gt;"",$D286,N($C286)*(1+MarkupPeca)))</f>
        <v>0</v>
      </c>
      <c r="H286" s="22">
        <f>IF($A286="","",SUMIFS(EntQtd,EntCod,$A286))</f>
        <v>0</v>
      </c>
      <c r="I286" s="22">
        <f>IF($A286="","",SUMIFS(ItQtd,ItCod,$A286,ItStatus,"&lt;&gt;Orçamento",ItStatus,"&lt;&gt;Cancelada"))</f>
        <v>0</v>
      </c>
      <c r="J286" s="23">
        <f>IF($A286="","",N($E286)+$H286-$I286)</f>
        <v>0</v>
      </c>
      <c r="K286" s="24">
        <f>IF($A286="","",IF($J286&lt;=0,"RUPTURA",IF($J286&lt;=N($F286),"REPOR","OK")))</f>
        <v>0</v>
      </c>
    </row>
    <row r="287" spans="1:11">
      <c r="A287" s="13"/>
      <c r="B287" s="13"/>
      <c r="C287" s="19"/>
      <c r="D287" s="19"/>
      <c r="E287" s="20"/>
      <c r="F287" s="20"/>
      <c r="G287" s="21">
        <f>IF($A287="","",IF($D287&lt;&gt;"",$D287,N($C287)*(1+MarkupPeca)))</f>
        <v>0</v>
      </c>
      <c r="H287" s="22">
        <f>IF($A287="","",SUMIFS(EntQtd,EntCod,$A287))</f>
        <v>0</v>
      </c>
      <c r="I287" s="22">
        <f>IF($A287="","",SUMIFS(ItQtd,ItCod,$A287,ItStatus,"&lt;&gt;Orçamento",ItStatus,"&lt;&gt;Cancelada"))</f>
        <v>0</v>
      </c>
      <c r="J287" s="23">
        <f>IF($A287="","",N($E287)+$H287-$I287)</f>
        <v>0</v>
      </c>
      <c r="K287" s="24">
        <f>IF($A287="","",IF($J287&lt;=0,"RUPTURA",IF($J287&lt;=N($F287),"REPOR","OK")))</f>
        <v>0</v>
      </c>
    </row>
    <row r="288" spans="1:11">
      <c r="A288" s="13"/>
      <c r="B288" s="13"/>
      <c r="C288" s="19"/>
      <c r="D288" s="19"/>
      <c r="E288" s="20"/>
      <c r="F288" s="20"/>
      <c r="G288" s="21">
        <f>IF($A288="","",IF($D288&lt;&gt;"",$D288,N($C288)*(1+MarkupPeca)))</f>
        <v>0</v>
      </c>
      <c r="H288" s="22">
        <f>IF($A288="","",SUMIFS(EntQtd,EntCod,$A288))</f>
        <v>0</v>
      </c>
      <c r="I288" s="22">
        <f>IF($A288="","",SUMIFS(ItQtd,ItCod,$A288,ItStatus,"&lt;&gt;Orçamento",ItStatus,"&lt;&gt;Cancelada"))</f>
        <v>0</v>
      </c>
      <c r="J288" s="23">
        <f>IF($A288="","",N($E288)+$H288-$I288)</f>
        <v>0</v>
      </c>
      <c r="K288" s="24">
        <f>IF($A288="","",IF($J288&lt;=0,"RUPTURA",IF($J288&lt;=N($F288),"REPOR","OK")))</f>
        <v>0</v>
      </c>
    </row>
    <row r="289" spans="1:11">
      <c r="A289" s="13"/>
      <c r="B289" s="13"/>
      <c r="C289" s="19"/>
      <c r="D289" s="19"/>
      <c r="E289" s="20"/>
      <c r="F289" s="20"/>
      <c r="G289" s="21">
        <f>IF($A289="","",IF($D289&lt;&gt;"",$D289,N($C289)*(1+MarkupPeca)))</f>
        <v>0</v>
      </c>
      <c r="H289" s="22">
        <f>IF($A289="","",SUMIFS(EntQtd,EntCod,$A289))</f>
        <v>0</v>
      </c>
      <c r="I289" s="22">
        <f>IF($A289="","",SUMIFS(ItQtd,ItCod,$A289,ItStatus,"&lt;&gt;Orçamento",ItStatus,"&lt;&gt;Cancelada"))</f>
        <v>0</v>
      </c>
      <c r="J289" s="23">
        <f>IF($A289="","",N($E289)+$H289-$I289)</f>
        <v>0</v>
      </c>
      <c r="K289" s="24">
        <f>IF($A289="","",IF($J289&lt;=0,"RUPTURA",IF($J289&lt;=N($F289),"REPOR","OK")))</f>
        <v>0</v>
      </c>
    </row>
    <row r="290" spans="1:11">
      <c r="A290" s="13"/>
      <c r="B290" s="13"/>
      <c r="C290" s="19"/>
      <c r="D290" s="19"/>
      <c r="E290" s="20"/>
      <c r="F290" s="20"/>
      <c r="G290" s="21">
        <f>IF($A290="","",IF($D290&lt;&gt;"",$D290,N($C290)*(1+MarkupPeca)))</f>
        <v>0</v>
      </c>
      <c r="H290" s="22">
        <f>IF($A290="","",SUMIFS(EntQtd,EntCod,$A290))</f>
        <v>0</v>
      </c>
      <c r="I290" s="22">
        <f>IF($A290="","",SUMIFS(ItQtd,ItCod,$A290,ItStatus,"&lt;&gt;Orçamento",ItStatus,"&lt;&gt;Cancelada"))</f>
        <v>0</v>
      </c>
      <c r="J290" s="23">
        <f>IF($A290="","",N($E290)+$H290-$I290)</f>
        <v>0</v>
      </c>
      <c r="K290" s="24">
        <f>IF($A290="","",IF($J290&lt;=0,"RUPTURA",IF($J290&lt;=N($F290),"REPOR","OK")))</f>
        <v>0</v>
      </c>
    </row>
    <row r="291" spans="1:11">
      <c r="A291" s="13"/>
      <c r="B291" s="13"/>
      <c r="C291" s="19"/>
      <c r="D291" s="19"/>
      <c r="E291" s="20"/>
      <c r="F291" s="20"/>
      <c r="G291" s="21">
        <f>IF($A291="","",IF($D291&lt;&gt;"",$D291,N($C291)*(1+MarkupPeca)))</f>
        <v>0</v>
      </c>
      <c r="H291" s="22">
        <f>IF($A291="","",SUMIFS(EntQtd,EntCod,$A291))</f>
        <v>0</v>
      </c>
      <c r="I291" s="22">
        <f>IF($A291="","",SUMIFS(ItQtd,ItCod,$A291,ItStatus,"&lt;&gt;Orçamento",ItStatus,"&lt;&gt;Cancelada"))</f>
        <v>0</v>
      </c>
      <c r="J291" s="23">
        <f>IF($A291="","",N($E291)+$H291-$I291)</f>
        <v>0</v>
      </c>
      <c r="K291" s="24">
        <f>IF($A291="","",IF($J291&lt;=0,"RUPTURA",IF($J291&lt;=N($F291),"REPOR","OK")))</f>
        <v>0</v>
      </c>
    </row>
    <row r="292" spans="1:11">
      <c r="A292" s="13"/>
      <c r="B292" s="13"/>
      <c r="C292" s="19"/>
      <c r="D292" s="19"/>
      <c r="E292" s="20"/>
      <c r="F292" s="20"/>
      <c r="G292" s="21">
        <f>IF($A292="","",IF($D292&lt;&gt;"",$D292,N($C292)*(1+MarkupPeca)))</f>
        <v>0</v>
      </c>
      <c r="H292" s="22">
        <f>IF($A292="","",SUMIFS(EntQtd,EntCod,$A292))</f>
        <v>0</v>
      </c>
      <c r="I292" s="22">
        <f>IF($A292="","",SUMIFS(ItQtd,ItCod,$A292,ItStatus,"&lt;&gt;Orçamento",ItStatus,"&lt;&gt;Cancelada"))</f>
        <v>0</v>
      </c>
      <c r="J292" s="23">
        <f>IF($A292="","",N($E292)+$H292-$I292)</f>
        <v>0</v>
      </c>
      <c r="K292" s="24">
        <f>IF($A292="","",IF($J292&lt;=0,"RUPTURA",IF($J292&lt;=N($F292),"REPOR","OK")))</f>
        <v>0</v>
      </c>
    </row>
    <row r="293" spans="1:11">
      <c r="A293" s="13"/>
      <c r="B293" s="13"/>
      <c r="C293" s="19"/>
      <c r="D293" s="19"/>
      <c r="E293" s="20"/>
      <c r="F293" s="20"/>
      <c r="G293" s="21">
        <f>IF($A293="","",IF($D293&lt;&gt;"",$D293,N($C293)*(1+MarkupPeca)))</f>
        <v>0</v>
      </c>
      <c r="H293" s="22">
        <f>IF($A293="","",SUMIFS(EntQtd,EntCod,$A293))</f>
        <v>0</v>
      </c>
      <c r="I293" s="22">
        <f>IF($A293="","",SUMIFS(ItQtd,ItCod,$A293,ItStatus,"&lt;&gt;Orçamento",ItStatus,"&lt;&gt;Cancelada"))</f>
        <v>0</v>
      </c>
      <c r="J293" s="23">
        <f>IF($A293="","",N($E293)+$H293-$I293)</f>
        <v>0</v>
      </c>
      <c r="K293" s="24">
        <f>IF($A293="","",IF($J293&lt;=0,"RUPTURA",IF($J293&lt;=N($F293),"REPOR","OK")))</f>
        <v>0</v>
      </c>
    </row>
    <row r="294" spans="1:11">
      <c r="A294" s="13"/>
      <c r="B294" s="13"/>
      <c r="C294" s="19"/>
      <c r="D294" s="19"/>
      <c r="E294" s="20"/>
      <c r="F294" s="20"/>
      <c r="G294" s="21">
        <f>IF($A294="","",IF($D294&lt;&gt;"",$D294,N($C294)*(1+MarkupPeca)))</f>
        <v>0</v>
      </c>
      <c r="H294" s="22">
        <f>IF($A294="","",SUMIFS(EntQtd,EntCod,$A294))</f>
        <v>0</v>
      </c>
      <c r="I294" s="22">
        <f>IF($A294="","",SUMIFS(ItQtd,ItCod,$A294,ItStatus,"&lt;&gt;Orçamento",ItStatus,"&lt;&gt;Cancelada"))</f>
        <v>0</v>
      </c>
      <c r="J294" s="23">
        <f>IF($A294="","",N($E294)+$H294-$I294)</f>
        <v>0</v>
      </c>
      <c r="K294" s="24">
        <f>IF($A294="","",IF($J294&lt;=0,"RUPTURA",IF($J294&lt;=N($F294),"REPOR","OK")))</f>
        <v>0</v>
      </c>
    </row>
    <row r="295" spans="1:11">
      <c r="A295" s="13"/>
      <c r="B295" s="13"/>
      <c r="C295" s="19"/>
      <c r="D295" s="19"/>
      <c r="E295" s="20"/>
      <c r="F295" s="20"/>
      <c r="G295" s="21">
        <f>IF($A295="","",IF($D295&lt;&gt;"",$D295,N($C295)*(1+MarkupPeca)))</f>
        <v>0</v>
      </c>
      <c r="H295" s="22">
        <f>IF($A295="","",SUMIFS(EntQtd,EntCod,$A295))</f>
        <v>0</v>
      </c>
      <c r="I295" s="22">
        <f>IF($A295="","",SUMIFS(ItQtd,ItCod,$A295,ItStatus,"&lt;&gt;Orçamento",ItStatus,"&lt;&gt;Cancelada"))</f>
        <v>0</v>
      </c>
      <c r="J295" s="23">
        <f>IF($A295="","",N($E295)+$H295-$I295)</f>
        <v>0</v>
      </c>
      <c r="K295" s="24">
        <f>IF($A295="","",IF($J295&lt;=0,"RUPTURA",IF($J295&lt;=N($F295),"REPOR","OK")))</f>
        <v>0</v>
      </c>
    </row>
    <row r="296" spans="1:11">
      <c r="A296" s="13"/>
      <c r="B296" s="13"/>
      <c r="C296" s="19"/>
      <c r="D296" s="19"/>
      <c r="E296" s="20"/>
      <c r="F296" s="20"/>
      <c r="G296" s="21">
        <f>IF($A296="","",IF($D296&lt;&gt;"",$D296,N($C296)*(1+MarkupPeca)))</f>
        <v>0</v>
      </c>
      <c r="H296" s="22">
        <f>IF($A296="","",SUMIFS(EntQtd,EntCod,$A296))</f>
        <v>0</v>
      </c>
      <c r="I296" s="22">
        <f>IF($A296="","",SUMIFS(ItQtd,ItCod,$A296,ItStatus,"&lt;&gt;Orçamento",ItStatus,"&lt;&gt;Cancelada"))</f>
        <v>0</v>
      </c>
      <c r="J296" s="23">
        <f>IF($A296="","",N($E296)+$H296-$I296)</f>
        <v>0</v>
      </c>
      <c r="K296" s="24">
        <f>IF($A296="","",IF($J296&lt;=0,"RUPTURA",IF($J296&lt;=N($F296),"REPOR","OK")))</f>
        <v>0</v>
      </c>
    </row>
    <row r="297" spans="1:11">
      <c r="A297" s="13"/>
      <c r="B297" s="13"/>
      <c r="C297" s="19"/>
      <c r="D297" s="19"/>
      <c r="E297" s="20"/>
      <c r="F297" s="20"/>
      <c r="G297" s="21">
        <f>IF($A297="","",IF($D297&lt;&gt;"",$D297,N($C297)*(1+MarkupPeca)))</f>
        <v>0</v>
      </c>
      <c r="H297" s="22">
        <f>IF($A297="","",SUMIFS(EntQtd,EntCod,$A297))</f>
        <v>0</v>
      </c>
      <c r="I297" s="22">
        <f>IF($A297="","",SUMIFS(ItQtd,ItCod,$A297,ItStatus,"&lt;&gt;Orçamento",ItStatus,"&lt;&gt;Cancelada"))</f>
        <v>0</v>
      </c>
      <c r="J297" s="23">
        <f>IF($A297="","",N($E297)+$H297-$I297)</f>
        <v>0</v>
      </c>
      <c r="K297" s="24">
        <f>IF($A297="","",IF($J297&lt;=0,"RUPTURA",IF($J297&lt;=N($F297),"REPOR","OK")))</f>
        <v>0</v>
      </c>
    </row>
    <row r="298" spans="1:11">
      <c r="A298" s="13"/>
      <c r="B298" s="13"/>
      <c r="C298" s="19"/>
      <c r="D298" s="19"/>
      <c r="E298" s="20"/>
      <c r="F298" s="20"/>
      <c r="G298" s="21">
        <f>IF($A298="","",IF($D298&lt;&gt;"",$D298,N($C298)*(1+MarkupPeca)))</f>
        <v>0</v>
      </c>
      <c r="H298" s="22">
        <f>IF($A298="","",SUMIFS(EntQtd,EntCod,$A298))</f>
        <v>0</v>
      </c>
      <c r="I298" s="22">
        <f>IF($A298="","",SUMIFS(ItQtd,ItCod,$A298,ItStatus,"&lt;&gt;Orçamento",ItStatus,"&lt;&gt;Cancelada"))</f>
        <v>0</v>
      </c>
      <c r="J298" s="23">
        <f>IF($A298="","",N($E298)+$H298-$I298)</f>
        <v>0</v>
      </c>
      <c r="K298" s="24">
        <f>IF($A298="","",IF($J298&lt;=0,"RUPTURA",IF($J298&lt;=N($F298),"REPOR","OK")))</f>
        <v>0</v>
      </c>
    </row>
    <row r="299" spans="1:11">
      <c r="A299" s="13"/>
      <c r="B299" s="13"/>
      <c r="C299" s="19"/>
      <c r="D299" s="19"/>
      <c r="E299" s="20"/>
      <c r="F299" s="20"/>
      <c r="G299" s="21">
        <f>IF($A299="","",IF($D299&lt;&gt;"",$D299,N($C299)*(1+MarkupPeca)))</f>
        <v>0</v>
      </c>
      <c r="H299" s="22">
        <f>IF($A299="","",SUMIFS(EntQtd,EntCod,$A299))</f>
        <v>0</v>
      </c>
      <c r="I299" s="22">
        <f>IF($A299="","",SUMIFS(ItQtd,ItCod,$A299,ItStatus,"&lt;&gt;Orçamento",ItStatus,"&lt;&gt;Cancelada"))</f>
        <v>0</v>
      </c>
      <c r="J299" s="23">
        <f>IF($A299="","",N($E299)+$H299-$I299)</f>
        <v>0</v>
      </c>
      <c r="K299" s="24">
        <f>IF($A299="","",IF($J299&lt;=0,"RUPTURA",IF($J299&lt;=N($F299),"REPOR","OK")))</f>
        <v>0</v>
      </c>
    </row>
    <row r="300" spans="1:11">
      <c r="A300" s="13"/>
      <c r="B300" s="13"/>
      <c r="C300" s="19"/>
      <c r="D300" s="19"/>
      <c r="E300" s="20"/>
      <c r="F300" s="20"/>
      <c r="G300" s="21">
        <f>IF($A300="","",IF($D300&lt;&gt;"",$D300,N($C300)*(1+MarkupPeca)))</f>
        <v>0</v>
      </c>
      <c r="H300" s="22">
        <f>IF($A300="","",SUMIFS(EntQtd,EntCod,$A300))</f>
        <v>0</v>
      </c>
      <c r="I300" s="22">
        <f>IF($A300="","",SUMIFS(ItQtd,ItCod,$A300,ItStatus,"&lt;&gt;Orçamento",ItStatus,"&lt;&gt;Cancelada"))</f>
        <v>0</v>
      </c>
      <c r="J300" s="23">
        <f>IF($A300="","",N($E300)+$H300-$I300)</f>
        <v>0</v>
      </c>
      <c r="K300" s="24">
        <f>IF($A300="","",IF($J300&lt;=0,"RUPTURA",IF($J300&lt;=N($F300),"REPOR","OK")))</f>
        <v>0</v>
      </c>
    </row>
    <row r="301" spans="1:11">
      <c r="A301" s="13"/>
      <c r="B301" s="13"/>
      <c r="C301" s="19"/>
      <c r="D301" s="19"/>
      <c r="E301" s="20"/>
      <c r="F301" s="20"/>
      <c r="G301" s="21">
        <f>IF($A301="","",IF($D301&lt;&gt;"",$D301,N($C301)*(1+MarkupPeca)))</f>
        <v>0</v>
      </c>
      <c r="H301" s="22">
        <f>IF($A301="","",SUMIFS(EntQtd,EntCod,$A301))</f>
        <v>0</v>
      </c>
      <c r="I301" s="22">
        <f>IF($A301="","",SUMIFS(ItQtd,ItCod,$A301,ItStatus,"&lt;&gt;Orçamento",ItStatus,"&lt;&gt;Cancelada"))</f>
        <v>0</v>
      </c>
      <c r="J301" s="23">
        <f>IF($A301="","",N($E301)+$H301-$I301)</f>
        <v>0</v>
      </c>
      <c r="K301" s="24">
        <f>IF($A301="","",IF($J301&lt;=0,"RUPTURA",IF($J301&lt;=N($F301),"REPOR","OK")))</f>
        <v>0</v>
      </c>
    </row>
    <row r="302" spans="1:11">
      <c r="A302" s="13"/>
      <c r="B302" s="13"/>
      <c r="C302" s="19"/>
      <c r="D302" s="19"/>
      <c r="E302" s="20"/>
      <c r="F302" s="20"/>
      <c r="G302" s="21">
        <f>IF($A302="","",IF($D302&lt;&gt;"",$D302,N($C302)*(1+MarkupPeca)))</f>
        <v>0</v>
      </c>
      <c r="H302" s="22">
        <f>IF($A302="","",SUMIFS(EntQtd,EntCod,$A302))</f>
        <v>0</v>
      </c>
      <c r="I302" s="22">
        <f>IF($A302="","",SUMIFS(ItQtd,ItCod,$A302,ItStatus,"&lt;&gt;Orçamento",ItStatus,"&lt;&gt;Cancelada"))</f>
        <v>0</v>
      </c>
      <c r="J302" s="23">
        <f>IF($A302="","",N($E302)+$H302-$I302)</f>
        <v>0</v>
      </c>
      <c r="K302" s="24">
        <f>IF($A302="","",IF($J302&lt;=0,"RUPTURA",IF($J302&lt;=N($F302),"REPOR","OK")))</f>
        <v>0</v>
      </c>
    </row>
    <row r="303" spans="1:11">
      <c r="A303" s="13"/>
      <c r="B303" s="13"/>
      <c r="C303" s="19"/>
      <c r="D303" s="19"/>
      <c r="E303" s="20"/>
      <c r="F303" s="20"/>
      <c r="G303" s="21">
        <f>IF($A303="","",IF($D303&lt;&gt;"",$D303,N($C303)*(1+MarkupPeca)))</f>
        <v>0</v>
      </c>
      <c r="H303" s="22">
        <f>IF($A303="","",SUMIFS(EntQtd,EntCod,$A303))</f>
        <v>0</v>
      </c>
      <c r="I303" s="22">
        <f>IF($A303="","",SUMIFS(ItQtd,ItCod,$A303,ItStatus,"&lt;&gt;Orçamento",ItStatus,"&lt;&gt;Cancelada"))</f>
        <v>0</v>
      </c>
      <c r="J303" s="23">
        <f>IF($A303="","",N($E303)+$H303-$I303)</f>
        <v>0</v>
      </c>
      <c r="K303" s="24">
        <f>IF($A303="","",IF($J303&lt;=0,"RUPTURA",IF($J303&lt;=N($F303),"REPOR","OK")))</f>
        <v>0</v>
      </c>
    </row>
    <row r="304" spans="1:11">
      <c r="A304" s="13"/>
      <c r="B304" s="13"/>
      <c r="C304" s="19"/>
      <c r="D304" s="19"/>
      <c r="E304" s="20"/>
      <c r="F304" s="20"/>
      <c r="G304" s="21">
        <f>IF($A304="","",IF($D304&lt;&gt;"",$D304,N($C304)*(1+MarkupPeca)))</f>
        <v>0</v>
      </c>
      <c r="H304" s="22">
        <f>IF($A304="","",SUMIFS(EntQtd,EntCod,$A304))</f>
        <v>0</v>
      </c>
      <c r="I304" s="22">
        <f>IF($A304="","",SUMIFS(ItQtd,ItCod,$A304,ItStatus,"&lt;&gt;Orçamento",ItStatus,"&lt;&gt;Cancelada"))</f>
        <v>0</v>
      </c>
      <c r="J304" s="23">
        <f>IF($A304="","",N($E304)+$H304-$I304)</f>
        <v>0</v>
      </c>
      <c r="K304" s="24">
        <f>IF($A304="","",IF($J304&lt;=0,"RUPTURA",IF($J304&lt;=N($F304),"REPOR","OK")))</f>
        <v>0</v>
      </c>
    </row>
    <row r="305" spans="1:11">
      <c r="A305" s="13"/>
      <c r="B305" s="13"/>
      <c r="C305" s="19"/>
      <c r="D305" s="19"/>
      <c r="E305" s="20"/>
      <c r="F305" s="20"/>
      <c r="G305" s="21">
        <f>IF($A305="","",IF($D305&lt;&gt;"",$D305,N($C305)*(1+MarkupPeca)))</f>
        <v>0</v>
      </c>
      <c r="H305" s="22">
        <f>IF($A305="","",SUMIFS(EntQtd,EntCod,$A305))</f>
        <v>0</v>
      </c>
      <c r="I305" s="22">
        <f>IF($A305="","",SUMIFS(ItQtd,ItCod,$A305,ItStatus,"&lt;&gt;Orçamento",ItStatus,"&lt;&gt;Cancelada"))</f>
        <v>0</v>
      </c>
      <c r="J305" s="23">
        <f>IF($A305="","",N($E305)+$H305-$I305)</f>
        <v>0</v>
      </c>
      <c r="K305" s="24">
        <f>IF($A305="","",IF($J305&lt;=0,"RUPTURA",IF($J305&lt;=N($F305),"REPOR","OK")))</f>
        <v>0</v>
      </c>
    </row>
    <row r="306" spans="1:11">
      <c r="A306" s="13"/>
      <c r="B306" s="13"/>
      <c r="C306" s="19"/>
      <c r="D306" s="19"/>
      <c r="E306" s="20"/>
      <c r="F306" s="20"/>
      <c r="G306" s="21">
        <f>IF($A306="","",IF($D306&lt;&gt;"",$D306,N($C306)*(1+MarkupPeca)))</f>
        <v>0</v>
      </c>
      <c r="H306" s="22">
        <f>IF($A306="","",SUMIFS(EntQtd,EntCod,$A306))</f>
        <v>0</v>
      </c>
      <c r="I306" s="22">
        <f>IF($A306="","",SUMIFS(ItQtd,ItCod,$A306,ItStatus,"&lt;&gt;Orçamento",ItStatus,"&lt;&gt;Cancelada"))</f>
        <v>0</v>
      </c>
      <c r="J306" s="23">
        <f>IF($A306="","",N($E306)+$H306-$I306)</f>
        <v>0</v>
      </c>
      <c r="K306" s="24">
        <f>IF($A306="","",IF($J306&lt;=0,"RUPTURA",IF($J306&lt;=N($F306),"REPOR","OK")))</f>
        <v>0</v>
      </c>
    </row>
    <row r="307" spans="1:11">
      <c r="A307" s="13"/>
      <c r="B307" s="13"/>
      <c r="C307" s="19"/>
      <c r="D307" s="19"/>
      <c r="E307" s="20"/>
      <c r="F307" s="20"/>
      <c r="G307" s="21">
        <f>IF($A307="","",IF($D307&lt;&gt;"",$D307,N($C307)*(1+MarkupPeca)))</f>
        <v>0</v>
      </c>
      <c r="H307" s="22">
        <f>IF($A307="","",SUMIFS(EntQtd,EntCod,$A307))</f>
        <v>0</v>
      </c>
      <c r="I307" s="22">
        <f>IF($A307="","",SUMIFS(ItQtd,ItCod,$A307,ItStatus,"&lt;&gt;Orçamento",ItStatus,"&lt;&gt;Cancelada"))</f>
        <v>0</v>
      </c>
      <c r="J307" s="23">
        <f>IF($A307="","",N($E307)+$H307-$I307)</f>
        <v>0</v>
      </c>
      <c r="K307" s="24">
        <f>IF($A307="","",IF($J307&lt;=0,"RUPTURA",IF($J307&lt;=N($F307),"REPOR","OK")))</f>
        <v>0</v>
      </c>
    </row>
    <row r="308" spans="1:11">
      <c r="A308" s="13"/>
      <c r="B308" s="13"/>
      <c r="C308" s="19"/>
      <c r="D308" s="19"/>
      <c r="E308" s="20"/>
      <c r="F308" s="20"/>
      <c r="G308" s="21">
        <f>IF($A308="","",IF($D308&lt;&gt;"",$D308,N($C308)*(1+MarkupPeca)))</f>
        <v>0</v>
      </c>
      <c r="H308" s="22">
        <f>IF($A308="","",SUMIFS(EntQtd,EntCod,$A308))</f>
        <v>0</v>
      </c>
      <c r="I308" s="22">
        <f>IF($A308="","",SUMIFS(ItQtd,ItCod,$A308,ItStatus,"&lt;&gt;Orçamento",ItStatus,"&lt;&gt;Cancelada"))</f>
        <v>0</v>
      </c>
      <c r="J308" s="23">
        <f>IF($A308="","",N($E308)+$H308-$I308)</f>
        <v>0</v>
      </c>
      <c r="K308" s="24">
        <f>IF($A308="","",IF($J308&lt;=0,"RUPTURA",IF($J308&lt;=N($F308),"REPOR","OK")))</f>
        <v>0</v>
      </c>
    </row>
    <row r="309" spans="1:11">
      <c r="A309" s="13"/>
      <c r="B309" s="13"/>
      <c r="C309" s="19"/>
      <c r="D309" s="19"/>
      <c r="E309" s="20"/>
      <c r="F309" s="20"/>
      <c r="G309" s="21">
        <f>IF($A309="","",IF($D309&lt;&gt;"",$D309,N($C309)*(1+MarkupPeca)))</f>
        <v>0</v>
      </c>
      <c r="H309" s="22">
        <f>IF($A309="","",SUMIFS(EntQtd,EntCod,$A309))</f>
        <v>0</v>
      </c>
      <c r="I309" s="22">
        <f>IF($A309="","",SUMIFS(ItQtd,ItCod,$A309,ItStatus,"&lt;&gt;Orçamento",ItStatus,"&lt;&gt;Cancelada"))</f>
        <v>0</v>
      </c>
      <c r="J309" s="23">
        <f>IF($A309="","",N($E309)+$H309-$I309)</f>
        <v>0</v>
      </c>
      <c r="K309" s="24">
        <f>IF($A309="","",IF($J309&lt;=0,"RUPTURA",IF($J309&lt;=N($F309),"REPOR","OK")))</f>
        <v>0</v>
      </c>
    </row>
    <row r="310" spans="1:11">
      <c r="A310" s="13"/>
      <c r="B310" s="13"/>
      <c r="C310" s="19"/>
      <c r="D310" s="19"/>
      <c r="E310" s="20"/>
      <c r="F310" s="20"/>
      <c r="G310" s="21">
        <f>IF($A310="","",IF($D310&lt;&gt;"",$D310,N($C310)*(1+MarkupPeca)))</f>
        <v>0</v>
      </c>
      <c r="H310" s="22">
        <f>IF($A310="","",SUMIFS(EntQtd,EntCod,$A310))</f>
        <v>0</v>
      </c>
      <c r="I310" s="22">
        <f>IF($A310="","",SUMIFS(ItQtd,ItCod,$A310,ItStatus,"&lt;&gt;Orçamento",ItStatus,"&lt;&gt;Cancelada"))</f>
        <v>0</v>
      </c>
      <c r="J310" s="23">
        <f>IF($A310="","",N($E310)+$H310-$I310)</f>
        <v>0</v>
      </c>
      <c r="K310" s="24">
        <f>IF($A310="","",IF($J310&lt;=0,"RUPTURA",IF($J310&lt;=N($F310),"REPOR","OK")))</f>
        <v>0</v>
      </c>
    </row>
    <row r="311" spans="1:11">
      <c r="A311" s="13"/>
      <c r="B311" s="13"/>
      <c r="C311" s="19"/>
      <c r="D311" s="19"/>
      <c r="E311" s="20"/>
      <c r="F311" s="20"/>
      <c r="G311" s="21">
        <f>IF($A311="","",IF($D311&lt;&gt;"",$D311,N($C311)*(1+MarkupPeca)))</f>
        <v>0</v>
      </c>
      <c r="H311" s="22">
        <f>IF($A311="","",SUMIFS(EntQtd,EntCod,$A311))</f>
        <v>0</v>
      </c>
      <c r="I311" s="22">
        <f>IF($A311="","",SUMIFS(ItQtd,ItCod,$A311,ItStatus,"&lt;&gt;Orçamento",ItStatus,"&lt;&gt;Cancelada"))</f>
        <v>0</v>
      </c>
      <c r="J311" s="23">
        <f>IF($A311="","",N($E311)+$H311-$I311)</f>
        <v>0</v>
      </c>
      <c r="K311" s="24">
        <f>IF($A311="","",IF($J311&lt;=0,"RUPTURA",IF($J311&lt;=N($F311),"REPOR","OK")))</f>
        <v>0</v>
      </c>
    </row>
    <row r="312" spans="1:11">
      <c r="A312" s="13"/>
      <c r="B312" s="13"/>
      <c r="C312" s="19"/>
      <c r="D312" s="19"/>
      <c r="E312" s="20"/>
      <c r="F312" s="20"/>
      <c r="G312" s="21">
        <f>IF($A312="","",IF($D312&lt;&gt;"",$D312,N($C312)*(1+MarkupPeca)))</f>
        <v>0</v>
      </c>
      <c r="H312" s="22">
        <f>IF($A312="","",SUMIFS(EntQtd,EntCod,$A312))</f>
        <v>0</v>
      </c>
      <c r="I312" s="22">
        <f>IF($A312="","",SUMIFS(ItQtd,ItCod,$A312,ItStatus,"&lt;&gt;Orçamento",ItStatus,"&lt;&gt;Cancelada"))</f>
        <v>0</v>
      </c>
      <c r="J312" s="23">
        <f>IF($A312="","",N($E312)+$H312-$I312)</f>
        <v>0</v>
      </c>
      <c r="K312" s="24">
        <f>IF($A312="","",IF($J312&lt;=0,"RUPTURA",IF($J312&lt;=N($F312),"REPOR","OK")))</f>
        <v>0</v>
      </c>
    </row>
    <row r="313" spans="1:11">
      <c r="A313" s="13"/>
      <c r="B313" s="13"/>
      <c r="C313" s="19"/>
      <c r="D313" s="19"/>
      <c r="E313" s="20"/>
      <c r="F313" s="20"/>
      <c r="G313" s="21">
        <f>IF($A313="","",IF($D313&lt;&gt;"",$D313,N($C313)*(1+MarkupPeca)))</f>
        <v>0</v>
      </c>
      <c r="H313" s="22">
        <f>IF($A313="","",SUMIFS(EntQtd,EntCod,$A313))</f>
        <v>0</v>
      </c>
      <c r="I313" s="22">
        <f>IF($A313="","",SUMIFS(ItQtd,ItCod,$A313,ItStatus,"&lt;&gt;Orçamento",ItStatus,"&lt;&gt;Cancelada"))</f>
        <v>0</v>
      </c>
      <c r="J313" s="23">
        <f>IF($A313="","",N($E313)+$H313-$I313)</f>
        <v>0</v>
      </c>
      <c r="K313" s="24">
        <f>IF($A313="","",IF($J313&lt;=0,"RUPTURA",IF($J313&lt;=N($F313),"REPOR","OK")))</f>
        <v>0</v>
      </c>
    </row>
    <row r="314" spans="1:11">
      <c r="A314" s="13"/>
      <c r="B314" s="13"/>
      <c r="C314" s="19"/>
      <c r="D314" s="19"/>
      <c r="E314" s="20"/>
      <c r="F314" s="20"/>
      <c r="G314" s="21">
        <f>IF($A314="","",IF($D314&lt;&gt;"",$D314,N($C314)*(1+MarkupPeca)))</f>
        <v>0</v>
      </c>
      <c r="H314" s="22">
        <f>IF($A314="","",SUMIFS(EntQtd,EntCod,$A314))</f>
        <v>0</v>
      </c>
      <c r="I314" s="22">
        <f>IF($A314="","",SUMIFS(ItQtd,ItCod,$A314,ItStatus,"&lt;&gt;Orçamento",ItStatus,"&lt;&gt;Cancelada"))</f>
        <v>0</v>
      </c>
      <c r="J314" s="23">
        <f>IF($A314="","",N($E314)+$H314-$I314)</f>
        <v>0</v>
      </c>
      <c r="K314" s="24">
        <f>IF($A314="","",IF($J314&lt;=0,"RUPTURA",IF($J314&lt;=N($F314),"REPOR","OK")))</f>
        <v>0</v>
      </c>
    </row>
    <row r="315" spans="1:11">
      <c r="A315" s="13"/>
      <c r="B315" s="13"/>
      <c r="C315" s="19"/>
      <c r="D315" s="19"/>
      <c r="E315" s="20"/>
      <c r="F315" s="20"/>
      <c r="G315" s="21">
        <f>IF($A315="","",IF($D315&lt;&gt;"",$D315,N($C315)*(1+MarkupPeca)))</f>
        <v>0</v>
      </c>
      <c r="H315" s="22">
        <f>IF($A315="","",SUMIFS(EntQtd,EntCod,$A315))</f>
        <v>0</v>
      </c>
      <c r="I315" s="22">
        <f>IF($A315="","",SUMIFS(ItQtd,ItCod,$A315,ItStatus,"&lt;&gt;Orçamento",ItStatus,"&lt;&gt;Cancelada"))</f>
        <v>0</v>
      </c>
      <c r="J315" s="23">
        <f>IF($A315="","",N($E315)+$H315-$I315)</f>
        <v>0</v>
      </c>
      <c r="K315" s="24">
        <f>IF($A315="","",IF($J315&lt;=0,"RUPTURA",IF($J315&lt;=N($F315),"REPOR","OK")))</f>
        <v>0</v>
      </c>
    </row>
    <row r="316" spans="1:11">
      <c r="A316" s="13"/>
      <c r="B316" s="13"/>
      <c r="C316" s="19"/>
      <c r="D316" s="19"/>
      <c r="E316" s="20"/>
      <c r="F316" s="20"/>
      <c r="G316" s="21">
        <f>IF($A316="","",IF($D316&lt;&gt;"",$D316,N($C316)*(1+MarkupPeca)))</f>
        <v>0</v>
      </c>
      <c r="H316" s="22">
        <f>IF($A316="","",SUMIFS(EntQtd,EntCod,$A316))</f>
        <v>0</v>
      </c>
      <c r="I316" s="22">
        <f>IF($A316="","",SUMIFS(ItQtd,ItCod,$A316,ItStatus,"&lt;&gt;Orçamento",ItStatus,"&lt;&gt;Cancelada"))</f>
        <v>0</v>
      </c>
      <c r="J316" s="23">
        <f>IF($A316="","",N($E316)+$H316-$I316)</f>
        <v>0</v>
      </c>
      <c r="K316" s="24">
        <f>IF($A316="","",IF($J316&lt;=0,"RUPTURA",IF($J316&lt;=N($F316),"REPOR","OK")))</f>
        <v>0</v>
      </c>
    </row>
    <row r="317" spans="1:11">
      <c r="A317" s="13"/>
      <c r="B317" s="13"/>
      <c r="C317" s="19"/>
      <c r="D317" s="19"/>
      <c r="E317" s="20"/>
      <c r="F317" s="20"/>
      <c r="G317" s="21">
        <f>IF($A317="","",IF($D317&lt;&gt;"",$D317,N($C317)*(1+MarkupPeca)))</f>
        <v>0</v>
      </c>
      <c r="H317" s="22">
        <f>IF($A317="","",SUMIFS(EntQtd,EntCod,$A317))</f>
        <v>0</v>
      </c>
      <c r="I317" s="22">
        <f>IF($A317="","",SUMIFS(ItQtd,ItCod,$A317,ItStatus,"&lt;&gt;Orçamento",ItStatus,"&lt;&gt;Cancelada"))</f>
        <v>0</v>
      </c>
      <c r="J317" s="23">
        <f>IF($A317="","",N($E317)+$H317-$I317)</f>
        <v>0</v>
      </c>
      <c r="K317" s="24">
        <f>IF($A317="","",IF($J317&lt;=0,"RUPTURA",IF($J317&lt;=N($F317),"REPOR","OK")))</f>
        <v>0</v>
      </c>
    </row>
    <row r="318" spans="1:11">
      <c r="A318" s="13"/>
      <c r="B318" s="13"/>
      <c r="C318" s="19"/>
      <c r="D318" s="19"/>
      <c r="E318" s="20"/>
      <c r="F318" s="20"/>
      <c r="G318" s="21">
        <f>IF($A318="","",IF($D318&lt;&gt;"",$D318,N($C318)*(1+MarkupPeca)))</f>
        <v>0</v>
      </c>
      <c r="H318" s="22">
        <f>IF($A318="","",SUMIFS(EntQtd,EntCod,$A318))</f>
        <v>0</v>
      </c>
      <c r="I318" s="22">
        <f>IF($A318="","",SUMIFS(ItQtd,ItCod,$A318,ItStatus,"&lt;&gt;Orçamento",ItStatus,"&lt;&gt;Cancelada"))</f>
        <v>0</v>
      </c>
      <c r="J318" s="23">
        <f>IF($A318="","",N($E318)+$H318-$I318)</f>
        <v>0</v>
      </c>
      <c r="K318" s="24">
        <f>IF($A318="","",IF($J318&lt;=0,"RUPTURA",IF($J318&lt;=N($F318),"REPOR","OK")))</f>
        <v>0</v>
      </c>
    </row>
    <row r="319" spans="1:11">
      <c r="A319" s="13"/>
      <c r="B319" s="13"/>
      <c r="C319" s="19"/>
      <c r="D319" s="19"/>
      <c r="E319" s="20"/>
      <c r="F319" s="20"/>
      <c r="G319" s="21">
        <f>IF($A319="","",IF($D319&lt;&gt;"",$D319,N($C319)*(1+MarkupPeca)))</f>
        <v>0</v>
      </c>
      <c r="H319" s="22">
        <f>IF($A319="","",SUMIFS(EntQtd,EntCod,$A319))</f>
        <v>0</v>
      </c>
      <c r="I319" s="22">
        <f>IF($A319="","",SUMIFS(ItQtd,ItCod,$A319,ItStatus,"&lt;&gt;Orçamento",ItStatus,"&lt;&gt;Cancelada"))</f>
        <v>0</v>
      </c>
      <c r="J319" s="23">
        <f>IF($A319="","",N($E319)+$H319-$I319)</f>
        <v>0</v>
      </c>
      <c r="K319" s="24">
        <f>IF($A319="","",IF($J319&lt;=0,"RUPTURA",IF($J319&lt;=N($F319),"REPOR","OK")))</f>
        <v>0</v>
      </c>
    </row>
    <row r="320" spans="1:11">
      <c r="A320" s="13"/>
      <c r="B320" s="13"/>
      <c r="C320" s="19"/>
      <c r="D320" s="19"/>
      <c r="E320" s="20"/>
      <c r="F320" s="20"/>
      <c r="G320" s="21">
        <f>IF($A320="","",IF($D320&lt;&gt;"",$D320,N($C320)*(1+MarkupPeca)))</f>
        <v>0</v>
      </c>
      <c r="H320" s="22">
        <f>IF($A320="","",SUMIFS(EntQtd,EntCod,$A320))</f>
        <v>0</v>
      </c>
      <c r="I320" s="22">
        <f>IF($A320="","",SUMIFS(ItQtd,ItCod,$A320,ItStatus,"&lt;&gt;Orçamento",ItStatus,"&lt;&gt;Cancelada"))</f>
        <v>0</v>
      </c>
      <c r="J320" s="23">
        <f>IF($A320="","",N($E320)+$H320-$I320)</f>
        <v>0</v>
      </c>
      <c r="K320" s="24">
        <f>IF($A320="","",IF($J320&lt;=0,"RUPTURA",IF($J320&lt;=N($F320),"REPOR","OK")))</f>
        <v>0</v>
      </c>
    </row>
    <row r="321" spans="1:11">
      <c r="A321" s="13"/>
      <c r="B321" s="13"/>
      <c r="C321" s="19"/>
      <c r="D321" s="19"/>
      <c r="E321" s="20"/>
      <c r="F321" s="20"/>
      <c r="G321" s="21">
        <f>IF($A321="","",IF($D321&lt;&gt;"",$D321,N($C321)*(1+MarkupPeca)))</f>
        <v>0</v>
      </c>
      <c r="H321" s="22">
        <f>IF($A321="","",SUMIFS(EntQtd,EntCod,$A321))</f>
        <v>0</v>
      </c>
      <c r="I321" s="22">
        <f>IF($A321="","",SUMIFS(ItQtd,ItCod,$A321,ItStatus,"&lt;&gt;Orçamento",ItStatus,"&lt;&gt;Cancelada"))</f>
        <v>0</v>
      </c>
      <c r="J321" s="23">
        <f>IF($A321="","",N($E321)+$H321-$I321)</f>
        <v>0</v>
      </c>
      <c r="K321" s="24">
        <f>IF($A321="","",IF($J321&lt;=0,"RUPTURA",IF($J321&lt;=N($F321),"REPOR","OK")))</f>
        <v>0</v>
      </c>
    </row>
    <row r="322" spans="1:11">
      <c r="A322" s="13"/>
      <c r="B322" s="13"/>
      <c r="C322" s="19"/>
      <c r="D322" s="19"/>
      <c r="E322" s="20"/>
      <c r="F322" s="20"/>
      <c r="G322" s="21">
        <f>IF($A322="","",IF($D322&lt;&gt;"",$D322,N($C322)*(1+MarkupPeca)))</f>
        <v>0</v>
      </c>
      <c r="H322" s="22">
        <f>IF($A322="","",SUMIFS(EntQtd,EntCod,$A322))</f>
        <v>0</v>
      </c>
      <c r="I322" s="22">
        <f>IF($A322="","",SUMIFS(ItQtd,ItCod,$A322,ItStatus,"&lt;&gt;Orçamento",ItStatus,"&lt;&gt;Cancelada"))</f>
        <v>0</v>
      </c>
      <c r="J322" s="23">
        <f>IF($A322="","",N($E322)+$H322-$I322)</f>
        <v>0</v>
      </c>
      <c r="K322" s="24">
        <f>IF($A322="","",IF($J322&lt;=0,"RUPTURA",IF($J322&lt;=N($F322),"REPOR","OK")))</f>
        <v>0</v>
      </c>
    </row>
    <row r="323" spans="1:11">
      <c r="A323" s="13"/>
      <c r="B323" s="13"/>
      <c r="C323" s="19"/>
      <c r="D323" s="19"/>
      <c r="E323" s="20"/>
      <c r="F323" s="20"/>
      <c r="G323" s="21">
        <f>IF($A323="","",IF($D323&lt;&gt;"",$D323,N($C323)*(1+MarkupPeca)))</f>
        <v>0</v>
      </c>
      <c r="H323" s="22">
        <f>IF($A323="","",SUMIFS(EntQtd,EntCod,$A323))</f>
        <v>0</v>
      </c>
      <c r="I323" s="22">
        <f>IF($A323="","",SUMIFS(ItQtd,ItCod,$A323,ItStatus,"&lt;&gt;Orçamento",ItStatus,"&lt;&gt;Cancelada"))</f>
        <v>0</v>
      </c>
      <c r="J323" s="23">
        <f>IF($A323="","",N($E323)+$H323-$I323)</f>
        <v>0</v>
      </c>
      <c r="K323" s="24">
        <f>IF($A323="","",IF($J323&lt;=0,"RUPTURA",IF($J323&lt;=N($F323),"REPOR","OK")))</f>
        <v>0</v>
      </c>
    </row>
    <row r="324" spans="1:11">
      <c r="A324" s="13"/>
      <c r="B324" s="13"/>
      <c r="C324" s="19"/>
      <c r="D324" s="19"/>
      <c r="E324" s="20"/>
      <c r="F324" s="20"/>
      <c r="G324" s="21">
        <f>IF($A324="","",IF($D324&lt;&gt;"",$D324,N($C324)*(1+MarkupPeca)))</f>
        <v>0</v>
      </c>
      <c r="H324" s="22">
        <f>IF($A324="","",SUMIFS(EntQtd,EntCod,$A324))</f>
        <v>0</v>
      </c>
      <c r="I324" s="22">
        <f>IF($A324="","",SUMIFS(ItQtd,ItCod,$A324,ItStatus,"&lt;&gt;Orçamento",ItStatus,"&lt;&gt;Cancelada"))</f>
        <v>0</v>
      </c>
      <c r="J324" s="23">
        <f>IF($A324="","",N($E324)+$H324-$I324)</f>
        <v>0</v>
      </c>
      <c r="K324" s="24">
        <f>IF($A324="","",IF($J324&lt;=0,"RUPTURA",IF($J324&lt;=N($F324),"REPOR","OK")))</f>
        <v>0</v>
      </c>
    </row>
    <row r="325" spans="1:11">
      <c r="A325" s="13"/>
      <c r="B325" s="13"/>
      <c r="C325" s="19"/>
      <c r="D325" s="19"/>
      <c r="E325" s="20"/>
      <c r="F325" s="20"/>
      <c r="G325" s="21">
        <f>IF($A325="","",IF($D325&lt;&gt;"",$D325,N($C325)*(1+MarkupPeca)))</f>
        <v>0</v>
      </c>
      <c r="H325" s="22">
        <f>IF($A325="","",SUMIFS(EntQtd,EntCod,$A325))</f>
        <v>0</v>
      </c>
      <c r="I325" s="22">
        <f>IF($A325="","",SUMIFS(ItQtd,ItCod,$A325,ItStatus,"&lt;&gt;Orçamento",ItStatus,"&lt;&gt;Cancelada"))</f>
        <v>0</v>
      </c>
      <c r="J325" s="23">
        <f>IF($A325="","",N($E325)+$H325-$I325)</f>
        <v>0</v>
      </c>
      <c r="K325" s="24">
        <f>IF($A325="","",IF($J325&lt;=0,"RUPTURA",IF($J325&lt;=N($F325),"REPOR","OK")))</f>
        <v>0</v>
      </c>
    </row>
    <row r="326" spans="1:11">
      <c r="A326" s="13"/>
      <c r="B326" s="13"/>
      <c r="C326" s="19"/>
      <c r="D326" s="19"/>
      <c r="E326" s="20"/>
      <c r="F326" s="20"/>
      <c r="G326" s="21">
        <f>IF($A326="","",IF($D326&lt;&gt;"",$D326,N($C326)*(1+MarkupPeca)))</f>
        <v>0</v>
      </c>
      <c r="H326" s="22">
        <f>IF($A326="","",SUMIFS(EntQtd,EntCod,$A326))</f>
        <v>0</v>
      </c>
      <c r="I326" s="22">
        <f>IF($A326="","",SUMIFS(ItQtd,ItCod,$A326,ItStatus,"&lt;&gt;Orçamento",ItStatus,"&lt;&gt;Cancelada"))</f>
        <v>0</v>
      </c>
      <c r="J326" s="23">
        <f>IF($A326="","",N($E326)+$H326-$I326)</f>
        <v>0</v>
      </c>
      <c r="K326" s="24">
        <f>IF($A326="","",IF($J326&lt;=0,"RUPTURA",IF($J326&lt;=N($F326),"REPOR","OK")))</f>
        <v>0</v>
      </c>
    </row>
    <row r="327" spans="1:11">
      <c r="A327" s="13"/>
      <c r="B327" s="13"/>
      <c r="C327" s="19"/>
      <c r="D327" s="19"/>
      <c r="E327" s="20"/>
      <c r="F327" s="20"/>
      <c r="G327" s="21">
        <f>IF($A327="","",IF($D327&lt;&gt;"",$D327,N($C327)*(1+MarkupPeca)))</f>
        <v>0</v>
      </c>
      <c r="H327" s="22">
        <f>IF($A327="","",SUMIFS(EntQtd,EntCod,$A327))</f>
        <v>0</v>
      </c>
      <c r="I327" s="22">
        <f>IF($A327="","",SUMIFS(ItQtd,ItCod,$A327,ItStatus,"&lt;&gt;Orçamento",ItStatus,"&lt;&gt;Cancelada"))</f>
        <v>0</v>
      </c>
      <c r="J327" s="23">
        <f>IF($A327="","",N($E327)+$H327-$I327)</f>
        <v>0</v>
      </c>
      <c r="K327" s="24">
        <f>IF($A327="","",IF($J327&lt;=0,"RUPTURA",IF($J327&lt;=N($F327),"REPOR","OK")))</f>
        <v>0</v>
      </c>
    </row>
    <row r="328" spans="1:11">
      <c r="A328" s="13"/>
      <c r="B328" s="13"/>
      <c r="C328" s="19"/>
      <c r="D328" s="19"/>
      <c r="E328" s="20"/>
      <c r="F328" s="20"/>
      <c r="G328" s="21">
        <f>IF($A328="","",IF($D328&lt;&gt;"",$D328,N($C328)*(1+MarkupPeca)))</f>
        <v>0</v>
      </c>
      <c r="H328" s="22">
        <f>IF($A328="","",SUMIFS(EntQtd,EntCod,$A328))</f>
        <v>0</v>
      </c>
      <c r="I328" s="22">
        <f>IF($A328="","",SUMIFS(ItQtd,ItCod,$A328,ItStatus,"&lt;&gt;Orçamento",ItStatus,"&lt;&gt;Cancelada"))</f>
        <v>0</v>
      </c>
      <c r="J328" s="23">
        <f>IF($A328="","",N($E328)+$H328-$I328)</f>
        <v>0</v>
      </c>
      <c r="K328" s="24">
        <f>IF($A328="","",IF($J328&lt;=0,"RUPTURA",IF($J328&lt;=N($F328),"REPOR","OK")))</f>
        <v>0</v>
      </c>
    </row>
    <row r="329" spans="1:11">
      <c r="A329" s="13"/>
      <c r="B329" s="13"/>
      <c r="C329" s="19"/>
      <c r="D329" s="19"/>
      <c r="E329" s="20"/>
      <c r="F329" s="20"/>
      <c r="G329" s="21">
        <f>IF($A329="","",IF($D329&lt;&gt;"",$D329,N($C329)*(1+MarkupPeca)))</f>
        <v>0</v>
      </c>
      <c r="H329" s="22">
        <f>IF($A329="","",SUMIFS(EntQtd,EntCod,$A329))</f>
        <v>0</v>
      </c>
      <c r="I329" s="22">
        <f>IF($A329="","",SUMIFS(ItQtd,ItCod,$A329,ItStatus,"&lt;&gt;Orçamento",ItStatus,"&lt;&gt;Cancelada"))</f>
        <v>0</v>
      </c>
      <c r="J329" s="23">
        <f>IF($A329="","",N($E329)+$H329-$I329)</f>
        <v>0</v>
      </c>
      <c r="K329" s="24">
        <f>IF($A329="","",IF($J329&lt;=0,"RUPTURA",IF($J329&lt;=N($F329),"REPOR","OK")))</f>
        <v>0</v>
      </c>
    </row>
    <row r="330" spans="1:11">
      <c r="A330" s="13"/>
      <c r="B330" s="13"/>
      <c r="C330" s="19"/>
      <c r="D330" s="19"/>
      <c r="E330" s="20"/>
      <c r="F330" s="20"/>
      <c r="G330" s="21">
        <f>IF($A330="","",IF($D330&lt;&gt;"",$D330,N($C330)*(1+MarkupPeca)))</f>
        <v>0</v>
      </c>
      <c r="H330" s="22">
        <f>IF($A330="","",SUMIFS(EntQtd,EntCod,$A330))</f>
        <v>0</v>
      </c>
      <c r="I330" s="22">
        <f>IF($A330="","",SUMIFS(ItQtd,ItCod,$A330,ItStatus,"&lt;&gt;Orçamento",ItStatus,"&lt;&gt;Cancelada"))</f>
        <v>0</v>
      </c>
      <c r="J330" s="23">
        <f>IF($A330="","",N($E330)+$H330-$I330)</f>
        <v>0</v>
      </c>
      <c r="K330" s="24">
        <f>IF($A330="","",IF($J330&lt;=0,"RUPTURA",IF($J330&lt;=N($F330),"REPOR","OK")))</f>
        <v>0</v>
      </c>
    </row>
    <row r="331" spans="1:11">
      <c r="A331" s="13"/>
      <c r="B331" s="13"/>
      <c r="C331" s="19"/>
      <c r="D331" s="19"/>
      <c r="E331" s="20"/>
      <c r="F331" s="20"/>
      <c r="G331" s="21">
        <f>IF($A331="","",IF($D331&lt;&gt;"",$D331,N($C331)*(1+MarkupPeca)))</f>
        <v>0</v>
      </c>
      <c r="H331" s="22">
        <f>IF($A331="","",SUMIFS(EntQtd,EntCod,$A331))</f>
        <v>0</v>
      </c>
      <c r="I331" s="22">
        <f>IF($A331="","",SUMIFS(ItQtd,ItCod,$A331,ItStatus,"&lt;&gt;Orçamento",ItStatus,"&lt;&gt;Cancelada"))</f>
        <v>0</v>
      </c>
      <c r="J331" s="23">
        <f>IF($A331="","",N($E331)+$H331-$I331)</f>
        <v>0</v>
      </c>
      <c r="K331" s="24">
        <f>IF($A331="","",IF($J331&lt;=0,"RUPTURA",IF($J331&lt;=N($F331),"REPOR","OK")))</f>
        <v>0</v>
      </c>
    </row>
    <row r="332" spans="1:11">
      <c r="A332" s="13"/>
      <c r="B332" s="13"/>
      <c r="C332" s="19"/>
      <c r="D332" s="19"/>
      <c r="E332" s="20"/>
      <c r="F332" s="20"/>
      <c r="G332" s="21">
        <f>IF($A332="","",IF($D332&lt;&gt;"",$D332,N($C332)*(1+MarkupPeca)))</f>
        <v>0</v>
      </c>
      <c r="H332" s="22">
        <f>IF($A332="","",SUMIFS(EntQtd,EntCod,$A332))</f>
        <v>0</v>
      </c>
      <c r="I332" s="22">
        <f>IF($A332="","",SUMIFS(ItQtd,ItCod,$A332,ItStatus,"&lt;&gt;Orçamento",ItStatus,"&lt;&gt;Cancelada"))</f>
        <v>0</v>
      </c>
      <c r="J332" s="23">
        <f>IF($A332="","",N($E332)+$H332-$I332)</f>
        <v>0</v>
      </c>
      <c r="K332" s="24">
        <f>IF($A332="","",IF($J332&lt;=0,"RUPTURA",IF($J332&lt;=N($F332),"REPOR","OK")))</f>
        <v>0</v>
      </c>
    </row>
    <row r="333" spans="1:11">
      <c r="A333" s="13"/>
      <c r="B333" s="13"/>
      <c r="C333" s="19"/>
      <c r="D333" s="19"/>
      <c r="E333" s="20"/>
      <c r="F333" s="20"/>
      <c r="G333" s="21">
        <f>IF($A333="","",IF($D333&lt;&gt;"",$D333,N($C333)*(1+MarkupPeca)))</f>
        <v>0</v>
      </c>
      <c r="H333" s="22">
        <f>IF($A333="","",SUMIFS(EntQtd,EntCod,$A333))</f>
        <v>0</v>
      </c>
      <c r="I333" s="22">
        <f>IF($A333="","",SUMIFS(ItQtd,ItCod,$A333,ItStatus,"&lt;&gt;Orçamento",ItStatus,"&lt;&gt;Cancelada"))</f>
        <v>0</v>
      </c>
      <c r="J333" s="23">
        <f>IF($A333="","",N($E333)+$H333-$I333)</f>
        <v>0</v>
      </c>
      <c r="K333" s="24">
        <f>IF($A333="","",IF($J333&lt;=0,"RUPTURA",IF($J333&lt;=N($F333),"REPOR","OK")))</f>
        <v>0</v>
      </c>
    </row>
    <row r="334" spans="1:11">
      <c r="A334" s="13"/>
      <c r="B334" s="13"/>
      <c r="C334" s="19"/>
      <c r="D334" s="19"/>
      <c r="E334" s="20"/>
      <c r="F334" s="20"/>
      <c r="G334" s="21">
        <f>IF($A334="","",IF($D334&lt;&gt;"",$D334,N($C334)*(1+MarkupPeca)))</f>
        <v>0</v>
      </c>
      <c r="H334" s="22">
        <f>IF($A334="","",SUMIFS(EntQtd,EntCod,$A334))</f>
        <v>0</v>
      </c>
      <c r="I334" s="22">
        <f>IF($A334="","",SUMIFS(ItQtd,ItCod,$A334,ItStatus,"&lt;&gt;Orçamento",ItStatus,"&lt;&gt;Cancelada"))</f>
        <v>0</v>
      </c>
      <c r="J334" s="23">
        <f>IF($A334="","",N($E334)+$H334-$I334)</f>
        <v>0</v>
      </c>
      <c r="K334" s="24">
        <f>IF($A334="","",IF($J334&lt;=0,"RUPTURA",IF($J334&lt;=N($F334),"REPOR","OK")))</f>
        <v>0</v>
      </c>
    </row>
    <row r="335" spans="1:11">
      <c r="A335" s="13"/>
      <c r="B335" s="13"/>
      <c r="C335" s="19"/>
      <c r="D335" s="19"/>
      <c r="E335" s="20"/>
      <c r="F335" s="20"/>
      <c r="G335" s="21">
        <f>IF($A335="","",IF($D335&lt;&gt;"",$D335,N($C335)*(1+MarkupPeca)))</f>
        <v>0</v>
      </c>
      <c r="H335" s="22">
        <f>IF($A335="","",SUMIFS(EntQtd,EntCod,$A335))</f>
        <v>0</v>
      </c>
      <c r="I335" s="22">
        <f>IF($A335="","",SUMIFS(ItQtd,ItCod,$A335,ItStatus,"&lt;&gt;Orçamento",ItStatus,"&lt;&gt;Cancelada"))</f>
        <v>0</v>
      </c>
      <c r="J335" s="23">
        <f>IF($A335="","",N($E335)+$H335-$I335)</f>
        <v>0</v>
      </c>
      <c r="K335" s="24">
        <f>IF($A335="","",IF($J335&lt;=0,"RUPTURA",IF($J335&lt;=N($F335),"REPOR","OK")))</f>
        <v>0</v>
      </c>
    </row>
    <row r="336" spans="1:11">
      <c r="A336" s="13"/>
      <c r="B336" s="13"/>
      <c r="C336" s="19"/>
      <c r="D336" s="19"/>
      <c r="E336" s="20"/>
      <c r="F336" s="20"/>
      <c r="G336" s="21">
        <f>IF($A336="","",IF($D336&lt;&gt;"",$D336,N($C336)*(1+MarkupPeca)))</f>
        <v>0</v>
      </c>
      <c r="H336" s="22">
        <f>IF($A336="","",SUMIFS(EntQtd,EntCod,$A336))</f>
        <v>0</v>
      </c>
      <c r="I336" s="22">
        <f>IF($A336="","",SUMIFS(ItQtd,ItCod,$A336,ItStatus,"&lt;&gt;Orçamento",ItStatus,"&lt;&gt;Cancelada"))</f>
        <v>0</v>
      </c>
      <c r="J336" s="23">
        <f>IF($A336="","",N($E336)+$H336-$I336)</f>
        <v>0</v>
      </c>
      <c r="K336" s="24">
        <f>IF($A336="","",IF($J336&lt;=0,"RUPTURA",IF($J336&lt;=N($F336),"REPOR","OK")))</f>
        <v>0</v>
      </c>
    </row>
    <row r="337" spans="1:11">
      <c r="A337" s="13"/>
      <c r="B337" s="13"/>
      <c r="C337" s="19"/>
      <c r="D337" s="19"/>
      <c r="E337" s="20"/>
      <c r="F337" s="20"/>
      <c r="G337" s="21">
        <f>IF($A337="","",IF($D337&lt;&gt;"",$D337,N($C337)*(1+MarkupPeca)))</f>
        <v>0</v>
      </c>
      <c r="H337" s="22">
        <f>IF($A337="","",SUMIFS(EntQtd,EntCod,$A337))</f>
        <v>0</v>
      </c>
      <c r="I337" s="22">
        <f>IF($A337="","",SUMIFS(ItQtd,ItCod,$A337,ItStatus,"&lt;&gt;Orçamento",ItStatus,"&lt;&gt;Cancelada"))</f>
        <v>0</v>
      </c>
      <c r="J337" s="23">
        <f>IF($A337="","",N($E337)+$H337-$I337)</f>
        <v>0</v>
      </c>
      <c r="K337" s="24">
        <f>IF($A337="","",IF($J337&lt;=0,"RUPTURA",IF($J337&lt;=N($F337),"REPOR","OK")))</f>
        <v>0</v>
      </c>
    </row>
    <row r="338" spans="1:11">
      <c r="A338" s="13"/>
      <c r="B338" s="13"/>
      <c r="C338" s="19"/>
      <c r="D338" s="19"/>
      <c r="E338" s="20"/>
      <c r="F338" s="20"/>
      <c r="G338" s="21">
        <f>IF($A338="","",IF($D338&lt;&gt;"",$D338,N($C338)*(1+MarkupPeca)))</f>
        <v>0</v>
      </c>
      <c r="H338" s="22">
        <f>IF($A338="","",SUMIFS(EntQtd,EntCod,$A338))</f>
        <v>0</v>
      </c>
      <c r="I338" s="22">
        <f>IF($A338="","",SUMIFS(ItQtd,ItCod,$A338,ItStatus,"&lt;&gt;Orçamento",ItStatus,"&lt;&gt;Cancelada"))</f>
        <v>0</v>
      </c>
      <c r="J338" s="23">
        <f>IF($A338="","",N($E338)+$H338-$I338)</f>
        <v>0</v>
      </c>
      <c r="K338" s="24">
        <f>IF($A338="","",IF($J338&lt;=0,"RUPTURA",IF($J338&lt;=N($F338),"REPOR","OK")))</f>
        <v>0</v>
      </c>
    </row>
    <row r="339" spans="1:11">
      <c r="A339" s="13"/>
      <c r="B339" s="13"/>
      <c r="C339" s="19"/>
      <c r="D339" s="19"/>
      <c r="E339" s="20"/>
      <c r="F339" s="20"/>
      <c r="G339" s="21">
        <f>IF($A339="","",IF($D339&lt;&gt;"",$D339,N($C339)*(1+MarkupPeca)))</f>
        <v>0</v>
      </c>
      <c r="H339" s="22">
        <f>IF($A339="","",SUMIFS(EntQtd,EntCod,$A339))</f>
        <v>0</v>
      </c>
      <c r="I339" s="22">
        <f>IF($A339="","",SUMIFS(ItQtd,ItCod,$A339,ItStatus,"&lt;&gt;Orçamento",ItStatus,"&lt;&gt;Cancelada"))</f>
        <v>0</v>
      </c>
      <c r="J339" s="23">
        <f>IF($A339="","",N($E339)+$H339-$I339)</f>
        <v>0</v>
      </c>
      <c r="K339" s="24">
        <f>IF($A339="","",IF($J339&lt;=0,"RUPTURA",IF($J339&lt;=N($F339),"REPOR","OK")))</f>
        <v>0</v>
      </c>
    </row>
    <row r="340" spans="1:11">
      <c r="A340" s="13"/>
      <c r="B340" s="13"/>
      <c r="C340" s="19"/>
      <c r="D340" s="19"/>
      <c r="E340" s="20"/>
      <c r="F340" s="20"/>
      <c r="G340" s="21">
        <f>IF($A340="","",IF($D340&lt;&gt;"",$D340,N($C340)*(1+MarkupPeca)))</f>
        <v>0</v>
      </c>
      <c r="H340" s="22">
        <f>IF($A340="","",SUMIFS(EntQtd,EntCod,$A340))</f>
        <v>0</v>
      </c>
      <c r="I340" s="22">
        <f>IF($A340="","",SUMIFS(ItQtd,ItCod,$A340,ItStatus,"&lt;&gt;Orçamento",ItStatus,"&lt;&gt;Cancelada"))</f>
        <v>0</v>
      </c>
      <c r="J340" s="23">
        <f>IF($A340="","",N($E340)+$H340-$I340)</f>
        <v>0</v>
      </c>
      <c r="K340" s="24">
        <f>IF($A340="","",IF($J340&lt;=0,"RUPTURA",IF($J340&lt;=N($F340),"REPOR","OK")))</f>
        <v>0</v>
      </c>
    </row>
    <row r="341" spans="1:11">
      <c r="A341" s="13"/>
      <c r="B341" s="13"/>
      <c r="C341" s="19"/>
      <c r="D341" s="19"/>
      <c r="E341" s="20"/>
      <c r="F341" s="20"/>
      <c r="G341" s="21">
        <f>IF($A341="","",IF($D341&lt;&gt;"",$D341,N($C341)*(1+MarkupPeca)))</f>
        <v>0</v>
      </c>
      <c r="H341" s="22">
        <f>IF($A341="","",SUMIFS(EntQtd,EntCod,$A341))</f>
        <v>0</v>
      </c>
      <c r="I341" s="22">
        <f>IF($A341="","",SUMIFS(ItQtd,ItCod,$A341,ItStatus,"&lt;&gt;Orçamento",ItStatus,"&lt;&gt;Cancelada"))</f>
        <v>0</v>
      </c>
      <c r="J341" s="23">
        <f>IF($A341="","",N($E341)+$H341-$I341)</f>
        <v>0</v>
      </c>
      <c r="K341" s="24">
        <f>IF($A341="","",IF($J341&lt;=0,"RUPTURA",IF($J341&lt;=N($F341),"REPOR","OK")))</f>
        <v>0</v>
      </c>
    </row>
    <row r="342" spans="1:11">
      <c r="A342" s="13"/>
      <c r="B342" s="13"/>
      <c r="C342" s="19"/>
      <c r="D342" s="19"/>
      <c r="E342" s="20"/>
      <c r="F342" s="20"/>
      <c r="G342" s="21">
        <f>IF($A342="","",IF($D342&lt;&gt;"",$D342,N($C342)*(1+MarkupPeca)))</f>
        <v>0</v>
      </c>
      <c r="H342" s="22">
        <f>IF($A342="","",SUMIFS(EntQtd,EntCod,$A342))</f>
        <v>0</v>
      </c>
      <c r="I342" s="22">
        <f>IF($A342="","",SUMIFS(ItQtd,ItCod,$A342,ItStatus,"&lt;&gt;Orçamento",ItStatus,"&lt;&gt;Cancelada"))</f>
        <v>0</v>
      </c>
      <c r="J342" s="23">
        <f>IF($A342="","",N($E342)+$H342-$I342)</f>
        <v>0</v>
      </c>
      <c r="K342" s="24">
        <f>IF($A342="","",IF($J342&lt;=0,"RUPTURA",IF($J342&lt;=N($F342),"REPOR","OK")))</f>
        <v>0</v>
      </c>
    </row>
    <row r="343" spans="1:11">
      <c r="A343" s="13"/>
      <c r="B343" s="13"/>
      <c r="C343" s="19"/>
      <c r="D343" s="19"/>
      <c r="E343" s="20"/>
      <c r="F343" s="20"/>
      <c r="G343" s="21">
        <f>IF($A343="","",IF($D343&lt;&gt;"",$D343,N($C343)*(1+MarkupPeca)))</f>
        <v>0</v>
      </c>
      <c r="H343" s="22">
        <f>IF($A343="","",SUMIFS(EntQtd,EntCod,$A343))</f>
        <v>0</v>
      </c>
      <c r="I343" s="22">
        <f>IF($A343="","",SUMIFS(ItQtd,ItCod,$A343,ItStatus,"&lt;&gt;Orçamento",ItStatus,"&lt;&gt;Cancelada"))</f>
        <v>0</v>
      </c>
      <c r="J343" s="23">
        <f>IF($A343="","",N($E343)+$H343-$I343)</f>
        <v>0</v>
      </c>
      <c r="K343" s="24">
        <f>IF($A343="","",IF($J343&lt;=0,"RUPTURA",IF($J343&lt;=N($F343),"REPOR","OK")))</f>
        <v>0</v>
      </c>
    </row>
    <row r="344" spans="1:11">
      <c r="A344" s="13"/>
      <c r="B344" s="13"/>
      <c r="C344" s="19"/>
      <c r="D344" s="19"/>
      <c r="E344" s="20"/>
      <c r="F344" s="20"/>
      <c r="G344" s="21">
        <f>IF($A344="","",IF($D344&lt;&gt;"",$D344,N($C344)*(1+MarkupPeca)))</f>
        <v>0</v>
      </c>
      <c r="H344" s="22">
        <f>IF($A344="","",SUMIFS(EntQtd,EntCod,$A344))</f>
        <v>0</v>
      </c>
      <c r="I344" s="22">
        <f>IF($A344="","",SUMIFS(ItQtd,ItCod,$A344,ItStatus,"&lt;&gt;Orçamento",ItStatus,"&lt;&gt;Cancelada"))</f>
        <v>0</v>
      </c>
      <c r="J344" s="23">
        <f>IF($A344="","",N($E344)+$H344-$I344)</f>
        <v>0</v>
      </c>
      <c r="K344" s="24">
        <f>IF($A344="","",IF($J344&lt;=0,"RUPTURA",IF($J344&lt;=N($F344),"REPOR","OK")))</f>
        <v>0</v>
      </c>
    </row>
    <row r="345" spans="1:11">
      <c r="A345" s="13"/>
      <c r="B345" s="13"/>
      <c r="C345" s="19"/>
      <c r="D345" s="19"/>
      <c r="E345" s="20"/>
      <c r="F345" s="20"/>
      <c r="G345" s="21">
        <f>IF($A345="","",IF($D345&lt;&gt;"",$D345,N($C345)*(1+MarkupPeca)))</f>
        <v>0</v>
      </c>
      <c r="H345" s="22">
        <f>IF($A345="","",SUMIFS(EntQtd,EntCod,$A345))</f>
        <v>0</v>
      </c>
      <c r="I345" s="22">
        <f>IF($A345="","",SUMIFS(ItQtd,ItCod,$A345,ItStatus,"&lt;&gt;Orçamento",ItStatus,"&lt;&gt;Cancelada"))</f>
        <v>0</v>
      </c>
      <c r="J345" s="23">
        <f>IF($A345="","",N($E345)+$H345-$I345)</f>
        <v>0</v>
      </c>
      <c r="K345" s="24">
        <f>IF($A345="","",IF($J345&lt;=0,"RUPTURA",IF($J345&lt;=N($F345),"REPOR","OK")))</f>
        <v>0</v>
      </c>
    </row>
    <row r="346" spans="1:11">
      <c r="A346" s="13"/>
      <c r="B346" s="13"/>
      <c r="C346" s="19"/>
      <c r="D346" s="19"/>
      <c r="E346" s="20"/>
      <c r="F346" s="20"/>
      <c r="G346" s="21">
        <f>IF($A346="","",IF($D346&lt;&gt;"",$D346,N($C346)*(1+MarkupPeca)))</f>
        <v>0</v>
      </c>
      <c r="H346" s="22">
        <f>IF($A346="","",SUMIFS(EntQtd,EntCod,$A346))</f>
        <v>0</v>
      </c>
      <c r="I346" s="22">
        <f>IF($A346="","",SUMIFS(ItQtd,ItCod,$A346,ItStatus,"&lt;&gt;Orçamento",ItStatus,"&lt;&gt;Cancelada"))</f>
        <v>0</v>
      </c>
      <c r="J346" s="23">
        <f>IF($A346="","",N($E346)+$H346-$I346)</f>
        <v>0</v>
      </c>
      <c r="K346" s="24">
        <f>IF($A346="","",IF($J346&lt;=0,"RUPTURA",IF($J346&lt;=N($F346),"REPOR","OK")))</f>
        <v>0</v>
      </c>
    </row>
    <row r="347" spans="1:11">
      <c r="A347" s="13"/>
      <c r="B347" s="13"/>
      <c r="C347" s="19"/>
      <c r="D347" s="19"/>
      <c r="E347" s="20"/>
      <c r="F347" s="20"/>
      <c r="G347" s="21">
        <f>IF($A347="","",IF($D347&lt;&gt;"",$D347,N($C347)*(1+MarkupPeca)))</f>
        <v>0</v>
      </c>
      <c r="H347" s="22">
        <f>IF($A347="","",SUMIFS(EntQtd,EntCod,$A347))</f>
        <v>0</v>
      </c>
      <c r="I347" s="22">
        <f>IF($A347="","",SUMIFS(ItQtd,ItCod,$A347,ItStatus,"&lt;&gt;Orçamento",ItStatus,"&lt;&gt;Cancelada"))</f>
        <v>0</v>
      </c>
      <c r="J347" s="23">
        <f>IF($A347="","",N($E347)+$H347-$I347)</f>
        <v>0</v>
      </c>
      <c r="K347" s="24">
        <f>IF($A347="","",IF($J347&lt;=0,"RUPTURA",IF($J347&lt;=N($F347),"REPOR","OK")))</f>
        <v>0</v>
      </c>
    </row>
    <row r="348" spans="1:11">
      <c r="A348" s="13"/>
      <c r="B348" s="13"/>
      <c r="C348" s="19"/>
      <c r="D348" s="19"/>
      <c r="E348" s="20"/>
      <c r="F348" s="20"/>
      <c r="G348" s="21">
        <f>IF($A348="","",IF($D348&lt;&gt;"",$D348,N($C348)*(1+MarkupPeca)))</f>
        <v>0</v>
      </c>
      <c r="H348" s="22">
        <f>IF($A348="","",SUMIFS(EntQtd,EntCod,$A348))</f>
        <v>0</v>
      </c>
      <c r="I348" s="22">
        <f>IF($A348="","",SUMIFS(ItQtd,ItCod,$A348,ItStatus,"&lt;&gt;Orçamento",ItStatus,"&lt;&gt;Cancelada"))</f>
        <v>0</v>
      </c>
      <c r="J348" s="23">
        <f>IF($A348="","",N($E348)+$H348-$I348)</f>
        <v>0</v>
      </c>
      <c r="K348" s="24">
        <f>IF($A348="","",IF($J348&lt;=0,"RUPTURA",IF($J348&lt;=N($F348),"REPOR","OK")))</f>
        <v>0</v>
      </c>
    </row>
    <row r="349" spans="1:11">
      <c r="A349" s="13"/>
      <c r="B349" s="13"/>
      <c r="C349" s="19"/>
      <c r="D349" s="19"/>
      <c r="E349" s="20"/>
      <c r="F349" s="20"/>
      <c r="G349" s="21">
        <f>IF($A349="","",IF($D349&lt;&gt;"",$D349,N($C349)*(1+MarkupPeca)))</f>
        <v>0</v>
      </c>
      <c r="H349" s="22">
        <f>IF($A349="","",SUMIFS(EntQtd,EntCod,$A349))</f>
        <v>0</v>
      </c>
      <c r="I349" s="22">
        <f>IF($A349="","",SUMIFS(ItQtd,ItCod,$A349,ItStatus,"&lt;&gt;Orçamento",ItStatus,"&lt;&gt;Cancelada"))</f>
        <v>0</v>
      </c>
      <c r="J349" s="23">
        <f>IF($A349="","",N($E349)+$H349-$I349)</f>
        <v>0</v>
      </c>
      <c r="K349" s="24">
        <f>IF($A349="","",IF($J349&lt;=0,"RUPTURA",IF($J349&lt;=N($F349),"REPOR","OK")))</f>
        <v>0</v>
      </c>
    </row>
    <row r="350" spans="1:11">
      <c r="A350" s="13"/>
      <c r="B350" s="13"/>
      <c r="C350" s="19"/>
      <c r="D350" s="19"/>
      <c r="E350" s="20"/>
      <c r="F350" s="20"/>
      <c r="G350" s="21">
        <f>IF($A350="","",IF($D350&lt;&gt;"",$D350,N($C350)*(1+MarkupPeca)))</f>
        <v>0</v>
      </c>
      <c r="H350" s="22">
        <f>IF($A350="","",SUMIFS(EntQtd,EntCod,$A350))</f>
        <v>0</v>
      </c>
      <c r="I350" s="22">
        <f>IF($A350="","",SUMIFS(ItQtd,ItCod,$A350,ItStatus,"&lt;&gt;Orçamento",ItStatus,"&lt;&gt;Cancelada"))</f>
        <v>0</v>
      </c>
      <c r="J350" s="23">
        <f>IF($A350="","",N($E350)+$H350-$I350)</f>
        <v>0</v>
      </c>
      <c r="K350" s="24">
        <f>IF($A350="","",IF($J350&lt;=0,"RUPTURA",IF($J350&lt;=N($F350),"REPOR","OK")))</f>
        <v>0</v>
      </c>
    </row>
    <row r="351" spans="1:11">
      <c r="A351" s="13"/>
      <c r="B351" s="13"/>
      <c r="C351" s="19"/>
      <c r="D351" s="19"/>
      <c r="E351" s="20"/>
      <c r="F351" s="20"/>
      <c r="G351" s="21">
        <f>IF($A351="","",IF($D351&lt;&gt;"",$D351,N($C351)*(1+MarkupPeca)))</f>
        <v>0</v>
      </c>
      <c r="H351" s="22">
        <f>IF($A351="","",SUMIFS(EntQtd,EntCod,$A351))</f>
        <v>0</v>
      </c>
      <c r="I351" s="22">
        <f>IF($A351="","",SUMIFS(ItQtd,ItCod,$A351,ItStatus,"&lt;&gt;Orçamento",ItStatus,"&lt;&gt;Cancelada"))</f>
        <v>0</v>
      </c>
      <c r="J351" s="23">
        <f>IF($A351="","",N($E351)+$H351-$I351)</f>
        <v>0</v>
      </c>
      <c r="K351" s="24">
        <f>IF($A351="","",IF($J351&lt;=0,"RUPTURA",IF($J351&lt;=N($F351),"REPOR","OK")))</f>
        <v>0</v>
      </c>
    </row>
    <row r="352" spans="1:11">
      <c r="A352" s="13"/>
      <c r="B352" s="13"/>
      <c r="C352" s="19"/>
      <c r="D352" s="19"/>
      <c r="E352" s="20"/>
      <c r="F352" s="20"/>
      <c r="G352" s="21">
        <f>IF($A352="","",IF($D352&lt;&gt;"",$D352,N($C352)*(1+MarkupPeca)))</f>
        <v>0</v>
      </c>
      <c r="H352" s="22">
        <f>IF($A352="","",SUMIFS(EntQtd,EntCod,$A352))</f>
        <v>0</v>
      </c>
      <c r="I352" s="22">
        <f>IF($A352="","",SUMIFS(ItQtd,ItCod,$A352,ItStatus,"&lt;&gt;Orçamento",ItStatus,"&lt;&gt;Cancelada"))</f>
        <v>0</v>
      </c>
      <c r="J352" s="23">
        <f>IF($A352="","",N($E352)+$H352-$I352)</f>
        <v>0</v>
      </c>
      <c r="K352" s="24">
        <f>IF($A352="","",IF($J352&lt;=0,"RUPTURA",IF($J352&lt;=N($F352),"REPOR","OK")))</f>
        <v>0</v>
      </c>
    </row>
    <row r="353" spans="1:11">
      <c r="A353" s="13"/>
      <c r="B353" s="13"/>
      <c r="C353" s="19"/>
      <c r="D353" s="19"/>
      <c r="E353" s="20"/>
      <c r="F353" s="20"/>
      <c r="G353" s="21">
        <f>IF($A353="","",IF($D353&lt;&gt;"",$D353,N($C353)*(1+MarkupPeca)))</f>
        <v>0</v>
      </c>
      <c r="H353" s="22">
        <f>IF($A353="","",SUMIFS(EntQtd,EntCod,$A353))</f>
        <v>0</v>
      </c>
      <c r="I353" s="22">
        <f>IF($A353="","",SUMIFS(ItQtd,ItCod,$A353,ItStatus,"&lt;&gt;Orçamento",ItStatus,"&lt;&gt;Cancelada"))</f>
        <v>0</v>
      </c>
      <c r="J353" s="23">
        <f>IF($A353="","",N($E353)+$H353-$I353)</f>
        <v>0</v>
      </c>
      <c r="K353" s="24">
        <f>IF($A353="","",IF($J353&lt;=0,"RUPTURA",IF($J353&lt;=N($F353),"REPOR","OK")))</f>
        <v>0</v>
      </c>
    </row>
    <row r="354" spans="1:11">
      <c r="A354" s="13"/>
      <c r="B354" s="13"/>
      <c r="C354" s="19"/>
      <c r="D354" s="19"/>
      <c r="E354" s="20"/>
      <c r="F354" s="20"/>
      <c r="G354" s="21">
        <f>IF($A354="","",IF($D354&lt;&gt;"",$D354,N($C354)*(1+MarkupPeca)))</f>
        <v>0</v>
      </c>
      <c r="H354" s="22">
        <f>IF($A354="","",SUMIFS(EntQtd,EntCod,$A354))</f>
        <v>0</v>
      </c>
      <c r="I354" s="22">
        <f>IF($A354="","",SUMIFS(ItQtd,ItCod,$A354,ItStatus,"&lt;&gt;Orçamento",ItStatus,"&lt;&gt;Cancelada"))</f>
        <v>0</v>
      </c>
      <c r="J354" s="23">
        <f>IF($A354="","",N($E354)+$H354-$I354)</f>
        <v>0</v>
      </c>
      <c r="K354" s="24">
        <f>IF($A354="","",IF($J354&lt;=0,"RUPTURA",IF($J354&lt;=N($F354),"REPOR","OK")))</f>
        <v>0</v>
      </c>
    </row>
    <row r="355" spans="1:11">
      <c r="A355" s="13"/>
      <c r="B355" s="13"/>
      <c r="C355" s="19"/>
      <c r="D355" s="19"/>
      <c r="E355" s="20"/>
      <c r="F355" s="20"/>
      <c r="G355" s="21">
        <f>IF($A355="","",IF($D355&lt;&gt;"",$D355,N($C355)*(1+MarkupPeca)))</f>
        <v>0</v>
      </c>
      <c r="H355" s="22">
        <f>IF($A355="","",SUMIFS(EntQtd,EntCod,$A355))</f>
        <v>0</v>
      </c>
      <c r="I355" s="22">
        <f>IF($A355="","",SUMIFS(ItQtd,ItCod,$A355,ItStatus,"&lt;&gt;Orçamento",ItStatus,"&lt;&gt;Cancelada"))</f>
        <v>0</v>
      </c>
      <c r="J355" s="23">
        <f>IF($A355="","",N($E355)+$H355-$I355)</f>
        <v>0</v>
      </c>
      <c r="K355" s="24">
        <f>IF($A355="","",IF($J355&lt;=0,"RUPTURA",IF($J355&lt;=N($F355),"REPOR","OK")))</f>
        <v>0</v>
      </c>
    </row>
    <row r="356" spans="1:11">
      <c r="A356" s="13"/>
      <c r="B356" s="13"/>
      <c r="C356" s="19"/>
      <c r="D356" s="19"/>
      <c r="E356" s="20"/>
      <c r="F356" s="20"/>
      <c r="G356" s="21">
        <f>IF($A356="","",IF($D356&lt;&gt;"",$D356,N($C356)*(1+MarkupPeca)))</f>
        <v>0</v>
      </c>
      <c r="H356" s="22">
        <f>IF($A356="","",SUMIFS(EntQtd,EntCod,$A356))</f>
        <v>0</v>
      </c>
      <c r="I356" s="22">
        <f>IF($A356="","",SUMIFS(ItQtd,ItCod,$A356,ItStatus,"&lt;&gt;Orçamento",ItStatus,"&lt;&gt;Cancelada"))</f>
        <v>0</v>
      </c>
      <c r="J356" s="23">
        <f>IF($A356="","",N($E356)+$H356-$I356)</f>
        <v>0</v>
      </c>
      <c r="K356" s="24">
        <f>IF($A356="","",IF($J356&lt;=0,"RUPTURA",IF($J356&lt;=N($F356),"REPOR","OK")))</f>
        <v>0</v>
      </c>
    </row>
    <row r="357" spans="1:11">
      <c r="A357" s="13"/>
      <c r="B357" s="13"/>
      <c r="C357" s="19"/>
      <c r="D357" s="19"/>
      <c r="E357" s="20"/>
      <c r="F357" s="20"/>
      <c r="G357" s="21">
        <f>IF($A357="","",IF($D357&lt;&gt;"",$D357,N($C357)*(1+MarkupPeca)))</f>
        <v>0</v>
      </c>
      <c r="H357" s="22">
        <f>IF($A357="","",SUMIFS(EntQtd,EntCod,$A357))</f>
        <v>0</v>
      </c>
      <c r="I357" s="22">
        <f>IF($A357="","",SUMIFS(ItQtd,ItCod,$A357,ItStatus,"&lt;&gt;Orçamento",ItStatus,"&lt;&gt;Cancelada"))</f>
        <v>0</v>
      </c>
      <c r="J357" s="23">
        <f>IF($A357="","",N($E357)+$H357-$I357)</f>
        <v>0</v>
      </c>
      <c r="K357" s="24">
        <f>IF($A357="","",IF($J357&lt;=0,"RUPTURA",IF($J357&lt;=N($F357),"REPOR","OK")))</f>
        <v>0</v>
      </c>
    </row>
    <row r="358" spans="1:11">
      <c r="A358" s="13"/>
      <c r="B358" s="13"/>
      <c r="C358" s="19"/>
      <c r="D358" s="19"/>
      <c r="E358" s="20"/>
      <c r="F358" s="20"/>
      <c r="G358" s="21">
        <f>IF($A358="","",IF($D358&lt;&gt;"",$D358,N($C358)*(1+MarkupPeca)))</f>
        <v>0</v>
      </c>
      <c r="H358" s="22">
        <f>IF($A358="","",SUMIFS(EntQtd,EntCod,$A358))</f>
        <v>0</v>
      </c>
      <c r="I358" s="22">
        <f>IF($A358="","",SUMIFS(ItQtd,ItCod,$A358,ItStatus,"&lt;&gt;Orçamento",ItStatus,"&lt;&gt;Cancelada"))</f>
        <v>0</v>
      </c>
      <c r="J358" s="23">
        <f>IF($A358="","",N($E358)+$H358-$I358)</f>
        <v>0</v>
      </c>
      <c r="K358" s="24">
        <f>IF($A358="","",IF($J358&lt;=0,"RUPTURA",IF($J358&lt;=N($F358),"REPOR","OK")))</f>
        <v>0</v>
      </c>
    </row>
    <row r="359" spans="1:11">
      <c r="A359" s="13"/>
      <c r="B359" s="13"/>
      <c r="C359" s="19"/>
      <c r="D359" s="19"/>
      <c r="E359" s="20"/>
      <c r="F359" s="20"/>
      <c r="G359" s="21">
        <f>IF($A359="","",IF($D359&lt;&gt;"",$D359,N($C359)*(1+MarkupPeca)))</f>
        <v>0</v>
      </c>
      <c r="H359" s="22">
        <f>IF($A359="","",SUMIFS(EntQtd,EntCod,$A359))</f>
        <v>0</v>
      </c>
      <c r="I359" s="22">
        <f>IF($A359="","",SUMIFS(ItQtd,ItCod,$A359,ItStatus,"&lt;&gt;Orçamento",ItStatus,"&lt;&gt;Cancelada"))</f>
        <v>0</v>
      </c>
      <c r="J359" s="23">
        <f>IF($A359="","",N($E359)+$H359-$I359)</f>
        <v>0</v>
      </c>
      <c r="K359" s="24">
        <f>IF($A359="","",IF($J359&lt;=0,"RUPTURA",IF($J359&lt;=N($F359),"REPOR","OK")))</f>
        <v>0</v>
      </c>
    </row>
    <row r="360" spans="1:11">
      <c r="A360" s="13"/>
      <c r="B360" s="13"/>
      <c r="C360" s="19"/>
      <c r="D360" s="19"/>
      <c r="E360" s="20"/>
      <c r="F360" s="20"/>
      <c r="G360" s="21">
        <f>IF($A360="","",IF($D360&lt;&gt;"",$D360,N($C360)*(1+MarkupPeca)))</f>
        <v>0</v>
      </c>
      <c r="H360" s="22">
        <f>IF($A360="","",SUMIFS(EntQtd,EntCod,$A360))</f>
        <v>0</v>
      </c>
      <c r="I360" s="22">
        <f>IF($A360="","",SUMIFS(ItQtd,ItCod,$A360,ItStatus,"&lt;&gt;Orçamento",ItStatus,"&lt;&gt;Cancelada"))</f>
        <v>0</v>
      </c>
      <c r="J360" s="23">
        <f>IF($A360="","",N($E360)+$H360-$I360)</f>
        <v>0</v>
      </c>
      <c r="K360" s="24">
        <f>IF($A360="","",IF($J360&lt;=0,"RUPTURA",IF($J360&lt;=N($F360),"REPOR","OK")))</f>
        <v>0</v>
      </c>
    </row>
    <row r="361" spans="1:11">
      <c r="A361" s="13"/>
      <c r="B361" s="13"/>
      <c r="C361" s="19"/>
      <c r="D361" s="19"/>
      <c r="E361" s="20"/>
      <c r="F361" s="20"/>
      <c r="G361" s="21">
        <f>IF($A361="","",IF($D361&lt;&gt;"",$D361,N($C361)*(1+MarkupPeca)))</f>
        <v>0</v>
      </c>
      <c r="H361" s="22">
        <f>IF($A361="","",SUMIFS(EntQtd,EntCod,$A361))</f>
        <v>0</v>
      </c>
      <c r="I361" s="22">
        <f>IF($A361="","",SUMIFS(ItQtd,ItCod,$A361,ItStatus,"&lt;&gt;Orçamento",ItStatus,"&lt;&gt;Cancelada"))</f>
        <v>0</v>
      </c>
      <c r="J361" s="23">
        <f>IF($A361="","",N($E361)+$H361-$I361)</f>
        <v>0</v>
      </c>
      <c r="K361" s="24">
        <f>IF($A361="","",IF($J361&lt;=0,"RUPTURA",IF($J361&lt;=N($F361),"REPOR","OK")))</f>
        <v>0</v>
      </c>
    </row>
    <row r="362" spans="1:11">
      <c r="A362" s="13"/>
      <c r="B362" s="13"/>
      <c r="C362" s="19"/>
      <c r="D362" s="19"/>
      <c r="E362" s="20"/>
      <c r="F362" s="20"/>
      <c r="G362" s="21">
        <f>IF($A362="","",IF($D362&lt;&gt;"",$D362,N($C362)*(1+MarkupPeca)))</f>
        <v>0</v>
      </c>
      <c r="H362" s="22">
        <f>IF($A362="","",SUMIFS(EntQtd,EntCod,$A362))</f>
        <v>0</v>
      </c>
      <c r="I362" s="22">
        <f>IF($A362="","",SUMIFS(ItQtd,ItCod,$A362,ItStatus,"&lt;&gt;Orçamento",ItStatus,"&lt;&gt;Cancelada"))</f>
        <v>0</v>
      </c>
      <c r="J362" s="23">
        <f>IF($A362="","",N($E362)+$H362-$I362)</f>
        <v>0</v>
      </c>
      <c r="K362" s="24">
        <f>IF($A362="","",IF($J362&lt;=0,"RUPTURA",IF($J362&lt;=N($F362),"REPOR","OK")))</f>
        <v>0</v>
      </c>
    </row>
    <row r="363" spans="1:11">
      <c r="A363" s="13"/>
      <c r="B363" s="13"/>
      <c r="C363" s="19"/>
      <c r="D363" s="19"/>
      <c r="E363" s="20"/>
      <c r="F363" s="20"/>
      <c r="G363" s="21">
        <f>IF($A363="","",IF($D363&lt;&gt;"",$D363,N($C363)*(1+MarkupPeca)))</f>
        <v>0</v>
      </c>
      <c r="H363" s="22">
        <f>IF($A363="","",SUMIFS(EntQtd,EntCod,$A363))</f>
        <v>0</v>
      </c>
      <c r="I363" s="22">
        <f>IF($A363="","",SUMIFS(ItQtd,ItCod,$A363,ItStatus,"&lt;&gt;Orçamento",ItStatus,"&lt;&gt;Cancelada"))</f>
        <v>0</v>
      </c>
      <c r="J363" s="23">
        <f>IF($A363="","",N($E363)+$H363-$I363)</f>
        <v>0</v>
      </c>
      <c r="K363" s="24">
        <f>IF($A363="","",IF($J363&lt;=0,"RUPTURA",IF($J363&lt;=N($F363),"REPOR","OK")))</f>
        <v>0</v>
      </c>
    </row>
    <row r="364" spans="1:11">
      <c r="A364" s="13"/>
      <c r="B364" s="13"/>
      <c r="C364" s="19"/>
      <c r="D364" s="19"/>
      <c r="E364" s="20"/>
      <c r="F364" s="20"/>
      <c r="G364" s="21">
        <f>IF($A364="","",IF($D364&lt;&gt;"",$D364,N($C364)*(1+MarkupPeca)))</f>
        <v>0</v>
      </c>
      <c r="H364" s="22">
        <f>IF($A364="","",SUMIFS(EntQtd,EntCod,$A364))</f>
        <v>0</v>
      </c>
      <c r="I364" s="22">
        <f>IF($A364="","",SUMIFS(ItQtd,ItCod,$A364,ItStatus,"&lt;&gt;Orçamento",ItStatus,"&lt;&gt;Cancelada"))</f>
        <v>0</v>
      </c>
      <c r="J364" s="23">
        <f>IF($A364="","",N($E364)+$H364-$I364)</f>
        <v>0</v>
      </c>
      <c r="K364" s="24">
        <f>IF($A364="","",IF($J364&lt;=0,"RUPTURA",IF($J364&lt;=N($F364),"REPOR","OK")))</f>
        <v>0</v>
      </c>
    </row>
    <row r="365" spans="1:11">
      <c r="A365" s="13"/>
      <c r="B365" s="13"/>
      <c r="C365" s="19"/>
      <c r="D365" s="19"/>
      <c r="E365" s="20"/>
      <c r="F365" s="20"/>
      <c r="G365" s="21">
        <f>IF($A365="","",IF($D365&lt;&gt;"",$D365,N($C365)*(1+MarkupPeca)))</f>
        <v>0</v>
      </c>
      <c r="H365" s="22">
        <f>IF($A365="","",SUMIFS(EntQtd,EntCod,$A365))</f>
        <v>0</v>
      </c>
      <c r="I365" s="22">
        <f>IF($A365="","",SUMIFS(ItQtd,ItCod,$A365,ItStatus,"&lt;&gt;Orçamento",ItStatus,"&lt;&gt;Cancelada"))</f>
        <v>0</v>
      </c>
      <c r="J365" s="23">
        <f>IF($A365="","",N($E365)+$H365-$I365)</f>
        <v>0</v>
      </c>
      <c r="K365" s="24">
        <f>IF($A365="","",IF($J365&lt;=0,"RUPTURA",IF($J365&lt;=N($F365),"REPOR","OK")))</f>
        <v>0</v>
      </c>
    </row>
    <row r="366" spans="1:11">
      <c r="A366" s="13"/>
      <c r="B366" s="13"/>
      <c r="C366" s="19"/>
      <c r="D366" s="19"/>
      <c r="E366" s="20"/>
      <c r="F366" s="20"/>
      <c r="G366" s="21">
        <f>IF($A366="","",IF($D366&lt;&gt;"",$D366,N($C366)*(1+MarkupPeca)))</f>
        <v>0</v>
      </c>
      <c r="H366" s="22">
        <f>IF($A366="","",SUMIFS(EntQtd,EntCod,$A366))</f>
        <v>0</v>
      </c>
      <c r="I366" s="22">
        <f>IF($A366="","",SUMIFS(ItQtd,ItCod,$A366,ItStatus,"&lt;&gt;Orçamento",ItStatus,"&lt;&gt;Cancelada"))</f>
        <v>0</v>
      </c>
      <c r="J366" s="23">
        <f>IF($A366="","",N($E366)+$H366-$I366)</f>
        <v>0</v>
      </c>
      <c r="K366" s="24">
        <f>IF($A366="","",IF($J366&lt;=0,"RUPTURA",IF($J366&lt;=N($F366),"REPOR","OK")))</f>
        <v>0</v>
      </c>
    </row>
    <row r="367" spans="1:11">
      <c r="A367" s="13"/>
      <c r="B367" s="13"/>
      <c r="C367" s="19"/>
      <c r="D367" s="19"/>
      <c r="E367" s="20"/>
      <c r="F367" s="20"/>
      <c r="G367" s="21">
        <f>IF($A367="","",IF($D367&lt;&gt;"",$D367,N($C367)*(1+MarkupPeca)))</f>
        <v>0</v>
      </c>
      <c r="H367" s="22">
        <f>IF($A367="","",SUMIFS(EntQtd,EntCod,$A367))</f>
        <v>0</v>
      </c>
      <c r="I367" s="22">
        <f>IF($A367="","",SUMIFS(ItQtd,ItCod,$A367,ItStatus,"&lt;&gt;Orçamento",ItStatus,"&lt;&gt;Cancelada"))</f>
        <v>0</v>
      </c>
      <c r="J367" s="23">
        <f>IF($A367="","",N($E367)+$H367-$I367)</f>
        <v>0</v>
      </c>
      <c r="K367" s="24">
        <f>IF($A367="","",IF($J367&lt;=0,"RUPTURA",IF($J367&lt;=N($F367),"REPOR","OK")))</f>
        <v>0</v>
      </c>
    </row>
    <row r="368" spans="1:11">
      <c r="A368" s="13"/>
      <c r="B368" s="13"/>
      <c r="C368" s="19"/>
      <c r="D368" s="19"/>
      <c r="E368" s="20"/>
      <c r="F368" s="20"/>
      <c r="G368" s="21">
        <f>IF($A368="","",IF($D368&lt;&gt;"",$D368,N($C368)*(1+MarkupPeca)))</f>
        <v>0</v>
      </c>
      <c r="H368" s="22">
        <f>IF($A368="","",SUMIFS(EntQtd,EntCod,$A368))</f>
        <v>0</v>
      </c>
      <c r="I368" s="22">
        <f>IF($A368="","",SUMIFS(ItQtd,ItCod,$A368,ItStatus,"&lt;&gt;Orçamento",ItStatus,"&lt;&gt;Cancelada"))</f>
        <v>0</v>
      </c>
      <c r="J368" s="23">
        <f>IF($A368="","",N($E368)+$H368-$I368)</f>
        <v>0</v>
      </c>
      <c r="K368" s="24">
        <f>IF($A368="","",IF($J368&lt;=0,"RUPTURA",IF($J368&lt;=N($F368),"REPOR","OK")))</f>
        <v>0</v>
      </c>
    </row>
    <row r="369" spans="1:11">
      <c r="A369" s="13"/>
      <c r="B369" s="13"/>
      <c r="C369" s="19"/>
      <c r="D369" s="19"/>
      <c r="E369" s="20"/>
      <c r="F369" s="20"/>
      <c r="G369" s="21">
        <f>IF($A369="","",IF($D369&lt;&gt;"",$D369,N($C369)*(1+MarkupPeca)))</f>
        <v>0</v>
      </c>
      <c r="H369" s="22">
        <f>IF($A369="","",SUMIFS(EntQtd,EntCod,$A369))</f>
        <v>0</v>
      </c>
      <c r="I369" s="22">
        <f>IF($A369="","",SUMIFS(ItQtd,ItCod,$A369,ItStatus,"&lt;&gt;Orçamento",ItStatus,"&lt;&gt;Cancelada"))</f>
        <v>0</v>
      </c>
      <c r="J369" s="23">
        <f>IF($A369="","",N($E369)+$H369-$I369)</f>
        <v>0</v>
      </c>
      <c r="K369" s="24">
        <f>IF($A369="","",IF($J369&lt;=0,"RUPTURA",IF($J369&lt;=N($F369),"REPOR","OK")))</f>
        <v>0</v>
      </c>
    </row>
    <row r="370" spans="1:11">
      <c r="A370" s="13"/>
      <c r="B370" s="13"/>
      <c r="C370" s="19"/>
      <c r="D370" s="19"/>
      <c r="E370" s="20"/>
      <c r="F370" s="20"/>
      <c r="G370" s="21">
        <f>IF($A370="","",IF($D370&lt;&gt;"",$D370,N($C370)*(1+MarkupPeca)))</f>
        <v>0</v>
      </c>
      <c r="H370" s="22">
        <f>IF($A370="","",SUMIFS(EntQtd,EntCod,$A370))</f>
        <v>0</v>
      </c>
      <c r="I370" s="22">
        <f>IF($A370="","",SUMIFS(ItQtd,ItCod,$A370,ItStatus,"&lt;&gt;Orçamento",ItStatus,"&lt;&gt;Cancelada"))</f>
        <v>0</v>
      </c>
      <c r="J370" s="23">
        <f>IF($A370="","",N($E370)+$H370-$I370)</f>
        <v>0</v>
      </c>
      <c r="K370" s="24">
        <f>IF($A370="","",IF($J370&lt;=0,"RUPTURA",IF($J370&lt;=N($F370),"REPOR","OK")))</f>
        <v>0</v>
      </c>
    </row>
    <row r="371" spans="1:11">
      <c r="A371" s="13"/>
      <c r="B371" s="13"/>
      <c r="C371" s="19"/>
      <c r="D371" s="19"/>
      <c r="E371" s="20"/>
      <c r="F371" s="20"/>
      <c r="G371" s="21">
        <f>IF($A371="","",IF($D371&lt;&gt;"",$D371,N($C371)*(1+MarkupPeca)))</f>
        <v>0</v>
      </c>
      <c r="H371" s="22">
        <f>IF($A371="","",SUMIFS(EntQtd,EntCod,$A371))</f>
        <v>0</v>
      </c>
      <c r="I371" s="22">
        <f>IF($A371="","",SUMIFS(ItQtd,ItCod,$A371,ItStatus,"&lt;&gt;Orçamento",ItStatus,"&lt;&gt;Cancelada"))</f>
        <v>0</v>
      </c>
      <c r="J371" s="23">
        <f>IF($A371="","",N($E371)+$H371-$I371)</f>
        <v>0</v>
      </c>
      <c r="K371" s="24">
        <f>IF($A371="","",IF($J371&lt;=0,"RUPTURA",IF($J371&lt;=N($F371),"REPOR","OK")))</f>
        <v>0</v>
      </c>
    </row>
    <row r="372" spans="1:11">
      <c r="A372" s="13"/>
      <c r="B372" s="13"/>
      <c r="C372" s="19"/>
      <c r="D372" s="19"/>
      <c r="E372" s="20"/>
      <c r="F372" s="20"/>
      <c r="G372" s="21">
        <f>IF($A372="","",IF($D372&lt;&gt;"",$D372,N($C372)*(1+MarkupPeca)))</f>
        <v>0</v>
      </c>
      <c r="H372" s="22">
        <f>IF($A372="","",SUMIFS(EntQtd,EntCod,$A372))</f>
        <v>0</v>
      </c>
      <c r="I372" s="22">
        <f>IF($A372="","",SUMIFS(ItQtd,ItCod,$A372,ItStatus,"&lt;&gt;Orçamento",ItStatus,"&lt;&gt;Cancelada"))</f>
        <v>0</v>
      </c>
      <c r="J372" s="23">
        <f>IF($A372="","",N($E372)+$H372-$I372)</f>
        <v>0</v>
      </c>
      <c r="K372" s="24">
        <f>IF($A372="","",IF($J372&lt;=0,"RUPTURA",IF($J372&lt;=N($F372),"REPOR","OK")))</f>
        <v>0</v>
      </c>
    </row>
    <row r="373" spans="1:11">
      <c r="A373" s="13"/>
      <c r="B373" s="13"/>
      <c r="C373" s="19"/>
      <c r="D373" s="19"/>
      <c r="E373" s="20"/>
      <c r="F373" s="20"/>
      <c r="G373" s="21">
        <f>IF($A373="","",IF($D373&lt;&gt;"",$D373,N($C373)*(1+MarkupPeca)))</f>
        <v>0</v>
      </c>
      <c r="H373" s="22">
        <f>IF($A373="","",SUMIFS(EntQtd,EntCod,$A373))</f>
        <v>0</v>
      </c>
      <c r="I373" s="22">
        <f>IF($A373="","",SUMIFS(ItQtd,ItCod,$A373,ItStatus,"&lt;&gt;Orçamento",ItStatus,"&lt;&gt;Cancelada"))</f>
        <v>0</v>
      </c>
      <c r="J373" s="23">
        <f>IF($A373="","",N($E373)+$H373-$I373)</f>
        <v>0</v>
      </c>
      <c r="K373" s="24">
        <f>IF($A373="","",IF($J373&lt;=0,"RUPTURA",IF($J373&lt;=N($F373),"REPOR","OK")))</f>
        <v>0</v>
      </c>
    </row>
    <row r="374" spans="1:11">
      <c r="A374" s="13"/>
      <c r="B374" s="13"/>
      <c r="C374" s="19"/>
      <c r="D374" s="19"/>
      <c r="E374" s="20"/>
      <c r="F374" s="20"/>
      <c r="G374" s="21">
        <f>IF($A374="","",IF($D374&lt;&gt;"",$D374,N($C374)*(1+MarkupPeca)))</f>
        <v>0</v>
      </c>
      <c r="H374" s="22">
        <f>IF($A374="","",SUMIFS(EntQtd,EntCod,$A374))</f>
        <v>0</v>
      </c>
      <c r="I374" s="22">
        <f>IF($A374="","",SUMIFS(ItQtd,ItCod,$A374,ItStatus,"&lt;&gt;Orçamento",ItStatus,"&lt;&gt;Cancelada"))</f>
        <v>0</v>
      </c>
      <c r="J374" s="23">
        <f>IF($A374="","",N($E374)+$H374-$I374)</f>
        <v>0</v>
      </c>
      <c r="K374" s="24">
        <f>IF($A374="","",IF($J374&lt;=0,"RUPTURA",IF($J374&lt;=N($F374),"REPOR","OK")))</f>
        <v>0</v>
      </c>
    </row>
    <row r="375" spans="1:11">
      <c r="A375" s="13"/>
      <c r="B375" s="13"/>
      <c r="C375" s="19"/>
      <c r="D375" s="19"/>
      <c r="E375" s="20"/>
      <c r="F375" s="20"/>
      <c r="G375" s="21">
        <f>IF($A375="","",IF($D375&lt;&gt;"",$D375,N($C375)*(1+MarkupPeca)))</f>
        <v>0</v>
      </c>
      <c r="H375" s="22">
        <f>IF($A375="","",SUMIFS(EntQtd,EntCod,$A375))</f>
        <v>0</v>
      </c>
      <c r="I375" s="22">
        <f>IF($A375="","",SUMIFS(ItQtd,ItCod,$A375,ItStatus,"&lt;&gt;Orçamento",ItStatus,"&lt;&gt;Cancelada"))</f>
        <v>0</v>
      </c>
      <c r="J375" s="23">
        <f>IF($A375="","",N($E375)+$H375-$I375)</f>
        <v>0</v>
      </c>
      <c r="K375" s="24">
        <f>IF($A375="","",IF($J375&lt;=0,"RUPTURA",IF($J375&lt;=N($F375),"REPOR","OK")))</f>
        <v>0</v>
      </c>
    </row>
    <row r="376" spans="1:11">
      <c r="A376" s="13"/>
      <c r="B376" s="13"/>
      <c r="C376" s="19"/>
      <c r="D376" s="19"/>
      <c r="E376" s="20"/>
      <c r="F376" s="20"/>
      <c r="G376" s="21">
        <f>IF($A376="","",IF($D376&lt;&gt;"",$D376,N($C376)*(1+MarkupPeca)))</f>
        <v>0</v>
      </c>
      <c r="H376" s="22">
        <f>IF($A376="","",SUMIFS(EntQtd,EntCod,$A376))</f>
        <v>0</v>
      </c>
      <c r="I376" s="22">
        <f>IF($A376="","",SUMIFS(ItQtd,ItCod,$A376,ItStatus,"&lt;&gt;Orçamento",ItStatus,"&lt;&gt;Cancelada"))</f>
        <v>0</v>
      </c>
      <c r="J376" s="23">
        <f>IF($A376="","",N($E376)+$H376-$I376)</f>
        <v>0</v>
      </c>
      <c r="K376" s="24">
        <f>IF($A376="","",IF($J376&lt;=0,"RUPTURA",IF($J376&lt;=N($F376),"REPOR","OK")))</f>
        <v>0</v>
      </c>
    </row>
    <row r="377" spans="1:11">
      <c r="A377" s="13"/>
      <c r="B377" s="13"/>
      <c r="C377" s="19"/>
      <c r="D377" s="19"/>
      <c r="E377" s="20"/>
      <c r="F377" s="20"/>
      <c r="G377" s="21">
        <f>IF($A377="","",IF($D377&lt;&gt;"",$D377,N($C377)*(1+MarkupPeca)))</f>
        <v>0</v>
      </c>
      <c r="H377" s="22">
        <f>IF($A377="","",SUMIFS(EntQtd,EntCod,$A377))</f>
        <v>0</v>
      </c>
      <c r="I377" s="22">
        <f>IF($A377="","",SUMIFS(ItQtd,ItCod,$A377,ItStatus,"&lt;&gt;Orçamento",ItStatus,"&lt;&gt;Cancelada"))</f>
        <v>0</v>
      </c>
      <c r="J377" s="23">
        <f>IF($A377="","",N($E377)+$H377-$I377)</f>
        <v>0</v>
      </c>
      <c r="K377" s="24">
        <f>IF($A377="","",IF($J377&lt;=0,"RUPTURA",IF($J377&lt;=N($F377),"REPOR","OK")))</f>
        <v>0</v>
      </c>
    </row>
    <row r="378" spans="1:11">
      <c r="A378" s="13"/>
      <c r="B378" s="13"/>
      <c r="C378" s="19"/>
      <c r="D378" s="19"/>
      <c r="E378" s="20"/>
      <c r="F378" s="20"/>
      <c r="G378" s="21">
        <f>IF($A378="","",IF($D378&lt;&gt;"",$D378,N($C378)*(1+MarkupPeca)))</f>
        <v>0</v>
      </c>
      <c r="H378" s="22">
        <f>IF($A378="","",SUMIFS(EntQtd,EntCod,$A378))</f>
        <v>0</v>
      </c>
      <c r="I378" s="22">
        <f>IF($A378="","",SUMIFS(ItQtd,ItCod,$A378,ItStatus,"&lt;&gt;Orçamento",ItStatus,"&lt;&gt;Cancelada"))</f>
        <v>0</v>
      </c>
      <c r="J378" s="23">
        <f>IF($A378="","",N($E378)+$H378-$I378)</f>
        <v>0</v>
      </c>
      <c r="K378" s="24">
        <f>IF($A378="","",IF($J378&lt;=0,"RUPTURA",IF($J378&lt;=N($F378),"REPOR","OK")))</f>
        <v>0</v>
      </c>
    </row>
    <row r="379" spans="1:11">
      <c r="A379" s="13"/>
      <c r="B379" s="13"/>
      <c r="C379" s="19"/>
      <c r="D379" s="19"/>
      <c r="E379" s="20"/>
      <c r="F379" s="20"/>
      <c r="G379" s="21">
        <f>IF($A379="","",IF($D379&lt;&gt;"",$D379,N($C379)*(1+MarkupPeca)))</f>
        <v>0</v>
      </c>
      <c r="H379" s="22">
        <f>IF($A379="","",SUMIFS(EntQtd,EntCod,$A379))</f>
        <v>0</v>
      </c>
      <c r="I379" s="22">
        <f>IF($A379="","",SUMIFS(ItQtd,ItCod,$A379,ItStatus,"&lt;&gt;Orçamento",ItStatus,"&lt;&gt;Cancelada"))</f>
        <v>0</v>
      </c>
      <c r="J379" s="23">
        <f>IF($A379="","",N($E379)+$H379-$I379)</f>
        <v>0</v>
      </c>
      <c r="K379" s="24">
        <f>IF($A379="","",IF($J379&lt;=0,"RUPTURA",IF($J379&lt;=N($F379),"REPOR","OK")))</f>
        <v>0</v>
      </c>
    </row>
    <row r="380" spans="1:11">
      <c r="A380" s="13"/>
      <c r="B380" s="13"/>
      <c r="C380" s="19"/>
      <c r="D380" s="19"/>
      <c r="E380" s="20"/>
      <c r="F380" s="20"/>
      <c r="G380" s="21">
        <f>IF($A380="","",IF($D380&lt;&gt;"",$D380,N($C380)*(1+MarkupPeca)))</f>
        <v>0</v>
      </c>
      <c r="H380" s="22">
        <f>IF($A380="","",SUMIFS(EntQtd,EntCod,$A380))</f>
        <v>0</v>
      </c>
      <c r="I380" s="22">
        <f>IF($A380="","",SUMIFS(ItQtd,ItCod,$A380,ItStatus,"&lt;&gt;Orçamento",ItStatus,"&lt;&gt;Cancelada"))</f>
        <v>0</v>
      </c>
      <c r="J380" s="23">
        <f>IF($A380="","",N($E380)+$H380-$I380)</f>
        <v>0</v>
      </c>
      <c r="K380" s="24">
        <f>IF($A380="","",IF($J380&lt;=0,"RUPTURA",IF($J380&lt;=N($F380),"REPOR","OK")))</f>
        <v>0</v>
      </c>
    </row>
    <row r="381" spans="1:11">
      <c r="A381" s="13"/>
      <c r="B381" s="13"/>
      <c r="C381" s="19"/>
      <c r="D381" s="19"/>
      <c r="E381" s="20"/>
      <c r="F381" s="20"/>
      <c r="G381" s="21">
        <f>IF($A381="","",IF($D381&lt;&gt;"",$D381,N($C381)*(1+MarkupPeca)))</f>
        <v>0</v>
      </c>
      <c r="H381" s="22">
        <f>IF($A381="","",SUMIFS(EntQtd,EntCod,$A381))</f>
        <v>0</v>
      </c>
      <c r="I381" s="22">
        <f>IF($A381="","",SUMIFS(ItQtd,ItCod,$A381,ItStatus,"&lt;&gt;Orçamento",ItStatus,"&lt;&gt;Cancelada"))</f>
        <v>0</v>
      </c>
      <c r="J381" s="23">
        <f>IF($A381="","",N($E381)+$H381-$I381)</f>
        <v>0</v>
      </c>
      <c r="K381" s="24">
        <f>IF($A381="","",IF($J381&lt;=0,"RUPTURA",IF($J381&lt;=N($F381),"REPOR","OK")))</f>
        <v>0</v>
      </c>
    </row>
    <row r="382" spans="1:11">
      <c r="A382" s="13"/>
      <c r="B382" s="13"/>
      <c r="C382" s="19"/>
      <c r="D382" s="19"/>
      <c r="E382" s="20"/>
      <c r="F382" s="20"/>
      <c r="G382" s="21">
        <f>IF($A382="","",IF($D382&lt;&gt;"",$D382,N($C382)*(1+MarkupPeca)))</f>
        <v>0</v>
      </c>
      <c r="H382" s="22">
        <f>IF($A382="","",SUMIFS(EntQtd,EntCod,$A382))</f>
        <v>0</v>
      </c>
      <c r="I382" s="22">
        <f>IF($A382="","",SUMIFS(ItQtd,ItCod,$A382,ItStatus,"&lt;&gt;Orçamento",ItStatus,"&lt;&gt;Cancelada"))</f>
        <v>0</v>
      </c>
      <c r="J382" s="23">
        <f>IF($A382="","",N($E382)+$H382-$I382)</f>
        <v>0</v>
      </c>
      <c r="K382" s="24">
        <f>IF($A382="","",IF($J382&lt;=0,"RUPTURA",IF($J382&lt;=N($F382),"REPOR","OK")))</f>
        <v>0</v>
      </c>
    </row>
    <row r="383" spans="1:11">
      <c r="A383" s="13"/>
      <c r="B383" s="13"/>
      <c r="C383" s="19"/>
      <c r="D383" s="19"/>
      <c r="E383" s="20"/>
      <c r="F383" s="20"/>
      <c r="G383" s="21">
        <f>IF($A383="","",IF($D383&lt;&gt;"",$D383,N($C383)*(1+MarkupPeca)))</f>
        <v>0</v>
      </c>
      <c r="H383" s="22">
        <f>IF($A383="","",SUMIFS(EntQtd,EntCod,$A383))</f>
        <v>0</v>
      </c>
      <c r="I383" s="22">
        <f>IF($A383="","",SUMIFS(ItQtd,ItCod,$A383,ItStatus,"&lt;&gt;Orçamento",ItStatus,"&lt;&gt;Cancelada"))</f>
        <v>0</v>
      </c>
      <c r="J383" s="23">
        <f>IF($A383="","",N($E383)+$H383-$I383)</f>
        <v>0</v>
      </c>
      <c r="K383" s="24">
        <f>IF($A383="","",IF($J383&lt;=0,"RUPTURA",IF($J383&lt;=N($F383),"REPOR","OK")))</f>
        <v>0</v>
      </c>
    </row>
    <row r="384" spans="1:11">
      <c r="A384" s="13"/>
      <c r="B384" s="13"/>
      <c r="C384" s="19"/>
      <c r="D384" s="19"/>
      <c r="E384" s="20"/>
      <c r="F384" s="20"/>
      <c r="G384" s="21">
        <f>IF($A384="","",IF($D384&lt;&gt;"",$D384,N($C384)*(1+MarkupPeca)))</f>
        <v>0</v>
      </c>
      <c r="H384" s="22">
        <f>IF($A384="","",SUMIFS(EntQtd,EntCod,$A384))</f>
        <v>0</v>
      </c>
      <c r="I384" s="22">
        <f>IF($A384="","",SUMIFS(ItQtd,ItCod,$A384,ItStatus,"&lt;&gt;Orçamento",ItStatus,"&lt;&gt;Cancelada"))</f>
        <v>0</v>
      </c>
      <c r="J384" s="23">
        <f>IF($A384="","",N($E384)+$H384-$I384)</f>
        <v>0</v>
      </c>
      <c r="K384" s="24">
        <f>IF($A384="","",IF($J384&lt;=0,"RUPTURA",IF($J384&lt;=N($F384),"REPOR","OK")))</f>
        <v>0</v>
      </c>
    </row>
    <row r="385" spans="1:11">
      <c r="A385" s="13"/>
      <c r="B385" s="13"/>
      <c r="C385" s="19"/>
      <c r="D385" s="19"/>
      <c r="E385" s="20"/>
      <c r="F385" s="20"/>
      <c r="G385" s="21">
        <f>IF($A385="","",IF($D385&lt;&gt;"",$D385,N($C385)*(1+MarkupPeca)))</f>
        <v>0</v>
      </c>
      <c r="H385" s="22">
        <f>IF($A385="","",SUMIFS(EntQtd,EntCod,$A385))</f>
        <v>0</v>
      </c>
      <c r="I385" s="22">
        <f>IF($A385="","",SUMIFS(ItQtd,ItCod,$A385,ItStatus,"&lt;&gt;Orçamento",ItStatus,"&lt;&gt;Cancelada"))</f>
        <v>0</v>
      </c>
      <c r="J385" s="23">
        <f>IF($A385="","",N($E385)+$H385-$I385)</f>
        <v>0</v>
      </c>
      <c r="K385" s="24">
        <f>IF($A385="","",IF($J385&lt;=0,"RUPTURA",IF($J385&lt;=N($F385),"REPOR","OK")))</f>
        <v>0</v>
      </c>
    </row>
    <row r="386" spans="1:11">
      <c r="A386" s="13"/>
      <c r="B386" s="13"/>
      <c r="C386" s="19"/>
      <c r="D386" s="19"/>
      <c r="E386" s="20"/>
      <c r="F386" s="20"/>
      <c r="G386" s="21">
        <f>IF($A386="","",IF($D386&lt;&gt;"",$D386,N($C386)*(1+MarkupPeca)))</f>
        <v>0</v>
      </c>
      <c r="H386" s="22">
        <f>IF($A386="","",SUMIFS(EntQtd,EntCod,$A386))</f>
        <v>0</v>
      </c>
      <c r="I386" s="22">
        <f>IF($A386="","",SUMIFS(ItQtd,ItCod,$A386,ItStatus,"&lt;&gt;Orçamento",ItStatus,"&lt;&gt;Cancelada"))</f>
        <v>0</v>
      </c>
      <c r="J386" s="23">
        <f>IF($A386="","",N($E386)+$H386-$I386)</f>
        <v>0</v>
      </c>
      <c r="K386" s="24">
        <f>IF($A386="","",IF($J386&lt;=0,"RUPTURA",IF($J386&lt;=N($F386),"REPOR","OK")))</f>
        <v>0</v>
      </c>
    </row>
    <row r="387" spans="1:11">
      <c r="A387" s="13"/>
      <c r="B387" s="13"/>
      <c r="C387" s="19"/>
      <c r="D387" s="19"/>
      <c r="E387" s="20"/>
      <c r="F387" s="20"/>
      <c r="G387" s="21">
        <f>IF($A387="","",IF($D387&lt;&gt;"",$D387,N($C387)*(1+MarkupPeca)))</f>
        <v>0</v>
      </c>
      <c r="H387" s="22">
        <f>IF($A387="","",SUMIFS(EntQtd,EntCod,$A387))</f>
        <v>0</v>
      </c>
      <c r="I387" s="22">
        <f>IF($A387="","",SUMIFS(ItQtd,ItCod,$A387,ItStatus,"&lt;&gt;Orçamento",ItStatus,"&lt;&gt;Cancelada"))</f>
        <v>0</v>
      </c>
      <c r="J387" s="23">
        <f>IF($A387="","",N($E387)+$H387-$I387)</f>
        <v>0</v>
      </c>
      <c r="K387" s="24">
        <f>IF($A387="","",IF($J387&lt;=0,"RUPTURA",IF($J387&lt;=N($F387),"REPOR","OK")))</f>
        <v>0</v>
      </c>
    </row>
    <row r="388" spans="1:11">
      <c r="A388" s="13"/>
      <c r="B388" s="13"/>
      <c r="C388" s="19"/>
      <c r="D388" s="19"/>
      <c r="E388" s="20"/>
      <c r="F388" s="20"/>
      <c r="G388" s="21">
        <f>IF($A388="","",IF($D388&lt;&gt;"",$D388,N($C388)*(1+MarkupPeca)))</f>
        <v>0</v>
      </c>
      <c r="H388" s="22">
        <f>IF($A388="","",SUMIFS(EntQtd,EntCod,$A388))</f>
        <v>0</v>
      </c>
      <c r="I388" s="22">
        <f>IF($A388="","",SUMIFS(ItQtd,ItCod,$A388,ItStatus,"&lt;&gt;Orçamento",ItStatus,"&lt;&gt;Cancelada"))</f>
        <v>0</v>
      </c>
      <c r="J388" s="23">
        <f>IF($A388="","",N($E388)+$H388-$I388)</f>
        <v>0</v>
      </c>
      <c r="K388" s="24">
        <f>IF($A388="","",IF($J388&lt;=0,"RUPTURA",IF($J388&lt;=N($F388),"REPOR","OK")))</f>
        <v>0</v>
      </c>
    </row>
    <row r="389" spans="1:11">
      <c r="A389" s="13"/>
      <c r="B389" s="13"/>
      <c r="C389" s="19"/>
      <c r="D389" s="19"/>
      <c r="E389" s="20"/>
      <c r="F389" s="20"/>
      <c r="G389" s="21">
        <f>IF($A389="","",IF($D389&lt;&gt;"",$D389,N($C389)*(1+MarkupPeca)))</f>
        <v>0</v>
      </c>
      <c r="H389" s="22">
        <f>IF($A389="","",SUMIFS(EntQtd,EntCod,$A389))</f>
        <v>0</v>
      </c>
      <c r="I389" s="22">
        <f>IF($A389="","",SUMIFS(ItQtd,ItCod,$A389,ItStatus,"&lt;&gt;Orçamento",ItStatus,"&lt;&gt;Cancelada"))</f>
        <v>0</v>
      </c>
      <c r="J389" s="23">
        <f>IF($A389="","",N($E389)+$H389-$I389)</f>
        <v>0</v>
      </c>
      <c r="K389" s="24">
        <f>IF($A389="","",IF($J389&lt;=0,"RUPTURA",IF($J389&lt;=N($F389),"REPOR","OK")))</f>
        <v>0</v>
      </c>
    </row>
    <row r="390" spans="1:11">
      <c r="A390" s="13"/>
      <c r="B390" s="13"/>
      <c r="C390" s="19"/>
      <c r="D390" s="19"/>
      <c r="E390" s="20"/>
      <c r="F390" s="20"/>
      <c r="G390" s="21">
        <f>IF($A390="","",IF($D390&lt;&gt;"",$D390,N($C390)*(1+MarkupPeca)))</f>
        <v>0</v>
      </c>
      <c r="H390" s="22">
        <f>IF($A390="","",SUMIFS(EntQtd,EntCod,$A390))</f>
        <v>0</v>
      </c>
      <c r="I390" s="22">
        <f>IF($A390="","",SUMIFS(ItQtd,ItCod,$A390,ItStatus,"&lt;&gt;Orçamento",ItStatus,"&lt;&gt;Cancelada"))</f>
        <v>0</v>
      </c>
      <c r="J390" s="23">
        <f>IF($A390="","",N($E390)+$H390-$I390)</f>
        <v>0</v>
      </c>
      <c r="K390" s="24">
        <f>IF($A390="","",IF($J390&lt;=0,"RUPTURA",IF($J390&lt;=N($F390),"REPOR","OK")))</f>
        <v>0</v>
      </c>
    </row>
    <row r="391" spans="1:11">
      <c r="A391" s="13"/>
      <c r="B391" s="13"/>
      <c r="C391" s="19"/>
      <c r="D391" s="19"/>
      <c r="E391" s="20"/>
      <c r="F391" s="20"/>
      <c r="G391" s="21">
        <f>IF($A391="","",IF($D391&lt;&gt;"",$D391,N($C391)*(1+MarkupPeca)))</f>
        <v>0</v>
      </c>
      <c r="H391" s="22">
        <f>IF($A391="","",SUMIFS(EntQtd,EntCod,$A391))</f>
        <v>0</v>
      </c>
      <c r="I391" s="22">
        <f>IF($A391="","",SUMIFS(ItQtd,ItCod,$A391,ItStatus,"&lt;&gt;Orçamento",ItStatus,"&lt;&gt;Cancelada"))</f>
        <v>0</v>
      </c>
      <c r="J391" s="23">
        <f>IF($A391="","",N($E391)+$H391-$I391)</f>
        <v>0</v>
      </c>
      <c r="K391" s="24">
        <f>IF($A391="","",IF($J391&lt;=0,"RUPTURA",IF($J391&lt;=N($F391),"REPOR","OK")))</f>
        <v>0</v>
      </c>
    </row>
    <row r="392" spans="1:11">
      <c r="A392" s="13"/>
      <c r="B392" s="13"/>
      <c r="C392" s="19"/>
      <c r="D392" s="19"/>
      <c r="E392" s="20"/>
      <c r="F392" s="20"/>
      <c r="G392" s="21">
        <f>IF($A392="","",IF($D392&lt;&gt;"",$D392,N($C392)*(1+MarkupPeca)))</f>
        <v>0</v>
      </c>
      <c r="H392" s="22">
        <f>IF($A392="","",SUMIFS(EntQtd,EntCod,$A392))</f>
        <v>0</v>
      </c>
      <c r="I392" s="22">
        <f>IF($A392="","",SUMIFS(ItQtd,ItCod,$A392,ItStatus,"&lt;&gt;Orçamento",ItStatus,"&lt;&gt;Cancelada"))</f>
        <v>0</v>
      </c>
      <c r="J392" s="23">
        <f>IF($A392="","",N($E392)+$H392-$I392)</f>
        <v>0</v>
      </c>
      <c r="K392" s="24">
        <f>IF($A392="","",IF($J392&lt;=0,"RUPTURA",IF($J392&lt;=N($F392),"REPOR","OK")))</f>
        <v>0</v>
      </c>
    </row>
    <row r="393" spans="1:11">
      <c r="A393" s="13"/>
      <c r="B393" s="13"/>
      <c r="C393" s="19"/>
      <c r="D393" s="19"/>
      <c r="E393" s="20"/>
      <c r="F393" s="20"/>
      <c r="G393" s="21">
        <f>IF($A393="","",IF($D393&lt;&gt;"",$D393,N($C393)*(1+MarkupPeca)))</f>
        <v>0</v>
      </c>
      <c r="H393" s="22">
        <f>IF($A393="","",SUMIFS(EntQtd,EntCod,$A393))</f>
        <v>0</v>
      </c>
      <c r="I393" s="22">
        <f>IF($A393="","",SUMIFS(ItQtd,ItCod,$A393,ItStatus,"&lt;&gt;Orçamento",ItStatus,"&lt;&gt;Cancelada"))</f>
        <v>0</v>
      </c>
      <c r="J393" s="23">
        <f>IF($A393="","",N($E393)+$H393-$I393)</f>
        <v>0</v>
      </c>
      <c r="K393" s="24">
        <f>IF($A393="","",IF($J393&lt;=0,"RUPTURA",IF($J393&lt;=N($F393),"REPOR","OK")))</f>
        <v>0</v>
      </c>
    </row>
    <row r="394" spans="1:11">
      <c r="A394" s="13"/>
      <c r="B394" s="13"/>
      <c r="C394" s="19"/>
      <c r="D394" s="19"/>
      <c r="E394" s="20"/>
      <c r="F394" s="20"/>
      <c r="G394" s="21">
        <f>IF($A394="","",IF($D394&lt;&gt;"",$D394,N($C394)*(1+MarkupPeca)))</f>
        <v>0</v>
      </c>
      <c r="H394" s="22">
        <f>IF($A394="","",SUMIFS(EntQtd,EntCod,$A394))</f>
        <v>0</v>
      </c>
      <c r="I394" s="22">
        <f>IF($A394="","",SUMIFS(ItQtd,ItCod,$A394,ItStatus,"&lt;&gt;Orçamento",ItStatus,"&lt;&gt;Cancelada"))</f>
        <v>0</v>
      </c>
      <c r="J394" s="23">
        <f>IF($A394="","",N($E394)+$H394-$I394)</f>
        <v>0</v>
      </c>
      <c r="K394" s="24">
        <f>IF($A394="","",IF($J394&lt;=0,"RUPTURA",IF($J394&lt;=N($F394),"REPOR","OK")))</f>
        <v>0</v>
      </c>
    </row>
    <row r="395" spans="1:11">
      <c r="A395" s="13"/>
      <c r="B395" s="13"/>
      <c r="C395" s="19"/>
      <c r="D395" s="19"/>
      <c r="E395" s="20"/>
      <c r="F395" s="20"/>
      <c r="G395" s="21">
        <f>IF($A395="","",IF($D395&lt;&gt;"",$D395,N($C395)*(1+MarkupPeca)))</f>
        <v>0</v>
      </c>
      <c r="H395" s="22">
        <f>IF($A395="","",SUMIFS(EntQtd,EntCod,$A395))</f>
        <v>0</v>
      </c>
      <c r="I395" s="22">
        <f>IF($A395="","",SUMIFS(ItQtd,ItCod,$A395,ItStatus,"&lt;&gt;Orçamento",ItStatus,"&lt;&gt;Cancelada"))</f>
        <v>0</v>
      </c>
      <c r="J395" s="23">
        <f>IF($A395="","",N($E395)+$H395-$I395)</f>
        <v>0</v>
      </c>
      <c r="K395" s="24">
        <f>IF($A395="","",IF($J395&lt;=0,"RUPTURA",IF($J395&lt;=N($F395),"REPOR","OK")))</f>
        <v>0</v>
      </c>
    </row>
    <row r="396" spans="1:11">
      <c r="A396" s="13"/>
      <c r="B396" s="13"/>
      <c r="C396" s="19"/>
      <c r="D396" s="19"/>
      <c r="E396" s="20"/>
      <c r="F396" s="20"/>
      <c r="G396" s="21">
        <f>IF($A396="","",IF($D396&lt;&gt;"",$D396,N($C396)*(1+MarkupPeca)))</f>
        <v>0</v>
      </c>
      <c r="H396" s="22">
        <f>IF($A396="","",SUMIFS(EntQtd,EntCod,$A396))</f>
        <v>0</v>
      </c>
      <c r="I396" s="22">
        <f>IF($A396="","",SUMIFS(ItQtd,ItCod,$A396,ItStatus,"&lt;&gt;Orçamento",ItStatus,"&lt;&gt;Cancelada"))</f>
        <v>0</v>
      </c>
      <c r="J396" s="23">
        <f>IF($A396="","",N($E396)+$H396-$I396)</f>
        <v>0</v>
      </c>
      <c r="K396" s="24">
        <f>IF($A396="","",IF($J396&lt;=0,"RUPTURA",IF($J396&lt;=N($F396),"REPOR","OK")))</f>
        <v>0</v>
      </c>
    </row>
    <row r="397" spans="1:11">
      <c r="A397" s="13"/>
      <c r="B397" s="13"/>
      <c r="C397" s="19"/>
      <c r="D397" s="19"/>
      <c r="E397" s="20"/>
      <c r="F397" s="20"/>
      <c r="G397" s="21">
        <f>IF($A397="","",IF($D397&lt;&gt;"",$D397,N($C397)*(1+MarkupPeca)))</f>
        <v>0</v>
      </c>
      <c r="H397" s="22">
        <f>IF($A397="","",SUMIFS(EntQtd,EntCod,$A397))</f>
        <v>0</v>
      </c>
      <c r="I397" s="22">
        <f>IF($A397="","",SUMIFS(ItQtd,ItCod,$A397,ItStatus,"&lt;&gt;Orçamento",ItStatus,"&lt;&gt;Cancelada"))</f>
        <v>0</v>
      </c>
      <c r="J397" s="23">
        <f>IF($A397="","",N($E397)+$H397-$I397)</f>
        <v>0</v>
      </c>
      <c r="K397" s="24">
        <f>IF($A397="","",IF($J397&lt;=0,"RUPTURA",IF($J397&lt;=N($F397),"REPOR","OK")))</f>
        <v>0</v>
      </c>
    </row>
    <row r="398" spans="1:11">
      <c r="A398" s="13"/>
      <c r="B398" s="13"/>
      <c r="C398" s="19"/>
      <c r="D398" s="19"/>
      <c r="E398" s="20"/>
      <c r="F398" s="20"/>
      <c r="G398" s="21">
        <f>IF($A398="","",IF($D398&lt;&gt;"",$D398,N($C398)*(1+MarkupPeca)))</f>
        <v>0</v>
      </c>
      <c r="H398" s="22">
        <f>IF($A398="","",SUMIFS(EntQtd,EntCod,$A398))</f>
        <v>0</v>
      </c>
      <c r="I398" s="22">
        <f>IF($A398="","",SUMIFS(ItQtd,ItCod,$A398,ItStatus,"&lt;&gt;Orçamento",ItStatus,"&lt;&gt;Cancelada"))</f>
        <v>0</v>
      </c>
      <c r="J398" s="23">
        <f>IF($A398="","",N($E398)+$H398-$I398)</f>
        <v>0</v>
      </c>
      <c r="K398" s="24">
        <f>IF($A398="","",IF($J398&lt;=0,"RUPTURA",IF($J398&lt;=N($F398),"REPOR","OK")))</f>
        <v>0</v>
      </c>
    </row>
    <row r="399" spans="1:11">
      <c r="A399" s="13"/>
      <c r="B399" s="13"/>
      <c r="C399" s="19"/>
      <c r="D399" s="19"/>
      <c r="E399" s="20"/>
      <c r="F399" s="20"/>
      <c r="G399" s="21">
        <f>IF($A399="","",IF($D399&lt;&gt;"",$D399,N($C399)*(1+MarkupPeca)))</f>
        <v>0</v>
      </c>
      <c r="H399" s="22">
        <f>IF($A399="","",SUMIFS(EntQtd,EntCod,$A399))</f>
        <v>0</v>
      </c>
      <c r="I399" s="22">
        <f>IF($A399="","",SUMIFS(ItQtd,ItCod,$A399,ItStatus,"&lt;&gt;Orçamento",ItStatus,"&lt;&gt;Cancelada"))</f>
        <v>0</v>
      </c>
      <c r="J399" s="23">
        <f>IF($A399="","",N($E399)+$H399-$I399)</f>
        <v>0</v>
      </c>
      <c r="K399" s="24">
        <f>IF($A399="","",IF($J399&lt;=0,"RUPTURA",IF($J399&lt;=N($F399),"REPOR","OK")))</f>
        <v>0</v>
      </c>
    </row>
    <row r="400" spans="1:11">
      <c r="A400" s="13"/>
      <c r="B400" s="13"/>
      <c r="C400" s="19"/>
      <c r="D400" s="19"/>
      <c r="E400" s="20"/>
      <c r="F400" s="20"/>
      <c r="G400" s="21">
        <f>IF($A400="","",IF($D400&lt;&gt;"",$D400,N($C400)*(1+MarkupPeca)))</f>
        <v>0</v>
      </c>
      <c r="H400" s="22">
        <f>IF($A400="","",SUMIFS(EntQtd,EntCod,$A400))</f>
        <v>0</v>
      </c>
      <c r="I400" s="22">
        <f>IF($A400="","",SUMIFS(ItQtd,ItCod,$A400,ItStatus,"&lt;&gt;Orçamento",ItStatus,"&lt;&gt;Cancelada"))</f>
        <v>0</v>
      </c>
      <c r="J400" s="23">
        <f>IF($A400="","",N($E400)+$H400-$I400)</f>
        <v>0</v>
      </c>
      <c r="K400" s="24">
        <f>IF($A400="","",IF($J400&lt;=0,"RUPTURA",IF($J400&lt;=N($F400),"REPOR","OK")))</f>
        <v>0</v>
      </c>
    </row>
    <row r="401" spans="1:11">
      <c r="A401" s="13"/>
      <c r="B401" s="13"/>
      <c r="C401" s="19"/>
      <c r="D401" s="19"/>
      <c r="E401" s="20"/>
      <c r="F401" s="20"/>
      <c r="G401" s="21">
        <f>IF($A401="","",IF($D401&lt;&gt;"",$D401,N($C401)*(1+MarkupPeca)))</f>
        <v>0</v>
      </c>
      <c r="H401" s="22">
        <f>IF($A401="","",SUMIFS(EntQtd,EntCod,$A401))</f>
        <v>0</v>
      </c>
      <c r="I401" s="22">
        <f>IF($A401="","",SUMIFS(ItQtd,ItCod,$A401,ItStatus,"&lt;&gt;Orçamento",ItStatus,"&lt;&gt;Cancelada"))</f>
        <v>0</v>
      </c>
      <c r="J401" s="23">
        <f>IF($A401="","",N($E401)+$H401-$I401)</f>
        <v>0</v>
      </c>
      <c r="K401" s="24">
        <f>IF($A401="","",IF($J401&lt;=0,"RUPTURA",IF($J401&lt;=N($F401),"REPOR","OK")))</f>
        <v>0</v>
      </c>
    </row>
    <row r="402" spans="1:11">
      <c r="A402" s="13"/>
      <c r="B402" s="13"/>
      <c r="C402" s="19"/>
      <c r="D402" s="19"/>
      <c r="E402" s="20"/>
      <c r="F402" s="20"/>
      <c r="G402" s="21">
        <f>IF($A402="","",IF($D402&lt;&gt;"",$D402,N($C402)*(1+MarkupPeca)))</f>
        <v>0</v>
      </c>
      <c r="H402" s="22">
        <f>IF($A402="","",SUMIFS(EntQtd,EntCod,$A402))</f>
        <v>0</v>
      </c>
      <c r="I402" s="22">
        <f>IF($A402="","",SUMIFS(ItQtd,ItCod,$A402,ItStatus,"&lt;&gt;Orçamento",ItStatus,"&lt;&gt;Cancelada"))</f>
        <v>0</v>
      </c>
      <c r="J402" s="23">
        <f>IF($A402="","",N($E402)+$H402-$I402)</f>
        <v>0</v>
      </c>
      <c r="K402" s="24">
        <f>IF($A402="","",IF($J402&lt;=0,"RUPTURA",IF($J402&lt;=N($F402),"REPOR","OK")))</f>
        <v>0</v>
      </c>
    </row>
    <row r="403" spans="1:11">
      <c r="A403" s="13"/>
      <c r="B403" s="13"/>
      <c r="C403" s="19"/>
      <c r="D403" s="19"/>
      <c r="E403" s="20"/>
      <c r="F403" s="20"/>
      <c r="G403" s="21">
        <f>IF($A403="","",IF($D403&lt;&gt;"",$D403,N($C403)*(1+MarkupPeca)))</f>
        <v>0</v>
      </c>
      <c r="H403" s="22">
        <f>IF($A403="","",SUMIFS(EntQtd,EntCod,$A403))</f>
        <v>0</v>
      </c>
      <c r="I403" s="22">
        <f>IF($A403="","",SUMIFS(ItQtd,ItCod,$A403,ItStatus,"&lt;&gt;Orçamento",ItStatus,"&lt;&gt;Cancelada"))</f>
        <v>0</v>
      </c>
      <c r="J403" s="23">
        <f>IF($A403="","",N($E403)+$H403-$I403)</f>
        <v>0</v>
      </c>
      <c r="K403" s="24">
        <f>IF($A403="","",IF($J403&lt;=0,"RUPTURA",IF($J403&lt;=N($F403),"REPOR","OK")))</f>
        <v>0</v>
      </c>
    </row>
    <row r="404" spans="1:11">
      <c r="A404" s="13"/>
      <c r="B404" s="13"/>
      <c r="C404" s="19"/>
      <c r="D404" s="19"/>
      <c r="E404" s="20"/>
      <c r="F404" s="20"/>
      <c r="G404" s="21">
        <f>IF($A404="","",IF($D404&lt;&gt;"",$D404,N($C404)*(1+MarkupPeca)))</f>
        <v>0</v>
      </c>
      <c r="H404" s="22">
        <f>IF($A404="","",SUMIFS(EntQtd,EntCod,$A404))</f>
        <v>0</v>
      </c>
      <c r="I404" s="22">
        <f>IF($A404="","",SUMIFS(ItQtd,ItCod,$A404,ItStatus,"&lt;&gt;Orçamento",ItStatus,"&lt;&gt;Cancelada"))</f>
        <v>0</v>
      </c>
      <c r="J404" s="23">
        <f>IF($A404="","",N($E404)+$H404-$I404)</f>
        <v>0</v>
      </c>
      <c r="K404" s="24">
        <f>IF($A404="","",IF($J404&lt;=0,"RUPTURA",IF($J404&lt;=N($F404),"REPOR","OK")))</f>
        <v>0</v>
      </c>
    </row>
    <row r="405" spans="1:11">
      <c r="A405" s="13"/>
      <c r="B405" s="13"/>
      <c r="C405" s="19"/>
      <c r="D405" s="19"/>
      <c r="E405" s="20"/>
      <c r="F405" s="20"/>
      <c r="G405" s="21">
        <f>IF($A405="","",IF($D405&lt;&gt;"",$D405,N($C405)*(1+MarkupPeca)))</f>
        <v>0</v>
      </c>
      <c r="H405" s="22">
        <f>IF($A405="","",SUMIFS(EntQtd,EntCod,$A405))</f>
        <v>0</v>
      </c>
      <c r="I405" s="22">
        <f>IF($A405="","",SUMIFS(ItQtd,ItCod,$A405,ItStatus,"&lt;&gt;Orçamento",ItStatus,"&lt;&gt;Cancelada"))</f>
        <v>0</v>
      </c>
      <c r="J405" s="23">
        <f>IF($A405="","",N($E405)+$H405-$I405)</f>
        <v>0</v>
      </c>
      <c r="K405" s="24">
        <f>IF($A405="","",IF($J405&lt;=0,"RUPTURA",IF($J405&lt;=N($F405),"REPOR","OK")))</f>
        <v>0</v>
      </c>
    </row>
    <row r="406" spans="1:11">
      <c r="A406" s="13"/>
      <c r="B406" s="13"/>
      <c r="C406" s="19"/>
      <c r="D406" s="19"/>
      <c r="E406" s="20"/>
      <c r="F406" s="20"/>
      <c r="G406" s="21">
        <f>IF($A406="","",IF($D406&lt;&gt;"",$D406,N($C406)*(1+MarkupPeca)))</f>
        <v>0</v>
      </c>
      <c r="H406" s="22">
        <f>IF($A406="","",SUMIFS(EntQtd,EntCod,$A406))</f>
        <v>0</v>
      </c>
      <c r="I406" s="22">
        <f>IF($A406="","",SUMIFS(ItQtd,ItCod,$A406,ItStatus,"&lt;&gt;Orçamento",ItStatus,"&lt;&gt;Cancelada"))</f>
        <v>0</v>
      </c>
      <c r="J406" s="23">
        <f>IF($A406="","",N($E406)+$H406-$I406)</f>
        <v>0</v>
      </c>
      <c r="K406" s="24">
        <f>IF($A406="","",IF($J406&lt;=0,"RUPTURA",IF($J406&lt;=N($F406),"REPOR","OK")))</f>
        <v>0</v>
      </c>
    </row>
    <row r="407" spans="1:11">
      <c r="A407" s="13"/>
      <c r="B407" s="13"/>
      <c r="C407" s="19"/>
      <c r="D407" s="19"/>
      <c r="E407" s="20"/>
      <c r="F407" s="20"/>
      <c r="G407" s="21">
        <f>IF($A407="","",IF($D407&lt;&gt;"",$D407,N($C407)*(1+MarkupPeca)))</f>
        <v>0</v>
      </c>
      <c r="H407" s="22">
        <f>IF($A407="","",SUMIFS(EntQtd,EntCod,$A407))</f>
        <v>0</v>
      </c>
      <c r="I407" s="22">
        <f>IF($A407="","",SUMIFS(ItQtd,ItCod,$A407,ItStatus,"&lt;&gt;Orçamento",ItStatus,"&lt;&gt;Cancelada"))</f>
        <v>0</v>
      </c>
      <c r="J407" s="23">
        <f>IF($A407="","",N($E407)+$H407-$I407)</f>
        <v>0</v>
      </c>
      <c r="K407" s="24">
        <f>IF($A407="","",IF($J407&lt;=0,"RUPTURA",IF($J407&lt;=N($F407),"REPOR","OK")))</f>
        <v>0</v>
      </c>
    </row>
    <row r="408" spans="1:11">
      <c r="A408" s="13"/>
      <c r="B408" s="13"/>
      <c r="C408" s="19"/>
      <c r="D408" s="19"/>
      <c r="E408" s="20"/>
      <c r="F408" s="20"/>
      <c r="G408" s="21">
        <f>IF($A408="","",IF($D408&lt;&gt;"",$D408,N($C408)*(1+MarkupPeca)))</f>
        <v>0</v>
      </c>
      <c r="H408" s="22">
        <f>IF($A408="","",SUMIFS(EntQtd,EntCod,$A408))</f>
        <v>0</v>
      </c>
      <c r="I408" s="22">
        <f>IF($A408="","",SUMIFS(ItQtd,ItCod,$A408,ItStatus,"&lt;&gt;Orçamento",ItStatus,"&lt;&gt;Cancelada"))</f>
        <v>0</v>
      </c>
      <c r="J408" s="23">
        <f>IF($A408="","",N($E408)+$H408-$I408)</f>
        <v>0</v>
      </c>
      <c r="K408" s="24">
        <f>IF($A408="","",IF($J408&lt;=0,"RUPTURA",IF($J408&lt;=N($F408),"REPOR","OK")))</f>
        <v>0</v>
      </c>
    </row>
    <row r="409" spans="1:11">
      <c r="A409" s="13"/>
      <c r="B409" s="13"/>
      <c r="C409" s="19"/>
      <c r="D409" s="19"/>
      <c r="E409" s="20"/>
      <c r="F409" s="20"/>
      <c r="G409" s="21">
        <f>IF($A409="","",IF($D409&lt;&gt;"",$D409,N($C409)*(1+MarkupPeca)))</f>
        <v>0</v>
      </c>
      <c r="H409" s="22">
        <f>IF($A409="","",SUMIFS(EntQtd,EntCod,$A409))</f>
        <v>0</v>
      </c>
      <c r="I409" s="22">
        <f>IF($A409="","",SUMIFS(ItQtd,ItCod,$A409,ItStatus,"&lt;&gt;Orçamento",ItStatus,"&lt;&gt;Cancelada"))</f>
        <v>0</v>
      </c>
      <c r="J409" s="23">
        <f>IF($A409="","",N($E409)+$H409-$I409)</f>
        <v>0</v>
      </c>
      <c r="K409" s="24">
        <f>IF($A409="","",IF($J409&lt;=0,"RUPTURA",IF($J409&lt;=N($F409),"REPOR","OK")))</f>
        <v>0</v>
      </c>
    </row>
    <row r="410" spans="1:11">
      <c r="A410" s="13"/>
      <c r="B410" s="13"/>
      <c r="C410" s="19"/>
      <c r="D410" s="19"/>
      <c r="E410" s="20"/>
      <c r="F410" s="20"/>
      <c r="G410" s="21">
        <f>IF($A410="","",IF($D410&lt;&gt;"",$D410,N($C410)*(1+MarkupPeca)))</f>
        <v>0</v>
      </c>
      <c r="H410" s="22">
        <f>IF($A410="","",SUMIFS(EntQtd,EntCod,$A410))</f>
        <v>0</v>
      </c>
      <c r="I410" s="22">
        <f>IF($A410="","",SUMIFS(ItQtd,ItCod,$A410,ItStatus,"&lt;&gt;Orçamento",ItStatus,"&lt;&gt;Cancelada"))</f>
        <v>0</v>
      </c>
      <c r="J410" s="23">
        <f>IF($A410="","",N($E410)+$H410-$I410)</f>
        <v>0</v>
      </c>
      <c r="K410" s="24">
        <f>IF($A410="","",IF($J410&lt;=0,"RUPTURA",IF($J410&lt;=N($F410),"REPOR","OK")))</f>
        <v>0</v>
      </c>
    </row>
    <row r="411" spans="1:11">
      <c r="A411" s="13"/>
      <c r="B411" s="13"/>
      <c r="C411" s="19"/>
      <c r="D411" s="19"/>
      <c r="E411" s="20"/>
      <c r="F411" s="20"/>
      <c r="G411" s="21">
        <f>IF($A411="","",IF($D411&lt;&gt;"",$D411,N($C411)*(1+MarkupPeca)))</f>
        <v>0</v>
      </c>
      <c r="H411" s="22">
        <f>IF($A411="","",SUMIFS(EntQtd,EntCod,$A411))</f>
        <v>0</v>
      </c>
      <c r="I411" s="22">
        <f>IF($A411="","",SUMIFS(ItQtd,ItCod,$A411,ItStatus,"&lt;&gt;Orçamento",ItStatus,"&lt;&gt;Cancelada"))</f>
        <v>0</v>
      </c>
      <c r="J411" s="23">
        <f>IF($A411="","",N($E411)+$H411-$I411)</f>
        <v>0</v>
      </c>
      <c r="K411" s="24">
        <f>IF($A411="","",IF($J411&lt;=0,"RUPTURA",IF($J411&lt;=N($F411),"REPOR","OK")))</f>
        <v>0</v>
      </c>
    </row>
    <row r="412" spans="1:11">
      <c r="A412" s="13"/>
      <c r="B412" s="13"/>
      <c r="C412" s="19"/>
      <c r="D412" s="19"/>
      <c r="E412" s="20"/>
      <c r="F412" s="20"/>
      <c r="G412" s="21">
        <f>IF($A412="","",IF($D412&lt;&gt;"",$D412,N($C412)*(1+MarkupPeca)))</f>
        <v>0</v>
      </c>
      <c r="H412" s="22">
        <f>IF($A412="","",SUMIFS(EntQtd,EntCod,$A412))</f>
        <v>0</v>
      </c>
      <c r="I412" s="22">
        <f>IF($A412="","",SUMIFS(ItQtd,ItCod,$A412,ItStatus,"&lt;&gt;Orçamento",ItStatus,"&lt;&gt;Cancelada"))</f>
        <v>0</v>
      </c>
      <c r="J412" s="23">
        <f>IF($A412="","",N($E412)+$H412-$I412)</f>
        <v>0</v>
      </c>
      <c r="K412" s="24">
        <f>IF($A412="","",IF($J412&lt;=0,"RUPTURA",IF($J412&lt;=N($F412),"REPOR","OK")))</f>
        <v>0</v>
      </c>
    </row>
    <row r="413" spans="1:11">
      <c r="A413" s="13"/>
      <c r="B413" s="13"/>
      <c r="C413" s="19"/>
      <c r="D413" s="19"/>
      <c r="E413" s="20"/>
      <c r="F413" s="20"/>
      <c r="G413" s="21">
        <f>IF($A413="","",IF($D413&lt;&gt;"",$D413,N($C413)*(1+MarkupPeca)))</f>
        <v>0</v>
      </c>
      <c r="H413" s="22">
        <f>IF($A413="","",SUMIFS(EntQtd,EntCod,$A413))</f>
        <v>0</v>
      </c>
      <c r="I413" s="22">
        <f>IF($A413="","",SUMIFS(ItQtd,ItCod,$A413,ItStatus,"&lt;&gt;Orçamento",ItStatus,"&lt;&gt;Cancelada"))</f>
        <v>0</v>
      </c>
      <c r="J413" s="23">
        <f>IF($A413="","",N($E413)+$H413-$I413)</f>
        <v>0</v>
      </c>
      <c r="K413" s="24">
        <f>IF($A413="","",IF($J413&lt;=0,"RUPTURA",IF($J413&lt;=N($F413),"REPOR","OK")))</f>
        <v>0</v>
      </c>
    </row>
    <row r="414" spans="1:11">
      <c r="A414" s="13"/>
      <c r="B414" s="13"/>
      <c r="C414" s="19"/>
      <c r="D414" s="19"/>
      <c r="E414" s="20"/>
      <c r="F414" s="20"/>
      <c r="G414" s="21">
        <f>IF($A414="","",IF($D414&lt;&gt;"",$D414,N($C414)*(1+MarkupPeca)))</f>
        <v>0</v>
      </c>
      <c r="H414" s="22">
        <f>IF($A414="","",SUMIFS(EntQtd,EntCod,$A414))</f>
        <v>0</v>
      </c>
      <c r="I414" s="22">
        <f>IF($A414="","",SUMIFS(ItQtd,ItCod,$A414,ItStatus,"&lt;&gt;Orçamento",ItStatus,"&lt;&gt;Cancelada"))</f>
        <v>0</v>
      </c>
      <c r="J414" s="23">
        <f>IF($A414="","",N($E414)+$H414-$I414)</f>
        <v>0</v>
      </c>
      <c r="K414" s="24">
        <f>IF($A414="","",IF($J414&lt;=0,"RUPTURA",IF($J414&lt;=N($F414),"REPOR","OK")))</f>
        <v>0</v>
      </c>
    </row>
    <row r="415" spans="1:11">
      <c r="A415" s="13"/>
      <c r="B415" s="13"/>
      <c r="C415" s="19"/>
      <c r="D415" s="19"/>
      <c r="E415" s="20"/>
      <c r="F415" s="20"/>
      <c r="G415" s="21">
        <f>IF($A415="","",IF($D415&lt;&gt;"",$D415,N($C415)*(1+MarkupPeca)))</f>
        <v>0</v>
      </c>
      <c r="H415" s="22">
        <f>IF($A415="","",SUMIFS(EntQtd,EntCod,$A415))</f>
        <v>0</v>
      </c>
      <c r="I415" s="22">
        <f>IF($A415="","",SUMIFS(ItQtd,ItCod,$A415,ItStatus,"&lt;&gt;Orçamento",ItStatus,"&lt;&gt;Cancelada"))</f>
        <v>0</v>
      </c>
      <c r="J415" s="23">
        <f>IF($A415="","",N($E415)+$H415-$I415)</f>
        <v>0</v>
      </c>
      <c r="K415" s="24">
        <f>IF($A415="","",IF($J415&lt;=0,"RUPTURA",IF($J415&lt;=N($F415),"REPOR","OK")))</f>
        <v>0</v>
      </c>
    </row>
    <row r="416" spans="1:11">
      <c r="A416" s="13"/>
      <c r="B416" s="13"/>
      <c r="C416" s="19"/>
      <c r="D416" s="19"/>
      <c r="E416" s="20"/>
      <c r="F416" s="20"/>
      <c r="G416" s="21">
        <f>IF($A416="","",IF($D416&lt;&gt;"",$D416,N($C416)*(1+MarkupPeca)))</f>
        <v>0</v>
      </c>
      <c r="H416" s="22">
        <f>IF($A416="","",SUMIFS(EntQtd,EntCod,$A416))</f>
        <v>0</v>
      </c>
      <c r="I416" s="22">
        <f>IF($A416="","",SUMIFS(ItQtd,ItCod,$A416,ItStatus,"&lt;&gt;Orçamento",ItStatus,"&lt;&gt;Cancelada"))</f>
        <v>0</v>
      </c>
      <c r="J416" s="23">
        <f>IF($A416="","",N($E416)+$H416-$I416)</f>
        <v>0</v>
      </c>
      <c r="K416" s="24">
        <f>IF($A416="","",IF($J416&lt;=0,"RUPTURA",IF($J416&lt;=N($F416),"REPOR","OK")))</f>
        <v>0</v>
      </c>
    </row>
    <row r="417" spans="1:11">
      <c r="A417" s="13"/>
      <c r="B417" s="13"/>
      <c r="C417" s="19"/>
      <c r="D417" s="19"/>
      <c r="E417" s="20"/>
      <c r="F417" s="20"/>
      <c r="G417" s="21">
        <f>IF($A417="","",IF($D417&lt;&gt;"",$D417,N($C417)*(1+MarkupPeca)))</f>
        <v>0</v>
      </c>
      <c r="H417" s="22">
        <f>IF($A417="","",SUMIFS(EntQtd,EntCod,$A417))</f>
        <v>0</v>
      </c>
      <c r="I417" s="22">
        <f>IF($A417="","",SUMIFS(ItQtd,ItCod,$A417,ItStatus,"&lt;&gt;Orçamento",ItStatus,"&lt;&gt;Cancelada"))</f>
        <v>0</v>
      </c>
      <c r="J417" s="23">
        <f>IF($A417="","",N($E417)+$H417-$I417)</f>
        <v>0</v>
      </c>
      <c r="K417" s="24">
        <f>IF($A417="","",IF($J417&lt;=0,"RUPTURA",IF($J417&lt;=N($F417),"REPOR","OK")))</f>
        <v>0</v>
      </c>
    </row>
    <row r="418" spans="1:11">
      <c r="A418" s="13"/>
      <c r="B418" s="13"/>
      <c r="C418" s="19"/>
      <c r="D418" s="19"/>
      <c r="E418" s="20"/>
      <c r="F418" s="20"/>
      <c r="G418" s="21">
        <f>IF($A418="","",IF($D418&lt;&gt;"",$D418,N($C418)*(1+MarkupPeca)))</f>
        <v>0</v>
      </c>
      <c r="H418" s="22">
        <f>IF($A418="","",SUMIFS(EntQtd,EntCod,$A418))</f>
        <v>0</v>
      </c>
      <c r="I418" s="22">
        <f>IF($A418="","",SUMIFS(ItQtd,ItCod,$A418,ItStatus,"&lt;&gt;Orçamento",ItStatus,"&lt;&gt;Cancelada"))</f>
        <v>0</v>
      </c>
      <c r="J418" s="23">
        <f>IF($A418="","",N($E418)+$H418-$I418)</f>
        <v>0</v>
      </c>
      <c r="K418" s="24">
        <f>IF($A418="","",IF($J418&lt;=0,"RUPTURA",IF($J418&lt;=N($F418),"REPOR","OK")))</f>
        <v>0</v>
      </c>
    </row>
    <row r="419" spans="1:11">
      <c r="A419" s="13"/>
      <c r="B419" s="13"/>
      <c r="C419" s="19"/>
      <c r="D419" s="19"/>
      <c r="E419" s="20"/>
      <c r="F419" s="20"/>
      <c r="G419" s="21">
        <f>IF($A419="","",IF($D419&lt;&gt;"",$D419,N($C419)*(1+MarkupPeca)))</f>
        <v>0</v>
      </c>
      <c r="H419" s="22">
        <f>IF($A419="","",SUMIFS(EntQtd,EntCod,$A419))</f>
        <v>0</v>
      </c>
      <c r="I419" s="22">
        <f>IF($A419="","",SUMIFS(ItQtd,ItCod,$A419,ItStatus,"&lt;&gt;Orçamento",ItStatus,"&lt;&gt;Cancelada"))</f>
        <v>0</v>
      </c>
      <c r="J419" s="23">
        <f>IF($A419="","",N($E419)+$H419-$I419)</f>
        <v>0</v>
      </c>
      <c r="K419" s="24">
        <f>IF($A419="","",IF($J419&lt;=0,"RUPTURA",IF($J419&lt;=N($F419),"REPOR","OK")))</f>
        <v>0</v>
      </c>
    </row>
    <row r="420" spans="1:11">
      <c r="A420" s="13"/>
      <c r="B420" s="13"/>
      <c r="C420" s="19"/>
      <c r="D420" s="19"/>
      <c r="E420" s="20"/>
      <c r="F420" s="20"/>
      <c r="G420" s="21">
        <f>IF($A420="","",IF($D420&lt;&gt;"",$D420,N($C420)*(1+MarkupPeca)))</f>
        <v>0</v>
      </c>
      <c r="H420" s="22">
        <f>IF($A420="","",SUMIFS(EntQtd,EntCod,$A420))</f>
        <v>0</v>
      </c>
      <c r="I420" s="22">
        <f>IF($A420="","",SUMIFS(ItQtd,ItCod,$A420,ItStatus,"&lt;&gt;Orçamento",ItStatus,"&lt;&gt;Cancelada"))</f>
        <v>0</v>
      </c>
      <c r="J420" s="23">
        <f>IF($A420="","",N($E420)+$H420-$I420)</f>
        <v>0</v>
      </c>
      <c r="K420" s="24">
        <f>IF($A420="","",IF($J420&lt;=0,"RUPTURA",IF($J420&lt;=N($F420),"REPOR","OK")))</f>
        <v>0</v>
      </c>
    </row>
    <row r="421" spans="1:11">
      <c r="A421" s="13"/>
      <c r="B421" s="13"/>
      <c r="C421" s="19"/>
      <c r="D421" s="19"/>
      <c r="E421" s="20"/>
      <c r="F421" s="20"/>
      <c r="G421" s="21">
        <f>IF($A421="","",IF($D421&lt;&gt;"",$D421,N($C421)*(1+MarkupPeca)))</f>
        <v>0</v>
      </c>
      <c r="H421" s="22">
        <f>IF($A421="","",SUMIFS(EntQtd,EntCod,$A421))</f>
        <v>0</v>
      </c>
      <c r="I421" s="22">
        <f>IF($A421="","",SUMIFS(ItQtd,ItCod,$A421,ItStatus,"&lt;&gt;Orçamento",ItStatus,"&lt;&gt;Cancelada"))</f>
        <v>0</v>
      </c>
      <c r="J421" s="23">
        <f>IF($A421="","",N($E421)+$H421-$I421)</f>
        <v>0</v>
      </c>
      <c r="K421" s="24">
        <f>IF($A421="","",IF($J421&lt;=0,"RUPTURA",IF($J421&lt;=N($F421),"REPOR","OK")))</f>
        <v>0</v>
      </c>
    </row>
    <row r="422" spans="1:11">
      <c r="A422" s="13"/>
      <c r="B422" s="13"/>
      <c r="C422" s="19"/>
      <c r="D422" s="19"/>
      <c r="E422" s="20"/>
      <c r="F422" s="20"/>
      <c r="G422" s="21">
        <f>IF($A422="","",IF($D422&lt;&gt;"",$D422,N($C422)*(1+MarkupPeca)))</f>
        <v>0</v>
      </c>
      <c r="H422" s="22">
        <f>IF($A422="","",SUMIFS(EntQtd,EntCod,$A422))</f>
        <v>0</v>
      </c>
      <c r="I422" s="22">
        <f>IF($A422="","",SUMIFS(ItQtd,ItCod,$A422,ItStatus,"&lt;&gt;Orçamento",ItStatus,"&lt;&gt;Cancelada"))</f>
        <v>0</v>
      </c>
      <c r="J422" s="23">
        <f>IF($A422="","",N($E422)+$H422-$I422)</f>
        <v>0</v>
      </c>
      <c r="K422" s="24">
        <f>IF($A422="","",IF($J422&lt;=0,"RUPTURA",IF($J422&lt;=N($F422),"REPOR","OK")))</f>
        <v>0</v>
      </c>
    </row>
    <row r="423" spans="1:11">
      <c r="A423" s="13"/>
      <c r="B423" s="13"/>
      <c r="C423" s="19"/>
      <c r="D423" s="19"/>
      <c r="E423" s="20"/>
      <c r="F423" s="20"/>
      <c r="G423" s="21">
        <f>IF($A423="","",IF($D423&lt;&gt;"",$D423,N($C423)*(1+MarkupPeca)))</f>
        <v>0</v>
      </c>
      <c r="H423" s="22">
        <f>IF($A423="","",SUMIFS(EntQtd,EntCod,$A423))</f>
        <v>0</v>
      </c>
      <c r="I423" s="22">
        <f>IF($A423="","",SUMIFS(ItQtd,ItCod,$A423,ItStatus,"&lt;&gt;Orçamento",ItStatus,"&lt;&gt;Cancelada"))</f>
        <v>0</v>
      </c>
      <c r="J423" s="23">
        <f>IF($A423="","",N($E423)+$H423-$I423)</f>
        <v>0</v>
      </c>
      <c r="K423" s="24">
        <f>IF($A423="","",IF($J423&lt;=0,"RUPTURA",IF($J423&lt;=N($F423),"REPOR","OK")))</f>
        <v>0</v>
      </c>
    </row>
    <row r="424" spans="1:11">
      <c r="A424" s="13"/>
      <c r="B424" s="13"/>
      <c r="C424" s="19"/>
      <c r="D424" s="19"/>
      <c r="E424" s="20"/>
      <c r="F424" s="20"/>
      <c r="G424" s="21">
        <f>IF($A424="","",IF($D424&lt;&gt;"",$D424,N($C424)*(1+MarkupPeca)))</f>
        <v>0</v>
      </c>
      <c r="H424" s="22">
        <f>IF($A424="","",SUMIFS(EntQtd,EntCod,$A424))</f>
        <v>0</v>
      </c>
      <c r="I424" s="22">
        <f>IF($A424="","",SUMIFS(ItQtd,ItCod,$A424,ItStatus,"&lt;&gt;Orçamento",ItStatus,"&lt;&gt;Cancelada"))</f>
        <v>0</v>
      </c>
      <c r="J424" s="23">
        <f>IF($A424="","",N($E424)+$H424-$I424)</f>
        <v>0</v>
      </c>
      <c r="K424" s="24">
        <f>IF($A424="","",IF($J424&lt;=0,"RUPTURA",IF($J424&lt;=N($F424),"REPOR","OK")))</f>
        <v>0</v>
      </c>
    </row>
    <row r="425" spans="1:11">
      <c r="A425" s="13"/>
      <c r="B425" s="13"/>
      <c r="C425" s="19"/>
      <c r="D425" s="19"/>
      <c r="E425" s="20"/>
      <c r="F425" s="20"/>
      <c r="G425" s="21">
        <f>IF($A425="","",IF($D425&lt;&gt;"",$D425,N($C425)*(1+MarkupPeca)))</f>
        <v>0</v>
      </c>
      <c r="H425" s="22">
        <f>IF($A425="","",SUMIFS(EntQtd,EntCod,$A425))</f>
        <v>0</v>
      </c>
      <c r="I425" s="22">
        <f>IF($A425="","",SUMIFS(ItQtd,ItCod,$A425,ItStatus,"&lt;&gt;Orçamento",ItStatus,"&lt;&gt;Cancelada"))</f>
        <v>0</v>
      </c>
      <c r="J425" s="23">
        <f>IF($A425="","",N($E425)+$H425-$I425)</f>
        <v>0</v>
      </c>
      <c r="K425" s="24">
        <f>IF($A425="","",IF($J425&lt;=0,"RUPTURA",IF($J425&lt;=N($F425),"REPOR","OK")))</f>
        <v>0</v>
      </c>
    </row>
    <row r="426" spans="1:11">
      <c r="A426" s="13"/>
      <c r="B426" s="13"/>
      <c r="C426" s="19"/>
      <c r="D426" s="19"/>
      <c r="E426" s="20"/>
      <c r="F426" s="20"/>
      <c r="G426" s="21">
        <f>IF($A426="","",IF($D426&lt;&gt;"",$D426,N($C426)*(1+MarkupPeca)))</f>
        <v>0</v>
      </c>
      <c r="H426" s="22">
        <f>IF($A426="","",SUMIFS(EntQtd,EntCod,$A426))</f>
        <v>0</v>
      </c>
      <c r="I426" s="22">
        <f>IF($A426="","",SUMIFS(ItQtd,ItCod,$A426,ItStatus,"&lt;&gt;Orçamento",ItStatus,"&lt;&gt;Cancelada"))</f>
        <v>0</v>
      </c>
      <c r="J426" s="23">
        <f>IF($A426="","",N($E426)+$H426-$I426)</f>
        <v>0</v>
      </c>
      <c r="K426" s="24">
        <f>IF($A426="","",IF($J426&lt;=0,"RUPTURA",IF($J426&lt;=N($F426),"REPOR","OK")))</f>
        <v>0</v>
      </c>
    </row>
    <row r="427" spans="1:11">
      <c r="A427" s="13"/>
      <c r="B427" s="13"/>
      <c r="C427" s="19"/>
      <c r="D427" s="19"/>
      <c r="E427" s="20"/>
      <c r="F427" s="20"/>
      <c r="G427" s="21">
        <f>IF($A427="","",IF($D427&lt;&gt;"",$D427,N($C427)*(1+MarkupPeca)))</f>
        <v>0</v>
      </c>
      <c r="H427" s="22">
        <f>IF($A427="","",SUMIFS(EntQtd,EntCod,$A427))</f>
        <v>0</v>
      </c>
      <c r="I427" s="22">
        <f>IF($A427="","",SUMIFS(ItQtd,ItCod,$A427,ItStatus,"&lt;&gt;Orçamento",ItStatus,"&lt;&gt;Cancelada"))</f>
        <v>0</v>
      </c>
      <c r="J427" s="23">
        <f>IF($A427="","",N($E427)+$H427-$I427)</f>
        <v>0</v>
      </c>
      <c r="K427" s="24">
        <f>IF($A427="","",IF($J427&lt;=0,"RUPTURA",IF($J427&lt;=N($F427),"REPOR","OK")))</f>
        <v>0</v>
      </c>
    </row>
    <row r="428" spans="1:11">
      <c r="A428" s="13"/>
      <c r="B428" s="13"/>
      <c r="C428" s="19"/>
      <c r="D428" s="19"/>
      <c r="E428" s="20"/>
      <c r="F428" s="20"/>
      <c r="G428" s="21">
        <f>IF($A428="","",IF($D428&lt;&gt;"",$D428,N($C428)*(1+MarkupPeca)))</f>
        <v>0</v>
      </c>
      <c r="H428" s="22">
        <f>IF($A428="","",SUMIFS(EntQtd,EntCod,$A428))</f>
        <v>0</v>
      </c>
      <c r="I428" s="22">
        <f>IF($A428="","",SUMIFS(ItQtd,ItCod,$A428,ItStatus,"&lt;&gt;Orçamento",ItStatus,"&lt;&gt;Cancelada"))</f>
        <v>0</v>
      </c>
      <c r="J428" s="23">
        <f>IF($A428="","",N($E428)+$H428-$I428)</f>
        <v>0</v>
      </c>
      <c r="K428" s="24">
        <f>IF($A428="","",IF($J428&lt;=0,"RUPTURA",IF($J428&lt;=N($F428),"REPOR","OK")))</f>
        <v>0</v>
      </c>
    </row>
    <row r="429" spans="1:11">
      <c r="A429" s="13"/>
      <c r="B429" s="13"/>
      <c r="C429" s="19"/>
      <c r="D429" s="19"/>
      <c r="E429" s="20"/>
      <c r="F429" s="20"/>
      <c r="G429" s="21">
        <f>IF($A429="","",IF($D429&lt;&gt;"",$D429,N($C429)*(1+MarkupPeca)))</f>
        <v>0</v>
      </c>
      <c r="H429" s="22">
        <f>IF($A429="","",SUMIFS(EntQtd,EntCod,$A429))</f>
        <v>0</v>
      </c>
      <c r="I429" s="22">
        <f>IF($A429="","",SUMIFS(ItQtd,ItCod,$A429,ItStatus,"&lt;&gt;Orçamento",ItStatus,"&lt;&gt;Cancelada"))</f>
        <v>0</v>
      </c>
      <c r="J429" s="23">
        <f>IF($A429="","",N($E429)+$H429-$I429)</f>
        <v>0</v>
      </c>
      <c r="K429" s="24">
        <f>IF($A429="","",IF($J429&lt;=0,"RUPTURA",IF($J429&lt;=N($F429),"REPOR","OK")))</f>
        <v>0</v>
      </c>
    </row>
    <row r="430" spans="1:11">
      <c r="A430" s="13"/>
      <c r="B430" s="13"/>
      <c r="C430" s="19"/>
      <c r="D430" s="19"/>
      <c r="E430" s="20"/>
      <c r="F430" s="20"/>
      <c r="G430" s="21">
        <f>IF($A430="","",IF($D430&lt;&gt;"",$D430,N($C430)*(1+MarkupPeca)))</f>
        <v>0</v>
      </c>
      <c r="H430" s="22">
        <f>IF($A430="","",SUMIFS(EntQtd,EntCod,$A430))</f>
        <v>0</v>
      </c>
      <c r="I430" s="22">
        <f>IF($A430="","",SUMIFS(ItQtd,ItCod,$A430,ItStatus,"&lt;&gt;Orçamento",ItStatus,"&lt;&gt;Cancelada"))</f>
        <v>0</v>
      </c>
      <c r="J430" s="23">
        <f>IF($A430="","",N($E430)+$H430-$I430)</f>
        <v>0</v>
      </c>
      <c r="K430" s="24">
        <f>IF($A430="","",IF($J430&lt;=0,"RUPTURA",IF($J430&lt;=N($F430),"REPOR","OK")))</f>
        <v>0</v>
      </c>
    </row>
    <row r="431" spans="1:11">
      <c r="A431" s="13"/>
      <c r="B431" s="13"/>
      <c r="C431" s="19"/>
      <c r="D431" s="19"/>
      <c r="E431" s="20"/>
      <c r="F431" s="20"/>
      <c r="G431" s="21">
        <f>IF($A431="","",IF($D431&lt;&gt;"",$D431,N($C431)*(1+MarkupPeca)))</f>
        <v>0</v>
      </c>
      <c r="H431" s="22">
        <f>IF($A431="","",SUMIFS(EntQtd,EntCod,$A431))</f>
        <v>0</v>
      </c>
      <c r="I431" s="22">
        <f>IF($A431="","",SUMIFS(ItQtd,ItCod,$A431,ItStatus,"&lt;&gt;Orçamento",ItStatus,"&lt;&gt;Cancelada"))</f>
        <v>0</v>
      </c>
      <c r="J431" s="23">
        <f>IF($A431="","",N($E431)+$H431-$I431)</f>
        <v>0</v>
      </c>
      <c r="K431" s="24">
        <f>IF($A431="","",IF($J431&lt;=0,"RUPTURA",IF($J431&lt;=N($F431),"REPOR","OK")))</f>
        <v>0</v>
      </c>
    </row>
    <row r="432" spans="1:11">
      <c r="A432" s="13"/>
      <c r="B432" s="13"/>
      <c r="C432" s="19"/>
      <c r="D432" s="19"/>
      <c r="E432" s="20"/>
      <c r="F432" s="20"/>
      <c r="G432" s="21">
        <f>IF($A432="","",IF($D432&lt;&gt;"",$D432,N($C432)*(1+MarkupPeca)))</f>
        <v>0</v>
      </c>
      <c r="H432" s="22">
        <f>IF($A432="","",SUMIFS(EntQtd,EntCod,$A432))</f>
        <v>0</v>
      </c>
      <c r="I432" s="22">
        <f>IF($A432="","",SUMIFS(ItQtd,ItCod,$A432,ItStatus,"&lt;&gt;Orçamento",ItStatus,"&lt;&gt;Cancelada"))</f>
        <v>0</v>
      </c>
      <c r="J432" s="23">
        <f>IF($A432="","",N($E432)+$H432-$I432)</f>
        <v>0</v>
      </c>
      <c r="K432" s="24">
        <f>IF($A432="","",IF($J432&lt;=0,"RUPTURA",IF($J432&lt;=N($F432),"REPOR","OK")))</f>
        <v>0</v>
      </c>
    </row>
    <row r="433" spans="1:11">
      <c r="A433" s="13"/>
      <c r="B433" s="13"/>
      <c r="C433" s="19"/>
      <c r="D433" s="19"/>
      <c r="E433" s="20"/>
      <c r="F433" s="20"/>
      <c r="G433" s="21">
        <f>IF($A433="","",IF($D433&lt;&gt;"",$D433,N($C433)*(1+MarkupPeca)))</f>
        <v>0</v>
      </c>
      <c r="H433" s="22">
        <f>IF($A433="","",SUMIFS(EntQtd,EntCod,$A433))</f>
        <v>0</v>
      </c>
      <c r="I433" s="22">
        <f>IF($A433="","",SUMIFS(ItQtd,ItCod,$A433,ItStatus,"&lt;&gt;Orçamento",ItStatus,"&lt;&gt;Cancelada"))</f>
        <v>0</v>
      </c>
      <c r="J433" s="23">
        <f>IF($A433="","",N($E433)+$H433-$I433)</f>
        <v>0</v>
      </c>
      <c r="K433" s="24">
        <f>IF($A433="","",IF($J433&lt;=0,"RUPTURA",IF($J433&lt;=N($F433),"REPOR","OK")))</f>
        <v>0</v>
      </c>
    </row>
    <row r="434" spans="1:11">
      <c r="A434" s="13"/>
      <c r="B434" s="13"/>
      <c r="C434" s="19"/>
      <c r="D434" s="19"/>
      <c r="E434" s="20"/>
      <c r="F434" s="20"/>
      <c r="G434" s="21">
        <f>IF($A434="","",IF($D434&lt;&gt;"",$D434,N($C434)*(1+MarkupPeca)))</f>
        <v>0</v>
      </c>
      <c r="H434" s="22">
        <f>IF($A434="","",SUMIFS(EntQtd,EntCod,$A434))</f>
        <v>0</v>
      </c>
      <c r="I434" s="22">
        <f>IF($A434="","",SUMIFS(ItQtd,ItCod,$A434,ItStatus,"&lt;&gt;Orçamento",ItStatus,"&lt;&gt;Cancelada"))</f>
        <v>0</v>
      </c>
      <c r="J434" s="23">
        <f>IF($A434="","",N($E434)+$H434-$I434)</f>
        <v>0</v>
      </c>
      <c r="K434" s="24">
        <f>IF($A434="","",IF($J434&lt;=0,"RUPTURA",IF($J434&lt;=N($F434),"REPOR","OK")))</f>
        <v>0</v>
      </c>
    </row>
    <row r="435" spans="1:11">
      <c r="A435" s="13"/>
      <c r="B435" s="13"/>
      <c r="C435" s="19"/>
      <c r="D435" s="19"/>
      <c r="E435" s="20"/>
      <c r="F435" s="20"/>
      <c r="G435" s="21">
        <f>IF($A435="","",IF($D435&lt;&gt;"",$D435,N($C435)*(1+MarkupPeca)))</f>
        <v>0</v>
      </c>
      <c r="H435" s="22">
        <f>IF($A435="","",SUMIFS(EntQtd,EntCod,$A435))</f>
        <v>0</v>
      </c>
      <c r="I435" s="22">
        <f>IF($A435="","",SUMIFS(ItQtd,ItCod,$A435,ItStatus,"&lt;&gt;Orçamento",ItStatus,"&lt;&gt;Cancelada"))</f>
        <v>0</v>
      </c>
      <c r="J435" s="23">
        <f>IF($A435="","",N($E435)+$H435-$I435)</f>
        <v>0</v>
      </c>
      <c r="K435" s="24">
        <f>IF($A435="","",IF($J435&lt;=0,"RUPTURA",IF($J435&lt;=N($F435),"REPOR","OK")))</f>
        <v>0</v>
      </c>
    </row>
    <row r="436" spans="1:11">
      <c r="A436" s="13"/>
      <c r="B436" s="13"/>
      <c r="C436" s="19"/>
      <c r="D436" s="19"/>
      <c r="E436" s="20"/>
      <c r="F436" s="20"/>
      <c r="G436" s="21">
        <f>IF($A436="","",IF($D436&lt;&gt;"",$D436,N($C436)*(1+MarkupPeca)))</f>
        <v>0</v>
      </c>
      <c r="H436" s="22">
        <f>IF($A436="","",SUMIFS(EntQtd,EntCod,$A436))</f>
        <v>0</v>
      </c>
      <c r="I436" s="22">
        <f>IF($A436="","",SUMIFS(ItQtd,ItCod,$A436,ItStatus,"&lt;&gt;Orçamento",ItStatus,"&lt;&gt;Cancelada"))</f>
        <v>0</v>
      </c>
      <c r="J436" s="23">
        <f>IF($A436="","",N($E436)+$H436-$I436)</f>
        <v>0</v>
      </c>
      <c r="K436" s="24">
        <f>IF($A436="","",IF($J436&lt;=0,"RUPTURA",IF($J436&lt;=N($F436),"REPOR","OK")))</f>
        <v>0</v>
      </c>
    </row>
    <row r="437" spans="1:11">
      <c r="A437" s="13"/>
      <c r="B437" s="13"/>
      <c r="C437" s="19"/>
      <c r="D437" s="19"/>
      <c r="E437" s="20"/>
      <c r="F437" s="20"/>
      <c r="G437" s="21">
        <f>IF($A437="","",IF($D437&lt;&gt;"",$D437,N($C437)*(1+MarkupPeca)))</f>
        <v>0</v>
      </c>
      <c r="H437" s="22">
        <f>IF($A437="","",SUMIFS(EntQtd,EntCod,$A437))</f>
        <v>0</v>
      </c>
      <c r="I437" s="22">
        <f>IF($A437="","",SUMIFS(ItQtd,ItCod,$A437,ItStatus,"&lt;&gt;Orçamento",ItStatus,"&lt;&gt;Cancelada"))</f>
        <v>0</v>
      </c>
      <c r="J437" s="23">
        <f>IF($A437="","",N($E437)+$H437-$I437)</f>
        <v>0</v>
      </c>
      <c r="K437" s="24">
        <f>IF($A437="","",IF($J437&lt;=0,"RUPTURA",IF($J437&lt;=N($F437),"REPOR","OK")))</f>
        <v>0</v>
      </c>
    </row>
    <row r="438" spans="1:11">
      <c r="A438" s="13"/>
      <c r="B438" s="13"/>
      <c r="C438" s="19"/>
      <c r="D438" s="19"/>
      <c r="E438" s="20"/>
      <c r="F438" s="20"/>
      <c r="G438" s="21">
        <f>IF($A438="","",IF($D438&lt;&gt;"",$D438,N($C438)*(1+MarkupPeca)))</f>
        <v>0</v>
      </c>
      <c r="H438" s="22">
        <f>IF($A438="","",SUMIFS(EntQtd,EntCod,$A438))</f>
        <v>0</v>
      </c>
      <c r="I438" s="22">
        <f>IF($A438="","",SUMIFS(ItQtd,ItCod,$A438,ItStatus,"&lt;&gt;Orçamento",ItStatus,"&lt;&gt;Cancelada"))</f>
        <v>0</v>
      </c>
      <c r="J438" s="23">
        <f>IF($A438="","",N($E438)+$H438-$I438)</f>
        <v>0</v>
      </c>
      <c r="K438" s="24">
        <f>IF($A438="","",IF($J438&lt;=0,"RUPTURA",IF($J438&lt;=N($F438),"REPOR","OK")))</f>
        <v>0</v>
      </c>
    </row>
    <row r="439" spans="1:11">
      <c r="A439" s="13"/>
      <c r="B439" s="13"/>
      <c r="C439" s="19"/>
      <c r="D439" s="19"/>
      <c r="E439" s="20"/>
      <c r="F439" s="20"/>
      <c r="G439" s="21">
        <f>IF($A439="","",IF($D439&lt;&gt;"",$D439,N($C439)*(1+MarkupPeca)))</f>
        <v>0</v>
      </c>
      <c r="H439" s="22">
        <f>IF($A439="","",SUMIFS(EntQtd,EntCod,$A439))</f>
        <v>0</v>
      </c>
      <c r="I439" s="22">
        <f>IF($A439="","",SUMIFS(ItQtd,ItCod,$A439,ItStatus,"&lt;&gt;Orçamento",ItStatus,"&lt;&gt;Cancelada"))</f>
        <v>0</v>
      </c>
      <c r="J439" s="23">
        <f>IF($A439="","",N($E439)+$H439-$I439)</f>
        <v>0</v>
      </c>
      <c r="K439" s="24">
        <f>IF($A439="","",IF($J439&lt;=0,"RUPTURA",IF($J439&lt;=N($F439),"REPOR","OK")))</f>
        <v>0</v>
      </c>
    </row>
    <row r="440" spans="1:11">
      <c r="A440" s="13"/>
      <c r="B440" s="13"/>
      <c r="C440" s="19"/>
      <c r="D440" s="19"/>
      <c r="E440" s="20"/>
      <c r="F440" s="20"/>
      <c r="G440" s="21">
        <f>IF($A440="","",IF($D440&lt;&gt;"",$D440,N($C440)*(1+MarkupPeca)))</f>
        <v>0</v>
      </c>
      <c r="H440" s="22">
        <f>IF($A440="","",SUMIFS(EntQtd,EntCod,$A440))</f>
        <v>0</v>
      </c>
      <c r="I440" s="22">
        <f>IF($A440="","",SUMIFS(ItQtd,ItCod,$A440,ItStatus,"&lt;&gt;Orçamento",ItStatus,"&lt;&gt;Cancelada"))</f>
        <v>0</v>
      </c>
      <c r="J440" s="23">
        <f>IF($A440="","",N($E440)+$H440-$I440)</f>
        <v>0</v>
      </c>
      <c r="K440" s="24">
        <f>IF($A440="","",IF($J440&lt;=0,"RUPTURA",IF($J440&lt;=N($F440),"REPOR","OK")))</f>
        <v>0</v>
      </c>
    </row>
    <row r="441" spans="1:11">
      <c r="A441" s="13"/>
      <c r="B441" s="13"/>
      <c r="C441" s="19"/>
      <c r="D441" s="19"/>
      <c r="E441" s="20"/>
      <c r="F441" s="20"/>
      <c r="G441" s="21">
        <f>IF($A441="","",IF($D441&lt;&gt;"",$D441,N($C441)*(1+MarkupPeca)))</f>
        <v>0</v>
      </c>
      <c r="H441" s="22">
        <f>IF($A441="","",SUMIFS(EntQtd,EntCod,$A441))</f>
        <v>0</v>
      </c>
      <c r="I441" s="22">
        <f>IF($A441="","",SUMIFS(ItQtd,ItCod,$A441,ItStatus,"&lt;&gt;Orçamento",ItStatus,"&lt;&gt;Cancelada"))</f>
        <v>0</v>
      </c>
      <c r="J441" s="23">
        <f>IF($A441="","",N($E441)+$H441-$I441)</f>
        <v>0</v>
      </c>
      <c r="K441" s="24">
        <f>IF($A441="","",IF($J441&lt;=0,"RUPTURA",IF($J441&lt;=N($F441),"REPOR","OK")))</f>
        <v>0</v>
      </c>
    </row>
    <row r="442" spans="1:11">
      <c r="A442" s="13"/>
      <c r="B442" s="13"/>
      <c r="C442" s="19"/>
      <c r="D442" s="19"/>
      <c r="E442" s="20"/>
      <c r="F442" s="20"/>
      <c r="G442" s="21">
        <f>IF($A442="","",IF($D442&lt;&gt;"",$D442,N($C442)*(1+MarkupPeca)))</f>
        <v>0</v>
      </c>
      <c r="H442" s="22">
        <f>IF($A442="","",SUMIFS(EntQtd,EntCod,$A442))</f>
        <v>0</v>
      </c>
      <c r="I442" s="22">
        <f>IF($A442="","",SUMIFS(ItQtd,ItCod,$A442,ItStatus,"&lt;&gt;Orçamento",ItStatus,"&lt;&gt;Cancelada"))</f>
        <v>0</v>
      </c>
      <c r="J442" s="23">
        <f>IF($A442="","",N($E442)+$H442-$I442)</f>
        <v>0</v>
      </c>
      <c r="K442" s="24">
        <f>IF($A442="","",IF($J442&lt;=0,"RUPTURA",IF($J442&lt;=N($F442),"REPOR","OK")))</f>
        <v>0</v>
      </c>
    </row>
    <row r="443" spans="1:11">
      <c r="A443" s="13"/>
      <c r="B443" s="13"/>
      <c r="C443" s="19"/>
      <c r="D443" s="19"/>
      <c r="E443" s="20"/>
      <c r="F443" s="20"/>
      <c r="G443" s="21">
        <f>IF($A443="","",IF($D443&lt;&gt;"",$D443,N($C443)*(1+MarkupPeca)))</f>
        <v>0</v>
      </c>
      <c r="H443" s="22">
        <f>IF($A443="","",SUMIFS(EntQtd,EntCod,$A443))</f>
        <v>0</v>
      </c>
      <c r="I443" s="22">
        <f>IF($A443="","",SUMIFS(ItQtd,ItCod,$A443,ItStatus,"&lt;&gt;Orçamento",ItStatus,"&lt;&gt;Cancelada"))</f>
        <v>0</v>
      </c>
      <c r="J443" s="23">
        <f>IF($A443="","",N($E443)+$H443-$I443)</f>
        <v>0</v>
      </c>
      <c r="K443" s="24">
        <f>IF($A443="","",IF($J443&lt;=0,"RUPTURA",IF($J443&lt;=N($F443),"REPOR","OK")))</f>
        <v>0</v>
      </c>
    </row>
    <row r="444" spans="1:11">
      <c r="A444" s="13"/>
      <c r="B444" s="13"/>
      <c r="C444" s="19"/>
      <c r="D444" s="19"/>
      <c r="E444" s="20"/>
      <c r="F444" s="20"/>
      <c r="G444" s="21">
        <f>IF($A444="","",IF($D444&lt;&gt;"",$D444,N($C444)*(1+MarkupPeca)))</f>
        <v>0</v>
      </c>
      <c r="H444" s="22">
        <f>IF($A444="","",SUMIFS(EntQtd,EntCod,$A444))</f>
        <v>0</v>
      </c>
      <c r="I444" s="22">
        <f>IF($A444="","",SUMIFS(ItQtd,ItCod,$A444,ItStatus,"&lt;&gt;Orçamento",ItStatus,"&lt;&gt;Cancelada"))</f>
        <v>0</v>
      </c>
      <c r="J444" s="23">
        <f>IF($A444="","",N($E444)+$H444-$I444)</f>
        <v>0</v>
      </c>
      <c r="K444" s="24">
        <f>IF($A444="","",IF($J444&lt;=0,"RUPTURA",IF($J444&lt;=N($F444),"REPOR","OK")))</f>
        <v>0</v>
      </c>
    </row>
    <row r="445" spans="1:11">
      <c r="A445" s="13"/>
      <c r="B445" s="13"/>
      <c r="C445" s="19"/>
      <c r="D445" s="19"/>
      <c r="E445" s="20"/>
      <c r="F445" s="20"/>
      <c r="G445" s="21">
        <f>IF($A445="","",IF($D445&lt;&gt;"",$D445,N($C445)*(1+MarkupPeca)))</f>
        <v>0</v>
      </c>
      <c r="H445" s="22">
        <f>IF($A445="","",SUMIFS(EntQtd,EntCod,$A445))</f>
        <v>0</v>
      </c>
      <c r="I445" s="22">
        <f>IF($A445="","",SUMIFS(ItQtd,ItCod,$A445,ItStatus,"&lt;&gt;Orçamento",ItStatus,"&lt;&gt;Cancelada"))</f>
        <v>0</v>
      </c>
      <c r="J445" s="23">
        <f>IF($A445="","",N($E445)+$H445-$I445)</f>
        <v>0</v>
      </c>
      <c r="K445" s="24">
        <f>IF($A445="","",IF($J445&lt;=0,"RUPTURA",IF($J445&lt;=N($F445),"REPOR","OK")))</f>
        <v>0</v>
      </c>
    </row>
    <row r="446" spans="1:11">
      <c r="A446" s="13"/>
      <c r="B446" s="13"/>
      <c r="C446" s="19"/>
      <c r="D446" s="19"/>
      <c r="E446" s="20"/>
      <c r="F446" s="20"/>
      <c r="G446" s="21">
        <f>IF($A446="","",IF($D446&lt;&gt;"",$D446,N($C446)*(1+MarkupPeca)))</f>
        <v>0</v>
      </c>
      <c r="H446" s="22">
        <f>IF($A446="","",SUMIFS(EntQtd,EntCod,$A446))</f>
        <v>0</v>
      </c>
      <c r="I446" s="22">
        <f>IF($A446="","",SUMIFS(ItQtd,ItCod,$A446,ItStatus,"&lt;&gt;Orçamento",ItStatus,"&lt;&gt;Cancelada"))</f>
        <v>0</v>
      </c>
      <c r="J446" s="23">
        <f>IF($A446="","",N($E446)+$H446-$I446)</f>
        <v>0</v>
      </c>
      <c r="K446" s="24">
        <f>IF($A446="","",IF($J446&lt;=0,"RUPTURA",IF($J446&lt;=N($F446),"REPOR","OK")))</f>
        <v>0</v>
      </c>
    </row>
    <row r="447" spans="1:11">
      <c r="A447" s="13"/>
      <c r="B447" s="13"/>
      <c r="C447" s="19"/>
      <c r="D447" s="19"/>
      <c r="E447" s="20"/>
      <c r="F447" s="20"/>
      <c r="G447" s="21">
        <f>IF($A447="","",IF($D447&lt;&gt;"",$D447,N($C447)*(1+MarkupPeca)))</f>
        <v>0</v>
      </c>
      <c r="H447" s="22">
        <f>IF($A447="","",SUMIFS(EntQtd,EntCod,$A447))</f>
        <v>0</v>
      </c>
      <c r="I447" s="22">
        <f>IF($A447="","",SUMIFS(ItQtd,ItCod,$A447,ItStatus,"&lt;&gt;Orçamento",ItStatus,"&lt;&gt;Cancelada"))</f>
        <v>0</v>
      </c>
      <c r="J447" s="23">
        <f>IF($A447="","",N($E447)+$H447-$I447)</f>
        <v>0</v>
      </c>
      <c r="K447" s="24">
        <f>IF($A447="","",IF($J447&lt;=0,"RUPTURA",IF($J447&lt;=N($F447),"REPOR","OK")))</f>
        <v>0</v>
      </c>
    </row>
    <row r="448" spans="1:11">
      <c r="A448" s="13"/>
      <c r="B448" s="13"/>
      <c r="C448" s="19"/>
      <c r="D448" s="19"/>
      <c r="E448" s="20"/>
      <c r="F448" s="20"/>
      <c r="G448" s="21">
        <f>IF($A448="","",IF($D448&lt;&gt;"",$D448,N($C448)*(1+MarkupPeca)))</f>
        <v>0</v>
      </c>
      <c r="H448" s="22">
        <f>IF($A448="","",SUMIFS(EntQtd,EntCod,$A448))</f>
        <v>0</v>
      </c>
      <c r="I448" s="22">
        <f>IF($A448="","",SUMIFS(ItQtd,ItCod,$A448,ItStatus,"&lt;&gt;Orçamento",ItStatus,"&lt;&gt;Cancelada"))</f>
        <v>0</v>
      </c>
      <c r="J448" s="23">
        <f>IF($A448="","",N($E448)+$H448-$I448)</f>
        <v>0</v>
      </c>
      <c r="K448" s="24">
        <f>IF($A448="","",IF($J448&lt;=0,"RUPTURA",IF($J448&lt;=N($F448),"REPOR","OK")))</f>
        <v>0</v>
      </c>
    </row>
    <row r="449" spans="1:11">
      <c r="A449" s="13"/>
      <c r="B449" s="13"/>
      <c r="C449" s="19"/>
      <c r="D449" s="19"/>
      <c r="E449" s="20"/>
      <c r="F449" s="20"/>
      <c r="G449" s="21">
        <f>IF($A449="","",IF($D449&lt;&gt;"",$D449,N($C449)*(1+MarkupPeca)))</f>
        <v>0</v>
      </c>
      <c r="H449" s="22">
        <f>IF($A449="","",SUMIFS(EntQtd,EntCod,$A449))</f>
        <v>0</v>
      </c>
      <c r="I449" s="22">
        <f>IF($A449="","",SUMIFS(ItQtd,ItCod,$A449,ItStatus,"&lt;&gt;Orçamento",ItStatus,"&lt;&gt;Cancelada"))</f>
        <v>0</v>
      </c>
      <c r="J449" s="23">
        <f>IF($A449="","",N($E449)+$H449-$I449)</f>
        <v>0</v>
      </c>
      <c r="K449" s="24">
        <f>IF($A449="","",IF($J449&lt;=0,"RUPTURA",IF($J449&lt;=N($F449),"REPOR","OK")))</f>
        <v>0</v>
      </c>
    </row>
    <row r="450" spans="1:11">
      <c r="A450" s="13"/>
      <c r="B450" s="13"/>
      <c r="C450" s="19"/>
      <c r="D450" s="19"/>
      <c r="E450" s="20"/>
      <c r="F450" s="20"/>
      <c r="G450" s="21">
        <f>IF($A450="","",IF($D450&lt;&gt;"",$D450,N($C450)*(1+MarkupPeca)))</f>
        <v>0</v>
      </c>
      <c r="H450" s="22">
        <f>IF($A450="","",SUMIFS(EntQtd,EntCod,$A450))</f>
        <v>0</v>
      </c>
      <c r="I450" s="22">
        <f>IF($A450="","",SUMIFS(ItQtd,ItCod,$A450,ItStatus,"&lt;&gt;Orçamento",ItStatus,"&lt;&gt;Cancelada"))</f>
        <v>0</v>
      </c>
      <c r="J450" s="23">
        <f>IF($A450="","",N($E450)+$H450-$I450)</f>
        <v>0</v>
      </c>
      <c r="K450" s="24">
        <f>IF($A450="","",IF($J450&lt;=0,"RUPTURA",IF($J450&lt;=N($F450),"REPOR","OK")))</f>
        <v>0</v>
      </c>
    </row>
    <row r="451" spans="1:11">
      <c r="A451" s="13"/>
      <c r="B451" s="13"/>
      <c r="C451" s="19"/>
      <c r="D451" s="19"/>
      <c r="E451" s="20"/>
      <c r="F451" s="20"/>
      <c r="G451" s="21">
        <f>IF($A451="","",IF($D451&lt;&gt;"",$D451,N($C451)*(1+MarkupPeca)))</f>
        <v>0</v>
      </c>
      <c r="H451" s="22">
        <f>IF($A451="","",SUMIFS(EntQtd,EntCod,$A451))</f>
        <v>0</v>
      </c>
      <c r="I451" s="22">
        <f>IF($A451="","",SUMIFS(ItQtd,ItCod,$A451,ItStatus,"&lt;&gt;Orçamento",ItStatus,"&lt;&gt;Cancelada"))</f>
        <v>0</v>
      </c>
      <c r="J451" s="23">
        <f>IF($A451="","",N($E451)+$H451-$I451)</f>
        <v>0</v>
      </c>
      <c r="K451" s="24">
        <f>IF($A451="","",IF($J451&lt;=0,"RUPTURA",IF($J451&lt;=N($F451),"REPOR","OK")))</f>
        <v>0</v>
      </c>
    </row>
    <row r="452" spans="1:11">
      <c r="A452" s="13"/>
      <c r="B452" s="13"/>
      <c r="C452" s="19"/>
      <c r="D452" s="19"/>
      <c r="E452" s="20"/>
      <c r="F452" s="20"/>
      <c r="G452" s="21">
        <f>IF($A452="","",IF($D452&lt;&gt;"",$D452,N($C452)*(1+MarkupPeca)))</f>
        <v>0</v>
      </c>
      <c r="H452" s="22">
        <f>IF($A452="","",SUMIFS(EntQtd,EntCod,$A452))</f>
        <v>0</v>
      </c>
      <c r="I452" s="22">
        <f>IF($A452="","",SUMIFS(ItQtd,ItCod,$A452,ItStatus,"&lt;&gt;Orçamento",ItStatus,"&lt;&gt;Cancelada"))</f>
        <v>0</v>
      </c>
      <c r="J452" s="23">
        <f>IF($A452="","",N($E452)+$H452-$I452)</f>
        <v>0</v>
      </c>
      <c r="K452" s="24">
        <f>IF($A452="","",IF($J452&lt;=0,"RUPTURA",IF($J452&lt;=N($F452),"REPOR","OK")))</f>
        <v>0</v>
      </c>
    </row>
    <row r="453" spans="1:11">
      <c r="A453" s="13"/>
      <c r="B453" s="13"/>
      <c r="C453" s="19"/>
      <c r="D453" s="19"/>
      <c r="E453" s="20"/>
      <c r="F453" s="20"/>
      <c r="G453" s="21">
        <f>IF($A453="","",IF($D453&lt;&gt;"",$D453,N($C453)*(1+MarkupPeca)))</f>
        <v>0</v>
      </c>
      <c r="H453" s="22">
        <f>IF($A453="","",SUMIFS(EntQtd,EntCod,$A453))</f>
        <v>0</v>
      </c>
      <c r="I453" s="22">
        <f>IF($A453="","",SUMIFS(ItQtd,ItCod,$A453,ItStatus,"&lt;&gt;Orçamento",ItStatus,"&lt;&gt;Cancelada"))</f>
        <v>0</v>
      </c>
      <c r="J453" s="23">
        <f>IF($A453="","",N($E453)+$H453-$I453)</f>
        <v>0</v>
      </c>
      <c r="K453" s="24">
        <f>IF($A453="","",IF($J453&lt;=0,"RUPTURA",IF($J453&lt;=N($F453),"REPOR","OK")))</f>
        <v>0</v>
      </c>
    </row>
    <row r="454" spans="1:11">
      <c r="A454" s="13"/>
      <c r="B454" s="13"/>
      <c r="C454" s="19"/>
      <c r="D454" s="19"/>
      <c r="E454" s="20"/>
      <c r="F454" s="20"/>
      <c r="G454" s="21">
        <f>IF($A454="","",IF($D454&lt;&gt;"",$D454,N($C454)*(1+MarkupPeca)))</f>
        <v>0</v>
      </c>
      <c r="H454" s="22">
        <f>IF($A454="","",SUMIFS(EntQtd,EntCod,$A454))</f>
        <v>0</v>
      </c>
      <c r="I454" s="22">
        <f>IF($A454="","",SUMIFS(ItQtd,ItCod,$A454,ItStatus,"&lt;&gt;Orçamento",ItStatus,"&lt;&gt;Cancelada"))</f>
        <v>0</v>
      </c>
      <c r="J454" s="23">
        <f>IF($A454="","",N($E454)+$H454-$I454)</f>
        <v>0</v>
      </c>
      <c r="K454" s="24">
        <f>IF($A454="","",IF($J454&lt;=0,"RUPTURA",IF($J454&lt;=N($F454),"REPOR","OK")))</f>
        <v>0</v>
      </c>
    </row>
    <row r="455" spans="1:11">
      <c r="A455" s="13"/>
      <c r="B455" s="13"/>
      <c r="C455" s="19"/>
      <c r="D455" s="19"/>
      <c r="E455" s="20"/>
      <c r="F455" s="20"/>
      <c r="G455" s="21">
        <f>IF($A455="","",IF($D455&lt;&gt;"",$D455,N($C455)*(1+MarkupPeca)))</f>
        <v>0</v>
      </c>
      <c r="H455" s="22">
        <f>IF($A455="","",SUMIFS(EntQtd,EntCod,$A455))</f>
        <v>0</v>
      </c>
      <c r="I455" s="22">
        <f>IF($A455="","",SUMIFS(ItQtd,ItCod,$A455,ItStatus,"&lt;&gt;Orçamento",ItStatus,"&lt;&gt;Cancelada"))</f>
        <v>0</v>
      </c>
      <c r="J455" s="23">
        <f>IF($A455="","",N($E455)+$H455-$I455)</f>
        <v>0</v>
      </c>
      <c r="K455" s="24">
        <f>IF($A455="","",IF($J455&lt;=0,"RUPTURA",IF($J455&lt;=N($F455),"REPOR","OK")))</f>
        <v>0</v>
      </c>
    </row>
    <row r="456" spans="1:11">
      <c r="A456" s="13"/>
      <c r="B456" s="13"/>
      <c r="C456" s="19"/>
      <c r="D456" s="19"/>
      <c r="E456" s="20"/>
      <c r="F456" s="20"/>
      <c r="G456" s="21">
        <f>IF($A456="","",IF($D456&lt;&gt;"",$D456,N($C456)*(1+MarkupPeca)))</f>
        <v>0</v>
      </c>
      <c r="H456" s="22">
        <f>IF($A456="","",SUMIFS(EntQtd,EntCod,$A456))</f>
        <v>0</v>
      </c>
      <c r="I456" s="22">
        <f>IF($A456="","",SUMIFS(ItQtd,ItCod,$A456,ItStatus,"&lt;&gt;Orçamento",ItStatus,"&lt;&gt;Cancelada"))</f>
        <v>0</v>
      </c>
      <c r="J456" s="23">
        <f>IF($A456="","",N($E456)+$H456-$I456)</f>
        <v>0</v>
      </c>
      <c r="K456" s="24">
        <f>IF($A456="","",IF($J456&lt;=0,"RUPTURA",IF($J456&lt;=N($F456),"REPOR","OK")))</f>
        <v>0</v>
      </c>
    </row>
    <row r="457" spans="1:11">
      <c r="A457" s="13"/>
      <c r="B457" s="13"/>
      <c r="C457" s="19"/>
      <c r="D457" s="19"/>
      <c r="E457" s="20"/>
      <c r="F457" s="20"/>
      <c r="G457" s="21">
        <f>IF($A457="","",IF($D457&lt;&gt;"",$D457,N($C457)*(1+MarkupPeca)))</f>
        <v>0</v>
      </c>
      <c r="H457" s="22">
        <f>IF($A457="","",SUMIFS(EntQtd,EntCod,$A457))</f>
        <v>0</v>
      </c>
      <c r="I457" s="22">
        <f>IF($A457="","",SUMIFS(ItQtd,ItCod,$A457,ItStatus,"&lt;&gt;Orçamento",ItStatus,"&lt;&gt;Cancelada"))</f>
        <v>0</v>
      </c>
      <c r="J457" s="23">
        <f>IF($A457="","",N($E457)+$H457-$I457)</f>
        <v>0</v>
      </c>
      <c r="K457" s="24">
        <f>IF($A457="","",IF($J457&lt;=0,"RUPTURA",IF($J457&lt;=N($F457),"REPOR","OK")))</f>
        <v>0</v>
      </c>
    </row>
    <row r="458" spans="1:11">
      <c r="A458" s="13"/>
      <c r="B458" s="13"/>
      <c r="C458" s="19"/>
      <c r="D458" s="19"/>
      <c r="E458" s="20"/>
      <c r="F458" s="20"/>
      <c r="G458" s="21">
        <f>IF($A458="","",IF($D458&lt;&gt;"",$D458,N($C458)*(1+MarkupPeca)))</f>
        <v>0</v>
      </c>
      <c r="H458" s="22">
        <f>IF($A458="","",SUMIFS(EntQtd,EntCod,$A458))</f>
        <v>0</v>
      </c>
      <c r="I458" s="22">
        <f>IF($A458="","",SUMIFS(ItQtd,ItCod,$A458,ItStatus,"&lt;&gt;Orçamento",ItStatus,"&lt;&gt;Cancelada"))</f>
        <v>0</v>
      </c>
      <c r="J458" s="23">
        <f>IF($A458="","",N($E458)+$H458-$I458)</f>
        <v>0</v>
      </c>
      <c r="K458" s="24">
        <f>IF($A458="","",IF($J458&lt;=0,"RUPTURA",IF($J458&lt;=N($F458),"REPOR","OK")))</f>
        <v>0</v>
      </c>
    </row>
    <row r="459" spans="1:11">
      <c r="A459" s="13"/>
      <c r="B459" s="13"/>
      <c r="C459" s="19"/>
      <c r="D459" s="19"/>
      <c r="E459" s="20"/>
      <c r="F459" s="20"/>
      <c r="G459" s="21">
        <f>IF($A459="","",IF($D459&lt;&gt;"",$D459,N($C459)*(1+MarkupPeca)))</f>
        <v>0</v>
      </c>
      <c r="H459" s="22">
        <f>IF($A459="","",SUMIFS(EntQtd,EntCod,$A459))</f>
        <v>0</v>
      </c>
      <c r="I459" s="22">
        <f>IF($A459="","",SUMIFS(ItQtd,ItCod,$A459,ItStatus,"&lt;&gt;Orçamento",ItStatus,"&lt;&gt;Cancelada"))</f>
        <v>0</v>
      </c>
      <c r="J459" s="23">
        <f>IF($A459="","",N($E459)+$H459-$I459)</f>
        <v>0</v>
      </c>
      <c r="K459" s="24">
        <f>IF($A459="","",IF($J459&lt;=0,"RUPTURA",IF($J459&lt;=N($F459),"REPOR","OK")))</f>
        <v>0</v>
      </c>
    </row>
    <row r="460" spans="1:11">
      <c r="A460" s="13"/>
      <c r="B460" s="13"/>
      <c r="C460" s="19"/>
      <c r="D460" s="19"/>
      <c r="E460" s="20"/>
      <c r="F460" s="20"/>
      <c r="G460" s="21">
        <f>IF($A460="","",IF($D460&lt;&gt;"",$D460,N($C460)*(1+MarkupPeca)))</f>
        <v>0</v>
      </c>
      <c r="H460" s="22">
        <f>IF($A460="","",SUMIFS(EntQtd,EntCod,$A460))</f>
        <v>0</v>
      </c>
      <c r="I460" s="22">
        <f>IF($A460="","",SUMIFS(ItQtd,ItCod,$A460,ItStatus,"&lt;&gt;Orçamento",ItStatus,"&lt;&gt;Cancelada"))</f>
        <v>0</v>
      </c>
      <c r="J460" s="23">
        <f>IF($A460="","",N($E460)+$H460-$I460)</f>
        <v>0</v>
      </c>
      <c r="K460" s="24">
        <f>IF($A460="","",IF($J460&lt;=0,"RUPTURA",IF($J460&lt;=N($F460),"REPOR","OK")))</f>
        <v>0</v>
      </c>
    </row>
    <row r="461" spans="1:11">
      <c r="A461" s="13"/>
      <c r="B461" s="13"/>
      <c r="C461" s="19"/>
      <c r="D461" s="19"/>
      <c r="E461" s="20"/>
      <c r="F461" s="20"/>
      <c r="G461" s="21">
        <f>IF($A461="","",IF($D461&lt;&gt;"",$D461,N($C461)*(1+MarkupPeca)))</f>
        <v>0</v>
      </c>
      <c r="H461" s="22">
        <f>IF($A461="","",SUMIFS(EntQtd,EntCod,$A461))</f>
        <v>0</v>
      </c>
      <c r="I461" s="22">
        <f>IF($A461="","",SUMIFS(ItQtd,ItCod,$A461,ItStatus,"&lt;&gt;Orçamento",ItStatus,"&lt;&gt;Cancelada"))</f>
        <v>0</v>
      </c>
      <c r="J461" s="23">
        <f>IF($A461="","",N($E461)+$H461-$I461)</f>
        <v>0</v>
      </c>
      <c r="K461" s="24">
        <f>IF($A461="","",IF($J461&lt;=0,"RUPTURA",IF($J461&lt;=N($F461),"REPOR","OK")))</f>
        <v>0</v>
      </c>
    </row>
    <row r="462" spans="1:11">
      <c r="A462" s="13"/>
      <c r="B462" s="13"/>
      <c r="C462" s="19"/>
      <c r="D462" s="19"/>
      <c r="E462" s="20"/>
      <c r="F462" s="20"/>
      <c r="G462" s="21">
        <f>IF($A462="","",IF($D462&lt;&gt;"",$D462,N($C462)*(1+MarkupPeca)))</f>
        <v>0</v>
      </c>
      <c r="H462" s="22">
        <f>IF($A462="","",SUMIFS(EntQtd,EntCod,$A462))</f>
        <v>0</v>
      </c>
      <c r="I462" s="22">
        <f>IF($A462="","",SUMIFS(ItQtd,ItCod,$A462,ItStatus,"&lt;&gt;Orçamento",ItStatus,"&lt;&gt;Cancelada"))</f>
        <v>0</v>
      </c>
      <c r="J462" s="23">
        <f>IF($A462="","",N($E462)+$H462-$I462)</f>
        <v>0</v>
      </c>
      <c r="K462" s="24">
        <f>IF($A462="","",IF($J462&lt;=0,"RUPTURA",IF($J462&lt;=N($F462),"REPOR","OK")))</f>
        <v>0</v>
      </c>
    </row>
    <row r="463" spans="1:11">
      <c r="A463" s="13"/>
      <c r="B463" s="13"/>
      <c r="C463" s="19"/>
      <c r="D463" s="19"/>
      <c r="E463" s="20"/>
      <c r="F463" s="20"/>
      <c r="G463" s="21">
        <f>IF($A463="","",IF($D463&lt;&gt;"",$D463,N($C463)*(1+MarkupPeca)))</f>
        <v>0</v>
      </c>
      <c r="H463" s="22">
        <f>IF($A463="","",SUMIFS(EntQtd,EntCod,$A463))</f>
        <v>0</v>
      </c>
      <c r="I463" s="22">
        <f>IF($A463="","",SUMIFS(ItQtd,ItCod,$A463,ItStatus,"&lt;&gt;Orçamento",ItStatus,"&lt;&gt;Cancelada"))</f>
        <v>0</v>
      </c>
      <c r="J463" s="23">
        <f>IF($A463="","",N($E463)+$H463-$I463)</f>
        <v>0</v>
      </c>
      <c r="K463" s="24">
        <f>IF($A463="","",IF($J463&lt;=0,"RUPTURA",IF($J463&lt;=N($F463),"REPOR","OK")))</f>
        <v>0</v>
      </c>
    </row>
    <row r="464" spans="1:11">
      <c r="A464" s="13"/>
      <c r="B464" s="13"/>
      <c r="C464" s="19"/>
      <c r="D464" s="19"/>
      <c r="E464" s="20"/>
      <c r="F464" s="20"/>
      <c r="G464" s="21">
        <f>IF($A464="","",IF($D464&lt;&gt;"",$D464,N($C464)*(1+MarkupPeca)))</f>
        <v>0</v>
      </c>
      <c r="H464" s="22">
        <f>IF($A464="","",SUMIFS(EntQtd,EntCod,$A464))</f>
        <v>0</v>
      </c>
      <c r="I464" s="22">
        <f>IF($A464="","",SUMIFS(ItQtd,ItCod,$A464,ItStatus,"&lt;&gt;Orçamento",ItStatus,"&lt;&gt;Cancelada"))</f>
        <v>0</v>
      </c>
      <c r="J464" s="23">
        <f>IF($A464="","",N($E464)+$H464-$I464)</f>
        <v>0</v>
      </c>
      <c r="K464" s="24">
        <f>IF($A464="","",IF($J464&lt;=0,"RUPTURA",IF($J464&lt;=N($F464),"REPOR","OK")))</f>
        <v>0</v>
      </c>
    </row>
    <row r="465" spans="1:11">
      <c r="A465" s="13"/>
      <c r="B465" s="13"/>
      <c r="C465" s="19"/>
      <c r="D465" s="19"/>
      <c r="E465" s="20"/>
      <c r="F465" s="20"/>
      <c r="G465" s="21">
        <f>IF($A465="","",IF($D465&lt;&gt;"",$D465,N($C465)*(1+MarkupPeca)))</f>
        <v>0</v>
      </c>
      <c r="H465" s="22">
        <f>IF($A465="","",SUMIFS(EntQtd,EntCod,$A465))</f>
        <v>0</v>
      </c>
      <c r="I465" s="22">
        <f>IF($A465="","",SUMIFS(ItQtd,ItCod,$A465,ItStatus,"&lt;&gt;Orçamento",ItStatus,"&lt;&gt;Cancelada"))</f>
        <v>0</v>
      </c>
      <c r="J465" s="23">
        <f>IF($A465="","",N($E465)+$H465-$I465)</f>
        <v>0</v>
      </c>
      <c r="K465" s="24">
        <f>IF($A465="","",IF($J465&lt;=0,"RUPTURA",IF($J465&lt;=N($F465),"REPOR","OK")))</f>
        <v>0</v>
      </c>
    </row>
    <row r="466" spans="1:11">
      <c r="A466" s="13"/>
      <c r="B466" s="13"/>
      <c r="C466" s="19"/>
      <c r="D466" s="19"/>
      <c r="E466" s="20"/>
      <c r="F466" s="20"/>
      <c r="G466" s="21">
        <f>IF($A466="","",IF($D466&lt;&gt;"",$D466,N($C466)*(1+MarkupPeca)))</f>
        <v>0</v>
      </c>
      <c r="H466" s="22">
        <f>IF($A466="","",SUMIFS(EntQtd,EntCod,$A466))</f>
        <v>0</v>
      </c>
      <c r="I466" s="22">
        <f>IF($A466="","",SUMIFS(ItQtd,ItCod,$A466,ItStatus,"&lt;&gt;Orçamento",ItStatus,"&lt;&gt;Cancelada"))</f>
        <v>0</v>
      </c>
      <c r="J466" s="23">
        <f>IF($A466="","",N($E466)+$H466-$I466)</f>
        <v>0</v>
      </c>
      <c r="K466" s="24">
        <f>IF($A466="","",IF($J466&lt;=0,"RUPTURA",IF($J466&lt;=N($F466),"REPOR","OK")))</f>
        <v>0</v>
      </c>
    </row>
    <row r="467" spans="1:11">
      <c r="A467" s="13"/>
      <c r="B467" s="13"/>
      <c r="C467" s="19"/>
      <c r="D467" s="19"/>
      <c r="E467" s="20"/>
      <c r="F467" s="20"/>
      <c r="G467" s="21">
        <f>IF($A467="","",IF($D467&lt;&gt;"",$D467,N($C467)*(1+MarkupPeca)))</f>
        <v>0</v>
      </c>
      <c r="H467" s="22">
        <f>IF($A467="","",SUMIFS(EntQtd,EntCod,$A467))</f>
        <v>0</v>
      </c>
      <c r="I467" s="22">
        <f>IF($A467="","",SUMIFS(ItQtd,ItCod,$A467,ItStatus,"&lt;&gt;Orçamento",ItStatus,"&lt;&gt;Cancelada"))</f>
        <v>0</v>
      </c>
      <c r="J467" s="23">
        <f>IF($A467="","",N($E467)+$H467-$I467)</f>
        <v>0</v>
      </c>
      <c r="K467" s="24">
        <f>IF($A467="","",IF($J467&lt;=0,"RUPTURA",IF($J467&lt;=N($F467),"REPOR","OK")))</f>
        <v>0</v>
      </c>
    </row>
    <row r="468" spans="1:11">
      <c r="A468" s="13"/>
      <c r="B468" s="13"/>
      <c r="C468" s="19"/>
      <c r="D468" s="19"/>
      <c r="E468" s="20"/>
      <c r="F468" s="20"/>
      <c r="G468" s="21">
        <f>IF($A468="","",IF($D468&lt;&gt;"",$D468,N($C468)*(1+MarkupPeca)))</f>
        <v>0</v>
      </c>
      <c r="H468" s="22">
        <f>IF($A468="","",SUMIFS(EntQtd,EntCod,$A468))</f>
        <v>0</v>
      </c>
      <c r="I468" s="22">
        <f>IF($A468="","",SUMIFS(ItQtd,ItCod,$A468,ItStatus,"&lt;&gt;Orçamento",ItStatus,"&lt;&gt;Cancelada"))</f>
        <v>0</v>
      </c>
      <c r="J468" s="23">
        <f>IF($A468="","",N($E468)+$H468-$I468)</f>
        <v>0</v>
      </c>
      <c r="K468" s="24">
        <f>IF($A468="","",IF($J468&lt;=0,"RUPTURA",IF($J468&lt;=N($F468),"REPOR","OK")))</f>
        <v>0</v>
      </c>
    </row>
    <row r="469" spans="1:11">
      <c r="A469" s="13"/>
      <c r="B469" s="13"/>
      <c r="C469" s="19"/>
      <c r="D469" s="19"/>
      <c r="E469" s="20"/>
      <c r="F469" s="20"/>
      <c r="G469" s="21">
        <f>IF($A469="","",IF($D469&lt;&gt;"",$D469,N($C469)*(1+MarkupPeca)))</f>
        <v>0</v>
      </c>
      <c r="H469" s="22">
        <f>IF($A469="","",SUMIFS(EntQtd,EntCod,$A469))</f>
        <v>0</v>
      </c>
      <c r="I469" s="22">
        <f>IF($A469="","",SUMIFS(ItQtd,ItCod,$A469,ItStatus,"&lt;&gt;Orçamento",ItStatus,"&lt;&gt;Cancelada"))</f>
        <v>0</v>
      </c>
      <c r="J469" s="23">
        <f>IF($A469="","",N($E469)+$H469-$I469)</f>
        <v>0</v>
      </c>
      <c r="K469" s="24">
        <f>IF($A469="","",IF($J469&lt;=0,"RUPTURA",IF($J469&lt;=N($F469),"REPOR","OK")))</f>
        <v>0</v>
      </c>
    </row>
    <row r="470" spans="1:11">
      <c r="A470" s="13"/>
      <c r="B470" s="13"/>
      <c r="C470" s="19"/>
      <c r="D470" s="19"/>
      <c r="E470" s="20"/>
      <c r="F470" s="20"/>
      <c r="G470" s="21">
        <f>IF($A470="","",IF($D470&lt;&gt;"",$D470,N($C470)*(1+MarkupPeca)))</f>
        <v>0</v>
      </c>
      <c r="H470" s="22">
        <f>IF($A470="","",SUMIFS(EntQtd,EntCod,$A470))</f>
        <v>0</v>
      </c>
      <c r="I470" s="22">
        <f>IF($A470="","",SUMIFS(ItQtd,ItCod,$A470,ItStatus,"&lt;&gt;Orçamento",ItStatus,"&lt;&gt;Cancelada"))</f>
        <v>0</v>
      </c>
      <c r="J470" s="23">
        <f>IF($A470="","",N($E470)+$H470-$I470)</f>
        <v>0</v>
      </c>
      <c r="K470" s="24">
        <f>IF($A470="","",IF($J470&lt;=0,"RUPTURA",IF($J470&lt;=N($F470),"REPOR","OK")))</f>
        <v>0</v>
      </c>
    </row>
    <row r="471" spans="1:11">
      <c r="A471" s="13"/>
      <c r="B471" s="13"/>
      <c r="C471" s="19"/>
      <c r="D471" s="19"/>
      <c r="E471" s="20"/>
      <c r="F471" s="20"/>
      <c r="G471" s="21">
        <f>IF($A471="","",IF($D471&lt;&gt;"",$D471,N($C471)*(1+MarkupPeca)))</f>
        <v>0</v>
      </c>
      <c r="H471" s="22">
        <f>IF($A471="","",SUMIFS(EntQtd,EntCod,$A471))</f>
        <v>0</v>
      </c>
      <c r="I471" s="22">
        <f>IF($A471="","",SUMIFS(ItQtd,ItCod,$A471,ItStatus,"&lt;&gt;Orçamento",ItStatus,"&lt;&gt;Cancelada"))</f>
        <v>0</v>
      </c>
      <c r="J471" s="23">
        <f>IF($A471="","",N($E471)+$H471-$I471)</f>
        <v>0</v>
      </c>
      <c r="K471" s="24">
        <f>IF($A471="","",IF($J471&lt;=0,"RUPTURA",IF($J471&lt;=N($F471),"REPOR","OK")))</f>
        <v>0</v>
      </c>
    </row>
    <row r="472" spans="1:11">
      <c r="A472" s="13"/>
      <c r="B472" s="13"/>
      <c r="C472" s="19"/>
      <c r="D472" s="19"/>
      <c r="E472" s="20"/>
      <c r="F472" s="20"/>
      <c r="G472" s="21">
        <f>IF($A472="","",IF($D472&lt;&gt;"",$D472,N($C472)*(1+MarkupPeca)))</f>
        <v>0</v>
      </c>
      <c r="H472" s="22">
        <f>IF($A472="","",SUMIFS(EntQtd,EntCod,$A472))</f>
        <v>0</v>
      </c>
      <c r="I472" s="22">
        <f>IF($A472="","",SUMIFS(ItQtd,ItCod,$A472,ItStatus,"&lt;&gt;Orçamento",ItStatus,"&lt;&gt;Cancelada"))</f>
        <v>0</v>
      </c>
      <c r="J472" s="23">
        <f>IF($A472="","",N($E472)+$H472-$I472)</f>
        <v>0</v>
      </c>
      <c r="K472" s="24">
        <f>IF($A472="","",IF($J472&lt;=0,"RUPTURA",IF($J472&lt;=N($F472),"REPOR","OK")))</f>
        <v>0</v>
      </c>
    </row>
    <row r="473" spans="1:11">
      <c r="A473" s="13"/>
      <c r="B473" s="13"/>
      <c r="C473" s="19"/>
      <c r="D473" s="19"/>
      <c r="E473" s="20"/>
      <c r="F473" s="20"/>
      <c r="G473" s="21">
        <f>IF($A473="","",IF($D473&lt;&gt;"",$D473,N($C473)*(1+MarkupPeca)))</f>
        <v>0</v>
      </c>
      <c r="H473" s="22">
        <f>IF($A473="","",SUMIFS(EntQtd,EntCod,$A473))</f>
        <v>0</v>
      </c>
      <c r="I473" s="22">
        <f>IF($A473="","",SUMIFS(ItQtd,ItCod,$A473,ItStatus,"&lt;&gt;Orçamento",ItStatus,"&lt;&gt;Cancelada"))</f>
        <v>0</v>
      </c>
      <c r="J473" s="23">
        <f>IF($A473="","",N($E473)+$H473-$I473)</f>
        <v>0</v>
      </c>
      <c r="K473" s="24">
        <f>IF($A473="","",IF($J473&lt;=0,"RUPTURA",IF($J473&lt;=N($F473),"REPOR","OK")))</f>
        <v>0</v>
      </c>
    </row>
    <row r="474" spans="1:11">
      <c r="A474" s="13"/>
      <c r="B474" s="13"/>
      <c r="C474" s="19"/>
      <c r="D474" s="19"/>
      <c r="E474" s="20"/>
      <c r="F474" s="20"/>
      <c r="G474" s="21">
        <f>IF($A474="","",IF($D474&lt;&gt;"",$D474,N($C474)*(1+MarkupPeca)))</f>
        <v>0</v>
      </c>
      <c r="H474" s="22">
        <f>IF($A474="","",SUMIFS(EntQtd,EntCod,$A474))</f>
        <v>0</v>
      </c>
      <c r="I474" s="22">
        <f>IF($A474="","",SUMIFS(ItQtd,ItCod,$A474,ItStatus,"&lt;&gt;Orçamento",ItStatus,"&lt;&gt;Cancelada"))</f>
        <v>0</v>
      </c>
      <c r="J474" s="23">
        <f>IF($A474="","",N($E474)+$H474-$I474)</f>
        <v>0</v>
      </c>
      <c r="K474" s="24">
        <f>IF($A474="","",IF($J474&lt;=0,"RUPTURA",IF($J474&lt;=N($F474),"REPOR","OK")))</f>
        <v>0</v>
      </c>
    </row>
    <row r="475" spans="1:11">
      <c r="A475" s="13"/>
      <c r="B475" s="13"/>
      <c r="C475" s="19"/>
      <c r="D475" s="19"/>
      <c r="E475" s="20"/>
      <c r="F475" s="20"/>
      <c r="G475" s="21">
        <f>IF($A475="","",IF($D475&lt;&gt;"",$D475,N($C475)*(1+MarkupPeca)))</f>
        <v>0</v>
      </c>
      <c r="H475" s="22">
        <f>IF($A475="","",SUMIFS(EntQtd,EntCod,$A475))</f>
        <v>0</v>
      </c>
      <c r="I475" s="22">
        <f>IF($A475="","",SUMIFS(ItQtd,ItCod,$A475,ItStatus,"&lt;&gt;Orçamento",ItStatus,"&lt;&gt;Cancelada"))</f>
        <v>0</v>
      </c>
      <c r="J475" s="23">
        <f>IF($A475="","",N($E475)+$H475-$I475)</f>
        <v>0</v>
      </c>
      <c r="K475" s="24">
        <f>IF($A475="","",IF($J475&lt;=0,"RUPTURA",IF($J475&lt;=N($F475),"REPOR","OK")))</f>
        <v>0</v>
      </c>
    </row>
    <row r="476" spans="1:11">
      <c r="A476" s="13"/>
      <c r="B476" s="13"/>
      <c r="C476" s="19"/>
      <c r="D476" s="19"/>
      <c r="E476" s="20"/>
      <c r="F476" s="20"/>
      <c r="G476" s="21">
        <f>IF($A476="","",IF($D476&lt;&gt;"",$D476,N($C476)*(1+MarkupPeca)))</f>
        <v>0</v>
      </c>
      <c r="H476" s="22">
        <f>IF($A476="","",SUMIFS(EntQtd,EntCod,$A476))</f>
        <v>0</v>
      </c>
      <c r="I476" s="22">
        <f>IF($A476="","",SUMIFS(ItQtd,ItCod,$A476,ItStatus,"&lt;&gt;Orçamento",ItStatus,"&lt;&gt;Cancelada"))</f>
        <v>0</v>
      </c>
      <c r="J476" s="23">
        <f>IF($A476="","",N($E476)+$H476-$I476)</f>
        <v>0</v>
      </c>
      <c r="K476" s="24">
        <f>IF($A476="","",IF($J476&lt;=0,"RUPTURA",IF($J476&lt;=N($F476),"REPOR","OK")))</f>
        <v>0</v>
      </c>
    </row>
    <row r="477" spans="1:11">
      <c r="A477" s="13"/>
      <c r="B477" s="13"/>
      <c r="C477" s="19"/>
      <c r="D477" s="19"/>
      <c r="E477" s="20"/>
      <c r="F477" s="20"/>
      <c r="G477" s="21">
        <f>IF($A477="","",IF($D477&lt;&gt;"",$D477,N($C477)*(1+MarkupPeca)))</f>
        <v>0</v>
      </c>
      <c r="H477" s="22">
        <f>IF($A477="","",SUMIFS(EntQtd,EntCod,$A477))</f>
        <v>0</v>
      </c>
      <c r="I477" s="22">
        <f>IF($A477="","",SUMIFS(ItQtd,ItCod,$A477,ItStatus,"&lt;&gt;Orçamento",ItStatus,"&lt;&gt;Cancelada"))</f>
        <v>0</v>
      </c>
      <c r="J477" s="23">
        <f>IF($A477="","",N($E477)+$H477-$I477)</f>
        <v>0</v>
      </c>
      <c r="K477" s="24">
        <f>IF($A477="","",IF($J477&lt;=0,"RUPTURA",IF($J477&lt;=N($F477),"REPOR","OK")))</f>
        <v>0</v>
      </c>
    </row>
    <row r="478" spans="1:11">
      <c r="A478" s="13"/>
      <c r="B478" s="13"/>
      <c r="C478" s="19"/>
      <c r="D478" s="19"/>
      <c r="E478" s="20"/>
      <c r="F478" s="20"/>
      <c r="G478" s="21">
        <f>IF($A478="","",IF($D478&lt;&gt;"",$D478,N($C478)*(1+MarkupPeca)))</f>
        <v>0</v>
      </c>
      <c r="H478" s="22">
        <f>IF($A478="","",SUMIFS(EntQtd,EntCod,$A478))</f>
        <v>0</v>
      </c>
      <c r="I478" s="22">
        <f>IF($A478="","",SUMIFS(ItQtd,ItCod,$A478,ItStatus,"&lt;&gt;Orçamento",ItStatus,"&lt;&gt;Cancelada"))</f>
        <v>0</v>
      </c>
      <c r="J478" s="23">
        <f>IF($A478="","",N($E478)+$H478-$I478)</f>
        <v>0</v>
      </c>
      <c r="K478" s="24">
        <f>IF($A478="","",IF($J478&lt;=0,"RUPTURA",IF($J478&lt;=N($F478),"REPOR","OK")))</f>
        <v>0</v>
      </c>
    </row>
    <row r="479" spans="1:11">
      <c r="A479" s="13"/>
      <c r="B479" s="13"/>
      <c r="C479" s="19"/>
      <c r="D479" s="19"/>
      <c r="E479" s="20"/>
      <c r="F479" s="20"/>
      <c r="G479" s="21">
        <f>IF($A479="","",IF($D479&lt;&gt;"",$D479,N($C479)*(1+MarkupPeca)))</f>
        <v>0</v>
      </c>
      <c r="H479" s="22">
        <f>IF($A479="","",SUMIFS(EntQtd,EntCod,$A479))</f>
        <v>0</v>
      </c>
      <c r="I479" s="22">
        <f>IF($A479="","",SUMIFS(ItQtd,ItCod,$A479,ItStatus,"&lt;&gt;Orçamento",ItStatus,"&lt;&gt;Cancelada"))</f>
        <v>0</v>
      </c>
      <c r="J479" s="23">
        <f>IF($A479="","",N($E479)+$H479-$I479)</f>
        <v>0</v>
      </c>
      <c r="K479" s="24">
        <f>IF($A479="","",IF($J479&lt;=0,"RUPTURA",IF($J479&lt;=N($F479),"REPOR","OK")))</f>
        <v>0</v>
      </c>
    </row>
    <row r="480" spans="1:11">
      <c r="A480" s="13"/>
      <c r="B480" s="13"/>
      <c r="C480" s="19"/>
      <c r="D480" s="19"/>
      <c r="E480" s="20"/>
      <c r="F480" s="20"/>
      <c r="G480" s="21">
        <f>IF($A480="","",IF($D480&lt;&gt;"",$D480,N($C480)*(1+MarkupPeca)))</f>
        <v>0</v>
      </c>
      <c r="H480" s="22">
        <f>IF($A480="","",SUMIFS(EntQtd,EntCod,$A480))</f>
        <v>0</v>
      </c>
      <c r="I480" s="22">
        <f>IF($A480="","",SUMIFS(ItQtd,ItCod,$A480,ItStatus,"&lt;&gt;Orçamento",ItStatus,"&lt;&gt;Cancelada"))</f>
        <v>0</v>
      </c>
      <c r="J480" s="23">
        <f>IF($A480="","",N($E480)+$H480-$I480)</f>
        <v>0</v>
      </c>
      <c r="K480" s="24">
        <f>IF($A480="","",IF($J480&lt;=0,"RUPTURA",IF($J480&lt;=N($F480),"REPOR","OK")))</f>
        <v>0</v>
      </c>
    </row>
    <row r="481" spans="1:11">
      <c r="A481" s="13"/>
      <c r="B481" s="13"/>
      <c r="C481" s="19"/>
      <c r="D481" s="19"/>
      <c r="E481" s="20"/>
      <c r="F481" s="20"/>
      <c r="G481" s="21">
        <f>IF($A481="","",IF($D481&lt;&gt;"",$D481,N($C481)*(1+MarkupPeca)))</f>
        <v>0</v>
      </c>
      <c r="H481" s="22">
        <f>IF($A481="","",SUMIFS(EntQtd,EntCod,$A481))</f>
        <v>0</v>
      </c>
      <c r="I481" s="22">
        <f>IF($A481="","",SUMIFS(ItQtd,ItCod,$A481,ItStatus,"&lt;&gt;Orçamento",ItStatus,"&lt;&gt;Cancelada"))</f>
        <v>0</v>
      </c>
      <c r="J481" s="23">
        <f>IF($A481="","",N($E481)+$H481-$I481)</f>
        <v>0</v>
      </c>
      <c r="K481" s="24">
        <f>IF($A481="","",IF($J481&lt;=0,"RUPTURA",IF($J481&lt;=N($F481),"REPOR","OK")))</f>
        <v>0</v>
      </c>
    </row>
    <row r="482" spans="1:11">
      <c r="A482" s="13"/>
      <c r="B482" s="13"/>
      <c r="C482" s="19"/>
      <c r="D482" s="19"/>
      <c r="E482" s="20"/>
      <c r="F482" s="20"/>
      <c r="G482" s="21">
        <f>IF($A482="","",IF($D482&lt;&gt;"",$D482,N($C482)*(1+MarkupPeca)))</f>
        <v>0</v>
      </c>
      <c r="H482" s="22">
        <f>IF($A482="","",SUMIFS(EntQtd,EntCod,$A482))</f>
        <v>0</v>
      </c>
      <c r="I482" s="22">
        <f>IF($A482="","",SUMIFS(ItQtd,ItCod,$A482,ItStatus,"&lt;&gt;Orçamento",ItStatus,"&lt;&gt;Cancelada"))</f>
        <v>0</v>
      </c>
      <c r="J482" s="23">
        <f>IF($A482="","",N($E482)+$H482-$I482)</f>
        <v>0</v>
      </c>
      <c r="K482" s="24">
        <f>IF($A482="","",IF($J482&lt;=0,"RUPTURA",IF($J482&lt;=N($F482),"REPOR","OK")))</f>
        <v>0</v>
      </c>
    </row>
    <row r="483" spans="1:11">
      <c r="A483" s="13"/>
      <c r="B483" s="13"/>
      <c r="C483" s="19"/>
      <c r="D483" s="19"/>
      <c r="E483" s="20"/>
      <c r="F483" s="20"/>
      <c r="G483" s="21">
        <f>IF($A483="","",IF($D483&lt;&gt;"",$D483,N($C483)*(1+MarkupPeca)))</f>
        <v>0</v>
      </c>
      <c r="H483" s="22">
        <f>IF($A483="","",SUMIFS(EntQtd,EntCod,$A483))</f>
        <v>0</v>
      </c>
      <c r="I483" s="22">
        <f>IF($A483="","",SUMIFS(ItQtd,ItCod,$A483,ItStatus,"&lt;&gt;Orçamento",ItStatus,"&lt;&gt;Cancelada"))</f>
        <v>0</v>
      </c>
      <c r="J483" s="23">
        <f>IF($A483="","",N($E483)+$H483-$I483)</f>
        <v>0</v>
      </c>
      <c r="K483" s="24">
        <f>IF($A483="","",IF($J483&lt;=0,"RUPTURA",IF($J483&lt;=N($F483),"REPOR","OK")))</f>
        <v>0</v>
      </c>
    </row>
    <row r="484" spans="1:11">
      <c r="A484" s="13"/>
      <c r="B484" s="13"/>
      <c r="C484" s="19"/>
      <c r="D484" s="19"/>
      <c r="E484" s="20"/>
      <c r="F484" s="20"/>
      <c r="G484" s="21">
        <f>IF($A484="","",IF($D484&lt;&gt;"",$D484,N($C484)*(1+MarkupPeca)))</f>
        <v>0</v>
      </c>
      <c r="H484" s="22">
        <f>IF($A484="","",SUMIFS(EntQtd,EntCod,$A484))</f>
        <v>0</v>
      </c>
      <c r="I484" s="22">
        <f>IF($A484="","",SUMIFS(ItQtd,ItCod,$A484,ItStatus,"&lt;&gt;Orçamento",ItStatus,"&lt;&gt;Cancelada"))</f>
        <v>0</v>
      </c>
      <c r="J484" s="23">
        <f>IF($A484="","",N($E484)+$H484-$I484)</f>
        <v>0</v>
      </c>
      <c r="K484" s="24">
        <f>IF($A484="","",IF($J484&lt;=0,"RUPTURA",IF($J484&lt;=N($F484),"REPOR","OK")))</f>
        <v>0</v>
      </c>
    </row>
    <row r="485" spans="1:11">
      <c r="A485" s="13"/>
      <c r="B485" s="13"/>
      <c r="C485" s="19"/>
      <c r="D485" s="19"/>
      <c r="E485" s="20"/>
      <c r="F485" s="20"/>
      <c r="G485" s="21">
        <f>IF($A485="","",IF($D485&lt;&gt;"",$D485,N($C485)*(1+MarkupPeca)))</f>
        <v>0</v>
      </c>
      <c r="H485" s="22">
        <f>IF($A485="","",SUMIFS(EntQtd,EntCod,$A485))</f>
        <v>0</v>
      </c>
      <c r="I485" s="22">
        <f>IF($A485="","",SUMIFS(ItQtd,ItCod,$A485,ItStatus,"&lt;&gt;Orçamento",ItStatus,"&lt;&gt;Cancelada"))</f>
        <v>0</v>
      </c>
      <c r="J485" s="23">
        <f>IF($A485="","",N($E485)+$H485-$I485)</f>
        <v>0</v>
      </c>
      <c r="K485" s="24">
        <f>IF($A485="","",IF($J485&lt;=0,"RUPTURA",IF($J485&lt;=N($F485),"REPOR","OK")))</f>
        <v>0</v>
      </c>
    </row>
    <row r="486" spans="1:11">
      <c r="A486" s="13"/>
      <c r="B486" s="13"/>
      <c r="C486" s="19"/>
      <c r="D486" s="19"/>
      <c r="E486" s="20"/>
      <c r="F486" s="20"/>
      <c r="G486" s="21">
        <f>IF($A486="","",IF($D486&lt;&gt;"",$D486,N($C486)*(1+MarkupPeca)))</f>
        <v>0</v>
      </c>
      <c r="H486" s="22">
        <f>IF($A486="","",SUMIFS(EntQtd,EntCod,$A486))</f>
        <v>0</v>
      </c>
      <c r="I486" s="22">
        <f>IF($A486="","",SUMIFS(ItQtd,ItCod,$A486,ItStatus,"&lt;&gt;Orçamento",ItStatus,"&lt;&gt;Cancelada"))</f>
        <v>0</v>
      </c>
      <c r="J486" s="23">
        <f>IF($A486="","",N($E486)+$H486-$I486)</f>
        <v>0</v>
      </c>
      <c r="K486" s="24">
        <f>IF($A486="","",IF($J486&lt;=0,"RUPTURA",IF($J486&lt;=N($F486),"REPOR","OK")))</f>
        <v>0</v>
      </c>
    </row>
    <row r="487" spans="1:11">
      <c r="A487" s="13"/>
      <c r="B487" s="13"/>
      <c r="C487" s="19"/>
      <c r="D487" s="19"/>
      <c r="E487" s="20"/>
      <c r="F487" s="20"/>
      <c r="G487" s="21">
        <f>IF($A487="","",IF($D487&lt;&gt;"",$D487,N($C487)*(1+MarkupPeca)))</f>
        <v>0</v>
      </c>
      <c r="H487" s="22">
        <f>IF($A487="","",SUMIFS(EntQtd,EntCod,$A487))</f>
        <v>0</v>
      </c>
      <c r="I487" s="22">
        <f>IF($A487="","",SUMIFS(ItQtd,ItCod,$A487,ItStatus,"&lt;&gt;Orçamento",ItStatus,"&lt;&gt;Cancelada"))</f>
        <v>0</v>
      </c>
      <c r="J487" s="23">
        <f>IF($A487="","",N($E487)+$H487-$I487)</f>
        <v>0</v>
      </c>
      <c r="K487" s="24">
        <f>IF($A487="","",IF($J487&lt;=0,"RUPTURA",IF($J487&lt;=N($F487),"REPOR","OK")))</f>
        <v>0</v>
      </c>
    </row>
    <row r="488" spans="1:11">
      <c r="A488" s="13"/>
      <c r="B488" s="13"/>
      <c r="C488" s="19"/>
      <c r="D488" s="19"/>
      <c r="E488" s="20"/>
      <c r="F488" s="20"/>
      <c r="G488" s="21">
        <f>IF($A488="","",IF($D488&lt;&gt;"",$D488,N($C488)*(1+MarkupPeca)))</f>
        <v>0</v>
      </c>
      <c r="H488" s="22">
        <f>IF($A488="","",SUMIFS(EntQtd,EntCod,$A488))</f>
        <v>0</v>
      </c>
      <c r="I488" s="22">
        <f>IF($A488="","",SUMIFS(ItQtd,ItCod,$A488,ItStatus,"&lt;&gt;Orçamento",ItStatus,"&lt;&gt;Cancelada"))</f>
        <v>0</v>
      </c>
      <c r="J488" s="23">
        <f>IF($A488="","",N($E488)+$H488-$I488)</f>
        <v>0</v>
      </c>
      <c r="K488" s="24">
        <f>IF($A488="","",IF($J488&lt;=0,"RUPTURA",IF($J488&lt;=N($F488),"REPOR","OK")))</f>
        <v>0</v>
      </c>
    </row>
    <row r="489" spans="1:11">
      <c r="A489" s="13"/>
      <c r="B489" s="13"/>
      <c r="C489" s="19"/>
      <c r="D489" s="19"/>
      <c r="E489" s="20"/>
      <c r="F489" s="20"/>
      <c r="G489" s="21">
        <f>IF($A489="","",IF($D489&lt;&gt;"",$D489,N($C489)*(1+MarkupPeca)))</f>
        <v>0</v>
      </c>
      <c r="H489" s="22">
        <f>IF($A489="","",SUMIFS(EntQtd,EntCod,$A489))</f>
        <v>0</v>
      </c>
      <c r="I489" s="22">
        <f>IF($A489="","",SUMIFS(ItQtd,ItCod,$A489,ItStatus,"&lt;&gt;Orçamento",ItStatus,"&lt;&gt;Cancelada"))</f>
        <v>0</v>
      </c>
      <c r="J489" s="23">
        <f>IF($A489="","",N($E489)+$H489-$I489)</f>
        <v>0</v>
      </c>
      <c r="K489" s="24">
        <f>IF($A489="","",IF($J489&lt;=0,"RUPTURA",IF($J489&lt;=N($F489),"REPOR","OK")))</f>
        <v>0</v>
      </c>
    </row>
    <row r="490" spans="1:11">
      <c r="A490" s="13"/>
      <c r="B490" s="13"/>
      <c r="C490" s="19"/>
      <c r="D490" s="19"/>
      <c r="E490" s="20"/>
      <c r="F490" s="20"/>
      <c r="G490" s="21">
        <f>IF($A490="","",IF($D490&lt;&gt;"",$D490,N($C490)*(1+MarkupPeca)))</f>
        <v>0</v>
      </c>
      <c r="H490" s="22">
        <f>IF($A490="","",SUMIFS(EntQtd,EntCod,$A490))</f>
        <v>0</v>
      </c>
      <c r="I490" s="22">
        <f>IF($A490="","",SUMIFS(ItQtd,ItCod,$A490,ItStatus,"&lt;&gt;Orçamento",ItStatus,"&lt;&gt;Cancelada"))</f>
        <v>0</v>
      </c>
      <c r="J490" s="23">
        <f>IF($A490="","",N($E490)+$H490-$I490)</f>
        <v>0</v>
      </c>
      <c r="K490" s="24">
        <f>IF($A490="","",IF($J490&lt;=0,"RUPTURA",IF($J490&lt;=N($F490),"REPOR","OK")))</f>
        <v>0</v>
      </c>
    </row>
    <row r="491" spans="1:11">
      <c r="A491" s="13"/>
      <c r="B491" s="13"/>
      <c r="C491" s="19"/>
      <c r="D491" s="19"/>
      <c r="E491" s="20"/>
      <c r="F491" s="20"/>
      <c r="G491" s="21">
        <f>IF($A491="","",IF($D491&lt;&gt;"",$D491,N($C491)*(1+MarkupPeca)))</f>
        <v>0</v>
      </c>
      <c r="H491" s="22">
        <f>IF($A491="","",SUMIFS(EntQtd,EntCod,$A491))</f>
        <v>0</v>
      </c>
      <c r="I491" s="22">
        <f>IF($A491="","",SUMIFS(ItQtd,ItCod,$A491,ItStatus,"&lt;&gt;Orçamento",ItStatus,"&lt;&gt;Cancelada"))</f>
        <v>0</v>
      </c>
      <c r="J491" s="23">
        <f>IF($A491="","",N($E491)+$H491-$I491)</f>
        <v>0</v>
      </c>
      <c r="K491" s="24">
        <f>IF($A491="","",IF($J491&lt;=0,"RUPTURA",IF($J491&lt;=N($F491),"REPOR","OK")))</f>
        <v>0</v>
      </c>
    </row>
    <row r="492" spans="1:11">
      <c r="A492" s="13"/>
      <c r="B492" s="13"/>
      <c r="C492" s="19"/>
      <c r="D492" s="19"/>
      <c r="E492" s="20"/>
      <c r="F492" s="20"/>
      <c r="G492" s="21">
        <f>IF($A492="","",IF($D492&lt;&gt;"",$D492,N($C492)*(1+MarkupPeca)))</f>
        <v>0</v>
      </c>
      <c r="H492" s="22">
        <f>IF($A492="","",SUMIFS(EntQtd,EntCod,$A492))</f>
        <v>0</v>
      </c>
      <c r="I492" s="22">
        <f>IF($A492="","",SUMIFS(ItQtd,ItCod,$A492,ItStatus,"&lt;&gt;Orçamento",ItStatus,"&lt;&gt;Cancelada"))</f>
        <v>0</v>
      </c>
      <c r="J492" s="23">
        <f>IF($A492="","",N($E492)+$H492-$I492)</f>
        <v>0</v>
      </c>
      <c r="K492" s="24">
        <f>IF($A492="","",IF($J492&lt;=0,"RUPTURA",IF($J492&lt;=N($F492),"REPOR","OK")))</f>
        <v>0</v>
      </c>
    </row>
    <row r="493" spans="1:11">
      <c r="A493" s="13"/>
      <c r="B493" s="13"/>
      <c r="C493" s="19"/>
      <c r="D493" s="19"/>
      <c r="E493" s="20"/>
      <c r="F493" s="20"/>
      <c r="G493" s="21">
        <f>IF($A493="","",IF($D493&lt;&gt;"",$D493,N($C493)*(1+MarkupPeca)))</f>
        <v>0</v>
      </c>
      <c r="H493" s="22">
        <f>IF($A493="","",SUMIFS(EntQtd,EntCod,$A493))</f>
        <v>0</v>
      </c>
      <c r="I493" s="22">
        <f>IF($A493="","",SUMIFS(ItQtd,ItCod,$A493,ItStatus,"&lt;&gt;Orçamento",ItStatus,"&lt;&gt;Cancelada"))</f>
        <v>0</v>
      </c>
      <c r="J493" s="23">
        <f>IF($A493="","",N($E493)+$H493-$I493)</f>
        <v>0</v>
      </c>
      <c r="K493" s="24">
        <f>IF($A493="","",IF($J493&lt;=0,"RUPTURA",IF($J493&lt;=N($F493),"REPOR","OK")))</f>
        <v>0</v>
      </c>
    </row>
    <row r="494" spans="1:11">
      <c r="A494" s="13"/>
      <c r="B494" s="13"/>
      <c r="C494" s="19"/>
      <c r="D494" s="19"/>
      <c r="E494" s="20"/>
      <c r="F494" s="20"/>
      <c r="G494" s="21">
        <f>IF($A494="","",IF($D494&lt;&gt;"",$D494,N($C494)*(1+MarkupPeca)))</f>
        <v>0</v>
      </c>
      <c r="H494" s="22">
        <f>IF($A494="","",SUMIFS(EntQtd,EntCod,$A494))</f>
        <v>0</v>
      </c>
      <c r="I494" s="22">
        <f>IF($A494="","",SUMIFS(ItQtd,ItCod,$A494,ItStatus,"&lt;&gt;Orçamento",ItStatus,"&lt;&gt;Cancelada"))</f>
        <v>0</v>
      </c>
      <c r="J494" s="23">
        <f>IF($A494="","",N($E494)+$H494-$I494)</f>
        <v>0</v>
      </c>
      <c r="K494" s="24">
        <f>IF($A494="","",IF($J494&lt;=0,"RUPTURA",IF($J494&lt;=N($F494),"REPOR","OK")))</f>
        <v>0</v>
      </c>
    </row>
    <row r="495" spans="1:11">
      <c r="A495" s="13"/>
      <c r="B495" s="13"/>
      <c r="C495" s="19"/>
      <c r="D495" s="19"/>
      <c r="E495" s="20"/>
      <c r="F495" s="20"/>
      <c r="G495" s="21">
        <f>IF($A495="","",IF($D495&lt;&gt;"",$D495,N($C495)*(1+MarkupPeca)))</f>
        <v>0</v>
      </c>
      <c r="H495" s="22">
        <f>IF($A495="","",SUMIFS(EntQtd,EntCod,$A495))</f>
        <v>0</v>
      </c>
      <c r="I495" s="22">
        <f>IF($A495="","",SUMIFS(ItQtd,ItCod,$A495,ItStatus,"&lt;&gt;Orçamento",ItStatus,"&lt;&gt;Cancelada"))</f>
        <v>0</v>
      </c>
      <c r="J495" s="23">
        <f>IF($A495="","",N($E495)+$H495-$I495)</f>
        <v>0</v>
      </c>
      <c r="K495" s="24">
        <f>IF($A495="","",IF($J495&lt;=0,"RUPTURA",IF($J495&lt;=N($F495),"REPOR","OK")))</f>
        <v>0</v>
      </c>
    </row>
    <row r="496" spans="1:11">
      <c r="A496" s="13"/>
      <c r="B496" s="13"/>
      <c r="C496" s="19"/>
      <c r="D496" s="19"/>
      <c r="E496" s="20"/>
      <c r="F496" s="20"/>
      <c r="G496" s="21">
        <f>IF($A496="","",IF($D496&lt;&gt;"",$D496,N($C496)*(1+MarkupPeca)))</f>
        <v>0</v>
      </c>
      <c r="H496" s="22">
        <f>IF($A496="","",SUMIFS(EntQtd,EntCod,$A496))</f>
        <v>0</v>
      </c>
      <c r="I496" s="22">
        <f>IF($A496="","",SUMIFS(ItQtd,ItCod,$A496,ItStatus,"&lt;&gt;Orçamento",ItStatus,"&lt;&gt;Cancelada"))</f>
        <v>0</v>
      </c>
      <c r="J496" s="23">
        <f>IF($A496="","",N($E496)+$H496-$I496)</f>
        <v>0</v>
      </c>
      <c r="K496" s="24">
        <f>IF($A496="","",IF($J496&lt;=0,"RUPTURA",IF($J496&lt;=N($F496),"REPOR","OK")))</f>
        <v>0</v>
      </c>
    </row>
    <row r="497" spans="1:11">
      <c r="A497" s="13"/>
      <c r="B497" s="13"/>
      <c r="C497" s="19"/>
      <c r="D497" s="19"/>
      <c r="E497" s="20"/>
      <c r="F497" s="20"/>
      <c r="G497" s="21">
        <f>IF($A497="","",IF($D497&lt;&gt;"",$D497,N($C497)*(1+MarkupPeca)))</f>
        <v>0</v>
      </c>
      <c r="H497" s="22">
        <f>IF($A497="","",SUMIFS(EntQtd,EntCod,$A497))</f>
        <v>0</v>
      </c>
      <c r="I497" s="22">
        <f>IF($A497="","",SUMIFS(ItQtd,ItCod,$A497,ItStatus,"&lt;&gt;Orçamento",ItStatus,"&lt;&gt;Cancelada"))</f>
        <v>0</v>
      </c>
      <c r="J497" s="23">
        <f>IF($A497="","",N($E497)+$H497-$I497)</f>
        <v>0</v>
      </c>
      <c r="K497" s="24">
        <f>IF($A497="","",IF($J497&lt;=0,"RUPTURA",IF($J497&lt;=N($F497),"REPOR","OK")))</f>
        <v>0</v>
      </c>
    </row>
    <row r="498" spans="1:11">
      <c r="A498" s="13"/>
      <c r="B498" s="13"/>
      <c r="C498" s="19"/>
      <c r="D498" s="19"/>
      <c r="E498" s="20"/>
      <c r="F498" s="20"/>
      <c r="G498" s="21">
        <f>IF($A498="","",IF($D498&lt;&gt;"",$D498,N($C498)*(1+MarkupPeca)))</f>
        <v>0</v>
      </c>
      <c r="H498" s="22">
        <f>IF($A498="","",SUMIFS(EntQtd,EntCod,$A498))</f>
        <v>0</v>
      </c>
      <c r="I498" s="22">
        <f>IF($A498="","",SUMIFS(ItQtd,ItCod,$A498,ItStatus,"&lt;&gt;Orçamento",ItStatus,"&lt;&gt;Cancelada"))</f>
        <v>0</v>
      </c>
      <c r="J498" s="23">
        <f>IF($A498="","",N($E498)+$H498-$I498)</f>
        <v>0</v>
      </c>
      <c r="K498" s="24">
        <f>IF($A498="","",IF($J498&lt;=0,"RUPTURA",IF($J498&lt;=N($F498),"REPOR","OK")))</f>
        <v>0</v>
      </c>
    </row>
    <row r="499" spans="1:11">
      <c r="A499" s="13"/>
      <c r="B499" s="13"/>
      <c r="C499" s="19"/>
      <c r="D499" s="19"/>
      <c r="E499" s="20"/>
      <c r="F499" s="20"/>
      <c r="G499" s="21">
        <f>IF($A499="","",IF($D499&lt;&gt;"",$D499,N($C499)*(1+MarkupPeca)))</f>
        <v>0</v>
      </c>
      <c r="H499" s="22">
        <f>IF($A499="","",SUMIFS(EntQtd,EntCod,$A499))</f>
        <v>0</v>
      </c>
      <c r="I499" s="22">
        <f>IF($A499="","",SUMIFS(ItQtd,ItCod,$A499,ItStatus,"&lt;&gt;Orçamento",ItStatus,"&lt;&gt;Cancelada"))</f>
        <v>0</v>
      </c>
      <c r="J499" s="23">
        <f>IF($A499="","",N($E499)+$H499-$I499)</f>
        <v>0</v>
      </c>
      <c r="K499" s="24">
        <f>IF($A499="","",IF($J499&lt;=0,"RUPTURA",IF($J499&lt;=N($F499),"REPOR","OK")))</f>
        <v>0</v>
      </c>
    </row>
    <row r="500" spans="1:11">
      <c r="A500" s="13"/>
      <c r="B500" s="13"/>
      <c r="C500" s="19"/>
      <c r="D500" s="19"/>
      <c r="E500" s="20"/>
      <c r="F500" s="20"/>
      <c r="G500" s="21">
        <f>IF($A500="","",IF($D500&lt;&gt;"",$D500,N($C500)*(1+MarkupPeca)))</f>
        <v>0</v>
      </c>
      <c r="H500" s="22">
        <f>IF($A500="","",SUMIFS(EntQtd,EntCod,$A500))</f>
        <v>0</v>
      </c>
      <c r="I500" s="22">
        <f>IF($A500="","",SUMIFS(ItQtd,ItCod,$A500,ItStatus,"&lt;&gt;Orçamento",ItStatus,"&lt;&gt;Cancelada"))</f>
        <v>0</v>
      </c>
      <c r="J500" s="23">
        <f>IF($A500="","",N($E500)+$H500-$I500)</f>
        <v>0</v>
      </c>
      <c r="K500" s="24">
        <f>IF($A500="","",IF($J500&lt;=0,"RUPTURA",IF($J500&lt;=N($F500),"REPOR","OK")))</f>
        <v>0</v>
      </c>
    </row>
    <row r="501" spans="1:11">
      <c r="A501" s="13"/>
      <c r="B501" s="13"/>
      <c r="C501" s="19"/>
      <c r="D501" s="19"/>
      <c r="E501" s="20"/>
      <c r="F501" s="20"/>
      <c r="G501" s="21">
        <f>IF($A501="","",IF($D501&lt;&gt;"",$D501,N($C501)*(1+MarkupPeca)))</f>
        <v>0</v>
      </c>
      <c r="H501" s="22">
        <f>IF($A501="","",SUMIFS(EntQtd,EntCod,$A501))</f>
        <v>0</v>
      </c>
      <c r="I501" s="22">
        <f>IF($A501="","",SUMIFS(ItQtd,ItCod,$A501,ItStatus,"&lt;&gt;Orçamento",ItStatus,"&lt;&gt;Cancelada"))</f>
        <v>0</v>
      </c>
      <c r="J501" s="23">
        <f>IF($A501="","",N($E501)+$H501-$I501)</f>
        <v>0</v>
      </c>
      <c r="K501" s="24">
        <f>IF($A501="","",IF($J501&lt;=0,"RUPTURA",IF($J501&lt;=N($F501),"REPOR","OK")))</f>
        <v>0</v>
      </c>
    </row>
    <row r="502" spans="1:11">
      <c r="A502" s="13"/>
      <c r="B502" s="13"/>
      <c r="C502" s="19"/>
      <c r="D502" s="19"/>
      <c r="E502" s="20"/>
      <c r="F502" s="20"/>
      <c r="G502" s="21">
        <f>IF($A502="","",IF($D502&lt;&gt;"",$D502,N($C502)*(1+MarkupPeca)))</f>
        <v>0</v>
      </c>
      <c r="H502" s="22">
        <f>IF($A502="","",SUMIFS(EntQtd,EntCod,$A502))</f>
        <v>0</v>
      </c>
      <c r="I502" s="22">
        <f>IF($A502="","",SUMIFS(ItQtd,ItCod,$A502,ItStatus,"&lt;&gt;Orçamento",ItStatus,"&lt;&gt;Cancelada"))</f>
        <v>0</v>
      </c>
      <c r="J502" s="23">
        <f>IF($A502="","",N($E502)+$H502-$I502)</f>
        <v>0</v>
      </c>
      <c r="K502" s="24">
        <f>IF($A502="","",IF($J502&lt;=0,"RUPTURA",IF($J502&lt;=N($F502),"REPOR","OK")))</f>
        <v>0</v>
      </c>
    </row>
    <row r="503" spans="1:11">
      <c r="A503" s="13"/>
      <c r="B503" s="13"/>
      <c r="C503" s="19"/>
      <c r="D503" s="19"/>
      <c r="E503" s="20"/>
      <c r="F503" s="20"/>
      <c r="G503" s="21">
        <f>IF($A503="","",IF($D503&lt;&gt;"",$D503,N($C503)*(1+MarkupPeca)))</f>
        <v>0</v>
      </c>
      <c r="H503" s="22">
        <f>IF($A503="","",SUMIFS(EntQtd,EntCod,$A503))</f>
        <v>0</v>
      </c>
      <c r="I503" s="22">
        <f>IF($A503="","",SUMIFS(ItQtd,ItCod,$A503,ItStatus,"&lt;&gt;Orçamento",ItStatus,"&lt;&gt;Cancelada"))</f>
        <v>0</v>
      </c>
      <c r="J503" s="23">
        <f>IF($A503="","",N($E503)+$H503-$I503)</f>
        <v>0</v>
      </c>
      <c r="K503" s="24">
        <f>IF($A503="","",IF($J503&lt;=0,"RUPTURA",IF($J503&lt;=N($F503),"REPOR","OK")))</f>
        <v>0</v>
      </c>
    </row>
    <row r="504" spans="1:11">
      <c r="A504" s="13"/>
      <c r="B504" s="13"/>
      <c r="C504" s="19"/>
      <c r="D504" s="19"/>
      <c r="E504" s="20"/>
      <c r="F504" s="20"/>
      <c r="G504" s="21">
        <f>IF($A504="","",IF($D504&lt;&gt;"",$D504,N($C504)*(1+MarkupPeca)))</f>
        <v>0</v>
      </c>
      <c r="H504" s="22">
        <f>IF($A504="","",SUMIFS(EntQtd,EntCod,$A504))</f>
        <v>0</v>
      </c>
      <c r="I504" s="22">
        <f>IF($A504="","",SUMIFS(ItQtd,ItCod,$A504,ItStatus,"&lt;&gt;Orçamento",ItStatus,"&lt;&gt;Cancelada"))</f>
        <v>0</v>
      </c>
      <c r="J504" s="23">
        <f>IF($A504="","",N($E504)+$H504-$I504)</f>
        <v>0</v>
      </c>
      <c r="K504" s="24">
        <f>IF($A504="","",IF($J504&lt;=0,"RUPTURA",IF($J504&lt;=N($F504),"REPOR","OK")))</f>
        <v>0</v>
      </c>
    </row>
  </sheetData>
  <autoFilter ref="A4:K504"/>
  <mergeCells count="2">
    <mergeCell ref="A1:K1"/>
    <mergeCell ref="A2:K2"/>
  </mergeCells>
  <conditionalFormatting sqref="K5:K504">
    <cfRule type="cellIs" dxfId="0" priority="1" operator="equal">
      <formula>"RUPTURA"</formula>
    </cfRule>
    <cfRule type="cellIs" dxfId="1" priority="2" operator="equal">
      <formula>"REPOR"</formula>
    </cfRule>
    <cfRule type="cellIs" dxfId="2" priority="3" operator="equal">
      <formula>"OK"</formula>
    </cfRule>
  </conditionalFormatting>
  <dataValidations count="1">
    <dataValidation type="decimal" operator="greaterThanOrEqual" allowBlank="1" showInputMessage="1" showErrorMessage="1" errorTitle="Valor inválido" error="Digite um número maior ou igual a 0." sqref="C5:F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1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1.7109375" customWidth="1"/>
    <col min="4" max="4" width="14.7109375" customWidth="1"/>
    <col min="5" max="5" width="24.7109375" customWidth="1"/>
    <col min="6" max="6" width="14.7109375" customWidth="1"/>
    <col min="7" max="7" width="32.7109375" customWidth="1"/>
    <col min="8" max="8" width="14.7109375" customWidth="1"/>
  </cols>
  <sheetData>
    <row r="1" spans="1:8" ht="36" customHeight="1">
      <c r="A1" s="1" t="s">
        <v>92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93</v>
      </c>
      <c r="B2" s="2"/>
      <c r="C2" s="2"/>
      <c r="D2" s="2"/>
      <c r="E2" s="2"/>
      <c r="F2" s="2"/>
      <c r="G2" s="2"/>
      <c r="H2" s="2"/>
    </row>
    <row r="4" spans="1:8" ht="30" customHeight="1">
      <c r="A4" s="10" t="s">
        <v>94</v>
      </c>
      <c r="B4" s="10" t="s">
        <v>95</v>
      </c>
      <c r="C4" s="10" t="s">
        <v>96</v>
      </c>
      <c r="D4" s="10" t="s">
        <v>97</v>
      </c>
      <c r="E4" s="10" t="s">
        <v>98</v>
      </c>
      <c r="F4" s="10" t="s">
        <v>99</v>
      </c>
      <c r="G4" s="10" t="s">
        <v>83</v>
      </c>
      <c r="H4" s="10" t="s">
        <v>100</v>
      </c>
    </row>
    <row r="5" spans="1:8">
      <c r="A5" s="25"/>
      <c r="B5" s="13"/>
      <c r="C5" s="20"/>
      <c r="D5" s="19"/>
      <c r="E5" s="13"/>
      <c r="F5" s="13"/>
      <c r="G5" s="26">
        <f>IF($B5="","",IFERROR(INDEX(PecDesc,MATCH($B5,PecCod,0)),"Peça não cadastrada"))</f>
        <v>0</v>
      </c>
      <c r="H5" s="27">
        <f>IF(OR($C5="",$D5=""),"",$C5*$D5)</f>
        <v>0</v>
      </c>
    </row>
    <row r="6" spans="1:8">
      <c r="A6" s="25"/>
      <c r="B6" s="13"/>
      <c r="C6" s="20"/>
      <c r="D6" s="19"/>
      <c r="E6" s="13"/>
      <c r="F6" s="13"/>
      <c r="G6" s="26">
        <f>IF($B6="","",IFERROR(INDEX(PecDesc,MATCH($B6,PecCod,0)),"Peça não cadastrada"))</f>
        <v>0</v>
      </c>
      <c r="H6" s="27">
        <f>IF(OR($C6="",$D6=""),"",$C6*$D6)</f>
        <v>0</v>
      </c>
    </row>
    <row r="7" spans="1:8">
      <c r="A7" s="25"/>
      <c r="B7" s="13"/>
      <c r="C7" s="20"/>
      <c r="D7" s="19"/>
      <c r="E7" s="13"/>
      <c r="F7" s="13"/>
      <c r="G7" s="26">
        <f>IF($B7="","",IFERROR(INDEX(PecDesc,MATCH($B7,PecCod,0)),"Peça não cadastrada"))</f>
        <v>0</v>
      </c>
      <c r="H7" s="27">
        <f>IF(OR($C7="",$D7=""),"",$C7*$D7)</f>
        <v>0</v>
      </c>
    </row>
    <row r="8" spans="1:8">
      <c r="A8" s="25"/>
      <c r="B8" s="13"/>
      <c r="C8" s="20"/>
      <c r="D8" s="19"/>
      <c r="E8" s="13"/>
      <c r="F8" s="13"/>
      <c r="G8" s="26">
        <f>IF($B8="","",IFERROR(INDEX(PecDesc,MATCH($B8,PecCod,0)),"Peça não cadastrada"))</f>
        <v>0</v>
      </c>
      <c r="H8" s="27">
        <f>IF(OR($C8="",$D8=""),"",$C8*$D8)</f>
        <v>0</v>
      </c>
    </row>
    <row r="9" spans="1:8">
      <c r="A9" s="25"/>
      <c r="B9" s="13"/>
      <c r="C9" s="20"/>
      <c r="D9" s="19"/>
      <c r="E9" s="13"/>
      <c r="F9" s="13"/>
      <c r="G9" s="26">
        <f>IF($B9="","",IFERROR(INDEX(PecDesc,MATCH($B9,PecCod,0)),"Peça não cadastrada"))</f>
        <v>0</v>
      </c>
      <c r="H9" s="27">
        <f>IF(OR($C9="",$D9=""),"",$C9*$D9)</f>
        <v>0</v>
      </c>
    </row>
    <row r="10" spans="1:8">
      <c r="A10" s="25"/>
      <c r="B10" s="13"/>
      <c r="C10" s="20"/>
      <c r="D10" s="19"/>
      <c r="E10" s="13"/>
      <c r="F10" s="13"/>
      <c r="G10" s="26">
        <f>IF($B10="","",IFERROR(INDEX(PecDesc,MATCH($B10,PecCod,0)),"Peça não cadastrada"))</f>
        <v>0</v>
      </c>
      <c r="H10" s="27">
        <f>IF(OR($C10="",$D10=""),"",$C10*$D10)</f>
        <v>0</v>
      </c>
    </row>
    <row r="11" spans="1:8">
      <c r="A11" s="25"/>
      <c r="B11" s="13"/>
      <c r="C11" s="20"/>
      <c r="D11" s="19"/>
      <c r="E11" s="13"/>
      <c r="F11" s="13"/>
      <c r="G11" s="26">
        <f>IF($B11="","",IFERROR(INDEX(PecDesc,MATCH($B11,PecCod,0)),"Peça não cadastrada"))</f>
        <v>0</v>
      </c>
      <c r="H11" s="27">
        <f>IF(OR($C11="",$D11=""),"",$C11*$D11)</f>
        <v>0</v>
      </c>
    </row>
    <row r="12" spans="1:8">
      <c r="A12" s="25"/>
      <c r="B12" s="13"/>
      <c r="C12" s="20"/>
      <c r="D12" s="19"/>
      <c r="E12" s="13"/>
      <c r="F12" s="13"/>
      <c r="G12" s="26">
        <f>IF($B12="","",IFERROR(INDEX(PecDesc,MATCH($B12,PecCod,0)),"Peça não cadastrada"))</f>
        <v>0</v>
      </c>
      <c r="H12" s="27">
        <f>IF(OR($C12="",$D12=""),"",$C12*$D12)</f>
        <v>0</v>
      </c>
    </row>
    <row r="13" spans="1:8">
      <c r="A13" s="25"/>
      <c r="B13" s="13"/>
      <c r="C13" s="20"/>
      <c r="D13" s="19"/>
      <c r="E13" s="13"/>
      <c r="F13" s="13"/>
      <c r="G13" s="26">
        <f>IF($B13="","",IFERROR(INDEX(PecDesc,MATCH($B13,PecCod,0)),"Peça não cadastrada"))</f>
        <v>0</v>
      </c>
      <c r="H13" s="27">
        <f>IF(OR($C13="",$D13=""),"",$C13*$D13)</f>
        <v>0</v>
      </c>
    </row>
    <row r="14" spans="1:8">
      <c r="A14" s="25"/>
      <c r="B14" s="13"/>
      <c r="C14" s="20"/>
      <c r="D14" s="19"/>
      <c r="E14" s="13"/>
      <c r="F14" s="13"/>
      <c r="G14" s="26">
        <f>IF($B14="","",IFERROR(INDEX(PecDesc,MATCH($B14,PecCod,0)),"Peça não cadastrada"))</f>
        <v>0</v>
      </c>
      <c r="H14" s="27">
        <f>IF(OR($C14="",$D14=""),"",$C14*$D14)</f>
        <v>0</v>
      </c>
    </row>
    <row r="15" spans="1:8">
      <c r="A15" s="25"/>
      <c r="B15" s="13"/>
      <c r="C15" s="20"/>
      <c r="D15" s="19"/>
      <c r="E15" s="13"/>
      <c r="F15" s="13"/>
      <c r="G15" s="26">
        <f>IF($B15="","",IFERROR(INDEX(PecDesc,MATCH($B15,PecCod,0)),"Peça não cadastrada"))</f>
        <v>0</v>
      </c>
      <c r="H15" s="27">
        <f>IF(OR($C15="",$D15=""),"",$C15*$D15)</f>
        <v>0</v>
      </c>
    </row>
    <row r="16" spans="1:8">
      <c r="A16" s="25"/>
      <c r="B16" s="13"/>
      <c r="C16" s="20"/>
      <c r="D16" s="19"/>
      <c r="E16" s="13"/>
      <c r="F16" s="13"/>
      <c r="G16" s="26">
        <f>IF($B16="","",IFERROR(INDEX(PecDesc,MATCH($B16,PecCod,0)),"Peça não cadastrada"))</f>
        <v>0</v>
      </c>
      <c r="H16" s="27">
        <f>IF(OR($C16="",$D16=""),"",$C16*$D16)</f>
        <v>0</v>
      </c>
    </row>
    <row r="17" spans="1:8">
      <c r="A17" s="25"/>
      <c r="B17" s="13"/>
      <c r="C17" s="20"/>
      <c r="D17" s="19"/>
      <c r="E17" s="13"/>
      <c r="F17" s="13"/>
      <c r="G17" s="26">
        <f>IF($B17="","",IFERROR(INDEX(PecDesc,MATCH($B17,PecCod,0)),"Peça não cadastrada"))</f>
        <v>0</v>
      </c>
      <c r="H17" s="27">
        <f>IF(OR($C17="",$D17=""),"",$C17*$D17)</f>
        <v>0</v>
      </c>
    </row>
    <row r="18" spans="1:8">
      <c r="A18" s="25"/>
      <c r="B18" s="13"/>
      <c r="C18" s="20"/>
      <c r="D18" s="19"/>
      <c r="E18" s="13"/>
      <c r="F18" s="13"/>
      <c r="G18" s="26">
        <f>IF($B18="","",IFERROR(INDEX(PecDesc,MATCH($B18,PecCod,0)),"Peça não cadastrada"))</f>
        <v>0</v>
      </c>
      <c r="H18" s="27">
        <f>IF(OR($C18="",$D18=""),"",$C18*$D18)</f>
        <v>0</v>
      </c>
    </row>
    <row r="19" spans="1:8">
      <c r="A19" s="25"/>
      <c r="B19" s="13"/>
      <c r="C19" s="20"/>
      <c r="D19" s="19"/>
      <c r="E19" s="13"/>
      <c r="F19" s="13"/>
      <c r="G19" s="26">
        <f>IF($B19="","",IFERROR(INDEX(PecDesc,MATCH($B19,PecCod,0)),"Peça não cadastrada"))</f>
        <v>0</v>
      </c>
      <c r="H19" s="27">
        <f>IF(OR($C19="",$D19=""),"",$C19*$D19)</f>
        <v>0</v>
      </c>
    </row>
    <row r="20" spans="1:8">
      <c r="A20" s="25"/>
      <c r="B20" s="13"/>
      <c r="C20" s="20"/>
      <c r="D20" s="19"/>
      <c r="E20" s="13"/>
      <c r="F20" s="13"/>
      <c r="G20" s="26">
        <f>IF($B20="","",IFERROR(INDEX(PecDesc,MATCH($B20,PecCod,0)),"Peça não cadastrada"))</f>
        <v>0</v>
      </c>
      <c r="H20" s="27">
        <f>IF(OR($C20="",$D20=""),"",$C20*$D20)</f>
        <v>0</v>
      </c>
    </row>
    <row r="21" spans="1:8">
      <c r="A21" s="25"/>
      <c r="B21" s="13"/>
      <c r="C21" s="20"/>
      <c r="D21" s="19"/>
      <c r="E21" s="13"/>
      <c r="F21" s="13"/>
      <c r="G21" s="26">
        <f>IF($B21="","",IFERROR(INDEX(PecDesc,MATCH($B21,PecCod,0)),"Peça não cadastrada"))</f>
        <v>0</v>
      </c>
      <c r="H21" s="27">
        <f>IF(OR($C21="",$D21=""),"",$C21*$D21)</f>
        <v>0</v>
      </c>
    </row>
    <row r="22" spans="1:8">
      <c r="A22" s="25"/>
      <c r="B22" s="13"/>
      <c r="C22" s="20"/>
      <c r="D22" s="19"/>
      <c r="E22" s="13"/>
      <c r="F22" s="13"/>
      <c r="G22" s="26">
        <f>IF($B22="","",IFERROR(INDEX(PecDesc,MATCH($B22,PecCod,0)),"Peça não cadastrada"))</f>
        <v>0</v>
      </c>
      <c r="H22" s="27">
        <f>IF(OR($C22="",$D22=""),"",$C22*$D22)</f>
        <v>0</v>
      </c>
    </row>
    <row r="23" spans="1:8">
      <c r="A23" s="25"/>
      <c r="B23" s="13"/>
      <c r="C23" s="20"/>
      <c r="D23" s="19"/>
      <c r="E23" s="13"/>
      <c r="F23" s="13"/>
      <c r="G23" s="26">
        <f>IF($B23="","",IFERROR(INDEX(PecDesc,MATCH($B23,PecCod,0)),"Peça não cadastrada"))</f>
        <v>0</v>
      </c>
      <c r="H23" s="27">
        <f>IF(OR($C23="",$D23=""),"",$C23*$D23)</f>
        <v>0</v>
      </c>
    </row>
    <row r="24" spans="1:8">
      <c r="A24" s="25"/>
      <c r="B24" s="13"/>
      <c r="C24" s="20"/>
      <c r="D24" s="19"/>
      <c r="E24" s="13"/>
      <c r="F24" s="13"/>
      <c r="G24" s="26">
        <f>IF($B24="","",IFERROR(INDEX(PecDesc,MATCH($B24,PecCod,0)),"Peça não cadastrada"))</f>
        <v>0</v>
      </c>
      <c r="H24" s="27">
        <f>IF(OR($C24="",$D24=""),"",$C24*$D24)</f>
        <v>0</v>
      </c>
    </row>
    <row r="25" spans="1:8">
      <c r="A25" s="25"/>
      <c r="B25" s="13"/>
      <c r="C25" s="20"/>
      <c r="D25" s="19"/>
      <c r="E25" s="13"/>
      <c r="F25" s="13"/>
      <c r="G25" s="26">
        <f>IF($B25="","",IFERROR(INDEX(PecDesc,MATCH($B25,PecCod,0)),"Peça não cadastrada"))</f>
        <v>0</v>
      </c>
      <c r="H25" s="27">
        <f>IF(OR($C25="",$D25=""),"",$C25*$D25)</f>
        <v>0</v>
      </c>
    </row>
    <row r="26" spans="1:8">
      <c r="A26" s="25"/>
      <c r="B26" s="13"/>
      <c r="C26" s="20"/>
      <c r="D26" s="19"/>
      <c r="E26" s="13"/>
      <c r="F26" s="13"/>
      <c r="G26" s="26">
        <f>IF($B26="","",IFERROR(INDEX(PecDesc,MATCH($B26,PecCod,0)),"Peça não cadastrada"))</f>
        <v>0</v>
      </c>
      <c r="H26" s="27">
        <f>IF(OR($C26="",$D26=""),"",$C26*$D26)</f>
        <v>0</v>
      </c>
    </row>
    <row r="27" spans="1:8">
      <c r="A27" s="25"/>
      <c r="B27" s="13"/>
      <c r="C27" s="20"/>
      <c r="D27" s="19"/>
      <c r="E27" s="13"/>
      <c r="F27" s="13"/>
      <c r="G27" s="26">
        <f>IF($B27="","",IFERROR(INDEX(PecDesc,MATCH($B27,PecCod,0)),"Peça não cadastrada"))</f>
        <v>0</v>
      </c>
      <c r="H27" s="27">
        <f>IF(OR($C27="",$D27=""),"",$C27*$D27)</f>
        <v>0</v>
      </c>
    </row>
    <row r="28" spans="1:8">
      <c r="A28" s="25"/>
      <c r="B28" s="13"/>
      <c r="C28" s="20"/>
      <c r="D28" s="19"/>
      <c r="E28" s="13"/>
      <c r="F28" s="13"/>
      <c r="G28" s="26">
        <f>IF($B28="","",IFERROR(INDEX(PecDesc,MATCH($B28,PecCod,0)),"Peça não cadastrada"))</f>
        <v>0</v>
      </c>
      <c r="H28" s="27">
        <f>IF(OR($C28="",$D28=""),"",$C28*$D28)</f>
        <v>0</v>
      </c>
    </row>
    <row r="29" spans="1:8">
      <c r="A29" s="25"/>
      <c r="B29" s="13"/>
      <c r="C29" s="20"/>
      <c r="D29" s="19"/>
      <c r="E29" s="13"/>
      <c r="F29" s="13"/>
      <c r="G29" s="26">
        <f>IF($B29="","",IFERROR(INDEX(PecDesc,MATCH($B29,PecCod,0)),"Peça não cadastrada"))</f>
        <v>0</v>
      </c>
      <c r="H29" s="27">
        <f>IF(OR($C29="",$D29=""),"",$C29*$D29)</f>
        <v>0</v>
      </c>
    </row>
    <row r="30" spans="1:8">
      <c r="A30" s="25"/>
      <c r="B30" s="13"/>
      <c r="C30" s="20"/>
      <c r="D30" s="19"/>
      <c r="E30" s="13"/>
      <c r="F30" s="13"/>
      <c r="G30" s="26">
        <f>IF($B30="","",IFERROR(INDEX(PecDesc,MATCH($B30,PecCod,0)),"Peça não cadastrada"))</f>
        <v>0</v>
      </c>
      <c r="H30" s="27">
        <f>IF(OR($C30="",$D30=""),"",$C30*$D30)</f>
        <v>0</v>
      </c>
    </row>
    <row r="31" spans="1:8">
      <c r="A31" s="25"/>
      <c r="B31" s="13"/>
      <c r="C31" s="20"/>
      <c r="D31" s="19"/>
      <c r="E31" s="13"/>
      <c r="F31" s="13"/>
      <c r="G31" s="26">
        <f>IF($B31="","",IFERROR(INDEX(PecDesc,MATCH($B31,PecCod,0)),"Peça não cadastrada"))</f>
        <v>0</v>
      </c>
      <c r="H31" s="27">
        <f>IF(OR($C31="",$D31=""),"",$C31*$D31)</f>
        <v>0</v>
      </c>
    </row>
    <row r="32" spans="1:8">
      <c r="A32" s="25"/>
      <c r="B32" s="13"/>
      <c r="C32" s="20"/>
      <c r="D32" s="19"/>
      <c r="E32" s="13"/>
      <c r="F32" s="13"/>
      <c r="G32" s="26">
        <f>IF($B32="","",IFERROR(INDEX(PecDesc,MATCH($B32,PecCod,0)),"Peça não cadastrada"))</f>
        <v>0</v>
      </c>
      <c r="H32" s="27">
        <f>IF(OR($C32="",$D32=""),"",$C32*$D32)</f>
        <v>0</v>
      </c>
    </row>
    <row r="33" spans="1:8">
      <c r="A33" s="25"/>
      <c r="B33" s="13"/>
      <c r="C33" s="20"/>
      <c r="D33" s="19"/>
      <c r="E33" s="13"/>
      <c r="F33" s="13"/>
      <c r="G33" s="26">
        <f>IF($B33="","",IFERROR(INDEX(PecDesc,MATCH($B33,PecCod,0)),"Peça não cadastrada"))</f>
        <v>0</v>
      </c>
      <c r="H33" s="27">
        <f>IF(OR($C33="",$D33=""),"",$C33*$D33)</f>
        <v>0</v>
      </c>
    </row>
    <row r="34" spans="1:8">
      <c r="A34" s="25"/>
      <c r="B34" s="13"/>
      <c r="C34" s="20"/>
      <c r="D34" s="19"/>
      <c r="E34" s="13"/>
      <c r="F34" s="13"/>
      <c r="G34" s="26">
        <f>IF($B34="","",IFERROR(INDEX(PecDesc,MATCH($B34,PecCod,0)),"Peça não cadastrada"))</f>
        <v>0</v>
      </c>
      <c r="H34" s="27">
        <f>IF(OR($C34="",$D34=""),"",$C34*$D34)</f>
        <v>0</v>
      </c>
    </row>
    <row r="35" spans="1:8">
      <c r="A35" s="25"/>
      <c r="B35" s="13"/>
      <c r="C35" s="20"/>
      <c r="D35" s="19"/>
      <c r="E35" s="13"/>
      <c r="F35" s="13"/>
      <c r="G35" s="26">
        <f>IF($B35="","",IFERROR(INDEX(PecDesc,MATCH($B35,PecCod,0)),"Peça não cadastrada"))</f>
        <v>0</v>
      </c>
      <c r="H35" s="27">
        <f>IF(OR($C35="",$D35=""),"",$C35*$D35)</f>
        <v>0</v>
      </c>
    </row>
    <row r="36" spans="1:8">
      <c r="A36" s="25"/>
      <c r="B36" s="13"/>
      <c r="C36" s="20"/>
      <c r="D36" s="19"/>
      <c r="E36" s="13"/>
      <c r="F36" s="13"/>
      <c r="G36" s="26">
        <f>IF($B36="","",IFERROR(INDEX(PecDesc,MATCH($B36,PecCod,0)),"Peça não cadastrada"))</f>
        <v>0</v>
      </c>
      <c r="H36" s="27">
        <f>IF(OR($C36="",$D36=""),"",$C36*$D36)</f>
        <v>0</v>
      </c>
    </row>
    <row r="37" spans="1:8">
      <c r="A37" s="25"/>
      <c r="B37" s="13"/>
      <c r="C37" s="20"/>
      <c r="D37" s="19"/>
      <c r="E37" s="13"/>
      <c r="F37" s="13"/>
      <c r="G37" s="26">
        <f>IF($B37="","",IFERROR(INDEX(PecDesc,MATCH($B37,PecCod,0)),"Peça não cadastrada"))</f>
        <v>0</v>
      </c>
      <c r="H37" s="27">
        <f>IF(OR($C37="",$D37=""),"",$C37*$D37)</f>
        <v>0</v>
      </c>
    </row>
    <row r="38" spans="1:8">
      <c r="A38" s="25"/>
      <c r="B38" s="13"/>
      <c r="C38" s="20"/>
      <c r="D38" s="19"/>
      <c r="E38" s="13"/>
      <c r="F38" s="13"/>
      <c r="G38" s="26">
        <f>IF($B38="","",IFERROR(INDEX(PecDesc,MATCH($B38,PecCod,0)),"Peça não cadastrada"))</f>
        <v>0</v>
      </c>
      <c r="H38" s="27">
        <f>IF(OR($C38="",$D38=""),"",$C38*$D38)</f>
        <v>0</v>
      </c>
    </row>
    <row r="39" spans="1:8">
      <c r="A39" s="25"/>
      <c r="B39" s="13"/>
      <c r="C39" s="20"/>
      <c r="D39" s="19"/>
      <c r="E39" s="13"/>
      <c r="F39" s="13"/>
      <c r="G39" s="26">
        <f>IF($B39="","",IFERROR(INDEX(PecDesc,MATCH($B39,PecCod,0)),"Peça não cadastrada"))</f>
        <v>0</v>
      </c>
      <c r="H39" s="27">
        <f>IF(OR($C39="",$D39=""),"",$C39*$D39)</f>
        <v>0</v>
      </c>
    </row>
    <row r="40" spans="1:8">
      <c r="A40" s="25"/>
      <c r="B40" s="13"/>
      <c r="C40" s="20"/>
      <c r="D40" s="19"/>
      <c r="E40" s="13"/>
      <c r="F40" s="13"/>
      <c r="G40" s="26">
        <f>IF($B40="","",IFERROR(INDEX(PecDesc,MATCH($B40,PecCod,0)),"Peça não cadastrada"))</f>
        <v>0</v>
      </c>
      <c r="H40" s="27">
        <f>IF(OR($C40="",$D40=""),"",$C40*$D40)</f>
        <v>0</v>
      </c>
    </row>
    <row r="41" spans="1:8">
      <c r="A41" s="25"/>
      <c r="B41" s="13"/>
      <c r="C41" s="20"/>
      <c r="D41" s="19"/>
      <c r="E41" s="13"/>
      <c r="F41" s="13"/>
      <c r="G41" s="26">
        <f>IF($B41="","",IFERROR(INDEX(PecDesc,MATCH($B41,PecCod,0)),"Peça não cadastrada"))</f>
        <v>0</v>
      </c>
      <c r="H41" s="27">
        <f>IF(OR($C41="",$D41=""),"",$C41*$D41)</f>
        <v>0</v>
      </c>
    </row>
    <row r="42" spans="1:8">
      <c r="A42" s="25"/>
      <c r="B42" s="13"/>
      <c r="C42" s="20"/>
      <c r="D42" s="19"/>
      <c r="E42" s="13"/>
      <c r="F42" s="13"/>
      <c r="G42" s="26">
        <f>IF($B42="","",IFERROR(INDEX(PecDesc,MATCH($B42,PecCod,0)),"Peça não cadastrada"))</f>
        <v>0</v>
      </c>
      <c r="H42" s="27">
        <f>IF(OR($C42="",$D42=""),"",$C42*$D42)</f>
        <v>0</v>
      </c>
    </row>
    <row r="43" spans="1:8">
      <c r="A43" s="25"/>
      <c r="B43" s="13"/>
      <c r="C43" s="20"/>
      <c r="D43" s="19"/>
      <c r="E43" s="13"/>
      <c r="F43" s="13"/>
      <c r="G43" s="26">
        <f>IF($B43="","",IFERROR(INDEX(PecDesc,MATCH($B43,PecCod,0)),"Peça não cadastrada"))</f>
        <v>0</v>
      </c>
      <c r="H43" s="27">
        <f>IF(OR($C43="",$D43=""),"",$C43*$D43)</f>
        <v>0</v>
      </c>
    </row>
    <row r="44" spans="1:8">
      <c r="A44" s="25"/>
      <c r="B44" s="13"/>
      <c r="C44" s="20"/>
      <c r="D44" s="19"/>
      <c r="E44" s="13"/>
      <c r="F44" s="13"/>
      <c r="G44" s="26">
        <f>IF($B44="","",IFERROR(INDEX(PecDesc,MATCH($B44,PecCod,0)),"Peça não cadastrada"))</f>
        <v>0</v>
      </c>
      <c r="H44" s="27">
        <f>IF(OR($C44="",$D44=""),"",$C44*$D44)</f>
        <v>0</v>
      </c>
    </row>
    <row r="45" spans="1:8">
      <c r="A45" s="25"/>
      <c r="B45" s="13"/>
      <c r="C45" s="20"/>
      <c r="D45" s="19"/>
      <c r="E45" s="13"/>
      <c r="F45" s="13"/>
      <c r="G45" s="26">
        <f>IF($B45="","",IFERROR(INDEX(PecDesc,MATCH($B45,PecCod,0)),"Peça não cadastrada"))</f>
        <v>0</v>
      </c>
      <c r="H45" s="27">
        <f>IF(OR($C45="",$D45=""),"",$C45*$D45)</f>
        <v>0</v>
      </c>
    </row>
    <row r="46" spans="1:8">
      <c r="A46" s="25"/>
      <c r="B46" s="13"/>
      <c r="C46" s="20"/>
      <c r="D46" s="19"/>
      <c r="E46" s="13"/>
      <c r="F46" s="13"/>
      <c r="G46" s="26">
        <f>IF($B46="","",IFERROR(INDEX(PecDesc,MATCH($B46,PecCod,0)),"Peça não cadastrada"))</f>
        <v>0</v>
      </c>
      <c r="H46" s="27">
        <f>IF(OR($C46="",$D46=""),"",$C46*$D46)</f>
        <v>0</v>
      </c>
    </row>
    <row r="47" spans="1:8">
      <c r="A47" s="25"/>
      <c r="B47" s="13"/>
      <c r="C47" s="20"/>
      <c r="D47" s="19"/>
      <c r="E47" s="13"/>
      <c r="F47" s="13"/>
      <c r="G47" s="26">
        <f>IF($B47="","",IFERROR(INDEX(PecDesc,MATCH($B47,PecCod,0)),"Peça não cadastrada"))</f>
        <v>0</v>
      </c>
      <c r="H47" s="27">
        <f>IF(OR($C47="",$D47=""),"",$C47*$D47)</f>
        <v>0</v>
      </c>
    </row>
    <row r="48" spans="1:8">
      <c r="A48" s="25"/>
      <c r="B48" s="13"/>
      <c r="C48" s="20"/>
      <c r="D48" s="19"/>
      <c r="E48" s="13"/>
      <c r="F48" s="13"/>
      <c r="G48" s="26">
        <f>IF($B48="","",IFERROR(INDEX(PecDesc,MATCH($B48,PecCod,0)),"Peça não cadastrada"))</f>
        <v>0</v>
      </c>
      <c r="H48" s="27">
        <f>IF(OR($C48="",$D48=""),"",$C48*$D48)</f>
        <v>0</v>
      </c>
    </row>
    <row r="49" spans="1:8">
      <c r="A49" s="25"/>
      <c r="B49" s="13"/>
      <c r="C49" s="20"/>
      <c r="D49" s="19"/>
      <c r="E49" s="13"/>
      <c r="F49" s="13"/>
      <c r="G49" s="26">
        <f>IF($B49="","",IFERROR(INDEX(PecDesc,MATCH($B49,PecCod,0)),"Peça não cadastrada"))</f>
        <v>0</v>
      </c>
      <c r="H49" s="27">
        <f>IF(OR($C49="",$D49=""),"",$C49*$D49)</f>
        <v>0</v>
      </c>
    </row>
    <row r="50" spans="1:8">
      <c r="A50" s="25"/>
      <c r="B50" s="13"/>
      <c r="C50" s="20"/>
      <c r="D50" s="19"/>
      <c r="E50" s="13"/>
      <c r="F50" s="13"/>
      <c r="G50" s="26">
        <f>IF($B50="","",IFERROR(INDEX(PecDesc,MATCH($B50,PecCod,0)),"Peça não cadastrada"))</f>
        <v>0</v>
      </c>
      <c r="H50" s="27">
        <f>IF(OR($C50="",$D50=""),"",$C50*$D50)</f>
        <v>0</v>
      </c>
    </row>
    <row r="51" spans="1:8">
      <c r="A51" s="25"/>
      <c r="B51" s="13"/>
      <c r="C51" s="20"/>
      <c r="D51" s="19"/>
      <c r="E51" s="13"/>
      <c r="F51" s="13"/>
      <c r="G51" s="26">
        <f>IF($B51="","",IFERROR(INDEX(PecDesc,MATCH($B51,PecCod,0)),"Peça não cadastrada"))</f>
        <v>0</v>
      </c>
      <c r="H51" s="27">
        <f>IF(OR($C51="",$D51=""),"",$C51*$D51)</f>
        <v>0</v>
      </c>
    </row>
    <row r="52" spans="1:8">
      <c r="A52" s="25"/>
      <c r="B52" s="13"/>
      <c r="C52" s="20"/>
      <c r="D52" s="19"/>
      <c r="E52" s="13"/>
      <c r="F52" s="13"/>
      <c r="G52" s="26">
        <f>IF($B52="","",IFERROR(INDEX(PecDesc,MATCH($B52,PecCod,0)),"Peça não cadastrada"))</f>
        <v>0</v>
      </c>
      <c r="H52" s="27">
        <f>IF(OR($C52="",$D52=""),"",$C52*$D52)</f>
        <v>0</v>
      </c>
    </row>
    <row r="53" spans="1:8">
      <c r="A53" s="25"/>
      <c r="B53" s="13"/>
      <c r="C53" s="20"/>
      <c r="D53" s="19"/>
      <c r="E53" s="13"/>
      <c r="F53" s="13"/>
      <c r="G53" s="26">
        <f>IF($B53="","",IFERROR(INDEX(PecDesc,MATCH($B53,PecCod,0)),"Peça não cadastrada"))</f>
        <v>0</v>
      </c>
      <c r="H53" s="27">
        <f>IF(OR($C53="",$D53=""),"",$C53*$D53)</f>
        <v>0</v>
      </c>
    </row>
    <row r="54" spans="1:8">
      <c r="A54" s="25"/>
      <c r="B54" s="13"/>
      <c r="C54" s="20"/>
      <c r="D54" s="19"/>
      <c r="E54" s="13"/>
      <c r="F54" s="13"/>
      <c r="G54" s="26">
        <f>IF($B54="","",IFERROR(INDEX(PecDesc,MATCH($B54,PecCod,0)),"Peça não cadastrada"))</f>
        <v>0</v>
      </c>
      <c r="H54" s="27">
        <f>IF(OR($C54="",$D54=""),"",$C54*$D54)</f>
        <v>0</v>
      </c>
    </row>
    <row r="55" spans="1:8">
      <c r="A55" s="25"/>
      <c r="B55" s="13"/>
      <c r="C55" s="20"/>
      <c r="D55" s="19"/>
      <c r="E55" s="13"/>
      <c r="F55" s="13"/>
      <c r="G55" s="26">
        <f>IF($B55="","",IFERROR(INDEX(PecDesc,MATCH($B55,PecCod,0)),"Peça não cadastrada"))</f>
        <v>0</v>
      </c>
      <c r="H55" s="27">
        <f>IF(OR($C55="",$D55=""),"",$C55*$D55)</f>
        <v>0</v>
      </c>
    </row>
    <row r="56" spans="1:8">
      <c r="A56" s="25"/>
      <c r="B56" s="13"/>
      <c r="C56" s="20"/>
      <c r="D56" s="19"/>
      <c r="E56" s="13"/>
      <c r="F56" s="13"/>
      <c r="G56" s="26">
        <f>IF($B56="","",IFERROR(INDEX(PecDesc,MATCH($B56,PecCod,0)),"Peça não cadastrada"))</f>
        <v>0</v>
      </c>
      <c r="H56" s="27">
        <f>IF(OR($C56="",$D56=""),"",$C56*$D56)</f>
        <v>0</v>
      </c>
    </row>
    <row r="57" spans="1:8">
      <c r="A57" s="25"/>
      <c r="B57" s="13"/>
      <c r="C57" s="20"/>
      <c r="D57" s="19"/>
      <c r="E57" s="13"/>
      <c r="F57" s="13"/>
      <c r="G57" s="26">
        <f>IF($B57="","",IFERROR(INDEX(PecDesc,MATCH($B57,PecCod,0)),"Peça não cadastrada"))</f>
        <v>0</v>
      </c>
      <c r="H57" s="27">
        <f>IF(OR($C57="",$D57=""),"",$C57*$D57)</f>
        <v>0</v>
      </c>
    </row>
    <row r="58" spans="1:8">
      <c r="A58" s="25"/>
      <c r="B58" s="13"/>
      <c r="C58" s="20"/>
      <c r="D58" s="19"/>
      <c r="E58" s="13"/>
      <c r="F58" s="13"/>
      <c r="G58" s="26">
        <f>IF($B58="","",IFERROR(INDEX(PecDesc,MATCH($B58,PecCod,0)),"Peça não cadastrada"))</f>
        <v>0</v>
      </c>
      <c r="H58" s="27">
        <f>IF(OR($C58="",$D58=""),"",$C58*$D58)</f>
        <v>0</v>
      </c>
    </row>
    <row r="59" spans="1:8">
      <c r="A59" s="25"/>
      <c r="B59" s="13"/>
      <c r="C59" s="20"/>
      <c r="D59" s="19"/>
      <c r="E59" s="13"/>
      <c r="F59" s="13"/>
      <c r="G59" s="26">
        <f>IF($B59="","",IFERROR(INDEX(PecDesc,MATCH($B59,PecCod,0)),"Peça não cadastrada"))</f>
        <v>0</v>
      </c>
      <c r="H59" s="27">
        <f>IF(OR($C59="",$D59=""),"",$C59*$D59)</f>
        <v>0</v>
      </c>
    </row>
    <row r="60" spans="1:8">
      <c r="A60" s="25"/>
      <c r="B60" s="13"/>
      <c r="C60" s="20"/>
      <c r="D60" s="19"/>
      <c r="E60" s="13"/>
      <c r="F60" s="13"/>
      <c r="G60" s="26">
        <f>IF($B60="","",IFERROR(INDEX(PecDesc,MATCH($B60,PecCod,0)),"Peça não cadastrada"))</f>
        <v>0</v>
      </c>
      <c r="H60" s="27">
        <f>IF(OR($C60="",$D60=""),"",$C60*$D60)</f>
        <v>0</v>
      </c>
    </row>
    <row r="61" spans="1:8">
      <c r="A61" s="25"/>
      <c r="B61" s="13"/>
      <c r="C61" s="20"/>
      <c r="D61" s="19"/>
      <c r="E61" s="13"/>
      <c r="F61" s="13"/>
      <c r="G61" s="26">
        <f>IF($B61="","",IFERROR(INDEX(PecDesc,MATCH($B61,PecCod,0)),"Peça não cadastrada"))</f>
        <v>0</v>
      </c>
      <c r="H61" s="27">
        <f>IF(OR($C61="",$D61=""),"",$C61*$D61)</f>
        <v>0</v>
      </c>
    </row>
    <row r="62" spans="1:8">
      <c r="A62" s="25"/>
      <c r="B62" s="13"/>
      <c r="C62" s="20"/>
      <c r="D62" s="19"/>
      <c r="E62" s="13"/>
      <c r="F62" s="13"/>
      <c r="G62" s="26">
        <f>IF($B62="","",IFERROR(INDEX(PecDesc,MATCH($B62,PecCod,0)),"Peça não cadastrada"))</f>
        <v>0</v>
      </c>
      <c r="H62" s="27">
        <f>IF(OR($C62="",$D62=""),"",$C62*$D62)</f>
        <v>0</v>
      </c>
    </row>
    <row r="63" spans="1:8">
      <c r="A63" s="25"/>
      <c r="B63" s="13"/>
      <c r="C63" s="20"/>
      <c r="D63" s="19"/>
      <c r="E63" s="13"/>
      <c r="F63" s="13"/>
      <c r="G63" s="26">
        <f>IF($B63="","",IFERROR(INDEX(PecDesc,MATCH($B63,PecCod,0)),"Peça não cadastrada"))</f>
        <v>0</v>
      </c>
      <c r="H63" s="27">
        <f>IF(OR($C63="",$D63=""),"",$C63*$D63)</f>
        <v>0</v>
      </c>
    </row>
    <row r="64" spans="1:8">
      <c r="A64" s="25"/>
      <c r="B64" s="13"/>
      <c r="C64" s="20"/>
      <c r="D64" s="19"/>
      <c r="E64" s="13"/>
      <c r="F64" s="13"/>
      <c r="G64" s="26">
        <f>IF($B64="","",IFERROR(INDEX(PecDesc,MATCH($B64,PecCod,0)),"Peça não cadastrada"))</f>
        <v>0</v>
      </c>
      <c r="H64" s="27">
        <f>IF(OR($C64="",$D64=""),"",$C64*$D64)</f>
        <v>0</v>
      </c>
    </row>
    <row r="65" spans="1:8">
      <c r="A65" s="25"/>
      <c r="B65" s="13"/>
      <c r="C65" s="20"/>
      <c r="D65" s="19"/>
      <c r="E65" s="13"/>
      <c r="F65" s="13"/>
      <c r="G65" s="26">
        <f>IF($B65="","",IFERROR(INDEX(PecDesc,MATCH($B65,PecCod,0)),"Peça não cadastrada"))</f>
        <v>0</v>
      </c>
      <c r="H65" s="27">
        <f>IF(OR($C65="",$D65=""),"",$C65*$D65)</f>
        <v>0</v>
      </c>
    </row>
    <row r="66" spans="1:8">
      <c r="A66" s="25"/>
      <c r="B66" s="13"/>
      <c r="C66" s="20"/>
      <c r="D66" s="19"/>
      <c r="E66" s="13"/>
      <c r="F66" s="13"/>
      <c r="G66" s="26">
        <f>IF($B66="","",IFERROR(INDEX(PecDesc,MATCH($B66,PecCod,0)),"Peça não cadastrada"))</f>
        <v>0</v>
      </c>
      <c r="H66" s="27">
        <f>IF(OR($C66="",$D66=""),"",$C66*$D66)</f>
        <v>0</v>
      </c>
    </row>
    <row r="67" spans="1:8">
      <c r="A67" s="25"/>
      <c r="B67" s="13"/>
      <c r="C67" s="20"/>
      <c r="D67" s="19"/>
      <c r="E67" s="13"/>
      <c r="F67" s="13"/>
      <c r="G67" s="26">
        <f>IF($B67="","",IFERROR(INDEX(PecDesc,MATCH($B67,PecCod,0)),"Peça não cadastrada"))</f>
        <v>0</v>
      </c>
      <c r="H67" s="27">
        <f>IF(OR($C67="",$D67=""),"",$C67*$D67)</f>
        <v>0</v>
      </c>
    </row>
    <row r="68" spans="1:8">
      <c r="A68" s="25"/>
      <c r="B68" s="13"/>
      <c r="C68" s="20"/>
      <c r="D68" s="19"/>
      <c r="E68" s="13"/>
      <c r="F68" s="13"/>
      <c r="G68" s="26">
        <f>IF($B68="","",IFERROR(INDEX(PecDesc,MATCH($B68,PecCod,0)),"Peça não cadastrada"))</f>
        <v>0</v>
      </c>
      <c r="H68" s="27">
        <f>IF(OR($C68="",$D68=""),"",$C68*$D68)</f>
        <v>0</v>
      </c>
    </row>
    <row r="69" spans="1:8">
      <c r="A69" s="25"/>
      <c r="B69" s="13"/>
      <c r="C69" s="20"/>
      <c r="D69" s="19"/>
      <c r="E69" s="13"/>
      <c r="F69" s="13"/>
      <c r="G69" s="26">
        <f>IF($B69="","",IFERROR(INDEX(PecDesc,MATCH($B69,PecCod,0)),"Peça não cadastrada"))</f>
        <v>0</v>
      </c>
      <c r="H69" s="27">
        <f>IF(OR($C69="",$D69=""),"",$C69*$D69)</f>
        <v>0</v>
      </c>
    </row>
    <row r="70" spans="1:8">
      <c r="A70" s="25"/>
      <c r="B70" s="13"/>
      <c r="C70" s="20"/>
      <c r="D70" s="19"/>
      <c r="E70" s="13"/>
      <c r="F70" s="13"/>
      <c r="G70" s="26">
        <f>IF($B70="","",IFERROR(INDEX(PecDesc,MATCH($B70,PecCod,0)),"Peça não cadastrada"))</f>
        <v>0</v>
      </c>
      <c r="H70" s="27">
        <f>IF(OR($C70="",$D70=""),"",$C70*$D70)</f>
        <v>0</v>
      </c>
    </row>
    <row r="71" spans="1:8">
      <c r="A71" s="25"/>
      <c r="B71" s="13"/>
      <c r="C71" s="20"/>
      <c r="D71" s="19"/>
      <c r="E71" s="13"/>
      <c r="F71" s="13"/>
      <c r="G71" s="26">
        <f>IF($B71="","",IFERROR(INDEX(PecDesc,MATCH($B71,PecCod,0)),"Peça não cadastrada"))</f>
        <v>0</v>
      </c>
      <c r="H71" s="27">
        <f>IF(OR($C71="",$D71=""),"",$C71*$D71)</f>
        <v>0</v>
      </c>
    </row>
    <row r="72" spans="1:8">
      <c r="A72" s="25"/>
      <c r="B72" s="13"/>
      <c r="C72" s="20"/>
      <c r="D72" s="19"/>
      <c r="E72" s="13"/>
      <c r="F72" s="13"/>
      <c r="G72" s="26">
        <f>IF($B72="","",IFERROR(INDEX(PecDesc,MATCH($B72,PecCod,0)),"Peça não cadastrada"))</f>
        <v>0</v>
      </c>
      <c r="H72" s="27">
        <f>IF(OR($C72="",$D72=""),"",$C72*$D72)</f>
        <v>0</v>
      </c>
    </row>
    <row r="73" spans="1:8">
      <c r="A73" s="25"/>
      <c r="B73" s="13"/>
      <c r="C73" s="20"/>
      <c r="D73" s="19"/>
      <c r="E73" s="13"/>
      <c r="F73" s="13"/>
      <c r="G73" s="26">
        <f>IF($B73="","",IFERROR(INDEX(PecDesc,MATCH($B73,PecCod,0)),"Peça não cadastrada"))</f>
        <v>0</v>
      </c>
      <c r="H73" s="27">
        <f>IF(OR($C73="",$D73=""),"",$C73*$D73)</f>
        <v>0</v>
      </c>
    </row>
    <row r="74" spans="1:8">
      <c r="A74" s="25"/>
      <c r="B74" s="13"/>
      <c r="C74" s="20"/>
      <c r="D74" s="19"/>
      <c r="E74" s="13"/>
      <c r="F74" s="13"/>
      <c r="G74" s="26">
        <f>IF($B74="","",IFERROR(INDEX(PecDesc,MATCH($B74,PecCod,0)),"Peça não cadastrada"))</f>
        <v>0</v>
      </c>
      <c r="H74" s="27">
        <f>IF(OR($C74="",$D74=""),"",$C74*$D74)</f>
        <v>0</v>
      </c>
    </row>
    <row r="75" spans="1:8">
      <c r="A75" s="25"/>
      <c r="B75" s="13"/>
      <c r="C75" s="20"/>
      <c r="D75" s="19"/>
      <c r="E75" s="13"/>
      <c r="F75" s="13"/>
      <c r="G75" s="26">
        <f>IF($B75="","",IFERROR(INDEX(PecDesc,MATCH($B75,PecCod,0)),"Peça não cadastrada"))</f>
        <v>0</v>
      </c>
      <c r="H75" s="27">
        <f>IF(OR($C75="",$D75=""),"",$C75*$D75)</f>
        <v>0</v>
      </c>
    </row>
    <row r="76" spans="1:8">
      <c r="A76" s="25"/>
      <c r="B76" s="13"/>
      <c r="C76" s="20"/>
      <c r="D76" s="19"/>
      <c r="E76" s="13"/>
      <c r="F76" s="13"/>
      <c r="G76" s="26">
        <f>IF($B76="","",IFERROR(INDEX(PecDesc,MATCH($B76,PecCod,0)),"Peça não cadastrada"))</f>
        <v>0</v>
      </c>
      <c r="H76" s="27">
        <f>IF(OR($C76="",$D76=""),"",$C76*$D76)</f>
        <v>0</v>
      </c>
    </row>
    <row r="77" spans="1:8">
      <c r="A77" s="25"/>
      <c r="B77" s="13"/>
      <c r="C77" s="20"/>
      <c r="D77" s="19"/>
      <c r="E77" s="13"/>
      <c r="F77" s="13"/>
      <c r="G77" s="26">
        <f>IF($B77="","",IFERROR(INDEX(PecDesc,MATCH($B77,PecCod,0)),"Peça não cadastrada"))</f>
        <v>0</v>
      </c>
      <c r="H77" s="27">
        <f>IF(OR($C77="",$D77=""),"",$C77*$D77)</f>
        <v>0</v>
      </c>
    </row>
    <row r="78" spans="1:8">
      <c r="A78" s="25"/>
      <c r="B78" s="13"/>
      <c r="C78" s="20"/>
      <c r="D78" s="19"/>
      <c r="E78" s="13"/>
      <c r="F78" s="13"/>
      <c r="G78" s="26">
        <f>IF($B78="","",IFERROR(INDEX(PecDesc,MATCH($B78,PecCod,0)),"Peça não cadastrada"))</f>
        <v>0</v>
      </c>
      <c r="H78" s="27">
        <f>IF(OR($C78="",$D78=""),"",$C78*$D78)</f>
        <v>0</v>
      </c>
    </row>
    <row r="79" spans="1:8">
      <c r="A79" s="25"/>
      <c r="B79" s="13"/>
      <c r="C79" s="20"/>
      <c r="D79" s="19"/>
      <c r="E79" s="13"/>
      <c r="F79" s="13"/>
      <c r="G79" s="26">
        <f>IF($B79="","",IFERROR(INDEX(PecDesc,MATCH($B79,PecCod,0)),"Peça não cadastrada"))</f>
        <v>0</v>
      </c>
      <c r="H79" s="27">
        <f>IF(OR($C79="",$D79=""),"",$C79*$D79)</f>
        <v>0</v>
      </c>
    </row>
    <row r="80" spans="1:8">
      <c r="A80" s="25"/>
      <c r="B80" s="13"/>
      <c r="C80" s="20"/>
      <c r="D80" s="19"/>
      <c r="E80" s="13"/>
      <c r="F80" s="13"/>
      <c r="G80" s="26">
        <f>IF($B80="","",IFERROR(INDEX(PecDesc,MATCH($B80,PecCod,0)),"Peça não cadastrada"))</f>
        <v>0</v>
      </c>
      <c r="H80" s="27">
        <f>IF(OR($C80="",$D80=""),"",$C80*$D80)</f>
        <v>0</v>
      </c>
    </row>
    <row r="81" spans="1:8">
      <c r="A81" s="25"/>
      <c r="B81" s="13"/>
      <c r="C81" s="20"/>
      <c r="D81" s="19"/>
      <c r="E81" s="13"/>
      <c r="F81" s="13"/>
      <c r="G81" s="26">
        <f>IF($B81="","",IFERROR(INDEX(PecDesc,MATCH($B81,PecCod,0)),"Peça não cadastrada"))</f>
        <v>0</v>
      </c>
      <c r="H81" s="27">
        <f>IF(OR($C81="",$D81=""),"",$C81*$D81)</f>
        <v>0</v>
      </c>
    </row>
    <row r="82" spans="1:8">
      <c r="A82" s="25"/>
      <c r="B82" s="13"/>
      <c r="C82" s="20"/>
      <c r="D82" s="19"/>
      <c r="E82" s="13"/>
      <c r="F82" s="13"/>
      <c r="G82" s="26">
        <f>IF($B82="","",IFERROR(INDEX(PecDesc,MATCH($B82,PecCod,0)),"Peça não cadastrada"))</f>
        <v>0</v>
      </c>
      <c r="H82" s="27">
        <f>IF(OR($C82="",$D82=""),"",$C82*$D82)</f>
        <v>0</v>
      </c>
    </row>
    <row r="83" spans="1:8">
      <c r="A83" s="25"/>
      <c r="B83" s="13"/>
      <c r="C83" s="20"/>
      <c r="D83" s="19"/>
      <c r="E83" s="13"/>
      <c r="F83" s="13"/>
      <c r="G83" s="26">
        <f>IF($B83="","",IFERROR(INDEX(PecDesc,MATCH($B83,PecCod,0)),"Peça não cadastrada"))</f>
        <v>0</v>
      </c>
      <c r="H83" s="27">
        <f>IF(OR($C83="",$D83=""),"",$C83*$D83)</f>
        <v>0</v>
      </c>
    </row>
    <row r="84" spans="1:8">
      <c r="A84" s="25"/>
      <c r="B84" s="13"/>
      <c r="C84" s="20"/>
      <c r="D84" s="19"/>
      <c r="E84" s="13"/>
      <c r="F84" s="13"/>
      <c r="G84" s="26">
        <f>IF($B84="","",IFERROR(INDEX(PecDesc,MATCH($B84,PecCod,0)),"Peça não cadastrada"))</f>
        <v>0</v>
      </c>
      <c r="H84" s="27">
        <f>IF(OR($C84="",$D84=""),"",$C84*$D84)</f>
        <v>0</v>
      </c>
    </row>
    <row r="85" spans="1:8">
      <c r="A85" s="25"/>
      <c r="B85" s="13"/>
      <c r="C85" s="20"/>
      <c r="D85" s="19"/>
      <c r="E85" s="13"/>
      <c r="F85" s="13"/>
      <c r="G85" s="26">
        <f>IF($B85="","",IFERROR(INDEX(PecDesc,MATCH($B85,PecCod,0)),"Peça não cadastrada"))</f>
        <v>0</v>
      </c>
      <c r="H85" s="27">
        <f>IF(OR($C85="",$D85=""),"",$C85*$D85)</f>
        <v>0</v>
      </c>
    </row>
    <row r="86" spans="1:8">
      <c r="A86" s="25"/>
      <c r="B86" s="13"/>
      <c r="C86" s="20"/>
      <c r="D86" s="19"/>
      <c r="E86" s="13"/>
      <c r="F86" s="13"/>
      <c r="G86" s="26">
        <f>IF($B86="","",IFERROR(INDEX(PecDesc,MATCH($B86,PecCod,0)),"Peça não cadastrada"))</f>
        <v>0</v>
      </c>
      <c r="H86" s="27">
        <f>IF(OR($C86="",$D86=""),"",$C86*$D86)</f>
        <v>0</v>
      </c>
    </row>
    <row r="87" spans="1:8">
      <c r="A87" s="25"/>
      <c r="B87" s="13"/>
      <c r="C87" s="20"/>
      <c r="D87" s="19"/>
      <c r="E87" s="13"/>
      <c r="F87" s="13"/>
      <c r="G87" s="26">
        <f>IF($B87="","",IFERROR(INDEX(PecDesc,MATCH($B87,PecCod,0)),"Peça não cadastrada"))</f>
        <v>0</v>
      </c>
      <c r="H87" s="27">
        <f>IF(OR($C87="",$D87=""),"",$C87*$D87)</f>
        <v>0</v>
      </c>
    </row>
    <row r="88" spans="1:8">
      <c r="A88" s="25"/>
      <c r="B88" s="13"/>
      <c r="C88" s="20"/>
      <c r="D88" s="19"/>
      <c r="E88" s="13"/>
      <c r="F88" s="13"/>
      <c r="G88" s="26">
        <f>IF($B88="","",IFERROR(INDEX(PecDesc,MATCH($B88,PecCod,0)),"Peça não cadastrada"))</f>
        <v>0</v>
      </c>
      <c r="H88" s="27">
        <f>IF(OR($C88="",$D88=""),"",$C88*$D88)</f>
        <v>0</v>
      </c>
    </row>
    <row r="89" spans="1:8">
      <c r="A89" s="25"/>
      <c r="B89" s="13"/>
      <c r="C89" s="20"/>
      <c r="D89" s="19"/>
      <c r="E89" s="13"/>
      <c r="F89" s="13"/>
      <c r="G89" s="26">
        <f>IF($B89="","",IFERROR(INDEX(PecDesc,MATCH($B89,PecCod,0)),"Peça não cadastrada"))</f>
        <v>0</v>
      </c>
      <c r="H89" s="27">
        <f>IF(OR($C89="",$D89=""),"",$C89*$D89)</f>
        <v>0</v>
      </c>
    </row>
    <row r="90" spans="1:8">
      <c r="A90" s="25"/>
      <c r="B90" s="13"/>
      <c r="C90" s="20"/>
      <c r="D90" s="19"/>
      <c r="E90" s="13"/>
      <c r="F90" s="13"/>
      <c r="G90" s="26">
        <f>IF($B90="","",IFERROR(INDEX(PecDesc,MATCH($B90,PecCod,0)),"Peça não cadastrada"))</f>
        <v>0</v>
      </c>
      <c r="H90" s="27">
        <f>IF(OR($C90="",$D90=""),"",$C90*$D90)</f>
        <v>0</v>
      </c>
    </row>
    <row r="91" spans="1:8">
      <c r="A91" s="25"/>
      <c r="B91" s="13"/>
      <c r="C91" s="20"/>
      <c r="D91" s="19"/>
      <c r="E91" s="13"/>
      <c r="F91" s="13"/>
      <c r="G91" s="26">
        <f>IF($B91="","",IFERROR(INDEX(PecDesc,MATCH($B91,PecCod,0)),"Peça não cadastrada"))</f>
        <v>0</v>
      </c>
      <c r="H91" s="27">
        <f>IF(OR($C91="",$D91=""),"",$C91*$D91)</f>
        <v>0</v>
      </c>
    </row>
    <row r="92" spans="1:8">
      <c r="A92" s="25"/>
      <c r="B92" s="13"/>
      <c r="C92" s="20"/>
      <c r="D92" s="19"/>
      <c r="E92" s="13"/>
      <c r="F92" s="13"/>
      <c r="G92" s="26">
        <f>IF($B92="","",IFERROR(INDEX(PecDesc,MATCH($B92,PecCod,0)),"Peça não cadastrada"))</f>
        <v>0</v>
      </c>
      <c r="H92" s="27">
        <f>IF(OR($C92="",$D92=""),"",$C92*$D92)</f>
        <v>0</v>
      </c>
    </row>
    <row r="93" spans="1:8">
      <c r="A93" s="25"/>
      <c r="B93" s="13"/>
      <c r="C93" s="20"/>
      <c r="D93" s="19"/>
      <c r="E93" s="13"/>
      <c r="F93" s="13"/>
      <c r="G93" s="26">
        <f>IF($B93="","",IFERROR(INDEX(PecDesc,MATCH($B93,PecCod,0)),"Peça não cadastrada"))</f>
        <v>0</v>
      </c>
      <c r="H93" s="27">
        <f>IF(OR($C93="",$D93=""),"",$C93*$D93)</f>
        <v>0</v>
      </c>
    </row>
    <row r="94" spans="1:8">
      <c r="A94" s="25"/>
      <c r="B94" s="13"/>
      <c r="C94" s="20"/>
      <c r="D94" s="19"/>
      <c r="E94" s="13"/>
      <c r="F94" s="13"/>
      <c r="G94" s="26">
        <f>IF($B94="","",IFERROR(INDEX(PecDesc,MATCH($B94,PecCod,0)),"Peça não cadastrada"))</f>
        <v>0</v>
      </c>
      <c r="H94" s="27">
        <f>IF(OR($C94="",$D94=""),"",$C94*$D94)</f>
        <v>0</v>
      </c>
    </row>
    <row r="95" spans="1:8">
      <c r="A95" s="25"/>
      <c r="B95" s="13"/>
      <c r="C95" s="20"/>
      <c r="D95" s="19"/>
      <c r="E95" s="13"/>
      <c r="F95" s="13"/>
      <c r="G95" s="26">
        <f>IF($B95="","",IFERROR(INDEX(PecDesc,MATCH($B95,PecCod,0)),"Peça não cadastrada"))</f>
        <v>0</v>
      </c>
      <c r="H95" s="27">
        <f>IF(OR($C95="",$D95=""),"",$C95*$D95)</f>
        <v>0</v>
      </c>
    </row>
    <row r="96" spans="1:8">
      <c r="A96" s="25"/>
      <c r="B96" s="13"/>
      <c r="C96" s="20"/>
      <c r="D96" s="19"/>
      <c r="E96" s="13"/>
      <c r="F96" s="13"/>
      <c r="G96" s="26">
        <f>IF($B96="","",IFERROR(INDEX(PecDesc,MATCH($B96,PecCod,0)),"Peça não cadastrada"))</f>
        <v>0</v>
      </c>
      <c r="H96" s="27">
        <f>IF(OR($C96="",$D96=""),"",$C96*$D96)</f>
        <v>0</v>
      </c>
    </row>
    <row r="97" spans="1:8">
      <c r="A97" s="25"/>
      <c r="B97" s="13"/>
      <c r="C97" s="20"/>
      <c r="D97" s="19"/>
      <c r="E97" s="13"/>
      <c r="F97" s="13"/>
      <c r="G97" s="26">
        <f>IF($B97="","",IFERROR(INDEX(PecDesc,MATCH($B97,PecCod,0)),"Peça não cadastrada"))</f>
        <v>0</v>
      </c>
      <c r="H97" s="27">
        <f>IF(OR($C97="",$D97=""),"",$C97*$D97)</f>
        <v>0</v>
      </c>
    </row>
    <row r="98" spans="1:8">
      <c r="A98" s="25"/>
      <c r="B98" s="13"/>
      <c r="C98" s="20"/>
      <c r="D98" s="19"/>
      <c r="E98" s="13"/>
      <c r="F98" s="13"/>
      <c r="G98" s="26">
        <f>IF($B98="","",IFERROR(INDEX(PecDesc,MATCH($B98,PecCod,0)),"Peça não cadastrada"))</f>
        <v>0</v>
      </c>
      <c r="H98" s="27">
        <f>IF(OR($C98="",$D98=""),"",$C98*$D98)</f>
        <v>0</v>
      </c>
    </row>
    <row r="99" spans="1:8">
      <c r="A99" s="25"/>
      <c r="B99" s="13"/>
      <c r="C99" s="20"/>
      <c r="D99" s="19"/>
      <c r="E99" s="13"/>
      <c r="F99" s="13"/>
      <c r="G99" s="26">
        <f>IF($B99="","",IFERROR(INDEX(PecDesc,MATCH($B99,PecCod,0)),"Peça não cadastrada"))</f>
        <v>0</v>
      </c>
      <c r="H99" s="27">
        <f>IF(OR($C99="",$D99=""),"",$C99*$D99)</f>
        <v>0</v>
      </c>
    </row>
    <row r="100" spans="1:8">
      <c r="A100" s="25"/>
      <c r="B100" s="13"/>
      <c r="C100" s="20"/>
      <c r="D100" s="19"/>
      <c r="E100" s="13"/>
      <c r="F100" s="13"/>
      <c r="G100" s="26">
        <f>IF($B100="","",IFERROR(INDEX(PecDesc,MATCH($B100,PecCod,0)),"Peça não cadastrada"))</f>
        <v>0</v>
      </c>
      <c r="H100" s="27">
        <f>IF(OR($C100="",$D100=""),"",$C100*$D100)</f>
        <v>0</v>
      </c>
    </row>
    <row r="101" spans="1:8">
      <c r="A101" s="25"/>
      <c r="B101" s="13"/>
      <c r="C101" s="20"/>
      <c r="D101" s="19"/>
      <c r="E101" s="13"/>
      <c r="F101" s="13"/>
      <c r="G101" s="26">
        <f>IF($B101="","",IFERROR(INDEX(PecDesc,MATCH($B101,PecCod,0)),"Peça não cadastrada"))</f>
        <v>0</v>
      </c>
      <c r="H101" s="27">
        <f>IF(OR($C101="",$D101=""),"",$C101*$D101)</f>
        <v>0</v>
      </c>
    </row>
    <row r="102" spans="1:8">
      <c r="A102" s="25"/>
      <c r="B102" s="13"/>
      <c r="C102" s="20"/>
      <c r="D102" s="19"/>
      <c r="E102" s="13"/>
      <c r="F102" s="13"/>
      <c r="G102" s="26">
        <f>IF($B102="","",IFERROR(INDEX(PecDesc,MATCH($B102,PecCod,0)),"Peça não cadastrada"))</f>
        <v>0</v>
      </c>
      <c r="H102" s="27">
        <f>IF(OR($C102="",$D102=""),"",$C102*$D102)</f>
        <v>0</v>
      </c>
    </row>
    <row r="103" spans="1:8">
      <c r="A103" s="25"/>
      <c r="B103" s="13"/>
      <c r="C103" s="20"/>
      <c r="D103" s="19"/>
      <c r="E103" s="13"/>
      <c r="F103" s="13"/>
      <c r="G103" s="26">
        <f>IF($B103="","",IFERROR(INDEX(PecDesc,MATCH($B103,PecCod,0)),"Peça não cadastrada"))</f>
        <v>0</v>
      </c>
      <c r="H103" s="27">
        <f>IF(OR($C103="",$D103=""),"",$C103*$D103)</f>
        <v>0</v>
      </c>
    </row>
    <row r="104" spans="1:8">
      <c r="A104" s="25"/>
      <c r="B104" s="13"/>
      <c r="C104" s="20"/>
      <c r="D104" s="19"/>
      <c r="E104" s="13"/>
      <c r="F104" s="13"/>
      <c r="G104" s="26">
        <f>IF($B104="","",IFERROR(INDEX(PecDesc,MATCH($B104,PecCod,0)),"Peça não cadastrada"))</f>
        <v>0</v>
      </c>
      <c r="H104" s="27">
        <f>IF(OR($C104="",$D104=""),"",$C104*$D104)</f>
        <v>0</v>
      </c>
    </row>
    <row r="105" spans="1:8">
      <c r="A105" s="25"/>
      <c r="B105" s="13"/>
      <c r="C105" s="20"/>
      <c r="D105" s="19"/>
      <c r="E105" s="13"/>
      <c r="F105" s="13"/>
      <c r="G105" s="26">
        <f>IF($B105="","",IFERROR(INDEX(PecDesc,MATCH($B105,PecCod,0)),"Peça não cadastrada"))</f>
        <v>0</v>
      </c>
      <c r="H105" s="27">
        <f>IF(OR($C105="",$D105=""),"",$C105*$D105)</f>
        <v>0</v>
      </c>
    </row>
    <row r="106" spans="1:8">
      <c r="A106" s="25"/>
      <c r="B106" s="13"/>
      <c r="C106" s="20"/>
      <c r="D106" s="19"/>
      <c r="E106" s="13"/>
      <c r="F106" s="13"/>
      <c r="G106" s="26">
        <f>IF($B106="","",IFERROR(INDEX(PecDesc,MATCH($B106,PecCod,0)),"Peça não cadastrada"))</f>
        <v>0</v>
      </c>
      <c r="H106" s="27">
        <f>IF(OR($C106="",$D106=""),"",$C106*$D106)</f>
        <v>0</v>
      </c>
    </row>
    <row r="107" spans="1:8">
      <c r="A107" s="25"/>
      <c r="B107" s="13"/>
      <c r="C107" s="20"/>
      <c r="D107" s="19"/>
      <c r="E107" s="13"/>
      <c r="F107" s="13"/>
      <c r="G107" s="26">
        <f>IF($B107="","",IFERROR(INDEX(PecDesc,MATCH($B107,PecCod,0)),"Peça não cadastrada"))</f>
        <v>0</v>
      </c>
      <c r="H107" s="27">
        <f>IF(OR($C107="",$D107=""),"",$C107*$D107)</f>
        <v>0</v>
      </c>
    </row>
    <row r="108" spans="1:8">
      <c r="A108" s="25"/>
      <c r="B108" s="13"/>
      <c r="C108" s="20"/>
      <c r="D108" s="19"/>
      <c r="E108" s="13"/>
      <c r="F108" s="13"/>
      <c r="G108" s="26">
        <f>IF($B108="","",IFERROR(INDEX(PecDesc,MATCH($B108,PecCod,0)),"Peça não cadastrada"))</f>
        <v>0</v>
      </c>
      <c r="H108" s="27">
        <f>IF(OR($C108="",$D108=""),"",$C108*$D108)</f>
        <v>0</v>
      </c>
    </row>
    <row r="109" spans="1:8">
      <c r="A109" s="25"/>
      <c r="B109" s="13"/>
      <c r="C109" s="20"/>
      <c r="D109" s="19"/>
      <c r="E109" s="13"/>
      <c r="F109" s="13"/>
      <c r="G109" s="26">
        <f>IF($B109="","",IFERROR(INDEX(PecDesc,MATCH($B109,PecCod,0)),"Peça não cadastrada"))</f>
        <v>0</v>
      </c>
      <c r="H109" s="27">
        <f>IF(OR($C109="",$D109=""),"",$C109*$D109)</f>
        <v>0</v>
      </c>
    </row>
    <row r="110" spans="1:8">
      <c r="A110" s="25"/>
      <c r="B110" s="13"/>
      <c r="C110" s="20"/>
      <c r="D110" s="19"/>
      <c r="E110" s="13"/>
      <c r="F110" s="13"/>
      <c r="G110" s="26">
        <f>IF($B110="","",IFERROR(INDEX(PecDesc,MATCH($B110,PecCod,0)),"Peça não cadastrada"))</f>
        <v>0</v>
      </c>
      <c r="H110" s="27">
        <f>IF(OR($C110="",$D110=""),"",$C110*$D110)</f>
        <v>0</v>
      </c>
    </row>
    <row r="111" spans="1:8">
      <c r="A111" s="25"/>
      <c r="B111" s="13"/>
      <c r="C111" s="20"/>
      <c r="D111" s="19"/>
      <c r="E111" s="13"/>
      <c r="F111" s="13"/>
      <c r="G111" s="26">
        <f>IF($B111="","",IFERROR(INDEX(PecDesc,MATCH($B111,PecCod,0)),"Peça não cadastrada"))</f>
        <v>0</v>
      </c>
      <c r="H111" s="27">
        <f>IF(OR($C111="",$D111=""),"",$C111*$D111)</f>
        <v>0</v>
      </c>
    </row>
    <row r="112" spans="1:8">
      <c r="A112" s="25"/>
      <c r="B112" s="13"/>
      <c r="C112" s="20"/>
      <c r="D112" s="19"/>
      <c r="E112" s="13"/>
      <c r="F112" s="13"/>
      <c r="G112" s="26">
        <f>IF($B112="","",IFERROR(INDEX(PecDesc,MATCH($B112,PecCod,0)),"Peça não cadastrada"))</f>
        <v>0</v>
      </c>
      <c r="H112" s="27">
        <f>IF(OR($C112="",$D112=""),"",$C112*$D112)</f>
        <v>0</v>
      </c>
    </row>
    <row r="113" spans="1:8">
      <c r="A113" s="25"/>
      <c r="B113" s="13"/>
      <c r="C113" s="20"/>
      <c r="D113" s="19"/>
      <c r="E113" s="13"/>
      <c r="F113" s="13"/>
      <c r="G113" s="26">
        <f>IF($B113="","",IFERROR(INDEX(PecDesc,MATCH($B113,PecCod,0)),"Peça não cadastrada"))</f>
        <v>0</v>
      </c>
      <c r="H113" s="27">
        <f>IF(OR($C113="",$D113=""),"",$C113*$D113)</f>
        <v>0</v>
      </c>
    </row>
    <row r="114" spans="1:8">
      <c r="A114" s="25"/>
      <c r="B114" s="13"/>
      <c r="C114" s="20"/>
      <c r="D114" s="19"/>
      <c r="E114" s="13"/>
      <c r="F114" s="13"/>
      <c r="G114" s="26">
        <f>IF($B114="","",IFERROR(INDEX(PecDesc,MATCH($B114,PecCod,0)),"Peça não cadastrada"))</f>
        <v>0</v>
      </c>
      <c r="H114" s="27">
        <f>IF(OR($C114="",$D114=""),"",$C114*$D114)</f>
        <v>0</v>
      </c>
    </row>
    <row r="115" spans="1:8">
      <c r="A115" s="25"/>
      <c r="B115" s="13"/>
      <c r="C115" s="20"/>
      <c r="D115" s="19"/>
      <c r="E115" s="13"/>
      <c r="F115" s="13"/>
      <c r="G115" s="26">
        <f>IF($B115="","",IFERROR(INDEX(PecDesc,MATCH($B115,PecCod,0)),"Peça não cadastrada"))</f>
        <v>0</v>
      </c>
      <c r="H115" s="27">
        <f>IF(OR($C115="",$D115=""),"",$C115*$D115)</f>
        <v>0</v>
      </c>
    </row>
    <row r="116" spans="1:8">
      <c r="A116" s="25"/>
      <c r="B116" s="13"/>
      <c r="C116" s="20"/>
      <c r="D116" s="19"/>
      <c r="E116" s="13"/>
      <c r="F116" s="13"/>
      <c r="G116" s="26">
        <f>IF($B116="","",IFERROR(INDEX(PecDesc,MATCH($B116,PecCod,0)),"Peça não cadastrada"))</f>
        <v>0</v>
      </c>
      <c r="H116" s="27">
        <f>IF(OR($C116="",$D116=""),"",$C116*$D116)</f>
        <v>0</v>
      </c>
    </row>
    <row r="117" spans="1:8">
      <c r="A117" s="25"/>
      <c r="B117" s="13"/>
      <c r="C117" s="20"/>
      <c r="D117" s="19"/>
      <c r="E117" s="13"/>
      <c r="F117" s="13"/>
      <c r="G117" s="26">
        <f>IF($B117="","",IFERROR(INDEX(PecDesc,MATCH($B117,PecCod,0)),"Peça não cadastrada"))</f>
        <v>0</v>
      </c>
      <c r="H117" s="27">
        <f>IF(OR($C117="",$D117=""),"",$C117*$D117)</f>
        <v>0</v>
      </c>
    </row>
    <row r="118" spans="1:8">
      <c r="A118" s="25"/>
      <c r="B118" s="13"/>
      <c r="C118" s="20"/>
      <c r="D118" s="19"/>
      <c r="E118" s="13"/>
      <c r="F118" s="13"/>
      <c r="G118" s="26">
        <f>IF($B118="","",IFERROR(INDEX(PecDesc,MATCH($B118,PecCod,0)),"Peça não cadastrada"))</f>
        <v>0</v>
      </c>
      <c r="H118" s="27">
        <f>IF(OR($C118="",$D118=""),"",$C118*$D118)</f>
        <v>0</v>
      </c>
    </row>
    <row r="119" spans="1:8">
      <c r="A119" s="25"/>
      <c r="B119" s="13"/>
      <c r="C119" s="20"/>
      <c r="D119" s="19"/>
      <c r="E119" s="13"/>
      <c r="F119" s="13"/>
      <c r="G119" s="26">
        <f>IF($B119="","",IFERROR(INDEX(PecDesc,MATCH($B119,PecCod,0)),"Peça não cadastrada"))</f>
        <v>0</v>
      </c>
      <c r="H119" s="27">
        <f>IF(OR($C119="",$D119=""),"",$C119*$D119)</f>
        <v>0</v>
      </c>
    </row>
    <row r="120" spans="1:8">
      <c r="A120" s="25"/>
      <c r="B120" s="13"/>
      <c r="C120" s="20"/>
      <c r="D120" s="19"/>
      <c r="E120" s="13"/>
      <c r="F120" s="13"/>
      <c r="G120" s="26">
        <f>IF($B120="","",IFERROR(INDEX(PecDesc,MATCH($B120,PecCod,0)),"Peça não cadastrada"))</f>
        <v>0</v>
      </c>
      <c r="H120" s="27">
        <f>IF(OR($C120="",$D120=""),"",$C120*$D120)</f>
        <v>0</v>
      </c>
    </row>
    <row r="121" spans="1:8">
      <c r="A121" s="25"/>
      <c r="B121" s="13"/>
      <c r="C121" s="20"/>
      <c r="D121" s="19"/>
      <c r="E121" s="13"/>
      <c r="F121" s="13"/>
      <c r="G121" s="26">
        <f>IF($B121="","",IFERROR(INDEX(PecDesc,MATCH($B121,PecCod,0)),"Peça não cadastrada"))</f>
        <v>0</v>
      </c>
      <c r="H121" s="27">
        <f>IF(OR($C121="",$D121=""),"",$C121*$D121)</f>
        <v>0</v>
      </c>
    </row>
    <row r="122" spans="1:8">
      <c r="A122" s="25"/>
      <c r="B122" s="13"/>
      <c r="C122" s="20"/>
      <c r="D122" s="19"/>
      <c r="E122" s="13"/>
      <c r="F122" s="13"/>
      <c r="G122" s="26">
        <f>IF($B122="","",IFERROR(INDEX(PecDesc,MATCH($B122,PecCod,0)),"Peça não cadastrada"))</f>
        <v>0</v>
      </c>
      <c r="H122" s="27">
        <f>IF(OR($C122="",$D122=""),"",$C122*$D122)</f>
        <v>0</v>
      </c>
    </row>
    <row r="123" spans="1:8">
      <c r="A123" s="25"/>
      <c r="B123" s="13"/>
      <c r="C123" s="20"/>
      <c r="D123" s="19"/>
      <c r="E123" s="13"/>
      <c r="F123" s="13"/>
      <c r="G123" s="26">
        <f>IF($B123="","",IFERROR(INDEX(PecDesc,MATCH($B123,PecCod,0)),"Peça não cadastrada"))</f>
        <v>0</v>
      </c>
      <c r="H123" s="27">
        <f>IF(OR($C123="",$D123=""),"",$C123*$D123)</f>
        <v>0</v>
      </c>
    </row>
    <row r="124" spans="1:8">
      <c r="A124" s="25"/>
      <c r="B124" s="13"/>
      <c r="C124" s="20"/>
      <c r="D124" s="19"/>
      <c r="E124" s="13"/>
      <c r="F124" s="13"/>
      <c r="G124" s="26">
        <f>IF($B124="","",IFERROR(INDEX(PecDesc,MATCH($B124,PecCod,0)),"Peça não cadastrada"))</f>
        <v>0</v>
      </c>
      <c r="H124" s="27">
        <f>IF(OR($C124="",$D124=""),"",$C124*$D124)</f>
        <v>0</v>
      </c>
    </row>
    <row r="125" spans="1:8">
      <c r="A125" s="25"/>
      <c r="B125" s="13"/>
      <c r="C125" s="20"/>
      <c r="D125" s="19"/>
      <c r="E125" s="13"/>
      <c r="F125" s="13"/>
      <c r="G125" s="26">
        <f>IF($B125="","",IFERROR(INDEX(PecDesc,MATCH($B125,PecCod,0)),"Peça não cadastrada"))</f>
        <v>0</v>
      </c>
      <c r="H125" s="27">
        <f>IF(OR($C125="",$D125=""),"",$C125*$D125)</f>
        <v>0</v>
      </c>
    </row>
    <row r="126" spans="1:8">
      <c r="A126" s="25"/>
      <c r="B126" s="13"/>
      <c r="C126" s="20"/>
      <c r="D126" s="19"/>
      <c r="E126" s="13"/>
      <c r="F126" s="13"/>
      <c r="G126" s="26">
        <f>IF($B126="","",IFERROR(INDEX(PecDesc,MATCH($B126,PecCod,0)),"Peça não cadastrada"))</f>
        <v>0</v>
      </c>
      <c r="H126" s="27">
        <f>IF(OR($C126="",$D126=""),"",$C126*$D126)</f>
        <v>0</v>
      </c>
    </row>
    <row r="127" spans="1:8">
      <c r="A127" s="25"/>
      <c r="B127" s="13"/>
      <c r="C127" s="20"/>
      <c r="D127" s="19"/>
      <c r="E127" s="13"/>
      <c r="F127" s="13"/>
      <c r="G127" s="26">
        <f>IF($B127="","",IFERROR(INDEX(PecDesc,MATCH($B127,PecCod,0)),"Peça não cadastrada"))</f>
        <v>0</v>
      </c>
      <c r="H127" s="27">
        <f>IF(OR($C127="",$D127=""),"",$C127*$D127)</f>
        <v>0</v>
      </c>
    </row>
    <row r="128" spans="1:8">
      <c r="A128" s="25"/>
      <c r="B128" s="13"/>
      <c r="C128" s="20"/>
      <c r="D128" s="19"/>
      <c r="E128" s="13"/>
      <c r="F128" s="13"/>
      <c r="G128" s="26">
        <f>IF($B128="","",IFERROR(INDEX(PecDesc,MATCH($B128,PecCod,0)),"Peça não cadastrada"))</f>
        <v>0</v>
      </c>
      <c r="H128" s="27">
        <f>IF(OR($C128="",$D128=""),"",$C128*$D128)</f>
        <v>0</v>
      </c>
    </row>
    <row r="129" spans="1:8">
      <c r="A129" s="25"/>
      <c r="B129" s="13"/>
      <c r="C129" s="20"/>
      <c r="D129" s="19"/>
      <c r="E129" s="13"/>
      <c r="F129" s="13"/>
      <c r="G129" s="26">
        <f>IF($B129="","",IFERROR(INDEX(PecDesc,MATCH($B129,PecCod,0)),"Peça não cadastrada"))</f>
        <v>0</v>
      </c>
      <c r="H129" s="27">
        <f>IF(OR($C129="",$D129=""),"",$C129*$D129)</f>
        <v>0</v>
      </c>
    </row>
    <row r="130" spans="1:8">
      <c r="A130" s="25"/>
      <c r="B130" s="13"/>
      <c r="C130" s="20"/>
      <c r="D130" s="19"/>
      <c r="E130" s="13"/>
      <c r="F130" s="13"/>
      <c r="G130" s="26">
        <f>IF($B130="","",IFERROR(INDEX(PecDesc,MATCH($B130,PecCod,0)),"Peça não cadastrada"))</f>
        <v>0</v>
      </c>
      <c r="H130" s="27">
        <f>IF(OR($C130="",$D130=""),"",$C130*$D130)</f>
        <v>0</v>
      </c>
    </row>
    <row r="131" spans="1:8">
      <c r="A131" s="25"/>
      <c r="B131" s="13"/>
      <c r="C131" s="20"/>
      <c r="D131" s="19"/>
      <c r="E131" s="13"/>
      <c r="F131" s="13"/>
      <c r="G131" s="26">
        <f>IF($B131="","",IFERROR(INDEX(PecDesc,MATCH($B131,PecCod,0)),"Peça não cadastrada"))</f>
        <v>0</v>
      </c>
      <c r="H131" s="27">
        <f>IF(OR($C131="",$D131=""),"",$C131*$D131)</f>
        <v>0</v>
      </c>
    </row>
    <row r="132" spans="1:8">
      <c r="A132" s="25"/>
      <c r="B132" s="13"/>
      <c r="C132" s="20"/>
      <c r="D132" s="19"/>
      <c r="E132" s="13"/>
      <c r="F132" s="13"/>
      <c r="G132" s="26">
        <f>IF($B132="","",IFERROR(INDEX(PecDesc,MATCH($B132,PecCod,0)),"Peça não cadastrada"))</f>
        <v>0</v>
      </c>
      <c r="H132" s="27">
        <f>IF(OR($C132="",$D132=""),"",$C132*$D132)</f>
        <v>0</v>
      </c>
    </row>
    <row r="133" spans="1:8">
      <c r="A133" s="25"/>
      <c r="B133" s="13"/>
      <c r="C133" s="20"/>
      <c r="D133" s="19"/>
      <c r="E133" s="13"/>
      <c r="F133" s="13"/>
      <c r="G133" s="26">
        <f>IF($B133="","",IFERROR(INDEX(PecDesc,MATCH($B133,PecCod,0)),"Peça não cadastrada"))</f>
        <v>0</v>
      </c>
      <c r="H133" s="27">
        <f>IF(OR($C133="",$D133=""),"",$C133*$D133)</f>
        <v>0</v>
      </c>
    </row>
    <row r="134" spans="1:8">
      <c r="A134" s="25"/>
      <c r="B134" s="13"/>
      <c r="C134" s="20"/>
      <c r="D134" s="19"/>
      <c r="E134" s="13"/>
      <c r="F134" s="13"/>
      <c r="G134" s="26">
        <f>IF($B134="","",IFERROR(INDEX(PecDesc,MATCH($B134,PecCod,0)),"Peça não cadastrada"))</f>
        <v>0</v>
      </c>
      <c r="H134" s="27">
        <f>IF(OR($C134="",$D134=""),"",$C134*$D134)</f>
        <v>0</v>
      </c>
    </row>
    <row r="135" spans="1:8">
      <c r="A135" s="25"/>
      <c r="B135" s="13"/>
      <c r="C135" s="20"/>
      <c r="D135" s="19"/>
      <c r="E135" s="13"/>
      <c r="F135" s="13"/>
      <c r="G135" s="26">
        <f>IF($B135="","",IFERROR(INDEX(PecDesc,MATCH($B135,PecCod,0)),"Peça não cadastrada"))</f>
        <v>0</v>
      </c>
      <c r="H135" s="27">
        <f>IF(OR($C135="",$D135=""),"",$C135*$D135)</f>
        <v>0</v>
      </c>
    </row>
    <row r="136" spans="1:8">
      <c r="A136" s="25"/>
      <c r="B136" s="13"/>
      <c r="C136" s="20"/>
      <c r="D136" s="19"/>
      <c r="E136" s="13"/>
      <c r="F136" s="13"/>
      <c r="G136" s="26">
        <f>IF($B136="","",IFERROR(INDEX(PecDesc,MATCH($B136,PecCod,0)),"Peça não cadastrada"))</f>
        <v>0</v>
      </c>
      <c r="H136" s="27">
        <f>IF(OR($C136="",$D136=""),"",$C136*$D136)</f>
        <v>0</v>
      </c>
    </row>
    <row r="137" spans="1:8">
      <c r="A137" s="25"/>
      <c r="B137" s="13"/>
      <c r="C137" s="20"/>
      <c r="D137" s="19"/>
      <c r="E137" s="13"/>
      <c r="F137" s="13"/>
      <c r="G137" s="26">
        <f>IF($B137="","",IFERROR(INDEX(PecDesc,MATCH($B137,PecCod,0)),"Peça não cadastrada"))</f>
        <v>0</v>
      </c>
      <c r="H137" s="27">
        <f>IF(OR($C137="",$D137=""),"",$C137*$D137)</f>
        <v>0</v>
      </c>
    </row>
    <row r="138" spans="1:8">
      <c r="A138" s="25"/>
      <c r="B138" s="13"/>
      <c r="C138" s="20"/>
      <c r="D138" s="19"/>
      <c r="E138" s="13"/>
      <c r="F138" s="13"/>
      <c r="G138" s="26">
        <f>IF($B138="","",IFERROR(INDEX(PecDesc,MATCH($B138,PecCod,0)),"Peça não cadastrada"))</f>
        <v>0</v>
      </c>
      <c r="H138" s="27">
        <f>IF(OR($C138="",$D138=""),"",$C138*$D138)</f>
        <v>0</v>
      </c>
    </row>
    <row r="139" spans="1:8">
      <c r="A139" s="25"/>
      <c r="B139" s="13"/>
      <c r="C139" s="20"/>
      <c r="D139" s="19"/>
      <c r="E139" s="13"/>
      <c r="F139" s="13"/>
      <c r="G139" s="26">
        <f>IF($B139="","",IFERROR(INDEX(PecDesc,MATCH($B139,PecCod,0)),"Peça não cadastrada"))</f>
        <v>0</v>
      </c>
      <c r="H139" s="27">
        <f>IF(OR($C139="",$D139=""),"",$C139*$D139)</f>
        <v>0</v>
      </c>
    </row>
    <row r="140" spans="1:8">
      <c r="A140" s="25"/>
      <c r="B140" s="13"/>
      <c r="C140" s="20"/>
      <c r="D140" s="19"/>
      <c r="E140" s="13"/>
      <c r="F140" s="13"/>
      <c r="G140" s="26">
        <f>IF($B140="","",IFERROR(INDEX(PecDesc,MATCH($B140,PecCod,0)),"Peça não cadastrada"))</f>
        <v>0</v>
      </c>
      <c r="H140" s="27">
        <f>IF(OR($C140="",$D140=""),"",$C140*$D140)</f>
        <v>0</v>
      </c>
    </row>
    <row r="141" spans="1:8">
      <c r="A141" s="25"/>
      <c r="B141" s="13"/>
      <c r="C141" s="20"/>
      <c r="D141" s="19"/>
      <c r="E141" s="13"/>
      <c r="F141" s="13"/>
      <c r="G141" s="26">
        <f>IF($B141="","",IFERROR(INDEX(PecDesc,MATCH($B141,PecCod,0)),"Peça não cadastrada"))</f>
        <v>0</v>
      </c>
      <c r="H141" s="27">
        <f>IF(OR($C141="",$D141=""),"",$C141*$D141)</f>
        <v>0</v>
      </c>
    </row>
    <row r="142" spans="1:8">
      <c r="A142" s="25"/>
      <c r="B142" s="13"/>
      <c r="C142" s="20"/>
      <c r="D142" s="19"/>
      <c r="E142" s="13"/>
      <c r="F142" s="13"/>
      <c r="G142" s="26">
        <f>IF($B142="","",IFERROR(INDEX(PecDesc,MATCH($B142,PecCod,0)),"Peça não cadastrada"))</f>
        <v>0</v>
      </c>
      <c r="H142" s="27">
        <f>IF(OR($C142="",$D142=""),"",$C142*$D142)</f>
        <v>0</v>
      </c>
    </row>
    <row r="143" spans="1:8">
      <c r="A143" s="25"/>
      <c r="B143" s="13"/>
      <c r="C143" s="20"/>
      <c r="D143" s="19"/>
      <c r="E143" s="13"/>
      <c r="F143" s="13"/>
      <c r="G143" s="26">
        <f>IF($B143="","",IFERROR(INDEX(PecDesc,MATCH($B143,PecCod,0)),"Peça não cadastrada"))</f>
        <v>0</v>
      </c>
      <c r="H143" s="27">
        <f>IF(OR($C143="",$D143=""),"",$C143*$D143)</f>
        <v>0</v>
      </c>
    </row>
    <row r="144" spans="1:8">
      <c r="A144" s="25"/>
      <c r="B144" s="13"/>
      <c r="C144" s="20"/>
      <c r="D144" s="19"/>
      <c r="E144" s="13"/>
      <c r="F144" s="13"/>
      <c r="G144" s="26">
        <f>IF($B144="","",IFERROR(INDEX(PecDesc,MATCH($B144,PecCod,0)),"Peça não cadastrada"))</f>
        <v>0</v>
      </c>
      <c r="H144" s="27">
        <f>IF(OR($C144="",$D144=""),"",$C144*$D144)</f>
        <v>0</v>
      </c>
    </row>
    <row r="145" spans="1:8">
      <c r="A145" s="25"/>
      <c r="B145" s="13"/>
      <c r="C145" s="20"/>
      <c r="D145" s="19"/>
      <c r="E145" s="13"/>
      <c r="F145" s="13"/>
      <c r="G145" s="26">
        <f>IF($B145="","",IFERROR(INDEX(PecDesc,MATCH($B145,PecCod,0)),"Peça não cadastrada"))</f>
        <v>0</v>
      </c>
      <c r="H145" s="27">
        <f>IF(OR($C145="",$D145=""),"",$C145*$D145)</f>
        <v>0</v>
      </c>
    </row>
    <row r="146" spans="1:8">
      <c r="A146" s="25"/>
      <c r="B146" s="13"/>
      <c r="C146" s="20"/>
      <c r="D146" s="19"/>
      <c r="E146" s="13"/>
      <c r="F146" s="13"/>
      <c r="G146" s="26">
        <f>IF($B146="","",IFERROR(INDEX(PecDesc,MATCH($B146,PecCod,0)),"Peça não cadastrada"))</f>
        <v>0</v>
      </c>
      <c r="H146" s="27">
        <f>IF(OR($C146="",$D146=""),"",$C146*$D146)</f>
        <v>0</v>
      </c>
    </row>
    <row r="147" spans="1:8">
      <c r="A147" s="25"/>
      <c r="B147" s="13"/>
      <c r="C147" s="20"/>
      <c r="D147" s="19"/>
      <c r="E147" s="13"/>
      <c r="F147" s="13"/>
      <c r="G147" s="26">
        <f>IF($B147="","",IFERROR(INDEX(PecDesc,MATCH($B147,PecCod,0)),"Peça não cadastrada"))</f>
        <v>0</v>
      </c>
      <c r="H147" s="27">
        <f>IF(OR($C147="",$D147=""),"",$C147*$D147)</f>
        <v>0</v>
      </c>
    </row>
    <row r="148" spans="1:8">
      <c r="A148" s="25"/>
      <c r="B148" s="13"/>
      <c r="C148" s="20"/>
      <c r="D148" s="19"/>
      <c r="E148" s="13"/>
      <c r="F148" s="13"/>
      <c r="G148" s="26">
        <f>IF($B148="","",IFERROR(INDEX(PecDesc,MATCH($B148,PecCod,0)),"Peça não cadastrada"))</f>
        <v>0</v>
      </c>
      <c r="H148" s="27">
        <f>IF(OR($C148="",$D148=""),"",$C148*$D148)</f>
        <v>0</v>
      </c>
    </row>
    <row r="149" spans="1:8">
      <c r="A149" s="25"/>
      <c r="B149" s="13"/>
      <c r="C149" s="20"/>
      <c r="D149" s="19"/>
      <c r="E149" s="13"/>
      <c r="F149" s="13"/>
      <c r="G149" s="26">
        <f>IF($B149="","",IFERROR(INDEX(PecDesc,MATCH($B149,PecCod,0)),"Peça não cadastrada"))</f>
        <v>0</v>
      </c>
      <c r="H149" s="27">
        <f>IF(OR($C149="",$D149=""),"",$C149*$D149)</f>
        <v>0</v>
      </c>
    </row>
    <row r="150" spans="1:8">
      <c r="A150" s="25"/>
      <c r="B150" s="13"/>
      <c r="C150" s="20"/>
      <c r="D150" s="19"/>
      <c r="E150" s="13"/>
      <c r="F150" s="13"/>
      <c r="G150" s="26">
        <f>IF($B150="","",IFERROR(INDEX(PecDesc,MATCH($B150,PecCod,0)),"Peça não cadastrada"))</f>
        <v>0</v>
      </c>
      <c r="H150" s="27">
        <f>IF(OR($C150="",$D150=""),"",$C150*$D150)</f>
        <v>0</v>
      </c>
    </row>
    <row r="151" spans="1:8">
      <c r="A151" s="25"/>
      <c r="B151" s="13"/>
      <c r="C151" s="20"/>
      <c r="D151" s="19"/>
      <c r="E151" s="13"/>
      <c r="F151" s="13"/>
      <c r="G151" s="26">
        <f>IF($B151="","",IFERROR(INDEX(PecDesc,MATCH($B151,PecCod,0)),"Peça não cadastrada"))</f>
        <v>0</v>
      </c>
      <c r="H151" s="27">
        <f>IF(OR($C151="",$D151=""),"",$C151*$D151)</f>
        <v>0</v>
      </c>
    </row>
    <row r="152" spans="1:8">
      <c r="A152" s="25"/>
      <c r="B152" s="13"/>
      <c r="C152" s="20"/>
      <c r="D152" s="19"/>
      <c r="E152" s="13"/>
      <c r="F152" s="13"/>
      <c r="G152" s="26">
        <f>IF($B152="","",IFERROR(INDEX(PecDesc,MATCH($B152,PecCod,0)),"Peça não cadastrada"))</f>
        <v>0</v>
      </c>
      <c r="H152" s="27">
        <f>IF(OR($C152="",$D152=""),"",$C152*$D152)</f>
        <v>0</v>
      </c>
    </row>
    <row r="153" spans="1:8">
      <c r="A153" s="25"/>
      <c r="B153" s="13"/>
      <c r="C153" s="20"/>
      <c r="D153" s="19"/>
      <c r="E153" s="13"/>
      <c r="F153" s="13"/>
      <c r="G153" s="26">
        <f>IF($B153="","",IFERROR(INDEX(PecDesc,MATCH($B153,PecCod,0)),"Peça não cadastrada"))</f>
        <v>0</v>
      </c>
      <c r="H153" s="27">
        <f>IF(OR($C153="",$D153=""),"",$C153*$D153)</f>
        <v>0</v>
      </c>
    </row>
    <row r="154" spans="1:8">
      <c r="A154" s="25"/>
      <c r="B154" s="13"/>
      <c r="C154" s="20"/>
      <c r="D154" s="19"/>
      <c r="E154" s="13"/>
      <c r="F154" s="13"/>
      <c r="G154" s="26">
        <f>IF($B154="","",IFERROR(INDEX(PecDesc,MATCH($B154,PecCod,0)),"Peça não cadastrada"))</f>
        <v>0</v>
      </c>
      <c r="H154" s="27">
        <f>IF(OR($C154="",$D154=""),"",$C154*$D154)</f>
        <v>0</v>
      </c>
    </row>
    <row r="155" spans="1:8">
      <c r="A155" s="25"/>
      <c r="B155" s="13"/>
      <c r="C155" s="20"/>
      <c r="D155" s="19"/>
      <c r="E155" s="13"/>
      <c r="F155" s="13"/>
      <c r="G155" s="26">
        <f>IF($B155="","",IFERROR(INDEX(PecDesc,MATCH($B155,PecCod,0)),"Peça não cadastrada"))</f>
        <v>0</v>
      </c>
      <c r="H155" s="27">
        <f>IF(OR($C155="",$D155=""),"",$C155*$D155)</f>
        <v>0</v>
      </c>
    </row>
    <row r="156" spans="1:8">
      <c r="A156" s="25"/>
      <c r="B156" s="13"/>
      <c r="C156" s="20"/>
      <c r="D156" s="19"/>
      <c r="E156" s="13"/>
      <c r="F156" s="13"/>
      <c r="G156" s="26">
        <f>IF($B156="","",IFERROR(INDEX(PecDesc,MATCH($B156,PecCod,0)),"Peça não cadastrada"))</f>
        <v>0</v>
      </c>
      <c r="H156" s="27">
        <f>IF(OR($C156="",$D156=""),"",$C156*$D156)</f>
        <v>0</v>
      </c>
    </row>
    <row r="157" spans="1:8">
      <c r="A157" s="25"/>
      <c r="B157" s="13"/>
      <c r="C157" s="20"/>
      <c r="D157" s="19"/>
      <c r="E157" s="13"/>
      <c r="F157" s="13"/>
      <c r="G157" s="26">
        <f>IF($B157="","",IFERROR(INDEX(PecDesc,MATCH($B157,PecCod,0)),"Peça não cadastrada"))</f>
        <v>0</v>
      </c>
      <c r="H157" s="27">
        <f>IF(OR($C157="",$D157=""),"",$C157*$D157)</f>
        <v>0</v>
      </c>
    </row>
    <row r="158" spans="1:8">
      <c r="A158" s="25"/>
      <c r="B158" s="13"/>
      <c r="C158" s="20"/>
      <c r="D158" s="19"/>
      <c r="E158" s="13"/>
      <c r="F158" s="13"/>
      <c r="G158" s="26">
        <f>IF($B158="","",IFERROR(INDEX(PecDesc,MATCH($B158,PecCod,0)),"Peça não cadastrada"))</f>
        <v>0</v>
      </c>
      <c r="H158" s="27">
        <f>IF(OR($C158="",$D158=""),"",$C158*$D158)</f>
        <v>0</v>
      </c>
    </row>
    <row r="159" spans="1:8">
      <c r="A159" s="25"/>
      <c r="B159" s="13"/>
      <c r="C159" s="20"/>
      <c r="D159" s="19"/>
      <c r="E159" s="13"/>
      <c r="F159" s="13"/>
      <c r="G159" s="26">
        <f>IF($B159="","",IFERROR(INDEX(PecDesc,MATCH($B159,PecCod,0)),"Peça não cadastrada"))</f>
        <v>0</v>
      </c>
      <c r="H159" s="27">
        <f>IF(OR($C159="",$D159=""),"",$C159*$D159)</f>
        <v>0</v>
      </c>
    </row>
    <row r="160" spans="1:8">
      <c r="A160" s="25"/>
      <c r="B160" s="13"/>
      <c r="C160" s="20"/>
      <c r="D160" s="19"/>
      <c r="E160" s="13"/>
      <c r="F160" s="13"/>
      <c r="G160" s="26">
        <f>IF($B160="","",IFERROR(INDEX(PecDesc,MATCH($B160,PecCod,0)),"Peça não cadastrada"))</f>
        <v>0</v>
      </c>
      <c r="H160" s="27">
        <f>IF(OR($C160="",$D160=""),"",$C160*$D160)</f>
        <v>0</v>
      </c>
    </row>
    <row r="161" spans="1:8">
      <c r="A161" s="25"/>
      <c r="B161" s="13"/>
      <c r="C161" s="20"/>
      <c r="D161" s="19"/>
      <c r="E161" s="13"/>
      <c r="F161" s="13"/>
      <c r="G161" s="26">
        <f>IF($B161="","",IFERROR(INDEX(PecDesc,MATCH($B161,PecCod,0)),"Peça não cadastrada"))</f>
        <v>0</v>
      </c>
      <c r="H161" s="27">
        <f>IF(OR($C161="",$D161=""),"",$C161*$D161)</f>
        <v>0</v>
      </c>
    </row>
    <row r="162" spans="1:8">
      <c r="A162" s="25"/>
      <c r="B162" s="13"/>
      <c r="C162" s="20"/>
      <c r="D162" s="19"/>
      <c r="E162" s="13"/>
      <c r="F162" s="13"/>
      <c r="G162" s="26">
        <f>IF($B162="","",IFERROR(INDEX(PecDesc,MATCH($B162,PecCod,0)),"Peça não cadastrada"))</f>
        <v>0</v>
      </c>
      <c r="H162" s="27">
        <f>IF(OR($C162="",$D162=""),"",$C162*$D162)</f>
        <v>0</v>
      </c>
    </row>
    <row r="163" spans="1:8">
      <c r="A163" s="25"/>
      <c r="B163" s="13"/>
      <c r="C163" s="20"/>
      <c r="D163" s="19"/>
      <c r="E163" s="13"/>
      <c r="F163" s="13"/>
      <c r="G163" s="26">
        <f>IF($B163="","",IFERROR(INDEX(PecDesc,MATCH($B163,PecCod,0)),"Peça não cadastrada"))</f>
        <v>0</v>
      </c>
      <c r="H163" s="27">
        <f>IF(OR($C163="",$D163=""),"",$C163*$D163)</f>
        <v>0</v>
      </c>
    </row>
    <row r="164" spans="1:8">
      <c r="A164" s="25"/>
      <c r="B164" s="13"/>
      <c r="C164" s="20"/>
      <c r="D164" s="19"/>
      <c r="E164" s="13"/>
      <c r="F164" s="13"/>
      <c r="G164" s="26">
        <f>IF($B164="","",IFERROR(INDEX(PecDesc,MATCH($B164,PecCod,0)),"Peça não cadastrada"))</f>
        <v>0</v>
      </c>
      <c r="H164" s="27">
        <f>IF(OR($C164="",$D164=""),"",$C164*$D164)</f>
        <v>0</v>
      </c>
    </row>
    <row r="165" spans="1:8">
      <c r="A165" s="25"/>
      <c r="B165" s="13"/>
      <c r="C165" s="20"/>
      <c r="D165" s="19"/>
      <c r="E165" s="13"/>
      <c r="F165" s="13"/>
      <c r="G165" s="26">
        <f>IF($B165="","",IFERROR(INDEX(PecDesc,MATCH($B165,PecCod,0)),"Peça não cadastrada"))</f>
        <v>0</v>
      </c>
      <c r="H165" s="27">
        <f>IF(OR($C165="",$D165=""),"",$C165*$D165)</f>
        <v>0</v>
      </c>
    </row>
    <row r="166" spans="1:8">
      <c r="A166" s="25"/>
      <c r="B166" s="13"/>
      <c r="C166" s="20"/>
      <c r="D166" s="19"/>
      <c r="E166" s="13"/>
      <c r="F166" s="13"/>
      <c r="G166" s="26">
        <f>IF($B166="","",IFERROR(INDEX(PecDesc,MATCH($B166,PecCod,0)),"Peça não cadastrada"))</f>
        <v>0</v>
      </c>
      <c r="H166" s="27">
        <f>IF(OR($C166="",$D166=""),"",$C166*$D166)</f>
        <v>0</v>
      </c>
    </row>
    <row r="167" spans="1:8">
      <c r="A167" s="25"/>
      <c r="B167" s="13"/>
      <c r="C167" s="20"/>
      <c r="D167" s="19"/>
      <c r="E167" s="13"/>
      <c r="F167" s="13"/>
      <c r="G167" s="26">
        <f>IF($B167="","",IFERROR(INDEX(PecDesc,MATCH($B167,PecCod,0)),"Peça não cadastrada"))</f>
        <v>0</v>
      </c>
      <c r="H167" s="27">
        <f>IF(OR($C167="",$D167=""),"",$C167*$D167)</f>
        <v>0</v>
      </c>
    </row>
    <row r="168" spans="1:8">
      <c r="A168" s="25"/>
      <c r="B168" s="13"/>
      <c r="C168" s="20"/>
      <c r="D168" s="19"/>
      <c r="E168" s="13"/>
      <c r="F168" s="13"/>
      <c r="G168" s="26">
        <f>IF($B168="","",IFERROR(INDEX(PecDesc,MATCH($B168,PecCod,0)),"Peça não cadastrada"))</f>
        <v>0</v>
      </c>
      <c r="H168" s="27">
        <f>IF(OR($C168="",$D168=""),"",$C168*$D168)</f>
        <v>0</v>
      </c>
    </row>
    <row r="169" spans="1:8">
      <c r="A169" s="25"/>
      <c r="B169" s="13"/>
      <c r="C169" s="20"/>
      <c r="D169" s="19"/>
      <c r="E169" s="13"/>
      <c r="F169" s="13"/>
      <c r="G169" s="26">
        <f>IF($B169="","",IFERROR(INDEX(PecDesc,MATCH($B169,PecCod,0)),"Peça não cadastrada"))</f>
        <v>0</v>
      </c>
      <c r="H169" s="27">
        <f>IF(OR($C169="",$D169=""),"",$C169*$D169)</f>
        <v>0</v>
      </c>
    </row>
    <row r="170" spans="1:8">
      <c r="A170" s="25"/>
      <c r="B170" s="13"/>
      <c r="C170" s="20"/>
      <c r="D170" s="19"/>
      <c r="E170" s="13"/>
      <c r="F170" s="13"/>
      <c r="G170" s="26">
        <f>IF($B170="","",IFERROR(INDEX(PecDesc,MATCH($B170,PecCod,0)),"Peça não cadastrada"))</f>
        <v>0</v>
      </c>
      <c r="H170" s="27">
        <f>IF(OR($C170="",$D170=""),"",$C170*$D170)</f>
        <v>0</v>
      </c>
    </row>
    <row r="171" spans="1:8">
      <c r="A171" s="25"/>
      <c r="B171" s="13"/>
      <c r="C171" s="20"/>
      <c r="D171" s="19"/>
      <c r="E171" s="13"/>
      <c r="F171" s="13"/>
      <c r="G171" s="26">
        <f>IF($B171="","",IFERROR(INDEX(PecDesc,MATCH($B171,PecCod,0)),"Peça não cadastrada"))</f>
        <v>0</v>
      </c>
      <c r="H171" s="27">
        <f>IF(OR($C171="",$D171=""),"",$C171*$D171)</f>
        <v>0</v>
      </c>
    </row>
    <row r="172" spans="1:8">
      <c r="A172" s="25"/>
      <c r="B172" s="13"/>
      <c r="C172" s="20"/>
      <c r="D172" s="19"/>
      <c r="E172" s="13"/>
      <c r="F172" s="13"/>
      <c r="G172" s="26">
        <f>IF($B172="","",IFERROR(INDEX(PecDesc,MATCH($B172,PecCod,0)),"Peça não cadastrada"))</f>
        <v>0</v>
      </c>
      <c r="H172" s="27">
        <f>IF(OR($C172="",$D172=""),"",$C172*$D172)</f>
        <v>0</v>
      </c>
    </row>
    <row r="173" spans="1:8">
      <c r="A173" s="25"/>
      <c r="B173" s="13"/>
      <c r="C173" s="20"/>
      <c r="D173" s="19"/>
      <c r="E173" s="13"/>
      <c r="F173" s="13"/>
      <c r="G173" s="26">
        <f>IF($B173="","",IFERROR(INDEX(PecDesc,MATCH($B173,PecCod,0)),"Peça não cadastrada"))</f>
        <v>0</v>
      </c>
      <c r="H173" s="27">
        <f>IF(OR($C173="",$D173=""),"",$C173*$D173)</f>
        <v>0</v>
      </c>
    </row>
    <row r="174" spans="1:8">
      <c r="A174" s="25"/>
      <c r="B174" s="13"/>
      <c r="C174" s="20"/>
      <c r="D174" s="19"/>
      <c r="E174" s="13"/>
      <c r="F174" s="13"/>
      <c r="G174" s="26">
        <f>IF($B174="","",IFERROR(INDEX(PecDesc,MATCH($B174,PecCod,0)),"Peça não cadastrada"))</f>
        <v>0</v>
      </c>
      <c r="H174" s="27">
        <f>IF(OR($C174="",$D174=""),"",$C174*$D174)</f>
        <v>0</v>
      </c>
    </row>
    <row r="175" spans="1:8">
      <c r="A175" s="25"/>
      <c r="B175" s="13"/>
      <c r="C175" s="20"/>
      <c r="D175" s="19"/>
      <c r="E175" s="13"/>
      <c r="F175" s="13"/>
      <c r="G175" s="26">
        <f>IF($B175="","",IFERROR(INDEX(PecDesc,MATCH($B175,PecCod,0)),"Peça não cadastrada"))</f>
        <v>0</v>
      </c>
      <c r="H175" s="27">
        <f>IF(OR($C175="",$D175=""),"",$C175*$D175)</f>
        <v>0</v>
      </c>
    </row>
    <row r="176" spans="1:8">
      <c r="A176" s="25"/>
      <c r="B176" s="13"/>
      <c r="C176" s="20"/>
      <c r="D176" s="19"/>
      <c r="E176" s="13"/>
      <c r="F176" s="13"/>
      <c r="G176" s="26">
        <f>IF($B176="","",IFERROR(INDEX(PecDesc,MATCH($B176,PecCod,0)),"Peça não cadastrada"))</f>
        <v>0</v>
      </c>
      <c r="H176" s="27">
        <f>IF(OR($C176="",$D176=""),"",$C176*$D176)</f>
        <v>0</v>
      </c>
    </row>
    <row r="177" spans="1:8">
      <c r="A177" s="25"/>
      <c r="B177" s="13"/>
      <c r="C177" s="20"/>
      <c r="D177" s="19"/>
      <c r="E177" s="13"/>
      <c r="F177" s="13"/>
      <c r="G177" s="26">
        <f>IF($B177="","",IFERROR(INDEX(PecDesc,MATCH($B177,PecCod,0)),"Peça não cadastrada"))</f>
        <v>0</v>
      </c>
      <c r="H177" s="27">
        <f>IF(OR($C177="",$D177=""),"",$C177*$D177)</f>
        <v>0</v>
      </c>
    </row>
    <row r="178" spans="1:8">
      <c r="A178" s="25"/>
      <c r="B178" s="13"/>
      <c r="C178" s="20"/>
      <c r="D178" s="19"/>
      <c r="E178" s="13"/>
      <c r="F178" s="13"/>
      <c r="G178" s="26">
        <f>IF($B178="","",IFERROR(INDEX(PecDesc,MATCH($B178,PecCod,0)),"Peça não cadastrada"))</f>
        <v>0</v>
      </c>
      <c r="H178" s="27">
        <f>IF(OR($C178="",$D178=""),"",$C178*$D178)</f>
        <v>0</v>
      </c>
    </row>
    <row r="179" spans="1:8">
      <c r="A179" s="25"/>
      <c r="B179" s="13"/>
      <c r="C179" s="20"/>
      <c r="D179" s="19"/>
      <c r="E179" s="13"/>
      <c r="F179" s="13"/>
      <c r="G179" s="26">
        <f>IF($B179="","",IFERROR(INDEX(PecDesc,MATCH($B179,PecCod,0)),"Peça não cadastrada"))</f>
        <v>0</v>
      </c>
      <c r="H179" s="27">
        <f>IF(OR($C179="",$D179=""),"",$C179*$D179)</f>
        <v>0</v>
      </c>
    </row>
    <row r="180" spans="1:8">
      <c r="A180" s="25"/>
      <c r="B180" s="13"/>
      <c r="C180" s="20"/>
      <c r="D180" s="19"/>
      <c r="E180" s="13"/>
      <c r="F180" s="13"/>
      <c r="G180" s="26">
        <f>IF($B180="","",IFERROR(INDEX(PecDesc,MATCH($B180,PecCod,0)),"Peça não cadastrada"))</f>
        <v>0</v>
      </c>
      <c r="H180" s="27">
        <f>IF(OR($C180="",$D180=""),"",$C180*$D180)</f>
        <v>0</v>
      </c>
    </row>
    <row r="181" spans="1:8">
      <c r="A181" s="25"/>
      <c r="B181" s="13"/>
      <c r="C181" s="20"/>
      <c r="D181" s="19"/>
      <c r="E181" s="13"/>
      <c r="F181" s="13"/>
      <c r="G181" s="26">
        <f>IF($B181="","",IFERROR(INDEX(PecDesc,MATCH($B181,PecCod,0)),"Peça não cadastrada"))</f>
        <v>0</v>
      </c>
      <c r="H181" s="27">
        <f>IF(OR($C181="",$D181=""),"",$C181*$D181)</f>
        <v>0</v>
      </c>
    </row>
    <row r="182" spans="1:8">
      <c r="A182" s="25"/>
      <c r="B182" s="13"/>
      <c r="C182" s="20"/>
      <c r="D182" s="19"/>
      <c r="E182" s="13"/>
      <c r="F182" s="13"/>
      <c r="G182" s="26">
        <f>IF($B182="","",IFERROR(INDEX(PecDesc,MATCH($B182,PecCod,0)),"Peça não cadastrada"))</f>
        <v>0</v>
      </c>
      <c r="H182" s="27">
        <f>IF(OR($C182="",$D182=""),"",$C182*$D182)</f>
        <v>0</v>
      </c>
    </row>
    <row r="183" spans="1:8">
      <c r="A183" s="25"/>
      <c r="B183" s="13"/>
      <c r="C183" s="20"/>
      <c r="D183" s="19"/>
      <c r="E183" s="13"/>
      <c r="F183" s="13"/>
      <c r="G183" s="26">
        <f>IF($B183="","",IFERROR(INDEX(PecDesc,MATCH($B183,PecCod,0)),"Peça não cadastrada"))</f>
        <v>0</v>
      </c>
      <c r="H183" s="27">
        <f>IF(OR($C183="",$D183=""),"",$C183*$D183)</f>
        <v>0</v>
      </c>
    </row>
    <row r="184" spans="1:8">
      <c r="A184" s="25"/>
      <c r="B184" s="13"/>
      <c r="C184" s="20"/>
      <c r="D184" s="19"/>
      <c r="E184" s="13"/>
      <c r="F184" s="13"/>
      <c r="G184" s="26">
        <f>IF($B184="","",IFERROR(INDEX(PecDesc,MATCH($B184,PecCod,0)),"Peça não cadastrada"))</f>
        <v>0</v>
      </c>
      <c r="H184" s="27">
        <f>IF(OR($C184="",$D184=""),"",$C184*$D184)</f>
        <v>0</v>
      </c>
    </row>
    <row r="185" spans="1:8">
      <c r="A185" s="25"/>
      <c r="B185" s="13"/>
      <c r="C185" s="20"/>
      <c r="D185" s="19"/>
      <c r="E185" s="13"/>
      <c r="F185" s="13"/>
      <c r="G185" s="26">
        <f>IF($B185="","",IFERROR(INDEX(PecDesc,MATCH($B185,PecCod,0)),"Peça não cadastrada"))</f>
        <v>0</v>
      </c>
      <c r="H185" s="27">
        <f>IF(OR($C185="",$D185=""),"",$C185*$D185)</f>
        <v>0</v>
      </c>
    </row>
    <row r="186" spans="1:8">
      <c r="A186" s="25"/>
      <c r="B186" s="13"/>
      <c r="C186" s="20"/>
      <c r="D186" s="19"/>
      <c r="E186" s="13"/>
      <c r="F186" s="13"/>
      <c r="G186" s="26">
        <f>IF($B186="","",IFERROR(INDEX(PecDesc,MATCH($B186,PecCod,0)),"Peça não cadastrada"))</f>
        <v>0</v>
      </c>
      <c r="H186" s="27">
        <f>IF(OR($C186="",$D186=""),"",$C186*$D186)</f>
        <v>0</v>
      </c>
    </row>
    <row r="187" spans="1:8">
      <c r="A187" s="25"/>
      <c r="B187" s="13"/>
      <c r="C187" s="20"/>
      <c r="D187" s="19"/>
      <c r="E187" s="13"/>
      <c r="F187" s="13"/>
      <c r="G187" s="26">
        <f>IF($B187="","",IFERROR(INDEX(PecDesc,MATCH($B187,PecCod,0)),"Peça não cadastrada"))</f>
        <v>0</v>
      </c>
      <c r="H187" s="27">
        <f>IF(OR($C187="",$D187=""),"",$C187*$D187)</f>
        <v>0</v>
      </c>
    </row>
    <row r="188" spans="1:8">
      <c r="A188" s="25"/>
      <c r="B188" s="13"/>
      <c r="C188" s="20"/>
      <c r="D188" s="19"/>
      <c r="E188" s="13"/>
      <c r="F188" s="13"/>
      <c r="G188" s="26">
        <f>IF($B188="","",IFERROR(INDEX(PecDesc,MATCH($B188,PecCod,0)),"Peça não cadastrada"))</f>
        <v>0</v>
      </c>
      <c r="H188" s="27">
        <f>IF(OR($C188="",$D188=""),"",$C188*$D188)</f>
        <v>0</v>
      </c>
    </row>
    <row r="189" spans="1:8">
      <c r="A189" s="25"/>
      <c r="B189" s="13"/>
      <c r="C189" s="20"/>
      <c r="D189" s="19"/>
      <c r="E189" s="13"/>
      <c r="F189" s="13"/>
      <c r="G189" s="26">
        <f>IF($B189="","",IFERROR(INDEX(PecDesc,MATCH($B189,PecCod,0)),"Peça não cadastrada"))</f>
        <v>0</v>
      </c>
      <c r="H189" s="27">
        <f>IF(OR($C189="",$D189=""),"",$C189*$D189)</f>
        <v>0</v>
      </c>
    </row>
    <row r="190" spans="1:8">
      <c r="A190" s="25"/>
      <c r="B190" s="13"/>
      <c r="C190" s="20"/>
      <c r="D190" s="19"/>
      <c r="E190" s="13"/>
      <c r="F190" s="13"/>
      <c r="G190" s="26">
        <f>IF($B190="","",IFERROR(INDEX(PecDesc,MATCH($B190,PecCod,0)),"Peça não cadastrada"))</f>
        <v>0</v>
      </c>
      <c r="H190" s="27">
        <f>IF(OR($C190="",$D190=""),"",$C190*$D190)</f>
        <v>0</v>
      </c>
    </row>
    <row r="191" spans="1:8">
      <c r="A191" s="25"/>
      <c r="B191" s="13"/>
      <c r="C191" s="20"/>
      <c r="D191" s="19"/>
      <c r="E191" s="13"/>
      <c r="F191" s="13"/>
      <c r="G191" s="26">
        <f>IF($B191="","",IFERROR(INDEX(PecDesc,MATCH($B191,PecCod,0)),"Peça não cadastrada"))</f>
        <v>0</v>
      </c>
      <c r="H191" s="27">
        <f>IF(OR($C191="",$D191=""),"",$C191*$D191)</f>
        <v>0</v>
      </c>
    </row>
    <row r="192" spans="1:8">
      <c r="A192" s="25"/>
      <c r="B192" s="13"/>
      <c r="C192" s="20"/>
      <c r="D192" s="19"/>
      <c r="E192" s="13"/>
      <c r="F192" s="13"/>
      <c r="G192" s="26">
        <f>IF($B192="","",IFERROR(INDEX(PecDesc,MATCH($B192,PecCod,0)),"Peça não cadastrada"))</f>
        <v>0</v>
      </c>
      <c r="H192" s="27">
        <f>IF(OR($C192="",$D192=""),"",$C192*$D192)</f>
        <v>0</v>
      </c>
    </row>
    <row r="193" spans="1:8">
      <c r="A193" s="25"/>
      <c r="B193" s="13"/>
      <c r="C193" s="20"/>
      <c r="D193" s="19"/>
      <c r="E193" s="13"/>
      <c r="F193" s="13"/>
      <c r="G193" s="26">
        <f>IF($B193="","",IFERROR(INDEX(PecDesc,MATCH($B193,PecCod,0)),"Peça não cadastrada"))</f>
        <v>0</v>
      </c>
      <c r="H193" s="27">
        <f>IF(OR($C193="",$D193=""),"",$C193*$D193)</f>
        <v>0</v>
      </c>
    </row>
    <row r="194" spans="1:8">
      <c r="A194" s="25"/>
      <c r="B194" s="13"/>
      <c r="C194" s="20"/>
      <c r="D194" s="19"/>
      <c r="E194" s="13"/>
      <c r="F194" s="13"/>
      <c r="G194" s="26">
        <f>IF($B194="","",IFERROR(INDEX(PecDesc,MATCH($B194,PecCod,0)),"Peça não cadastrada"))</f>
        <v>0</v>
      </c>
      <c r="H194" s="27">
        <f>IF(OR($C194="",$D194=""),"",$C194*$D194)</f>
        <v>0</v>
      </c>
    </row>
    <row r="195" spans="1:8">
      <c r="A195" s="25"/>
      <c r="B195" s="13"/>
      <c r="C195" s="20"/>
      <c r="D195" s="19"/>
      <c r="E195" s="13"/>
      <c r="F195" s="13"/>
      <c r="G195" s="26">
        <f>IF($B195="","",IFERROR(INDEX(PecDesc,MATCH($B195,PecCod,0)),"Peça não cadastrada"))</f>
        <v>0</v>
      </c>
      <c r="H195" s="27">
        <f>IF(OR($C195="",$D195=""),"",$C195*$D195)</f>
        <v>0</v>
      </c>
    </row>
    <row r="196" spans="1:8">
      <c r="A196" s="25"/>
      <c r="B196" s="13"/>
      <c r="C196" s="20"/>
      <c r="D196" s="19"/>
      <c r="E196" s="13"/>
      <c r="F196" s="13"/>
      <c r="G196" s="26">
        <f>IF($B196="","",IFERROR(INDEX(PecDesc,MATCH($B196,PecCod,0)),"Peça não cadastrada"))</f>
        <v>0</v>
      </c>
      <c r="H196" s="27">
        <f>IF(OR($C196="",$D196=""),"",$C196*$D196)</f>
        <v>0</v>
      </c>
    </row>
    <row r="197" spans="1:8">
      <c r="A197" s="25"/>
      <c r="B197" s="13"/>
      <c r="C197" s="20"/>
      <c r="D197" s="19"/>
      <c r="E197" s="13"/>
      <c r="F197" s="13"/>
      <c r="G197" s="26">
        <f>IF($B197="","",IFERROR(INDEX(PecDesc,MATCH($B197,PecCod,0)),"Peça não cadastrada"))</f>
        <v>0</v>
      </c>
      <c r="H197" s="27">
        <f>IF(OR($C197="",$D197=""),"",$C197*$D197)</f>
        <v>0</v>
      </c>
    </row>
    <row r="198" spans="1:8">
      <c r="A198" s="25"/>
      <c r="B198" s="13"/>
      <c r="C198" s="20"/>
      <c r="D198" s="19"/>
      <c r="E198" s="13"/>
      <c r="F198" s="13"/>
      <c r="G198" s="26">
        <f>IF($B198="","",IFERROR(INDEX(PecDesc,MATCH($B198,PecCod,0)),"Peça não cadastrada"))</f>
        <v>0</v>
      </c>
      <c r="H198" s="27">
        <f>IF(OR($C198="",$D198=""),"",$C198*$D198)</f>
        <v>0</v>
      </c>
    </row>
    <row r="199" spans="1:8">
      <c r="A199" s="25"/>
      <c r="B199" s="13"/>
      <c r="C199" s="20"/>
      <c r="D199" s="19"/>
      <c r="E199" s="13"/>
      <c r="F199" s="13"/>
      <c r="G199" s="26">
        <f>IF($B199="","",IFERROR(INDEX(PecDesc,MATCH($B199,PecCod,0)),"Peça não cadastrada"))</f>
        <v>0</v>
      </c>
      <c r="H199" s="27">
        <f>IF(OR($C199="",$D199=""),"",$C199*$D199)</f>
        <v>0</v>
      </c>
    </row>
    <row r="200" spans="1:8">
      <c r="A200" s="25"/>
      <c r="B200" s="13"/>
      <c r="C200" s="20"/>
      <c r="D200" s="19"/>
      <c r="E200" s="13"/>
      <c r="F200" s="13"/>
      <c r="G200" s="26">
        <f>IF($B200="","",IFERROR(INDEX(PecDesc,MATCH($B200,PecCod,0)),"Peça não cadastrada"))</f>
        <v>0</v>
      </c>
      <c r="H200" s="27">
        <f>IF(OR($C200="",$D200=""),"",$C200*$D200)</f>
        <v>0</v>
      </c>
    </row>
    <row r="201" spans="1:8">
      <c r="A201" s="25"/>
      <c r="B201" s="13"/>
      <c r="C201" s="20"/>
      <c r="D201" s="19"/>
      <c r="E201" s="13"/>
      <c r="F201" s="13"/>
      <c r="G201" s="26">
        <f>IF($B201="","",IFERROR(INDEX(PecDesc,MATCH($B201,PecCod,0)),"Peça não cadastrada"))</f>
        <v>0</v>
      </c>
      <c r="H201" s="27">
        <f>IF(OR($C201="",$D201=""),"",$C201*$D201)</f>
        <v>0</v>
      </c>
    </row>
    <row r="202" spans="1:8">
      <c r="A202" s="25"/>
      <c r="B202" s="13"/>
      <c r="C202" s="20"/>
      <c r="D202" s="19"/>
      <c r="E202" s="13"/>
      <c r="F202" s="13"/>
      <c r="G202" s="26">
        <f>IF($B202="","",IFERROR(INDEX(PecDesc,MATCH($B202,PecCod,0)),"Peça não cadastrada"))</f>
        <v>0</v>
      </c>
      <c r="H202" s="27">
        <f>IF(OR($C202="",$D202=""),"",$C202*$D202)</f>
        <v>0</v>
      </c>
    </row>
    <row r="203" spans="1:8">
      <c r="A203" s="25"/>
      <c r="B203" s="13"/>
      <c r="C203" s="20"/>
      <c r="D203" s="19"/>
      <c r="E203" s="13"/>
      <c r="F203" s="13"/>
      <c r="G203" s="26">
        <f>IF($B203="","",IFERROR(INDEX(PecDesc,MATCH($B203,PecCod,0)),"Peça não cadastrada"))</f>
        <v>0</v>
      </c>
      <c r="H203" s="27">
        <f>IF(OR($C203="",$D203=""),"",$C203*$D203)</f>
        <v>0</v>
      </c>
    </row>
    <row r="204" spans="1:8">
      <c r="A204" s="25"/>
      <c r="B204" s="13"/>
      <c r="C204" s="20"/>
      <c r="D204" s="19"/>
      <c r="E204" s="13"/>
      <c r="F204" s="13"/>
      <c r="G204" s="26">
        <f>IF($B204="","",IFERROR(INDEX(PecDesc,MATCH($B204,PecCod,0)),"Peça não cadastrada"))</f>
        <v>0</v>
      </c>
      <c r="H204" s="27">
        <f>IF(OR($C204="",$D204=""),"",$C204*$D204)</f>
        <v>0</v>
      </c>
    </row>
    <row r="205" spans="1:8">
      <c r="A205" s="25"/>
      <c r="B205" s="13"/>
      <c r="C205" s="20"/>
      <c r="D205" s="19"/>
      <c r="E205" s="13"/>
      <c r="F205" s="13"/>
      <c r="G205" s="26">
        <f>IF($B205="","",IFERROR(INDEX(PecDesc,MATCH($B205,PecCod,0)),"Peça não cadastrada"))</f>
        <v>0</v>
      </c>
      <c r="H205" s="27">
        <f>IF(OR($C205="",$D205=""),"",$C205*$D205)</f>
        <v>0</v>
      </c>
    </row>
    <row r="206" spans="1:8">
      <c r="A206" s="25"/>
      <c r="B206" s="13"/>
      <c r="C206" s="20"/>
      <c r="D206" s="19"/>
      <c r="E206" s="13"/>
      <c r="F206" s="13"/>
      <c r="G206" s="26">
        <f>IF($B206="","",IFERROR(INDEX(PecDesc,MATCH($B206,PecCod,0)),"Peça não cadastrada"))</f>
        <v>0</v>
      </c>
      <c r="H206" s="27">
        <f>IF(OR($C206="",$D206=""),"",$C206*$D206)</f>
        <v>0</v>
      </c>
    </row>
    <row r="207" spans="1:8">
      <c r="A207" s="25"/>
      <c r="B207" s="13"/>
      <c r="C207" s="20"/>
      <c r="D207" s="19"/>
      <c r="E207" s="13"/>
      <c r="F207" s="13"/>
      <c r="G207" s="26">
        <f>IF($B207="","",IFERROR(INDEX(PecDesc,MATCH($B207,PecCod,0)),"Peça não cadastrada"))</f>
        <v>0</v>
      </c>
      <c r="H207" s="27">
        <f>IF(OR($C207="",$D207=""),"",$C207*$D207)</f>
        <v>0</v>
      </c>
    </row>
    <row r="208" spans="1:8">
      <c r="A208" s="25"/>
      <c r="B208" s="13"/>
      <c r="C208" s="20"/>
      <c r="D208" s="19"/>
      <c r="E208" s="13"/>
      <c r="F208" s="13"/>
      <c r="G208" s="26">
        <f>IF($B208="","",IFERROR(INDEX(PecDesc,MATCH($B208,PecCod,0)),"Peça não cadastrada"))</f>
        <v>0</v>
      </c>
      <c r="H208" s="27">
        <f>IF(OR($C208="",$D208=""),"",$C208*$D208)</f>
        <v>0</v>
      </c>
    </row>
    <row r="209" spans="1:8">
      <c r="A209" s="25"/>
      <c r="B209" s="13"/>
      <c r="C209" s="20"/>
      <c r="D209" s="19"/>
      <c r="E209" s="13"/>
      <c r="F209" s="13"/>
      <c r="G209" s="26">
        <f>IF($B209="","",IFERROR(INDEX(PecDesc,MATCH($B209,PecCod,0)),"Peça não cadastrada"))</f>
        <v>0</v>
      </c>
      <c r="H209" s="27">
        <f>IF(OR($C209="",$D209=""),"",$C209*$D209)</f>
        <v>0</v>
      </c>
    </row>
    <row r="210" spans="1:8">
      <c r="A210" s="25"/>
      <c r="B210" s="13"/>
      <c r="C210" s="20"/>
      <c r="D210" s="19"/>
      <c r="E210" s="13"/>
      <c r="F210" s="13"/>
      <c r="G210" s="26">
        <f>IF($B210="","",IFERROR(INDEX(PecDesc,MATCH($B210,PecCod,0)),"Peça não cadastrada"))</f>
        <v>0</v>
      </c>
      <c r="H210" s="27">
        <f>IF(OR($C210="",$D210=""),"",$C210*$D210)</f>
        <v>0</v>
      </c>
    </row>
    <row r="211" spans="1:8">
      <c r="A211" s="25"/>
      <c r="B211" s="13"/>
      <c r="C211" s="20"/>
      <c r="D211" s="19"/>
      <c r="E211" s="13"/>
      <c r="F211" s="13"/>
      <c r="G211" s="26">
        <f>IF($B211="","",IFERROR(INDEX(PecDesc,MATCH($B211,PecCod,0)),"Peça não cadastrada"))</f>
        <v>0</v>
      </c>
      <c r="H211" s="27">
        <f>IF(OR($C211="",$D211=""),"",$C211*$D211)</f>
        <v>0</v>
      </c>
    </row>
    <row r="212" spans="1:8">
      <c r="A212" s="25"/>
      <c r="B212" s="13"/>
      <c r="C212" s="20"/>
      <c r="D212" s="19"/>
      <c r="E212" s="13"/>
      <c r="F212" s="13"/>
      <c r="G212" s="26">
        <f>IF($B212="","",IFERROR(INDEX(PecDesc,MATCH($B212,PecCod,0)),"Peça não cadastrada"))</f>
        <v>0</v>
      </c>
      <c r="H212" s="27">
        <f>IF(OR($C212="",$D212=""),"",$C212*$D212)</f>
        <v>0</v>
      </c>
    </row>
    <row r="213" spans="1:8">
      <c r="A213" s="25"/>
      <c r="B213" s="13"/>
      <c r="C213" s="20"/>
      <c r="D213" s="19"/>
      <c r="E213" s="13"/>
      <c r="F213" s="13"/>
      <c r="G213" s="26">
        <f>IF($B213="","",IFERROR(INDEX(PecDesc,MATCH($B213,PecCod,0)),"Peça não cadastrada"))</f>
        <v>0</v>
      </c>
      <c r="H213" s="27">
        <f>IF(OR($C213="",$D213=""),"",$C213*$D213)</f>
        <v>0</v>
      </c>
    </row>
    <row r="214" spans="1:8">
      <c r="A214" s="25"/>
      <c r="B214" s="13"/>
      <c r="C214" s="20"/>
      <c r="D214" s="19"/>
      <c r="E214" s="13"/>
      <c r="F214" s="13"/>
      <c r="G214" s="26">
        <f>IF($B214="","",IFERROR(INDEX(PecDesc,MATCH($B214,PecCod,0)),"Peça não cadastrada"))</f>
        <v>0</v>
      </c>
      <c r="H214" s="27">
        <f>IF(OR($C214="",$D214=""),"",$C214*$D214)</f>
        <v>0</v>
      </c>
    </row>
    <row r="215" spans="1:8">
      <c r="A215" s="25"/>
      <c r="B215" s="13"/>
      <c r="C215" s="20"/>
      <c r="D215" s="19"/>
      <c r="E215" s="13"/>
      <c r="F215" s="13"/>
      <c r="G215" s="26">
        <f>IF($B215="","",IFERROR(INDEX(PecDesc,MATCH($B215,PecCod,0)),"Peça não cadastrada"))</f>
        <v>0</v>
      </c>
      <c r="H215" s="27">
        <f>IF(OR($C215="",$D215=""),"",$C215*$D215)</f>
        <v>0</v>
      </c>
    </row>
    <row r="216" spans="1:8">
      <c r="A216" s="25"/>
      <c r="B216" s="13"/>
      <c r="C216" s="20"/>
      <c r="D216" s="19"/>
      <c r="E216" s="13"/>
      <c r="F216" s="13"/>
      <c r="G216" s="26">
        <f>IF($B216="","",IFERROR(INDEX(PecDesc,MATCH($B216,PecCod,0)),"Peça não cadastrada"))</f>
        <v>0</v>
      </c>
      <c r="H216" s="27">
        <f>IF(OR($C216="",$D216=""),"",$C216*$D216)</f>
        <v>0</v>
      </c>
    </row>
    <row r="217" spans="1:8">
      <c r="A217" s="25"/>
      <c r="B217" s="13"/>
      <c r="C217" s="20"/>
      <c r="D217" s="19"/>
      <c r="E217" s="13"/>
      <c r="F217" s="13"/>
      <c r="G217" s="26">
        <f>IF($B217="","",IFERROR(INDEX(PecDesc,MATCH($B217,PecCod,0)),"Peça não cadastrada"))</f>
        <v>0</v>
      </c>
      <c r="H217" s="27">
        <f>IF(OR($C217="",$D217=""),"",$C217*$D217)</f>
        <v>0</v>
      </c>
    </row>
    <row r="218" spans="1:8">
      <c r="A218" s="25"/>
      <c r="B218" s="13"/>
      <c r="C218" s="20"/>
      <c r="D218" s="19"/>
      <c r="E218" s="13"/>
      <c r="F218" s="13"/>
      <c r="G218" s="26">
        <f>IF($B218="","",IFERROR(INDEX(PecDesc,MATCH($B218,PecCod,0)),"Peça não cadastrada"))</f>
        <v>0</v>
      </c>
      <c r="H218" s="27">
        <f>IF(OR($C218="",$D218=""),"",$C218*$D218)</f>
        <v>0</v>
      </c>
    </row>
    <row r="219" spans="1:8">
      <c r="A219" s="25"/>
      <c r="B219" s="13"/>
      <c r="C219" s="20"/>
      <c r="D219" s="19"/>
      <c r="E219" s="13"/>
      <c r="F219" s="13"/>
      <c r="G219" s="26">
        <f>IF($B219="","",IFERROR(INDEX(PecDesc,MATCH($B219,PecCod,0)),"Peça não cadastrada"))</f>
        <v>0</v>
      </c>
      <c r="H219" s="27">
        <f>IF(OR($C219="",$D219=""),"",$C219*$D219)</f>
        <v>0</v>
      </c>
    </row>
    <row r="220" spans="1:8">
      <c r="A220" s="25"/>
      <c r="B220" s="13"/>
      <c r="C220" s="20"/>
      <c r="D220" s="19"/>
      <c r="E220" s="13"/>
      <c r="F220" s="13"/>
      <c r="G220" s="26">
        <f>IF($B220="","",IFERROR(INDEX(PecDesc,MATCH($B220,PecCod,0)),"Peça não cadastrada"))</f>
        <v>0</v>
      </c>
      <c r="H220" s="27">
        <f>IF(OR($C220="",$D220=""),"",$C220*$D220)</f>
        <v>0</v>
      </c>
    </row>
    <row r="221" spans="1:8">
      <c r="A221" s="25"/>
      <c r="B221" s="13"/>
      <c r="C221" s="20"/>
      <c r="D221" s="19"/>
      <c r="E221" s="13"/>
      <c r="F221" s="13"/>
      <c r="G221" s="26">
        <f>IF($B221="","",IFERROR(INDEX(PecDesc,MATCH($B221,PecCod,0)),"Peça não cadastrada"))</f>
        <v>0</v>
      </c>
      <c r="H221" s="27">
        <f>IF(OR($C221="",$D221=""),"",$C221*$D221)</f>
        <v>0</v>
      </c>
    </row>
    <row r="222" spans="1:8">
      <c r="A222" s="25"/>
      <c r="B222" s="13"/>
      <c r="C222" s="20"/>
      <c r="D222" s="19"/>
      <c r="E222" s="13"/>
      <c r="F222" s="13"/>
      <c r="G222" s="26">
        <f>IF($B222="","",IFERROR(INDEX(PecDesc,MATCH($B222,PecCod,0)),"Peça não cadastrada"))</f>
        <v>0</v>
      </c>
      <c r="H222" s="27">
        <f>IF(OR($C222="",$D222=""),"",$C222*$D222)</f>
        <v>0</v>
      </c>
    </row>
    <row r="223" spans="1:8">
      <c r="A223" s="25"/>
      <c r="B223" s="13"/>
      <c r="C223" s="20"/>
      <c r="D223" s="19"/>
      <c r="E223" s="13"/>
      <c r="F223" s="13"/>
      <c r="G223" s="26">
        <f>IF($B223="","",IFERROR(INDEX(PecDesc,MATCH($B223,PecCod,0)),"Peça não cadastrada"))</f>
        <v>0</v>
      </c>
      <c r="H223" s="27">
        <f>IF(OR($C223="",$D223=""),"",$C223*$D223)</f>
        <v>0</v>
      </c>
    </row>
    <row r="224" spans="1:8">
      <c r="A224" s="25"/>
      <c r="B224" s="13"/>
      <c r="C224" s="20"/>
      <c r="D224" s="19"/>
      <c r="E224" s="13"/>
      <c r="F224" s="13"/>
      <c r="G224" s="26">
        <f>IF($B224="","",IFERROR(INDEX(PecDesc,MATCH($B224,PecCod,0)),"Peça não cadastrada"))</f>
        <v>0</v>
      </c>
      <c r="H224" s="27">
        <f>IF(OR($C224="",$D224=""),"",$C224*$D224)</f>
        <v>0</v>
      </c>
    </row>
    <row r="225" spans="1:8">
      <c r="A225" s="25"/>
      <c r="B225" s="13"/>
      <c r="C225" s="20"/>
      <c r="D225" s="19"/>
      <c r="E225" s="13"/>
      <c r="F225" s="13"/>
      <c r="G225" s="26">
        <f>IF($B225="","",IFERROR(INDEX(PecDesc,MATCH($B225,PecCod,0)),"Peça não cadastrada"))</f>
        <v>0</v>
      </c>
      <c r="H225" s="27">
        <f>IF(OR($C225="",$D225=""),"",$C225*$D225)</f>
        <v>0</v>
      </c>
    </row>
    <row r="226" spans="1:8">
      <c r="A226" s="25"/>
      <c r="B226" s="13"/>
      <c r="C226" s="20"/>
      <c r="D226" s="19"/>
      <c r="E226" s="13"/>
      <c r="F226" s="13"/>
      <c r="G226" s="26">
        <f>IF($B226="","",IFERROR(INDEX(PecDesc,MATCH($B226,PecCod,0)),"Peça não cadastrada"))</f>
        <v>0</v>
      </c>
      <c r="H226" s="27">
        <f>IF(OR($C226="",$D226=""),"",$C226*$D226)</f>
        <v>0</v>
      </c>
    </row>
    <row r="227" spans="1:8">
      <c r="A227" s="25"/>
      <c r="B227" s="13"/>
      <c r="C227" s="20"/>
      <c r="D227" s="19"/>
      <c r="E227" s="13"/>
      <c r="F227" s="13"/>
      <c r="G227" s="26">
        <f>IF($B227="","",IFERROR(INDEX(PecDesc,MATCH($B227,PecCod,0)),"Peça não cadastrada"))</f>
        <v>0</v>
      </c>
      <c r="H227" s="27">
        <f>IF(OR($C227="",$D227=""),"",$C227*$D227)</f>
        <v>0</v>
      </c>
    </row>
    <row r="228" spans="1:8">
      <c r="A228" s="25"/>
      <c r="B228" s="13"/>
      <c r="C228" s="20"/>
      <c r="D228" s="19"/>
      <c r="E228" s="13"/>
      <c r="F228" s="13"/>
      <c r="G228" s="26">
        <f>IF($B228="","",IFERROR(INDEX(PecDesc,MATCH($B228,PecCod,0)),"Peça não cadastrada"))</f>
        <v>0</v>
      </c>
      <c r="H228" s="27">
        <f>IF(OR($C228="",$D228=""),"",$C228*$D228)</f>
        <v>0</v>
      </c>
    </row>
    <row r="229" spans="1:8">
      <c r="A229" s="25"/>
      <c r="B229" s="13"/>
      <c r="C229" s="20"/>
      <c r="D229" s="19"/>
      <c r="E229" s="13"/>
      <c r="F229" s="13"/>
      <c r="G229" s="26">
        <f>IF($B229="","",IFERROR(INDEX(PecDesc,MATCH($B229,PecCod,0)),"Peça não cadastrada"))</f>
        <v>0</v>
      </c>
      <c r="H229" s="27">
        <f>IF(OR($C229="",$D229=""),"",$C229*$D229)</f>
        <v>0</v>
      </c>
    </row>
    <row r="230" spans="1:8">
      <c r="A230" s="25"/>
      <c r="B230" s="13"/>
      <c r="C230" s="20"/>
      <c r="D230" s="19"/>
      <c r="E230" s="13"/>
      <c r="F230" s="13"/>
      <c r="G230" s="26">
        <f>IF($B230="","",IFERROR(INDEX(PecDesc,MATCH($B230,PecCod,0)),"Peça não cadastrada"))</f>
        <v>0</v>
      </c>
      <c r="H230" s="27">
        <f>IF(OR($C230="",$D230=""),"",$C230*$D230)</f>
        <v>0</v>
      </c>
    </row>
    <row r="231" spans="1:8">
      <c r="A231" s="25"/>
      <c r="B231" s="13"/>
      <c r="C231" s="20"/>
      <c r="D231" s="19"/>
      <c r="E231" s="13"/>
      <c r="F231" s="13"/>
      <c r="G231" s="26">
        <f>IF($B231="","",IFERROR(INDEX(PecDesc,MATCH($B231,PecCod,0)),"Peça não cadastrada"))</f>
        <v>0</v>
      </c>
      <c r="H231" s="27">
        <f>IF(OR($C231="",$D231=""),"",$C231*$D231)</f>
        <v>0</v>
      </c>
    </row>
    <row r="232" spans="1:8">
      <c r="A232" s="25"/>
      <c r="B232" s="13"/>
      <c r="C232" s="20"/>
      <c r="D232" s="19"/>
      <c r="E232" s="13"/>
      <c r="F232" s="13"/>
      <c r="G232" s="26">
        <f>IF($B232="","",IFERROR(INDEX(PecDesc,MATCH($B232,PecCod,0)),"Peça não cadastrada"))</f>
        <v>0</v>
      </c>
      <c r="H232" s="27">
        <f>IF(OR($C232="",$D232=""),"",$C232*$D232)</f>
        <v>0</v>
      </c>
    </row>
    <row r="233" spans="1:8">
      <c r="A233" s="25"/>
      <c r="B233" s="13"/>
      <c r="C233" s="20"/>
      <c r="D233" s="19"/>
      <c r="E233" s="13"/>
      <c r="F233" s="13"/>
      <c r="G233" s="26">
        <f>IF($B233="","",IFERROR(INDEX(PecDesc,MATCH($B233,PecCod,0)),"Peça não cadastrada"))</f>
        <v>0</v>
      </c>
      <c r="H233" s="27">
        <f>IF(OR($C233="",$D233=""),"",$C233*$D233)</f>
        <v>0</v>
      </c>
    </row>
    <row r="234" spans="1:8">
      <c r="A234" s="25"/>
      <c r="B234" s="13"/>
      <c r="C234" s="20"/>
      <c r="D234" s="19"/>
      <c r="E234" s="13"/>
      <c r="F234" s="13"/>
      <c r="G234" s="26">
        <f>IF($B234="","",IFERROR(INDEX(PecDesc,MATCH($B234,PecCod,0)),"Peça não cadastrada"))</f>
        <v>0</v>
      </c>
      <c r="H234" s="27">
        <f>IF(OR($C234="",$D234=""),"",$C234*$D234)</f>
        <v>0</v>
      </c>
    </row>
    <row r="235" spans="1:8">
      <c r="A235" s="25"/>
      <c r="B235" s="13"/>
      <c r="C235" s="20"/>
      <c r="D235" s="19"/>
      <c r="E235" s="13"/>
      <c r="F235" s="13"/>
      <c r="G235" s="26">
        <f>IF($B235="","",IFERROR(INDEX(PecDesc,MATCH($B235,PecCod,0)),"Peça não cadastrada"))</f>
        <v>0</v>
      </c>
      <c r="H235" s="27">
        <f>IF(OR($C235="",$D235=""),"",$C235*$D235)</f>
        <v>0</v>
      </c>
    </row>
    <row r="236" spans="1:8">
      <c r="A236" s="25"/>
      <c r="B236" s="13"/>
      <c r="C236" s="20"/>
      <c r="D236" s="19"/>
      <c r="E236" s="13"/>
      <c r="F236" s="13"/>
      <c r="G236" s="26">
        <f>IF($B236="","",IFERROR(INDEX(PecDesc,MATCH($B236,PecCod,0)),"Peça não cadastrada"))</f>
        <v>0</v>
      </c>
      <c r="H236" s="27">
        <f>IF(OR($C236="",$D236=""),"",$C236*$D236)</f>
        <v>0</v>
      </c>
    </row>
    <row r="237" spans="1:8">
      <c r="A237" s="25"/>
      <c r="B237" s="13"/>
      <c r="C237" s="20"/>
      <c r="D237" s="19"/>
      <c r="E237" s="13"/>
      <c r="F237" s="13"/>
      <c r="G237" s="26">
        <f>IF($B237="","",IFERROR(INDEX(PecDesc,MATCH($B237,PecCod,0)),"Peça não cadastrada"))</f>
        <v>0</v>
      </c>
      <c r="H237" s="27">
        <f>IF(OR($C237="",$D237=""),"",$C237*$D237)</f>
        <v>0</v>
      </c>
    </row>
    <row r="238" spans="1:8">
      <c r="A238" s="25"/>
      <c r="B238" s="13"/>
      <c r="C238" s="20"/>
      <c r="D238" s="19"/>
      <c r="E238" s="13"/>
      <c r="F238" s="13"/>
      <c r="G238" s="26">
        <f>IF($B238="","",IFERROR(INDEX(PecDesc,MATCH($B238,PecCod,0)),"Peça não cadastrada"))</f>
        <v>0</v>
      </c>
      <c r="H238" s="27">
        <f>IF(OR($C238="",$D238=""),"",$C238*$D238)</f>
        <v>0</v>
      </c>
    </row>
    <row r="239" spans="1:8">
      <c r="A239" s="25"/>
      <c r="B239" s="13"/>
      <c r="C239" s="20"/>
      <c r="D239" s="19"/>
      <c r="E239" s="13"/>
      <c r="F239" s="13"/>
      <c r="G239" s="26">
        <f>IF($B239="","",IFERROR(INDEX(PecDesc,MATCH($B239,PecCod,0)),"Peça não cadastrada"))</f>
        <v>0</v>
      </c>
      <c r="H239" s="27">
        <f>IF(OR($C239="",$D239=""),"",$C239*$D239)</f>
        <v>0</v>
      </c>
    </row>
    <row r="240" spans="1:8">
      <c r="A240" s="25"/>
      <c r="B240" s="13"/>
      <c r="C240" s="20"/>
      <c r="D240" s="19"/>
      <c r="E240" s="13"/>
      <c r="F240" s="13"/>
      <c r="G240" s="26">
        <f>IF($B240="","",IFERROR(INDEX(PecDesc,MATCH($B240,PecCod,0)),"Peça não cadastrada"))</f>
        <v>0</v>
      </c>
      <c r="H240" s="27">
        <f>IF(OR($C240="",$D240=""),"",$C240*$D240)</f>
        <v>0</v>
      </c>
    </row>
    <row r="241" spans="1:8">
      <c r="A241" s="25"/>
      <c r="B241" s="13"/>
      <c r="C241" s="20"/>
      <c r="D241" s="19"/>
      <c r="E241" s="13"/>
      <c r="F241" s="13"/>
      <c r="G241" s="26">
        <f>IF($B241="","",IFERROR(INDEX(PecDesc,MATCH($B241,PecCod,0)),"Peça não cadastrada"))</f>
        <v>0</v>
      </c>
      <c r="H241" s="27">
        <f>IF(OR($C241="",$D241=""),"",$C241*$D241)</f>
        <v>0</v>
      </c>
    </row>
    <row r="242" spans="1:8">
      <c r="A242" s="25"/>
      <c r="B242" s="13"/>
      <c r="C242" s="20"/>
      <c r="D242" s="19"/>
      <c r="E242" s="13"/>
      <c r="F242" s="13"/>
      <c r="G242" s="26">
        <f>IF($B242="","",IFERROR(INDEX(PecDesc,MATCH($B242,PecCod,0)),"Peça não cadastrada"))</f>
        <v>0</v>
      </c>
      <c r="H242" s="27">
        <f>IF(OR($C242="",$D242=""),"",$C242*$D242)</f>
        <v>0</v>
      </c>
    </row>
    <row r="243" spans="1:8">
      <c r="A243" s="25"/>
      <c r="B243" s="13"/>
      <c r="C243" s="20"/>
      <c r="D243" s="19"/>
      <c r="E243" s="13"/>
      <c r="F243" s="13"/>
      <c r="G243" s="26">
        <f>IF($B243="","",IFERROR(INDEX(PecDesc,MATCH($B243,PecCod,0)),"Peça não cadastrada"))</f>
        <v>0</v>
      </c>
      <c r="H243" s="27">
        <f>IF(OR($C243="",$D243=""),"",$C243*$D243)</f>
        <v>0</v>
      </c>
    </row>
    <row r="244" spans="1:8">
      <c r="A244" s="25"/>
      <c r="B244" s="13"/>
      <c r="C244" s="20"/>
      <c r="D244" s="19"/>
      <c r="E244" s="13"/>
      <c r="F244" s="13"/>
      <c r="G244" s="26">
        <f>IF($B244="","",IFERROR(INDEX(PecDesc,MATCH($B244,PecCod,0)),"Peça não cadastrada"))</f>
        <v>0</v>
      </c>
      <c r="H244" s="27">
        <f>IF(OR($C244="",$D244=""),"",$C244*$D244)</f>
        <v>0</v>
      </c>
    </row>
    <row r="245" spans="1:8">
      <c r="A245" s="25"/>
      <c r="B245" s="13"/>
      <c r="C245" s="20"/>
      <c r="D245" s="19"/>
      <c r="E245" s="13"/>
      <c r="F245" s="13"/>
      <c r="G245" s="26">
        <f>IF($B245="","",IFERROR(INDEX(PecDesc,MATCH($B245,PecCod,0)),"Peça não cadastrada"))</f>
        <v>0</v>
      </c>
      <c r="H245" s="27">
        <f>IF(OR($C245="",$D245=""),"",$C245*$D245)</f>
        <v>0</v>
      </c>
    </row>
    <row r="246" spans="1:8">
      <c r="A246" s="25"/>
      <c r="B246" s="13"/>
      <c r="C246" s="20"/>
      <c r="D246" s="19"/>
      <c r="E246" s="13"/>
      <c r="F246" s="13"/>
      <c r="G246" s="26">
        <f>IF($B246="","",IFERROR(INDEX(PecDesc,MATCH($B246,PecCod,0)),"Peça não cadastrada"))</f>
        <v>0</v>
      </c>
      <c r="H246" s="27">
        <f>IF(OR($C246="",$D246=""),"",$C246*$D246)</f>
        <v>0</v>
      </c>
    </row>
    <row r="247" spans="1:8">
      <c r="A247" s="25"/>
      <c r="B247" s="13"/>
      <c r="C247" s="20"/>
      <c r="D247" s="19"/>
      <c r="E247" s="13"/>
      <c r="F247" s="13"/>
      <c r="G247" s="26">
        <f>IF($B247="","",IFERROR(INDEX(PecDesc,MATCH($B247,PecCod,0)),"Peça não cadastrada"))</f>
        <v>0</v>
      </c>
      <c r="H247" s="27">
        <f>IF(OR($C247="",$D247=""),"",$C247*$D247)</f>
        <v>0</v>
      </c>
    </row>
    <row r="248" spans="1:8">
      <c r="A248" s="25"/>
      <c r="B248" s="13"/>
      <c r="C248" s="20"/>
      <c r="D248" s="19"/>
      <c r="E248" s="13"/>
      <c r="F248" s="13"/>
      <c r="G248" s="26">
        <f>IF($B248="","",IFERROR(INDEX(PecDesc,MATCH($B248,PecCod,0)),"Peça não cadastrada"))</f>
        <v>0</v>
      </c>
      <c r="H248" s="27">
        <f>IF(OR($C248="",$D248=""),"",$C248*$D248)</f>
        <v>0</v>
      </c>
    </row>
    <row r="249" spans="1:8">
      <c r="A249" s="25"/>
      <c r="B249" s="13"/>
      <c r="C249" s="20"/>
      <c r="D249" s="19"/>
      <c r="E249" s="13"/>
      <c r="F249" s="13"/>
      <c r="G249" s="26">
        <f>IF($B249="","",IFERROR(INDEX(PecDesc,MATCH($B249,PecCod,0)),"Peça não cadastrada"))</f>
        <v>0</v>
      </c>
      <c r="H249" s="27">
        <f>IF(OR($C249="",$D249=""),"",$C249*$D249)</f>
        <v>0</v>
      </c>
    </row>
    <row r="250" spans="1:8">
      <c r="A250" s="25"/>
      <c r="B250" s="13"/>
      <c r="C250" s="20"/>
      <c r="D250" s="19"/>
      <c r="E250" s="13"/>
      <c r="F250" s="13"/>
      <c r="G250" s="26">
        <f>IF($B250="","",IFERROR(INDEX(PecDesc,MATCH($B250,PecCod,0)),"Peça não cadastrada"))</f>
        <v>0</v>
      </c>
      <c r="H250" s="27">
        <f>IF(OR($C250="",$D250=""),"",$C250*$D250)</f>
        <v>0</v>
      </c>
    </row>
    <row r="251" spans="1:8">
      <c r="A251" s="25"/>
      <c r="B251" s="13"/>
      <c r="C251" s="20"/>
      <c r="D251" s="19"/>
      <c r="E251" s="13"/>
      <c r="F251" s="13"/>
      <c r="G251" s="26">
        <f>IF($B251="","",IFERROR(INDEX(PecDesc,MATCH($B251,PecCod,0)),"Peça não cadastrada"))</f>
        <v>0</v>
      </c>
      <c r="H251" s="27">
        <f>IF(OR($C251="",$D251=""),"",$C251*$D251)</f>
        <v>0</v>
      </c>
    </row>
    <row r="252" spans="1:8">
      <c r="A252" s="25"/>
      <c r="B252" s="13"/>
      <c r="C252" s="20"/>
      <c r="D252" s="19"/>
      <c r="E252" s="13"/>
      <c r="F252" s="13"/>
      <c r="G252" s="26">
        <f>IF($B252="","",IFERROR(INDEX(PecDesc,MATCH($B252,PecCod,0)),"Peça não cadastrada"))</f>
        <v>0</v>
      </c>
      <c r="H252" s="27">
        <f>IF(OR($C252="",$D252=""),"",$C252*$D252)</f>
        <v>0</v>
      </c>
    </row>
    <row r="253" spans="1:8">
      <c r="A253" s="25"/>
      <c r="B253" s="13"/>
      <c r="C253" s="20"/>
      <c r="D253" s="19"/>
      <c r="E253" s="13"/>
      <c r="F253" s="13"/>
      <c r="G253" s="26">
        <f>IF($B253="","",IFERROR(INDEX(PecDesc,MATCH($B253,PecCod,0)),"Peça não cadastrada"))</f>
        <v>0</v>
      </c>
      <c r="H253" s="27">
        <f>IF(OR($C253="",$D253=""),"",$C253*$D253)</f>
        <v>0</v>
      </c>
    </row>
    <row r="254" spans="1:8">
      <c r="A254" s="25"/>
      <c r="B254" s="13"/>
      <c r="C254" s="20"/>
      <c r="D254" s="19"/>
      <c r="E254" s="13"/>
      <c r="F254" s="13"/>
      <c r="G254" s="26">
        <f>IF($B254="","",IFERROR(INDEX(PecDesc,MATCH($B254,PecCod,0)),"Peça não cadastrada"))</f>
        <v>0</v>
      </c>
      <c r="H254" s="27">
        <f>IF(OR($C254="",$D254=""),"",$C254*$D254)</f>
        <v>0</v>
      </c>
    </row>
    <row r="255" spans="1:8">
      <c r="A255" s="25"/>
      <c r="B255" s="13"/>
      <c r="C255" s="20"/>
      <c r="D255" s="19"/>
      <c r="E255" s="13"/>
      <c r="F255" s="13"/>
      <c r="G255" s="26">
        <f>IF($B255="","",IFERROR(INDEX(PecDesc,MATCH($B255,PecCod,0)),"Peça não cadastrada"))</f>
        <v>0</v>
      </c>
      <c r="H255" s="27">
        <f>IF(OR($C255="",$D255=""),"",$C255*$D255)</f>
        <v>0</v>
      </c>
    </row>
    <row r="256" spans="1:8">
      <c r="A256" s="25"/>
      <c r="B256" s="13"/>
      <c r="C256" s="20"/>
      <c r="D256" s="19"/>
      <c r="E256" s="13"/>
      <c r="F256" s="13"/>
      <c r="G256" s="26">
        <f>IF($B256="","",IFERROR(INDEX(PecDesc,MATCH($B256,PecCod,0)),"Peça não cadastrada"))</f>
        <v>0</v>
      </c>
      <c r="H256" s="27">
        <f>IF(OR($C256="",$D256=""),"",$C256*$D256)</f>
        <v>0</v>
      </c>
    </row>
    <row r="257" spans="1:8">
      <c r="A257" s="25"/>
      <c r="B257" s="13"/>
      <c r="C257" s="20"/>
      <c r="D257" s="19"/>
      <c r="E257" s="13"/>
      <c r="F257" s="13"/>
      <c r="G257" s="26">
        <f>IF($B257="","",IFERROR(INDEX(PecDesc,MATCH($B257,PecCod,0)),"Peça não cadastrada"))</f>
        <v>0</v>
      </c>
      <c r="H257" s="27">
        <f>IF(OR($C257="",$D257=""),"",$C257*$D257)</f>
        <v>0</v>
      </c>
    </row>
    <row r="258" spans="1:8">
      <c r="A258" s="25"/>
      <c r="B258" s="13"/>
      <c r="C258" s="20"/>
      <c r="D258" s="19"/>
      <c r="E258" s="13"/>
      <c r="F258" s="13"/>
      <c r="G258" s="26">
        <f>IF($B258="","",IFERROR(INDEX(PecDesc,MATCH($B258,PecCod,0)),"Peça não cadastrada"))</f>
        <v>0</v>
      </c>
      <c r="H258" s="27">
        <f>IF(OR($C258="",$D258=""),"",$C258*$D258)</f>
        <v>0</v>
      </c>
    </row>
    <row r="259" spans="1:8">
      <c r="A259" s="25"/>
      <c r="B259" s="13"/>
      <c r="C259" s="20"/>
      <c r="D259" s="19"/>
      <c r="E259" s="13"/>
      <c r="F259" s="13"/>
      <c r="G259" s="26">
        <f>IF($B259="","",IFERROR(INDEX(PecDesc,MATCH($B259,PecCod,0)),"Peça não cadastrada"))</f>
        <v>0</v>
      </c>
      <c r="H259" s="27">
        <f>IF(OR($C259="",$D259=""),"",$C259*$D259)</f>
        <v>0</v>
      </c>
    </row>
    <row r="260" spans="1:8">
      <c r="A260" s="25"/>
      <c r="B260" s="13"/>
      <c r="C260" s="20"/>
      <c r="D260" s="19"/>
      <c r="E260" s="13"/>
      <c r="F260" s="13"/>
      <c r="G260" s="26">
        <f>IF($B260="","",IFERROR(INDEX(PecDesc,MATCH($B260,PecCod,0)),"Peça não cadastrada"))</f>
        <v>0</v>
      </c>
      <c r="H260" s="27">
        <f>IF(OR($C260="",$D260=""),"",$C260*$D260)</f>
        <v>0</v>
      </c>
    </row>
    <row r="261" spans="1:8">
      <c r="A261" s="25"/>
      <c r="B261" s="13"/>
      <c r="C261" s="20"/>
      <c r="D261" s="19"/>
      <c r="E261" s="13"/>
      <c r="F261" s="13"/>
      <c r="G261" s="26">
        <f>IF($B261="","",IFERROR(INDEX(PecDesc,MATCH($B261,PecCod,0)),"Peça não cadastrada"))</f>
        <v>0</v>
      </c>
      <c r="H261" s="27">
        <f>IF(OR($C261="",$D261=""),"",$C261*$D261)</f>
        <v>0</v>
      </c>
    </row>
    <row r="262" spans="1:8">
      <c r="A262" s="25"/>
      <c r="B262" s="13"/>
      <c r="C262" s="20"/>
      <c r="D262" s="19"/>
      <c r="E262" s="13"/>
      <c r="F262" s="13"/>
      <c r="G262" s="26">
        <f>IF($B262="","",IFERROR(INDEX(PecDesc,MATCH($B262,PecCod,0)),"Peça não cadastrada"))</f>
        <v>0</v>
      </c>
      <c r="H262" s="27">
        <f>IF(OR($C262="",$D262=""),"",$C262*$D262)</f>
        <v>0</v>
      </c>
    </row>
    <row r="263" spans="1:8">
      <c r="A263" s="25"/>
      <c r="B263" s="13"/>
      <c r="C263" s="20"/>
      <c r="D263" s="19"/>
      <c r="E263" s="13"/>
      <c r="F263" s="13"/>
      <c r="G263" s="26">
        <f>IF($B263="","",IFERROR(INDEX(PecDesc,MATCH($B263,PecCod,0)),"Peça não cadastrada"))</f>
        <v>0</v>
      </c>
      <c r="H263" s="27">
        <f>IF(OR($C263="",$D263=""),"",$C263*$D263)</f>
        <v>0</v>
      </c>
    </row>
    <row r="264" spans="1:8">
      <c r="A264" s="25"/>
      <c r="B264" s="13"/>
      <c r="C264" s="20"/>
      <c r="D264" s="19"/>
      <c r="E264" s="13"/>
      <c r="F264" s="13"/>
      <c r="G264" s="26">
        <f>IF($B264="","",IFERROR(INDEX(PecDesc,MATCH($B264,PecCod,0)),"Peça não cadastrada"))</f>
        <v>0</v>
      </c>
      <c r="H264" s="27">
        <f>IF(OR($C264="",$D264=""),"",$C264*$D264)</f>
        <v>0</v>
      </c>
    </row>
    <row r="265" spans="1:8">
      <c r="A265" s="25"/>
      <c r="B265" s="13"/>
      <c r="C265" s="20"/>
      <c r="D265" s="19"/>
      <c r="E265" s="13"/>
      <c r="F265" s="13"/>
      <c r="G265" s="26">
        <f>IF($B265="","",IFERROR(INDEX(PecDesc,MATCH($B265,PecCod,0)),"Peça não cadastrada"))</f>
        <v>0</v>
      </c>
      <c r="H265" s="27">
        <f>IF(OR($C265="",$D265=""),"",$C265*$D265)</f>
        <v>0</v>
      </c>
    </row>
    <row r="266" spans="1:8">
      <c r="A266" s="25"/>
      <c r="B266" s="13"/>
      <c r="C266" s="20"/>
      <c r="D266" s="19"/>
      <c r="E266" s="13"/>
      <c r="F266" s="13"/>
      <c r="G266" s="26">
        <f>IF($B266="","",IFERROR(INDEX(PecDesc,MATCH($B266,PecCod,0)),"Peça não cadastrada"))</f>
        <v>0</v>
      </c>
      <c r="H266" s="27">
        <f>IF(OR($C266="",$D266=""),"",$C266*$D266)</f>
        <v>0</v>
      </c>
    </row>
    <row r="267" spans="1:8">
      <c r="A267" s="25"/>
      <c r="B267" s="13"/>
      <c r="C267" s="20"/>
      <c r="D267" s="19"/>
      <c r="E267" s="13"/>
      <c r="F267" s="13"/>
      <c r="G267" s="26">
        <f>IF($B267="","",IFERROR(INDEX(PecDesc,MATCH($B267,PecCod,0)),"Peça não cadastrada"))</f>
        <v>0</v>
      </c>
      <c r="H267" s="27">
        <f>IF(OR($C267="",$D267=""),"",$C267*$D267)</f>
        <v>0</v>
      </c>
    </row>
    <row r="268" spans="1:8">
      <c r="A268" s="25"/>
      <c r="B268" s="13"/>
      <c r="C268" s="20"/>
      <c r="D268" s="19"/>
      <c r="E268" s="13"/>
      <c r="F268" s="13"/>
      <c r="G268" s="26">
        <f>IF($B268="","",IFERROR(INDEX(PecDesc,MATCH($B268,PecCod,0)),"Peça não cadastrada"))</f>
        <v>0</v>
      </c>
      <c r="H268" s="27">
        <f>IF(OR($C268="",$D268=""),"",$C268*$D268)</f>
        <v>0</v>
      </c>
    </row>
    <row r="269" spans="1:8">
      <c r="A269" s="25"/>
      <c r="B269" s="13"/>
      <c r="C269" s="20"/>
      <c r="D269" s="19"/>
      <c r="E269" s="13"/>
      <c r="F269" s="13"/>
      <c r="G269" s="26">
        <f>IF($B269="","",IFERROR(INDEX(PecDesc,MATCH($B269,PecCod,0)),"Peça não cadastrada"))</f>
        <v>0</v>
      </c>
      <c r="H269" s="27">
        <f>IF(OR($C269="",$D269=""),"",$C269*$D269)</f>
        <v>0</v>
      </c>
    </row>
    <row r="270" spans="1:8">
      <c r="A270" s="25"/>
      <c r="B270" s="13"/>
      <c r="C270" s="20"/>
      <c r="D270" s="19"/>
      <c r="E270" s="13"/>
      <c r="F270" s="13"/>
      <c r="G270" s="26">
        <f>IF($B270="","",IFERROR(INDEX(PecDesc,MATCH($B270,PecCod,0)),"Peça não cadastrada"))</f>
        <v>0</v>
      </c>
      <c r="H270" s="27">
        <f>IF(OR($C270="",$D270=""),"",$C270*$D270)</f>
        <v>0</v>
      </c>
    </row>
    <row r="271" spans="1:8">
      <c r="A271" s="25"/>
      <c r="B271" s="13"/>
      <c r="C271" s="20"/>
      <c r="D271" s="19"/>
      <c r="E271" s="13"/>
      <c r="F271" s="13"/>
      <c r="G271" s="26">
        <f>IF($B271="","",IFERROR(INDEX(PecDesc,MATCH($B271,PecCod,0)),"Peça não cadastrada"))</f>
        <v>0</v>
      </c>
      <c r="H271" s="27">
        <f>IF(OR($C271="",$D271=""),"",$C271*$D271)</f>
        <v>0</v>
      </c>
    </row>
    <row r="272" spans="1:8">
      <c r="A272" s="25"/>
      <c r="B272" s="13"/>
      <c r="C272" s="20"/>
      <c r="D272" s="19"/>
      <c r="E272" s="13"/>
      <c r="F272" s="13"/>
      <c r="G272" s="26">
        <f>IF($B272="","",IFERROR(INDEX(PecDesc,MATCH($B272,PecCod,0)),"Peça não cadastrada"))</f>
        <v>0</v>
      </c>
      <c r="H272" s="27">
        <f>IF(OR($C272="",$D272=""),"",$C272*$D272)</f>
        <v>0</v>
      </c>
    </row>
    <row r="273" spans="1:8">
      <c r="A273" s="25"/>
      <c r="B273" s="13"/>
      <c r="C273" s="20"/>
      <c r="D273" s="19"/>
      <c r="E273" s="13"/>
      <c r="F273" s="13"/>
      <c r="G273" s="26">
        <f>IF($B273="","",IFERROR(INDEX(PecDesc,MATCH($B273,PecCod,0)),"Peça não cadastrada"))</f>
        <v>0</v>
      </c>
      <c r="H273" s="27">
        <f>IF(OR($C273="",$D273=""),"",$C273*$D273)</f>
        <v>0</v>
      </c>
    </row>
    <row r="274" spans="1:8">
      <c r="A274" s="25"/>
      <c r="B274" s="13"/>
      <c r="C274" s="20"/>
      <c r="D274" s="19"/>
      <c r="E274" s="13"/>
      <c r="F274" s="13"/>
      <c r="G274" s="26">
        <f>IF($B274="","",IFERROR(INDEX(PecDesc,MATCH($B274,PecCod,0)),"Peça não cadastrada"))</f>
        <v>0</v>
      </c>
      <c r="H274" s="27">
        <f>IF(OR($C274="",$D274=""),"",$C274*$D274)</f>
        <v>0</v>
      </c>
    </row>
    <row r="275" spans="1:8">
      <c r="A275" s="25"/>
      <c r="B275" s="13"/>
      <c r="C275" s="20"/>
      <c r="D275" s="19"/>
      <c r="E275" s="13"/>
      <c r="F275" s="13"/>
      <c r="G275" s="26">
        <f>IF($B275="","",IFERROR(INDEX(PecDesc,MATCH($B275,PecCod,0)),"Peça não cadastrada"))</f>
        <v>0</v>
      </c>
      <c r="H275" s="27">
        <f>IF(OR($C275="",$D275=""),"",$C275*$D275)</f>
        <v>0</v>
      </c>
    </row>
    <row r="276" spans="1:8">
      <c r="A276" s="25"/>
      <c r="B276" s="13"/>
      <c r="C276" s="20"/>
      <c r="D276" s="19"/>
      <c r="E276" s="13"/>
      <c r="F276" s="13"/>
      <c r="G276" s="26">
        <f>IF($B276="","",IFERROR(INDEX(PecDesc,MATCH($B276,PecCod,0)),"Peça não cadastrada"))</f>
        <v>0</v>
      </c>
      <c r="H276" s="27">
        <f>IF(OR($C276="",$D276=""),"",$C276*$D276)</f>
        <v>0</v>
      </c>
    </row>
    <row r="277" spans="1:8">
      <c r="A277" s="25"/>
      <c r="B277" s="13"/>
      <c r="C277" s="20"/>
      <c r="D277" s="19"/>
      <c r="E277" s="13"/>
      <c r="F277" s="13"/>
      <c r="G277" s="26">
        <f>IF($B277="","",IFERROR(INDEX(PecDesc,MATCH($B277,PecCod,0)),"Peça não cadastrada"))</f>
        <v>0</v>
      </c>
      <c r="H277" s="27">
        <f>IF(OR($C277="",$D277=""),"",$C277*$D277)</f>
        <v>0</v>
      </c>
    </row>
    <row r="278" spans="1:8">
      <c r="A278" s="25"/>
      <c r="B278" s="13"/>
      <c r="C278" s="20"/>
      <c r="D278" s="19"/>
      <c r="E278" s="13"/>
      <c r="F278" s="13"/>
      <c r="G278" s="26">
        <f>IF($B278="","",IFERROR(INDEX(PecDesc,MATCH($B278,PecCod,0)),"Peça não cadastrada"))</f>
        <v>0</v>
      </c>
      <c r="H278" s="27">
        <f>IF(OR($C278="",$D278=""),"",$C278*$D278)</f>
        <v>0</v>
      </c>
    </row>
    <row r="279" spans="1:8">
      <c r="A279" s="25"/>
      <c r="B279" s="13"/>
      <c r="C279" s="20"/>
      <c r="D279" s="19"/>
      <c r="E279" s="13"/>
      <c r="F279" s="13"/>
      <c r="G279" s="26">
        <f>IF($B279="","",IFERROR(INDEX(PecDesc,MATCH($B279,PecCod,0)),"Peça não cadastrada"))</f>
        <v>0</v>
      </c>
      <c r="H279" s="27">
        <f>IF(OR($C279="",$D279=""),"",$C279*$D279)</f>
        <v>0</v>
      </c>
    </row>
    <row r="280" spans="1:8">
      <c r="A280" s="25"/>
      <c r="B280" s="13"/>
      <c r="C280" s="20"/>
      <c r="D280" s="19"/>
      <c r="E280" s="13"/>
      <c r="F280" s="13"/>
      <c r="G280" s="26">
        <f>IF($B280="","",IFERROR(INDEX(PecDesc,MATCH($B280,PecCod,0)),"Peça não cadastrada"))</f>
        <v>0</v>
      </c>
      <c r="H280" s="27">
        <f>IF(OR($C280="",$D280=""),"",$C280*$D280)</f>
        <v>0</v>
      </c>
    </row>
    <row r="281" spans="1:8">
      <c r="A281" s="25"/>
      <c r="B281" s="13"/>
      <c r="C281" s="20"/>
      <c r="D281" s="19"/>
      <c r="E281" s="13"/>
      <c r="F281" s="13"/>
      <c r="G281" s="26">
        <f>IF($B281="","",IFERROR(INDEX(PecDesc,MATCH($B281,PecCod,0)),"Peça não cadastrada"))</f>
        <v>0</v>
      </c>
      <c r="H281" s="27">
        <f>IF(OR($C281="",$D281=""),"",$C281*$D281)</f>
        <v>0</v>
      </c>
    </row>
    <row r="282" spans="1:8">
      <c r="A282" s="25"/>
      <c r="B282" s="13"/>
      <c r="C282" s="20"/>
      <c r="D282" s="19"/>
      <c r="E282" s="13"/>
      <c r="F282" s="13"/>
      <c r="G282" s="26">
        <f>IF($B282="","",IFERROR(INDEX(PecDesc,MATCH($B282,PecCod,0)),"Peça não cadastrada"))</f>
        <v>0</v>
      </c>
      <c r="H282" s="27">
        <f>IF(OR($C282="",$D282=""),"",$C282*$D282)</f>
        <v>0</v>
      </c>
    </row>
    <row r="283" spans="1:8">
      <c r="A283" s="25"/>
      <c r="B283" s="13"/>
      <c r="C283" s="20"/>
      <c r="D283" s="19"/>
      <c r="E283" s="13"/>
      <c r="F283" s="13"/>
      <c r="G283" s="26">
        <f>IF($B283="","",IFERROR(INDEX(PecDesc,MATCH($B283,PecCod,0)),"Peça não cadastrada"))</f>
        <v>0</v>
      </c>
      <c r="H283" s="27">
        <f>IF(OR($C283="",$D283=""),"",$C283*$D283)</f>
        <v>0</v>
      </c>
    </row>
    <row r="284" spans="1:8">
      <c r="A284" s="25"/>
      <c r="B284" s="13"/>
      <c r="C284" s="20"/>
      <c r="D284" s="19"/>
      <c r="E284" s="13"/>
      <c r="F284" s="13"/>
      <c r="G284" s="26">
        <f>IF($B284="","",IFERROR(INDEX(PecDesc,MATCH($B284,PecCod,0)),"Peça não cadastrada"))</f>
        <v>0</v>
      </c>
      <c r="H284" s="27">
        <f>IF(OR($C284="",$D284=""),"",$C284*$D284)</f>
        <v>0</v>
      </c>
    </row>
    <row r="285" spans="1:8">
      <c r="A285" s="25"/>
      <c r="B285" s="13"/>
      <c r="C285" s="20"/>
      <c r="D285" s="19"/>
      <c r="E285" s="13"/>
      <c r="F285" s="13"/>
      <c r="G285" s="26">
        <f>IF($B285="","",IFERROR(INDEX(PecDesc,MATCH($B285,PecCod,0)),"Peça não cadastrada"))</f>
        <v>0</v>
      </c>
      <c r="H285" s="27">
        <f>IF(OR($C285="",$D285=""),"",$C285*$D285)</f>
        <v>0</v>
      </c>
    </row>
    <row r="286" spans="1:8">
      <c r="A286" s="25"/>
      <c r="B286" s="13"/>
      <c r="C286" s="20"/>
      <c r="D286" s="19"/>
      <c r="E286" s="13"/>
      <c r="F286" s="13"/>
      <c r="G286" s="26">
        <f>IF($B286="","",IFERROR(INDEX(PecDesc,MATCH($B286,PecCod,0)),"Peça não cadastrada"))</f>
        <v>0</v>
      </c>
      <c r="H286" s="27">
        <f>IF(OR($C286="",$D286=""),"",$C286*$D286)</f>
        <v>0</v>
      </c>
    </row>
    <row r="287" spans="1:8">
      <c r="A287" s="25"/>
      <c r="B287" s="13"/>
      <c r="C287" s="20"/>
      <c r="D287" s="19"/>
      <c r="E287" s="13"/>
      <c r="F287" s="13"/>
      <c r="G287" s="26">
        <f>IF($B287="","",IFERROR(INDEX(PecDesc,MATCH($B287,PecCod,0)),"Peça não cadastrada"))</f>
        <v>0</v>
      </c>
      <c r="H287" s="27">
        <f>IF(OR($C287="",$D287=""),"",$C287*$D287)</f>
        <v>0</v>
      </c>
    </row>
    <row r="288" spans="1:8">
      <c r="A288" s="25"/>
      <c r="B288" s="13"/>
      <c r="C288" s="20"/>
      <c r="D288" s="19"/>
      <c r="E288" s="13"/>
      <c r="F288" s="13"/>
      <c r="G288" s="26">
        <f>IF($B288="","",IFERROR(INDEX(PecDesc,MATCH($B288,PecCod,0)),"Peça não cadastrada"))</f>
        <v>0</v>
      </c>
      <c r="H288" s="27">
        <f>IF(OR($C288="",$D288=""),"",$C288*$D288)</f>
        <v>0</v>
      </c>
    </row>
    <row r="289" spans="1:8">
      <c r="A289" s="25"/>
      <c r="B289" s="13"/>
      <c r="C289" s="20"/>
      <c r="D289" s="19"/>
      <c r="E289" s="13"/>
      <c r="F289" s="13"/>
      <c r="G289" s="26">
        <f>IF($B289="","",IFERROR(INDEX(PecDesc,MATCH($B289,PecCod,0)),"Peça não cadastrada"))</f>
        <v>0</v>
      </c>
      <c r="H289" s="27">
        <f>IF(OR($C289="",$D289=""),"",$C289*$D289)</f>
        <v>0</v>
      </c>
    </row>
    <row r="290" spans="1:8">
      <c r="A290" s="25"/>
      <c r="B290" s="13"/>
      <c r="C290" s="20"/>
      <c r="D290" s="19"/>
      <c r="E290" s="13"/>
      <c r="F290" s="13"/>
      <c r="G290" s="26">
        <f>IF($B290="","",IFERROR(INDEX(PecDesc,MATCH($B290,PecCod,0)),"Peça não cadastrada"))</f>
        <v>0</v>
      </c>
      <c r="H290" s="27">
        <f>IF(OR($C290="",$D290=""),"",$C290*$D290)</f>
        <v>0</v>
      </c>
    </row>
    <row r="291" spans="1:8">
      <c r="A291" s="25"/>
      <c r="B291" s="13"/>
      <c r="C291" s="20"/>
      <c r="D291" s="19"/>
      <c r="E291" s="13"/>
      <c r="F291" s="13"/>
      <c r="G291" s="26">
        <f>IF($B291="","",IFERROR(INDEX(PecDesc,MATCH($B291,PecCod,0)),"Peça não cadastrada"))</f>
        <v>0</v>
      </c>
      <c r="H291" s="27">
        <f>IF(OR($C291="",$D291=""),"",$C291*$D291)</f>
        <v>0</v>
      </c>
    </row>
    <row r="292" spans="1:8">
      <c r="A292" s="25"/>
      <c r="B292" s="13"/>
      <c r="C292" s="20"/>
      <c r="D292" s="19"/>
      <c r="E292" s="13"/>
      <c r="F292" s="13"/>
      <c r="G292" s="26">
        <f>IF($B292="","",IFERROR(INDEX(PecDesc,MATCH($B292,PecCod,0)),"Peça não cadastrada"))</f>
        <v>0</v>
      </c>
      <c r="H292" s="27">
        <f>IF(OR($C292="",$D292=""),"",$C292*$D292)</f>
        <v>0</v>
      </c>
    </row>
    <row r="293" spans="1:8">
      <c r="A293" s="25"/>
      <c r="B293" s="13"/>
      <c r="C293" s="20"/>
      <c r="D293" s="19"/>
      <c r="E293" s="13"/>
      <c r="F293" s="13"/>
      <c r="G293" s="26">
        <f>IF($B293="","",IFERROR(INDEX(PecDesc,MATCH($B293,PecCod,0)),"Peça não cadastrada"))</f>
        <v>0</v>
      </c>
      <c r="H293" s="27">
        <f>IF(OR($C293="",$D293=""),"",$C293*$D293)</f>
        <v>0</v>
      </c>
    </row>
    <row r="294" spans="1:8">
      <c r="A294" s="25"/>
      <c r="B294" s="13"/>
      <c r="C294" s="20"/>
      <c r="D294" s="19"/>
      <c r="E294" s="13"/>
      <c r="F294" s="13"/>
      <c r="G294" s="26">
        <f>IF($B294="","",IFERROR(INDEX(PecDesc,MATCH($B294,PecCod,0)),"Peça não cadastrada"))</f>
        <v>0</v>
      </c>
      <c r="H294" s="27">
        <f>IF(OR($C294="",$D294=""),"",$C294*$D294)</f>
        <v>0</v>
      </c>
    </row>
    <row r="295" spans="1:8">
      <c r="A295" s="25"/>
      <c r="B295" s="13"/>
      <c r="C295" s="20"/>
      <c r="D295" s="19"/>
      <c r="E295" s="13"/>
      <c r="F295" s="13"/>
      <c r="G295" s="26">
        <f>IF($B295="","",IFERROR(INDEX(PecDesc,MATCH($B295,PecCod,0)),"Peça não cadastrada"))</f>
        <v>0</v>
      </c>
      <c r="H295" s="27">
        <f>IF(OR($C295="",$D295=""),"",$C295*$D295)</f>
        <v>0</v>
      </c>
    </row>
    <row r="296" spans="1:8">
      <c r="A296" s="25"/>
      <c r="B296" s="13"/>
      <c r="C296" s="20"/>
      <c r="D296" s="19"/>
      <c r="E296" s="13"/>
      <c r="F296" s="13"/>
      <c r="G296" s="26">
        <f>IF($B296="","",IFERROR(INDEX(PecDesc,MATCH($B296,PecCod,0)),"Peça não cadastrada"))</f>
        <v>0</v>
      </c>
      <c r="H296" s="27">
        <f>IF(OR($C296="",$D296=""),"",$C296*$D296)</f>
        <v>0</v>
      </c>
    </row>
    <row r="297" spans="1:8">
      <c r="A297" s="25"/>
      <c r="B297" s="13"/>
      <c r="C297" s="20"/>
      <c r="D297" s="19"/>
      <c r="E297" s="13"/>
      <c r="F297" s="13"/>
      <c r="G297" s="26">
        <f>IF($B297="","",IFERROR(INDEX(PecDesc,MATCH($B297,PecCod,0)),"Peça não cadastrada"))</f>
        <v>0</v>
      </c>
      <c r="H297" s="27">
        <f>IF(OR($C297="",$D297=""),"",$C297*$D297)</f>
        <v>0</v>
      </c>
    </row>
    <row r="298" spans="1:8">
      <c r="A298" s="25"/>
      <c r="B298" s="13"/>
      <c r="C298" s="20"/>
      <c r="D298" s="19"/>
      <c r="E298" s="13"/>
      <c r="F298" s="13"/>
      <c r="G298" s="26">
        <f>IF($B298="","",IFERROR(INDEX(PecDesc,MATCH($B298,PecCod,0)),"Peça não cadastrada"))</f>
        <v>0</v>
      </c>
      <c r="H298" s="27">
        <f>IF(OR($C298="",$D298=""),"",$C298*$D298)</f>
        <v>0</v>
      </c>
    </row>
    <row r="299" spans="1:8">
      <c r="A299" s="25"/>
      <c r="B299" s="13"/>
      <c r="C299" s="20"/>
      <c r="D299" s="19"/>
      <c r="E299" s="13"/>
      <c r="F299" s="13"/>
      <c r="G299" s="26">
        <f>IF($B299="","",IFERROR(INDEX(PecDesc,MATCH($B299,PecCod,0)),"Peça não cadastrada"))</f>
        <v>0</v>
      </c>
      <c r="H299" s="27">
        <f>IF(OR($C299="",$D299=""),"",$C299*$D299)</f>
        <v>0</v>
      </c>
    </row>
    <row r="300" spans="1:8">
      <c r="A300" s="25"/>
      <c r="B300" s="13"/>
      <c r="C300" s="20"/>
      <c r="D300" s="19"/>
      <c r="E300" s="13"/>
      <c r="F300" s="13"/>
      <c r="G300" s="26">
        <f>IF($B300="","",IFERROR(INDEX(PecDesc,MATCH($B300,PecCod,0)),"Peça não cadastrada"))</f>
        <v>0</v>
      </c>
      <c r="H300" s="27">
        <f>IF(OR($C300="",$D300=""),"",$C300*$D300)</f>
        <v>0</v>
      </c>
    </row>
    <row r="301" spans="1:8">
      <c r="A301" s="25"/>
      <c r="B301" s="13"/>
      <c r="C301" s="20"/>
      <c r="D301" s="19"/>
      <c r="E301" s="13"/>
      <c r="F301" s="13"/>
      <c r="G301" s="26">
        <f>IF($B301="","",IFERROR(INDEX(PecDesc,MATCH($B301,PecCod,0)),"Peça não cadastrada"))</f>
        <v>0</v>
      </c>
      <c r="H301" s="27">
        <f>IF(OR($C301="",$D301=""),"",$C301*$D301)</f>
        <v>0</v>
      </c>
    </row>
    <row r="302" spans="1:8">
      <c r="A302" s="25"/>
      <c r="B302" s="13"/>
      <c r="C302" s="20"/>
      <c r="D302" s="19"/>
      <c r="E302" s="13"/>
      <c r="F302" s="13"/>
      <c r="G302" s="26">
        <f>IF($B302="","",IFERROR(INDEX(PecDesc,MATCH($B302,PecCod,0)),"Peça não cadastrada"))</f>
        <v>0</v>
      </c>
      <c r="H302" s="27">
        <f>IF(OR($C302="",$D302=""),"",$C302*$D302)</f>
        <v>0</v>
      </c>
    </row>
    <row r="303" spans="1:8">
      <c r="A303" s="25"/>
      <c r="B303" s="13"/>
      <c r="C303" s="20"/>
      <c r="D303" s="19"/>
      <c r="E303" s="13"/>
      <c r="F303" s="13"/>
      <c r="G303" s="26">
        <f>IF($B303="","",IFERROR(INDEX(PecDesc,MATCH($B303,PecCod,0)),"Peça não cadastrada"))</f>
        <v>0</v>
      </c>
      <c r="H303" s="27">
        <f>IF(OR($C303="",$D303=""),"",$C303*$D303)</f>
        <v>0</v>
      </c>
    </row>
    <row r="304" spans="1:8">
      <c r="A304" s="25"/>
      <c r="B304" s="13"/>
      <c r="C304" s="20"/>
      <c r="D304" s="19"/>
      <c r="E304" s="13"/>
      <c r="F304" s="13"/>
      <c r="G304" s="26">
        <f>IF($B304="","",IFERROR(INDEX(PecDesc,MATCH($B304,PecCod,0)),"Peça não cadastrada"))</f>
        <v>0</v>
      </c>
      <c r="H304" s="27">
        <f>IF(OR($C304="",$D304=""),"",$C304*$D304)</f>
        <v>0</v>
      </c>
    </row>
    <row r="305" spans="1:8">
      <c r="A305" s="25"/>
      <c r="B305" s="13"/>
      <c r="C305" s="20"/>
      <c r="D305" s="19"/>
      <c r="E305" s="13"/>
      <c r="F305" s="13"/>
      <c r="G305" s="26">
        <f>IF($B305="","",IFERROR(INDEX(PecDesc,MATCH($B305,PecCod,0)),"Peça não cadastrada"))</f>
        <v>0</v>
      </c>
      <c r="H305" s="27">
        <f>IF(OR($C305="",$D305=""),"",$C305*$D305)</f>
        <v>0</v>
      </c>
    </row>
    <row r="306" spans="1:8">
      <c r="A306" s="25"/>
      <c r="B306" s="13"/>
      <c r="C306" s="20"/>
      <c r="D306" s="19"/>
      <c r="E306" s="13"/>
      <c r="F306" s="13"/>
      <c r="G306" s="26">
        <f>IF($B306="","",IFERROR(INDEX(PecDesc,MATCH($B306,PecCod,0)),"Peça não cadastrada"))</f>
        <v>0</v>
      </c>
      <c r="H306" s="27">
        <f>IF(OR($C306="",$D306=""),"",$C306*$D306)</f>
        <v>0</v>
      </c>
    </row>
    <row r="307" spans="1:8">
      <c r="A307" s="25"/>
      <c r="B307" s="13"/>
      <c r="C307" s="20"/>
      <c r="D307" s="19"/>
      <c r="E307" s="13"/>
      <c r="F307" s="13"/>
      <c r="G307" s="26">
        <f>IF($B307="","",IFERROR(INDEX(PecDesc,MATCH($B307,PecCod,0)),"Peça não cadastrada"))</f>
        <v>0</v>
      </c>
      <c r="H307" s="27">
        <f>IF(OR($C307="",$D307=""),"",$C307*$D307)</f>
        <v>0</v>
      </c>
    </row>
    <row r="308" spans="1:8">
      <c r="A308" s="25"/>
      <c r="B308" s="13"/>
      <c r="C308" s="20"/>
      <c r="D308" s="19"/>
      <c r="E308" s="13"/>
      <c r="F308" s="13"/>
      <c r="G308" s="26">
        <f>IF($B308="","",IFERROR(INDEX(PecDesc,MATCH($B308,PecCod,0)),"Peça não cadastrada"))</f>
        <v>0</v>
      </c>
      <c r="H308" s="27">
        <f>IF(OR($C308="",$D308=""),"",$C308*$D308)</f>
        <v>0</v>
      </c>
    </row>
    <row r="309" spans="1:8">
      <c r="A309" s="25"/>
      <c r="B309" s="13"/>
      <c r="C309" s="20"/>
      <c r="D309" s="19"/>
      <c r="E309" s="13"/>
      <c r="F309" s="13"/>
      <c r="G309" s="26">
        <f>IF($B309="","",IFERROR(INDEX(PecDesc,MATCH($B309,PecCod,0)),"Peça não cadastrada"))</f>
        <v>0</v>
      </c>
      <c r="H309" s="27">
        <f>IF(OR($C309="",$D309=""),"",$C309*$D309)</f>
        <v>0</v>
      </c>
    </row>
    <row r="310" spans="1:8">
      <c r="A310" s="25"/>
      <c r="B310" s="13"/>
      <c r="C310" s="20"/>
      <c r="D310" s="19"/>
      <c r="E310" s="13"/>
      <c r="F310" s="13"/>
      <c r="G310" s="26">
        <f>IF($B310="","",IFERROR(INDEX(PecDesc,MATCH($B310,PecCod,0)),"Peça não cadastrada"))</f>
        <v>0</v>
      </c>
      <c r="H310" s="27">
        <f>IF(OR($C310="",$D310=""),"",$C310*$D310)</f>
        <v>0</v>
      </c>
    </row>
    <row r="311" spans="1:8">
      <c r="A311" s="25"/>
      <c r="B311" s="13"/>
      <c r="C311" s="20"/>
      <c r="D311" s="19"/>
      <c r="E311" s="13"/>
      <c r="F311" s="13"/>
      <c r="G311" s="26">
        <f>IF($B311="","",IFERROR(INDEX(PecDesc,MATCH($B311,PecCod,0)),"Peça não cadastrada"))</f>
        <v>0</v>
      </c>
      <c r="H311" s="27">
        <f>IF(OR($C311="",$D311=""),"",$C311*$D311)</f>
        <v>0</v>
      </c>
    </row>
    <row r="312" spans="1:8">
      <c r="A312" s="25"/>
      <c r="B312" s="13"/>
      <c r="C312" s="20"/>
      <c r="D312" s="19"/>
      <c r="E312" s="13"/>
      <c r="F312" s="13"/>
      <c r="G312" s="26">
        <f>IF($B312="","",IFERROR(INDEX(PecDesc,MATCH($B312,PecCod,0)),"Peça não cadastrada"))</f>
        <v>0</v>
      </c>
      <c r="H312" s="27">
        <f>IF(OR($C312="",$D312=""),"",$C312*$D312)</f>
        <v>0</v>
      </c>
    </row>
    <row r="313" spans="1:8">
      <c r="A313" s="25"/>
      <c r="B313" s="13"/>
      <c r="C313" s="20"/>
      <c r="D313" s="19"/>
      <c r="E313" s="13"/>
      <c r="F313" s="13"/>
      <c r="G313" s="26">
        <f>IF($B313="","",IFERROR(INDEX(PecDesc,MATCH($B313,PecCod,0)),"Peça não cadastrada"))</f>
        <v>0</v>
      </c>
      <c r="H313" s="27">
        <f>IF(OR($C313="",$D313=""),"",$C313*$D313)</f>
        <v>0</v>
      </c>
    </row>
    <row r="314" spans="1:8">
      <c r="A314" s="25"/>
      <c r="B314" s="13"/>
      <c r="C314" s="20"/>
      <c r="D314" s="19"/>
      <c r="E314" s="13"/>
      <c r="F314" s="13"/>
      <c r="G314" s="26">
        <f>IF($B314="","",IFERROR(INDEX(PecDesc,MATCH($B314,PecCod,0)),"Peça não cadastrada"))</f>
        <v>0</v>
      </c>
      <c r="H314" s="27">
        <f>IF(OR($C314="",$D314=""),"",$C314*$D314)</f>
        <v>0</v>
      </c>
    </row>
    <row r="315" spans="1:8">
      <c r="A315" s="25"/>
      <c r="B315" s="13"/>
      <c r="C315" s="20"/>
      <c r="D315" s="19"/>
      <c r="E315" s="13"/>
      <c r="F315" s="13"/>
      <c r="G315" s="26">
        <f>IF($B315="","",IFERROR(INDEX(PecDesc,MATCH($B315,PecCod,0)),"Peça não cadastrada"))</f>
        <v>0</v>
      </c>
      <c r="H315" s="27">
        <f>IF(OR($C315="",$D315=""),"",$C315*$D315)</f>
        <v>0</v>
      </c>
    </row>
    <row r="316" spans="1:8">
      <c r="A316" s="25"/>
      <c r="B316" s="13"/>
      <c r="C316" s="20"/>
      <c r="D316" s="19"/>
      <c r="E316" s="13"/>
      <c r="F316" s="13"/>
      <c r="G316" s="26">
        <f>IF($B316="","",IFERROR(INDEX(PecDesc,MATCH($B316,PecCod,0)),"Peça não cadastrada"))</f>
        <v>0</v>
      </c>
      <c r="H316" s="27">
        <f>IF(OR($C316="",$D316=""),"",$C316*$D316)</f>
        <v>0</v>
      </c>
    </row>
    <row r="317" spans="1:8">
      <c r="A317" s="25"/>
      <c r="B317" s="13"/>
      <c r="C317" s="20"/>
      <c r="D317" s="19"/>
      <c r="E317" s="13"/>
      <c r="F317" s="13"/>
      <c r="G317" s="26">
        <f>IF($B317="","",IFERROR(INDEX(PecDesc,MATCH($B317,PecCod,0)),"Peça não cadastrada"))</f>
        <v>0</v>
      </c>
      <c r="H317" s="27">
        <f>IF(OR($C317="",$D317=""),"",$C317*$D317)</f>
        <v>0</v>
      </c>
    </row>
    <row r="318" spans="1:8">
      <c r="A318" s="25"/>
      <c r="B318" s="13"/>
      <c r="C318" s="20"/>
      <c r="D318" s="19"/>
      <c r="E318" s="13"/>
      <c r="F318" s="13"/>
      <c r="G318" s="26">
        <f>IF($B318="","",IFERROR(INDEX(PecDesc,MATCH($B318,PecCod,0)),"Peça não cadastrada"))</f>
        <v>0</v>
      </c>
      <c r="H318" s="27">
        <f>IF(OR($C318="",$D318=""),"",$C318*$D318)</f>
        <v>0</v>
      </c>
    </row>
    <row r="319" spans="1:8">
      <c r="A319" s="25"/>
      <c r="B319" s="13"/>
      <c r="C319" s="20"/>
      <c r="D319" s="19"/>
      <c r="E319" s="13"/>
      <c r="F319" s="13"/>
      <c r="G319" s="26">
        <f>IF($B319="","",IFERROR(INDEX(PecDesc,MATCH($B319,PecCod,0)),"Peça não cadastrada"))</f>
        <v>0</v>
      </c>
      <c r="H319" s="27">
        <f>IF(OR($C319="",$D319=""),"",$C319*$D319)</f>
        <v>0</v>
      </c>
    </row>
    <row r="320" spans="1:8">
      <c r="A320" s="25"/>
      <c r="B320" s="13"/>
      <c r="C320" s="20"/>
      <c r="D320" s="19"/>
      <c r="E320" s="13"/>
      <c r="F320" s="13"/>
      <c r="G320" s="26">
        <f>IF($B320="","",IFERROR(INDEX(PecDesc,MATCH($B320,PecCod,0)),"Peça não cadastrada"))</f>
        <v>0</v>
      </c>
      <c r="H320" s="27">
        <f>IF(OR($C320="",$D320=""),"",$C320*$D320)</f>
        <v>0</v>
      </c>
    </row>
    <row r="321" spans="1:8">
      <c r="A321" s="25"/>
      <c r="B321" s="13"/>
      <c r="C321" s="20"/>
      <c r="D321" s="19"/>
      <c r="E321" s="13"/>
      <c r="F321" s="13"/>
      <c r="G321" s="26">
        <f>IF($B321="","",IFERROR(INDEX(PecDesc,MATCH($B321,PecCod,0)),"Peça não cadastrada"))</f>
        <v>0</v>
      </c>
      <c r="H321" s="27">
        <f>IF(OR($C321="",$D321=""),"",$C321*$D321)</f>
        <v>0</v>
      </c>
    </row>
    <row r="322" spans="1:8">
      <c r="A322" s="25"/>
      <c r="B322" s="13"/>
      <c r="C322" s="20"/>
      <c r="D322" s="19"/>
      <c r="E322" s="13"/>
      <c r="F322" s="13"/>
      <c r="G322" s="26">
        <f>IF($B322="","",IFERROR(INDEX(PecDesc,MATCH($B322,PecCod,0)),"Peça não cadastrada"))</f>
        <v>0</v>
      </c>
      <c r="H322" s="27">
        <f>IF(OR($C322="",$D322=""),"",$C322*$D322)</f>
        <v>0</v>
      </c>
    </row>
    <row r="323" spans="1:8">
      <c r="A323" s="25"/>
      <c r="B323" s="13"/>
      <c r="C323" s="20"/>
      <c r="D323" s="19"/>
      <c r="E323" s="13"/>
      <c r="F323" s="13"/>
      <c r="G323" s="26">
        <f>IF($B323="","",IFERROR(INDEX(PecDesc,MATCH($B323,PecCod,0)),"Peça não cadastrada"))</f>
        <v>0</v>
      </c>
      <c r="H323" s="27">
        <f>IF(OR($C323="",$D323=""),"",$C323*$D323)</f>
        <v>0</v>
      </c>
    </row>
    <row r="324" spans="1:8">
      <c r="A324" s="25"/>
      <c r="B324" s="13"/>
      <c r="C324" s="20"/>
      <c r="D324" s="19"/>
      <c r="E324" s="13"/>
      <c r="F324" s="13"/>
      <c r="G324" s="26">
        <f>IF($B324="","",IFERROR(INDEX(PecDesc,MATCH($B324,PecCod,0)),"Peça não cadastrada"))</f>
        <v>0</v>
      </c>
      <c r="H324" s="27">
        <f>IF(OR($C324="",$D324=""),"",$C324*$D324)</f>
        <v>0</v>
      </c>
    </row>
    <row r="325" spans="1:8">
      <c r="A325" s="25"/>
      <c r="B325" s="13"/>
      <c r="C325" s="20"/>
      <c r="D325" s="19"/>
      <c r="E325" s="13"/>
      <c r="F325" s="13"/>
      <c r="G325" s="26">
        <f>IF($B325="","",IFERROR(INDEX(PecDesc,MATCH($B325,PecCod,0)),"Peça não cadastrada"))</f>
        <v>0</v>
      </c>
      <c r="H325" s="27">
        <f>IF(OR($C325="",$D325=""),"",$C325*$D325)</f>
        <v>0</v>
      </c>
    </row>
    <row r="326" spans="1:8">
      <c r="A326" s="25"/>
      <c r="B326" s="13"/>
      <c r="C326" s="20"/>
      <c r="D326" s="19"/>
      <c r="E326" s="13"/>
      <c r="F326" s="13"/>
      <c r="G326" s="26">
        <f>IF($B326="","",IFERROR(INDEX(PecDesc,MATCH($B326,PecCod,0)),"Peça não cadastrada"))</f>
        <v>0</v>
      </c>
      <c r="H326" s="27">
        <f>IF(OR($C326="",$D326=""),"",$C326*$D326)</f>
        <v>0</v>
      </c>
    </row>
    <row r="327" spans="1:8">
      <c r="A327" s="25"/>
      <c r="B327" s="13"/>
      <c r="C327" s="20"/>
      <c r="D327" s="19"/>
      <c r="E327" s="13"/>
      <c r="F327" s="13"/>
      <c r="G327" s="26">
        <f>IF($B327="","",IFERROR(INDEX(PecDesc,MATCH($B327,PecCod,0)),"Peça não cadastrada"))</f>
        <v>0</v>
      </c>
      <c r="H327" s="27">
        <f>IF(OR($C327="",$D327=""),"",$C327*$D327)</f>
        <v>0</v>
      </c>
    </row>
    <row r="328" spans="1:8">
      <c r="A328" s="25"/>
      <c r="B328" s="13"/>
      <c r="C328" s="20"/>
      <c r="D328" s="19"/>
      <c r="E328" s="13"/>
      <c r="F328" s="13"/>
      <c r="G328" s="26">
        <f>IF($B328="","",IFERROR(INDEX(PecDesc,MATCH($B328,PecCod,0)),"Peça não cadastrada"))</f>
        <v>0</v>
      </c>
      <c r="H328" s="27">
        <f>IF(OR($C328="",$D328=""),"",$C328*$D328)</f>
        <v>0</v>
      </c>
    </row>
    <row r="329" spans="1:8">
      <c r="A329" s="25"/>
      <c r="B329" s="13"/>
      <c r="C329" s="20"/>
      <c r="D329" s="19"/>
      <c r="E329" s="13"/>
      <c r="F329" s="13"/>
      <c r="G329" s="26">
        <f>IF($B329="","",IFERROR(INDEX(PecDesc,MATCH($B329,PecCod,0)),"Peça não cadastrada"))</f>
        <v>0</v>
      </c>
      <c r="H329" s="27">
        <f>IF(OR($C329="",$D329=""),"",$C329*$D329)</f>
        <v>0</v>
      </c>
    </row>
    <row r="330" spans="1:8">
      <c r="A330" s="25"/>
      <c r="B330" s="13"/>
      <c r="C330" s="20"/>
      <c r="D330" s="19"/>
      <c r="E330" s="13"/>
      <c r="F330" s="13"/>
      <c r="G330" s="26">
        <f>IF($B330="","",IFERROR(INDEX(PecDesc,MATCH($B330,PecCod,0)),"Peça não cadastrada"))</f>
        <v>0</v>
      </c>
      <c r="H330" s="27">
        <f>IF(OR($C330="",$D330=""),"",$C330*$D330)</f>
        <v>0</v>
      </c>
    </row>
    <row r="331" spans="1:8">
      <c r="A331" s="25"/>
      <c r="B331" s="13"/>
      <c r="C331" s="20"/>
      <c r="D331" s="19"/>
      <c r="E331" s="13"/>
      <c r="F331" s="13"/>
      <c r="G331" s="26">
        <f>IF($B331="","",IFERROR(INDEX(PecDesc,MATCH($B331,PecCod,0)),"Peça não cadastrada"))</f>
        <v>0</v>
      </c>
      <c r="H331" s="27">
        <f>IF(OR($C331="",$D331=""),"",$C331*$D331)</f>
        <v>0</v>
      </c>
    </row>
    <row r="332" spans="1:8">
      <c r="A332" s="25"/>
      <c r="B332" s="13"/>
      <c r="C332" s="20"/>
      <c r="D332" s="19"/>
      <c r="E332" s="13"/>
      <c r="F332" s="13"/>
      <c r="G332" s="26">
        <f>IF($B332="","",IFERROR(INDEX(PecDesc,MATCH($B332,PecCod,0)),"Peça não cadastrada"))</f>
        <v>0</v>
      </c>
      <c r="H332" s="27">
        <f>IF(OR($C332="",$D332=""),"",$C332*$D332)</f>
        <v>0</v>
      </c>
    </row>
    <row r="333" spans="1:8">
      <c r="A333" s="25"/>
      <c r="B333" s="13"/>
      <c r="C333" s="20"/>
      <c r="D333" s="19"/>
      <c r="E333" s="13"/>
      <c r="F333" s="13"/>
      <c r="G333" s="26">
        <f>IF($B333="","",IFERROR(INDEX(PecDesc,MATCH($B333,PecCod,0)),"Peça não cadastrada"))</f>
        <v>0</v>
      </c>
      <c r="H333" s="27">
        <f>IF(OR($C333="",$D333=""),"",$C333*$D333)</f>
        <v>0</v>
      </c>
    </row>
    <row r="334" spans="1:8">
      <c r="A334" s="25"/>
      <c r="B334" s="13"/>
      <c r="C334" s="20"/>
      <c r="D334" s="19"/>
      <c r="E334" s="13"/>
      <c r="F334" s="13"/>
      <c r="G334" s="26">
        <f>IF($B334="","",IFERROR(INDEX(PecDesc,MATCH($B334,PecCod,0)),"Peça não cadastrada"))</f>
        <v>0</v>
      </c>
      <c r="H334" s="27">
        <f>IF(OR($C334="",$D334=""),"",$C334*$D334)</f>
        <v>0</v>
      </c>
    </row>
    <row r="335" spans="1:8">
      <c r="A335" s="25"/>
      <c r="B335" s="13"/>
      <c r="C335" s="20"/>
      <c r="D335" s="19"/>
      <c r="E335" s="13"/>
      <c r="F335" s="13"/>
      <c r="G335" s="26">
        <f>IF($B335="","",IFERROR(INDEX(PecDesc,MATCH($B335,PecCod,0)),"Peça não cadastrada"))</f>
        <v>0</v>
      </c>
      <c r="H335" s="27">
        <f>IF(OR($C335="",$D335=""),"",$C335*$D335)</f>
        <v>0</v>
      </c>
    </row>
    <row r="336" spans="1:8">
      <c r="A336" s="25"/>
      <c r="B336" s="13"/>
      <c r="C336" s="20"/>
      <c r="D336" s="19"/>
      <c r="E336" s="13"/>
      <c r="F336" s="13"/>
      <c r="G336" s="26">
        <f>IF($B336="","",IFERROR(INDEX(PecDesc,MATCH($B336,PecCod,0)),"Peça não cadastrada"))</f>
        <v>0</v>
      </c>
      <c r="H336" s="27">
        <f>IF(OR($C336="",$D336=""),"",$C336*$D336)</f>
        <v>0</v>
      </c>
    </row>
    <row r="337" spans="1:8">
      <c r="A337" s="25"/>
      <c r="B337" s="13"/>
      <c r="C337" s="20"/>
      <c r="D337" s="19"/>
      <c r="E337" s="13"/>
      <c r="F337" s="13"/>
      <c r="G337" s="26">
        <f>IF($B337="","",IFERROR(INDEX(PecDesc,MATCH($B337,PecCod,0)),"Peça não cadastrada"))</f>
        <v>0</v>
      </c>
      <c r="H337" s="27">
        <f>IF(OR($C337="",$D337=""),"",$C337*$D337)</f>
        <v>0</v>
      </c>
    </row>
    <row r="338" spans="1:8">
      <c r="A338" s="25"/>
      <c r="B338" s="13"/>
      <c r="C338" s="20"/>
      <c r="D338" s="19"/>
      <c r="E338" s="13"/>
      <c r="F338" s="13"/>
      <c r="G338" s="26">
        <f>IF($B338="","",IFERROR(INDEX(PecDesc,MATCH($B338,PecCod,0)),"Peça não cadastrada"))</f>
        <v>0</v>
      </c>
      <c r="H338" s="27">
        <f>IF(OR($C338="",$D338=""),"",$C338*$D338)</f>
        <v>0</v>
      </c>
    </row>
    <row r="339" spans="1:8">
      <c r="A339" s="25"/>
      <c r="B339" s="13"/>
      <c r="C339" s="20"/>
      <c r="D339" s="19"/>
      <c r="E339" s="13"/>
      <c r="F339" s="13"/>
      <c r="G339" s="26">
        <f>IF($B339="","",IFERROR(INDEX(PecDesc,MATCH($B339,PecCod,0)),"Peça não cadastrada"))</f>
        <v>0</v>
      </c>
      <c r="H339" s="27">
        <f>IF(OR($C339="",$D339=""),"",$C339*$D339)</f>
        <v>0</v>
      </c>
    </row>
    <row r="340" spans="1:8">
      <c r="A340" s="25"/>
      <c r="B340" s="13"/>
      <c r="C340" s="20"/>
      <c r="D340" s="19"/>
      <c r="E340" s="13"/>
      <c r="F340" s="13"/>
      <c r="G340" s="26">
        <f>IF($B340="","",IFERROR(INDEX(PecDesc,MATCH($B340,PecCod,0)),"Peça não cadastrada"))</f>
        <v>0</v>
      </c>
      <c r="H340" s="27">
        <f>IF(OR($C340="",$D340=""),"",$C340*$D340)</f>
        <v>0</v>
      </c>
    </row>
    <row r="341" spans="1:8">
      <c r="A341" s="25"/>
      <c r="B341" s="13"/>
      <c r="C341" s="20"/>
      <c r="D341" s="19"/>
      <c r="E341" s="13"/>
      <c r="F341" s="13"/>
      <c r="G341" s="26">
        <f>IF($B341="","",IFERROR(INDEX(PecDesc,MATCH($B341,PecCod,0)),"Peça não cadastrada"))</f>
        <v>0</v>
      </c>
      <c r="H341" s="27">
        <f>IF(OR($C341="",$D341=""),"",$C341*$D341)</f>
        <v>0</v>
      </c>
    </row>
    <row r="342" spans="1:8">
      <c r="A342" s="25"/>
      <c r="B342" s="13"/>
      <c r="C342" s="20"/>
      <c r="D342" s="19"/>
      <c r="E342" s="13"/>
      <c r="F342" s="13"/>
      <c r="G342" s="26">
        <f>IF($B342="","",IFERROR(INDEX(PecDesc,MATCH($B342,PecCod,0)),"Peça não cadastrada"))</f>
        <v>0</v>
      </c>
      <c r="H342" s="27">
        <f>IF(OR($C342="",$D342=""),"",$C342*$D342)</f>
        <v>0</v>
      </c>
    </row>
    <row r="343" spans="1:8">
      <c r="A343" s="25"/>
      <c r="B343" s="13"/>
      <c r="C343" s="20"/>
      <c r="D343" s="19"/>
      <c r="E343" s="13"/>
      <c r="F343" s="13"/>
      <c r="G343" s="26">
        <f>IF($B343="","",IFERROR(INDEX(PecDesc,MATCH($B343,PecCod,0)),"Peça não cadastrada"))</f>
        <v>0</v>
      </c>
      <c r="H343" s="27">
        <f>IF(OR($C343="",$D343=""),"",$C343*$D343)</f>
        <v>0</v>
      </c>
    </row>
    <row r="344" spans="1:8">
      <c r="A344" s="25"/>
      <c r="B344" s="13"/>
      <c r="C344" s="20"/>
      <c r="D344" s="19"/>
      <c r="E344" s="13"/>
      <c r="F344" s="13"/>
      <c r="G344" s="26">
        <f>IF($B344="","",IFERROR(INDEX(PecDesc,MATCH($B344,PecCod,0)),"Peça não cadastrada"))</f>
        <v>0</v>
      </c>
      <c r="H344" s="27">
        <f>IF(OR($C344="",$D344=""),"",$C344*$D344)</f>
        <v>0</v>
      </c>
    </row>
    <row r="345" spans="1:8">
      <c r="A345" s="25"/>
      <c r="B345" s="13"/>
      <c r="C345" s="20"/>
      <c r="D345" s="19"/>
      <c r="E345" s="13"/>
      <c r="F345" s="13"/>
      <c r="G345" s="26">
        <f>IF($B345="","",IFERROR(INDEX(PecDesc,MATCH($B345,PecCod,0)),"Peça não cadastrada"))</f>
        <v>0</v>
      </c>
      <c r="H345" s="27">
        <f>IF(OR($C345="",$D345=""),"",$C345*$D345)</f>
        <v>0</v>
      </c>
    </row>
    <row r="346" spans="1:8">
      <c r="A346" s="25"/>
      <c r="B346" s="13"/>
      <c r="C346" s="20"/>
      <c r="D346" s="19"/>
      <c r="E346" s="13"/>
      <c r="F346" s="13"/>
      <c r="G346" s="26">
        <f>IF($B346="","",IFERROR(INDEX(PecDesc,MATCH($B346,PecCod,0)),"Peça não cadastrada"))</f>
        <v>0</v>
      </c>
      <c r="H346" s="27">
        <f>IF(OR($C346="",$D346=""),"",$C346*$D346)</f>
        <v>0</v>
      </c>
    </row>
    <row r="347" spans="1:8">
      <c r="A347" s="25"/>
      <c r="B347" s="13"/>
      <c r="C347" s="20"/>
      <c r="D347" s="19"/>
      <c r="E347" s="13"/>
      <c r="F347" s="13"/>
      <c r="G347" s="26">
        <f>IF($B347="","",IFERROR(INDEX(PecDesc,MATCH($B347,PecCod,0)),"Peça não cadastrada"))</f>
        <v>0</v>
      </c>
      <c r="H347" s="27">
        <f>IF(OR($C347="",$D347=""),"",$C347*$D347)</f>
        <v>0</v>
      </c>
    </row>
    <row r="348" spans="1:8">
      <c r="A348" s="25"/>
      <c r="B348" s="13"/>
      <c r="C348" s="20"/>
      <c r="D348" s="19"/>
      <c r="E348" s="13"/>
      <c r="F348" s="13"/>
      <c r="G348" s="26">
        <f>IF($B348="","",IFERROR(INDEX(PecDesc,MATCH($B348,PecCod,0)),"Peça não cadastrada"))</f>
        <v>0</v>
      </c>
      <c r="H348" s="27">
        <f>IF(OR($C348="",$D348=""),"",$C348*$D348)</f>
        <v>0</v>
      </c>
    </row>
    <row r="349" spans="1:8">
      <c r="A349" s="25"/>
      <c r="B349" s="13"/>
      <c r="C349" s="20"/>
      <c r="D349" s="19"/>
      <c r="E349" s="13"/>
      <c r="F349" s="13"/>
      <c r="G349" s="26">
        <f>IF($B349="","",IFERROR(INDEX(PecDesc,MATCH($B349,PecCod,0)),"Peça não cadastrada"))</f>
        <v>0</v>
      </c>
      <c r="H349" s="27">
        <f>IF(OR($C349="",$D349=""),"",$C349*$D349)</f>
        <v>0</v>
      </c>
    </row>
    <row r="350" spans="1:8">
      <c r="A350" s="25"/>
      <c r="B350" s="13"/>
      <c r="C350" s="20"/>
      <c r="D350" s="19"/>
      <c r="E350" s="13"/>
      <c r="F350" s="13"/>
      <c r="G350" s="26">
        <f>IF($B350="","",IFERROR(INDEX(PecDesc,MATCH($B350,PecCod,0)),"Peça não cadastrada"))</f>
        <v>0</v>
      </c>
      <c r="H350" s="27">
        <f>IF(OR($C350="",$D350=""),"",$C350*$D350)</f>
        <v>0</v>
      </c>
    </row>
    <row r="351" spans="1:8">
      <c r="A351" s="25"/>
      <c r="B351" s="13"/>
      <c r="C351" s="20"/>
      <c r="D351" s="19"/>
      <c r="E351" s="13"/>
      <c r="F351" s="13"/>
      <c r="G351" s="26">
        <f>IF($B351="","",IFERROR(INDEX(PecDesc,MATCH($B351,PecCod,0)),"Peça não cadastrada"))</f>
        <v>0</v>
      </c>
      <c r="H351" s="27">
        <f>IF(OR($C351="",$D351=""),"",$C351*$D351)</f>
        <v>0</v>
      </c>
    </row>
    <row r="352" spans="1:8">
      <c r="A352" s="25"/>
      <c r="B352" s="13"/>
      <c r="C352" s="20"/>
      <c r="D352" s="19"/>
      <c r="E352" s="13"/>
      <c r="F352" s="13"/>
      <c r="G352" s="26">
        <f>IF($B352="","",IFERROR(INDEX(PecDesc,MATCH($B352,PecCod,0)),"Peça não cadastrada"))</f>
        <v>0</v>
      </c>
      <c r="H352" s="27">
        <f>IF(OR($C352="",$D352=""),"",$C352*$D352)</f>
        <v>0</v>
      </c>
    </row>
    <row r="353" spans="1:8">
      <c r="A353" s="25"/>
      <c r="B353" s="13"/>
      <c r="C353" s="20"/>
      <c r="D353" s="19"/>
      <c r="E353" s="13"/>
      <c r="F353" s="13"/>
      <c r="G353" s="26">
        <f>IF($B353="","",IFERROR(INDEX(PecDesc,MATCH($B353,PecCod,0)),"Peça não cadastrada"))</f>
        <v>0</v>
      </c>
      <c r="H353" s="27">
        <f>IF(OR($C353="",$D353=""),"",$C353*$D353)</f>
        <v>0</v>
      </c>
    </row>
    <row r="354" spans="1:8">
      <c r="A354" s="25"/>
      <c r="B354" s="13"/>
      <c r="C354" s="20"/>
      <c r="D354" s="19"/>
      <c r="E354" s="13"/>
      <c r="F354" s="13"/>
      <c r="G354" s="26">
        <f>IF($B354="","",IFERROR(INDEX(PecDesc,MATCH($B354,PecCod,0)),"Peça não cadastrada"))</f>
        <v>0</v>
      </c>
      <c r="H354" s="27">
        <f>IF(OR($C354="",$D354=""),"",$C354*$D354)</f>
        <v>0</v>
      </c>
    </row>
    <row r="355" spans="1:8">
      <c r="A355" s="25"/>
      <c r="B355" s="13"/>
      <c r="C355" s="20"/>
      <c r="D355" s="19"/>
      <c r="E355" s="13"/>
      <c r="F355" s="13"/>
      <c r="G355" s="26">
        <f>IF($B355="","",IFERROR(INDEX(PecDesc,MATCH($B355,PecCod,0)),"Peça não cadastrada"))</f>
        <v>0</v>
      </c>
      <c r="H355" s="27">
        <f>IF(OR($C355="",$D355=""),"",$C355*$D355)</f>
        <v>0</v>
      </c>
    </row>
    <row r="356" spans="1:8">
      <c r="A356" s="25"/>
      <c r="B356" s="13"/>
      <c r="C356" s="20"/>
      <c r="D356" s="19"/>
      <c r="E356" s="13"/>
      <c r="F356" s="13"/>
      <c r="G356" s="26">
        <f>IF($B356="","",IFERROR(INDEX(PecDesc,MATCH($B356,PecCod,0)),"Peça não cadastrada"))</f>
        <v>0</v>
      </c>
      <c r="H356" s="27">
        <f>IF(OR($C356="",$D356=""),"",$C356*$D356)</f>
        <v>0</v>
      </c>
    </row>
    <row r="357" spans="1:8">
      <c r="A357" s="25"/>
      <c r="B357" s="13"/>
      <c r="C357" s="20"/>
      <c r="D357" s="19"/>
      <c r="E357" s="13"/>
      <c r="F357" s="13"/>
      <c r="G357" s="26">
        <f>IF($B357="","",IFERROR(INDEX(PecDesc,MATCH($B357,PecCod,0)),"Peça não cadastrada"))</f>
        <v>0</v>
      </c>
      <c r="H357" s="27">
        <f>IF(OR($C357="",$D357=""),"",$C357*$D357)</f>
        <v>0</v>
      </c>
    </row>
    <row r="358" spans="1:8">
      <c r="A358" s="25"/>
      <c r="B358" s="13"/>
      <c r="C358" s="20"/>
      <c r="D358" s="19"/>
      <c r="E358" s="13"/>
      <c r="F358" s="13"/>
      <c r="G358" s="26">
        <f>IF($B358="","",IFERROR(INDEX(PecDesc,MATCH($B358,PecCod,0)),"Peça não cadastrada"))</f>
        <v>0</v>
      </c>
      <c r="H358" s="27">
        <f>IF(OR($C358="",$D358=""),"",$C358*$D358)</f>
        <v>0</v>
      </c>
    </row>
    <row r="359" spans="1:8">
      <c r="A359" s="25"/>
      <c r="B359" s="13"/>
      <c r="C359" s="20"/>
      <c r="D359" s="19"/>
      <c r="E359" s="13"/>
      <c r="F359" s="13"/>
      <c r="G359" s="26">
        <f>IF($B359="","",IFERROR(INDEX(PecDesc,MATCH($B359,PecCod,0)),"Peça não cadastrada"))</f>
        <v>0</v>
      </c>
      <c r="H359" s="27">
        <f>IF(OR($C359="",$D359=""),"",$C359*$D359)</f>
        <v>0</v>
      </c>
    </row>
    <row r="360" spans="1:8">
      <c r="A360" s="25"/>
      <c r="B360" s="13"/>
      <c r="C360" s="20"/>
      <c r="D360" s="19"/>
      <c r="E360" s="13"/>
      <c r="F360" s="13"/>
      <c r="G360" s="26">
        <f>IF($B360="","",IFERROR(INDEX(PecDesc,MATCH($B360,PecCod,0)),"Peça não cadastrada"))</f>
        <v>0</v>
      </c>
      <c r="H360" s="27">
        <f>IF(OR($C360="",$D360=""),"",$C360*$D360)</f>
        <v>0</v>
      </c>
    </row>
    <row r="361" spans="1:8">
      <c r="A361" s="25"/>
      <c r="B361" s="13"/>
      <c r="C361" s="20"/>
      <c r="D361" s="19"/>
      <c r="E361" s="13"/>
      <c r="F361" s="13"/>
      <c r="G361" s="26">
        <f>IF($B361="","",IFERROR(INDEX(PecDesc,MATCH($B361,PecCod,0)),"Peça não cadastrada"))</f>
        <v>0</v>
      </c>
      <c r="H361" s="27">
        <f>IF(OR($C361="",$D361=""),"",$C361*$D361)</f>
        <v>0</v>
      </c>
    </row>
    <row r="362" spans="1:8">
      <c r="A362" s="25"/>
      <c r="B362" s="13"/>
      <c r="C362" s="20"/>
      <c r="D362" s="19"/>
      <c r="E362" s="13"/>
      <c r="F362" s="13"/>
      <c r="G362" s="26">
        <f>IF($B362="","",IFERROR(INDEX(PecDesc,MATCH($B362,PecCod,0)),"Peça não cadastrada"))</f>
        <v>0</v>
      </c>
      <c r="H362" s="27">
        <f>IF(OR($C362="",$D362=""),"",$C362*$D362)</f>
        <v>0</v>
      </c>
    </row>
    <row r="363" spans="1:8">
      <c r="A363" s="25"/>
      <c r="B363" s="13"/>
      <c r="C363" s="20"/>
      <c r="D363" s="19"/>
      <c r="E363" s="13"/>
      <c r="F363" s="13"/>
      <c r="G363" s="26">
        <f>IF($B363="","",IFERROR(INDEX(PecDesc,MATCH($B363,PecCod,0)),"Peça não cadastrada"))</f>
        <v>0</v>
      </c>
      <c r="H363" s="27">
        <f>IF(OR($C363="",$D363=""),"",$C363*$D363)</f>
        <v>0</v>
      </c>
    </row>
    <row r="364" spans="1:8">
      <c r="A364" s="25"/>
      <c r="B364" s="13"/>
      <c r="C364" s="20"/>
      <c r="D364" s="19"/>
      <c r="E364" s="13"/>
      <c r="F364" s="13"/>
      <c r="G364" s="26">
        <f>IF($B364="","",IFERROR(INDEX(PecDesc,MATCH($B364,PecCod,0)),"Peça não cadastrada"))</f>
        <v>0</v>
      </c>
      <c r="H364" s="27">
        <f>IF(OR($C364="",$D364=""),"",$C364*$D364)</f>
        <v>0</v>
      </c>
    </row>
    <row r="365" spans="1:8">
      <c r="A365" s="25"/>
      <c r="B365" s="13"/>
      <c r="C365" s="20"/>
      <c r="D365" s="19"/>
      <c r="E365" s="13"/>
      <c r="F365" s="13"/>
      <c r="G365" s="26">
        <f>IF($B365="","",IFERROR(INDEX(PecDesc,MATCH($B365,PecCod,0)),"Peça não cadastrada"))</f>
        <v>0</v>
      </c>
      <c r="H365" s="27">
        <f>IF(OR($C365="",$D365=""),"",$C365*$D365)</f>
        <v>0</v>
      </c>
    </row>
    <row r="366" spans="1:8">
      <c r="A366" s="25"/>
      <c r="B366" s="13"/>
      <c r="C366" s="20"/>
      <c r="D366" s="19"/>
      <c r="E366" s="13"/>
      <c r="F366" s="13"/>
      <c r="G366" s="26">
        <f>IF($B366="","",IFERROR(INDEX(PecDesc,MATCH($B366,PecCod,0)),"Peça não cadastrada"))</f>
        <v>0</v>
      </c>
      <c r="H366" s="27">
        <f>IF(OR($C366="",$D366=""),"",$C366*$D366)</f>
        <v>0</v>
      </c>
    </row>
    <row r="367" spans="1:8">
      <c r="A367" s="25"/>
      <c r="B367" s="13"/>
      <c r="C367" s="20"/>
      <c r="D367" s="19"/>
      <c r="E367" s="13"/>
      <c r="F367" s="13"/>
      <c r="G367" s="26">
        <f>IF($B367="","",IFERROR(INDEX(PecDesc,MATCH($B367,PecCod,0)),"Peça não cadastrada"))</f>
        <v>0</v>
      </c>
      <c r="H367" s="27">
        <f>IF(OR($C367="",$D367=""),"",$C367*$D367)</f>
        <v>0</v>
      </c>
    </row>
    <row r="368" spans="1:8">
      <c r="A368" s="25"/>
      <c r="B368" s="13"/>
      <c r="C368" s="20"/>
      <c r="D368" s="19"/>
      <c r="E368" s="13"/>
      <c r="F368" s="13"/>
      <c r="G368" s="26">
        <f>IF($B368="","",IFERROR(INDEX(PecDesc,MATCH($B368,PecCod,0)),"Peça não cadastrada"))</f>
        <v>0</v>
      </c>
      <c r="H368" s="27">
        <f>IF(OR($C368="",$D368=""),"",$C368*$D368)</f>
        <v>0</v>
      </c>
    </row>
    <row r="369" spans="1:8">
      <c r="A369" s="25"/>
      <c r="B369" s="13"/>
      <c r="C369" s="20"/>
      <c r="D369" s="19"/>
      <c r="E369" s="13"/>
      <c r="F369" s="13"/>
      <c r="G369" s="26">
        <f>IF($B369="","",IFERROR(INDEX(PecDesc,MATCH($B369,PecCod,0)),"Peça não cadastrada"))</f>
        <v>0</v>
      </c>
      <c r="H369" s="27">
        <f>IF(OR($C369="",$D369=""),"",$C369*$D369)</f>
        <v>0</v>
      </c>
    </row>
    <row r="370" spans="1:8">
      <c r="A370" s="25"/>
      <c r="B370" s="13"/>
      <c r="C370" s="20"/>
      <c r="D370" s="19"/>
      <c r="E370" s="13"/>
      <c r="F370" s="13"/>
      <c r="G370" s="26">
        <f>IF($B370="","",IFERROR(INDEX(PecDesc,MATCH($B370,PecCod,0)),"Peça não cadastrada"))</f>
        <v>0</v>
      </c>
      <c r="H370" s="27">
        <f>IF(OR($C370="",$D370=""),"",$C370*$D370)</f>
        <v>0</v>
      </c>
    </row>
    <row r="371" spans="1:8">
      <c r="A371" s="25"/>
      <c r="B371" s="13"/>
      <c r="C371" s="20"/>
      <c r="D371" s="19"/>
      <c r="E371" s="13"/>
      <c r="F371" s="13"/>
      <c r="G371" s="26">
        <f>IF($B371="","",IFERROR(INDEX(PecDesc,MATCH($B371,PecCod,0)),"Peça não cadastrada"))</f>
        <v>0</v>
      </c>
      <c r="H371" s="27">
        <f>IF(OR($C371="",$D371=""),"",$C371*$D371)</f>
        <v>0</v>
      </c>
    </row>
    <row r="372" spans="1:8">
      <c r="A372" s="25"/>
      <c r="B372" s="13"/>
      <c r="C372" s="20"/>
      <c r="D372" s="19"/>
      <c r="E372" s="13"/>
      <c r="F372" s="13"/>
      <c r="G372" s="26">
        <f>IF($B372="","",IFERROR(INDEX(PecDesc,MATCH($B372,PecCod,0)),"Peça não cadastrada"))</f>
        <v>0</v>
      </c>
      <c r="H372" s="27">
        <f>IF(OR($C372="",$D372=""),"",$C372*$D372)</f>
        <v>0</v>
      </c>
    </row>
    <row r="373" spans="1:8">
      <c r="A373" s="25"/>
      <c r="B373" s="13"/>
      <c r="C373" s="20"/>
      <c r="D373" s="19"/>
      <c r="E373" s="13"/>
      <c r="F373" s="13"/>
      <c r="G373" s="26">
        <f>IF($B373="","",IFERROR(INDEX(PecDesc,MATCH($B373,PecCod,0)),"Peça não cadastrada"))</f>
        <v>0</v>
      </c>
      <c r="H373" s="27">
        <f>IF(OR($C373="",$D373=""),"",$C373*$D373)</f>
        <v>0</v>
      </c>
    </row>
    <row r="374" spans="1:8">
      <c r="A374" s="25"/>
      <c r="B374" s="13"/>
      <c r="C374" s="20"/>
      <c r="D374" s="19"/>
      <c r="E374" s="13"/>
      <c r="F374" s="13"/>
      <c r="G374" s="26">
        <f>IF($B374="","",IFERROR(INDEX(PecDesc,MATCH($B374,PecCod,0)),"Peça não cadastrada"))</f>
        <v>0</v>
      </c>
      <c r="H374" s="27">
        <f>IF(OR($C374="",$D374=""),"",$C374*$D374)</f>
        <v>0</v>
      </c>
    </row>
    <row r="375" spans="1:8">
      <c r="A375" s="25"/>
      <c r="B375" s="13"/>
      <c r="C375" s="20"/>
      <c r="D375" s="19"/>
      <c r="E375" s="13"/>
      <c r="F375" s="13"/>
      <c r="G375" s="26">
        <f>IF($B375="","",IFERROR(INDEX(PecDesc,MATCH($B375,PecCod,0)),"Peça não cadastrada"))</f>
        <v>0</v>
      </c>
      <c r="H375" s="27">
        <f>IF(OR($C375="",$D375=""),"",$C375*$D375)</f>
        <v>0</v>
      </c>
    </row>
    <row r="376" spans="1:8">
      <c r="A376" s="25"/>
      <c r="B376" s="13"/>
      <c r="C376" s="20"/>
      <c r="D376" s="19"/>
      <c r="E376" s="13"/>
      <c r="F376" s="13"/>
      <c r="G376" s="26">
        <f>IF($B376="","",IFERROR(INDEX(PecDesc,MATCH($B376,PecCod,0)),"Peça não cadastrada"))</f>
        <v>0</v>
      </c>
      <c r="H376" s="27">
        <f>IF(OR($C376="",$D376=""),"",$C376*$D376)</f>
        <v>0</v>
      </c>
    </row>
    <row r="377" spans="1:8">
      <c r="A377" s="25"/>
      <c r="B377" s="13"/>
      <c r="C377" s="20"/>
      <c r="D377" s="19"/>
      <c r="E377" s="13"/>
      <c r="F377" s="13"/>
      <c r="G377" s="26">
        <f>IF($B377="","",IFERROR(INDEX(PecDesc,MATCH($B377,PecCod,0)),"Peça não cadastrada"))</f>
        <v>0</v>
      </c>
      <c r="H377" s="27">
        <f>IF(OR($C377="",$D377=""),"",$C377*$D377)</f>
        <v>0</v>
      </c>
    </row>
    <row r="378" spans="1:8">
      <c r="A378" s="25"/>
      <c r="B378" s="13"/>
      <c r="C378" s="20"/>
      <c r="D378" s="19"/>
      <c r="E378" s="13"/>
      <c r="F378" s="13"/>
      <c r="G378" s="26">
        <f>IF($B378="","",IFERROR(INDEX(PecDesc,MATCH($B378,PecCod,0)),"Peça não cadastrada"))</f>
        <v>0</v>
      </c>
      <c r="H378" s="27">
        <f>IF(OR($C378="",$D378=""),"",$C378*$D378)</f>
        <v>0</v>
      </c>
    </row>
    <row r="379" spans="1:8">
      <c r="A379" s="25"/>
      <c r="B379" s="13"/>
      <c r="C379" s="20"/>
      <c r="D379" s="19"/>
      <c r="E379" s="13"/>
      <c r="F379" s="13"/>
      <c r="G379" s="26">
        <f>IF($B379="","",IFERROR(INDEX(PecDesc,MATCH($B379,PecCod,0)),"Peça não cadastrada"))</f>
        <v>0</v>
      </c>
      <c r="H379" s="27">
        <f>IF(OR($C379="",$D379=""),"",$C379*$D379)</f>
        <v>0</v>
      </c>
    </row>
    <row r="380" spans="1:8">
      <c r="A380" s="25"/>
      <c r="B380" s="13"/>
      <c r="C380" s="20"/>
      <c r="D380" s="19"/>
      <c r="E380" s="13"/>
      <c r="F380" s="13"/>
      <c r="G380" s="26">
        <f>IF($B380="","",IFERROR(INDEX(PecDesc,MATCH($B380,PecCod,0)),"Peça não cadastrada"))</f>
        <v>0</v>
      </c>
      <c r="H380" s="27">
        <f>IF(OR($C380="",$D380=""),"",$C380*$D380)</f>
        <v>0</v>
      </c>
    </row>
    <row r="381" spans="1:8">
      <c r="A381" s="25"/>
      <c r="B381" s="13"/>
      <c r="C381" s="20"/>
      <c r="D381" s="19"/>
      <c r="E381" s="13"/>
      <c r="F381" s="13"/>
      <c r="G381" s="26">
        <f>IF($B381="","",IFERROR(INDEX(PecDesc,MATCH($B381,PecCod,0)),"Peça não cadastrada"))</f>
        <v>0</v>
      </c>
      <c r="H381" s="27">
        <f>IF(OR($C381="",$D381=""),"",$C381*$D381)</f>
        <v>0</v>
      </c>
    </row>
    <row r="382" spans="1:8">
      <c r="A382" s="25"/>
      <c r="B382" s="13"/>
      <c r="C382" s="20"/>
      <c r="D382" s="19"/>
      <c r="E382" s="13"/>
      <c r="F382" s="13"/>
      <c r="G382" s="26">
        <f>IF($B382="","",IFERROR(INDEX(PecDesc,MATCH($B382,PecCod,0)),"Peça não cadastrada"))</f>
        <v>0</v>
      </c>
      <c r="H382" s="27">
        <f>IF(OR($C382="",$D382=""),"",$C382*$D382)</f>
        <v>0</v>
      </c>
    </row>
    <row r="383" spans="1:8">
      <c r="A383" s="25"/>
      <c r="B383" s="13"/>
      <c r="C383" s="20"/>
      <c r="D383" s="19"/>
      <c r="E383" s="13"/>
      <c r="F383" s="13"/>
      <c r="G383" s="26">
        <f>IF($B383="","",IFERROR(INDEX(PecDesc,MATCH($B383,PecCod,0)),"Peça não cadastrada"))</f>
        <v>0</v>
      </c>
      <c r="H383" s="27">
        <f>IF(OR($C383="",$D383=""),"",$C383*$D383)</f>
        <v>0</v>
      </c>
    </row>
    <row r="384" spans="1:8">
      <c r="A384" s="25"/>
      <c r="B384" s="13"/>
      <c r="C384" s="20"/>
      <c r="D384" s="19"/>
      <c r="E384" s="13"/>
      <c r="F384" s="13"/>
      <c r="G384" s="26">
        <f>IF($B384="","",IFERROR(INDEX(PecDesc,MATCH($B384,PecCod,0)),"Peça não cadastrada"))</f>
        <v>0</v>
      </c>
      <c r="H384" s="27">
        <f>IF(OR($C384="",$D384=""),"",$C384*$D384)</f>
        <v>0</v>
      </c>
    </row>
    <row r="385" spans="1:8">
      <c r="A385" s="25"/>
      <c r="B385" s="13"/>
      <c r="C385" s="20"/>
      <c r="D385" s="19"/>
      <c r="E385" s="13"/>
      <c r="F385" s="13"/>
      <c r="G385" s="26">
        <f>IF($B385="","",IFERROR(INDEX(PecDesc,MATCH($B385,PecCod,0)),"Peça não cadastrada"))</f>
        <v>0</v>
      </c>
      <c r="H385" s="27">
        <f>IF(OR($C385="",$D385=""),"",$C385*$D385)</f>
        <v>0</v>
      </c>
    </row>
    <row r="386" spans="1:8">
      <c r="A386" s="25"/>
      <c r="B386" s="13"/>
      <c r="C386" s="20"/>
      <c r="D386" s="19"/>
      <c r="E386" s="13"/>
      <c r="F386" s="13"/>
      <c r="G386" s="26">
        <f>IF($B386="","",IFERROR(INDEX(PecDesc,MATCH($B386,PecCod,0)),"Peça não cadastrada"))</f>
        <v>0</v>
      </c>
      <c r="H386" s="27">
        <f>IF(OR($C386="",$D386=""),"",$C386*$D386)</f>
        <v>0</v>
      </c>
    </row>
    <row r="387" spans="1:8">
      <c r="A387" s="25"/>
      <c r="B387" s="13"/>
      <c r="C387" s="20"/>
      <c r="D387" s="19"/>
      <c r="E387" s="13"/>
      <c r="F387" s="13"/>
      <c r="G387" s="26">
        <f>IF($B387="","",IFERROR(INDEX(PecDesc,MATCH($B387,PecCod,0)),"Peça não cadastrada"))</f>
        <v>0</v>
      </c>
      <c r="H387" s="27">
        <f>IF(OR($C387="",$D387=""),"",$C387*$D387)</f>
        <v>0</v>
      </c>
    </row>
    <row r="388" spans="1:8">
      <c r="A388" s="25"/>
      <c r="B388" s="13"/>
      <c r="C388" s="20"/>
      <c r="D388" s="19"/>
      <c r="E388" s="13"/>
      <c r="F388" s="13"/>
      <c r="G388" s="26">
        <f>IF($B388="","",IFERROR(INDEX(PecDesc,MATCH($B388,PecCod,0)),"Peça não cadastrada"))</f>
        <v>0</v>
      </c>
      <c r="H388" s="27">
        <f>IF(OR($C388="",$D388=""),"",$C388*$D388)</f>
        <v>0</v>
      </c>
    </row>
    <row r="389" spans="1:8">
      <c r="A389" s="25"/>
      <c r="B389" s="13"/>
      <c r="C389" s="20"/>
      <c r="D389" s="19"/>
      <c r="E389" s="13"/>
      <c r="F389" s="13"/>
      <c r="G389" s="26">
        <f>IF($B389="","",IFERROR(INDEX(PecDesc,MATCH($B389,PecCod,0)),"Peça não cadastrada"))</f>
        <v>0</v>
      </c>
      <c r="H389" s="27">
        <f>IF(OR($C389="",$D389=""),"",$C389*$D389)</f>
        <v>0</v>
      </c>
    </row>
    <row r="390" spans="1:8">
      <c r="A390" s="25"/>
      <c r="B390" s="13"/>
      <c r="C390" s="20"/>
      <c r="D390" s="19"/>
      <c r="E390" s="13"/>
      <c r="F390" s="13"/>
      <c r="G390" s="26">
        <f>IF($B390="","",IFERROR(INDEX(PecDesc,MATCH($B390,PecCod,0)),"Peça não cadastrada"))</f>
        <v>0</v>
      </c>
      <c r="H390" s="27">
        <f>IF(OR($C390="",$D390=""),"",$C390*$D390)</f>
        <v>0</v>
      </c>
    </row>
    <row r="391" spans="1:8">
      <c r="A391" s="25"/>
      <c r="B391" s="13"/>
      <c r="C391" s="20"/>
      <c r="D391" s="19"/>
      <c r="E391" s="13"/>
      <c r="F391" s="13"/>
      <c r="G391" s="26">
        <f>IF($B391="","",IFERROR(INDEX(PecDesc,MATCH($B391,PecCod,0)),"Peça não cadastrada"))</f>
        <v>0</v>
      </c>
      <c r="H391" s="27">
        <f>IF(OR($C391="",$D391=""),"",$C391*$D391)</f>
        <v>0</v>
      </c>
    </row>
    <row r="392" spans="1:8">
      <c r="A392" s="25"/>
      <c r="B392" s="13"/>
      <c r="C392" s="20"/>
      <c r="D392" s="19"/>
      <c r="E392" s="13"/>
      <c r="F392" s="13"/>
      <c r="G392" s="26">
        <f>IF($B392="","",IFERROR(INDEX(PecDesc,MATCH($B392,PecCod,0)),"Peça não cadastrada"))</f>
        <v>0</v>
      </c>
      <c r="H392" s="27">
        <f>IF(OR($C392="",$D392=""),"",$C392*$D392)</f>
        <v>0</v>
      </c>
    </row>
    <row r="393" spans="1:8">
      <c r="A393" s="25"/>
      <c r="B393" s="13"/>
      <c r="C393" s="20"/>
      <c r="D393" s="19"/>
      <c r="E393" s="13"/>
      <c r="F393" s="13"/>
      <c r="G393" s="26">
        <f>IF($B393="","",IFERROR(INDEX(PecDesc,MATCH($B393,PecCod,0)),"Peça não cadastrada"))</f>
        <v>0</v>
      </c>
      <c r="H393" s="27">
        <f>IF(OR($C393="",$D393=""),"",$C393*$D393)</f>
        <v>0</v>
      </c>
    </row>
    <row r="394" spans="1:8">
      <c r="A394" s="25"/>
      <c r="B394" s="13"/>
      <c r="C394" s="20"/>
      <c r="D394" s="19"/>
      <c r="E394" s="13"/>
      <c r="F394" s="13"/>
      <c r="G394" s="26">
        <f>IF($B394="","",IFERROR(INDEX(PecDesc,MATCH($B394,PecCod,0)),"Peça não cadastrada"))</f>
        <v>0</v>
      </c>
      <c r="H394" s="27">
        <f>IF(OR($C394="",$D394=""),"",$C394*$D394)</f>
        <v>0</v>
      </c>
    </row>
    <row r="395" spans="1:8">
      <c r="A395" s="25"/>
      <c r="B395" s="13"/>
      <c r="C395" s="20"/>
      <c r="D395" s="19"/>
      <c r="E395" s="13"/>
      <c r="F395" s="13"/>
      <c r="G395" s="26">
        <f>IF($B395="","",IFERROR(INDEX(PecDesc,MATCH($B395,PecCod,0)),"Peça não cadastrada"))</f>
        <v>0</v>
      </c>
      <c r="H395" s="27">
        <f>IF(OR($C395="",$D395=""),"",$C395*$D395)</f>
        <v>0</v>
      </c>
    </row>
    <row r="396" spans="1:8">
      <c r="A396" s="25"/>
      <c r="B396" s="13"/>
      <c r="C396" s="20"/>
      <c r="D396" s="19"/>
      <c r="E396" s="13"/>
      <c r="F396" s="13"/>
      <c r="G396" s="26">
        <f>IF($B396="","",IFERROR(INDEX(PecDesc,MATCH($B396,PecCod,0)),"Peça não cadastrada"))</f>
        <v>0</v>
      </c>
      <c r="H396" s="27">
        <f>IF(OR($C396="",$D396=""),"",$C396*$D396)</f>
        <v>0</v>
      </c>
    </row>
    <row r="397" spans="1:8">
      <c r="A397" s="25"/>
      <c r="B397" s="13"/>
      <c r="C397" s="20"/>
      <c r="D397" s="19"/>
      <c r="E397" s="13"/>
      <c r="F397" s="13"/>
      <c r="G397" s="26">
        <f>IF($B397="","",IFERROR(INDEX(PecDesc,MATCH($B397,PecCod,0)),"Peça não cadastrada"))</f>
        <v>0</v>
      </c>
      <c r="H397" s="27">
        <f>IF(OR($C397="",$D397=""),"",$C397*$D397)</f>
        <v>0</v>
      </c>
    </row>
    <row r="398" spans="1:8">
      <c r="A398" s="25"/>
      <c r="B398" s="13"/>
      <c r="C398" s="20"/>
      <c r="D398" s="19"/>
      <c r="E398" s="13"/>
      <c r="F398" s="13"/>
      <c r="G398" s="26">
        <f>IF($B398="","",IFERROR(INDEX(PecDesc,MATCH($B398,PecCod,0)),"Peça não cadastrada"))</f>
        <v>0</v>
      </c>
      <c r="H398" s="27">
        <f>IF(OR($C398="",$D398=""),"",$C398*$D398)</f>
        <v>0</v>
      </c>
    </row>
    <row r="399" spans="1:8">
      <c r="A399" s="25"/>
      <c r="B399" s="13"/>
      <c r="C399" s="20"/>
      <c r="D399" s="19"/>
      <c r="E399" s="13"/>
      <c r="F399" s="13"/>
      <c r="G399" s="26">
        <f>IF($B399="","",IFERROR(INDEX(PecDesc,MATCH($B399,PecCod,0)),"Peça não cadastrada"))</f>
        <v>0</v>
      </c>
      <c r="H399" s="27">
        <f>IF(OR($C399="",$D399=""),"",$C399*$D399)</f>
        <v>0</v>
      </c>
    </row>
    <row r="400" spans="1:8">
      <c r="A400" s="25"/>
      <c r="B400" s="13"/>
      <c r="C400" s="20"/>
      <c r="D400" s="19"/>
      <c r="E400" s="13"/>
      <c r="F400" s="13"/>
      <c r="G400" s="26">
        <f>IF($B400="","",IFERROR(INDEX(PecDesc,MATCH($B400,PecCod,0)),"Peça não cadastrada"))</f>
        <v>0</v>
      </c>
      <c r="H400" s="27">
        <f>IF(OR($C400="",$D400=""),"",$C400*$D400)</f>
        <v>0</v>
      </c>
    </row>
    <row r="401" spans="1:8">
      <c r="A401" s="25"/>
      <c r="B401" s="13"/>
      <c r="C401" s="20"/>
      <c r="D401" s="19"/>
      <c r="E401" s="13"/>
      <c r="F401" s="13"/>
      <c r="G401" s="26">
        <f>IF($B401="","",IFERROR(INDEX(PecDesc,MATCH($B401,PecCod,0)),"Peça não cadastrada"))</f>
        <v>0</v>
      </c>
      <c r="H401" s="27">
        <f>IF(OR($C401="",$D401=""),"",$C401*$D401)</f>
        <v>0</v>
      </c>
    </row>
    <row r="402" spans="1:8">
      <c r="A402" s="25"/>
      <c r="B402" s="13"/>
      <c r="C402" s="20"/>
      <c r="D402" s="19"/>
      <c r="E402" s="13"/>
      <c r="F402" s="13"/>
      <c r="G402" s="26">
        <f>IF($B402="","",IFERROR(INDEX(PecDesc,MATCH($B402,PecCod,0)),"Peça não cadastrada"))</f>
        <v>0</v>
      </c>
      <c r="H402" s="27">
        <f>IF(OR($C402="",$D402=""),"",$C402*$D402)</f>
        <v>0</v>
      </c>
    </row>
    <row r="403" spans="1:8">
      <c r="A403" s="25"/>
      <c r="B403" s="13"/>
      <c r="C403" s="20"/>
      <c r="D403" s="19"/>
      <c r="E403" s="13"/>
      <c r="F403" s="13"/>
      <c r="G403" s="26">
        <f>IF($B403="","",IFERROR(INDEX(PecDesc,MATCH($B403,PecCod,0)),"Peça não cadastrada"))</f>
        <v>0</v>
      </c>
      <c r="H403" s="27">
        <f>IF(OR($C403="",$D403=""),"",$C403*$D403)</f>
        <v>0</v>
      </c>
    </row>
    <row r="404" spans="1:8">
      <c r="A404" s="25"/>
      <c r="B404" s="13"/>
      <c r="C404" s="20"/>
      <c r="D404" s="19"/>
      <c r="E404" s="13"/>
      <c r="F404" s="13"/>
      <c r="G404" s="26">
        <f>IF($B404="","",IFERROR(INDEX(PecDesc,MATCH($B404,PecCod,0)),"Peça não cadastrada"))</f>
        <v>0</v>
      </c>
      <c r="H404" s="27">
        <f>IF(OR($C404="",$D404=""),"",$C404*$D404)</f>
        <v>0</v>
      </c>
    </row>
    <row r="405" spans="1:8">
      <c r="A405" s="25"/>
      <c r="B405" s="13"/>
      <c r="C405" s="20"/>
      <c r="D405" s="19"/>
      <c r="E405" s="13"/>
      <c r="F405" s="13"/>
      <c r="G405" s="26">
        <f>IF($B405="","",IFERROR(INDEX(PecDesc,MATCH($B405,PecCod,0)),"Peça não cadastrada"))</f>
        <v>0</v>
      </c>
      <c r="H405" s="27">
        <f>IF(OR($C405="",$D405=""),"",$C405*$D405)</f>
        <v>0</v>
      </c>
    </row>
    <row r="406" spans="1:8">
      <c r="A406" s="25"/>
      <c r="B406" s="13"/>
      <c r="C406" s="20"/>
      <c r="D406" s="19"/>
      <c r="E406" s="13"/>
      <c r="F406" s="13"/>
      <c r="G406" s="26">
        <f>IF($B406="","",IFERROR(INDEX(PecDesc,MATCH($B406,PecCod,0)),"Peça não cadastrada"))</f>
        <v>0</v>
      </c>
      <c r="H406" s="27">
        <f>IF(OR($C406="",$D406=""),"",$C406*$D406)</f>
        <v>0</v>
      </c>
    </row>
    <row r="407" spans="1:8">
      <c r="A407" s="25"/>
      <c r="B407" s="13"/>
      <c r="C407" s="20"/>
      <c r="D407" s="19"/>
      <c r="E407" s="13"/>
      <c r="F407" s="13"/>
      <c r="G407" s="26">
        <f>IF($B407="","",IFERROR(INDEX(PecDesc,MATCH($B407,PecCod,0)),"Peça não cadastrada"))</f>
        <v>0</v>
      </c>
      <c r="H407" s="27">
        <f>IF(OR($C407="",$D407=""),"",$C407*$D407)</f>
        <v>0</v>
      </c>
    </row>
    <row r="408" spans="1:8">
      <c r="A408" s="25"/>
      <c r="B408" s="13"/>
      <c r="C408" s="20"/>
      <c r="D408" s="19"/>
      <c r="E408" s="13"/>
      <c r="F408" s="13"/>
      <c r="G408" s="26">
        <f>IF($B408="","",IFERROR(INDEX(PecDesc,MATCH($B408,PecCod,0)),"Peça não cadastrada"))</f>
        <v>0</v>
      </c>
      <c r="H408" s="27">
        <f>IF(OR($C408="",$D408=""),"",$C408*$D408)</f>
        <v>0</v>
      </c>
    </row>
    <row r="409" spans="1:8">
      <c r="A409" s="25"/>
      <c r="B409" s="13"/>
      <c r="C409" s="20"/>
      <c r="D409" s="19"/>
      <c r="E409" s="13"/>
      <c r="F409" s="13"/>
      <c r="G409" s="26">
        <f>IF($B409="","",IFERROR(INDEX(PecDesc,MATCH($B409,PecCod,0)),"Peça não cadastrada"))</f>
        <v>0</v>
      </c>
      <c r="H409" s="27">
        <f>IF(OR($C409="",$D409=""),"",$C409*$D409)</f>
        <v>0</v>
      </c>
    </row>
    <row r="410" spans="1:8">
      <c r="A410" s="25"/>
      <c r="B410" s="13"/>
      <c r="C410" s="20"/>
      <c r="D410" s="19"/>
      <c r="E410" s="13"/>
      <c r="F410" s="13"/>
      <c r="G410" s="26">
        <f>IF($B410="","",IFERROR(INDEX(PecDesc,MATCH($B410,PecCod,0)),"Peça não cadastrada"))</f>
        <v>0</v>
      </c>
      <c r="H410" s="27">
        <f>IF(OR($C410="",$D410=""),"",$C410*$D410)</f>
        <v>0</v>
      </c>
    </row>
    <row r="411" spans="1:8">
      <c r="A411" s="25"/>
      <c r="B411" s="13"/>
      <c r="C411" s="20"/>
      <c r="D411" s="19"/>
      <c r="E411" s="13"/>
      <c r="F411" s="13"/>
      <c r="G411" s="26">
        <f>IF($B411="","",IFERROR(INDEX(PecDesc,MATCH($B411,PecCod,0)),"Peça não cadastrada"))</f>
        <v>0</v>
      </c>
      <c r="H411" s="27">
        <f>IF(OR($C411="",$D411=""),"",$C411*$D411)</f>
        <v>0</v>
      </c>
    </row>
    <row r="412" spans="1:8">
      <c r="A412" s="25"/>
      <c r="B412" s="13"/>
      <c r="C412" s="20"/>
      <c r="D412" s="19"/>
      <c r="E412" s="13"/>
      <c r="F412" s="13"/>
      <c r="G412" s="26">
        <f>IF($B412="","",IFERROR(INDEX(PecDesc,MATCH($B412,PecCod,0)),"Peça não cadastrada"))</f>
        <v>0</v>
      </c>
      <c r="H412" s="27">
        <f>IF(OR($C412="",$D412=""),"",$C412*$D412)</f>
        <v>0</v>
      </c>
    </row>
    <row r="413" spans="1:8">
      <c r="A413" s="25"/>
      <c r="B413" s="13"/>
      <c r="C413" s="20"/>
      <c r="D413" s="19"/>
      <c r="E413" s="13"/>
      <c r="F413" s="13"/>
      <c r="G413" s="26">
        <f>IF($B413="","",IFERROR(INDEX(PecDesc,MATCH($B413,PecCod,0)),"Peça não cadastrada"))</f>
        <v>0</v>
      </c>
      <c r="H413" s="27">
        <f>IF(OR($C413="",$D413=""),"",$C413*$D413)</f>
        <v>0</v>
      </c>
    </row>
    <row r="414" spans="1:8">
      <c r="A414" s="25"/>
      <c r="B414" s="13"/>
      <c r="C414" s="20"/>
      <c r="D414" s="19"/>
      <c r="E414" s="13"/>
      <c r="F414" s="13"/>
      <c r="G414" s="26">
        <f>IF($B414="","",IFERROR(INDEX(PecDesc,MATCH($B414,PecCod,0)),"Peça não cadastrada"))</f>
        <v>0</v>
      </c>
      <c r="H414" s="27">
        <f>IF(OR($C414="",$D414=""),"",$C414*$D414)</f>
        <v>0</v>
      </c>
    </row>
    <row r="415" spans="1:8">
      <c r="A415" s="25"/>
      <c r="B415" s="13"/>
      <c r="C415" s="20"/>
      <c r="D415" s="19"/>
      <c r="E415" s="13"/>
      <c r="F415" s="13"/>
      <c r="G415" s="26">
        <f>IF($B415="","",IFERROR(INDEX(PecDesc,MATCH($B415,PecCod,0)),"Peça não cadastrada"))</f>
        <v>0</v>
      </c>
      <c r="H415" s="27">
        <f>IF(OR($C415="",$D415=""),"",$C415*$D415)</f>
        <v>0</v>
      </c>
    </row>
    <row r="416" spans="1:8">
      <c r="A416" s="25"/>
      <c r="B416" s="13"/>
      <c r="C416" s="20"/>
      <c r="D416" s="19"/>
      <c r="E416" s="13"/>
      <c r="F416" s="13"/>
      <c r="G416" s="26">
        <f>IF($B416="","",IFERROR(INDEX(PecDesc,MATCH($B416,PecCod,0)),"Peça não cadastrada"))</f>
        <v>0</v>
      </c>
      <c r="H416" s="27">
        <f>IF(OR($C416="",$D416=""),"",$C416*$D416)</f>
        <v>0</v>
      </c>
    </row>
    <row r="417" spans="1:8">
      <c r="A417" s="25"/>
      <c r="B417" s="13"/>
      <c r="C417" s="20"/>
      <c r="D417" s="19"/>
      <c r="E417" s="13"/>
      <c r="F417" s="13"/>
      <c r="G417" s="26">
        <f>IF($B417="","",IFERROR(INDEX(PecDesc,MATCH($B417,PecCod,0)),"Peça não cadastrada"))</f>
        <v>0</v>
      </c>
      <c r="H417" s="27">
        <f>IF(OR($C417="",$D417=""),"",$C417*$D417)</f>
        <v>0</v>
      </c>
    </row>
    <row r="418" spans="1:8">
      <c r="A418" s="25"/>
      <c r="B418" s="13"/>
      <c r="C418" s="20"/>
      <c r="D418" s="19"/>
      <c r="E418" s="13"/>
      <c r="F418" s="13"/>
      <c r="G418" s="26">
        <f>IF($B418="","",IFERROR(INDEX(PecDesc,MATCH($B418,PecCod,0)),"Peça não cadastrada"))</f>
        <v>0</v>
      </c>
      <c r="H418" s="27">
        <f>IF(OR($C418="",$D418=""),"",$C418*$D418)</f>
        <v>0</v>
      </c>
    </row>
    <row r="419" spans="1:8">
      <c r="A419" s="25"/>
      <c r="B419" s="13"/>
      <c r="C419" s="20"/>
      <c r="D419" s="19"/>
      <c r="E419" s="13"/>
      <c r="F419" s="13"/>
      <c r="G419" s="26">
        <f>IF($B419="","",IFERROR(INDEX(PecDesc,MATCH($B419,PecCod,0)),"Peça não cadastrada"))</f>
        <v>0</v>
      </c>
      <c r="H419" s="27">
        <f>IF(OR($C419="",$D419=""),"",$C419*$D419)</f>
        <v>0</v>
      </c>
    </row>
    <row r="420" spans="1:8">
      <c r="A420" s="25"/>
      <c r="B420" s="13"/>
      <c r="C420" s="20"/>
      <c r="D420" s="19"/>
      <c r="E420" s="13"/>
      <c r="F420" s="13"/>
      <c r="G420" s="26">
        <f>IF($B420="","",IFERROR(INDEX(PecDesc,MATCH($B420,PecCod,0)),"Peça não cadastrada"))</f>
        <v>0</v>
      </c>
      <c r="H420" s="27">
        <f>IF(OR($C420="",$D420=""),"",$C420*$D420)</f>
        <v>0</v>
      </c>
    </row>
    <row r="421" spans="1:8">
      <c r="A421" s="25"/>
      <c r="B421" s="13"/>
      <c r="C421" s="20"/>
      <c r="D421" s="19"/>
      <c r="E421" s="13"/>
      <c r="F421" s="13"/>
      <c r="G421" s="26">
        <f>IF($B421="","",IFERROR(INDEX(PecDesc,MATCH($B421,PecCod,0)),"Peça não cadastrada"))</f>
        <v>0</v>
      </c>
      <c r="H421" s="27">
        <f>IF(OR($C421="",$D421=""),"",$C421*$D421)</f>
        <v>0</v>
      </c>
    </row>
    <row r="422" spans="1:8">
      <c r="A422" s="25"/>
      <c r="B422" s="13"/>
      <c r="C422" s="20"/>
      <c r="D422" s="19"/>
      <c r="E422" s="13"/>
      <c r="F422" s="13"/>
      <c r="G422" s="26">
        <f>IF($B422="","",IFERROR(INDEX(PecDesc,MATCH($B422,PecCod,0)),"Peça não cadastrada"))</f>
        <v>0</v>
      </c>
      <c r="H422" s="27">
        <f>IF(OR($C422="",$D422=""),"",$C422*$D422)</f>
        <v>0</v>
      </c>
    </row>
    <row r="423" spans="1:8">
      <c r="A423" s="25"/>
      <c r="B423" s="13"/>
      <c r="C423" s="20"/>
      <c r="D423" s="19"/>
      <c r="E423" s="13"/>
      <c r="F423" s="13"/>
      <c r="G423" s="26">
        <f>IF($B423="","",IFERROR(INDEX(PecDesc,MATCH($B423,PecCod,0)),"Peça não cadastrada"))</f>
        <v>0</v>
      </c>
      <c r="H423" s="27">
        <f>IF(OR($C423="",$D423=""),"",$C423*$D423)</f>
        <v>0</v>
      </c>
    </row>
    <row r="424" spans="1:8">
      <c r="A424" s="25"/>
      <c r="B424" s="13"/>
      <c r="C424" s="20"/>
      <c r="D424" s="19"/>
      <c r="E424" s="13"/>
      <c r="F424" s="13"/>
      <c r="G424" s="26">
        <f>IF($B424="","",IFERROR(INDEX(PecDesc,MATCH($B424,PecCod,0)),"Peça não cadastrada"))</f>
        <v>0</v>
      </c>
      <c r="H424" s="27">
        <f>IF(OR($C424="",$D424=""),"",$C424*$D424)</f>
        <v>0</v>
      </c>
    </row>
    <row r="425" spans="1:8">
      <c r="A425" s="25"/>
      <c r="B425" s="13"/>
      <c r="C425" s="20"/>
      <c r="D425" s="19"/>
      <c r="E425" s="13"/>
      <c r="F425" s="13"/>
      <c r="G425" s="26">
        <f>IF($B425="","",IFERROR(INDEX(PecDesc,MATCH($B425,PecCod,0)),"Peça não cadastrada"))</f>
        <v>0</v>
      </c>
      <c r="H425" s="27">
        <f>IF(OR($C425="",$D425=""),"",$C425*$D425)</f>
        <v>0</v>
      </c>
    </row>
    <row r="426" spans="1:8">
      <c r="A426" s="25"/>
      <c r="B426" s="13"/>
      <c r="C426" s="20"/>
      <c r="D426" s="19"/>
      <c r="E426" s="13"/>
      <c r="F426" s="13"/>
      <c r="G426" s="26">
        <f>IF($B426="","",IFERROR(INDEX(PecDesc,MATCH($B426,PecCod,0)),"Peça não cadastrada"))</f>
        <v>0</v>
      </c>
      <c r="H426" s="27">
        <f>IF(OR($C426="",$D426=""),"",$C426*$D426)</f>
        <v>0</v>
      </c>
    </row>
    <row r="427" spans="1:8">
      <c r="A427" s="25"/>
      <c r="B427" s="13"/>
      <c r="C427" s="20"/>
      <c r="D427" s="19"/>
      <c r="E427" s="13"/>
      <c r="F427" s="13"/>
      <c r="G427" s="26">
        <f>IF($B427="","",IFERROR(INDEX(PecDesc,MATCH($B427,PecCod,0)),"Peça não cadastrada"))</f>
        <v>0</v>
      </c>
      <c r="H427" s="27">
        <f>IF(OR($C427="",$D427=""),"",$C427*$D427)</f>
        <v>0</v>
      </c>
    </row>
    <row r="428" spans="1:8">
      <c r="A428" s="25"/>
      <c r="B428" s="13"/>
      <c r="C428" s="20"/>
      <c r="D428" s="19"/>
      <c r="E428" s="13"/>
      <c r="F428" s="13"/>
      <c r="G428" s="26">
        <f>IF($B428="","",IFERROR(INDEX(PecDesc,MATCH($B428,PecCod,0)),"Peça não cadastrada"))</f>
        <v>0</v>
      </c>
      <c r="H428" s="27">
        <f>IF(OR($C428="",$D428=""),"",$C428*$D428)</f>
        <v>0</v>
      </c>
    </row>
    <row r="429" spans="1:8">
      <c r="A429" s="25"/>
      <c r="B429" s="13"/>
      <c r="C429" s="20"/>
      <c r="D429" s="19"/>
      <c r="E429" s="13"/>
      <c r="F429" s="13"/>
      <c r="G429" s="26">
        <f>IF($B429="","",IFERROR(INDEX(PecDesc,MATCH($B429,PecCod,0)),"Peça não cadastrada"))</f>
        <v>0</v>
      </c>
      <c r="H429" s="27">
        <f>IF(OR($C429="",$D429=""),"",$C429*$D429)</f>
        <v>0</v>
      </c>
    </row>
    <row r="430" spans="1:8">
      <c r="A430" s="25"/>
      <c r="B430" s="13"/>
      <c r="C430" s="20"/>
      <c r="D430" s="19"/>
      <c r="E430" s="13"/>
      <c r="F430" s="13"/>
      <c r="G430" s="26">
        <f>IF($B430="","",IFERROR(INDEX(PecDesc,MATCH($B430,PecCod,0)),"Peça não cadastrada"))</f>
        <v>0</v>
      </c>
      <c r="H430" s="27">
        <f>IF(OR($C430="",$D430=""),"",$C430*$D430)</f>
        <v>0</v>
      </c>
    </row>
    <row r="431" spans="1:8">
      <c r="A431" s="25"/>
      <c r="B431" s="13"/>
      <c r="C431" s="20"/>
      <c r="D431" s="19"/>
      <c r="E431" s="13"/>
      <c r="F431" s="13"/>
      <c r="G431" s="26">
        <f>IF($B431="","",IFERROR(INDEX(PecDesc,MATCH($B431,PecCod,0)),"Peça não cadastrada"))</f>
        <v>0</v>
      </c>
      <c r="H431" s="27">
        <f>IF(OR($C431="",$D431=""),"",$C431*$D431)</f>
        <v>0</v>
      </c>
    </row>
    <row r="432" spans="1:8">
      <c r="A432" s="25"/>
      <c r="B432" s="13"/>
      <c r="C432" s="20"/>
      <c r="D432" s="19"/>
      <c r="E432" s="13"/>
      <c r="F432" s="13"/>
      <c r="G432" s="26">
        <f>IF($B432="","",IFERROR(INDEX(PecDesc,MATCH($B432,PecCod,0)),"Peça não cadastrada"))</f>
        <v>0</v>
      </c>
      <c r="H432" s="27">
        <f>IF(OR($C432="",$D432=""),"",$C432*$D432)</f>
        <v>0</v>
      </c>
    </row>
    <row r="433" spans="1:8">
      <c r="A433" s="25"/>
      <c r="B433" s="13"/>
      <c r="C433" s="20"/>
      <c r="D433" s="19"/>
      <c r="E433" s="13"/>
      <c r="F433" s="13"/>
      <c r="G433" s="26">
        <f>IF($B433="","",IFERROR(INDEX(PecDesc,MATCH($B433,PecCod,0)),"Peça não cadastrada"))</f>
        <v>0</v>
      </c>
      <c r="H433" s="27">
        <f>IF(OR($C433="",$D433=""),"",$C433*$D433)</f>
        <v>0</v>
      </c>
    </row>
    <row r="434" spans="1:8">
      <c r="A434" s="25"/>
      <c r="B434" s="13"/>
      <c r="C434" s="20"/>
      <c r="D434" s="19"/>
      <c r="E434" s="13"/>
      <c r="F434" s="13"/>
      <c r="G434" s="26">
        <f>IF($B434="","",IFERROR(INDEX(PecDesc,MATCH($B434,PecCod,0)),"Peça não cadastrada"))</f>
        <v>0</v>
      </c>
      <c r="H434" s="27">
        <f>IF(OR($C434="",$D434=""),"",$C434*$D434)</f>
        <v>0</v>
      </c>
    </row>
    <row r="435" spans="1:8">
      <c r="A435" s="25"/>
      <c r="B435" s="13"/>
      <c r="C435" s="20"/>
      <c r="D435" s="19"/>
      <c r="E435" s="13"/>
      <c r="F435" s="13"/>
      <c r="G435" s="26">
        <f>IF($B435="","",IFERROR(INDEX(PecDesc,MATCH($B435,PecCod,0)),"Peça não cadastrada"))</f>
        <v>0</v>
      </c>
      <c r="H435" s="27">
        <f>IF(OR($C435="",$D435=""),"",$C435*$D435)</f>
        <v>0</v>
      </c>
    </row>
    <row r="436" spans="1:8">
      <c r="A436" s="25"/>
      <c r="B436" s="13"/>
      <c r="C436" s="20"/>
      <c r="D436" s="19"/>
      <c r="E436" s="13"/>
      <c r="F436" s="13"/>
      <c r="G436" s="26">
        <f>IF($B436="","",IFERROR(INDEX(PecDesc,MATCH($B436,PecCod,0)),"Peça não cadastrada"))</f>
        <v>0</v>
      </c>
      <c r="H436" s="27">
        <f>IF(OR($C436="",$D436=""),"",$C436*$D436)</f>
        <v>0</v>
      </c>
    </row>
    <row r="437" spans="1:8">
      <c r="A437" s="25"/>
      <c r="B437" s="13"/>
      <c r="C437" s="20"/>
      <c r="D437" s="19"/>
      <c r="E437" s="13"/>
      <c r="F437" s="13"/>
      <c r="G437" s="26">
        <f>IF($B437="","",IFERROR(INDEX(PecDesc,MATCH($B437,PecCod,0)),"Peça não cadastrada"))</f>
        <v>0</v>
      </c>
      <c r="H437" s="27">
        <f>IF(OR($C437="",$D437=""),"",$C437*$D437)</f>
        <v>0</v>
      </c>
    </row>
    <row r="438" spans="1:8">
      <c r="A438" s="25"/>
      <c r="B438" s="13"/>
      <c r="C438" s="20"/>
      <c r="D438" s="19"/>
      <c r="E438" s="13"/>
      <c r="F438" s="13"/>
      <c r="G438" s="26">
        <f>IF($B438="","",IFERROR(INDEX(PecDesc,MATCH($B438,PecCod,0)),"Peça não cadastrada"))</f>
        <v>0</v>
      </c>
      <c r="H438" s="27">
        <f>IF(OR($C438="",$D438=""),"",$C438*$D438)</f>
        <v>0</v>
      </c>
    </row>
    <row r="439" spans="1:8">
      <c r="A439" s="25"/>
      <c r="B439" s="13"/>
      <c r="C439" s="20"/>
      <c r="D439" s="19"/>
      <c r="E439" s="13"/>
      <c r="F439" s="13"/>
      <c r="G439" s="26">
        <f>IF($B439="","",IFERROR(INDEX(PecDesc,MATCH($B439,PecCod,0)),"Peça não cadastrada"))</f>
        <v>0</v>
      </c>
      <c r="H439" s="27">
        <f>IF(OR($C439="",$D439=""),"",$C439*$D439)</f>
        <v>0</v>
      </c>
    </row>
    <row r="440" spans="1:8">
      <c r="A440" s="25"/>
      <c r="B440" s="13"/>
      <c r="C440" s="20"/>
      <c r="D440" s="19"/>
      <c r="E440" s="13"/>
      <c r="F440" s="13"/>
      <c r="G440" s="26">
        <f>IF($B440="","",IFERROR(INDEX(PecDesc,MATCH($B440,PecCod,0)),"Peça não cadastrada"))</f>
        <v>0</v>
      </c>
      <c r="H440" s="27">
        <f>IF(OR($C440="",$D440=""),"",$C440*$D440)</f>
        <v>0</v>
      </c>
    </row>
    <row r="441" spans="1:8">
      <c r="A441" s="25"/>
      <c r="B441" s="13"/>
      <c r="C441" s="20"/>
      <c r="D441" s="19"/>
      <c r="E441" s="13"/>
      <c r="F441" s="13"/>
      <c r="G441" s="26">
        <f>IF($B441="","",IFERROR(INDEX(PecDesc,MATCH($B441,PecCod,0)),"Peça não cadastrada"))</f>
        <v>0</v>
      </c>
      <c r="H441" s="27">
        <f>IF(OR($C441="",$D441=""),"",$C441*$D441)</f>
        <v>0</v>
      </c>
    </row>
    <row r="442" spans="1:8">
      <c r="A442" s="25"/>
      <c r="B442" s="13"/>
      <c r="C442" s="20"/>
      <c r="D442" s="19"/>
      <c r="E442" s="13"/>
      <c r="F442" s="13"/>
      <c r="G442" s="26">
        <f>IF($B442="","",IFERROR(INDEX(PecDesc,MATCH($B442,PecCod,0)),"Peça não cadastrada"))</f>
        <v>0</v>
      </c>
      <c r="H442" s="27">
        <f>IF(OR($C442="",$D442=""),"",$C442*$D442)</f>
        <v>0</v>
      </c>
    </row>
    <row r="443" spans="1:8">
      <c r="A443" s="25"/>
      <c r="B443" s="13"/>
      <c r="C443" s="20"/>
      <c r="D443" s="19"/>
      <c r="E443" s="13"/>
      <c r="F443" s="13"/>
      <c r="G443" s="26">
        <f>IF($B443="","",IFERROR(INDEX(PecDesc,MATCH($B443,PecCod,0)),"Peça não cadastrada"))</f>
        <v>0</v>
      </c>
      <c r="H443" s="27">
        <f>IF(OR($C443="",$D443=""),"",$C443*$D443)</f>
        <v>0</v>
      </c>
    </row>
    <row r="444" spans="1:8">
      <c r="A444" s="25"/>
      <c r="B444" s="13"/>
      <c r="C444" s="20"/>
      <c r="D444" s="19"/>
      <c r="E444" s="13"/>
      <c r="F444" s="13"/>
      <c r="G444" s="26">
        <f>IF($B444="","",IFERROR(INDEX(PecDesc,MATCH($B444,PecCod,0)),"Peça não cadastrada"))</f>
        <v>0</v>
      </c>
      <c r="H444" s="27">
        <f>IF(OR($C444="",$D444=""),"",$C444*$D444)</f>
        <v>0</v>
      </c>
    </row>
    <row r="445" spans="1:8">
      <c r="A445" s="25"/>
      <c r="B445" s="13"/>
      <c r="C445" s="20"/>
      <c r="D445" s="19"/>
      <c r="E445" s="13"/>
      <c r="F445" s="13"/>
      <c r="G445" s="26">
        <f>IF($B445="","",IFERROR(INDEX(PecDesc,MATCH($B445,PecCod,0)),"Peça não cadastrada"))</f>
        <v>0</v>
      </c>
      <c r="H445" s="27">
        <f>IF(OR($C445="",$D445=""),"",$C445*$D445)</f>
        <v>0</v>
      </c>
    </row>
    <row r="446" spans="1:8">
      <c r="A446" s="25"/>
      <c r="B446" s="13"/>
      <c r="C446" s="20"/>
      <c r="D446" s="19"/>
      <c r="E446" s="13"/>
      <c r="F446" s="13"/>
      <c r="G446" s="26">
        <f>IF($B446="","",IFERROR(INDEX(PecDesc,MATCH($B446,PecCod,0)),"Peça não cadastrada"))</f>
        <v>0</v>
      </c>
      <c r="H446" s="27">
        <f>IF(OR($C446="",$D446=""),"",$C446*$D446)</f>
        <v>0</v>
      </c>
    </row>
    <row r="447" spans="1:8">
      <c r="A447" s="25"/>
      <c r="B447" s="13"/>
      <c r="C447" s="20"/>
      <c r="D447" s="19"/>
      <c r="E447" s="13"/>
      <c r="F447" s="13"/>
      <c r="G447" s="26">
        <f>IF($B447="","",IFERROR(INDEX(PecDesc,MATCH($B447,PecCod,0)),"Peça não cadastrada"))</f>
        <v>0</v>
      </c>
      <c r="H447" s="27">
        <f>IF(OR($C447="",$D447=""),"",$C447*$D447)</f>
        <v>0</v>
      </c>
    </row>
    <row r="448" spans="1:8">
      <c r="A448" s="25"/>
      <c r="B448" s="13"/>
      <c r="C448" s="20"/>
      <c r="D448" s="19"/>
      <c r="E448" s="13"/>
      <c r="F448" s="13"/>
      <c r="G448" s="26">
        <f>IF($B448="","",IFERROR(INDEX(PecDesc,MATCH($B448,PecCod,0)),"Peça não cadastrada"))</f>
        <v>0</v>
      </c>
      <c r="H448" s="27">
        <f>IF(OR($C448="",$D448=""),"",$C448*$D448)</f>
        <v>0</v>
      </c>
    </row>
    <row r="449" spans="1:8">
      <c r="A449" s="25"/>
      <c r="B449" s="13"/>
      <c r="C449" s="20"/>
      <c r="D449" s="19"/>
      <c r="E449" s="13"/>
      <c r="F449" s="13"/>
      <c r="G449" s="26">
        <f>IF($B449="","",IFERROR(INDEX(PecDesc,MATCH($B449,PecCod,0)),"Peça não cadastrada"))</f>
        <v>0</v>
      </c>
      <c r="H449" s="27">
        <f>IF(OR($C449="",$D449=""),"",$C449*$D449)</f>
        <v>0</v>
      </c>
    </row>
    <row r="450" spans="1:8">
      <c r="A450" s="25"/>
      <c r="B450" s="13"/>
      <c r="C450" s="20"/>
      <c r="D450" s="19"/>
      <c r="E450" s="13"/>
      <c r="F450" s="13"/>
      <c r="G450" s="26">
        <f>IF($B450="","",IFERROR(INDEX(PecDesc,MATCH($B450,PecCod,0)),"Peça não cadastrada"))</f>
        <v>0</v>
      </c>
      <c r="H450" s="27">
        <f>IF(OR($C450="",$D450=""),"",$C450*$D450)</f>
        <v>0</v>
      </c>
    </row>
    <row r="451" spans="1:8">
      <c r="A451" s="25"/>
      <c r="B451" s="13"/>
      <c r="C451" s="20"/>
      <c r="D451" s="19"/>
      <c r="E451" s="13"/>
      <c r="F451" s="13"/>
      <c r="G451" s="26">
        <f>IF($B451="","",IFERROR(INDEX(PecDesc,MATCH($B451,PecCod,0)),"Peça não cadastrada"))</f>
        <v>0</v>
      </c>
      <c r="H451" s="27">
        <f>IF(OR($C451="",$D451=""),"",$C451*$D451)</f>
        <v>0</v>
      </c>
    </row>
    <row r="452" spans="1:8">
      <c r="A452" s="25"/>
      <c r="B452" s="13"/>
      <c r="C452" s="20"/>
      <c r="D452" s="19"/>
      <c r="E452" s="13"/>
      <c r="F452" s="13"/>
      <c r="G452" s="26">
        <f>IF($B452="","",IFERROR(INDEX(PecDesc,MATCH($B452,PecCod,0)),"Peça não cadastrada"))</f>
        <v>0</v>
      </c>
      <c r="H452" s="27">
        <f>IF(OR($C452="",$D452=""),"",$C452*$D452)</f>
        <v>0</v>
      </c>
    </row>
    <row r="453" spans="1:8">
      <c r="A453" s="25"/>
      <c r="B453" s="13"/>
      <c r="C453" s="20"/>
      <c r="D453" s="19"/>
      <c r="E453" s="13"/>
      <c r="F453" s="13"/>
      <c r="G453" s="26">
        <f>IF($B453="","",IFERROR(INDEX(PecDesc,MATCH($B453,PecCod,0)),"Peça não cadastrada"))</f>
        <v>0</v>
      </c>
      <c r="H453" s="27">
        <f>IF(OR($C453="",$D453=""),"",$C453*$D453)</f>
        <v>0</v>
      </c>
    </row>
    <row r="454" spans="1:8">
      <c r="A454" s="25"/>
      <c r="B454" s="13"/>
      <c r="C454" s="20"/>
      <c r="D454" s="19"/>
      <c r="E454" s="13"/>
      <c r="F454" s="13"/>
      <c r="G454" s="26">
        <f>IF($B454="","",IFERROR(INDEX(PecDesc,MATCH($B454,PecCod,0)),"Peça não cadastrada"))</f>
        <v>0</v>
      </c>
      <c r="H454" s="27">
        <f>IF(OR($C454="",$D454=""),"",$C454*$D454)</f>
        <v>0</v>
      </c>
    </row>
    <row r="455" spans="1:8">
      <c r="A455" s="25"/>
      <c r="B455" s="13"/>
      <c r="C455" s="20"/>
      <c r="D455" s="19"/>
      <c r="E455" s="13"/>
      <c r="F455" s="13"/>
      <c r="G455" s="26">
        <f>IF($B455="","",IFERROR(INDEX(PecDesc,MATCH($B455,PecCod,0)),"Peça não cadastrada"))</f>
        <v>0</v>
      </c>
      <c r="H455" s="27">
        <f>IF(OR($C455="",$D455=""),"",$C455*$D455)</f>
        <v>0</v>
      </c>
    </row>
    <row r="456" spans="1:8">
      <c r="A456" s="25"/>
      <c r="B456" s="13"/>
      <c r="C456" s="20"/>
      <c r="D456" s="19"/>
      <c r="E456" s="13"/>
      <c r="F456" s="13"/>
      <c r="G456" s="26">
        <f>IF($B456="","",IFERROR(INDEX(PecDesc,MATCH($B456,PecCod,0)),"Peça não cadastrada"))</f>
        <v>0</v>
      </c>
      <c r="H456" s="27">
        <f>IF(OR($C456="",$D456=""),"",$C456*$D456)</f>
        <v>0</v>
      </c>
    </row>
    <row r="457" spans="1:8">
      <c r="A457" s="25"/>
      <c r="B457" s="13"/>
      <c r="C457" s="20"/>
      <c r="D457" s="19"/>
      <c r="E457" s="13"/>
      <c r="F457" s="13"/>
      <c r="G457" s="26">
        <f>IF($B457="","",IFERROR(INDEX(PecDesc,MATCH($B457,PecCod,0)),"Peça não cadastrada"))</f>
        <v>0</v>
      </c>
      <c r="H457" s="27">
        <f>IF(OR($C457="",$D457=""),"",$C457*$D457)</f>
        <v>0</v>
      </c>
    </row>
    <row r="458" spans="1:8">
      <c r="A458" s="25"/>
      <c r="B458" s="13"/>
      <c r="C458" s="20"/>
      <c r="D458" s="19"/>
      <c r="E458" s="13"/>
      <c r="F458" s="13"/>
      <c r="G458" s="26">
        <f>IF($B458="","",IFERROR(INDEX(PecDesc,MATCH($B458,PecCod,0)),"Peça não cadastrada"))</f>
        <v>0</v>
      </c>
      <c r="H458" s="27">
        <f>IF(OR($C458="",$D458=""),"",$C458*$D458)</f>
        <v>0</v>
      </c>
    </row>
    <row r="459" spans="1:8">
      <c r="A459" s="25"/>
      <c r="B459" s="13"/>
      <c r="C459" s="20"/>
      <c r="D459" s="19"/>
      <c r="E459" s="13"/>
      <c r="F459" s="13"/>
      <c r="G459" s="26">
        <f>IF($B459="","",IFERROR(INDEX(PecDesc,MATCH($B459,PecCod,0)),"Peça não cadastrada"))</f>
        <v>0</v>
      </c>
      <c r="H459" s="27">
        <f>IF(OR($C459="",$D459=""),"",$C459*$D459)</f>
        <v>0</v>
      </c>
    </row>
    <row r="460" spans="1:8">
      <c r="A460" s="25"/>
      <c r="B460" s="13"/>
      <c r="C460" s="20"/>
      <c r="D460" s="19"/>
      <c r="E460" s="13"/>
      <c r="F460" s="13"/>
      <c r="G460" s="26">
        <f>IF($B460="","",IFERROR(INDEX(PecDesc,MATCH($B460,PecCod,0)),"Peça não cadastrada"))</f>
        <v>0</v>
      </c>
      <c r="H460" s="27">
        <f>IF(OR($C460="",$D460=""),"",$C460*$D460)</f>
        <v>0</v>
      </c>
    </row>
    <row r="461" spans="1:8">
      <c r="A461" s="25"/>
      <c r="B461" s="13"/>
      <c r="C461" s="20"/>
      <c r="D461" s="19"/>
      <c r="E461" s="13"/>
      <c r="F461" s="13"/>
      <c r="G461" s="26">
        <f>IF($B461="","",IFERROR(INDEX(PecDesc,MATCH($B461,PecCod,0)),"Peça não cadastrada"))</f>
        <v>0</v>
      </c>
      <c r="H461" s="27">
        <f>IF(OR($C461="",$D461=""),"",$C461*$D461)</f>
        <v>0</v>
      </c>
    </row>
    <row r="462" spans="1:8">
      <c r="A462" s="25"/>
      <c r="B462" s="13"/>
      <c r="C462" s="20"/>
      <c r="D462" s="19"/>
      <c r="E462" s="13"/>
      <c r="F462" s="13"/>
      <c r="G462" s="26">
        <f>IF($B462="","",IFERROR(INDEX(PecDesc,MATCH($B462,PecCod,0)),"Peça não cadastrada"))</f>
        <v>0</v>
      </c>
      <c r="H462" s="27">
        <f>IF(OR($C462="",$D462=""),"",$C462*$D462)</f>
        <v>0</v>
      </c>
    </row>
    <row r="463" spans="1:8">
      <c r="A463" s="25"/>
      <c r="B463" s="13"/>
      <c r="C463" s="20"/>
      <c r="D463" s="19"/>
      <c r="E463" s="13"/>
      <c r="F463" s="13"/>
      <c r="G463" s="26">
        <f>IF($B463="","",IFERROR(INDEX(PecDesc,MATCH($B463,PecCod,0)),"Peça não cadastrada"))</f>
        <v>0</v>
      </c>
      <c r="H463" s="27">
        <f>IF(OR($C463="",$D463=""),"",$C463*$D463)</f>
        <v>0</v>
      </c>
    </row>
    <row r="464" spans="1:8">
      <c r="A464" s="25"/>
      <c r="B464" s="13"/>
      <c r="C464" s="20"/>
      <c r="D464" s="19"/>
      <c r="E464" s="13"/>
      <c r="F464" s="13"/>
      <c r="G464" s="26">
        <f>IF($B464="","",IFERROR(INDEX(PecDesc,MATCH($B464,PecCod,0)),"Peça não cadastrada"))</f>
        <v>0</v>
      </c>
      <c r="H464" s="27">
        <f>IF(OR($C464="",$D464=""),"",$C464*$D464)</f>
        <v>0</v>
      </c>
    </row>
    <row r="465" spans="1:8">
      <c r="A465" s="25"/>
      <c r="B465" s="13"/>
      <c r="C465" s="20"/>
      <c r="D465" s="19"/>
      <c r="E465" s="13"/>
      <c r="F465" s="13"/>
      <c r="G465" s="26">
        <f>IF($B465="","",IFERROR(INDEX(PecDesc,MATCH($B465,PecCod,0)),"Peça não cadastrada"))</f>
        <v>0</v>
      </c>
      <c r="H465" s="27">
        <f>IF(OR($C465="",$D465=""),"",$C465*$D465)</f>
        <v>0</v>
      </c>
    </row>
    <row r="466" spans="1:8">
      <c r="A466" s="25"/>
      <c r="B466" s="13"/>
      <c r="C466" s="20"/>
      <c r="D466" s="19"/>
      <c r="E466" s="13"/>
      <c r="F466" s="13"/>
      <c r="G466" s="26">
        <f>IF($B466="","",IFERROR(INDEX(PecDesc,MATCH($B466,PecCod,0)),"Peça não cadastrada"))</f>
        <v>0</v>
      </c>
      <c r="H466" s="27">
        <f>IF(OR($C466="",$D466=""),"",$C466*$D466)</f>
        <v>0</v>
      </c>
    </row>
    <row r="467" spans="1:8">
      <c r="A467" s="25"/>
      <c r="B467" s="13"/>
      <c r="C467" s="20"/>
      <c r="D467" s="19"/>
      <c r="E467" s="13"/>
      <c r="F467" s="13"/>
      <c r="G467" s="26">
        <f>IF($B467="","",IFERROR(INDEX(PecDesc,MATCH($B467,PecCod,0)),"Peça não cadastrada"))</f>
        <v>0</v>
      </c>
      <c r="H467" s="27">
        <f>IF(OR($C467="",$D467=""),"",$C467*$D467)</f>
        <v>0</v>
      </c>
    </row>
    <row r="468" spans="1:8">
      <c r="A468" s="25"/>
      <c r="B468" s="13"/>
      <c r="C468" s="20"/>
      <c r="D468" s="19"/>
      <c r="E468" s="13"/>
      <c r="F468" s="13"/>
      <c r="G468" s="26">
        <f>IF($B468="","",IFERROR(INDEX(PecDesc,MATCH($B468,PecCod,0)),"Peça não cadastrada"))</f>
        <v>0</v>
      </c>
      <c r="H468" s="27">
        <f>IF(OR($C468="",$D468=""),"",$C468*$D468)</f>
        <v>0</v>
      </c>
    </row>
    <row r="469" spans="1:8">
      <c r="A469" s="25"/>
      <c r="B469" s="13"/>
      <c r="C469" s="20"/>
      <c r="D469" s="19"/>
      <c r="E469" s="13"/>
      <c r="F469" s="13"/>
      <c r="G469" s="26">
        <f>IF($B469="","",IFERROR(INDEX(PecDesc,MATCH($B469,PecCod,0)),"Peça não cadastrada"))</f>
        <v>0</v>
      </c>
      <c r="H469" s="27">
        <f>IF(OR($C469="",$D469=""),"",$C469*$D469)</f>
        <v>0</v>
      </c>
    </row>
    <row r="470" spans="1:8">
      <c r="A470" s="25"/>
      <c r="B470" s="13"/>
      <c r="C470" s="20"/>
      <c r="D470" s="19"/>
      <c r="E470" s="13"/>
      <c r="F470" s="13"/>
      <c r="G470" s="26">
        <f>IF($B470="","",IFERROR(INDEX(PecDesc,MATCH($B470,PecCod,0)),"Peça não cadastrada"))</f>
        <v>0</v>
      </c>
      <c r="H470" s="27">
        <f>IF(OR($C470="",$D470=""),"",$C470*$D470)</f>
        <v>0</v>
      </c>
    </row>
    <row r="471" spans="1:8">
      <c r="A471" s="25"/>
      <c r="B471" s="13"/>
      <c r="C471" s="20"/>
      <c r="D471" s="19"/>
      <c r="E471" s="13"/>
      <c r="F471" s="13"/>
      <c r="G471" s="26">
        <f>IF($B471="","",IFERROR(INDEX(PecDesc,MATCH($B471,PecCod,0)),"Peça não cadastrada"))</f>
        <v>0</v>
      </c>
      <c r="H471" s="27">
        <f>IF(OR($C471="",$D471=""),"",$C471*$D471)</f>
        <v>0</v>
      </c>
    </row>
    <row r="472" spans="1:8">
      <c r="A472" s="25"/>
      <c r="B472" s="13"/>
      <c r="C472" s="20"/>
      <c r="D472" s="19"/>
      <c r="E472" s="13"/>
      <c r="F472" s="13"/>
      <c r="G472" s="26">
        <f>IF($B472="","",IFERROR(INDEX(PecDesc,MATCH($B472,PecCod,0)),"Peça não cadastrada"))</f>
        <v>0</v>
      </c>
      <c r="H472" s="27">
        <f>IF(OR($C472="",$D472=""),"",$C472*$D472)</f>
        <v>0</v>
      </c>
    </row>
    <row r="473" spans="1:8">
      <c r="A473" s="25"/>
      <c r="B473" s="13"/>
      <c r="C473" s="20"/>
      <c r="D473" s="19"/>
      <c r="E473" s="13"/>
      <c r="F473" s="13"/>
      <c r="G473" s="26">
        <f>IF($B473="","",IFERROR(INDEX(PecDesc,MATCH($B473,PecCod,0)),"Peça não cadastrada"))</f>
        <v>0</v>
      </c>
      <c r="H473" s="27">
        <f>IF(OR($C473="",$D473=""),"",$C473*$D473)</f>
        <v>0</v>
      </c>
    </row>
    <row r="474" spans="1:8">
      <c r="A474" s="25"/>
      <c r="B474" s="13"/>
      <c r="C474" s="20"/>
      <c r="D474" s="19"/>
      <c r="E474" s="13"/>
      <c r="F474" s="13"/>
      <c r="G474" s="26">
        <f>IF($B474="","",IFERROR(INDEX(PecDesc,MATCH($B474,PecCod,0)),"Peça não cadastrada"))</f>
        <v>0</v>
      </c>
      <c r="H474" s="27">
        <f>IF(OR($C474="",$D474=""),"",$C474*$D474)</f>
        <v>0</v>
      </c>
    </row>
    <row r="475" spans="1:8">
      <c r="A475" s="25"/>
      <c r="B475" s="13"/>
      <c r="C475" s="20"/>
      <c r="D475" s="19"/>
      <c r="E475" s="13"/>
      <c r="F475" s="13"/>
      <c r="G475" s="26">
        <f>IF($B475="","",IFERROR(INDEX(PecDesc,MATCH($B475,PecCod,0)),"Peça não cadastrada"))</f>
        <v>0</v>
      </c>
      <c r="H475" s="27">
        <f>IF(OR($C475="",$D475=""),"",$C475*$D475)</f>
        <v>0</v>
      </c>
    </row>
    <row r="476" spans="1:8">
      <c r="A476" s="25"/>
      <c r="B476" s="13"/>
      <c r="C476" s="20"/>
      <c r="D476" s="19"/>
      <c r="E476" s="13"/>
      <c r="F476" s="13"/>
      <c r="G476" s="26">
        <f>IF($B476="","",IFERROR(INDEX(PecDesc,MATCH($B476,PecCod,0)),"Peça não cadastrada"))</f>
        <v>0</v>
      </c>
      <c r="H476" s="27">
        <f>IF(OR($C476="",$D476=""),"",$C476*$D476)</f>
        <v>0</v>
      </c>
    </row>
    <row r="477" spans="1:8">
      <c r="A477" s="25"/>
      <c r="B477" s="13"/>
      <c r="C477" s="20"/>
      <c r="D477" s="19"/>
      <c r="E477" s="13"/>
      <c r="F477" s="13"/>
      <c r="G477" s="26">
        <f>IF($B477="","",IFERROR(INDEX(PecDesc,MATCH($B477,PecCod,0)),"Peça não cadastrada"))</f>
        <v>0</v>
      </c>
      <c r="H477" s="27">
        <f>IF(OR($C477="",$D477=""),"",$C477*$D477)</f>
        <v>0</v>
      </c>
    </row>
    <row r="478" spans="1:8">
      <c r="A478" s="25"/>
      <c r="B478" s="13"/>
      <c r="C478" s="20"/>
      <c r="D478" s="19"/>
      <c r="E478" s="13"/>
      <c r="F478" s="13"/>
      <c r="G478" s="26">
        <f>IF($B478="","",IFERROR(INDEX(PecDesc,MATCH($B478,PecCod,0)),"Peça não cadastrada"))</f>
        <v>0</v>
      </c>
      <c r="H478" s="27">
        <f>IF(OR($C478="",$D478=""),"",$C478*$D478)</f>
        <v>0</v>
      </c>
    </row>
    <row r="479" spans="1:8">
      <c r="A479" s="25"/>
      <c r="B479" s="13"/>
      <c r="C479" s="20"/>
      <c r="D479" s="19"/>
      <c r="E479" s="13"/>
      <c r="F479" s="13"/>
      <c r="G479" s="26">
        <f>IF($B479="","",IFERROR(INDEX(PecDesc,MATCH($B479,PecCod,0)),"Peça não cadastrada"))</f>
        <v>0</v>
      </c>
      <c r="H479" s="27">
        <f>IF(OR($C479="",$D479=""),"",$C479*$D479)</f>
        <v>0</v>
      </c>
    </row>
    <row r="480" spans="1:8">
      <c r="A480" s="25"/>
      <c r="B480" s="13"/>
      <c r="C480" s="20"/>
      <c r="D480" s="19"/>
      <c r="E480" s="13"/>
      <c r="F480" s="13"/>
      <c r="G480" s="26">
        <f>IF($B480="","",IFERROR(INDEX(PecDesc,MATCH($B480,PecCod,0)),"Peça não cadastrada"))</f>
        <v>0</v>
      </c>
      <c r="H480" s="27">
        <f>IF(OR($C480="",$D480=""),"",$C480*$D480)</f>
        <v>0</v>
      </c>
    </row>
    <row r="481" spans="1:8">
      <c r="A481" s="25"/>
      <c r="B481" s="13"/>
      <c r="C481" s="20"/>
      <c r="D481" s="19"/>
      <c r="E481" s="13"/>
      <c r="F481" s="13"/>
      <c r="G481" s="26">
        <f>IF($B481="","",IFERROR(INDEX(PecDesc,MATCH($B481,PecCod,0)),"Peça não cadastrada"))</f>
        <v>0</v>
      </c>
      <c r="H481" s="27">
        <f>IF(OR($C481="",$D481=""),"",$C481*$D481)</f>
        <v>0</v>
      </c>
    </row>
    <row r="482" spans="1:8">
      <c r="A482" s="25"/>
      <c r="B482" s="13"/>
      <c r="C482" s="20"/>
      <c r="D482" s="19"/>
      <c r="E482" s="13"/>
      <c r="F482" s="13"/>
      <c r="G482" s="26">
        <f>IF($B482="","",IFERROR(INDEX(PecDesc,MATCH($B482,PecCod,0)),"Peça não cadastrada"))</f>
        <v>0</v>
      </c>
      <c r="H482" s="27">
        <f>IF(OR($C482="",$D482=""),"",$C482*$D482)</f>
        <v>0</v>
      </c>
    </row>
    <row r="483" spans="1:8">
      <c r="A483" s="25"/>
      <c r="B483" s="13"/>
      <c r="C483" s="20"/>
      <c r="D483" s="19"/>
      <c r="E483" s="13"/>
      <c r="F483" s="13"/>
      <c r="G483" s="26">
        <f>IF($B483="","",IFERROR(INDEX(PecDesc,MATCH($B483,PecCod,0)),"Peça não cadastrada"))</f>
        <v>0</v>
      </c>
      <c r="H483" s="27">
        <f>IF(OR($C483="",$D483=""),"",$C483*$D483)</f>
        <v>0</v>
      </c>
    </row>
    <row r="484" spans="1:8">
      <c r="A484" s="25"/>
      <c r="B484" s="13"/>
      <c r="C484" s="20"/>
      <c r="D484" s="19"/>
      <c r="E484" s="13"/>
      <c r="F484" s="13"/>
      <c r="G484" s="26">
        <f>IF($B484="","",IFERROR(INDEX(PecDesc,MATCH($B484,PecCod,0)),"Peça não cadastrada"))</f>
        <v>0</v>
      </c>
      <c r="H484" s="27">
        <f>IF(OR($C484="",$D484=""),"",$C484*$D484)</f>
        <v>0</v>
      </c>
    </row>
    <row r="485" spans="1:8">
      <c r="A485" s="25"/>
      <c r="B485" s="13"/>
      <c r="C485" s="20"/>
      <c r="D485" s="19"/>
      <c r="E485" s="13"/>
      <c r="F485" s="13"/>
      <c r="G485" s="26">
        <f>IF($B485="","",IFERROR(INDEX(PecDesc,MATCH($B485,PecCod,0)),"Peça não cadastrada"))</f>
        <v>0</v>
      </c>
      <c r="H485" s="27">
        <f>IF(OR($C485="",$D485=""),"",$C485*$D485)</f>
        <v>0</v>
      </c>
    </row>
    <row r="486" spans="1:8">
      <c r="A486" s="25"/>
      <c r="B486" s="13"/>
      <c r="C486" s="20"/>
      <c r="D486" s="19"/>
      <c r="E486" s="13"/>
      <c r="F486" s="13"/>
      <c r="G486" s="26">
        <f>IF($B486="","",IFERROR(INDEX(PecDesc,MATCH($B486,PecCod,0)),"Peça não cadastrada"))</f>
        <v>0</v>
      </c>
      <c r="H486" s="27">
        <f>IF(OR($C486="",$D486=""),"",$C486*$D486)</f>
        <v>0</v>
      </c>
    </row>
    <row r="487" spans="1:8">
      <c r="A487" s="25"/>
      <c r="B487" s="13"/>
      <c r="C487" s="20"/>
      <c r="D487" s="19"/>
      <c r="E487" s="13"/>
      <c r="F487" s="13"/>
      <c r="G487" s="26">
        <f>IF($B487="","",IFERROR(INDEX(PecDesc,MATCH($B487,PecCod,0)),"Peça não cadastrada"))</f>
        <v>0</v>
      </c>
      <c r="H487" s="27">
        <f>IF(OR($C487="",$D487=""),"",$C487*$D487)</f>
        <v>0</v>
      </c>
    </row>
    <row r="488" spans="1:8">
      <c r="A488" s="25"/>
      <c r="B488" s="13"/>
      <c r="C488" s="20"/>
      <c r="D488" s="19"/>
      <c r="E488" s="13"/>
      <c r="F488" s="13"/>
      <c r="G488" s="26">
        <f>IF($B488="","",IFERROR(INDEX(PecDesc,MATCH($B488,PecCod,0)),"Peça não cadastrada"))</f>
        <v>0</v>
      </c>
      <c r="H488" s="27">
        <f>IF(OR($C488="",$D488=""),"",$C488*$D488)</f>
        <v>0</v>
      </c>
    </row>
    <row r="489" spans="1:8">
      <c r="A489" s="25"/>
      <c r="B489" s="13"/>
      <c r="C489" s="20"/>
      <c r="D489" s="19"/>
      <c r="E489" s="13"/>
      <c r="F489" s="13"/>
      <c r="G489" s="26">
        <f>IF($B489="","",IFERROR(INDEX(PecDesc,MATCH($B489,PecCod,0)),"Peça não cadastrada"))</f>
        <v>0</v>
      </c>
      <c r="H489" s="27">
        <f>IF(OR($C489="",$D489=""),"",$C489*$D489)</f>
        <v>0</v>
      </c>
    </row>
    <row r="490" spans="1:8">
      <c r="A490" s="25"/>
      <c r="B490" s="13"/>
      <c r="C490" s="20"/>
      <c r="D490" s="19"/>
      <c r="E490" s="13"/>
      <c r="F490" s="13"/>
      <c r="G490" s="26">
        <f>IF($B490="","",IFERROR(INDEX(PecDesc,MATCH($B490,PecCod,0)),"Peça não cadastrada"))</f>
        <v>0</v>
      </c>
      <c r="H490" s="27">
        <f>IF(OR($C490="",$D490=""),"",$C490*$D490)</f>
        <v>0</v>
      </c>
    </row>
    <row r="491" spans="1:8">
      <c r="A491" s="25"/>
      <c r="B491" s="13"/>
      <c r="C491" s="20"/>
      <c r="D491" s="19"/>
      <c r="E491" s="13"/>
      <c r="F491" s="13"/>
      <c r="G491" s="26">
        <f>IF($B491="","",IFERROR(INDEX(PecDesc,MATCH($B491,PecCod,0)),"Peça não cadastrada"))</f>
        <v>0</v>
      </c>
      <c r="H491" s="27">
        <f>IF(OR($C491="",$D491=""),"",$C491*$D491)</f>
        <v>0</v>
      </c>
    </row>
    <row r="492" spans="1:8">
      <c r="A492" s="25"/>
      <c r="B492" s="13"/>
      <c r="C492" s="20"/>
      <c r="D492" s="19"/>
      <c r="E492" s="13"/>
      <c r="F492" s="13"/>
      <c r="G492" s="26">
        <f>IF($B492="","",IFERROR(INDEX(PecDesc,MATCH($B492,PecCod,0)),"Peça não cadastrada"))</f>
        <v>0</v>
      </c>
      <c r="H492" s="27">
        <f>IF(OR($C492="",$D492=""),"",$C492*$D492)</f>
        <v>0</v>
      </c>
    </row>
    <row r="493" spans="1:8">
      <c r="A493" s="25"/>
      <c r="B493" s="13"/>
      <c r="C493" s="20"/>
      <c r="D493" s="19"/>
      <c r="E493" s="13"/>
      <c r="F493" s="13"/>
      <c r="G493" s="26">
        <f>IF($B493="","",IFERROR(INDEX(PecDesc,MATCH($B493,PecCod,0)),"Peça não cadastrada"))</f>
        <v>0</v>
      </c>
      <c r="H493" s="27">
        <f>IF(OR($C493="",$D493=""),"",$C493*$D493)</f>
        <v>0</v>
      </c>
    </row>
    <row r="494" spans="1:8">
      <c r="A494" s="25"/>
      <c r="B494" s="13"/>
      <c r="C494" s="20"/>
      <c r="D494" s="19"/>
      <c r="E494" s="13"/>
      <c r="F494" s="13"/>
      <c r="G494" s="26">
        <f>IF($B494="","",IFERROR(INDEX(PecDesc,MATCH($B494,PecCod,0)),"Peça não cadastrada"))</f>
        <v>0</v>
      </c>
      <c r="H494" s="27">
        <f>IF(OR($C494="",$D494=""),"",$C494*$D494)</f>
        <v>0</v>
      </c>
    </row>
    <row r="495" spans="1:8">
      <c r="A495" s="25"/>
      <c r="B495" s="13"/>
      <c r="C495" s="20"/>
      <c r="D495" s="19"/>
      <c r="E495" s="13"/>
      <c r="F495" s="13"/>
      <c r="G495" s="26">
        <f>IF($B495="","",IFERROR(INDEX(PecDesc,MATCH($B495,PecCod,0)),"Peça não cadastrada"))</f>
        <v>0</v>
      </c>
      <c r="H495" s="27">
        <f>IF(OR($C495="",$D495=""),"",$C495*$D495)</f>
        <v>0</v>
      </c>
    </row>
    <row r="496" spans="1:8">
      <c r="A496" s="25"/>
      <c r="B496" s="13"/>
      <c r="C496" s="20"/>
      <c r="D496" s="19"/>
      <c r="E496" s="13"/>
      <c r="F496" s="13"/>
      <c r="G496" s="26">
        <f>IF($B496="","",IFERROR(INDEX(PecDesc,MATCH($B496,PecCod,0)),"Peça não cadastrada"))</f>
        <v>0</v>
      </c>
      <c r="H496" s="27">
        <f>IF(OR($C496="",$D496=""),"",$C496*$D496)</f>
        <v>0</v>
      </c>
    </row>
    <row r="497" spans="1:8">
      <c r="A497" s="25"/>
      <c r="B497" s="13"/>
      <c r="C497" s="20"/>
      <c r="D497" s="19"/>
      <c r="E497" s="13"/>
      <c r="F497" s="13"/>
      <c r="G497" s="26">
        <f>IF($B497="","",IFERROR(INDEX(PecDesc,MATCH($B497,PecCod,0)),"Peça não cadastrada"))</f>
        <v>0</v>
      </c>
      <c r="H497" s="27">
        <f>IF(OR($C497="",$D497=""),"",$C497*$D497)</f>
        <v>0</v>
      </c>
    </row>
    <row r="498" spans="1:8">
      <c r="A498" s="25"/>
      <c r="B498" s="13"/>
      <c r="C498" s="20"/>
      <c r="D498" s="19"/>
      <c r="E498" s="13"/>
      <c r="F498" s="13"/>
      <c r="G498" s="26">
        <f>IF($B498="","",IFERROR(INDEX(PecDesc,MATCH($B498,PecCod,0)),"Peça não cadastrada"))</f>
        <v>0</v>
      </c>
      <c r="H498" s="27">
        <f>IF(OR($C498="",$D498=""),"",$C498*$D498)</f>
        <v>0</v>
      </c>
    </row>
    <row r="499" spans="1:8">
      <c r="A499" s="25"/>
      <c r="B499" s="13"/>
      <c r="C499" s="20"/>
      <c r="D499" s="19"/>
      <c r="E499" s="13"/>
      <c r="F499" s="13"/>
      <c r="G499" s="26">
        <f>IF($B499="","",IFERROR(INDEX(PecDesc,MATCH($B499,PecCod,0)),"Peça não cadastrada"))</f>
        <v>0</v>
      </c>
      <c r="H499" s="27">
        <f>IF(OR($C499="",$D499=""),"",$C499*$D499)</f>
        <v>0</v>
      </c>
    </row>
    <row r="500" spans="1:8">
      <c r="A500" s="25"/>
      <c r="B500" s="13"/>
      <c r="C500" s="20"/>
      <c r="D500" s="19"/>
      <c r="E500" s="13"/>
      <c r="F500" s="13"/>
      <c r="G500" s="26">
        <f>IF($B500="","",IFERROR(INDEX(PecDesc,MATCH($B500,PecCod,0)),"Peça não cadastrada"))</f>
        <v>0</v>
      </c>
      <c r="H500" s="27">
        <f>IF(OR($C500="",$D500=""),"",$C500*$D500)</f>
        <v>0</v>
      </c>
    </row>
    <row r="501" spans="1:8">
      <c r="A501" s="25"/>
      <c r="B501" s="13"/>
      <c r="C501" s="20"/>
      <c r="D501" s="19"/>
      <c r="E501" s="13"/>
      <c r="F501" s="13"/>
      <c r="G501" s="26">
        <f>IF($B501="","",IFERROR(INDEX(PecDesc,MATCH($B501,PecCod,0)),"Peça não cadastrada"))</f>
        <v>0</v>
      </c>
      <c r="H501" s="27">
        <f>IF(OR($C501="",$D501=""),"",$C501*$D501)</f>
        <v>0</v>
      </c>
    </row>
    <row r="502" spans="1:8">
      <c r="A502" s="25"/>
      <c r="B502" s="13"/>
      <c r="C502" s="20"/>
      <c r="D502" s="19"/>
      <c r="E502" s="13"/>
      <c r="F502" s="13"/>
      <c r="G502" s="26">
        <f>IF($B502="","",IFERROR(INDEX(PecDesc,MATCH($B502,PecCod,0)),"Peça não cadastrada"))</f>
        <v>0</v>
      </c>
      <c r="H502" s="27">
        <f>IF(OR($C502="",$D502=""),"",$C502*$D502)</f>
        <v>0</v>
      </c>
    </row>
    <row r="503" spans="1:8">
      <c r="A503" s="25"/>
      <c r="B503" s="13"/>
      <c r="C503" s="20"/>
      <c r="D503" s="19"/>
      <c r="E503" s="13"/>
      <c r="F503" s="13"/>
      <c r="G503" s="26">
        <f>IF($B503="","",IFERROR(INDEX(PecDesc,MATCH($B503,PecCod,0)),"Peça não cadastrada"))</f>
        <v>0</v>
      </c>
      <c r="H503" s="27">
        <f>IF(OR($C503="",$D503=""),"",$C503*$D503)</f>
        <v>0</v>
      </c>
    </row>
    <row r="504" spans="1:8">
      <c r="A504" s="25"/>
      <c r="B504" s="13"/>
      <c r="C504" s="20"/>
      <c r="D504" s="19"/>
      <c r="E504" s="13"/>
      <c r="F504" s="13"/>
      <c r="G504" s="26">
        <f>IF($B504="","",IFERROR(INDEX(PecDesc,MATCH($B504,PecCod,0)),"Peça não cadastrada"))</f>
        <v>0</v>
      </c>
      <c r="H504" s="27">
        <f>IF(OR($C504="",$D504=""),"",$C504*$D504)</f>
        <v>0</v>
      </c>
    </row>
    <row r="505" spans="1:8">
      <c r="A505" s="25"/>
      <c r="B505" s="13"/>
      <c r="C505" s="20"/>
      <c r="D505" s="19"/>
      <c r="E505" s="13"/>
      <c r="F505" s="13"/>
      <c r="G505" s="26">
        <f>IF($B505="","",IFERROR(INDEX(PecDesc,MATCH($B505,PecCod,0)),"Peça não cadastrada"))</f>
        <v>0</v>
      </c>
      <c r="H505" s="27">
        <f>IF(OR($C505="",$D505=""),"",$C505*$D505)</f>
        <v>0</v>
      </c>
    </row>
    <row r="506" spans="1:8">
      <c r="A506" s="25"/>
      <c r="B506" s="13"/>
      <c r="C506" s="20"/>
      <c r="D506" s="19"/>
      <c r="E506" s="13"/>
      <c r="F506" s="13"/>
      <c r="G506" s="26">
        <f>IF($B506="","",IFERROR(INDEX(PecDesc,MATCH($B506,PecCod,0)),"Peça não cadastrada"))</f>
        <v>0</v>
      </c>
      <c r="H506" s="27">
        <f>IF(OR($C506="",$D506=""),"",$C506*$D506)</f>
        <v>0</v>
      </c>
    </row>
    <row r="507" spans="1:8">
      <c r="A507" s="25"/>
      <c r="B507" s="13"/>
      <c r="C507" s="20"/>
      <c r="D507" s="19"/>
      <c r="E507" s="13"/>
      <c r="F507" s="13"/>
      <c r="G507" s="26">
        <f>IF($B507="","",IFERROR(INDEX(PecDesc,MATCH($B507,PecCod,0)),"Peça não cadastrada"))</f>
        <v>0</v>
      </c>
      <c r="H507" s="27">
        <f>IF(OR($C507="",$D507=""),"",$C507*$D507)</f>
        <v>0</v>
      </c>
    </row>
    <row r="508" spans="1:8">
      <c r="A508" s="25"/>
      <c r="B508" s="13"/>
      <c r="C508" s="20"/>
      <c r="D508" s="19"/>
      <c r="E508" s="13"/>
      <c r="F508" s="13"/>
      <c r="G508" s="26">
        <f>IF($B508="","",IFERROR(INDEX(PecDesc,MATCH($B508,PecCod,0)),"Peça não cadastrada"))</f>
        <v>0</v>
      </c>
      <c r="H508" s="27">
        <f>IF(OR($C508="",$D508=""),"",$C508*$D508)</f>
        <v>0</v>
      </c>
    </row>
    <row r="509" spans="1:8">
      <c r="A509" s="25"/>
      <c r="B509" s="13"/>
      <c r="C509" s="20"/>
      <c r="D509" s="19"/>
      <c r="E509" s="13"/>
      <c r="F509" s="13"/>
      <c r="G509" s="26">
        <f>IF($B509="","",IFERROR(INDEX(PecDesc,MATCH($B509,PecCod,0)),"Peça não cadastrada"))</f>
        <v>0</v>
      </c>
      <c r="H509" s="27">
        <f>IF(OR($C509="",$D509=""),"",$C509*$D509)</f>
        <v>0</v>
      </c>
    </row>
    <row r="510" spans="1:8">
      <c r="A510" s="25"/>
      <c r="B510" s="13"/>
      <c r="C510" s="20"/>
      <c r="D510" s="19"/>
      <c r="E510" s="13"/>
      <c r="F510" s="13"/>
      <c r="G510" s="26">
        <f>IF($B510="","",IFERROR(INDEX(PecDesc,MATCH($B510,PecCod,0)),"Peça não cadastrada"))</f>
        <v>0</v>
      </c>
      <c r="H510" s="27">
        <f>IF(OR($C510="",$D510=""),"",$C510*$D510)</f>
        <v>0</v>
      </c>
    </row>
    <row r="511" spans="1:8">
      <c r="A511" s="25"/>
      <c r="B511" s="13"/>
      <c r="C511" s="20"/>
      <c r="D511" s="19"/>
      <c r="E511" s="13"/>
      <c r="F511" s="13"/>
      <c r="G511" s="26">
        <f>IF($B511="","",IFERROR(INDEX(PecDesc,MATCH($B511,PecCod,0)),"Peça não cadastrada"))</f>
        <v>0</v>
      </c>
      <c r="H511" s="27">
        <f>IF(OR($C511="",$D511=""),"",$C511*$D511)</f>
        <v>0</v>
      </c>
    </row>
    <row r="512" spans="1:8">
      <c r="A512" s="25"/>
      <c r="B512" s="13"/>
      <c r="C512" s="20"/>
      <c r="D512" s="19"/>
      <c r="E512" s="13"/>
      <c r="F512" s="13"/>
      <c r="G512" s="26">
        <f>IF($B512="","",IFERROR(INDEX(PecDesc,MATCH($B512,PecCod,0)),"Peça não cadastrada"))</f>
        <v>0</v>
      </c>
      <c r="H512" s="27">
        <f>IF(OR($C512="",$D512=""),"",$C512*$D512)</f>
        <v>0</v>
      </c>
    </row>
    <row r="513" spans="1:8">
      <c r="A513" s="25"/>
      <c r="B513" s="13"/>
      <c r="C513" s="20"/>
      <c r="D513" s="19"/>
      <c r="E513" s="13"/>
      <c r="F513" s="13"/>
      <c r="G513" s="26">
        <f>IF($B513="","",IFERROR(INDEX(PecDesc,MATCH($B513,PecCod,0)),"Peça não cadastrada"))</f>
        <v>0</v>
      </c>
      <c r="H513" s="27">
        <f>IF(OR($C513="",$D513=""),"",$C513*$D513)</f>
        <v>0</v>
      </c>
    </row>
    <row r="514" spans="1:8">
      <c r="A514" s="25"/>
      <c r="B514" s="13"/>
      <c r="C514" s="20"/>
      <c r="D514" s="19"/>
      <c r="E514" s="13"/>
      <c r="F514" s="13"/>
      <c r="G514" s="26">
        <f>IF($B514="","",IFERROR(INDEX(PecDesc,MATCH($B514,PecCod,0)),"Peça não cadastrada"))</f>
        <v>0</v>
      </c>
      <c r="H514" s="27">
        <f>IF(OR($C514="",$D514=""),"",$C514*$D514)</f>
        <v>0</v>
      </c>
    </row>
    <row r="515" spans="1:8">
      <c r="A515" s="25"/>
      <c r="B515" s="13"/>
      <c r="C515" s="20"/>
      <c r="D515" s="19"/>
      <c r="E515" s="13"/>
      <c r="F515" s="13"/>
      <c r="G515" s="26">
        <f>IF($B515="","",IFERROR(INDEX(PecDesc,MATCH($B515,PecCod,0)),"Peça não cadastrada"))</f>
        <v>0</v>
      </c>
      <c r="H515" s="27">
        <f>IF(OR($C515="",$D515=""),"",$C515*$D515)</f>
        <v>0</v>
      </c>
    </row>
    <row r="516" spans="1:8">
      <c r="A516" s="25"/>
      <c r="B516" s="13"/>
      <c r="C516" s="20"/>
      <c r="D516" s="19"/>
      <c r="E516" s="13"/>
      <c r="F516" s="13"/>
      <c r="G516" s="26">
        <f>IF($B516="","",IFERROR(INDEX(PecDesc,MATCH($B516,PecCod,0)),"Peça não cadastrada"))</f>
        <v>0</v>
      </c>
      <c r="H516" s="27">
        <f>IF(OR($C516="",$D516=""),"",$C516*$D516)</f>
        <v>0</v>
      </c>
    </row>
    <row r="517" spans="1:8">
      <c r="A517" s="25"/>
      <c r="B517" s="13"/>
      <c r="C517" s="20"/>
      <c r="D517" s="19"/>
      <c r="E517" s="13"/>
      <c r="F517" s="13"/>
      <c r="G517" s="26">
        <f>IF($B517="","",IFERROR(INDEX(PecDesc,MATCH($B517,PecCod,0)),"Peça não cadastrada"))</f>
        <v>0</v>
      </c>
      <c r="H517" s="27">
        <f>IF(OR($C517="",$D517=""),"",$C517*$D517)</f>
        <v>0</v>
      </c>
    </row>
    <row r="518" spans="1:8">
      <c r="A518" s="25"/>
      <c r="B518" s="13"/>
      <c r="C518" s="20"/>
      <c r="D518" s="19"/>
      <c r="E518" s="13"/>
      <c r="F518" s="13"/>
      <c r="G518" s="26">
        <f>IF($B518="","",IFERROR(INDEX(PecDesc,MATCH($B518,PecCod,0)),"Peça não cadastrada"))</f>
        <v>0</v>
      </c>
      <c r="H518" s="27">
        <f>IF(OR($C518="",$D518=""),"",$C518*$D518)</f>
        <v>0</v>
      </c>
    </row>
    <row r="519" spans="1:8">
      <c r="A519" s="25"/>
      <c r="B519" s="13"/>
      <c r="C519" s="20"/>
      <c r="D519" s="19"/>
      <c r="E519" s="13"/>
      <c r="F519" s="13"/>
      <c r="G519" s="26">
        <f>IF($B519="","",IFERROR(INDEX(PecDesc,MATCH($B519,PecCod,0)),"Peça não cadastrada"))</f>
        <v>0</v>
      </c>
      <c r="H519" s="27">
        <f>IF(OR($C519="",$D519=""),"",$C519*$D519)</f>
        <v>0</v>
      </c>
    </row>
    <row r="520" spans="1:8">
      <c r="A520" s="25"/>
      <c r="B520" s="13"/>
      <c r="C520" s="20"/>
      <c r="D520" s="19"/>
      <c r="E520" s="13"/>
      <c r="F520" s="13"/>
      <c r="G520" s="26">
        <f>IF($B520="","",IFERROR(INDEX(PecDesc,MATCH($B520,PecCod,0)),"Peça não cadastrada"))</f>
        <v>0</v>
      </c>
      <c r="H520" s="27">
        <f>IF(OR($C520="",$D520=""),"",$C520*$D520)</f>
        <v>0</v>
      </c>
    </row>
    <row r="521" spans="1:8">
      <c r="A521" s="25"/>
      <c r="B521" s="13"/>
      <c r="C521" s="20"/>
      <c r="D521" s="19"/>
      <c r="E521" s="13"/>
      <c r="F521" s="13"/>
      <c r="G521" s="26">
        <f>IF($B521="","",IFERROR(INDEX(PecDesc,MATCH($B521,PecCod,0)),"Peça não cadastrada"))</f>
        <v>0</v>
      </c>
      <c r="H521" s="27">
        <f>IF(OR($C521="",$D521=""),"",$C521*$D521)</f>
        <v>0</v>
      </c>
    </row>
    <row r="522" spans="1:8">
      <c r="A522" s="25"/>
      <c r="B522" s="13"/>
      <c r="C522" s="20"/>
      <c r="D522" s="19"/>
      <c r="E522" s="13"/>
      <c r="F522" s="13"/>
      <c r="G522" s="26">
        <f>IF($B522="","",IFERROR(INDEX(PecDesc,MATCH($B522,PecCod,0)),"Peça não cadastrada"))</f>
        <v>0</v>
      </c>
      <c r="H522" s="27">
        <f>IF(OR($C522="",$D522=""),"",$C522*$D522)</f>
        <v>0</v>
      </c>
    </row>
    <row r="523" spans="1:8">
      <c r="A523" s="25"/>
      <c r="B523" s="13"/>
      <c r="C523" s="20"/>
      <c r="D523" s="19"/>
      <c r="E523" s="13"/>
      <c r="F523" s="13"/>
      <c r="G523" s="26">
        <f>IF($B523="","",IFERROR(INDEX(PecDesc,MATCH($B523,PecCod,0)),"Peça não cadastrada"))</f>
        <v>0</v>
      </c>
      <c r="H523" s="27">
        <f>IF(OR($C523="",$D523=""),"",$C523*$D523)</f>
        <v>0</v>
      </c>
    </row>
    <row r="524" spans="1:8">
      <c r="A524" s="25"/>
      <c r="B524" s="13"/>
      <c r="C524" s="20"/>
      <c r="D524" s="19"/>
      <c r="E524" s="13"/>
      <c r="F524" s="13"/>
      <c r="G524" s="26">
        <f>IF($B524="","",IFERROR(INDEX(PecDesc,MATCH($B524,PecCod,0)),"Peça não cadastrada"))</f>
        <v>0</v>
      </c>
      <c r="H524" s="27">
        <f>IF(OR($C524="",$D524=""),"",$C524*$D524)</f>
        <v>0</v>
      </c>
    </row>
    <row r="525" spans="1:8">
      <c r="A525" s="25"/>
      <c r="B525" s="13"/>
      <c r="C525" s="20"/>
      <c r="D525" s="19"/>
      <c r="E525" s="13"/>
      <c r="F525" s="13"/>
      <c r="G525" s="26">
        <f>IF($B525="","",IFERROR(INDEX(PecDesc,MATCH($B525,PecCod,0)),"Peça não cadastrada"))</f>
        <v>0</v>
      </c>
      <c r="H525" s="27">
        <f>IF(OR($C525="",$D525=""),"",$C525*$D525)</f>
        <v>0</v>
      </c>
    </row>
    <row r="526" spans="1:8">
      <c r="A526" s="25"/>
      <c r="B526" s="13"/>
      <c r="C526" s="20"/>
      <c r="D526" s="19"/>
      <c r="E526" s="13"/>
      <c r="F526" s="13"/>
      <c r="G526" s="26">
        <f>IF($B526="","",IFERROR(INDEX(PecDesc,MATCH($B526,PecCod,0)),"Peça não cadastrada"))</f>
        <v>0</v>
      </c>
      <c r="H526" s="27">
        <f>IF(OR($C526="",$D526=""),"",$C526*$D526)</f>
        <v>0</v>
      </c>
    </row>
    <row r="527" spans="1:8">
      <c r="A527" s="25"/>
      <c r="B527" s="13"/>
      <c r="C527" s="20"/>
      <c r="D527" s="19"/>
      <c r="E527" s="13"/>
      <c r="F527" s="13"/>
      <c r="G527" s="26">
        <f>IF($B527="","",IFERROR(INDEX(PecDesc,MATCH($B527,PecCod,0)),"Peça não cadastrada"))</f>
        <v>0</v>
      </c>
      <c r="H527" s="27">
        <f>IF(OR($C527="",$D527=""),"",$C527*$D527)</f>
        <v>0</v>
      </c>
    </row>
    <row r="528" spans="1:8">
      <c r="A528" s="25"/>
      <c r="B528" s="13"/>
      <c r="C528" s="20"/>
      <c r="D528" s="19"/>
      <c r="E528" s="13"/>
      <c r="F528" s="13"/>
      <c r="G528" s="26">
        <f>IF($B528="","",IFERROR(INDEX(PecDesc,MATCH($B528,PecCod,0)),"Peça não cadastrada"))</f>
        <v>0</v>
      </c>
      <c r="H528" s="27">
        <f>IF(OR($C528="",$D528=""),"",$C528*$D528)</f>
        <v>0</v>
      </c>
    </row>
    <row r="529" spans="1:8">
      <c r="A529" s="25"/>
      <c r="B529" s="13"/>
      <c r="C529" s="20"/>
      <c r="D529" s="19"/>
      <c r="E529" s="13"/>
      <c r="F529" s="13"/>
      <c r="G529" s="26">
        <f>IF($B529="","",IFERROR(INDEX(PecDesc,MATCH($B529,PecCod,0)),"Peça não cadastrada"))</f>
        <v>0</v>
      </c>
      <c r="H529" s="27">
        <f>IF(OR($C529="",$D529=""),"",$C529*$D529)</f>
        <v>0</v>
      </c>
    </row>
    <row r="530" spans="1:8">
      <c r="A530" s="25"/>
      <c r="B530" s="13"/>
      <c r="C530" s="20"/>
      <c r="D530" s="19"/>
      <c r="E530" s="13"/>
      <c r="F530" s="13"/>
      <c r="G530" s="26">
        <f>IF($B530="","",IFERROR(INDEX(PecDesc,MATCH($B530,PecCod,0)),"Peça não cadastrada"))</f>
        <v>0</v>
      </c>
      <c r="H530" s="27">
        <f>IF(OR($C530="",$D530=""),"",$C530*$D530)</f>
        <v>0</v>
      </c>
    </row>
    <row r="531" spans="1:8">
      <c r="A531" s="25"/>
      <c r="B531" s="13"/>
      <c r="C531" s="20"/>
      <c r="D531" s="19"/>
      <c r="E531" s="13"/>
      <c r="F531" s="13"/>
      <c r="G531" s="26">
        <f>IF($B531="","",IFERROR(INDEX(PecDesc,MATCH($B531,PecCod,0)),"Peça não cadastrada"))</f>
        <v>0</v>
      </c>
      <c r="H531" s="27">
        <f>IF(OR($C531="",$D531=""),"",$C531*$D531)</f>
        <v>0</v>
      </c>
    </row>
    <row r="532" spans="1:8">
      <c r="A532" s="25"/>
      <c r="B532" s="13"/>
      <c r="C532" s="20"/>
      <c r="D532" s="19"/>
      <c r="E532" s="13"/>
      <c r="F532" s="13"/>
      <c r="G532" s="26">
        <f>IF($B532="","",IFERROR(INDEX(PecDesc,MATCH($B532,PecCod,0)),"Peça não cadastrada"))</f>
        <v>0</v>
      </c>
      <c r="H532" s="27">
        <f>IF(OR($C532="",$D532=""),"",$C532*$D532)</f>
        <v>0</v>
      </c>
    </row>
    <row r="533" spans="1:8">
      <c r="A533" s="25"/>
      <c r="B533" s="13"/>
      <c r="C533" s="20"/>
      <c r="D533" s="19"/>
      <c r="E533" s="13"/>
      <c r="F533" s="13"/>
      <c r="G533" s="26">
        <f>IF($B533="","",IFERROR(INDEX(PecDesc,MATCH($B533,PecCod,0)),"Peça não cadastrada"))</f>
        <v>0</v>
      </c>
      <c r="H533" s="27">
        <f>IF(OR($C533="",$D533=""),"",$C533*$D533)</f>
        <v>0</v>
      </c>
    </row>
    <row r="534" spans="1:8">
      <c r="A534" s="25"/>
      <c r="B534" s="13"/>
      <c r="C534" s="20"/>
      <c r="D534" s="19"/>
      <c r="E534" s="13"/>
      <c r="F534" s="13"/>
      <c r="G534" s="26">
        <f>IF($B534="","",IFERROR(INDEX(PecDesc,MATCH($B534,PecCod,0)),"Peça não cadastrada"))</f>
        <v>0</v>
      </c>
      <c r="H534" s="27">
        <f>IF(OR($C534="",$D534=""),"",$C534*$D534)</f>
        <v>0</v>
      </c>
    </row>
    <row r="535" spans="1:8">
      <c r="A535" s="25"/>
      <c r="B535" s="13"/>
      <c r="C535" s="20"/>
      <c r="D535" s="19"/>
      <c r="E535" s="13"/>
      <c r="F535" s="13"/>
      <c r="G535" s="26">
        <f>IF($B535="","",IFERROR(INDEX(PecDesc,MATCH($B535,PecCod,0)),"Peça não cadastrada"))</f>
        <v>0</v>
      </c>
      <c r="H535" s="27">
        <f>IF(OR($C535="",$D535=""),"",$C535*$D535)</f>
        <v>0</v>
      </c>
    </row>
    <row r="536" spans="1:8">
      <c r="A536" s="25"/>
      <c r="B536" s="13"/>
      <c r="C536" s="20"/>
      <c r="D536" s="19"/>
      <c r="E536" s="13"/>
      <c r="F536" s="13"/>
      <c r="G536" s="26">
        <f>IF($B536="","",IFERROR(INDEX(PecDesc,MATCH($B536,PecCod,0)),"Peça não cadastrada"))</f>
        <v>0</v>
      </c>
      <c r="H536" s="27">
        <f>IF(OR($C536="",$D536=""),"",$C536*$D536)</f>
        <v>0</v>
      </c>
    </row>
    <row r="537" spans="1:8">
      <c r="A537" s="25"/>
      <c r="B537" s="13"/>
      <c r="C537" s="20"/>
      <c r="D537" s="19"/>
      <c r="E537" s="13"/>
      <c r="F537" s="13"/>
      <c r="G537" s="26">
        <f>IF($B537="","",IFERROR(INDEX(PecDesc,MATCH($B537,PecCod,0)),"Peça não cadastrada"))</f>
        <v>0</v>
      </c>
      <c r="H537" s="27">
        <f>IF(OR($C537="",$D537=""),"",$C537*$D537)</f>
        <v>0</v>
      </c>
    </row>
    <row r="538" spans="1:8">
      <c r="A538" s="25"/>
      <c r="B538" s="13"/>
      <c r="C538" s="20"/>
      <c r="D538" s="19"/>
      <c r="E538" s="13"/>
      <c r="F538" s="13"/>
      <c r="G538" s="26">
        <f>IF($B538="","",IFERROR(INDEX(PecDesc,MATCH($B538,PecCod,0)),"Peça não cadastrada"))</f>
        <v>0</v>
      </c>
      <c r="H538" s="27">
        <f>IF(OR($C538="",$D538=""),"",$C538*$D538)</f>
        <v>0</v>
      </c>
    </row>
    <row r="539" spans="1:8">
      <c r="A539" s="25"/>
      <c r="B539" s="13"/>
      <c r="C539" s="20"/>
      <c r="D539" s="19"/>
      <c r="E539" s="13"/>
      <c r="F539" s="13"/>
      <c r="G539" s="26">
        <f>IF($B539="","",IFERROR(INDEX(PecDesc,MATCH($B539,PecCod,0)),"Peça não cadastrada"))</f>
        <v>0</v>
      </c>
      <c r="H539" s="27">
        <f>IF(OR($C539="",$D539=""),"",$C539*$D539)</f>
        <v>0</v>
      </c>
    </row>
    <row r="540" spans="1:8">
      <c r="A540" s="25"/>
      <c r="B540" s="13"/>
      <c r="C540" s="20"/>
      <c r="D540" s="19"/>
      <c r="E540" s="13"/>
      <c r="F540" s="13"/>
      <c r="G540" s="26">
        <f>IF($B540="","",IFERROR(INDEX(PecDesc,MATCH($B540,PecCod,0)),"Peça não cadastrada"))</f>
        <v>0</v>
      </c>
      <c r="H540" s="27">
        <f>IF(OR($C540="",$D540=""),"",$C540*$D540)</f>
        <v>0</v>
      </c>
    </row>
    <row r="541" spans="1:8">
      <c r="A541" s="25"/>
      <c r="B541" s="13"/>
      <c r="C541" s="20"/>
      <c r="D541" s="19"/>
      <c r="E541" s="13"/>
      <c r="F541" s="13"/>
      <c r="G541" s="26">
        <f>IF($B541="","",IFERROR(INDEX(PecDesc,MATCH($B541,PecCod,0)),"Peça não cadastrada"))</f>
        <v>0</v>
      </c>
      <c r="H541" s="27">
        <f>IF(OR($C541="",$D541=""),"",$C541*$D541)</f>
        <v>0</v>
      </c>
    </row>
    <row r="542" spans="1:8">
      <c r="A542" s="25"/>
      <c r="B542" s="13"/>
      <c r="C542" s="20"/>
      <c r="D542" s="19"/>
      <c r="E542" s="13"/>
      <c r="F542" s="13"/>
      <c r="G542" s="26">
        <f>IF($B542="","",IFERROR(INDEX(PecDesc,MATCH($B542,PecCod,0)),"Peça não cadastrada"))</f>
        <v>0</v>
      </c>
      <c r="H542" s="27">
        <f>IF(OR($C542="",$D542=""),"",$C542*$D542)</f>
        <v>0</v>
      </c>
    </row>
    <row r="543" spans="1:8">
      <c r="A543" s="25"/>
      <c r="B543" s="13"/>
      <c r="C543" s="20"/>
      <c r="D543" s="19"/>
      <c r="E543" s="13"/>
      <c r="F543" s="13"/>
      <c r="G543" s="26">
        <f>IF($B543="","",IFERROR(INDEX(PecDesc,MATCH($B543,PecCod,0)),"Peça não cadastrada"))</f>
        <v>0</v>
      </c>
      <c r="H543" s="27">
        <f>IF(OR($C543="",$D543=""),"",$C543*$D543)</f>
        <v>0</v>
      </c>
    </row>
    <row r="544" spans="1:8">
      <c r="A544" s="25"/>
      <c r="B544" s="13"/>
      <c r="C544" s="20"/>
      <c r="D544" s="19"/>
      <c r="E544" s="13"/>
      <c r="F544" s="13"/>
      <c r="G544" s="26">
        <f>IF($B544="","",IFERROR(INDEX(PecDesc,MATCH($B544,PecCod,0)),"Peça não cadastrada"))</f>
        <v>0</v>
      </c>
      <c r="H544" s="27">
        <f>IF(OR($C544="",$D544=""),"",$C544*$D544)</f>
        <v>0</v>
      </c>
    </row>
    <row r="545" spans="1:8">
      <c r="A545" s="25"/>
      <c r="B545" s="13"/>
      <c r="C545" s="20"/>
      <c r="D545" s="19"/>
      <c r="E545" s="13"/>
      <c r="F545" s="13"/>
      <c r="G545" s="26">
        <f>IF($B545="","",IFERROR(INDEX(PecDesc,MATCH($B545,PecCod,0)),"Peça não cadastrada"))</f>
        <v>0</v>
      </c>
      <c r="H545" s="27">
        <f>IF(OR($C545="",$D545=""),"",$C545*$D545)</f>
        <v>0</v>
      </c>
    </row>
    <row r="546" spans="1:8">
      <c r="A546" s="25"/>
      <c r="B546" s="13"/>
      <c r="C546" s="20"/>
      <c r="D546" s="19"/>
      <c r="E546" s="13"/>
      <c r="F546" s="13"/>
      <c r="G546" s="26">
        <f>IF($B546="","",IFERROR(INDEX(PecDesc,MATCH($B546,PecCod,0)),"Peça não cadastrada"))</f>
        <v>0</v>
      </c>
      <c r="H546" s="27">
        <f>IF(OR($C546="",$D546=""),"",$C546*$D546)</f>
        <v>0</v>
      </c>
    </row>
    <row r="547" spans="1:8">
      <c r="A547" s="25"/>
      <c r="B547" s="13"/>
      <c r="C547" s="20"/>
      <c r="D547" s="19"/>
      <c r="E547" s="13"/>
      <c r="F547" s="13"/>
      <c r="G547" s="26">
        <f>IF($B547="","",IFERROR(INDEX(PecDesc,MATCH($B547,PecCod,0)),"Peça não cadastrada"))</f>
        <v>0</v>
      </c>
      <c r="H547" s="27">
        <f>IF(OR($C547="",$D547=""),"",$C547*$D547)</f>
        <v>0</v>
      </c>
    </row>
    <row r="548" spans="1:8">
      <c r="A548" s="25"/>
      <c r="B548" s="13"/>
      <c r="C548" s="20"/>
      <c r="D548" s="19"/>
      <c r="E548" s="13"/>
      <c r="F548" s="13"/>
      <c r="G548" s="26">
        <f>IF($B548="","",IFERROR(INDEX(PecDesc,MATCH($B548,PecCod,0)),"Peça não cadastrada"))</f>
        <v>0</v>
      </c>
      <c r="H548" s="27">
        <f>IF(OR($C548="",$D548=""),"",$C548*$D548)</f>
        <v>0</v>
      </c>
    </row>
    <row r="549" spans="1:8">
      <c r="A549" s="25"/>
      <c r="B549" s="13"/>
      <c r="C549" s="20"/>
      <c r="D549" s="19"/>
      <c r="E549" s="13"/>
      <c r="F549" s="13"/>
      <c r="G549" s="26">
        <f>IF($B549="","",IFERROR(INDEX(PecDesc,MATCH($B549,PecCod,0)),"Peça não cadastrada"))</f>
        <v>0</v>
      </c>
      <c r="H549" s="27">
        <f>IF(OR($C549="",$D549=""),"",$C549*$D549)</f>
        <v>0</v>
      </c>
    </row>
    <row r="550" spans="1:8">
      <c r="A550" s="25"/>
      <c r="B550" s="13"/>
      <c r="C550" s="20"/>
      <c r="D550" s="19"/>
      <c r="E550" s="13"/>
      <c r="F550" s="13"/>
      <c r="G550" s="26">
        <f>IF($B550="","",IFERROR(INDEX(PecDesc,MATCH($B550,PecCod,0)),"Peça não cadastrada"))</f>
        <v>0</v>
      </c>
      <c r="H550" s="27">
        <f>IF(OR($C550="",$D550=""),"",$C550*$D550)</f>
        <v>0</v>
      </c>
    </row>
    <row r="551" spans="1:8">
      <c r="A551" s="25"/>
      <c r="B551" s="13"/>
      <c r="C551" s="20"/>
      <c r="D551" s="19"/>
      <c r="E551" s="13"/>
      <c r="F551" s="13"/>
      <c r="G551" s="26">
        <f>IF($B551="","",IFERROR(INDEX(PecDesc,MATCH($B551,PecCod,0)),"Peça não cadastrada"))</f>
        <v>0</v>
      </c>
      <c r="H551" s="27">
        <f>IF(OR($C551="",$D551=""),"",$C551*$D551)</f>
        <v>0</v>
      </c>
    </row>
    <row r="552" spans="1:8">
      <c r="A552" s="25"/>
      <c r="B552" s="13"/>
      <c r="C552" s="20"/>
      <c r="D552" s="19"/>
      <c r="E552" s="13"/>
      <c r="F552" s="13"/>
      <c r="G552" s="26">
        <f>IF($B552="","",IFERROR(INDEX(PecDesc,MATCH($B552,PecCod,0)),"Peça não cadastrada"))</f>
        <v>0</v>
      </c>
      <c r="H552" s="27">
        <f>IF(OR($C552="",$D552=""),"",$C552*$D552)</f>
        <v>0</v>
      </c>
    </row>
    <row r="553" spans="1:8">
      <c r="A553" s="25"/>
      <c r="B553" s="13"/>
      <c r="C553" s="20"/>
      <c r="D553" s="19"/>
      <c r="E553" s="13"/>
      <c r="F553" s="13"/>
      <c r="G553" s="26">
        <f>IF($B553="","",IFERROR(INDEX(PecDesc,MATCH($B553,PecCod,0)),"Peça não cadastrada"))</f>
        <v>0</v>
      </c>
      <c r="H553" s="27">
        <f>IF(OR($C553="",$D553=""),"",$C553*$D553)</f>
        <v>0</v>
      </c>
    </row>
    <row r="554" spans="1:8">
      <c r="A554" s="25"/>
      <c r="B554" s="13"/>
      <c r="C554" s="20"/>
      <c r="D554" s="19"/>
      <c r="E554" s="13"/>
      <c r="F554" s="13"/>
      <c r="G554" s="26">
        <f>IF($B554="","",IFERROR(INDEX(PecDesc,MATCH($B554,PecCod,0)),"Peça não cadastrada"))</f>
        <v>0</v>
      </c>
      <c r="H554" s="27">
        <f>IF(OR($C554="",$D554=""),"",$C554*$D554)</f>
        <v>0</v>
      </c>
    </row>
    <row r="555" spans="1:8">
      <c r="A555" s="25"/>
      <c r="B555" s="13"/>
      <c r="C555" s="20"/>
      <c r="D555" s="19"/>
      <c r="E555" s="13"/>
      <c r="F555" s="13"/>
      <c r="G555" s="26">
        <f>IF($B555="","",IFERROR(INDEX(PecDesc,MATCH($B555,PecCod,0)),"Peça não cadastrada"))</f>
        <v>0</v>
      </c>
      <c r="H555" s="27">
        <f>IF(OR($C555="",$D555=""),"",$C555*$D555)</f>
        <v>0</v>
      </c>
    </row>
    <row r="556" spans="1:8">
      <c r="A556" s="25"/>
      <c r="B556" s="13"/>
      <c r="C556" s="20"/>
      <c r="D556" s="19"/>
      <c r="E556" s="13"/>
      <c r="F556" s="13"/>
      <c r="G556" s="26">
        <f>IF($B556="","",IFERROR(INDEX(PecDesc,MATCH($B556,PecCod,0)),"Peça não cadastrada"))</f>
        <v>0</v>
      </c>
      <c r="H556" s="27">
        <f>IF(OR($C556="",$D556=""),"",$C556*$D556)</f>
        <v>0</v>
      </c>
    </row>
    <row r="557" spans="1:8">
      <c r="A557" s="25"/>
      <c r="B557" s="13"/>
      <c r="C557" s="20"/>
      <c r="D557" s="19"/>
      <c r="E557" s="13"/>
      <c r="F557" s="13"/>
      <c r="G557" s="26">
        <f>IF($B557="","",IFERROR(INDEX(PecDesc,MATCH($B557,PecCod,0)),"Peça não cadastrada"))</f>
        <v>0</v>
      </c>
      <c r="H557" s="27">
        <f>IF(OR($C557="",$D557=""),"",$C557*$D557)</f>
        <v>0</v>
      </c>
    </row>
    <row r="558" spans="1:8">
      <c r="A558" s="25"/>
      <c r="B558" s="13"/>
      <c r="C558" s="20"/>
      <c r="D558" s="19"/>
      <c r="E558" s="13"/>
      <c r="F558" s="13"/>
      <c r="G558" s="26">
        <f>IF($B558="","",IFERROR(INDEX(PecDesc,MATCH($B558,PecCod,0)),"Peça não cadastrada"))</f>
        <v>0</v>
      </c>
      <c r="H558" s="27">
        <f>IF(OR($C558="",$D558=""),"",$C558*$D558)</f>
        <v>0</v>
      </c>
    </row>
    <row r="559" spans="1:8">
      <c r="A559" s="25"/>
      <c r="B559" s="13"/>
      <c r="C559" s="20"/>
      <c r="D559" s="19"/>
      <c r="E559" s="13"/>
      <c r="F559" s="13"/>
      <c r="G559" s="26">
        <f>IF($B559="","",IFERROR(INDEX(PecDesc,MATCH($B559,PecCod,0)),"Peça não cadastrada"))</f>
        <v>0</v>
      </c>
      <c r="H559" s="27">
        <f>IF(OR($C559="",$D559=""),"",$C559*$D559)</f>
        <v>0</v>
      </c>
    </row>
    <row r="560" spans="1:8">
      <c r="A560" s="25"/>
      <c r="B560" s="13"/>
      <c r="C560" s="20"/>
      <c r="D560" s="19"/>
      <c r="E560" s="13"/>
      <c r="F560" s="13"/>
      <c r="G560" s="26">
        <f>IF($B560="","",IFERROR(INDEX(PecDesc,MATCH($B560,PecCod,0)),"Peça não cadastrada"))</f>
        <v>0</v>
      </c>
      <c r="H560" s="27">
        <f>IF(OR($C560="",$D560=""),"",$C560*$D560)</f>
        <v>0</v>
      </c>
    </row>
    <row r="561" spans="1:8">
      <c r="A561" s="25"/>
      <c r="B561" s="13"/>
      <c r="C561" s="20"/>
      <c r="D561" s="19"/>
      <c r="E561" s="13"/>
      <c r="F561" s="13"/>
      <c r="G561" s="26">
        <f>IF($B561="","",IFERROR(INDEX(PecDesc,MATCH($B561,PecCod,0)),"Peça não cadastrada"))</f>
        <v>0</v>
      </c>
      <c r="H561" s="27">
        <f>IF(OR($C561="",$D561=""),"",$C561*$D561)</f>
        <v>0</v>
      </c>
    </row>
    <row r="562" spans="1:8">
      <c r="A562" s="25"/>
      <c r="B562" s="13"/>
      <c r="C562" s="20"/>
      <c r="D562" s="19"/>
      <c r="E562" s="13"/>
      <c r="F562" s="13"/>
      <c r="G562" s="26">
        <f>IF($B562="","",IFERROR(INDEX(PecDesc,MATCH($B562,PecCod,0)),"Peça não cadastrada"))</f>
        <v>0</v>
      </c>
      <c r="H562" s="27">
        <f>IF(OR($C562="",$D562=""),"",$C562*$D562)</f>
        <v>0</v>
      </c>
    </row>
    <row r="563" spans="1:8">
      <c r="A563" s="25"/>
      <c r="B563" s="13"/>
      <c r="C563" s="20"/>
      <c r="D563" s="19"/>
      <c r="E563" s="13"/>
      <c r="F563" s="13"/>
      <c r="G563" s="26">
        <f>IF($B563="","",IFERROR(INDEX(PecDesc,MATCH($B563,PecCod,0)),"Peça não cadastrada"))</f>
        <v>0</v>
      </c>
      <c r="H563" s="27">
        <f>IF(OR($C563="",$D563=""),"",$C563*$D563)</f>
        <v>0</v>
      </c>
    </row>
    <row r="564" spans="1:8">
      <c r="A564" s="25"/>
      <c r="B564" s="13"/>
      <c r="C564" s="20"/>
      <c r="D564" s="19"/>
      <c r="E564" s="13"/>
      <c r="F564" s="13"/>
      <c r="G564" s="26">
        <f>IF($B564="","",IFERROR(INDEX(PecDesc,MATCH($B564,PecCod,0)),"Peça não cadastrada"))</f>
        <v>0</v>
      </c>
      <c r="H564" s="27">
        <f>IF(OR($C564="",$D564=""),"",$C564*$D564)</f>
        <v>0</v>
      </c>
    </row>
    <row r="565" spans="1:8">
      <c r="A565" s="25"/>
      <c r="B565" s="13"/>
      <c r="C565" s="20"/>
      <c r="D565" s="19"/>
      <c r="E565" s="13"/>
      <c r="F565" s="13"/>
      <c r="G565" s="26">
        <f>IF($B565="","",IFERROR(INDEX(PecDesc,MATCH($B565,PecCod,0)),"Peça não cadastrada"))</f>
        <v>0</v>
      </c>
      <c r="H565" s="27">
        <f>IF(OR($C565="",$D565=""),"",$C565*$D565)</f>
        <v>0</v>
      </c>
    </row>
    <row r="566" spans="1:8">
      <c r="A566" s="25"/>
      <c r="B566" s="13"/>
      <c r="C566" s="20"/>
      <c r="D566" s="19"/>
      <c r="E566" s="13"/>
      <c r="F566" s="13"/>
      <c r="G566" s="26">
        <f>IF($B566="","",IFERROR(INDEX(PecDesc,MATCH($B566,PecCod,0)),"Peça não cadastrada"))</f>
        <v>0</v>
      </c>
      <c r="H566" s="27">
        <f>IF(OR($C566="",$D566=""),"",$C566*$D566)</f>
        <v>0</v>
      </c>
    </row>
    <row r="567" spans="1:8">
      <c r="A567" s="25"/>
      <c r="B567" s="13"/>
      <c r="C567" s="20"/>
      <c r="D567" s="19"/>
      <c r="E567" s="13"/>
      <c r="F567" s="13"/>
      <c r="G567" s="26">
        <f>IF($B567="","",IFERROR(INDEX(PecDesc,MATCH($B567,PecCod,0)),"Peça não cadastrada"))</f>
        <v>0</v>
      </c>
      <c r="H567" s="27">
        <f>IF(OR($C567="",$D567=""),"",$C567*$D567)</f>
        <v>0</v>
      </c>
    </row>
    <row r="568" spans="1:8">
      <c r="A568" s="25"/>
      <c r="B568" s="13"/>
      <c r="C568" s="20"/>
      <c r="D568" s="19"/>
      <c r="E568" s="13"/>
      <c r="F568" s="13"/>
      <c r="G568" s="26">
        <f>IF($B568="","",IFERROR(INDEX(PecDesc,MATCH($B568,PecCod,0)),"Peça não cadastrada"))</f>
        <v>0</v>
      </c>
      <c r="H568" s="27">
        <f>IF(OR($C568="",$D568=""),"",$C568*$D568)</f>
        <v>0</v>
      </c>
    </row>
    <row r="569" spans="1:8">
      <c r="A569" s="25"/>
      <c r="B569" s="13"/>
      <c r="C569" s="20"/>
      <c r="D569" s="19"/>
      <c r="E569" s="13"/>
      <c r="F569" s="13"/>
      <c r="G569" s="26">
        <f>IF($B569="","",IFERROR(INDEX(PecDesc,MATCH($B569,PecCod,0)),"Peça não cadastrada"))</f>
        <v>0</v>
      </c>
      <c r="H569" s="27">
        <f>IF(OR($C569="",$D569=""),"",$C569*$D569)</f>
        <v>0</v>
      </c>
    </row>
    <row r="570" spans="1:8">
      <c r="A570" s="25"/>
      <c r="B570" s="13"/>
      <c r="C570" s="20"/>
      <c r="D570" s="19"/>
      <c r="E570" s="13"/>
      <c r="F570" s="13"/>
      <c r="G570" s="26">
        <f>IF($B570="","",IFERROR(INDEX(PecDesc,MATCH($B570,PecCod,0)),"Peça não cadastrada"))</f>
        <v>0</v>
      </c>
      <c r="H570" s="27">
        <f>IF(OR($C570="",$D570=""),"",$C570*$D570)</f>
        <v>0</v>
      </c>
    </row>
    <row r="571" spans="1:8">
      <c r="A571" s="25"/>
      <c r="B571" s="13"/>
      <c r="C571" s="20"/>
      <c r="D571" s="19"/>
      <c r="E571" s="13"/>
      <c r="F571" s="13"/>
      <c r="G571" s="26">
        <f>IF($B571="","",IFERROR(INDEX(PecDesc,MATCH($B571,PecCod,0)),"Peça não cadastrada"))</f>
        <v>0</v>
      </c>
      <c r="H571" s="27">
        <f>IF(OR($C571="",$D571=""),"",$C571*$D571)</f>
        <v>0</v>
      </c>
    </row>
    <row r="572" spans="1:8">
      <c r="A572" s="25"/>
      <c r="B572" s="13"/>
      <c r="C572" s="20"/>
      <c r="D572" s="19"/>
      <c r="E572" s="13"/>
      <c r="F572" s="13"/>
      <c r="G572" s="26">
        <f>IF($B572="","",IFERROR(INDEX(PecDesc,MATCH($B572,PecCod,0)),"Peça não cadastrada"))</f>
        <v>0</v>
      </c>
      <c r="H572" s="27">
        <f>IF(OR($C572="",$D572=""),"",$C572*$D572)</f>
        <v>0</v>
      </c>
    </row>
    <row r="573" spans="1:8">
      <c r="A573" s="25"/>
      <c r="B573" s="13"/>
      <c r="C573" s="20"/>
      <c r="D573" s="19"/>
      <c r="E573" s="13"/>
      <c r="F573" s="13"/>
      <c r="G573" s="26">
        <f>IF($B573="","",IFERROR(INDEX(PecDesc,MATCH($B573,PecCod,0)),"Peça não cadastrada"))</f>
        <v>0</v>
      </c>
      <c r="H573" s="27">
        <f>IF(OR($C573="",$D573=""),"",$C573*$D573)</f>
        <v>0</v>
      </c>
    </row>
    <row r="574" spans="1:8">
      <c r="A574" s="25"/>
      <c r="B574" s="13"/>
      <c r="C574" s="20"/>
      <c r="D574" s="19"/>
      <c r="E574" s="13"/>
      <c r="F574" s="13"/>
      <c r="G574" s="26">
        <f>IF($B574="","",IFERROR(INDEX(PecDesc,MATCH($B574,PecCod,0)),"Peça não cadastrada"))</f>
        <v>0</v>
      </c>
      <c r="H574" s="27">
        <f>IF(OR($C574="",$D574=""),"",$C574*$D574)</f>
        <v>0</v>
      </c>
    </row>
    <row r="575" spans="1:8">
      <c r="A575" s="25"/>
      <c r="B575" s="13"/>
      <c r="C575" s="20"/>
      <c r="D575" s="19"/>
      <c r="E575" s="13"/>
      <c r="F575" s="13"/>
      <c r="G575" s="26">
        <f>IF($B575="","",IFERROR(INDEX(PecDesc,MATCH($B575,PecCod,0)),"Peça não cadastrada"))</f>
        <v>0</v>
      </c>
      <c r="H575" s="27">
        <f>IF(OR($C575="",$D575=""),"",$C575*$D575)</f>
        <v>0</v>
      </c>
    </row>
    <row r="576" spans="1:8">
      <c r="A576" s="25"/>
      <c r="B576" s="13"/>
      <c r="C576" s="20"/>
      <c r="D576" s="19"/>
      <c r="E576" s="13"/>
      <c r="F576" s="13"/>
      <c r="G576" s="26">
        <f>IF($B576="","",IFERROR(INDEX(PecDesc,MATCH($B576,PecCod,0)),"Peça não cadastrada"))</f>
        <v>0</v>
      </c>
      <c r="H576" s="27">
        <f>IF(OR($C576="",$D576=""),"",$C576*$D576)</f>
        <v>0</v>
      </c>
    </row>
    <row r="577" spans="1:8">
      <c r="A577" s="25"/>
      <c r="B577" s="13"/>
      <c r="C577" s="20"/>
      <c r="D577" s="19"/>
      <c r="E577" s="13"/>
      <c r="F577" s="13"/>
      <c r="G577" s="26">
        <f>IF($B577="","",IFERROR(INDEX(PecDesc,MATCH($B577,PecCod,0)),"Peça não cadastrada"))</f>
        <v>0</v>
      </c>
      <c r="H577" s="27">
        <f>IF(OR($C577="",$D577=""),"",$C577*$D577)</f>
        <v>0</v>
      </c>
    </row>
    <row r="578" spans="1:8">
      <c r="A578" s="25"/>
      <c r="B578" s="13"/>
      <c r="C578" s="20"/>
      <c r="D578" s="19"/>
      <c r="E578" s="13"/>
      <c r="F578" s="13"/>
      <c r="G578" s="26">
        <f>IF($B578="","",IFERROR(INDEX(PecDesc,MATCH($B578,PecCod,0)),"Peça não cadastrada"))</f>
        <v>0</v>
      </c>
      <c r="H578" s="27">
        <f>IF(OR($C578="",$D578=""),"",$C578*$D578)</f>
        <v>0</v>
      </c>
    </row>
    <row r="579" spans="1:8">
      <c r="A579" s="25"/>
      <c r="B579" s="13"/>
      <c r="C579" s="20"/>
      <c r="D579" s="19"/>
      <c r="E579" s="13"/>
      <c r="F579" s="13"/>
      <c r="G579" s="26">
        <f>IF($B579="","",IFERROR(INDEX(PecDesc,MATCH($B579,PecCod,0)),"Peça não cadastrada"))</f>
        <v>0</v>
      </c>
      <c r="H579" s="27">
        <f>IF(OR($C579="",$D579=""),"",$C579*$D579)</f>
        <v>0</v>
      </c>
    </row>
    <row r="580" spans="1:8">
      <c r="A580" s="25"/>
      <c r="B580" s="13"/>
      <c r="C580" s="20"/>
      <c r="D580" s="19"/>
      <c r="E580" s="13"/>
      <c r="F580" s="13"/>
      <c r="G580" s="26">
        <f>IF($B580="","",IFERROR(INDEX(PecDesc,MATCH($B580,PecCod,0)),"Peça não cadastrada"))</f>
        <v>0</v>
      </c>
      <c r="H580" s="27">
        <f>IF(OR($C580="",$D580=""),"",$C580*$D580)</f>
        <v>0</v>
      </c>
    </row>
    <row r="581" spans="1:8">
      <c r="A581" s="25"/>
      <c r="B581" s="13"/>
      <c r="C581" s="20"/>
      <c r="D581" s="19"/>
      <c r="E581" s="13"/>
      <c r="F581" s="13"/>
      <c r="G581" s="26">
        <f>IF($B581="","",IFERROR(INDEX(PecDesc,MATCH($B581,PecCod,0)),"Peça não cadastrada"))</f>
        <v>0</v>
      </c>
      <c r="H581" s="27">
        <f>IF(OR($C581="",$D581=""),"",$C581*$D581)</f>
        <v>0</v>
      </c>
    </row>
    <row r="582" spans="1:8">
      <c r="A582" s="25"/>
      <c r="B582" s="13"/>
      <c r="C582" s="20"/>
      <c r="D582" s="19"/>
      <c r="E582" s="13"/>
      <c r="F582" s="13"/>
      <c r="G582" s="26">
        <f>IF($B582="","",IFERROR(INDEX(PecDesc,MATCH($B582,PecCod,0)),"Peça não cadastrada"))</f>
        <v>0</v>
      </c>
      <c r="H582" s="27">
        <f>IF(OR($C582="",$D582=""),"",$C582*$D582)</f>
        <v>0</v>
      </c>
    </row>
    <row r="583" spans="1:8">
      <c r="A583" s="25"/>
      <c r="B583" s="13"/>
      <c r="C583" s="20"/>
      <c r="D583" s="19"/>
      <c r="E583" s="13"/>
      <c r="F583" s="13"/>
      <c r="G583" s="26">
        <f>IF($B583="","",IFERROR(INDEX(PecDesc,MATCH($B583,PecCod,0)),"Peça não cadastrada"))</f>
        <v>0</v>
      </c>
      <c r="H583" s="27">
        <f>IF(OR($C583="",$D583=""),"",$C583*$D583)</f>
        <v>0</v>
      </c>
    </row>
    <row r="584" spans="1:8">
      <c r="A584" s="25"/>
      <c r="B584" s="13"/>
      <c r="C584" s="20"/>
      <c r="D584" s="19"/>
      <c r="E584" s="13"/>
      <c r="F584" s="13"/>
      <c r="G584" s="26">
        <f>IF($B584="","",IFERROR(INDEX(PecDesc,MATCH($B584,PecCod,0)),"Peça não cadastrada"))</f>
        <v>0</v>
      </c>
      <c r="H584" s="27">
        <f>IF(OR($C584="",$D584=""),"",$C584*$D584)</f>
        <v>0</v>
      </c>
    </row>
    <row r="585" spans="1:8">
      <c r="A585" s="25"/>
      <c r="B585" s="13"/>
      <c r="C585" s="20"/>
      <c r="D585" s="19"/>
      <c r="E585" s="13"/>
      <c r="F585" s="13"/>
      <c r="G585" s="26">
        <f>IF($B585="","",IFERROR(INDEX(PecDesc,MATCH($B585,PecCod,0)),"Peça não cadastrada"))</f>
        <v>0</v>
      </c>
      <c r="H585" s="27">
        <f>IF(OR($C585="",$D585=""),"",$C585*$D585)</f>
        <v>0</v>
      </c>
    </row>
    <row r="586" spans="1:8">
      <c r="A586" s="25"/>
      <c r="B586" s="13"/>
      <c r="C586" s="20"/>
      <c r="D586" s="19"/>
      <c r="E586" s="13"/>
      <c r="F586" s="13"/>
      <c r="G586" s="26">
        <f>IF($B586="","",IFERROR(INDEX(PecDesc,MATCH($B586,PecCod,0)),"Peça não cadastrada"))</f>
        <v>0</v>
      </c>
      <c r="H586" s="27">
        <f>IF(OR($C586="",$D586=""),"",$C586*$D586)</f>
        <v>0</v>
      </c>
    </row>
    <row r="587" spans="1:8">
      <c r="A587" s="25"/>
      <c r="B587" s="13"/>
      <c r="C587" s="20"/>
      <c r="D587" s="19"/>
      <c r="E587" s="13"/>
      <c r="F587" s="13"/>
      <c r="G587" s="26">
        <f>IF($B587="","",IFERROR(INDEX(PecDesc,MATCH($B587,PecCod,0)),"Peça não cadastrada"))</f>
        <v>0</v>
      </c>
      <c r="H587" s="27">
        <f>IF(OR($C587="",$D587=""),"",$C587*$D587)</f>
        <v>0</v>
      </c>
    </row>
    <row r="588" spans="1:8">
      <c r="A588" s="25"/>
      <c r="B588" s="13"/>
      <c r="C588" s="20"/>
      <c r="D588" s="19"/>
      <c r="E588" s="13"/>
      <c r="F588" s="13"/>
      <c r="G588" s="26">
        <f>IF($B588="","",IFERROR(INDEX(PecDesc,MATCH($B588,PecCod,0)),"Peça não cadastrada"))</f>
        <v>0</v>
      </c>
      <c r="H588" s="27">
        <f>IF(OR($C588="",$D588=""),"",$C588*$D588)</f>
        <v>0</v>
      </c>
    </row>
    <row r="589" spans="1:8">
      <c r="A589" s="25"/>
      <c r="B589" s="13"/>
      <c r="C589" s="20"/>
      <c r="D589" s="19"/>
      <c r="E589" s="13"/>
      <c r="F589" s="13"/>
      <c r="G589" s="26">
        <f>IF($B589="","",IFERROR(INDEX(PecDesc,MATCH($B589,PecCod,0)),"Peça não cadastrada"))</f>
        <v>0</v>
      </c>
      <c r="H589" s="27">
        <f>IF(OR($C589="",$D589=""),"",$C589*$D589)</f>
        <v>0</v>
      </c>
    </row>
    <row r="590" spans="1:8">
      <c r="A590" s="25"/>
      <c r="B590" s="13"/>
      <c r="C590" s="20"/>
      <c r="D590" s="19"/>
      <c r="E590" s="13"/>
      <c r="F590" s="13"/>
      <c r="G590" s="26">
        <f>IF($B590="","",IFERROR(INDEX(PecDesc,MATCH($B590,PecCod,0)),"Peça não cadastrada"))</f>
        <v>0</v>
      </c>
      <c r="H590" s="27">
        <f>IF(OR($C590="",$D590=""),"",$C590*$D590)</f>
        <v>0</v>
      </c>
    </row>
    <row r="591" spans="1:8">
      <c r="A591" s="25"/>
      <c r="B591" s="13"/>
      <c r="C591" s="20"/>
      <c r="D591" s="19"/>
      <c r="E591" s="13"/>
      <c r="F591" s="13"/>
      <c r="G591" s="26">
        <f>IF($B591="","",IFERROR(INDEX(PecDesc,MATCH($B591,PecCod,0)),"Peça não cadastrada"))</f>
        <v>0</v>
      </c>
      <c r="H591" s="27">
        <f>IF(OR($C591="",$D591=""),"",$C591*$D591)</f>
        <v>0</v>
      </c>
    </row>
    <row r="592" spans="1:8">
      <c r="A592" s="25"/>
      <c r="B592" s="13"/>
      <c r="C592" s="20"/>
      <c r="D592" s="19"/>
      <c r="E592" s="13"/>
      <c r="F592" s="13"/>
      <c r="G592" s="26">
        <f>IF($B592="","",IFERROR(INDEX(PecDesc,MATCH($B592,PecCod,0)),"Peça não cadastrada"))</f>
        <v>0</v>
      </c>
      <c r="H592" s="27">
        <f>IF(OR($C592="",$D592=""),"",$C592*$D592)</f>
        <v>0</v>
      </c>
    </row>
    <row r="593" spans="1:8">
      <c r="A593" s="25"/>
      <c r="B593" s="13"/>
      <c r="C593" s="20"/>
      <c r="D593" s="19"/>
      <c r="E593" s="13"/>
      <c r="F593" s="13"/>
      <c r="G593" s="26">
        <f>IF($B593="","",IFERROR(INDEX(PecDesc,MATCH($B593,PecCod,0)),"Peça não cadastrada"))</f>
        <v>0</v>
      </c>
      <c r="H593" s="27">
        <f>IF(OR($C593="",$D593=""),"",$C593*$D593)</f>
        <v>0</v>
      </c>
    </row>
    <row r="594" spans="1:8">
      <c r="A594" s="25"/>
      <c r="B594" s="13"/>
      <c r="C594" s="20"/>
      <c r="D594" s="19"/>
      <c r="E594" s="13"/>
      <c r="F594" s="13"/>
      <c r="G594" s="26">
        <f>IF($B594="","",IFERROR(INDEX(PecDesc,MATCH($B594,PecCod,0)),"Peça não cadastrada"))</f>
        <v>0</v>
      </c>
      <c r="H594" s="27">
        <f>IF(OR($C594="",$D594=""),"",$C594*$D594)</f>
        <v>0</v>
      </c>
    </row>
    <row r="595" spans="1:8">
      <c r="A595" s="25"/>
      <c r="B595" s="13"/>
      <c r="C595" s="20"/>
      <c r="D595" s="19"/>
      <c r="E595" s="13"/>
      <c r="F595" s="13"/>
      <c r="G595" s="26">
        <f>IF($B595="","",IFERROR(INDEX(PecDesc,MATCH($B595,PecCod,0)),"Peça não cadastrada"))</f>
        <v>0</v>
      </c>
      <c r="H595" s="27">
        <f>IF(OR($C595="",$D595=""),"",$C595*$D595)</f>
        <v>0</v>
      </c>
    </row>
    <row r="596" spans="1:8">
      <c r="A596" s="25"/>
      <c r="B596" s="13"/>
      <c r="C596" s="20"/>
      <c r="D596" s="19"/>
      <c r="E596" s="13"/>
      <c r="F596" s="13"/>
      <c r="G596" s="26">
        <f>IF($B596="","",IFERROR(INDEX(PecDesc,MATCH($B596,PecCod,0)),"Peça não cadastrada"))</f>
        <v>0</v>
      </c>
      <c r="H596" s="27">
        <f>IF(OR($C596="",$D596=""),"",$C596*$D596)</f>
        <v>0</v>
      </c>
    </row>
    <row r="597" spans="1:8">
      <c r="A597" s="25"/>
      <c r="B597" s="13"/>
      <c r="C597" s="20"/>
      <c r="D597" s="19"/>
      <c r="E597" s="13"/>
      <c r="F597" s="13"/>
      <c r="G597" s="26">
        <f>IF($B597="","",IFERROR(INDEX(PecDesc,MATCH($B597,PecCod,0)),"Peça não cadastrada"))</f>
        <v>0</v>
      </c>
      <c r="H597" s="27">
        <f>IF(OR($C597="",$D597=""),"",$C597*$D597)</f>
        <v>0</v>
      </c>
    </row>
    <row r="598" spans="1:8">
      <c r="A598" s="25"/>
      <c r="B598" s="13"/>
      <c r="C598" s="20"/>
      <c r="D598" s="19"/>
      <c r="E598" s="13"/>
      <c r="F598" s="13"/>
      <c r="G598" s="26">
        <f>IF($B598="","",IFERROR(INDEX(PecDesc,MATCH($B598,PecCod,0)),"Peça não cadastrada"))</f>
        <v>0</v>
      </c>
      <c r="H598" s="27">
        <f>IF(OR($C598="",$D598=""),"",$C598*$D598)</f>
        <v>0</v>
      </c>
    </row>
    <row r="599" spans="1:8">
      <c r="A599" s="25"/>
      <c r="B599" s="13"/>
      <c r="C599" s="20"/>
      <c r="D599" s="19"/>
      <c r="E599" s="13"/>
      <c r="F599" s="13"/>
      <c r="G599" s="26">
        <f>IF($B599="","",IFERROR(INDEX(PecDesc,MATCH($B599,PecCod,0)),"Peça não cadastrada"))</f>
        <v>0</v>
      </c>
      <c r="H599" s="27">
        <f>IF(OR($C599="",$D599=""),"",$C599*$D599)</f>
        <v>0</v>
      </c>
    </row>
    <row r="600" spans="1:8">
      <c r="A600" s="25"/>
      <c r="B600" s="13"/>
      <c r="C600" s="20"/>
      <c r="D600" s="19"/>
      <c r="E600" s="13"/>
      <c r="F600" s="13"/>
      <c r="G600" s="26">
        <f>IF($B600="","",IFERROR(INDEX(PecDesc,MATCH($B600,PecCod,0)),"Peça não cadastrada"))</f>
        <v>0</v>
      </c>
      <c r="H600" s="27">
        <f>IF(OR($C600="",$D600=""),"",$C600*$D600)</f>
        <v>0</v>
      </c>
    </row>
    <row r="601" spans="1:8">
      <c r="A601" s="25"/>
      <c r="B601" s="13"/>
      <c r="C601" s="20"/>
      <c r="D601" s="19"/>
      <c r="E601" s="13"/>
      <c r="F601" s="13"/>
      <c r="G601" s="26">
        <f>IF($B601="","",IFERROR(INDEX(PecDesc,MATCH($B601,PecCod,0)),"Peça não cadastrada"))</f>
        <v>0</v>
      </c>
      <c r="H601" s="27">
        <f>IF(OR($C601="",$D601=""),"",$C601*$D601)</f>
        <v>0</v>
      </c>
    </row>
    <row r="602" spans="1:8">
      <c r="A602" s="25"/>
      <c r="B602" s="13"/>
      <c r="C602" s="20"/>
      <c r="D602" s="19"/>
      <c r="E602" s="13"/>
      <c r="F602" s="13"/>
      <c r="G602" s="26">
        <f>IF($B602="","",IFERROR(INDEX(PecDesc,MATCH($B602,PecCod,0)),"Peça não cadastrada"))</f>
        <v>0</v>
      </c>
      <c r="H602" s="27">
        <f>IF(OR($C602="",$D602=""),"",$C602*$D602)</f>
        <v>0</v>
      </c>
    </row>
    <row r="603" spans="1:8">
      <c r="A603" s="25"/>
      <c r="B603" s="13"/>
      <c r="C603" s="20"/>
      <c r="D603" s="19"/>
      <c r="E603" s="13"/>
      <c r="F603" s="13"/>
      <c r="G603" s="26">
        <f>IF($B603="","",IFERROR(INDEX(PecDesc,MATCH($B603,PecCod,0)),"Peça não cadastrada"))</f>
        <v>0</v>
      </c>
      <c r="H603" s="27">
        <f>IF(OR($C603="",$D603=""),"",$C603*$D603)</f>
        <v>0</v>
      </c>
    </row>
    <row r="604" spans="1:8">
      <c r="A604" s="25"/>
      <c r="B604" s="13"/>
      <c r="C604" s="20"/>
      <c r="D604" s="19"/>
      <c r="E604" s="13"/>
      <c r="F604" s="13"/>
      <c r="G604" s="26">
        <f>IF($B604="","",IFERROR(INDEX(PecDesc,MATCH($B604,PecCod,0)),"Peça não cadastrada"))</f>
        <v>0</v>
      </c>
      <c r="H604" s="27">
        <f>IF(OR($C604="",$D604=""),"",$C604*$D604)</f>
        <v>0</v>
      </c>
    </row>
    <row r="605" spans="1:8">
      <c r="A605" s="25"/>
      <c r="B605" s="13"/>
      <c r="C605" s="20"/>
      <c r="D605" s="19"/>
      <c r="E605" s="13"/>
      <c r="F605" s="13"/>
      <c r="G605" s="26">
        <f>IF($B605="","",IFERROR(INDEX(PecDesc,MATCH($B605,PecCod,0)),"Peça não cadastrada"))</f>
        <v>0</v>
      </c>
      <c r="H605" s="27">
        <f>IF(OR($C605="",$D605=""),"",$C605*$D605)</f>
        <v>0</v>
      </c>
    </row>
    <row r="606" spans="1:8">
      <c r="A606" s="25"/>
      <c r="B606" s="13"/>
      <c r="C606" s="20"/>
      <c r="D606" s="19"/>
      <c r="E606" s="13"/>
      <c r="F606" s="13"/>
      <c r="G606" s="26">
        <f>IF($B606="","",IFERROR(INDEX(PecDesc,MATCH($B606,PecCod,0)),"Peça não cadastrada"))</f>
        <v>0</v>
      </c>
      <c r="H606" s="27">
        <f>IF(OR($C606="",$D606=""),"",$C606*$D606)</f>
        <v>0</v>
      </c>
    </row>
    <row r="607" spans="1:8">
      <c r="A607" s="25"/>
      <c r="B607" s="13"/>
      <c r="C607" s="20"/>
      <c r="D607" s="19"/>
      <c r="E607" s="13"/>
      <c r="F607" s="13"/>
      <c r="G607" s="26">
        <f>IF($B607="","",IFERROR(INDEX(PecDesc,MATCH($B607,PecCod,0)),"Peça não cadastrada"))</f>
        <v>0</v>
      </c>
      <c r="H607" s="27">
        <f>IF(OR($C607="",$D607=""),"",$C607*$D607)</f>
        <v>0</v>
      </c>
    </row>
    <row r="608" spans="1:8">
      <c r="A608" s="25"/>
      <c r="B608" s="13"/>
      <c r="C608" s="20"/>
      <c r="D608" s="19"/>
      <c r="E608" s="13"/>
      <c r="F608" s="13"/>
      <c r="G608" s="26">
        <f>IF($B608="","",IFERROR(INDEX(PecDesc,MATCH($B608,PecCod,0)),"Peça não cadastrada"))</f>
        <v>0</v>
      </c>
      <c r="H608" s="27">
        <f>IF(OR($C608="",$D608=""),"",$C608*$D608)</f>
        <v>0</v>
      </c>
    </row>
    <row r="609" spans="1:8">
      <c r="A609" s="25"/>
      <c r="B609" s="13"/>
      <c r="C609" s="20"/>
      <c r="D609" s="19"/>
      <c r="E609" s="13"/>
      <c r="F609" s="13"/>
      <c r="G609" s="26">
        <f>IF($B609="","",IFERROR(INDEX(PecDesc,MATCH($B609,PecCod,0)),"Peça não cadastrada"))</f>
        <v>0</v>
      </c>
      <c r="H609" s="27">
        <f>IF(OR($C609="",$D609=""),"",$C609*$D609)</f>
        <v>0</v>
      </c>
    </row>
    <row r="610" spans="1:8">
      <c r="A610" s="25"/>
      <c r="B610" s="13"/>
      <c r="C610" s="20"/>
      <c r="D610" s="19"/>
      <c r="E610" s="13"/>
      <c r="F610" s="13"/>
      <c r="G610" s="26">
        <f>IF($B610="","",IFERROR(INDEX(PecDesc,MATCH($B610,PecCod,0)),"Peça não cadastrada"))</f>
        <v>0</v>
      </c>
      <c r="H610" s="27">
        <f>IF(OR($C610="",$D610=""),"",$C610*$D610)</f>
        <v>0</v>
      </c>
    </row>
    <row r="611" spans="1:8">
      <c r="A611" s="25"/>
      <c r="B611" s="13"/>
      <c r="C611" s="20"/>
      <c r="D611" s="19"/>
      <c r="E611" s="13"/>
      <c r="F611" s="13"/>
      <c r="G611" s="26">
        <f>IF($B611="","",IFERROR(INDEX(PecDesc,MATCH($B611,PecCod,0)),"Peça não cadastrada"))</f>
        <v>0</v>
      </c>
      <c r="H611" s="27">
        <f>IF(OR($C611="",$D611=""),"",$C611*$D611)</f>
        <v>0</v>
      </c>
    </row>
    <row r="612" spans="1:8">
      <c r="A612" s="25"/>
      <c r="B612" s="13"/>
      <c r="C612" s="20"/>
      <c r="D612" s="19"/>
      <c r="E612" s="13"/>
      <c r="F612" s="13"/>
      <c r="G612" s="26">
        <f>IF($B612="","",IFERROR(INDEX(PecDesc,MATCH($B612,PecCod,0)),"Peça não cadastrada"))</f>
        <v>0</v>
      </c>
      <c r="H612" s="27">
        <f>IF(OR($C612="",$D612=""),"",$C612*$D612)</f>
        <v>0</v>
      </c>
    </row>
    <row r="613" spans="1:8">
      <c r="A613" s="25"/>
      <c r="B613" s="13"/>
      <c r="C613" s="20"/>
      <c r="D613" s="19"/>
      <c r="E613" s="13"/>
      <c r="F613" s="13"/>
      <c r="G613" s="26">
        <f>IF($B613="","",IFERROR(INDEX(PecDesc,MATCH($B613,PecCod,0)),"Peça não cadastrada"))</f>
        <v>0</v>
      </c>
      <c r="H613" s="27">
        <f>IF(OR($C613="",$D613=""),"",$C613*$D613)</f>
        <v>0</v>
      </c>
    </row>
    <row r="614" spans="1:8">
      <c r="A614" s="25"/>
      <c r="B614" s="13"/>
      <c r="C614" s="20"/>
      <c r="D614" s="19"/>
      <c r="E614" s="13"/>
      <c r="F614" s="13"/>
      <c r="G614" s="26">
        <f>IF($B614="","",IFERROR(INDEX(PecDesc,MATCH($B614,PecCod,0)),"Peça não cadastrada"))</f>
        <v>0</v>
      </c>
      <c r="H614" s="27">
        <f>IF(OR($C614="",$D614=""),"",$C614*$D614)</f>
        <v>0</v>
      </c>
    </row>
    <row r="615" spans="1:8">
      <c r="A615" s="25"/>
      <c r="B615" s="13"/>
      <c r="C615" s="20"/>
      <c r="D615" s="19"/>
      <c r="E615" s="13"/>
      <c r="F615" s="13"/>
      <c r="G615" s="26">
        <f>IF($B615="","",IFERROR(INDEX(PecDesc,MATCH($B615,PecCod,0)),"Peça não cadastrada"))</f>
        <v>0</v>
      </c>
      <c r="H615" s="27">
        <f>IF(OR($C615="",$D615=""),"",$C615*$D615)</f>
        <v>0</v>
      </c>
    </row>
    <row r="616" spans="1:8">
      <c r="A616" s="25"/>
      <c r="B616" s="13"/>
      <c r="C616" s="20"/>
      <c r="D616" s="19"/>
      <c r="E616" s="13"/>
      <c r="F616" s="13"/>
      <c r="G616" s="26">
        <f>IF($B616="","",IFERROR(INDEX(PecDesc,MATCH($B616,PecCod,0)),"Peça não cadastrada"))</f>
        <v>0</v>
      </c>
      <c r="H616" s="27">
        <f>IF(OR($C616="",$D616=""),"",$C616*$D616)</f>
        <v>0</v>
      </c>
    </row>
    <row r="617" spans="1:8">
      <c r="A617" s="25"/>
      <c r="B617" s="13"/>
      <c r="C617" s="20"/>
      <c r="D617" s="19"/>
      <c r="E617" s="13"/>
      <c r="F617" s="13"/>
      <c r="G617" s="26">
        <f>IF($B617="","",IFERROR(INDEX(PecDesc,MATCH($B617,PecCod,0)),"Peça não cadastrada"))</f>
        <v>0</v>
      </c>
      <c r="H617" s="27">
        <f>IF(OR($C617="",$D617=""),"",$C617*$D617)</f>
        <v>0</v>
      </c>
    </row>
    <row r="618" spans="1:8">
      <c r="A618" s="25"/>
      <c r="B618" s="13"/>
      <c r="C618" s="20"/>
      <c r="D618" s="19"/>
      <c r="E618" s="13"/>
      <c r="F618" s="13"/>
      <c r="G618" s="26">
        <f>IF($B618="","",IFERROR(INDEX(PecDesc,MATCH($B618,PecCod,0)),"Peça não cadastrada"))</f>
        <v>0</v>
      </c>
      <c r="H618" s="27">
        <f>IF(OR($C618="",$D618=""),"",$C618*$D618)</f>
        <v>0</v>
      </c>
    </row>
    <row r="619" spans="1:8">
      <c r="A619" s="25"/>
      <c r="B619" s="13"/>
      <c r="C619" s="20"/>
      <c r="D619" s="19"/>
      <c r="E619" s="13"/>
      <c r="F619" s="13"/>
      <c r="G619" s="26">
        <f>IF($B619="","",IFERROR(INDEX(PecDesc,MATCH($B619,PecCod,0)),"Peça não cadastrada"))</f>
        <v>0</v>
      </c>
      <c r="H619" s="27">
        <f>IF(OR($C619="",$D619=""),"",$C619*$D619)</f>
        <v>0</v>
      </c>
    </row>
    <row r="620" spans="1:8">
      <c r="A620" s="25"/>
      <c r="B620" s="13"/>
      <c r="C620" s="20"/>
      <c r="D620" s="19"/>
      <c r="E620" s="13"/>
      <c r="F620" s="13"/>
      <c r="G620" s="26">
        <f>IF($B620="","",IFERROR(INDEX(PecDesc,MATCH($B620,PecCod,0)),"Peça não cadastrada"))</f>
        <v>0</v>
      </c>
      <c r="H620" s="27">
        <f>IF(OR($C620="",$D620=""),"",$C620*$D620)</f>
        <v>0</v>
      </c>
    </row>
    <row r="621" spans="1:8">
      <c r="A621" s="25"/>
      <c r="B621" s="13"/>
      <c r="C621" s="20"/>
      <c r="D621" s="19"/>
      <c r="E621" s="13"/>
      <c r="F621" s="13"/>
      <c r="G621" s="26">
        <f>IF($B621="","",IFERROR(INDEX(PecDesc,MATCH($B621,PecCod,0)),"Peça não cadastrada"))</f>
        <v>0</v>
      </c>
      <c r="H621" s="27">
        <f>IF(OR($C621="",$D621=""),"",$C621*$D621)</f>
        <v>0</v>
      </c>
    </row>
    <row r="622" spans="1:8">
      <c r="A622" s="25"/>
      <c r="B622" s="13"/>
      <c r="C622" s="20"/>
      <c r="D622" s="19"/>
      <c r="E622" s="13"/>
      <c r="F622" s="13"/>
      <c r="G622" s="26">
        <f>IF($B622="","",IFERROR(INDEX(PecDesc,MATCH($B622,PecCod,0)),"Peça não cadastrada"))</f>
        <v>0</v>
      </c>
      <c r="H622" s="27">
        <f>IF(OR($C622="",$D622=""),"",$C622*$D622)</f>
        <v>0</v>
      </c>
    </row>
    <row r="623" spans="1:8">
      <c r="A623" s="25"/>
      <c r="B623" s="13"/>
      <c r="C623" s="20"/>
      <c r="D623" s="19"/>
      <c r="E623" s="13"/>
      <c r="F623" s="13"/>
      <c r="G623" s="26">
        <f>IF($B623="","",IFERROR(INDEX(PecDesc,MATCH($B623,PecCod,0)),"Peça não cadastrada"))</f>
        <v>0</v>
      </c>
      <c r="H623" s="27">
        <f>IF(OR($C623="",$D623=""),"",$C623*$D623)</f>
        <v>0</v>
      </c>
    </row>
    <row r="624" spans="1:8">
      <c r="A624" s="25"/>
      <c r="B624" s="13"/>
      <c r="C624" s="20"/>
      <c r="D624" s="19"/>
      <c r="E624" s="13"/>
      <c r="F624" s="13"/>
      <c r="G624" s="26">
        <f>IF($B624="","",IFERROR(INDEX(PecDesc,MATCH($B624,PecCod,0)),"Peça não cadastrada"))</f>
        <v>0</v>
      </c>
      <c r="H624" s="27">
        <f>IF(OR($C624="",$D624=""),"",$C624*$D624)</f>
        <v>0</v>
      </c>
    </row>
    <row r="625" spans="1:8">
      <c r="A625" s="25"/>
      <c r="B625" s="13"/>
      <c r="C625" s="20"/>
      <c r="D625" s="19"/>
      <c r="E625" s="13"/>
      <c r="F625" s="13"/>
      <c r="G625" s="26">
        <f>IF($B625="","",IFERROR(INDEX(PecDesc,MATCH($B625,PecCod,0)),"Peça não cadastrada"))</f>
        <v>0</v>
      </c>
      <c r="H625" s="27">
        <f>IF(OR($C625="",$D625=""),"",$C625*$D625)</f>
        <v>0</v>
      </c>
    </row>
    <row r="626" spans="1:8">
      <c r="A626" s="25"/>
      <c r="B626" s="13"/>
      <c r="C626" s="20"/>
      <c r="D626" s="19"/>
      <c r="E626" s="13"/>
      <c r="F626" s="13"/>
      <c r="G626" s="26">
        <f>IF($B626="","",IFERROR(INDEX(PecDesc,MATCH($B626,PecCod,0)),"Peça não cadastrada"))</f>
        <v>0</v>
      </c>
      <c r="H626" s="27">
        <f>IF(OR($C626="",$D626=""),"",$C626*$D626)</f>
        <v>0</v>
      </c>
    </row>
    <row r="627" spans="1:8">
      <c r="A627" s="25"/>
      <c r="B627" s="13"/>
      <c r="C627" s="20"/>
      <c r="D627" s="19"/>
      <c r="E627" s="13"/>
      <c r="F627" s="13"/>
      <c r="G627" s="26">
        <f>IF($B627="","",IFERROR(INDEX(PecDesc,MATCH($B627,PecCod,0)),"Peça não cadastrada"))</f>
        <v>0</v>
      </c>
      <c r="H627" s="27">
        <f>IF(OR($C627="",$D627=""),"",$C627*$D627)</f>
        <v>0</v>
      </c>
    </row>
    <row r="628" spans="1:8">
      <c r="A628" s="25"/>
      <c r="B628" s="13"/>
      <c r="C628" s="20"/>
      <c r="D628" s="19"/>
      <c r="E628" s="13"/>
      <c r="F628" s="13"/>
      <c r="G628" s="26">
        <f>IF($B628="","",IFERROR(INDEX(PecDesc,MATCH($B628,PecCod,0)),"Peça não cadastrada"))</f>
        <v>0</v>
      </c>
      <c r="H628" s="27">
        <f>IF(OR($C628="",$D628=""),"",$C628*$D628)</f>
        <v>0</v>
      </c>
    </row>
    <row r="629" spans="1:8">
      <c r="A629" s="25"/>
      <c r="B629" s="13"/>
      <c r="C629" s="20"/>
      <c r="D629" s="19"/>
      <c r="E629" s="13"/>
      <c r="F629" s="13"/>
      <c r="G629" s="26">
        <f>IF($B629="","",IFERROR(INDEX(PecDesc,MATCH($B629,PecCod,0)),"Peça não cadastrada"))</f>
        <v>0</v>
      </c>
      <c r="H629" s="27">
        <f>IF(OR($C629="",$D629=""),"",$C629*$D629)</f>
        <v>0</v>
      </c>
    </row>
    <row r="630" spans="1:8">
      <c r="A630" s="25"/>
      <c r="B630" s="13"/>
      <c r="C630" s="20"/>
      <c r="D630" s="19"/>
      <c r="E630" s="13"/>
      <c r="F630" s="13"/>
      <c r="G630" s="26">
        <f>IF($B630="","",IFERROR(INDEX(PecDesc,MATCH($B630,PecCod,0)),"Peça não cadastrada"))</f>
        <v>0</v>
      </c>
      <c r="H630" s="27">
        <f>IF(OR($C630="",$D630=""),"",$C630*$D630)</f>
        <v>0</v>
      </c>
    </row>
    <row r="631" spans="1:8">
      <c r="A631" s="25"/>
      <c r="B631" s="13"/>
      <c r="C631" s="20"/>
      <c r="D631" s="19"/>
      <c r="E631" s="13"/>
      <c r="F631" s="13"/>
      <c r="G631" s="26">
        <f>IF($B631="","",IFERROR(INDEX(PecDesc,MATCH($B631,PecCod,0)),"Peça não cadastrada"))</f>
        <v>0</v>
      </c>
      <c r="H631" s="27">
        <f>IF(OR($C631="",$D631=""),"",$C631*$D631)</f>
        <v>0</v>
      </c>
    </row>
    <row r="632" spans="1:8">
      <c r="A632" s="25"/>
      <c r="B632" s="13"/>
      <c r="C632" s="20"/>
      <c r="D632" s="19"/>
      <c r="E632" s="13"/>
      <c r="F632" s="13"/>
      <c r="G632" s="26">
        <f>IF($B632="","",IFERROR(INDEX(PecDesc,MATCH($B632,PecCod,0)),"Peça não cadastrada"))</f>
        <v>0</v>
      </c>
      <c r="H632" s="27">
        <f>IF(OR($C632="",$D632=""),"",$C632*$D632)</f>
        <v>0</v>
      </c>
    </row>
    <row r="633" spans="1:8">
      <c r="A633" s="25"/>
      <c r="B633" s="13"/>
      <c r="C633" s="20"/>
      <c r="D633" s="19"/>
      <c r="E633" s="13"/>
      <c r="F633" s="13"/>
      <c r="G633" s="26">
        <f>IF($B633="","",IFERROR(INDEX(PecDesc,MATCH($B633,PecCod,0)),"Peça não cadastrada"))</f>
        <v>0</v>
      </c>
      <c r="H633" s="27">
        <f>IF(OR($C633="",$D633=""),"",$C633*$D633)</f>
        <v>0</v>
      </c>
    </row>
    <row r="634" spans="1:8">
      <c r="A634" s="25"/>
      <c r="B634" s="13"/>
      <c r="C634" s="20"/>
      <c r="D634" s="19"/>
      <c r="E634" s="13"/>
      <c r="F634" s="13"/>
      <c r="G634" s="26">
        <f>IF($B634="","",IFERROR(INDEX(PecDesc,MATCH($B634,PecCod,0)),"Peça não cadastrada"))</f>
        <v>0</v>
      </c>
      <c r="H634" s="27">
        <f>IF(OR($C634="",$D634=""),"",$C634*$D634)</f>
        <v>0</v>
      </c>
    </row>
    <row r="635" spans="1:8">
      <c r="A635" s="25"/>
      <c r="B635" s="13"/>
      <c r="C635" s="20"/>
      <c r="D635" s="19"/>
      <c r="E635" s="13"/>
      <c r="F635" s="13"/>
      <c r="G635" s="26">
        <f>IF($B635="","",IFERROR(INDEX(PecDesc,MATCH($B635,PecCod,0)),"Peça não cadastrada"))</f>
        <v>0</v>
      </c>
      <c r="H635" s="27">
        <f>IF(OR($C635="",$D635=""),"",$C635*$D635)</f>
        <v>0</v>
      </c>
    </row>
    <row r="636" spans="1:8">
      <c r="A636" s="25"/>
      <c r="B636" s="13"/>
      <c r="C636" s="20"/>
      <c r="D636" s="19"/>
      <c r="E636" s="13"/>
      <c r="F636" s="13"/>
      <c r="G636" s="26">
        <f>IF($B636="","",IFERROR(INDEX(PecDesc,MATCH($B636,PecCod,0)),"Peça não cadastrada"))</f>
        <v>0</v>
      </c>
      <c r="H636" s="27">
        <f>IF(OR($C636="",$D636=""),"",$C636*$D636)</f>
        <v>0</v>
      </c>
    </row>
    <row r="637" spans="1:8">
      <c r="A637" s="25"/>
      <c r="B637" s="13"/>
      <c r="C637" s="20"/>
      <c r="D637" s="19"/>
      <c r="E637" s="13"/>
      <c r="F637" s="13"/>
      <c r="G637" s="26">
        <f>IF($B637="","",IFERROR(INDEX(PecDesc,MATCH($B637,PecCod,0)),"Peça não cadastrada"))</f>
        <v>0</v>
      </c>
      <c r="H637" s="27">
        <f>IF(OR($C637="",$D637=""),"",$C637*$D637)</f>
        <v>0</v>
      </c>
    </row>
    <row r="638" spans="1:8">
      <c r="A638" s="25"/>
      <c r="B638" s="13"/>
      <c r="C638" s="20"/>
      <c r="D638" s="19"/>
      <c r="E638" s="13"/>
      <c r="F638" s="13"/>
      <c r="G638" s="26">
        <f>IF($B638="","",IFERROR(INDEX(PecDesc,MATCH($B638,PecCod,0)),"Peça não cadastrada"))</f>
        <v>0</v>
      </c>
      <c r="H638" s="27">
        <f>IF(OR($C638="",$D638=""),"",$C638*$D638)</f>
        <v>0</v>
      </c>
    </row>
    <row r="639" spans="1:8">
      <c r="A639" s="25"/>
      <c r="B639" s="13"/>
      <c r="C639" s="20"/>
      <c r="D639" s="19"/>
      <c r="E639" s="13"/>
      <c r="F639" s="13"/>
      <c r="G639" s="26">
        <f>IF($B639="","",IFERROR(INDEX(PecDesc,MATCH($B639,PecCod,0)),"Peça não cadastrada"))</f>
        <v>0</v>
      </c>
      <c r="H639" s="27">
        <f>IF(OR($C639="",$D639=""),"",$C639*$D639)</f>
        <v>0</v>
      </c>
    </row>
    <row r="640" spans="1:8">
      <c r="A640" s="25"/>
      <c r="B640" s="13"/>
      <c r="C640" s="20"/>
      <c r="D640" s="19"/>
      <c r="E640" s="13"/>
      <c r="F640" s="13"/>
      <c r="G640" s="26">
        <f>IF($B640="","",IFERROR(INDEX(PecDesc,MATCH($B640,PecCod,0)),"Peça não cadastrada"))</f>
        <v>0</v>
      </c>
      <c r="H640" s="27">
        <f>IF(OR($C640="",$D640=""),"",$C640*$D640)</f>
        <v>0</v>
      </c>
    </row>
    <row r="641" spans="1:8">
      <c r="A641" s="25"/>
      <c r="B641" s="13"/>
      <c r="C641" s="20"/>
      <c r="D641" s="19"/>
      <c r="E641" s="13"/>
      <c r="F641" s="13"/>
      <c r="G641" s="26">
        <f>IF($B641="","",IFERROR(INDEX(PecDesc,MATCH($B641,PecCod,0)),"Peça não cadastrada"))</f>
        <v>0</v>
      </c>
      <c r="H641" s="27">
        <f>IF(OR($C641="",$D641=""),"",$C641*$D641)</f>
        <v>0</v>
      </c>
    </row>
    <row r="642" spans="1:8">
      <c r="A642" s="25"/>
      <c r="B642" s="13"/>
      <c r="C642" s="20"/>
      <c r="D642" s="19"/>
      <c r="E642" s="13"/>
      <c r="F642" s="13"/>
      <c r="G642" s="26">
        <f>IF($B642="","",IFERROR(INDEX(PecDesc,MATCH($B642,PecCod,0)),"Peça não cadastrada"))</f>
        <v>0</v>
      </c>
      <c r="H642" s="27">
        <f>IF(OR($C642="",$D642=""),"",$C642*$D642)</f>
        <v>0</v>
      </c>
    </row>
    <row r="643" spans="1:8">
      <c r="A643" s="25"/>
      <c r="B643" s="13"/>
      <c r="C643" s="20"/>
      <c r="D643" s="19"/>
      <c r="E643" s="13"/>
      <c r="F643" s="13"/>
      <c r="G643" s="26">
        <f>IF($B643="","",IFERROR(INDEX(PecDesc,MATCH($B643,PecCod,0)),"Peça não cadastrada"))</f>
        <v>0</v>
      </c>
      <c r="H643" s="27">
        <f>IF(OR($C643="",$D643=""),"",$C643*$D643)</f>
        <v>0</v>
      </c>
    </row>
    <row r="644" spans="1:8">
      <c r="A644" s="25"/>
      <c r="B644" s="13"/>
      <c r="C644" s="20"/>
      <c r="D644" s="19"/>
      <c r="E644" s="13"/>
      <c r="F644" s="13"/>
      <c r="G644" s="26">
        <f>IF($B644="","",IFERROR(INDEX(PecDesc,MATCH($B644,PecCod,0)),"Peça não cadastrada"))</f>
        <v>0</v>
      </c>
      <c r="H644" s="27">
        <f>IF(OR($C644="",$D644=""),"",$C644*$D644)</f>
        <v>0</v>
      </c>
    </row>
    <row r="645" spans="1:8">
      <c r="A645" s="25"/>
      <c r="B645" s="13"/>
      <c r="C645" s="20"/>
      <c r="D645" s="19"/>
      <c r="E645" s="13"/>
      <c r="F645" s="13"/>
      <c r="G645" s="26">
        <f>IF($B645="","",IFERROR(INDEX(PecDesc,MATCH($B645,PecCod,0)),"Peça não cadastrada"))</f>
        <v>0</v>
      </c>
      <c r="H645" s="27">
        <f>IF(OR($C645="",$D645=""),"",$C645*$D645)</f>
        <v>0</v>
      </c>
    </row>
    <row r="646" spans="1:8">
      <c r="A646" s="25"/>
      <c r="B646" s="13"/>
      <c r="C646" s="20"/>
      <c r="D646" s="19"/>
      <c r="E646" s="13"/>
      <c r="F646" s="13"/>
      <c r="G646" s="26">
        <f>IF($B646="","",IFERROR(INDEX(PecDesc,MATCH($B646,PecCod,0)),"Peça não cadastrada"))</f>
        <v>0</v>
      </c>
      <c r="H646" s="27">
        <f>IF(OR($C646="",$D646=""),"",$C646*$D646)</f>
        <v>0</v>
      </c>
    </row>
    <row r="647" spans="1:8">
      <c r="A647" s="25"/>
      <c r="B647" s="13"/>
      <c r="C647" s="20"/>
      <c r="D647" s="19"/>
      <c r="E647" s="13"/>
      <c r="F647" s="13"/>
      <c r="G647" s="26">
        <f>IF($B647="","",IFERROR(INDEX(PecDesc,MATCH($B647,PecCod,0)),"Peça não cadastrada"))</f>
        <v>0</v>
      </c>
      <c r="H647" s="27">
        <f>IF(OR($C647="",$D647=""),"",$C647*$D647)</f>
        <v>0</v>
      </c>
    </row>
    <row r="648" spans="1:8">
      <c r="A648" s="25"/>
      <c r="B648" s="13"/>
      <c r="C648" s="20"/>
      <c r="D648" s="19"/>
      <c r="E648" s="13"/>
      <c r="F648" s="13"/>
      <c r="G648" s="26">
        <f>IF($B648="","",IFERROR(INDEX(PecDesc,MATCH($B648,PecCod,0)),"Peça não cadastrada"))</f>
        <v>0</v>
      </c>
      <c r="H648" s="27">
        <f>IF(OR($C648="",$D648=""),"",$C648*$D648)</f>
        <v>0</v>
      </c>
    </row>
    <row r="649" spans="1:8">
      <c r="A649" s="25"/>
      <c r="B649" s="13"/>
      <c r="C649" s="20"/>
      <c r="D649" s="19"/>
      <c r="E649" s="13"/>
      <c r="F649" s="13"/>
      <c r="G649" s="26">
        <f>IF($B649="","",IFERROR(INDEX(PecDesc,MATCH($B649,PecCod,0)),"Peça não cadastrada"))</f>
        <v>0</v>
      </c>
      <c r="H649" s="27">
        <f>IF(OR($C649="",$D649=""),"",$C649*$D649)</f>
        <v>0</v>
      </c>
    </row>
    <row r="650" spans="1:8">
      <c r="A650" s="25"/>
      <c r="B650" s="13"/>
      <c r="C650" s="20"/>
      <c r="D650" s="19"/>
      <c r="E650" s="13"/>
      <c r="F650" s="13"/>
      <c r="G650" s="26">
        <f>IF($B650="","",IFERROR(INDEX(PecDesc,MATCH($B650,PecCod,0)),"Peça não cadastrada"))</f>
        <v>0</v>
      </c>
      <c r="H650" s="27">
        <f>IF(OR($C650="",$D650=""),"",$C650*$D650)</f>
        <v>0</v>
      </c>
    </row>
    <row r="651" spans="1:8">
      <c r="A651" s="25"/>
      <c r="B651" s="13"/>
      <c r="C651" s="20"/>
      <c r="D651" s="19"/>
      <c r="E651" s="13"/>
      <c r="F651" s="13"/>
      <c r="G651" s="26">
        <f>IF($B651="","",IFERROR(INDEX(PecDesc,MATCH($B651,PecCod,0)),"Peça não cadastrada"))</f>
        <v>0</v>
      </c>
      <c r="H651" s="27">
        <f>IF(OR($C651="",$D651=""),"",$C651*$D651)</f>
        <v>0</v>
      </c>
    </row>
    <row r="652" spans="1:8">
      <c r="A652" s="25"/>
      <c r="B652" s="13"/>
      <c r="C652" s="20"/>
      <c r="D652" s="19"/>
      <c r="E652" s="13"/>
      <c r="F652" s="13"/>
      <c r="G652" s="26">
        <f>IF($B652="","",IFERROR(INDEX(PecDesc,MATCH($B652,PecCod,0)),"Peça não cadastrada"))</f>
        <v>0</v>
      </c>
      <c r="H652" s="27">
        <f>IF(OR($C652="",$D652=""),"",$C652*$D652)</f>
        <v>0</v>
      </c>
    </row>
    <row r="653" spans="1:8">
      <c r="A653" s="25"/>
      <c r="B653" s="13"/>
      <c r="C653" s="20"/>
      <c r="D653" s="19"/>
      <c r="E653" s="13"/>
      <c r="F653" s="13"/>
      <c r="G653" s="26">
        <f>IF($B653="","",IFERROR(INDEX(PecDesc,MATCH($B653,PecCod,0)),"Peça não cadastrada"))</f>
        <v>0</v>
      </c>
      <c r="H653" s="27">
        <f>IF(OR($C653="",$D653=""),"",$C653*$D653)</f>
        <v>0</v>
      </c>
    </row>
    <row r="654" spans="1:8">
      <c r="A654" s="25"/>
      <c r="B654" s="13"/>
      <c r="C654" s="20"/>
      <c r="D654" s="19"/>
      <c r="E654" s="13"/>
      <c r="F654" s="13"/>
      <c r="G654" s="26">
        <f>IF($B654="","",IFERROR(INDEX(PecDesc,MATCH($B654,PecCod,0)),"Peça não cadastrada"))</f>
        <v>0</v>
      </c>
      <c r="H654" s="27">
        <f>IF(OR($C654="",$D654=""),"",$C654*$D654)</f>
        <v>0</v>
      </c>
    </row>
    <row r="655" spans="1:8">
      <c r="A655" s="25"/>
      <c r="B655" s="13"/>
      <c r="C655" s="20"/>
      <c r="D655" s="19"/>
      <c r="E655" s="13"/>
      <c r="F655" s="13"/>
      <c r="G655" s="26">
        <f>IF($B655="","",IFERROR(INDEX(PecDesc,MATCH($B655,PecCod,0)),"Peça não cadastrada"))</f>
        <v>0</v>
      </c>
      <c r="H655" s="27">
        <f>IF(OR($C655="",$D655=""),"",$C655*$D655)</f>
        <v>0</v>
      </c>
    </row>
    <row r="656" spans="1:8">
      <c r="A656" s="25"/>
      <c r="B656" s="13"/>
      <c r="C656" s="20"/>
      <c r="D656" s="19"/>
      <c r="E656" s="13"/>
      <c r="F656" s="13"/>
      <c r="G656" s="26">
        <f>IF($B656="","",IFERROR(INDEX(PecDesc,MATCH($B656,PecCod,0)),"Peça não cadastrada"))</f>
        <v>0</v>
      </c>
      <c r="H656" s="27">
        <f>IF(OR($C656="",$D656=""),"",$C656*$D656)</f>
        <v>0</v>
      </c>
    </row>
    <row r="657" spans="1:8">
      <c r="A657" s="25"/>
      <c r="B657" s="13"/>
      <c r="C657" s="20"/>
      <c r="D657" s="19"/>
      <c r="E657" s="13"/>
      <c r="F657" s="13"/>
      <c r="G657" s="26">
        <f>IF($B657="","",IFERROR(INDEX(PecDesc,MATCH($B657,PecCod,0)),"Peça não cadastrada"))</f>
        <v>0</v>
      </c>
      <c r="H657" s="27">
        <f>IF(OR($C657="",$D657=""),"",$C657*$D657)</f>
        <v>0</v>
      </c>
    </row>
    <row r="658" spans="1:8">
      <c r="A658" s="25"/>
      <c r="B658" s="13"/>
      <c r="C658" s="20"/>
      <c r="D658" s="19"/>
      <c r="E658" s="13"/>
      <c r="F658" s="13"/>
      <c r="G658" s="26">
        <f>IF($B658="","",IFERROR(INDEX(PecDesc,MATCH($B658,PecCod,0)),"Peça não cadastrada"))</f>
        <v>0</v>
      </c>
      <c r="H658" s="27">
        <f>IF(OR($C658="",$D658=""),"",$C658*$D658)</f>
        <v>0</v>
      </c>
    </row>
    <row r="659" spans="1:8">
      <c r="A659" s="25"/>
      <c r="B659" s="13"/>
      <c r="C659" s="20"/>
      <c r="D659" s="19"/>
      <c r="E659" s="13"/>
      <c r="F659" s="13"/>
      <c r="G659" s="26">
        <f>IF($B659="","",IFERROR(INDEX(PecDesc,MATCH($B659,PecCod,0)),"Peça não cadastrada"))</f>
        <v>0</v>
      </c>
      <c r="H659" s="27">
        <f>IF(OR($C659="",$D659=""),"",$C659*$D659)</f>
        <v>0</v>
      </c>
    </row>
    <row r="660" spans="1:8">
      <c r="A660" s="25"/>
      <c r="B660" s="13"/>
      <c r="C660" s="20"/>
      <c r="D660" s="19"/>
      <c r="E660" s="13"/>
      <c r="F660" s="13"/>
      <c r="G660" s="26">
        <f>IF($B660="","",IFERROR(INDEX(PecDesc,MATCH($B660,PecCod,0)),"Peça não cadastrada"))</f>
        <v>0</v>
      </c>
      <c r="H660" s="27">
        <f>IF(OR($C660="",$D660=""),"",$C660*$D660)</f>
        <v>0</v>
      </c>
    </row>
    <row r="661" spans="1:8">
      <c r="A661" s="25"/>
      <c r="B661" s="13"/>
      <c r="C661" s="20"/>
      <c r="D661" s="19"/>
      <c r="E661" s="13"/>
      <c r="F661" s="13"/>
      <c r="G661" s="26">
        <f>IF($B661="","",IFERROR(INDEX(PecDesc,MATCH($B661,PecCod,0)),"Peça não cadastrada"))</f>
        <v>0</v>
      </c>
      <c r="H661" s="27">
        <f>IF(OR($C661="",$D661=""),"",$C661*$D661)</f>
        <v>0</v>
      </c>
    </row>
    <row r="662" spans="1:8">
      <c r="A662" s="25"/>
      <c r="B662" s="13"/>
      <c r="C662" s="20"/>
      <c r="D662" s="19"/>
      <c r="E662" s="13"/>
      <c r="F662" s="13"/>
      <c r="G662" s="26">
        <f>IF($B662="","",IFERROR(INDEX(PecDesc,MATCH($B662,PecCod,0)),"Peça não cadastrada"))</f>
        <v>0</v>
      </c>
      <c r="H662" s="27">
        <f>IF(OR($C662="",$D662=""),"",$C662*$D662)</f>
        <v>0</v>
      </c>
    </row>
    <row r="663" spans="1:8">
      <c r="A663" s="25"/>
      <c r="B663" s="13"/>
      <c r="C663" s="20"/>
      <c r="D663" s="19"/>
      <c r="E663" s="13"/>
      <c r="F663" s="13"/>
      <c r="G663" s="26">
        <f>IF($B663="","",IFERROR(INDEX(PecDesc,MATCH($B663,PecCod,0)),"Peça não cadastrada"))</f>
        <v>0</v>
      </c>
      <c r="H663" s="27">
        <f>IF(OR($C663="",$D663=""),"",$C663*$D663)</f>
        <v>0</v>
      </c>
    </row>
    <row r="664" spans="1:8">
      <c r="A664" s="25"/>
      <c r="B664" s="13"/>
      <c r="C664" s="20"/>
      <c r="D664" s="19"/>
      <c r="E664" s="13"/>
      <c r="F664" s="13"/>
      <c r="G664" s="26">
        <f>IF($B664="","",IFERROR(INDEX(PecDesc,MATCH($B664,PecCod,0)),"Peça não cadastrada"))</f>
        <v>0</v>
      </c>
      <c r="H664" s="27">
        <f>IF(OR($C664="",$D664=""),"",$C664*$D664)</f>
        <v>0</v>
      </c>
    </row>
    <row r="665" spans="1:8">
      <c r="A665" s="25"/>
      <c r="B665" s="13"/>
      <c r="C665" s="20"/>
      <c r="D665" s="19"/>
      <c r="E665" s="13"/>
      <c r="F665" s="13"/>
      <c r="G665" s="26">
        <f>IF($B665="","",IFERROR(INDEX(PecDesc,MATCH($B665,PecCod,0)),"Peça não cadastrada"))</f>
        <v>0</v>
      </c>
      <c r="H665" s="27">
        <f>IF(OR($C665="",$D665=""),"",$C665*$D665)</f>
        <v>0</v>
      </c>
    </row>
    <row r="666" spans="1:8">
      <c r="A666" s="25"/>
      <c r="B666" s="13"/>
      <c r="C666" s="20"/>
      <c r="D666" s="19"/>
      <c r="E666" s="13"/>
      <c r="F666" s="13"/>
      <c r="G666" s="26">
        <f>IF($B666="","",IFERROR(INDEX(PecDesc,MATCH($B666,PecCod,0)),"Peça não cadastrada"))</f>
        <v>0</v>
      </c>
      <c r="H666" s="27">
        <f>IF(OR($C666="",$D666=""),"",$C666*$D666)</f>
        <v>0</v>
      </c>
    </row>
    <row r="667" spans="1:8">
      <c r="A667" s="25"/>
      <c r="B667" s="13"/>
      <c r="C667" s="20"/>
      <c r="D667" s="19"/>
      <c r="E667" s="13"/>
      <c r="F667" s="13"/>
      <c r="G667" s="26">
        <f>IF($B667="","",IFERROR(INDEX(PecDesc,MATCH($B667,PecCod,0)),"Peça não cadastrada"))</f>
        <v>0</v>
      </c>
      <c r="H667" s="27">
        <f>IF(OR($C667="",$D667=""),"",$C667*$D667)</f>
        <v>0</v>
      </c>
    </row>
    <row r="668" spans="1:8">
      <c r="A668" s="25"/>
      <c r="B668" s="13"/>
      <c r="C668" s="20"/>
      <c r="D668" s="19"/>
      <c r="E668" s="13"/>
      <c r="F668" s="13"/>
      <c r="G668" s="26">
        <f>IF($B668="","",IFERROR(INDEX(PecDesc,MATCH($B668,PecCod,0)),"Peça não cadastrada"))</f>
        <v>0</v>
      </c>
      <c r="H668" s="27">
        <f>IF(OR($C668="",$D668=""),"",$C668*$D668)</f>
        <v>0</v>
      </c>
    </row>
    <row r="669" spans="1:8">
      <c r="A669" s="25"/>
      <c r="B669" s="13"/>
      <c r="C669" s="20"/>
      <c r="D669" s="19"/>
      <c r="E669" s="13"/>
      <c r="F669" s="13"/>
      <c r="G669" s="26">
        <f>IF($B669="","",IFERROR(INDEX(PecDesc,MATCH($B669,PecCod,0)),"Peça não cadastrada"))</f>
        <v>0</v>
      </c>
      <c r="H669" s="27">
        <f>IF(OR($C669="",$D669=""),"",$C669*$D669)</f>
        <v>0</v>
      </c>
    </row>
    <row r="670" spans="1:8">
      <c r="A670" s="25"/>
      <c r="B670" s="13"/>
      <c r="C670" s="20"/>
      <c r="D670" s="19"/>
      <c r="E670" s="13"/>
      <c r="F670" s="13"/>
      <c r="G670" s="26">
        <f>IF($B670="","",IFERROR(INDEX(PecDesc,MATCH($B670,PecCod,0)),"Peça não cadastrada"))</f>
        <v>0</v>
      </c>
      <c r="H670" s="27">
        <f>IF(OR($C670="",$D670=""),"",$C670*$D670)</f>
        <v>0</v>
      </c>
    </row>
    <row r="671" spans="1:8">
      <c r="A671" s="25"/>
      <c r="B671" s="13"/>
      <c r="C671" s="20"/>
      <c r="D671" s="19"/>
      <c r="E671" s="13"/>
      <c r="F671" s="13"/>
      <c r="G671" s="26">
        <f>IF($B671="","",IFERROR(INDEX(PecDesc,MATCH($B671,PecCod,0)),"Peça não cadastrada"))</f>
        <v>0</v>
      </c>
      <c r="H671" s="27">
        <f>IF(OR($C671="",$D671=""),"",$C671*$D671)</f>
        <v>0</v>
      </c>
    </row>
    <row r="672" spans="1:8">
      <c r="A672" s="25"/>
      <c r="B672" s="13"/>
      <c r="C672" s="20"/>
      <c r="D672" s="19"/>
      <c r="E672" s="13"/>
      <c r="F672" s="13"/>
      <c r="G672" s="26">
        <f>IF($B672="","",IFERROR(INDEX(PecDesc,MATCH($B672,PecCod,0)),"Peça não cadastrada"))</f>
        <v>0</v>
      </c>
      <c r="H672" s="27">
        <f>IF(OR($C672="",$D672=""),"",$C672*$D672)</f>
        <v>0</v>
      </c>
    </row>
    <row r="673" spans="1:8">
      <c r="A673" s="25"/>
      <c r="B673" s="13"/>
      <c r="C673" s="20"/>
      <c r="D673" s="19"/>
      <c r="E673" s="13"/>
      <c r="F673" s="13"/>
      <c r="G673" s="26">
        <f>IF($B673="","",IFERROR(INDEX(PecDesc,MATCH($B673,PecCod,0)),"Peça não cadastrada"))</f>
        <v>0</v>
      </c>
      <c r="H673" s="27">
        <f>IF(OR($C673="",$D673=""),"",$C673*$D673)</f>
        <v>0</v>
      </c>
    </row>
    <row r="674" spans="1:8">
      <c r="A674" s="25"/>
      <c r="B674" s="13"/>
      <c r="C674" s="20"/>
      <c r="D674" s="19"/>
      <c r="E674" s="13"/>
      <c r="F674" s="13"/>
      <c r="G674" s="26">
        <f>IF($B674="","",IFERROR(INDEX(PecDesc,MATCH($B674,PecCod,0)),"Peça não cadastrada"))</f>
        <v>0</v>
      </c>
      <c r="H674" s="27">
        <f>IF(OR($C674="",$D674=""),"",$C674*$D674)</f>
        <v>0</v>
      </c>
    </row>
    <row r="675" spans="1:8">
      <c r="A675" s="25"/>
      <c r="B675" s="13"/>
      <c r="C675" s="20"/>
      <c r="D675" s="19"/>
      <c r="E675" s="13"/>
      <c r="F675" s="13"/>
      <c r="G675" s="26">
        <f>IF($B675="","",IFERROR(INDEX(PecDesc,MATCH($B675,PecCod,0)),"Peça não cadastrada"))</f>
        <v>0</v>
      </c>
      <c r="H675" s="27">
        <f>IF(OR($C675="",$D675=""),"",$C675*$D675)</f>
        <v>0</v>
      </c>
    </row>
    <row r="676" spans="1:8">
      <c r="A676" s="25"/>
      <c r="B676" s="13"/>
      <c r="C676" s="20"/>
      <c r="D676" s="19"/>
      <c r="E676" s="13"/>
      <c r="F676" s="13"/>
      <c r="G676" s="26">
        <f>IF($B676="","",IFERROR(INDEX(PecDesc,MATCH($B676,PecCod,0)),"Peça não cadastrada"))</f>
        <v>0</v>
      </c>
      <c r="H676" s="27">
        <f>IF(OR($C676="",$D676=""),"",$C676*$D676)</f>
        <v>0</v>
      </c>
    </row>
    <row r="677" spans="1:8">
      <c r="A677" s="25"/>
      <c r="B677" s="13"/>
      <c r="C677" s="20"/>
      <c r="D677" s="19"/>
      <c r="E677" s="13"/>
      <c r="F677" s="13"/>
      <c r="G677" s="26">
        <f>IF($B677="","",IFERROR(INDEX(PecDesc,MATCH($B677,PecCod,0)),"Peça não cadastrada"))</f>
        <v>0</v>
      </c>
      <c r="H677" s="27">
        <f>IF(OR($C677="",$D677=""),"",$C677*$D677)</f>
        <v>0</v>
      </c>
    </row>
    <row r="678" spans="1:8">
      <c r="A678" s="25"/>
      <c r="B678" s="13"/>
      <c r="C678" s="20"/>
      <c r="D678" s="19"/>
      <c r="E678" s="13"/>
      <c r="F678" s="13"/>
      <c r="G678" s="26">
        <f>IF($B678="","",IFERROR(INDEX(PecDesc,MATCH($B678,PecCod,0)),"Peça não cadastrada"))</f>
        <v>0</v>
      </c>
      <c r="H678" s="27">
        <f>IF(OR($C678="",$D678=""),"",$C678*$D678)</f>
        <v>0</v>
      </c>
    </row>
    <row r="679" spans="1:8">
      <c r="A679" s="25"/>
      <c r="B679" s="13"/>
      <c r="C679" s="20"/>
      <c r="D679" s="19"/>
      <c r="E679" s="13"/>
      <c r="F679" s="13"/>
      <c r="G679" s="26">
        <f>IF($B679="","",IFERROR(INDEX(PecDesc,MATCH($B679,PecCod,0)),"Peça não cadastrada"))</f>
        <v>0</v>
      </c>
      <c r="H679" s="27">
        <f>IF(OR($C679="",$D679=""),"",$C679*$D679)</f>
        <v>0</v>
      </c>
    </row>
    <row r="680" spans="1:8">
      <c r="A680" s="25"/>
      <c r="B680" s="13"/>
      <c r="C680" s="20"/>
      <c r="D680" s="19"/>
      <c r="E680" s="13"/>
      <c r="F680" s="13"/>
      <c r="G680" s="26">
        <f>IF($B680="","",IFERROR(INDEX(PecDesc,MATCH($B680,PecCod,0)),"Peça não cadastrada"))</f>
        <v>0</v>
      </c>
      <c r="H680" s="27">
        <f>IF(OR($C680="",$D680=""),"",$C680*$D680)</f>
        <v>0</v>
      </c>
    </row>
    <row r="681" spans="1:8">
      <c r="A681" s="25"/>
      <c r="B681" s="13"/>
      <c r="C681" s="20"/>
      <c r="D681" s="19"/>
      <c r="E681" s="13"/>
      <c r="F681" s="13"/>
      <c r="G681" s="26">
        <f>IF($B681="","",IFERROR(INDEX(PecDesc,MATCH($B681,PecCod,0)),"Peça não cadastrada"))</f>
        <v>0</v>
      </c>
      <c r="H681" s="27">
        <f>IF(OR($C681="",$D681=""),"",$C681*$D681)</f>
        <v>0</v>
      </c>
    </row>
    <row r="682" spans="1:8">
      <c r="A682" s="25"/>
      <c r="B682" s="13"/>
      <c r="C682" s="20"/>
      <c r="D682" s="19"/>
      <c r="E682" s="13"/>
      <c r="F682" s="13"/>
      <c r="G682" s="26">
        <f>IF($B682="","",IFERROR(INDEX(PecDesc,MATCH($B682,PecCod,0)),"Peça não cadastrada"))</f>
        <v>0</v>
      </c>
      <c r="H682" s="27">
        <f>IF(OR($C682="",$D682=""),"",$C682*$D682)</f>
        <v>0</v>
      </c>
    </row>
    <row r="683" spans="1:8">
      <c r="A683" s="25"/>
      <c r="B683" s="13"/>
      <c r="C683" s="20"/>
      <c r="D683" s="19"/>
      <c r="E683" s="13"/>
      <c r="F683" s="13"/>
      <c r="G683" s="26">
        <f>IF($B683="","",IFERROR(INDEX(PecDesc,MATCH($B683,PecCod,0)),"Peça não cadastrada"))</f>
        <v>0</v>
      </c>
      <c r="H683" s="27">
        <f>IF(OR($C683="",$D683=""),"",$C683*$D683)</f>
        <v>0</v>
      </c>
    </row>
    <row r="684" spans="1:8">
      <c r="A684" s="25"/>
      <c r="B684" s="13"/>
      <c r="C684" s="20"/>
      <c r="D684" s="19"/>
      <c r="E684" s="13"/>
      <c r="F684" s="13"/>
      <c r="G684" s="26">
        <f>IF($B684="","",IFERROR(INDEX(PecDesc,MATCH($B684,PecCod,0)),"Peça não cadastrada"))</f>
        <v>0</v>
      </c>
      <c r="H684" s="27">
        <f>IF(OR($C684="",$D684=""),"",$C684*$D684)</f>
        <v>0</v>
      </c>
    </row>
    <row r="685" spans="1:8">
      <c r="A685" s="25"/>
      <c r="B685" s="13"/>
      <c r="C685" s="20"/>
      <c r="D685" s="19"/>
      <c r="E685" s="13"/>
      <c r="F685" s="13"/>
      <c r="G685" s="26">
        <f>IF($B685="","",IFERROR(INDEX(PecDesc,MATCH($B685,PecCod,0)),"Peça não cadastrada"))</f>
        <v>0</v>
      </c>
      <c r="H685" s="27">
        <f>IF(OR($C685="",$D685=""),"",$C685*$D685)</f>
        <v>0</v>
      </c>
    </row>
    <row r="686" spans="1:8">
      <c r="A686" s="25"/>
      <c r="B686" s="13"/>
      <c r="C686" s="20"/>
      <c r="D686" s="19"/>
      <c r="E686" s="13"/>
      <c r="F686" s="13"/>
      <c r="G686" s="26">
        <f>IF($B686="","",IFERROR(INDEX(PecDesc,MATCH($B686,PecCod,0)),"Peça não cadastrada"))</f>
        <v>0</v>
      </c>
      <c r="H686" s="27">
        <f>IF(OR($C686="",$D686=""),"",$C686*$D686)</f>
        <v>0</v>
      </c>
    </row>
    <row r="687" spans="1:8">
      <c r="A687" s="25"/>
      <c r="B687" s="13"/>
      <c r="C687" s="20"/>
      <c r="D687" s="19"/>
      <c r="E687" s="13"/>
      <c r="F687" s="13"/>
      <c r="G687" s="26">
        <f>IF($B687="","",IFERROR(INDEX(PecDesc,MATCH($B687,PecCod,0)),"Peça não cadastrada"))</f>
        <v>0</v>
      </c>
      <c r="H687" s="27">
        <f>IF(OR($C687="",$D687=""),"",$C687*$D687)</f>
        <v>0</v>
      </c>
    </row>
    <row r="688" spans="1:8">
      <c r="A688" s="25"/>
      <c r="B688" s="13"/>
      <c r="C688" s="20"/>
      <c r="D688" s="19"/>
      <c r="E688" s="13"/>
      <c r="F688" s="13"/>
      <c r="G688" s="26">
        <f>IF($B688="","",IFERROR(INDEX(PecDesc,MATCH($B688,PecCod,0)),"Peça não cadastrada"))</f>
        <v>0</v>
      </c>
      <c r="H688" s="27">
        <f>IF(OR($C688="",$D688=""),"",$C688*$D688)</f>
        <v>0</v>
      </c>
    </row>
    <row r="689" spans="1:8">
      <c r="A689" s="25"/>
      <c r="B689" s="13"/>
      <c r="C689" s="20"/>
      <c r="D689" s="19"/>
      <c r="E689" s="13"/>
      <c r="F689" s="13"/>
      <c r="G689" s="26">
        <f>IF($B689="","",IFERROR(INDEX(PecDesc,MATCH($B689,PecCod,0)),"Peça não cadastrada"))</f>
        <v>0</v>
      </c>
      <c r="H689" s="27">
        <f>IF(OR($C689="",$D689=""),"",$C689*$D689)</f>
        <v>0</v>
      </c>
    </row>
    <row r="690" spans="1:8">
      <c r="A690" s="25"/>
      <c r="B690" s="13"/>
      <c r="C690" s="20"/>
      <c r="D690" s="19"/>
      <c r="E690" s="13"/>
      <c r="F690" s="13"/>
      <c r="G690" s="26">
        <f>IF($B690="","",IFERROR(INDEX(PecDesc,MATCH($B690,PecCod,0)),"Peça não cadastrada"))</f>
        <v>0</v>
      </c>
      <c r="H690" s="27">
        <f>IF(OR($C690="",$D690=""),"",$C690*$D690)</f>
        <v>0</v>
      </c>
    </row>
    <row r="691" spans="1:8">
      <c r="A691" s="25"/>
      <c r="B691" s="13"/>
      <c r="C691" s="20"/>
      <c r="D691" s="19"/>
      <c r="E691" s="13"/>
      <c r="F691" s="13"/>
      <c r="G691" s="26">
        <f>IF($B691="","",IFERROR(INDEX(PecDesc,MATCH($B691,PecCod,0)),"Peça não cadastrada"))</f>
        <v>0</v>
      </c>
      <c r="H691" s="27">
        <f>IF(OR($C691="",$D691=""),"",$C691*$D691)</f>
        <v>0</v>
      </c>
    </row>
    <row r="692" spans="1:8">
      <c r="A692" s="25"/>
      <c r="B692" s="13"/>
      <c r="C692" s="20"/>
      <c r="D692" s="19"/>
      <c r="E692" s="13"/>
      <c r="F692" s="13"/>
      <c r="G692" s="26">
        <f>IF($B692="","",IFERROR(INDEX(PecDesc,MATCH($B692,PecCod,0)),"Peça não cadastrada"))</f>
        <v>0</v>
      </c>
      <c r="H692" s="27">
        <f>IF(OR($C692="",$D692=""),"",$C692*$D692)</f>
        <v>0</v>
      </c>
    </row>
    <row r="693" spans="1:8">
      <c r="A693" s="25"/>
      <c r="B693" s="13"/>
      <c r="C693" s="20"/>
      <c r="D693" s="19"/>
      <c r="E693" s="13"/>
      <c r="F693" s="13"/>
      <c r="G693" s="26">
        <f>IF($B693="","",IFERROR(INDEX(PecDesc,MATCH($B693,PecCod,0)),"Peça não cadastrada"))</f>
        <v>0</v>
      </c>
      <c r="H693" s="27">
        <f>IF(OR($C693="",$D693=""),"",$C693*$D693)</f>
        <v>0</v>
      </c>
    </row>
    <row r="694" spans="1:8">
      <c r="A694" s="25"/>
      <c r="B694" s="13"/>
      <c r="C694" s="20"/>
      <c r="D694" s="19"/>
      <c r="E694" s="13"/>
      <c r="F694" s="13"/>
      <c r="G694" s="26">
        <f>IF($B694="","",IFERROR(INDEX(PecDesc,MATCH($B694,PecCod,0)),"Peça não cadastrada"))</f>
        <v>0</v>
      </c>
      <c r="H694" s="27">
        <f>IF(OR($C694="",$D694=""),"",$C694*$D694)</f>
        <v>0</v>
      </c>
    </row>
    <row r="695" spans="1:8">
      <c r="A695" s="25"/>
      <c r="B695" s="13"/>
      <c r="C695" s="20"/>
      <c r="D695" s="19"/>
      <c r="E695" s="13"/>
      <c r="F695" s="13"/>
      <c r="G695" s="26">
        <f>IF($B695="","",IFERROR(INDEX(PecDesc,MATCH($B695,PecCod,0)),"Peça não cadastrada"))</f>
        <v>0</v>
      </c>
      <c r="H695" s="27">
        <f>IF(OR($C695="",$D695=""),"",$C695*$D695)</f>
        <v>0</v>
      </c>
    </row>
    <row r="696" spans="1:8">
      <c r="A696" s="25"/>
      <c r="B696" s="13"/>
      <c r="C696" s="20"/>
      <c r="D696" s="19"/>
      <c r="E696" s="13"/>
      <c r="F696" s="13"/>
      <c r="G696" s="26">
        <f>IF($B696="","",IFERROR(INDEX(PecDesc,MATCH($B696,PecCod,0)),"Peça não cadastrada"))</f>
        <v>0</v>
      </c>
      <c r="H696" s="27">
        <f>IF(OR($C696="",$D696=""),"",$C696*$D696)</f>
        <v>0</v>
      </c>
    </row>
    <row r="697" spans="1:8">
      <c r="A697" s="25"/>
      <c r="B697" s="13"/>
      <c r="C697" s="20"/>
      <c r="D697" s="19"/>
      <c r="E697" s="13"/>
      <c r="F697" s="13"/>
      <c r="G697" s="26">
        <f>IF($B697="","",IFERROR(INDEX(PecDesc,MATCH($B697,PecCod,0)),"Peça não cadastrada"))</f>
        <v>0</v>
      </c>
      <c r="H697" s="27">
        <f>IF(OR($C697="",$D697=""),"",$C697*$D697)</f>
        <v>0</v>
      </c>
    </row>
    <row r="698" spans="1:8">
      <c r="A698" s="25"/>
      <c r="B698" s="13"/>
      <c r="C698" s="20"/>
      <c r="D698" s="19"/>
      <c r="E698" s="13"/>
      <c r="F698" s="13"/>
      <c r="G698" s="26">
        <f>IF($B698="","",IFERROR(INDEX(PecDesc,MATCH($B698,PecCod,0)),"Peça não cadastrada"))</f>
        <v>0</v>
      </c>
      <c r="H698" s="27">
        <f>IF(OR($C698="",$D698=""),"",$C698*$D698)</f>
        <v>0</v>
      </c>
    </row>
    <row r="699" spans="1:8">
      <c r="A699" s="25"/>
      <c r="B699" s="13"/>
      <c r="C699" s="20"/>
      <c r="D699" s="19"/>
      <c r="E699" s="13"/>
      <c r="F699" s="13"/>
      <c r="G699" s="26">
        <f>IF($B699="","",IFERROR(INDEX(PecDesc,MATCH($B699,PecCod,0)),"Peça não cadastrada"))</f>
        <v>0</v>
      </c>
      <c r="H699" s="27">
        <f>IF(OR($C699="",$D699=""),"",$C699*$D699)</f>
        <v>0</v>
      </c>
    </row>
    <row r="700" spans="1:8">
      <c r="A700" s="25"/>
      <c r="B700" s="13"/>
      <c r="C700" s="20"/>
      <c r="D700" s="19"/>
      <c r="E700" s="13"/>
      <c r="F700" s="13"/>
      <c r="G700" s="26">
        <f>IF($B700="","",IFERROR(INDEX(PecDesc,MATCH($B700,PecCod,0)),"Peça não cadastrada"))</f>
        <v>0</v>
      </c>
      <c r="H700" s="27">
        <f>IF(OR($C700="",$D700=""),"",$C700*$D700)</f>
        <v>0</v>
      </c>
    </row>
    <row r="701" spans="1:8">
      <c r="A701" s="25"/>
      <c r="B701" s="13"/>
      <c r="C701" s="20"/>
      <c r="D701" s="19"/>
      <c r="E701" s="13"/>
      <c r="F701" s="13"/>
      <c r="G701" s="26">
        <f>IF($B701="","",IFERROR(INDEX(PecDesc,MATCH($B701,PecCod,0)),"Peça não cadastrada"))</f>
        <v>0</v>
      </c>
      <c r="H701" s="27">
        <f>IF(OR($C701="",$D701=""),"",$C701*$D701)</f>
        <v>0</v>
      </c>
    </row>
    <row r="702" spans="1:8">
      <c r="A702" s="25"/>
      <c r="B702" s="13"/>
      <c r="C702" s="20"/>
      <c r="D702" s="19"/>
      <c r="E702" s="13"/>
      <c r="F702" s="13"/>
      <c r="G702" s="26">
        <f>IF($B702="","",IFERROR(INDEX(PecDesc,MATCH($B702,PecCod,0)),"Peça não cadastrada"))</f>
        <v>0</v>
      </c>
      <c r="H702" s="27">
        <f>IF(OR($C702="",$D702=""),"",$C702*$D702)</f>
        <v>0</v>
      </c>
    </row>
    <row r="703" spans="1:8">
      <c r="A703" s="25"/>
      <c r="B703" s="13"/>
      <c r="C703" s="20"/>
      <c r="D703" s="19"/>
      <c r="E703" s="13"/>
      <c r="F703" s="13"/>
      <c r="G703" s="26">
        <f>IF($B703="","",IFERROR(INDEX(PecDesc,MATCH($B703,PecCod,0)),"Peça não cadastrada"))</f>
        <v>0</v>
      </c>
      <c r="H703" s="27">
        <f>IF(OR($C703="",$D703=""),"",$C703*$D703)</f>
        <v>0</v>
      </c>
    </row>
    <row r="704" spans="1:8">
      <c r="A704" s="25"/>
      <c r="B704" s="13"/>
      <c r="C704" s="20"/>
      <c r="D704" s="19"/>
      <c r="E704" s="13"/>
      <c r="F704" s="13"/>
      <c r="G704" s="26">
        <f>IF($B704="","",IFERROR(INDEX(PecDesc,MATCH($B704,PecCod,0)),"Peça não cadastrada"))</f>
        <v>0</v>
      </c>
      <c r="H704" s="27">
        <f>IF(OR($C704="",$D704=""),"",$C704*$D704)</f>
        <v>0</v>
      </c>
    </row>
    <row r="705" spans="1:8">
      <c r="A705" s="25"/>
      <c r="B705" s="13"/>
      <c r="C705" s="20"/>
      <c r="D705" s="19"/>
      <c r="E705" s="13"/>
      <c r="F705" s="13"/>
      <c r="G705" s="26">
        <f>IF($B705="","",IFERROR(INDEX(PecDesc,MATCH($B705,PecCod,0)),"Peça não cadastrada"))</f>
        <v>0</v>
      </c>
      <c r="H705" s="27">
        <f>IF(OR($C705="",$D705=""),"",$C705*$D705)</f>
        <v>0</v>
      </c>
    </row>
    <row r="706" spans="1:8">
      <c r="A706" s="25"/>
      <c r="B706" s="13"/>
      <c r="C706" s="20"/>
      <c r="D706" s="19"/>
      <c r="E706" s="13"/>
      <c r="F706" s="13"/>
      <c r="G706" s="26">
        <f>IF($B706="","",IFERROR(INDEX(PecDesc,MATCH($B706,PecCod,0)),"Peça não cadastrada"))</f>
        <v>0</v>
      </c>
      <c r="H706" s="27">
        <f>IF(OR($C706="",$D706=""),"",$C706*$D706)</f>
        <v>0</v>
      </c>
    </row>
    <row r="707" spans="1:8">
      <c r="A707" s="25"/>
      <c r="B707" s="13"/>
      <c r="C707" s="20"/>
      <c r="D707" s="19"/>
      <c r="E707" s="13"/>
      <c r="F707" s="13"/>
      <c r="G707" s="26">
        <f>IF($B707="","",IFERROR(INDEX(PecDesc,MATCH($B707,PecCod,0)),"Peça não cadastrada"))</f>
        <v>0</v>
      </c>
      <c r="H707" s="27">
        <f>IF(OR($C707="",$D707=""),"",$C707*$D707)</f>
        <v>0</v>
      </c>
    </row>
    <row r="708" spans="1:8">
      <c r="A708" s="25"/>
      <c r="B708" s="13"/>
      <c r="C708" s="20"/>
      <c r="D708" s="19"/>
      <c r="E708" s="13"/>
      <c r="F708" s="13"/>
      <c r="G708" s="26">
        <f>IF($B708="","",IFERROR(INDEX(PecDesc,MATCH($B708,PecCod,0)),"Peça não cadastrada"))</f>
        <v>0</v>
      </c>
      <c r="H708" s="27">
        <f>IF(OR($C708="",$D708=""),"",$C708*$D708)</f>
        <v>0</v>
      </c>
    </row>
    <row r="709" spans="1:8">
      <c r="A709" s="25"/>
      <c r="B709" s="13"/>
      <c r="C709" s="20"/>
      <c r="D709" s="19"/>
      <c r="E709" s="13"/>
      <c r="F709" s="13"/>
      <c r="G709" s="26">
        <f>IF($B709="","",IFERROR(INDEX(PecDesc,MATCH($B709,PecCod,0)),"Peça não cadastrada"))</f>
        <v>0</v>
      </c>
      <c r="H709" s="27">
        <f>IF(OR($C709="",$D709=""),"",$C709*$D709)</f>
        <v>0</v>
      </c>
    </row>
    <row r="710" spans="1:8">
      <c r="A710" s="25"/>
      <c r="B710" s="13"/>
      <c r="C710" s="20"/>
      <c r="D710" s="19"/>
      <c r="E710" s="13"/>
      <c r="F710" s="13"/>
      <c r="G710" s="26">
        <f>IF($B710="","",IFERROR(INDEX(PecDesc,MATCH($B710,PecCod,0)),"Peça não cadastrada"))</f>
        <v>0</v>
      </c>
      <c r="H710" s="27">
        <f>IF(OR($C710="",$D710=""),"",$C710*$D710)</f>
        <v>0</v>
      </c>
    </row>
    <row r="711" spans="1:8">
      <c r="A711" s="25"/>
      <c r="B711" s="13"/>
      <c r="C711" s="20"/>
      <c r="D711" s="19"/>
      <c r="E711" s="13"/>
      <c r="F711" s="13"/>
      <c r="G711" s="26">
        <f>IF($B711="","",IFERROR(INDEX(PecDesc,MATCH($B711,PecCod,0)),"Peça não cadastrada"))</f>
        <v>0</v>
      </c>
      <c r="H711" s="27">
        <f>IF(OR($C711="",$D711=""),"",$C711*$D711)</f>
        <v>0</v>
      </c>
    </row>
    <row r="712" spans="1:8">
      <c r="A712" s="25"/>
      <c r="B712" s="13"/>
      <c r="C712" s="20"/>
      <c r="D712" s="19"/>
      <c r="E712" s="13"/>
      <c r="F712" s="13"/>
      <c r="G712" s="26">
        <f>IF($B712="","",IFERROR(INDEX(PecDesc,MATCH($B712,PecCod,0)),"Peça não cadastrada"))</f>
        <v>0</v>
      </c>
      <c r="H712" s="27">
        <f>IF(OR($C712="",$D712=""),"",$C712*$D712)</f>
        <v>0</v>
      </c>
    </row>
    <row r="713" spans="1:8">
      <c r="A713" s="25"/>
      <c r="B713" s="13"/>
      <c r="C713" s="20"/>
      <c r="D713" s="19"/>
      <c r="E713" s="13"/>
      <c r="F713" s="13"/>
      <c r="G713" s="26">
        <f>IF($B713="","",IFERROR(INDEX(PecDesc,MATCH($B713,PecCod,0)),"Peça não cadastrada"))</f>
        <v>0</v>
      </c>
      <c r="H713" s="27">
        <f>IF(OR($C713="",$D713=""),"",$C713*$D713)</f>
        <v>0</v>
      </c>
    </row>
    <row r="714" spans="1:8">
      <c r="A714" s="25"/>
      <c r="B714" s="13"/>
      <c r="C714" s="20"/>
      <c r="D714" s="19"/>
      <c r="E714" s="13"/>
      <c r="F714" s="13"/>
      <c r="G714" s="26">
        <f>IF($B714="","",IFERROR(INDEX(PecDesc,MATCH($B714,PecCod,0)),"Peça não cadastrada"))</f>
        <v>0</v>
      </c>
      <c r="H714" s="27">
        <f>IF(OR($C714="",$D714=""),"",$C714*$D714)</f>
        <v>0</v>
      </c>
    </row>
    <row r="715" spans="1:8">
      <c r="A715" s="25"/>
      <c r="B715" s="13"/>
      <c r="C715" s="20"/>
      <c r="D715" s="19"/>
      <c r="E715" s="13"/>
      <c r="F715" s="13"/>
      <c r="G715" s="26">
        <f>IF($B715="","",IFERROR(INDEX(PecDesc,MATCH($B715,PecCod,0)),"Peça não cadastrada"))</f>
        <v>0</v>
      </c>
      <c r="H715" s="27">
        <f>IF(OR($C715="",$D715=""),"",$C715*$D715)</f>
        <v>0</v>
      </c>
    </row>
    <row r="716" spans="1:8">
      <c r="A716" s="25"/>
      <c r="B716" s="13"/>
      <c r="C716" s="20"/>
      <c r="D716" s="19"/>
      <c r="E716" s="13"/>
      <c r="F716" s="13"/>
      <c r="G716" s="26">
        <f>IF($B716="","",IFERROR(INDEX(PecDesc,MATCH($B716,PecCod,0)),"Peça não cadastrada"))</f>
        <v>0</v>
      </c>
      <c r="H716" s="27">
        <f>IF(OR($C716="",$D716=""),"",$C716*$D716)</f>
        <v>0</v>
      </c>
    </row>
    <row r="717" spans="1:8">
      <c r="A717" s="25"/>
      <c r="B717" s="13"/>
      <c r="C717" s="20"/>
      <c r="D717" s="19"/>
      <c r="E717" s="13"/>
      <c r="F717" s="13"/>
      <c r="G717" s="26">
        <f>IF($B717="","",IFERROR(INDEX(PecDesc,MATCH($B717,PecCod,0)),"Peça não cadastrada"))</f>
        <v>0</v>
      </c>
      <c r="H717" s="27">
        <f>IF(OR($C717="",$D717=""),"",$C717*$D717)</f>
        <v>0</v>
      </c>
    </row>
    <row r="718" spans="1:8">
      <c r="A718" s="25"/>
      <c r="B718" s="13"/>
      <c r="C718" s="20"/>
      <c r="D718" s="19"/>
      <c r="E718" s="13"/>
      <c r="F718" s="13"/>
      <c r="G718" s="26">
        <f>IF($B718="","",IFERROR(INDEX(PecDesc,MATCH($B718,PecCod,0)),"Peça não cadastrada"))</f>
        <v>0</v>
      </c>
      <c r="H718" s="27">
        <f>IF(OR($C718="",$D718=""),"",$C718*$D718)</f>
        <v>0</v>
      </c>
    </row>
    <row r="719" spans="1:8">
      <c r="A719" s="25"/>
      <c r="B719" s="13"/>
      <c r="C719" s="20"/>
      <c r="D719" s="19"/>
      <c r="E719" s="13"/>
      <c r="F719" s="13"/>
      <c r="G719" s="26">
        <f>IF($B719="","",IFERROR(INDEX(PecDesc,MATCH($B719,PecCod,0)),"Peça não cadastrada"))</f>
        <v>0</v>
      </c>
      <c r="H719" s="27">
        <f>IF(OR($C719="",$D719=""),"",$C719*$D719)</f>
        <v>0</v>
      </c>
    </row>
    <row r="720" spans="1:8">
      <c r="A720" s="25"/>
      <c r="B720" s="13"/>
      <c r="C720" s="20"/>
      <c r="D720" s="19"/>
      <c r="E720" s="13"/>
      <c r="F720" s="13"/>
      <c r="G720" s="26">
        <f>IF($B720="","",IFERROR(INDEX(PecDesc,MATCH($B720,PecCod,0)),"Peça não cadastrada"))</f>
        <v>0</v>
      </c>
      <c r="H720" s="27">
        <f>IF(OR($C720="",$D720=""),"",$C720*$D720)</f>
        <v>0</v>
      </c>
    </row>
    <row r="721" spans="1:8">
      <c r="A721" s="25"/>
      <c r="B721" s="13"/>
      <c r="C721" s="20"/>
      <c r="D721" s="19"/>
      <c r="E721" s="13"/>
      <c r="F721" s="13"/>
      <c r="G721" s="26">
        <f>IF($B721="","",IFERROR(INDEX(PecDesc,MATCH($B721,PecCod,0)),"Peça não cadastrada"))</f>
        <v>0</v>
      </c>
      <c r="H721" s="27">
        <f>IF(OR($C721="",$D721=""),"",$C721*$D721)</f>
        <v>0</v>
      </c>
    </row>
    <row r="722" spans="1:8">
      <c r="A722" s="25"/>
      <c r="B722" s="13"/>
      <c r="C722" s="20"/>
      <c r="D722" s="19"/>
      <c r="E722" s="13"/>
      <c r="F722" s="13"/>
      <c r="G722" s="26">
        <f>IF($B722="","",IFERROR(INDEX(PecDesc,MATCH($B722,PecCod,0)),"Peça não cadastrada"))</f>
        <v>0</v>
      </c>
      <c r="H722" s="27">
        <f>IF(OR($C722="",$D722=""),"",$C722*$D722)</f>
        <v>0</v>
      </c>
    </row>
    <row r="723" spans="1:8">
      <c r="A723" s="25"/>
      <c r="B723" s="13"/>
      <c r="C723" s="20"/>
      <c r="D723" s="19"/>
      <c r="E723" s="13"/>
      <c r="F723" s="13"/>
      <c r="G723" s="26">
        <f>IF($B723="","",IFERROR(INDEX(PecDesc,MATCH($B723,PecCod,0)),"Peça não cadastrada"))</f>
        <v>0</v>
      </c>
      <c r="H723" s="27">
        <f>IF(OR($C723="",$D723=""),"",$C723*$D723)</f>
        <v>0</v>
      </c>
    </row>
    <row r="724" spans="1:8">
      <c r="A724" s="25"/>
      <c r="B724" s="13"/>
      <c r="C724" s="20"/>
      <c r="D724" s="19"/>
      <c r="E724" s="13"/>
      <c r="F724" s="13"/>
      <c r="G724" s="26">
        <f>IF($B724="","",IFERROR(INDEX(PecDesc,MATCH($B724,PecCod,0)),"Peça não cadastrada"))</f>
        <v>0</v>
      </c>
      <c r="H724" s="27">
        <f>IF(OR($C724="",$D724=""),"",$C724*$D724)</f>
        <v>0</v>
      </c>
    </row>
    <row r="725" spans="1:8">
      <c r="A725" s="25"/>
      <c r="B725" s="13"/>
      <c r="C725" s="20"/>
      <c r="D725" s="19"/>
      <c r="E725" s="13"/>
      <c r="F725" s="13"/>
      <c r="G725" s="26">
        <f>IF($B725="","",IFERROR(INDEX(PecDesc,MATCH($B725,PecCod,0)),"Peça não cadastrada"))</f>
        <v>0</v>
      </c>
      <c r="H725" s="27">
        <f>IF(OR($C725="",$D725=""),"",$C725*$D725)</f>
        <v>0</v>
      </c>
    </row>
    <row r="726" spans="1:8">
      <c r="A726" s="25"/>
      <c r="B726" s="13"/>
      <c r="C726" s="20"/>
      <c r="D726" s="19"/>
      <c r="E726" s="13"/>
      <c r="F726" s="13"/>
      <c r="G726" s="26">
        <f>IF($B726="","",IFERROR(INDEX(PecDesc,MATCH($B726,PecCod,0)),"Peça não cadastrada"))</f>
        <v>0</v>
      </c>
      <c r="H726" s="27">
        <f>IF(OR($C726="",$D726=""),"",$C726*$D726)</f>
        <v>0</v>
      </c>
    </row>
    <row r="727" spans="1:8">
      <c r="A727" s="25"/>
      <c r="B727" s="13"/>
      <c r="C727" s="20"/>
      <c r="D727" s="19"/>
      <c r="E727" s="13"/>
      <c r="F727" s="13"/>
      <c r="G727" s="26">
        <f>IF($B727="","",IFERROR(INDEX(PecDesc,MATCH($B727,PecCod,0)),"Peça não cadastrada"))</f>
        <v>0</v>
      </c>
      <c r="H727" s="27">
        <f>IF(OR($C727="",$D727=""),"",$C727*$D727)</f>
        <v>0</v>
      </c>
    </row>
    <row r="728" spans="1:8">
      <c r="A728" s="25"/>
      <c r="B728" s="13"/>
      <c r="C728" s="20"/>
      <c r="D728" s="19"/>
      <c r="E728" s="13"/>
      <c r="F728" s="13"/>
      <c r="G728" s="26">
        <f>IF($B728="","",IFERROR(INDEX(PecDesc,MATCH($B728,PecCod,0)),"Peça não cadastrada"))</f>
        <v>0</v>
      </c>
      <c r="H728" s="27">
        <f>IF(OR($C728="",$D728=""),"",$C728*$D728)</f>
        <v>0</v>
      </c>
    </row>
    <row r="729" spans="1:8">
      <c r="A729" s="25"/>
      <c r="B729" s="13"/>
      <c r="C729" s="20"/>
      <c r="D729" s="19"/>
      <c r="E729" s="13"/>
      <c r="F729" s="13"/>
      <c r="G729" s="26">
        <f>IF($B729="","",IFERROR(INDEX(PecDesc,MATCH($B729,PecCod,0)),"Peça não cadastrada"))</f>
        <v>0</v>
      </c>
      <c r="H729" s="27">
        <f>IF(OR($C729="",$D729=""),"",$C729*$D729)</f>
        <v>0</v>
      </c>
    </row>
    <row r="730" spans="1:8">
      <c r="A730" s="25"/>
      <c r="B730" s="13"/>
      <c r="C730" s="20"/>
      <c r="D730" s="19"/>
      <c r="E730" s="13"/>
      <c r="F730" s="13"/>
      <c r="G730" s="26">
        <f>IF($B730="","",IFERROR(INDEX(PecDesc,MATCH($B730,PecCod,0)),"Peça não cadastrada"))</f>
        <v>0</v>
      </c>
      <c r="H730" s="27">
        <f>IF(OR($C730="",$D730=""),"",$C730*$D730)</f>
        <v>0</v>
      </c>
    </row>
    <row r="731" spans="1:8">
      <c r="A731" s="25"/>
      <c r="B731" s="13"/>
      <c r="C731" s="20"/>
      <c r="D731" s="19"/>
      <c r="E731" s="13"/>
      <c r="F731" s="13"/>
      <c r="G731" s="26">
        <f>IF($B731="","",IFERROR(INDEX(PecDesc,MATCH($B731,PecCod,0)),"Peça não cadastrada"))</f>
        <v>0</v>
      </c>
      <c r="H731" s="27">
        <f>IF(OR($C731="",$D731=""),"",$C731*$D731)</f>
        <v>0</v>
      </c>
    </row>
    <row r="732" spans="1:8">
      <c r="A732" s="25"/>
      <c r="B732" s="13"/>
      <c r="C732" s="20"/>
      <c r="D732" s="19"/>
      <c r="E732" s="13"/>
      <c r="F732" s="13"/>
      <c r="G732" s="26">
        <f>IF($B732="","",IFERROR(INDEX(PecDesc,MATCH($B732,PecCod,0)),"Peça não cadastrada"))</f>
        <v>0</v>
      </c>
      <c r="H732" s="27">
        <f>IF(OR($C732="",$D732=""),"",$C732*$D732)</f>
        <v>0</v>
      </c>
    </row>
    <row r="733" spans="1:8">
      <c r="A733" s="25"/>
      <c r="B733" s="13"/>
      <c r="C733" s="20"/>
      <c r="D733" s="19"/>
      <c r="E733" s="13"/>
      <c r="F733" s="13"/>
      <c r="G733" s="26">
        <f>IF($B733="","",IFERROR(INDEX(PecDesc,MATCH($B733,PecCod,0)),"Peça não cadastrada"))</f>
        <v>0</v>
      </c>
      <c r="H733" s="27">
        <f>IF(OR($C733="",$D733=""),"",$C733*$D733)</f>
        <v>0</v>
      </c>
    </row>
    <row r="734" spans="1:8">
      <c r="A734" s="25"/>
      <c r="B734" s="13"/>
      <c r="C734" s="20"/>
      <c r="D734" s="19"/>
      <c r="E734" s="13"/>
      <c r="F734" s="13"/>
      <c r="G734" s="26">
        <f>IF($B734="","",IFERROR(INDEX(PecDesc,MATCH($B734,PecCod,0)),"Peça não cadastrada"))</f>
        <v>0</v>
      </c>
      <c r="H734" s="27">
        <f>IF(OR($C734="",$D734=""),"",$C734*$D734)</f>
        <v>0</v>
      </c>
    </row>
    <row r="735" spans="1:8">
      <c r="A735" s="25"/>
      <c r="B735" s="13"/>
      <c r="C735" s="20"/>
      <c r="D735" s="19"/>
      <c r="E735" s="13"/>
      <c r="F735" s="13"/>
      <c r="G735" s="26">
        <f>IF($B735="","",IFERROR(INDEX(PecDesc,MATCH($B735,PecCod,0)),"Peça não cadastrada"))</f>
        <v>0</v>
      </c>
      <c r="H735" s="27">
        <f>IF(OR($C735="",$D735=""),"",$C735*$D735)</f>
        <v>0</v>
      </c>
    </row>
    <row r="736" spans="1:8">
      <c r="A736" s="25"/>
      <c r="B736" s="13"/>
      <c r="C736" s="20"/>
      <c r="D736" s="19"/>
      <c r="E736" s="13"/>
      <c r="F736" s="13"/>
      <c r="G736" s="26">
        <f>IF($B736="","",IFERROR(INDEX(PecDesc,MATCH($B736,PecCod,0)),"Peça não cadastrada"))</f>
        <v>0</v>
      </c>
      <c r="H736" s="27">
        <f>IF(OR($C736="",$D736=""),"",$C736*$D736)</f>
        <v>0</v>
      </c>
    </row>
    <row r="737" spans="1:8">
      <c r="A737" s="25"/>
      <c r="B737" s="13"/>
      <c r="C737" s="20"/>
      <c r="D737" s="19"/>
      <c r="E737" s="13"/>
      <c r="F737" s="13"/>
      <c r="G737" s="26">
        <f>IF($B737="","",IFERROR(INDEX(PecDesc,MATCH($B737,PecCod,0)),"Peça não cadastrada"))</f>
        <v>0</v>
      </c>
      <c r="H737" s="27">
        <f>IF(OR($C737="",$D737=""),"",$C737*$D737)</f>
        <v>0</v>
      </c>
    </row>
    <row r="738" spans="1:8">
      <c r="A738" s="25"/>
      <c r="B738" s="13"/>
      <c r="C738" s="20"/>
      <c r="D738" s="19"/>
      <c r="E738" s="13"/>
      <c r="F738" s="13"/>
      <c r="G738" s="26">
        <f>IF($B738="","",IFERROR(INDEX(PecDesc,MATCH($B738,PecCod,0)),"Peça não cadastrada"))</f>
        <v>0</v>
      </c>
      <c r="H738" s="27">
        <f>IF(OR($C738="",$D738=""),"",$C738*$D738)</f>
        <v>0</v>
      </c>
    </row>
    <row r="739" spans="1:8">
      <c r="A739" s="25"/>
      <c r="B739" s="13"/>
      <c r="C739" s="20"/>
      <c r="D739" s="19"/>
      <c r="E739" s="13"/>
      <c r="F739" s="13"/>
      <c r="G739" s="26">
        <f>IF($B739="","",IFERROR(INDEX(PecDesc,MATCH($B739,PecCod,0)),"Peça não cadastrada"))</f>
        <v>0</v>
      </c>
      <c r="H739" s="27">
        <f>IF(OR($C739="",$D739=""),"",$C739*$D739)</f>
        <v>0</v>
      </c>
    </row>
    <row r="740" spans="1:8">
      <c r="A740" s="25"/>
      <c r="B740" s="13"/>
      <c r="C740" s="20"/>
      <c r="D740" s="19"/>
      <c r="E740" s="13"/>
      <c r="F740" s="13"/>
      <c r="G740" s="26">
        <f>IF($B740="","",IFERROR(INDEX(PecDesc,MATCH($B740,PecCod,0)),"Peça não cadastrada"))</f>
        <v>0</v>
      </c>
      <c r="H740" s="27">
        <f>IF(OR($C740="",$D740=""),"",$C740*$D740)</f>
        <v>0</v>
      </c>
    </row>
    <row r="741" spans="1:8">
      <c r="A741" s="25"/>
      <c r="B741" s="13"/>
      <c r="C741" s="20"/>
      <c r="D741" s="19"/>
      <c r="E741" s="13"/>
      <c r="F741" s="13"/>
      <c r="G741" s="26">
        <f>IF($B741="","",IFERROR(INDEX(PecDesc,MATCH($B741,PecCod,0)),"Peça não cadastrada"))</f>
        <v>0</v>
      </c>
      <c r="H741" s="27">
        <f>IF(OR($C741="",$D741=""),"",$C741*$D741)</f>
        <v>0</v>
      </c>
    </row>
    <row r="742" spans="1:8">
      <c r="A742" s="25"/>
      <c r="B742" s="13"/>
      <c r="C742" s="20"/>
      <c r="D742" s="19"/>
      <c r="E742" s="13"/>
      <c r="F742" s="13"/>
      <c r="G742" s="26">
        <f>IF($B742="","",IFERROR(INDEX(PecDesc,MATCH($B742,PecCod,0)),"Peça não cadastrada"))</f>
        <v>0</v>
      </c>
      <c r="H742" s="27">
        <f>IF(OR($C742="",$D742=""),"",$C742*$D742)</f>
        <v>0</v>
      </c>
    </row>
    <row r="743" spans="1:8">
      <c r="A743" s="25"/>
      <c r="B743" s="13"/>
      <c r="C743" s="20"/>
      <c r="D743" s="19"/>
      <c r="E743" s="13"/>
      <c r="F743" s="13"/>
      <c r="G743" s="26">
        <f>IF($B743="","",IFERROR(INDEX(PecDesc,MATCH($B743,PecCod,0)),"Peça não cadastrada"))</f>
        <v>0</v>
      </c>
      <c r="H743" s="27">
        <f>IF(OR($C743="",$D743=""),"",$C743*$D743)</f>
        <v>0</v>
      </c>
    </row>
    <row r="744" spans="1:8">
      <c r="A744" s="25"/>
      <c r="B744" s="13"/>
      <c r="C744" s="20"/>
      <c r="D744" s="19"/>
      <c r="E744" s="13"/>
      <c r="F744" s="13"/>
      <c r="G744" s="26">
        <f>IF($B744="","",IFERROR(INDEX(PecDesc,MATCH($B744,PecCod,0)),"Peça não cadastrada"))</f>
        <v>0</v>
      </c>
      <c r="H744" s="27">
        <f>IF(OR($C744="",$D744=""),"",$C744*$D744)</f>
        <v>0</v>
      </c>
    </row>
    <row r="745" spans="1:8">
      <c r="A745" s="25"/>
      <c r="B745" s="13"/>
      <c r="C745" s="20"/>
      <c r="D745" s="19"/>
      <c r="E745" s="13"/>
      <c r="F745" s="13"/>
      <c r="G745" s="26">
        <f>IF($B745="","",IFERROR(INDEX(PecDesc,MATCH($B745,PecCod,0)),"Peça não cadastrada"))</f>
        <v>0</v>
      </c>
      <c r="H745" s="27">
        <f>IF(OR($C745="",$D745=""),"",$C745*$D745)</f>
        <v>0</v>
      </c>
    </row>
    <row r="746" spans="1:8">
      <c r="A746" s="25"/>
      <c r="B746" s="13"/>
      <c r="C746" s="20"/>
      <c r="D746" s="19"/>
      <c r="E746" s="13"/>
      <c r="F746" s="13"/>
      <c r="G746" s="26">
        <f>IF($B746="","",IFERROR(INDEX(PecDesc,MATCH($B746,PecCod,0)),"Peça não cadastrada"))</f>
        <v>0</v>
      </c>
      <c r="H746" s="27">
        <f>IF(OR($C746="",$D746=""),"",$C746*$D746)</f>
        <v>0</v>
      </c>
    </row>
    <row r="747" spans="1:8">
      <c r="A747" s="25"/>
      <c r="B747" s="13"/>
      <c r="C747" s="20"/>
      <c r="D747" s="19"/>
      <c r="E747" s="13"/>
      <c r="F747" s="13"/>
      <c r="G747" s="26">
        <f>IF($B747="","",IFERROR(INDEX(PecDesc,MATCH($B747,PecCod,0)),"Peça não cadastrada"))</f>
        <v>0</v>
      </c>
      <c r="H747" s="27">
        <f>IF(OR($C747="",$D747=""),"",$C747*$D747)</f>
        <v>0</v>
      </c>
    </row>
    <row r="748" spans="1:8">
      <c r="A748" s="25"/>
      <c r="B748" s="13"/>
      <c r="C748" s="20"/>
      <c r="D748" s="19"/>
      <c r="E748" s="13"/>
      <c r="F748" s="13"/>
      <c r="G748" s="26">
        <f>IF($B748="","",IFERROR(INDEX(PecDesc,MATCH($B748,PecCod,0)),"Peça não cadastrada"))</f>
        <v>0</v>
      </c>
      <c r="H748" s="27">
        <f>IF(OR($C748="",$D748=""),"",$C748*$D748)</f>
        <v>0</v>
      </c>
    </row>
    <row r="749" spans="1:8">
      <c r="A749" s="25"/>
      <c r="B749" s="13"/>
      <c r="C749" s="20"/>
      <c r="D749" s="19"/>
      <c r="E749" s="13"/>
      <c r="F749" s="13"/>
      <c r="G749" s="26">
        <f>IF($B749="","",IFERROR(INDEX(PecDesc,MATCH($B749,PecCod,0)),"Peça não cadastrada"))</f>
        <v>0</v>
      </c>
      <c r="H749" s="27">
        <f>IF(OR($C749="",$D749=""),"",$C749*$D749)</f>
        <v>0</v>
      </c>
    </row>
    <row r="750" spans="1:8">
      <c r="A750" s="25"/>
      <c r="B750" s="13"/>
      <c r="C750" s="20"/>
      <c r="D750" s="19"/>
      <c r="E750" s="13"/>
      <c r="F750" s="13"/>
      <c r="G750" s="26">
        <f>IF($B750="","",IFERROR(INDEX(PecDesc,MATCH($B750,PecCod,0)),"Peça não cadastrada"))</f>
        <v>0</v>
      </c>
      <c r="H750" s="27">
        <f>IF(OR($C750="",$D750=""),"",$C750*$D750)</f>
        <v>0</v>
      </c>
    </row>
    <row r="751" spans="1:8">
      <c r="A751" s="25"/>
      <c r="B751" s="13"/>
      <c r="C751" s="20"/>
      <c r="D751" s="19"/>
      <c r="E751" s="13"/>
      <c r="F751" s="13"/>
      <c r="G751" s="26">
        <f>IF($B751="","",IFERROR(INDEX(PecDesc,MATCH($B751,PecCod,0)),"Peça não cadastrada"))</f>
        <v>0</v>
      </c>
      <c r="H751" s="27">
        <f>IF(OR($C751="",$D751=""),"",$C751*$D751)</f>
        <v>0</v>
      </c>
    </row>
    <row r="752" spans="1:8">
      <c r="A752" s="25"/>
      <c r="B752" s="13"/>
      <c r="C752" s="20"/>
      <c r="D752" s="19"/>
      <c r="E752" s="13"/>
      <c r="F752" s="13"/>
      <c r="G752" s="26">
        <f>IF($B752="","",IFERROR(INDEX(PecDesc,MATCH($B752,PecCod,0)),"Peça não cadastrada"))</f>
        <v>0</v>
      </c>
      <c r="H752" s="27">
        <f>IF(OR($C752="",$D752=""),"",$C752*$D752)</f>
        <v>0</v>
      </c>
    </row>
    <row r="753" spans="1:8">
      <c r="A753" s="25"/>
      <c r="B753" s="13"/>
      <c r="C753" s="20"/>
      <c r="D753" s="19"/>
      <c r="E753" s="13"/>
      <c r="F753" s="13"/>
      <c r="G753" s="26">
        <f>IF($B753="","",IFERROR(INDEX(PecDesc,MATCH($B753,PecCod,0)),"Peça não cadastrada"))</f>
        <v>0</v>
      </c>
      <c r="H753" s="27">
        <f>IF(OR($C753="",$D753=""),"",$C753*$D753)</f>
        <v>0</v>
      </c>
    </row>
    <row r="754" spans="1:8">
      <c r="A754" s="25"/>
      <c r="B754" s="13"/>
      <c r="C754" s="20"/>
      <c r="D754" s="19"/>
      <c r="E754" s="13"/>
      <c r="F754" s="13"/>
      <c r="G754" s="26">
        <f>IF($B754="","",IFERROR(INDEX(PecDesc,MATCH($B754,PecCod,0)),"Peça não cadastrada"))</f>
        <v>0</v>
      </c>
      <c r="H754" s="27">
        <f>IF(OR($C754="",$D754=""),"",$C754*$D754)</f>
        <v>0</v>
      </c>
    </row>
    <row r="755" spans="1:8">
      <c r="A755" s="25"/>
      <c r="B755" s="13"/>
      <c r="C755" s="20"/>
      <c r="D755" s="19"/>
      <c r="E755" s="13"/>
      <c r="F755" s="13"/>
      <c r="G755" s="26">
        <f>IF($B755="","",IFERROR(INDEX(PecDesc,MATCH($B755,PecCod,0)),"Peça não cadastrada"))</f>
        <v>0</v>
      </c>
      <c r="H755" s="27">
        <f>IF(OR($C755="",$D755=""),"",$C755*$D755)</f>
        <v>0</v>
      </c>
    </row>
    <row r="756" spans="1:8">
      <c r="A756" s="25"/>
      <c r="B756" s="13"/>
      <c r="C756" s="20"/>
      <c r="D756" s="19"/>
      <c r="E756" s="13"/>
      <c r="F756" s="13"/>
      <c r="G756" s="26">
        <f>IF($B756="","",IFERROR(INDEX(PecDesc,MATCH($B756,PecCod,0)),"Peça não cadastrada"))</f>
        <v>0</v>
      </c>
      <c r="H756" s="27">
        <f>IF(OR($C756="",$D756=""),"",$C756*$D756)</f>
        <v>0</v>
      </c>
    </row>
    <row r="757" spans="1:8">
      <c r="A757" s="25"/>
      <c r="B757" s="13"/>
      <c r="C757" s="20"/>
      <c r="D757" s="19"/>
      <c r="E757" s="13"/>
      <c r="F757" s="13"/>
      <c r="G757" s="26">
        <f>IF($B757="","",IFERROR(INDEX(PecDesc,MATCH($B757,PecCod,0)),"Peça não cadastrada"))</f>
        <v>0</v>
      </c>
      <c r="H757" s="27">
        <f>IF(OR($C757="",$D757=""),"",$C757*$D757)</f>
        <v>0</v>
      </c>
    </row>
    <row r="758" spans="1:8">
      <c r="A758" s="25"/>
      <c r="B758" s="13"/>
      <c r="C758" s="20"/>
      <c r="D758" s="19"/>
      <c r="E758" s="13"/>
      <c r="F758" s="13"/>
      <c r="G758" s="26">
        <f>IF($B758="","",IFERROR(INDEX(PecDesc,MATCH($B758,PecCod,0)),"Peça não cadastrada"))</f>
        <v>0</v>
      </c>
      <c r="H758" s="27">
        <f>IF(OR($C758="",$D758=""),"",$C758*$D758)</f>
        <v>0</v>
      </c>
    </row>
    <row r="759" spans="1:8">
      <c r="A759" s="25"/>
      <c r="B759" s="13"/>
      <c r="C759" s="20"/>
      <c r="D759" s="19"/>
      <c r="E759" s="13"/>
      <c r="F759" s="13"/>
      <c r="G759" s="26">
        <f>IF($B759="","",IFERROR(INDEX(PecDesc,MATCH($B759,PecCod,0)),"Peça não cadastrada"))</f>
        <v>0</v>
      </c>
      <c r="H759" s="27">
        <f>IF(OR($C759="",$D759=""),"",$C759*$D759)</f>
        <v>0</v>
      </c>
    </row>
    <row r="760" spans="1:8">
      <c r="A760" s="25"/>
      <c r="B760" s="13"/>
      <c r="C760" s="20"/>
      <c r="D760" s="19"/>
      <c r="E760" s="13"/>
      <c r="F760" s="13"/>
      <c r="G760" s="26">
        <f>IF($B760="","",IFERROR(INDEX(PecDesc,MATCH($B760,PecCod,0)),"Peça não cadastrada"))</f>
        <v>0</v>
      </c>
      <c r="H760" s="27">
        <f>IF(OR($C760="",$D760=""),"",$C760*$D760)</f>
        <v>0</v>
      </c>
    </row>
    <row r="761" spans="1:8">
      <c r="A761" s="25"/>
      <c r="B761" s="13"/>
      <c r="C761" s="20"/>
      <c r="D761" s="19"/>
      <c r="E761" s="13"/>
      <c r="F761" s="13"/>
      <c r="G761" s="26">
        <f>IF($B761="","",IFERROR(INDEX(PecDesc,MATCH($B761,PecCod,0)),"Peça não cadastrada"))</f>
        <v>0</v>
      </c>
      <c r="H761" s="27">
        <f>IF(OR($C761="",$D761=""),"",$C761*$D761)</f>
        <v>0</v>
      </c>
    </row>
    <row r="762" spans="1:8">
      <c r="A762" s="25"/>
      <c r="B762" s="13"/>
      <c r="C762" s="20"/>
      <c r="D762" s="19"/>
      <c r="E762" s="13"/>
      <c r="F762" s="13"/>
      <c r="G762" s="26">
        <f>IF($B762="","",IFERROR(INDEX(PecDesc,MATCH($B762,PecCod,0)),"Peça não cadastrada"))</f>
        <v>0</v>
      </c>
      <c r="H762" s="27">
        <f>IF(OR($C762="",$D762=""),"",$C762*$D762)</f>
        <v>0</v>
      </c>
    </row>
    <row r="763" spans="1:8">
      <c r="A763" s="25"/>
      <c r="B763" s="13"/>
      <c r="C763" s="20"/>
      <c r="D763" s="19"/>
      <c r="E763" s="13"/>
      <c r="F763" s="13"/>
      <c r="G763" s="26">
        <f>IF($B763="","",IFERROR(INDEX(PecDesc,MATCH($B763,PecCod,0)),"Peça não cadastrada"))</f>
        <v>0</v>
      </c>
      <c r="H763" s="27">
        <f>IF(OR($C763="",$D763=""),"",$C763*$D763)</f>
        <v>0</v>
      </c>
    </row>
    <row r="764" spans="1:8">
      <c r="A764" s="25"/>
      <c r="B764" s="13"/>
      <c r="C764" s="20"/>
      <c r="D764" s="19"/>
      <c r="E764" s="13"/>
      <c r="F764" s="13"/>
      <c r="G764" s="26">
        <f>IF($B764="","",IFERROR(INDEX(PecDesc,MATCH($B764,PecCod,0)),"Peça não cadastrada"))</f>
        <v>0</v>
      </c>
      <c r="H764" s="27">
        <f>IF(OR($C764="",$D764=""),"",$C764*$D764)</f>
        <v>0</v>
      </c>
    </row>
    <row r="765" spans="1:8">
      <c r="A765" s="25"/>
      <c r="B765" s="13"/>
      <c r="C765" s="20"/>
      <c r="D765" s="19"/>
      <c r="E765" s="13"/>
      <c r="F765" s="13"/>
      <c r="G765" s="26">
        <f>IF($B765="","",IFERROR(INDEX(PecDesc,MATCH($B765,PecCod,0)),"Peça não cadastrada"))</f>
        <v>0</v>
      </c>
      <c r="H765" s="27">
        <f>IF(OR($C765="",$D765=""),"",$C765*$D765)</f>
        <v>0</v>
      </c>
    </row>
    <row r="766" spans="1:8">
      <c r="A766" s="25"/>
      <c r="B766" s="13"/>
      <c r="C766" s="20"/>
      <c r="D766" s="19"/>
      <c r="E766" s="13"/>
      <c r="F766" s="13"/>
      <c r="G766" s="26">
        <f>IF($B766="","",IFERROR(INDEX(PecDesc,MATCH($B766,PecCod,0)),"Peça não cadastrada"))</f>
        <v>0</v>
      </c>
      <c r="H766" s="27">
        <f>IF(OR($C766="",$D766=""),"",$C766*$D766)</f>
        <v>0</v>
      </c>
    </row>
    <row r="767" spans="1:8">
      <c r="A767" s="25"/>
      <c r="B767" s="13"/>
      <c r="C767" s="20"/>
      <c r="D767" s="19"/>
      <c r="E767" s="13"/>
      <c r="F767" s="13"/>
      <c r="G767" s="26">
        <f>IF($B767="","",IFERROR(INDEX(PecDesc,MATCH($B767,PecCod,0)),"Peça não cadastrada"))</f>
        <v>0</v>
      </c>
      <c r="H767" s="27">
        <f>IF(OR($C767="",$D767=""),"",$C767*$D767)</f>
        <v>0</v>
      </c>
    </row>
    <row r="768" spans="1:8">
      <c r="A768" s="25"/>
      <c r="B768" s="13"/>
      <c r="C768" s="20"/>
      <c r="D768" s="19"/>
      <c r="E768" s="13"/>
      <c r="F768" s="13"/>
      <c r="G768" s="26">
        <f>IF($B768="","",IFERROR(INDEX(PecDesc,MATCH($B768,PecCod,0)),"Peça não cadastrada"))</f>
        <v>0</v>
      </c>
      <c r="H768" s="27">
        <f>IF(OR($C768="",$D768=""),"",$C768*$D768)</f>
        <v>0</v>
      </c>
    </row>
    <row r="769" spans="1:8">
      <c r="A769" s="25"/>
      <c r="B769" s="13"/>
      <c r="C769" s="20"/>
      <c r="D769" s="19"/>
      <c r="E769" s="13"/>
      <c r="F769" s="13"/>
      <c r="G769" s="26">
        <f>IF($B769="","",IFERROR(INDEX(PecDesc,MATCH($B769,PecCod,0)),"Peça não cadastrada"))</f>
        <v>0</v>
      </c>
      <c r="H769" s="27">
        <f>IF(OR($C769="",$D769=""),"",$C769*$D769)</f>
        <v>0</v>
      </c>
    </row>
    <row r="770" spans="1:8">
      <c r="A770" s="25"/>
      <c r="B770" s="13"/>
      <c r="C770" s="20"/>
      <c r="D770" s="19"/>
      <c r="E770" s="13"/>
      <c r="F770" s="13"/>
      <c r="G770" s="26">
        <f>IF($B770="","",IFERROR(INDEX(PecDesc,MATCH($B770,PecCod,0)),"Peça não cadastrada"))</f>
        <v>0</v>
      </c>
      <c r="H770" s="27">
        <f>IF(OR($C770="",$D770=""),"",$C770*$D770)</f>
        <v>0</v>
      </c>
    </row>
    <row r="771" spans="1:8">
      <c r="A771" s="25"/>
      <c r="B771" s="13"/>
      <c r="C771" s="20"/>
      <c r="D771" s="19"/>
      <c r="E771" s="13"/>
      <c r="F771" s="13"/>
      <c r="G771" s="26">
        <f>IF($B771="","",IFERROR(INDEX(PecDesc,MATCH($B771,PecCod,0)),"Peça não cadastrada"))</f>
        <v>0</v>
      </c>
      <c r="H771" s="27">
        <f>IF(OR($C771="",$D771=""),"",$C771*$D771)</f>
        <v>0</v>
      </c>
    </row>
    <row r="772" spans="1:8">
      <c r="A772" s="25"/>
      <c r="B772" s="13"/>
      <c r="C772" s="20"/>
      <c r="D772" s="19"/>
      <c r="E772" s="13"/>
      <c r="F772" s="13"/>
      <c r="G772" s="26">
        <f>IF($B772="","",IFERROR(INDEX(PecDesc,MATCH($B772,PecCod,0)),"Peça não cadastrada"))</f>
        <v>0</v>
      </c>
      <c r="H772" s="27">
        <f>IF(OR($C772="",$D772=""),"",$C772*$D772)</f>
        <v>0</v>
      </c>
    </row>
    <row r="773" spans="1:8">
      <c r="A773" s="25"/>
      <c r="B773" s="13"/>
      <c r="C773" s="20"/>
      <c r="D773" s="19"/>
      <c r="E773" s="13"/>
      <c r="F773" s="13"/>
      <c r="G773" s="26">
        <f>IF($B773="","",IFERROR(INDEX(PecDesc,MATCH($B773,PecCod,0)),"Peça não cadastrada"))</f>
        <v>0</v>
      </c>
      <c r="H773" s="27">
        <f>IF(OR($C773="",$D773=""),"",$C773*$D773)</f>
        <v>0</v>
      </c>
    </row>
    <row r="774" spans="1:8">
      <c r="A774" s="25"/>
      <c r="B774" s="13"/>
      <c r="C774" s="20"/>
      <c r="D774" s="19"/>
      <c r="E774" s="13"/>
      <c r="F774" s="13"/>
      <c r="G774" s="26">
        <f>IF($B774="","",IFERROR(INDEX(PecDesc,MATCH($B774,PecCod,0)),"Peça não cadastrada"))</f>
        <v>0</v>
      </c>
      <c r="H774" s="27">
        <f>IF(OR($C774="",$D774=""),"",$C774*$D774)</f>
        <v>0</v>
      </c>
    </row>
    <row r="775" spans="1:8">
      <c r="A775" s="25"/>
      <c r="B775" s="13"/>
      <c r="C775" s="20"/>
      <c r="D775" s="19"/>
      <c r="E775" s="13"/>
      <c r="F775" s="13"/>
      <c r="G775" s="26">
        <f>IF($B775="","",IFERROR(INDEX(PecDesc,MATCH($B775,PecCod,0)),"Peça não cadastrada"))</f>
        <v>0</v>
      </c>
      <c r="H775" s="27">
        <f>IF(OR($C775="",$D775=""),"",$C775*$D775)</f>
        <v>0</v>
      </c>
    </row>
    <row r="776" spans="1:8">
      <c r="A776" s="25"/>
      <c r="B776" s="13"/>
      <c r="C776" s="20"/>
      <c r="D776" s="19"/>
      <c r="E776" s="13"/>
      <c r="F776" s="13"/>
      <c r="G776" s="26">
        <f>IF($B776="","",IFERROR(INDEX(PecDesc,MATCH($B776,PecCod,0)),"Peça não cadastrada"))</f>
        <v>0</v>
      </c>
      <c r="H776" s="27">
        <f>IF(OR($C776="",$D776=""),"",$C776*$D776)</f>
        <v>0</v>
      </c>
    </row>
    <row r="777" spans="1:8">
      <c r="A777" s="25"/>
      <c r="B777" s="13"/>
      <c r="C777" s="20"/>
      <c r="D777" s="19"/>
      <c r="E777" s="13"/>
      <c r="F777" s="13"/>
      <c r="G777" s="26">
        <f>IF($B777="","",IFERROR(INDEX(PecDesc,MATCH($B777,PecCod,0)),"Peça não cadastrada"))</f>
        <v>0</v>
      </c>
      <c r="H777" s="27">
        <f>IF(OR($C777="",$D777=""),"",$C777*$D777)</f>
        <v>0</v>
      </c>
    </row>
    <row r="778" spans="1:8">
      <c r="A778" s="25"/>
      <c r="B778" s="13"/>
      <c r="C778" s="20"/>
      <c r="D778" s="19"/>
      <c r="E778" s="13"/>
      <c r="F778" s="13"/>
      <c r="G778" s="26">
        <f>IF($B778="","",IFERROR(INDEX(PecDesc,MATCH($B778,PecCod,0)),"Peça não cadastrada"))</f>
        <v>0</v>
      </c>
      <c r="H778" s="27">
        <f>IF(OR($C778="",$D778=""),"",$C778*$D778)</f>
        <v>0</v>
      </c>
    </row>
    <row r="779" spans="1:8">
      <c r="A779" s="25"/>
      <c r="B779" s="13"/>
      <c r="C779" s="20"/>
      <c r="D779" s="19"/>
      <c r="E779" s="13"/>
      <c r="F779" s="13"/>
      <c r="G779" s="26">
        <f>IF($B779="","",IFERROR(INDEX(PecDesc,MATCH($B779,PecCod,0)),"Peça não cadastrada"))</f>
        <v>0</v>
      </c>
      <c r="H779" s="27">
        <f>IF(OR($C779="",$D779=""),"",$C779*$D779)</f>
        <v>0</v>
      </c>
    </row>
    <row r="780" spans="1:8">
      <c r="A780" s="25"/>
      <c r="B780" s="13"/>
      <c r="C780" s="20"/>
      <c r="D780" s="19"/>
      <c r="E780" s="13"/>
      <c r="F780" s="13"/>
      <c r="G780" s="26">
        <f>IF($B780="","",IFERROR(INDEX(PecDesc,MATCH($B780,PecCod,0)),"Peça não cadastrada"))</f>
        <v>0</v>
      </c>
      <c r="H780" s="27">
        <f>IF(OR($C780="",$D780=""),"",$C780*$D780)</f>
        <v>0</v>
      </c>
    </row>
    <row r="781" spans="1:8">
      <c r="A781" s="25"/>
      <c r="B781" s="13"/>
      <c r="C781" s="20"/>
      <c r="D781" s="19"/>
      <c r="E781" s="13"/>
      <c r="F781" s="13"/>
      <c r="G781" s="26">
        <f>IF($B781="","",IFERROR(INDEX(PecDesc,MATCH($B781,PecCod,0)),"Peça não cadastrada"))</f>
        <v>0</v>
      </c>
      <c r="H781" s="27">
        <f>IF(OR($C781="",$D781=""),"",$C781*$D781)</f>
        <v>0</v>
      </c>
    </row>
    <row r="782" spans="1:8">
      <c r="A782" s="25"/>
      <c r="B782" s="13"/>
      <c r="C782" s="20"/>
      <c r="D782" s="19"/>
      <c r="E782" s="13"/>
      <c r="F782" s="13"/>
      <c r="G782" s="26">
        <f>IF($B782="","",IFERROR(INDEX(PecDesc,MATCH($B782,PecCod,0)),"Peça não cadastrada"))</f>
        <v>0</v>
      </c>
      <c r="H782" s="27">
        <f>IF(OR($C782="",$D782=""),"",$C782*$D782)</f>
        <v>0</v>
      </c>
    </row>
    <row r="783" spans="1:8">
      <c r="A783" s="25"/>
      <c r="B783" s="13"/>
      <c r="C783" s="20"/>
      <c r="D783" s="19"/>
      <c r="E783" s="13"/>
      <c r="F783" s="13"/>
      <c r="G783" s="26">
        <f>IF($B783="","",IFERROR(INDEX(PecDesc,MATCH($B783,PecCod,0)),"Peça não cadastrada"))</f>
        <v>0</v>
      </c>
      <c r="H783" s="27">
        <f>IF(OR($C783="",$D783=""),"",$C783*$D783)</f>
        <v>0</v>
      </c>
    </row>
    <row r="784" spans="1:8">
      <c r="A784" s="25"/>
      <c r="B784" s="13"/>
      <c r="C784" s="20"/>
      <c r="D784" s="19"/>
      <c r="E784" s="13"/>
      <c r="F784" s="13"/>
      <c r="G784" s="26">
        <f>IF($B784="","",IFERROR(INDEX(PecDesc,MATCH($B784,PecCod,0)),"Peça não cadastrada"))</f>
        <v>0</v>
      </c>
      <c r="H784" s="27">
        <f>IF(OR($C784="",$D784=""),"",$C784*$D784)</f>
        <v>0</v>
      </c>
    </row>
    <row r="785" spans="1:8">
      <c r="A785" s="25"/>
      <c r="B785" s="13"/>
      <c r="C785" s="20"/>
      <c r="D785" s="19"/>
      <c r="E785" s="13"/>
      <c r="F785" s="13"/>
      <c r="G785" s="26">
        <f>IF($B785="","",IFERROR(INDEX(PecDesc,MATCH($B785,PecCod,0)),"Peça não cadastrada"))</f>
        <v>0</v>
      </c>
      <c r="H785" s="27">
        <f>IF(OR($C785="",$D785=""),"",$C785*$D785)</f>
        <v>0</v>
      </c>
    </row>
    <row r="786" spans="1:8">
      <c r="A786" s="25"/>
      <c r="B786" s="13"/>
      <c r="C786" s="20"/>
      <c r="D786" s="19"/>
      <c r="E786" s="13"/>
      <c r="F786" s="13"/>
      <c r="G786" s="26">
        <f>IF($B786="","",IFERROR(INDEX(PecDesc,MATCH($B786,PecCod,0)),"Peça não cadastrada"))</f>
        <v>0</v>
      </c>
      <c r="H786" s="27">
        <f>IF(OR($C786="",$D786=""),"",$C786*$D786)</f>
        <v>0</v>
      </c>
    </row>
    <row r="787" spans="1:8">
      <c r="A787" s="25"/>
      <c r="B787" s="13"/>
      <c r="C787" s="20"/>
      <c r="D787" s="19"/>
      <c r="E787" s="13"/>
      <c r="F787" s="13"/>
      <c r="G787" s="26">
        <f>IF($B787="","",IFERROR(INDEX(PecDesc,MATCH($B787,PecCod,0)),"Peça não cadastrada"))</f>
        <v>0</v>
      </c>
      <c r="H787" s="27">
        <f>IF(OR($C787="",$D787=""),"",$C787*$D787)</f>
        <v>0</v>
      </c>
    </row>
    <row r="788" spans="1:8">
      <c r="A788" s="25"/>
      <c r="B788" s="13"/>
      <c r="C788" s="20"/>
      <c r="D788" s="19"/>
      <c r="E788" s="13"/>
      <c r="F788" s="13"/>
      <c r="G788" s="26">
        <f>IF($B788="","",IFERROR(INDEX(PecDesc,MATCH($B788,PecCod,0)),"Peça não cadastrada"))</f>
        <v>0</v>
      </c>
      <c r="H788" s="27">
        <f>IF(OR($C788="",$D788=""),"",$C788*$D788)</f>
        <v>0</v>
      </c>
    </row>
    <row r="789" spans="1:8">
      <c r="A789" s="25"/>
      <c r="B789" s="13"/>
      <c r="C789" s="20"/>
      <c r="D789" s="19"/>
      <c r="E789" s="13"/>
      <c r="F789" s="13"/>
      <c r="G789" s="26">
        <f>IF($B789="","",IFERROR(INDEX(PecDesc,MATCH($B789,PecCod,0)),"Peça não cadastrada"))</f>
        <v>0</v>
      </c>
      <c r="H789" s="27">
        <f>IF(OR($C789="",$D789=""),"",$C789*$D789)</f>
        <v>0</v>
      </c>
    </row>
    <row r="790" spans="1:8">
      <c r="A790" s="25"/>
      <c r="B790" s="13"/>
      <c r="C790" s="20"/>
      <c r="D790" s="19"/>
      <c r="E790" s="13"/>
      <c r="F790" s="13"/>
      <c r="G790" s="26">
        <f>IF($B790="","",IFERROR(INDEX(PecDesc,MATCH($B790,PecCod,0)),"Peça não cadastrada"))</f>
        <v>0</v>
      </c>
      <c r="H790" s="27">
        <f>IF(OR($C790="",$D790=""),"",$C790*$D790)</f>
        <v>0</v>
      </c>
    </row>
    <row r="791" spans="1:8">
      <c r="A791" s="25"/>
      <c r="B791" s="13"/>
      <c r="C791" s="20"/>
      <c r="D791" s="19"/>
      <c r="E791" s="13"/>
      <c r="F791" s="13"/>
      <c r="G791" s="26">
        <f>IF($B791="","",IFERROR(INDEX(PecDesc,MATCH($B791,PecCod,0)),"Peça não cadastrada"))</f>
        <v>0</v>
      </c>
      <c r="H791" s="27">
        <f>IF(OR($C791="",$D791=""),"",$C791*$D791)</f>
        <v>0</v>
      </c>
    </row>
    <row r="792" spans="1:8">
      <c r="A792" s="25"/>
      <c r="B792" s="13"/>
      <c r="C792" s="20"/>
      <c r="D792" s="19"/>
      <c r="E792" s="13"/>
      <c r="F792" s="13"/>
      <c r="G792" s="26">
        <f>IF($B792="","",IFERROR(INDEX(PecDesc,MATCH($B792,PecCod,0)),"Peça não cadastrada"))</f>
        <v>0</v>
      </c>
      <c r="H792" s="27">
        <f>IF(OR($C792="",$D792=""),"",$C792*$D792)</f>
        <v>0</v>
      </c>
    </row>
    <row r="793" spans="1:8">
      <c r="A793" s="25"/>
      <c r="B793" s="13"/>
      <c r="C793" s="20"/>
      <c r="D793" s="19"/>
      <c r="E793" s="13"/>
      <c r="F793" s="13"/>
      <c r="G793" s="26">
        <f>IF($B793="","",IFERROR(INDEX(PecDesc,MATCH($B793,PecCod,0)),"Peça não cadastrada"))</f>
        <v>0</v>
      </c>
      <c r="H793" s="27">
        <f>IF(OR($C793="",$D793=""),"",$C793*$D793)</f>
        <v>0</v>
      </c>
    </row>
    <row r="794" spans="1:8">
      <c r="A794" s="25"/>
      <c r="B794" s="13"/>
      <c r="C794" s="20"/>
      <c r="D794" s="19"/>
      <c r="E794" s="13"/>
      <c r="F794" s="13"/>
      <c r="G794" s="26">
        <f>IF($B794="","",IFERROR(INDEX(PecDesc,MATCH($B794,PecCod,0)),"Peça não cadastrada"))</f>
        <v>0</v>
      </c>
      <c r="H794" s="27">
        <f>IF(OR($C794="",$D794=""),"",$C794*$D794)</f>
        <v>0</v>
      </c>
    </row>
    <row r="795" spans="1:8">
      <c r="A795" s="25"/>
      <c r="B795" s="13"/>
      <c r="C795" s="20"/>
      <c r="D795" s="19"/>
      <c r="E795" s="13"/>
      <c r="F795" s="13"/>
      <c r="G795" s="26">
        <f>IF($B795="","",IFERROR(INDEX(PecDesc,MATCH($B795,PecCod,0)),"Peça não cadastrada"))</f>
        <v>0</v>
      </c>
      <c r="H795" s="27">
        <f>IF(OR($C795="",$D795=""),"",$C795*$D795)</f>
        <v>0</v>
      </c>
    </row>
    <row r="796" spans="1:8">
      <c r="A796" s="25"/>
      <c r="B796" s="13"/>
      <c r="C796" s="20"/>
      <c r="D796" s="19"/>
      <c r="E796" s="13"/>
      <c r="F796" s="13"/>
      <c r="G796" s="26">
        <f>IF($B796="","",IFERROR(INDEX(PecDesc,MATCH($B796,PecCod,0)),"Peça não cadastrada"))</f>
        <v>0</v>
      </c>
      <c r="H796" s="27">
        <f>IF(OR($C796="",$D796=""),"",$C796*$D796)</f>
        <v>0</v>
      </c>
    </row>
    <row r="797" spans="1:8">
      <c r="A797" s="25"/>
      <c r="B797" s="13"/>
      <c r="C797" s="20"/>
      <c r="D797" s="19"/>
      <c r="E797" s="13"/>
      <c r="F797" s="13"/>
      <c r="G797" s="26">
        <f>IF($B797="","",IFERROR(INDEX(PecDesc,MATCH($B797,PecCod,0)),"Peça não cadastrada"))</f>
        <v>0</v>
      </c>
      <c r="H797" s="27">
        <f>IF(OR($C797="",$D797=""),"",$C797*$D797)</f>
        <v>0</v>
      </c>
    </row>
    <row r="798" spans="1:8">
      <c r="A798" s="25"/>
      <c r="B798" s="13"/>
      <c r="C798" s="20"/>
      <c r="D798" s="19"/>
      <c r="E798" s="13"/>
      <c r="F798" s="13"/>
      <c r="G798" s="26">
        <f>IF($B798="","",IFERROR(INDEX(PecDesc,MATCH($B798,PecCod,0)),"Peça não cadastrada"))</f>
        <v>0</v>
      </c>
      <c r="H798" s="27">
        <f>IF(OR($C798="",$D798=""),"",$C798*$D798)</f>
        <v>0</v>
      </c>
    </row>
    <row r="799" spans="1:8">
      <c r="A799" s="25"/>
      <c r="B799" s="13"/>
      <c r="C799" s="20"/>
      <c r="D799" s="19"/>
      <c r="E799" s="13"/>
      <c r="F799" s="13"/>
      <c r="G799" s="26">
        <f>IF($B799="","",IFERROR(INDEX(PecDesc,MATCH($B799,PecCod,0)),"Peça não cadastrada"))</f>
        <v>0</v>
      </c>
      <c r="H799" s="27">
        <f>IF(OR($C799="",$D799=""),"",$C799*$D799)</f>
        <v>0</v>
      </c>
    </row>
    <row r="800" spans="1:8">
      <c r="A800" s="25"/>
      <c r="B800" s="13"/>
      <c r="C800" s="20"/>
      <c r="D800" s="19"/>
      <c r="E800" s="13"/>
      <c r="F800" s="13"/>
      <c r="G800" s="26">
        <f>IF($B800="","",IFERROR(INDEX(PecDesc,MATCH($B800,PecCod,0)),"Peça não cadastrada"))</f>
        <v>0</v>
      </c>
      <c r="H800" s="27">
        <f>IF(OR($C800="",$D800=""),"",$C800*$D800)</f>
        <v>0</v>
      </c>
    </row>
    <row r="801" spans="1:8">
      <c r="A801" s="25"/>
      <c r="B801" s="13"/>
      <c r="C801" s="20"/>
      <c r="D801" s="19"/>
      <c r="E801" s="13"/>
      <c r="F801" s="13"/>
      <c r="G801" s="26">
        <f>IF($B801="","",IFERROR(INDEX(PecDesc,MATCH($B801,PecCod,0)),"Peça não cadastrada"))</f>
        <v>0</v>
      </c>
      <c r="H801" s="27">
        <f>IF(OR($C801="",$D801=""),"",$C801*$D801)</f>
        <v>0</v>
      </c>
    </row>
    <row r="802" spans="1:8">
      <c r="A802" s="25"/>
      <c r="B802" s="13"/>
      <c r="C802" s="20"/>
      <c r="D802" s="19"/>
      <c r="E802" s="13"/>
      <c r="F802" s="13"/>
      <c r="G802" s="26">
        <f>IF($B802="","",IFERROR(INDEX(PecDesc,MATCH($B802,PecCod,0)),"Peça não cadastrada"))</f>
        <v>0</v>
      </c>
      <c r="H802" s="27">
        <f>IF(OR($C802="",$D802=""),"",$C802*$D802)</f>
        <v>0</v>
      </c>
    </row>
    <row r="803" spans="1:8">
      <c r="A803" s="25"/>
      <c r="B803" s="13"/>
      <c r="C803" s="20"/>
      <c r="D803" s="19"/>
      <c r="E803" s="13"/>
      <c r="F803" s="13"/>
      <c r="G803" s="26">
        <f>IF($B803="","",IFERROR(INDEX(PecDesc,MATCH($B803,PecCod,0)),"Peça não cadastrada"))</f>
        <v>0</v>
      </c>
      <c r="H803" s="27">
        <f>IF(OR($C803="",$D803=""),"",$C803*$D803)</f>
        <v>0</v>
      </c>
    </row>
    <row r="804" spans="1:8">
      <c r="A804" s="25"/>
      <c r="B804" s="13"/>
      <c r="C804" s="20"/>
      <c r="D804" s="19"/>
      <c r="E804" s="13"/>
      <c r="F804" s="13"/>
      <c r="G804" s="26">
        <f>IF($B804="","",IFERROR(INDEX(PecDesc,MATCH($B804,PecCod,0)),"Peça não cadastrada"))</f>
        <v>0</v>
      </c>
      <c r="H804" s="27">
        <f>IF(OR($C804="",$D804=""),"",$C804*$D804)</f>
        <v>0</v>
      </c>
    </row>
    <row r="805" spans="1:8">
      <c r="A805" s="25"/>
      <c r="B805" s="13"/>
      <c r="C805" s="20"/>
      <c r="D805" s="19"/>
      <c r="E805" s="13"/>
      <c r="F805" s="13"/>
      <c r="G805" s="26">
        <f>IF($B805="","",IFERROR(INDEX(PecDesc,MATCH($B805,PecCod,0)),"Peça não cadastrada"))</f>
        <v>0</v>
      </c>
      <c r="H805" s="27">
        <f>IF(OR($C805="",$D805=""),"",$C805*$D805)</f>
        <v>0</v>
      </c>
    </row>
    <row r="806" spans="1:8">
      <c r="A806" s="25"/>
      <c r="B806" s="13"/>
      <c r="C806" s="20"/>
      <c r="D806" s="19"/>
      <c r="E806" s="13"/>
      <c r="F806" s="13"/>
      <c r="G806" s="26">
        <f>IF($B806="","",IFERROR(INDEX(PecDesc,MATCH($B806,PecCod,0)),"Peça não cadastrada"))</f>
        <v>0</v>
      </c>
      <c r="H806" s="27">
        <f>IF(OR($C806="",$D806=""),"",$C806*$D806)</f>
        <v>0</v>
      </c>
    </row>
    <row r="807" spans="1:8">
      <c r="A807" s="25"/>
      <c r="B807" s="13"/>
      <c r="C807" s="20"/>
      <c r="D807" s="19"/>
      <c r="E807" s="13"/>
      <c r="F807" s="13"/>
      <c r="G807" s="26">
        <f>IF($B807="","",IFERROR(INDEX(PecDesc,MATCH($B807,PecCod,0)),"Peça não cadastrada"))</f>
        <v>0</v>
      </c>
      <c r="H807" s="27">
        <f>IF(OR($C807="",$D807=""),"",$C807*$D807)</f>
        <v>0</v>
      </c>
    </row>
    <row r="808" spans="1:8">
      <c r="A808" s="25"/>
      <c r="B808" s="13"/>
      <c r="C808" s="20"/>
      <c r="D808" s="19"/>
      <c r="E808" s="13"/>
      <c r="F808" s="13"/>
      <c r="G808" s="26">
        <f>IF($B808="","",IFERROR(INDEX(PecDesc,MATCH($B808,PecCod,0)),"Peça não cadastrada"))</f>
        <v>0</v>
      </c>
      <c r="H808" s="27">
        <f>IF(OR($C808="",$D808=""),"",$C808*$D808)</f>
        <v>0</v>
      </c>
    </row>
    <row r="809" spans="1:8">
      <c r="A809" s="25"/>
      <c r="B809" s="13"/>
      <c r="C809" s="20"/>
      <c r="D809" s="19"/>
      <c r="E809" s="13"/>
      <c r="F809" s="13"/>
      <c r="G809" s="26">
        <f>IF($B809="","",IFERROR(INDEX(PecDesc,MATCH($B809,PecCod,0)),"Peça não cadastrada"))</f>
        <v>0</v>
      </c>
      <c r="H809" s="27">
        <f>IF(OR($C809="",$D809=""),"",$C809*$D809)</f>
        <v>0</v>
      </c>
    </row>
    <row r="810" spans="1:8">
      <c r="A810" s="25"/>
      <c r="B810" s="13"/>
      <c r="C810" s="20"/>
      <c r="D810" s="19"/>
      <c r="E810" s="13"/>
      <c r="F810" s="13"/>
      <c r="G810" s="26">
        <f>IF($B810="","",IFERROR(INDEX(PecDesc,MATCH($B810,PecCod,0)),"Peça não cadastrada"))</f>
        <v>0</v>
      </c>
      <c r="H810" s="27">
        <f>IF(OR($C810="",$D810=""),"",$C810*$D810)</f>
        <v>0</v>
      </c>
    </row>
    <row r="811" spans="1:8">
      <c r="A811" s="25"/>
      <c r="B811" s="13"/>
      <c r="C811" s="20"/>
      <c r="D811" s="19"/>
      <c r="E811" s="13"/>
      <c r="F811" s="13"/>
      <c r="G811" s="26">
        <f>IF($B811="","",IFERROR(INDEX(PecDesc,MATCH($B811,PecCod,0)),"Peça não cadastrada"))</f>
        <v>0</v>
      </c>
      <c r="H811" s="27">
        <f>IF(OR($C811="",$D811=""),"",$C811*$D811)</f>
        <v>0</v>
      </c>
    </row>
    <row r="812" spans="1:8">
      <c r="A812" s="25"/>
      <c r="B812" s="13"/>
      <c r="C812" s="20"/>
      <c r="D812" s="19"/>
      <c r="E812" s="13"/>
      <c r="F812" s="13"/>
      <c r="G812" s="26">
        <f>IF($B812="","",IFERROR(INDEX(PecDesc,MATCH($B812,PecCod,0)),"Peça não cadastrada"))</f>
        <v>0</v>
      </c>
      <c r="H812" s="27">
        <f>IF(OR($C812="",$D812=""),"",$C812*$D812)</f>
        <v>0</v>
      </c>
    </row>
    <row r="813" spans="1:8">
      <c r="A813" s="25"/>
      <c r="B813" s="13"/>
      <c r="C813" s="20"/>
      <c r="D813" s="19"/>
      <c r="E813" s="13"/>
      <c r="F813" s="13"/>
      <c r="G813" s="26">
        <f>IF($B813="","",IFERROR(INDEX(PecDesc,MATCH($B813,PecCod,0)),"Peça não cadastrada"))</f>
        <v>0</v>
      </c>
      <c r="H813" s="27">
        <f>IF(OR($C813="",$D813=""),"",$C813*$D813)</f>
        <v>0</v>
      </c>
    </row>
    <row r="814" spans="1:8">
      <c r="A814" s="25"/>
      <c r="B814" s="13"/>
      <c r="C814" s="20"/>
      <c r="D814" s="19"/>
      <c r="E814" s="13"/>
      <c r="F814" s="13"/>
      <c r="G814" s="26">
        <f>IF($B814="","",IFERROR(INDEX(PecDesc,MATCH($B814,PecCod,0)),"Peça não cadastrada"))</f>
        <v>0</v>
      </c>
      <c r="H814" s="27">
        <f>IF(OR($C814="",$D814=""),"",$C814*$D814)</f>
        <v>0</v>
      </c>
    </row>
    <row r="815" spans="1:8">
      <c r="A815" s="25"/>
      <c r="B815" s="13"/>
      <c r="C815" s="20"/>
      <c r="D815" s="19"/>
      <c r="E815" s="13"/>
      <c r="F815" s="13"/>
      <c r="G815" s="26">
        <f>IF($B815="","",IFERROR(INDEX(PecDesc,MATCH($B815,PecCod,0)),"Peça não cadastrada"))</f>
        <v>0</v>
      </c>
      <c r="H815" s="27">
        <f>IF(OR($C815="",$D815=""),"",$C815*$D815)</f>
        <v>0</v>
      </c>
    </row>
    <row r="816" spans="1:8">
      <c r="A816" s="25"/>
      <c r="B816" s="13"/>
      <c r="C816" s="20"/>
      <c r="D816" s="19"/>
      <c r="E816" s="13"/>
      <c r="F816" s="13"/>
      <c r="G816" s="26">
        <f>IF($B816="","",IFERROR(INDEX(PecDesc,MATCH($B816,PecCod,0)),"Peça não cadastrada"))</f>
        <v>0</v>
      </c>
      <c r="H816" s="27">
        <f>IF(OR($C816="",$D816=""),"",$C816*$D816)</f>
        <v>0</v>
      </c>
    </row>
    <row r="817" spans="1:8">
      <c r="A817" s="25"/>
      <c r="B817" s="13"/>
      <c r="C817" s="20"/>
      <c r="D817" s="19"/>
      <c r="E817" s="13"/>
      <c r="F817" s="13"/>
      <c r="G817" s="26">
        <f>IF($B817="","",IFERROR(INDEX(PecDesc,MATCH($B817,PecCod,0)),"Peça não cadastrada"))</f>
        <v>0</v>
      </c>
      <c r="H817" s="27">
        <f>IF(OR($C817="",$D817=""),"",$C817*$D817)</f>
        <v>0</v>
      </c>
    </row>
    <row r="818" spans="1:8">
      <c r="A818" s="25"/>
      <c r="B818" s="13"/>
      <c r="C818" s="20"/>
      <c r="D818" s="19"/>
      <c r="E818" s="13"/>
      <c r="F818" s="13"/>
      <c r="G818" s="26">
        <f>IF($B818="","",IFERROR(INDEX(PecDesc,MATCH($B818,PecCod,0)),"Peça não cadastrada"))</f>
        <v>0</v>
      </c>
      <c r="H818" s="27">
        <f>IF(OR($C818="",$D818=""),"",$C818*$D818)</f>
        <v>0</v>
      </c>
    </row>
    <row r="819" spans="1:8">
      <c r="A819" s="25"/>
      <c r="B819" s="13"/>
      <c r="C819" s="20"/>
      <c r="D819" s="19"/>
      <c r="E819" s="13"/>
      <c r="F819" s="13"/>
      <c r="G819" s="26">
        <f>IF($B819="","",IFERROR(INDEX(PecDesc,MATCH($B819,PecCod,0)),"Peça não cadastrada"))</f>
        <v>0</v>
      </c>
      <c r="H819" s="27">
        <f>IF(OR($C819="",$D819=""),"",$C819*$D819)</f>
        <v>0</v>
      </c>
    </row>
    <row r="820" spans="1:8">
      <c r="A820" s="25"/>
      <c r="B820" s="13"/>
      <c r="C820" s="20"/>
      <c r="D820" s="19"/>
      <c r="E820" s="13"/>
      <c r="F820" s="13"/>
      <c r="G820" s="26">
        <f>IF($B820="","",IFERROR(INDEX(PecDesc,MATCH($B820,PecCod,0)),"Peça não cadastrada"))</f>
        <v>0</v>
      </c>
      <c r="H820" s="27">
        <f>IF(OR($C820="",$D820=""),"",$C820*$D820)</f>
        <v>0</v>
      </c>
    </row>
    <row r="821" spans="1:8">
      <c r="A821" s="25"/>
      <c r="B821" s="13"/>
      <c r="C821" s="20"/>
      <c r="D821" s="19"/>
      <c r="E821" s="13"/>
      <c r="F821" s="13"/>
      <c r="G821" s="26">
        <f>IF($B821="","",IFERROR(INDEX(PecDesc,MATCH($B821,PecCod,0)),"Peça não cadastrada"))</f>
        <v>0</v>
      </c>
      <c r="H821" s="27">
        <f>IF(OR($C821="",$D821=""),"",$C821*$D821)</f>
        <v>0</v>
      </c>
    </row>
    <row r="822" spans="1:8">
      <c r="A822" s="25"/>
      <c r="B822" s="13"/>
      <c r="C822" s="20"/>
      <c r="D822" s="19"/>
      <c r="E822" s="13"/>
      <c r="F822" s="13"/>
      <c r="G822" s="26">
        <f>IF($B822="","",IFERROR(INDEX(PecDesc,MATCH($B822,PecCod,0)),"Peça não cadastrada"))</f>
        <v>0</v>
      </c>
      <c r="H822" s="27">
        <f>IF(OR($C822="",$D822=""),"",$C822*$D822)</f>
        <v>0</v>
      </c>
    </row>
    <row r="823" spans="1:8">
      <c r="A823" s="25"/>
      <c r="B823" s="13"/>
      <c r="C823" s="20"/>
      <c r="D823" s="19"/>
      <c r="E823" s="13"/>
      <c r="F823" s="13"/>
      <c r="G823" s="26">
        <f>IF($B823="","",IFERROR(INDEX(PecDesc,MATCH($B823,PecCod,0)),"Peça não cadastrada"))</f>
        <v>0</v>
      </c>
      <c r="H823" s="27">
        <f>IF(OR($C823="",$D823=""),"",$C823*$D823)</f>
        <v>0</v>
      </c>
    </row>
    <row r="824" spans="1:8">
      <c r="A824" s="25"/>
      <c r="B824" s="13"/>
      <c r="C824" s="20"/>
      <c r="D824" s="19"/>
      <c r="E824" s="13"/>
      <c r="F824" s="13"/>
      <c r="G824" s="26">
        <f>IF($B824="","",IFERROR(INDEX(PecDesc,MATCH($B824,PecCod,0)),"Peça não cadastrada"))</f>
        <v>0</v>
      </c>
      <c r="H824" s="27">
        <f>IF(OR($C824="",$D824=""),"",$C824*$D824)</f>
        <v>0</v>
      </c>
    </row>
    <row r="825" spans="1:8">
      <c r="A825" s="25"/>
      <c r="B825" s="13"/>
      <c r="C825" s="20"/>
      <c r="D825" s="19"/>
      <c r="E825" s="13"/>
      <c r="F825" s="13"/>
      <c r="G825" s="26">
        <f>IF($B825="","",IFERROR(INDEX(PecDesc,MATCH($B825,PecCod,0)),"Peça não cadastrada"))</f>
        <v>0</v>
      </c>
      <c r="H825" s="27">
        <f>IF(OR($C825="",$D825=""),"",$C825*$D825)</f>
        <v>0</v>
      </c>
    </row>
    <row r="826" spans="1:8">
      <c r="A826" s="25"/>
      <c r="B826" s="13"/>
      <c r="C826" s="20"/>
      <c r="D826" s="19"/>
      <c r="E826" s="13"/>
      <c r="F826" s="13"/>
      <c r="G826" s="26">
        <f>IF($B826="","",IFERROR(INDEX(PecDesc,MATCH($B826,PecCod,0)),"Peça não cadastrada"))</f>
        <v>0</v>
      </c>
      <c r="H826" s="27">
        <f>IF(OR($C826="",$D826=""),"",$C826*$D826)</f>
        <v>0</v>
      </c>
    </row>
    <row r="827" spans="1:8">
      <c r="A827" s="25"/>
      <c r="B827" s="13"/>
      <c r="C827" s="20"/>
      <c r="D827" s="19"/>
      <c r="E827" s="13"/>
      <c r="F827" s="13"/>
      <c r="G827" s="26">
        <f>IF($B827="","",IFERROR(INDEX(PecDesc,MATCH($B827,PecCod,0)),"Peça não cadastrada"))</f>
        <v>0</v>
      </c>
      <c r="H827" s="27">
        <f>IF(OR($C827="",$D827=""),"",$C827*$D827)</f>
        <v>0</v>
      </c>
    </row>
    <row r="828" spans="1:8">
      <c r="A828" s="25"/>
      <c r="B828" s="13"/>
      <c r="C828" s="20"/>
      <c r="D828" s="19"/>
      <c r="E828" s="13"/>
      <c r="F828" s="13"/>
      <c r="G828" s="26">
        <f>IF($B828="","",IFERROR(INDEX(PecDesc,MATCH($B828,PecCod,0)),"Peça não cadastrada"))</f>
        <v>0</v>
      </c>
      <c r="H828" s="27">
        <f>IF(OR($C828="",$D828=""),"",$C828*$D828)</f>
        <v>0</v>
      </c>
    </row>
    <row r="829" spans="1:8">
      <c r="A829" s="25"/>
      <c r="B829" s="13"/>
      <c r="C829" s="20"/>
      <c r="D829" s="19"/>
      <c r="E829" s="13"/>
      <c r="F829" s="13"/>
      <c r="G829" s="26">
        <f>IF($B829="","",IFERROR(INDEX(PecDesc,MATCH($B829,PecCod,0)),"Peça não cadastrada"))</f>
        <v>0</v>
      </c>
      <c r="H829" s="27">
        <f>IF(OR($C829="",$D829=""),"",$C829*$D829)</f>
        <v>0</v>
      </c>
    </row>
    <row r="830" spans="1:8">
      <c r="A830" s="25"/>
      <c r="B830" s="13"/>
      <c r="C830" s="20"/>
      <c r="D830" s="19"/>
      <c r="E830" s="13"/>
      <c r="F830" s="13"/>
      <c r="G830" s="26">
        <f>IF($B830="","",IFERROR(INDEX(PecDesc,MATCH($B830,PecCod,0)),"Peça não cadastrada"))</f>
        <v>0</v>
      </c>
      <c r="H830" s="27">
        <f>IF(OR($C830="",$D830=""),"",$C830*$D830)</f>
        <v>0</v>
      </c>
    </row>
    <row r="831" spans="1:8">
      <c r="A831" s="25"/>
      <c r="B831" s="13"/>
      <c r="C831" s="20"/>
      <c r="D831" s="19"/>
      <c r="E831" s="13"/>
      <c r="F831" s="13"/>
      <c r="G831" s="26">
        <f>IF($B831="","",IFERROR(INDEX(PecDesc,MATCH($B831,PecCod,0)),"Peça não cadastrada"))</f>
        <v>0</v>
      </c>
      <c r="H831" s="27">
        <f>IF(OR($C831="",$D831=""),"",$C831*$D831)</f>
        <v>0</v>
      </c>
    </row>
    <row r="832" spans="1:8">
      <c r="A832" s="25"/>
      <c r="B832" s="13"/>
      <c r="C832" s="20"/>
      <c r="D832" s="19"/>
      <c r="E832" s="13"/>
      <c r="F832" s="13"/>
      <c r="G832" s="26">
        <f>IF($B832="","",IFERROR(INDEX(PecDesc,MATCH($B832,PecCod,0)),"Peça não cadastrada"))</f>
        <v>0</v>
      </c>
      <c r="H832" s="27">
        <f>IF(OR($C832="",$D832=""),"",$C832*$D832)</f>
        <v>0</v>
      </c>
    </row>
    <row r="833" spans="1:8">
      <c r="A833" s="25"/>
      <c r="B833" s="13"/>
      <c r="C833" s="20"/>
      <c r="D833" s="19"/>
      <c r="E833" s="13"/>
      <c r="F833" s="13"/>
      <c r="G833" s="26">
        <f>IF($B833="","",IFERROR(INDEX(PecDesc,MATCH($B833,PecCod,0)),"Peça não cadastrada"))</f>
        <v>0</v>
      </c>
      <c r="H833" s="27">
        <f>IF(OR($C833="",$D833=""),"",$C833*$D833)</f>
        <v>0</v>
      </c>
    </row>
    <row r="834" spans="1:8">
      <c r="A834" s="25"/>
      <c r="B834" s="13"/>
      <c r="C834" s="20"/>
      <c r="D834" s="19"/>
      <c r="E834" s="13"/>
      <c r="F834" s="13"/>
      <c r="G834" s="26">
        <f>IF($B834="","",IFERROR(INDEX(PecDesc,MATCH($B834,PecCod,0)),"Peça não cadastrada"))</f>
        <v>0</v>
      </c>
      <c r="H834" s="27">
        <f>IF(OR($C834="",$D834=""),"",$C834*$D834)</f>
        <v>0</v>
      </c>
    </row>
    <row r="835" spans="1:8">
      <c r="A835" s="25"/>
      <c r="B835" s="13"/>
      <c r="C835" s="20"/>
      <c r="D835" s="19"/>
      <c r="E835" s="13"/>
      <c r="F835" s="13"/>
      <c r="G835" s="26">
        <f>IF($B835="","",IFERROR(INDEX(PecDesc,MATCH($B835,PecCod,0)),"Peça não cadastrada"))</f>
        <v>0</v>
      </c>
      <c r="H835" s="27">
        <f>IF(OR($C835="",$D835=""),"",$C835*$D835)</f>
        <v>0</v>
      </c>
    </row>
    <row r="836" spans="1:8">
      <c r="A836" s="25"/>
      <c r="B836" s="13"/>
      <c r="C836" s="20"/>
      <c r="D836" s="19"/>
      <c r="E836" s="13"/>
      <c r="F836" s="13"/>
      <c r="G836" s="26">
        <f>IF($B836="","",IFERROR(INDEX(PecDesc,MATCH($B836,PecCod,0)),"Peça não cadastrada"))</f>
        <v>0</v>
      </c>
      <c r="H836" s="27">
        <f>IF(OR($C836="",$D836=""),"",$C836*$D836)</f>
        <v>0</v>
      </c>
    </row>
    <row r="837" spans="1:8">
      <c r="A837" s="25"/>
      <c r="B837" s="13"/>
      <c r="C837" s="20"/>
      <c r="D837" s="19"/>
      <c r="E837" s="13"/>
      <c r="F837" s="13"/>
      <c r="G837" s="26">
        <f>IF($B837="","",IFERROR(INDEX(PecDesc,MATCH($B837,PecCod,0)),"Peça não cadastrada"))</f>
        <v>0</v>
      </c>
      <c r="H837" s="27">
        <f>IF(OR($C837="",$D837=""),"",$C837*$D837)</f>
        <v>0</v>
      </c>
    </row>
    <row r="838" spans="1:8">
      <c r="A838" s="25"/>
      <c r="B838" s="13"/>
      <c r="C838" s="20"/>
      <c r="D838" s="19"/>
      <c r="E838" s="13"/>
      <c r="F838" s="13"/>
      <c r="G838" s="26">
        <f>IF($B838="","",IFERROR(INDEX(PecDesc,MATCH($B838,PecCod,0)),"Peça não cadastrada"))</f>
        <v>0</v>
      </c>
      <c r="H838" s="27">
        <f>IF(OR($C838="",$D838=""),"",$C838*$D838)</f>
        <v>0</v>
      </c>
    </row>
    <row r="839" spans="1:8">
      <c r="A839" s="25"/>
      <c r="B839" s="13"/>
      <c r="C839" s="20"/>
      <c r="D839" s="19"/>
      <c r="E839" s="13"/>
      <c r="F839" s="13"/>
      <c r="G839" s="26">
        <f>IF($B839="","",IFERROR(INDEX(PecDesc,MATCH($B839,PecCod,0)),"Peça não cadastrada"))</f>
        <v>0</v>
      </c>
      <c r="H839" s="27">
        <f>IF(OR($C839="",$D839=""),"",$C839*$D839)</f>
        <v>0</v>
      </c>
    </row>
    <row r="840" spans="1:8">
      <c r="A840" s="25"/>
      <c r="B840" s="13"/>
      <c r="C840" s="20"/>
      <c r="D840" s="19"/>
      <c r="E840" s="13"/>
      <c r="F840" s="13"/>
      <c r="G840" s="26">
        <f>IF($B840="","",IFERROR(INDEX(PecDesc,MATCH($B840,PecCod,0)),"Peça não cadastrada"))</f>
        <v>0</v>
      </c>
      <c r="H840" s="27">
        <f>IF(OR($C840="",$D840=""),"",$C840*$D840)</f>
        <v>0</v>
      </c>
    </row>
    <row r="841" spans="1:8">
      <c r="A841" s="25"/>
      <c r="B841" s="13"/>
      <c r="C841" s="20"/>
      <c r="D841" s="19"/>
      <c r="E841" s="13"/>
      <c r="F841" s="13"/>
      <c r="G841" s="26">
        <f>IF($B841="","",IFERROR(INDEX(PecDesc,MATCH($B841,PecCod,0)),"Peça não cadastrada"))</f>
        <v>0</v>
      </c>
      <c r="H841" s="27">
        <f>IF(OR($C841="",$D841=""),"",$C841*$D841)</f>
        <v>0</v>
      </c>
    </row>
    <row r="842" spans="1:8">
      <c r="A842" s="25"/>
      <c r="B842" s="13"/>
      <c r="C842" s="20"/>
      <c r="D842" s="19"/>
      <c r="E842" s="13"/>
      <c r="F842" s="13"/>
      <c r="G842" s="26">
        <f>IF($B842="","",IFERROR(INDEX(PecDesc,MATCH($B842,PecCod,0)),"Peça não cadastrada"))</f>
        <v>0</v>
      </c>
      <c r="H842" s="27">
        <f>IF(OR($C842="",$D842=""),"",$C842*$D842)</f>
        <v>0</v>
      </c>
    </row>
    <row r="843" spans="1:8">
      <c r="A843" s="25"/>
      <c r="B843" s="13"/>
      <c r="C843" s="20"/>
      <c r="D843" s="19"/>
      <c r="E843" s="13"/>
      <c r="F843" s="13"/>
      <c r="G843" s="26">
        <f>IF($B843="","",IFERROR(INDEX(PecDesc,MATCH($B843,PecCod,0)),"Peça não cadastrada"))</f>
        <v>0</v>
      </c>
      <c r="H843" s="27">
        <f>IF(OR($C843="",$D843=""),"",$C843*$D843)</f>
        <v>0</v>
      </c>
    </row>
    <row r="844" spans="1:8">
      <c r="A844" s="25"/>
      <c r="B844" s="13"/>
      <c r="C844" s="20"/>
      <c r="D844" s="19"/>
      <c r="E844" s="13"/>
      <c r="F844" s="13"/>
      <c r="G844" s="26">
        <f>IF($B844="","",IFERROR(INDEX(PecDesc,MATCH($B844,PecCod,0)),"Peça não cadastrada"))</f>
        <v>0</v>
      </c>
      <c r="H844" s="27">
        <f>IF(OR($C844="",$D844=""),"",$C844*$D844)</f>
        <v>0</v>
      </c>
    </row>
    <row r="845" spans="1:8">
      <c r="A845" s="25"/>
      <c r="B845" s="13"/>
      <c r="C845" s="20"/>
      <c r="D845" s="19"/>
      <c r="E845" s="13"/>
      <c r="F845" s="13"/>
      <c r="G845" s="26">
        <f>IF($B845="","",IFERROR(INDEX(PecDesc,MATCH($B845,PecCod,0)),"Peça não cadastrada"))</f>
        <v>0</v>
      </c>
      <c r="H845" s="27">
        <f>IF(OR($C845="",$D845=""),"",$C845*$D845)</f>
        <v>0</v>
      </c>
    </row>
    <row r="846" spans="1:8">
      <c r="A846" s="25"/>
      <c r="B846" s="13"/>
      <c r="C846" s="20"/>
      <c r="D846" s="19"/>
      <c r="E846" s="13"/>
      <c r="F846" s="13"/>
      <c r="G846" s="26">
        <f>IF($B846="","",IFERROR(INDEX(PecDesc,MATCH($B846,PecCod,0)),"Peça não cadastrada"))</f>
        <v>0</v>
      </c>
      <c r="H846" s="27">
        <f>IF(OR($C846="",$D846=""),"",$C846*$D846)</f>
        <v>0</v>
      </c>
    </row>
    <row r="847" spans="1:8">
      <c r="A847" s="25"/>
      <c r="B847" s="13"/>
      <c r="C847" s="20"/>
      <c r="D847" s="19"/>
      <c r="E847" s="13"/>
      <c r="F847" s="13"/>
      <c r="G847" s="26">
        <f>IF($B847="","",IFERROR(INDEX(PecDesc,MATCH($B847,PecCod,0)),"Peça não cadastrada"))</f>
        <v>0</v>
      </c>
      <c r="H847" s="27">
        <f>IF(OR($C847="",$D847=""),"",$C847*$D847)</f>
        <v>0</v>
      </c>
    </row>
    <row r="848" spans="1:8">
      <c r="A848" s="25"/>
      <c r="B848" s="13"/>
      <c r="C848" s="20"/>
      <c r="D848" s="19"/>
      <c r="E848" s="13"/>
      <c r="F848" s="13"/>
      <c r="G848" s="26">
        <f>IF($B848="","",IFERROR(INDEX(PecDesc,MATCH($B848,PecCod,0)),"Peça não cadastrada"))</f>
        <v>0</v>
      </c>
      <c r="H848" s="27">
        <f>IF(OR($C848="",$D848=""),"",$C848*$D848)</f>
        <v>0</v>
      </c>
    </row>
    <row r="849" spans="1:8">
      <c r="A849" s="25"/>
      <c r="B849" s="13"/>
      <c r="C849" s="20"/>
      <c r="D849" s="19"/>
      <c r="E849" s="13"/>
      <c r="F849" s="13"/>
      <c r="G849" s="26">
        <f>IF($B849="","",IFERROR(INDEX(PecDesc,MATCH($B849,PecCod,0)),"Peça não cadastrada"))</f>
        <v>0</v>
      </c>
      <c r="H849" s="27">
        <f>IF(OR($C849="",$D849=""),"",$C849*$D849)</f>
        <v>0</v>
      </c>
    </row>
    <row r="850" spans="1:8">
      <c r="A850" s="25"/>
      <c r="B850" s="13"/>
      <c r="C850" s="20"/>
      <c r="D850" s="19"/>
      <c r="E850" s="13"/>
      <c r="F850" s="13"/>
      <c r="G850" s="26">
        <f>IF($B850="","",IFERROR(INDEX(PecDesc,MATCH($B850,PecCod,0)),"Peça não cadastrada"))</f>
        <v>0</v>
      </c>
      <c r="H850" s="27">
        <f>IF(OR($C850="",$D850=""),"",$C850*$D850)</f>
        <v>0</v>
      </c>
    </row>
    <row r="851" spans="1:8">
      <c r="A851" s="25"/>
      <c r="B851" s="13"/>
      <c r="C851" s="20"/>
      <c r="D851" s="19"/>
      <c r="E851" s="13"/>
      <c r="F851" s="13"/>
      <c r="G851" s="26">
        <f>IF($B851="","",IFERROR(INDEX(PecDesc,MATCH($B851,PecCod,0)),"Peça não cadastrada"))</f>
        <v>0</v>
      </c>
      <c r="H851" s="27">
        <f>IF(OR($C851="",$D851=""),"",$C851*$D851)</f>
        <v>0</v>
      </c>
    </row>
    <row r="852" spans="1:8">
      <c r="A852" s="25"/>
      <c r="B852" s="13"/>
      <c r="C852" s="20"/>
      <c r="D852" s="19"/>
      <c r="E852" s="13"/>
      <c r="F852" s="13"/>
      <c r="G852" s="26">
        <f>IF($B852="","",IFERROR(INDEX(PecDesc,MATCH($B852,PecCod,0)),"Peça não cadastrada"))</f>
        <v>0</v>
      </c>
      <c r="H852" s="27">
        <f>IF(OR($C852="",$D852=""),"",$C852*$D852)</f>
        <v>0</v>
      </c>
    </row>
    <row r="853" spans="1:8">
      <c r="A853" s="25"/>
      <c r="B853" s="13"/>
      <c r="C853" s="20"/>
      <c r="D853" s="19"/>
      <c r="E853" s="13"/>
      <c r="F853" s="13"/>
      <c r="G853" s="26">
        <f>IF($B853="","",IFERROR(INDEX(PecDesc,MATCH($B853,PecCod,0)),"Peça não cadastrada"))</f>
        <v>0</v>
      </c>
      <c r="H853" s="27">
        <f>IF(OR($C853="",$D853=""),"",$C853*$D853)</f>
        <v>0</v>
      </c>
    </row>
    <row r="854" spans="1:8">
      <c r="A854" s="25"/>
      <c r="B854" s="13"/>
      <c r="C854" s="20"/>
      <c r="D854" s="19"/>
      <c r="E854" s="13"/>
      <c r="F854" s="13"/>
      <c r="G854" s="26">
        <f>IF($B854="","",IFERROR(INDEX(PecDesc,MATCH($B854,PecCod,0)),"Peça não cadastrada"))</f>
        <v>0</v>
      </c>
      <c r="H854" s="27">
        <f>IF(OR($C854="",$D854=""),"",$C854*$D854)</f>
        <v>0</v>
      </c>
    </row>
    <row r="855" spans="1:8">
      <c r="A855" s="25"/>
      <c r="B855" s="13"/>
      <c r="C855" s="20"/>
      <c r="D855" s="19"/>
      <c r="E855" s="13"/>
      <c r="F855" s="13"/>
      <c r="G855" s="26">
        <f>IF($B855="","",IFERROR(INDEX(PecDesc,MATCH($B855,PecCod,0)),"Peça não cadastrada"))</f>
        <v>0</v>
      </c>
      <c r="H855" s="27">
        <f>IF(OR($C855="",$D855=""),"",$C855*$D855)</f>
        <v>0</v>
      </c>
    </row>
    <row r="856" spans="1:8">
      <c r="A856" s="25"/>
      <c r="B856" s="13"/>
      <c r="C856" s="20"/>
      <c r="D856" s="19"/>
      <c r="E856" s="13"/>
      <c r="F856" s="13"/>
      <c r="G856" s="26">
        <f>IF($B856="","",IFERROR(INDEX(PecDesc,MATCH($B856,PecCod,0)),"Peça não cadastrada"))</f>
        <v>0</v>
      </c>
      <c r="H856" s="27">
        <f>IF(OR($C856="",$D856=""),"",$C856*$D856)</f>
        <v>0</v>
      </c>
    </row>
    <row r="857" spans="1:8">
      <c r="A857" s="25"/>
      <c r="B857" s="13"/>
      <c r="C857" s="20"/>
      <c r="D857" s="19"/>
      <c r="E857" s="13"/>
      <c r="F857" s="13"/>
      <c r="G857" s="26">
        <f>IF($B857="","",IFERROR(INDEX(PecDesc,MATCH($B857,PecCod,0)),"Peça não cadastrada"))</f>
        <v>0</v>
      </c>
      <c r="H857" s="27">
        <f>IF(OR($C857="",$D857=""),"",$C857*$D857)</f>
        <v>0</v>
      </c>
    </row>
    <row r="858" spans="1:8">
      <c r="A858" s="25"/>
      <c r="B858" s="13"/>
      <c r="C858" s="20"/>
      <c r="D858" s="19"/>
      <c r="E858" s="13"/>
      <c r="F858" s="13"/>
      <c r="G858" s="26">
        <f>IF($B858="","",IFERROR(INDEX(PecDesc,MATCH($B858,PecCod,0)),"Peça não cadastrada"))</f>
        <v>0</v>
      </c>
      <c r="H858" s="27">
        <f>IF(OR($C858="",$D858=""),"",$C858*$D858)</f>
        <v>0</v>
      </c>
    </row>
    <row r="859" spans="1:8">
      <c r="A859" s="25"/>
      <c r="B859" s="13"/>
      <c r="C859" s="20"/>
      <c r="D859" s="19"/>
      <c r="E859" s="13"/>
      <c r="F859" s="13"/>
      <c r="G859" s="26">
        <f>IF($B859="","",IFERROR(INDEX(PecDesc,MATCH($B859,PecCod,0)),"Peça não cadastrada"))</f>
        <v>0</v>
      </c>
      <c r="H859" s="27">
        <f>IF(OR($C859="",$D859=""),"",$C859*$D859)</f>
        <v>0</v>
      </c>
    </row>
    <row r="860" spans="1:8">
      <c r="A860" s="25"/>
      <c r="B860" s="13"/>
      <c r="C860" s="20"/>
      <c r="D860" s="19"/>
      <c r="E860" s="13"/>
      <c r="F860" s="13"/>
      <c r="G860" s="26">
        <f>IF($B860="","",IFERROR(INDEX(PecDesc,MATCH($B860,PecCod,0)),"Peça não cadastrada"))</f>
        <v>0</v>
      </c>
      <c r="H860" s="27">
        <f>IF(OR($C860="",$D860=""),"",$C860*$D860)</f>
        <v>0</v>
      </c>
    </row>
    <row r="861" spans="1:8">
      <c r="A861" s="25"/>
      <c r="B861" s="13"/>
      <c r="C861" s="20"/>
      <c r="D861" s="19"/>
      <c r="E861" s="13"/>
      <c r="F861" s="13"/>
      <c r="G861" s="26">
        <f>IF($B861="","",IFERROR(INDEX(PecDesc,MATCH($B861,PecCod,0)),"Peça não cadastrada"))</f>
        <v>0</v>
      </c>
      <c r="H861" s="27">
        <f>IF(OR($C861="",$D861=""),"",$C861*$D861)</f>
        <v>0</v>
      </c>
    </row>
    <row r="862" spans="1:8">
      <c r="A862" s="25"/>
      <c r="B862" s="13"/>
      <c r="C862" s="20"/>
      <c r="D862" s="19"/>
      <c r="E862" s="13"/>
      <c r="F862" s="13"/>
      <c r="G862" s="26">
        <f>IF($B862="","",IFERROR(INDEX(PecDesc,MATCH($B862,PecCod,0)),"Peça não cadastrada"))</f>
        <v>0</v>
      </c>
      <c r="H862" s="27">
        <f>IF(OR($C862="",$D862=""),"",$C862*$D862)</f>
        <v>0</v>
      </c>
    </row>
    <row r="863" spans="1:8">
      <c r="A863" s="25"/>
      <c r="B863" s="13"/>
      <c r="C863" s="20"/>
      <c r="D863" s="19"/>
      <c r="E863" s="13"/>
      <c r="F863" s="13"/>
      <c r="G863" s="26">
        <f>IF($B863="","",IFERROR(INDEX(PecDesc,MATCH($B863,PecCod,0)),"Peça não cadastrada"))</f>
        <v>0</v>
      </c>
      <c r="H863" s="27">
        <f>IF(OR($C863="",$D863=""),"",$C863*$D863)</f>
        <v>0</v>
      </c>
    </row>
    <row r="864" spans="1:8">
      <c r="A864" s="25"/>
      <c r="B864" s="13"/>
      <c r="C864" s="20"/>
      <c r="D864" s="19"/>
      <c r="E864" s="13"/>
      <c r="F864" s="13"/>
      <c r="G864" s="26">
        <f>IF($B864="","",IFERROR(INDEX(PecDesc,MATCH($B864,PecCod,0)),"Peça não cadastrada"))</f>
        <v>0</v>
      </c>
      <c r="H864" s="27">
        <f>IF(OR($C864="",$D864=""),"",$C864*$D864)</f>
        <v>0</v>
      </c>
    </row>
    <row r="865" spans="1:8">
      <c r="A865" s="25"/>
      <c r="B865" s="13"/>
      <c r="C865" s="20"/>
      <c r="D865" s="19"/>
      <c r="E865" s="13"/>
      <c r="F865" s="13"/>
      <c r="G865" s="26">
        <f>IF($B865="","",IFERROR(INDEX(PecDesc,MATCH($B865,PecCod,0)),"Peça não cadastrada"))</f>
        <v>0</v>
      </c>
      <c r="H865" s="27">
        <f>IF(OR($C865="",$D865=""),"",$C865*$D865)</f>
        <v>0</v>
      </c>
    </row>
    <row r="866" spans="1:8">
      <c r="A866" s="25"/>
      <c r="B866" s="13"/>
      <c r="C866" s="20"/>
      <c r="D866" s="19"/>
      <c r="E866" s="13"/>
      <c r="F866" s="13"/>
      <c r="G866" s="26">
        <f>IF($B866="","",IFERROR(INDEX(PecDesc,MATCH($B866,PecCod,0)),"Peça não cadastrada"))</f>
        <v>0</v>
      </c>
      <c r="H866" s="27">
        <f>IF(OR($C866="",$D866=""),"",$C866*$D866)</f>
        <v>0</v>
      </c>
    </row>
    <row r="867" spans="1:8">
      <c r="A867" s="25"/>
      <c r="B867" s="13"/>
      <c r="C867" s="20"/>
      <c r="D867" s="19"/>
      <c r="E867" s="13"/>
      <c r="F867" s="13"/>
      <c r="G867" s="26">
        <f>IF($B867="","",IFERROR(INDEX(PecDesc,MATCH($B867,PecCod,0)),"Peça não cadastrada"))</f>
        <v>0</v>
      </c>
      <c r="H867" s="27">
        <f>IF(OR($C867="",$D867=""),"",$C867*$D867)</f>
        <v>0</v>
      </c>
    </row>
    <row r="868" spans="1:8">
      <c r="A868" s="25"/>
      <c r="B868" s="13"/>
      <c r="C868" s="20"/>
      <c r="D868" s="19"/>
      <c r="E868" s="13"/>
      <c r="F868" s="13"/>
      <c r="G868" s="26">
        <f>IF($B868="","",IFERROR(INDEX(PecDesc,MATCH($B868,PecCod,0)),"Peça não cadastrada"))</f>
        <v>0</v>
      </c>
      <c r="H868" s="27">
        <f>IF(OR($C868="",$D868=""),"",$C868*$D868)</f>
        <v>0</v>
      </c>
    </row>
    <row r="869" spans="1:8">
      <c r="A869" s="25"/>
      <c r="B869" s="13"/>
      <c r="C869" s="20"/>
      <c r="D869" s="19"/>
      <c r="E869" s="13"/>
      <c r="F869" s="13"/>
      <c r="G869" s="26">
        <f>IF($B869="","",IFERROR(INDEX(PecDesc,MATCH($B869,PecCod,0)),"Peça não cadastrada"))</f>
        <v>0</v>
      </c>
      <c r="H869" s="27">
        <f>IF(OR($C869="",$D869=""),"",$C869*$D869)</f>
        <v>0</v>
      </c>
    </row>
    <row r="870" spans="1:8">
      <c r="A870" s="25"/>
      <c r="B870" s="13"/>
      <c r="C870" s="20"/>
      <c r="D870" s="19"/>
      <c r="E870" s="13"/>
      <c r="F870" s="13"/>
      <c r="G870" s="26">
        <f>IF($B870="","",IFERROR(INDEX(PecDesc,MATCH($B870,PecCod,0)),"Peça não cadastrada"))</f>
        <v>0</v>
      </c>
      <c r="H870" s="27">
        <f>IF(OR($C870="",$D870=""),"",$C870*$D870)</f>
        <v>0</v>
      </c>
    </row>
    <row r="871" spans="1:8">
      <c r="A871" s="25"/>
      <c r="B871" s="13"/>
      <c r="C871" s="20"/>
      <c r="D871" s="19"/>
      <c r="E871" s="13"/>
      <c r="F871" s="13"/>
      <c r="G871" s="26">
        <f>IF($B871="","",IFERROR(INDEX(PecDesc,MATCH($B871,PecCod,0)),"Peça não cadastrada"))</f>
        <v>0</v>
      </c>
      <c r="H871" s="27">
        <f>IF(OR($C871="",$D871=""),"",$C871*$D871)</f>
        <v>0</v>
      </c>
    </row>
    <row r="872" spans="1:8">
      <c r="A872" s="25"/>
      <c r="B872" s="13"/>
      <c r="C872" s="20"/>
      <c r="D872" s="19"/>
      <c r="E872" s="13"/>
      <c r="F872" s="13"/>
      <c r="G872" s="26">
        <f>IF($B872="","",IFERROR(INDEX(PecDesc,MATCH($B872,PecCod,0)),"Peça não cadastrada"))</f>
        <v>0</v>
      </c>
      <c r="H872" s="27">
        <f>IF(OR($C872="",$D872=""),"",$C872*$D872)</f>
        <v>0</v>
      </c>
    </row>
    <row r="873" spans="1:8">
      <c r="A873" s="25"/>
      <c r="B873" s="13"/>
      <c r="C873" s="20"/>
      <c r="D873" s="19"/>
      <c r="E873" s="13"/>
      <c r="F873" s="13"/>
      <c r="G873" s="26">
        <f>IF($B873="","",IFERROR(INDEX(PecDesc,MATCH($B873,PecCod,0)),"Peça não cadastrada"))</f>
        <v>0</v>
      </c>
      <c r="H873" s="27">
        <f>IF(OR($C873="",$D873=""),"",$C873*$D873)</f>
        <v>0</v>
      </c>
    </row>
    <row r="874" spans="1:8">
      <c r="A874" s="25"/>
      <c r="B874" s="13"/>
      <c r="C874" s="20"/>
      <c r="D874" s="19"/>
      <c r="E874" s="13"/>
      <c r="F874" s="13"/>
      <c r="G874" s="26">
        <f>IF($B874="","",IFERROR(INDEX(PecDesc,MATCH($B874,PecCod,0)),"Peça não cadastrada"))</f>
        <v>0</v>
      </c>
      <c r="H874" s="27">
        <f>IF(OR($C874="",$D874=""),"",$C874*$D874)</f>
        <v>0</v>
      </c>
    </row>
    <row r="875" spans="1:8">
      <c r="A875" s="25"/>
      <c r="B875" s="13"/>
      <c r="C875" s="20"/>
      <c r="D875" s="19"/>
      <c r="E875" s="13"/>
      <c r="F875" s="13"/>
      <c r="G875" s="26">
        <f>IF($B875="","",IFERROR(INDEX(PecDesc,MATCH($B875,PecCod,0)),"Peça não cadastrada"))</f>
        <v>0</v>
      </c>
      <c r="H875" s="27">
        <f>IF(OR($C875="",$D875=""),"",$C875*$D875)</f>
        <v>0</v>
      </c>
    </row>
    <row r="876" spans="1:8">
      <c r="A876" s="25"/>
      <c r="B876" s="13"/>
      <c r="C876" s="20"/>
      <c r="D876" s="19"/>
      <c r="E876" s="13"/>
      <c r="F876" s="13"/>
      <c r="G876" s="26">
        <f>IF($B876="","",IFERROR(INDEX(PecDesc,MATCH($B876,PecCod,0)),"Peça não cadastrada"))</f>
        <v>0</v>
      </c>
      <c r="H876" s="27">
        <f>IF(OR($C876="",$D876=""),"",$C876*$D876)</f>
        <v>0</v>
      </c>
    </row>
    <row r="877" spans="1:8">
      <c r="A877" s="25"/>
      <c r="B877" s="13"/>
      <c r="C877" s="20"/>
      <c r="D877" s="19"/>
      <c r="E877" s="13"/>
      <c r="F877" s="13"/>
      <c r="G877" s="26">
        <f>IF($B877="","",IFERROR(INDEX(PecDesc,MATCH($B877,PecCod,0)),"Peça não cadastrada"))</f>
        <v>0</v>
      </c>
      <c r="H877" s="27">
        <f>IF(OR($C877="",$D877=""),"",$C877*$D877)</f>
        <v>0</v>
      </c>
    </row>
    <row r="878" spans="1:8">
      <c r="A878" s="25"/>
      <c r="B878" s="13"/>
      <c r="C878" s="20"/>
      <c r="D878" s="19"/>
      <c r="E878" s="13"/>
      <c r="F878" s="13"/>
      <c r="G878" s="26">
        <f>IF($B878="","",IFERROR(INDEX(PecDesc,MATCH($B878,PecCod,0)),"Peça não cadastrada"))</f>
        <v>0</v>
      </c>
      <c r="H878" s="27">
        <f>IF(OR($C878="",$D878=""),"",$C878*$D878)</f>
        <v>0</v>
      </c>
    </row>
    <row r="879" spans="1:8">
      <c r="A879" s="25"/>
      <c r="B879" s="13"/>
      <c r="C879" s="20"/>
      <c r="D879" s="19"/>
      <c r="E879" s="13"/>
      <c r="F879" s="13"/>
      <c r="G879" s="26">
        <f>IF($B879="","",IFERROR(INDEX(PecDesc,MATCH($B879,PecCod,0)),"Peça não cadastrada"))</f>
        <v>0</v>
      </c>
      <c r="H879" s="27">
        <f>IF(OR($C879="",$D879=""),"",$C879*$D879)</f>
        <v>0</v>
      </c>
    </row>
    <row r="880" spans="1:8">
      <c r="A880" s="25"/>
      <c r="B880" s="13"/>
      <c r="C880" s="20"/>
      <c r="D880" s="19"/>
      <c r="E880" s="13"/>
      <c r="F880" s="13"/>
      <c r="G880" s="26">
        <f>IF($B880="","",IFERROR(INDEX(PecDesc,MATCH($B880,PecCod,0)),"Peça não cadastrada"))</f>
        <v>0</v>
      </c>
      <c r="H880" s="27">
        <f>IF(OR($C880="",$D880=""),"",$C880*$D880)</f>
        <v>0</v>
      </c>
    </row>
    <row r="881" spans="1:8">
      <c r="A881" s="25"/>
      <c r="B881" s="13"/>
      <c r="C881" s="20"/>
      <c r="D881" s="19"/>
      <c r="E881" s="13"/>
      <c r="F881" s="13"/>
      <c r="G881" s="26">
        <f>IF($B881="","",IFERROR(INDEX(PecDesc,MATCH($B881,PecCod,0)),"Peça não cadastrada"))</f>
        <v>0</v>
      </c>
      <c r="H881" s="27">
        <f>IF(OR($C881="",$D881=""),"",$C881*$D881)</f>
        <v>0</v>
      </c>
    </row>
    <row r="882" spans="1:8">
      <c r="A882" s="25"/>
      <c r="B882" s="13"/>
      <c r="C882" s="20"/>
      <c r="D882" s="19"/>
      <c r="E882" s="13"/>
      <c r="F882" s="13"/>
      <c r="G882" s="26">
        <f>IF($B882="","",IFERROR(INDEX(PecDesc,MATCH($B882,PecCod,0)),"Peça não cadastrada"))</f>
        <v>0</v>
      </c>
      <c r="H882" s="27">
        <f>IF(OR($C882="",$D882=""),"",$C882*$D882)</f>
        <v>0</v>
      </c>
    </row>
    <row r="883" spans="1:8">
      <c r="A883" s="25"/>
      <c r="B883" s="13"/>
      <c r="C883" s="20"/>
      <c r="D883" s="19"/>
      <c r="E883" s="13"/>
      <c r="F883" s="13"/>
      <c r="G883" s="26">
        <f>IF($B883="","",IFERROR(INDEX(PecDesc,MATCH($B883,PecCod,0)),"Peça não cadastrada"))</f>
        <v>0</v>
      </c>
      <c r="H883" s="27">
        <f>IF(OR($C883="",$D883=""),"",$C883*$D883)</f>
        <v>0</v>
      </c>
    </row>
    <row r="884" spans="1:8">
      <c r="A884" s="25"/>
      <c r="B884" s="13"/>
      <c r="C884" s="20"/>
      <c r="D884" s="19"/>
      <c r="E884" s="13"/>
      <c r="F884" s="13"/>
      <c r="G884" s="26">
        <f>IF($B884="","",IFERROR(INDEX(PecDesc,MATCH($B884,PecCod,0)),"Peça não cadastrada"))</f>
        <v>0</v>
      </c>
      <c r="H884" s="27">
        <f>IF(OR($C884="",$D884=""),"",$C884*$D884)</f>
        <v>0</v>
      </c>
    </row>
    <row r="885" spans="1:8">
      <c r="A885" s="25"/>
      <c r="B885" s="13"/>
      <c r="C885" s="20"/>
      <c r="D885" s="19"/>
      <c r="E885" s="13"/>
      <c r="F885" s="13"/>
      <c r="G885" s="26">
        <f>IF($B885="","",IFERROR(INDEX(PecDesc,MATCH($B885,PecCod,0)),"Peça não cadastrada"))</f>
        <v>0</v>
      </c>
      <c r="H885" s="27">
        <f>IF(OR($C885="",$D885=""),"",$C885*$D885)</f>
        <v>0</v>
      </c>
    </row>
    <row r="886" spans="1:8">
      <c r="A886" s="25"/>
      <c r="B886" s="13"/>
      <c r="C886" s="20"/>
      <c r="D886" s="19"/>
      <c r="E886" s="13"/>
      <c r="F886" s="13"/>
      <c r="G886" s="26">
        <f>IF($B886="","",IFERROR(INDEX(PecDesc,MATCH($B886,PecCod,0)),"Peça não cadastrada"))</f>
        <v>0</v>
      </c>
      <c r="H886" s="27">
        <f>IF(OR($C886="",$D886=""),"",$C886*$D886)</f>
        <v>0</v>
      </c>
    </row>
    <row r="887" spans="1:8">
      <c r="A887" s="25"/>
      <c r="B887" s="13"/>
      <c r="C887" s="20"/>
      <c r="D887" s="19"/>
      <c r="E887" s="13"/>
      <c r="F887" s="13"/>
      <c r="G887" s="26">
        <f>IF($B887="","",IFERROR(INDEX(PecDesc,MATCH($B887,PecCod,0)),"Peça não cadastrada"))</f>
        <v>0</v>
      </c>
      <c r="H887" s="27">
        <f>IF(OR($C887="",$D887=""),"",$C887*$D887)</f>
        <v>0</v>
      </c>
    </row>
    <row r="888" spans="1:8">
      <c r="A888" s="25"/>
      <c r="B888" s="13"/>
      <c r="C888" s="20"/>
      <c r="D888" s="19"/>
      <c r="E888" s="13"/>
      <c r="F888" s="13"/>
      <c r="G888" s="26">
        <f>IF($B888="","",IFERROR(INDEX(PecDesc,MATCH($B888,PecCod,0)),"Peça não cadastrada"))</f>
        <v>0</v>
      </c>
      <c r="H888" s="27">
        <f>IF(OR($C888="",$D888=""),"",$C888*$D888)</f>
        <v>0</v>
      </c>
    </row>
    <row r="889" spans="1:8">
      <c r="A889" s="25"/>
      <c r="B889" s="13"/>
      <c r="C889" s="20"/>
      <c r="D889" s="19"/>
      <c r="E889" s="13"/>
      <c r="F889" s="13"/>
      <c r="G889" s="26">
        <f>IF($B889="","",IFERROR(INDEX(PecDesc,MATCH($B889,PecCod,0)),"Peça não cadastrada"))</f>
        <v>0</v>
      </c>
      <c r="H889" s="27">
        <f>IF(OR($C889="",$D889=""),"",$C889*$D889)</f>
        <v>0</v>
      </c>
    </row>
    <row r="890" spans="1:8">
      <c r="A890" s="25"/>
      <c r="B890" s="13"/>
      <c r="C890" s="20"/>
      <c r="D890" s="19"/>
      <c r="E890" s="13"/>
      <c r="F890" s="13"/>
      <c r="G890" s="26">
        <f>IF($B890="","",IFERROR(INDEX(PecDesc,MATCH($B890,PecCod,0)),"Peça não cadastrada"))</f>
        <v>0</v>
      </c>
      <c r="H890" s="27">
        <f>IF(OR($C890="",$D890=""),"",$C890*$D890)</f>
        <v>0</v>
      </c>
    </row>
    <row r="891" spans="1:8">
      <c r="A891" s="25"/>
      <c r="B891" s="13"/>
      <c r="C891" s="20"/>
      <c r="D891" s="19"/>
      <c r="E891" s="13"/>
      <c r="F891" s="13"/>
      <c r="G891" s="26">
        <f>IF($B891="","",IFERROR(INDEX(PecDesc,MATCH($B891,PecCod,0)),"Peça não cadastrada"))</f>
        <v>0</v>
      </c>
      <c r="H891" s="27">
        <f>IF(OR($C891="",$D891=""),"",$C891*$D891)</f>
        <v>0</v>
      </c>
    </row>
    <row r="892" spans="1:8">
      <c r="A892" s="25"/>
      <c r="B892" s="13"/>
      <c r="C892" s="20"/>
      <c r="D892" s="19"/>
      <c r="E892" s="13"/>
      <c r="F892" s="13"/>
      <c r="G892" s="26">
        <f>IF($B892="","",IFERROR(INDEX(PecDesc,MATCH($B892,PecCod,0)),"Peça não cadastrada"))</f>
        <v>0</v>
      </c>
      <c r="H892" s="27">
        <f>IF(OR($C892="",$D892=""),"",$C892*$D892)</f>
        <v>0</v>
      </c>
    </row>
    <row r="893" spans="1:8">
      <c r="A893" s="25"/>
      <c r="B893" s="13"/>
      <c r="C893" s="20"/>
      <c r="D893" s="19"/>
      <c r="E893" s="13"/>
      <c r="F893" s="13"/>
      <c r="G893" s="26">
        <f>IF($B893="","",IFERROR(INDEX(PecDesc,MATCH($B893,PecCod,0)),"Peça não cadastrada"))</f>
        <v>0</v>
      </c>
      <c r="H893" s="27">
        <f>IF(OR($C893="",$D893=""),"",$C893*$D893)</f>
        <v>0</v>
      </c>
    </row>
    <row r="894" spans="1:8">
      <c r="A894" s="25"/>
      <c r="B894" s="13"/>
      <c r="C894" s="20"/>
      <c r="D894" s="19"/>
      <c r="E894" s="13"/>
      <c r="F894" s="13"/>
      <c r="G894" s="26">
        <f>IF($B894="","",IFERROR(INDEX(PecDesc,MATCH($B894,PecCod,0)),"Peça não cadastrada"))</f>
        <v>0</v>
      </c>
      <c r="H894" s="27">
        <f>IF(OR($C894="",$D894=""),"",$C894*$D894)</f>
        <v>0</v>
      </c>
    </row>
    <row r="895" spans="1:8">
      <c r="A895" s="25"/>
      <c r="B895" s="13"/>
      <c r="C895" s="20"/>
      <c r="D895" s="19"/>
      <c r="E895" s="13"/>
      <c r="F895" s="13"/>
      <c r="G895" s="26">
        <f>IF($B895="","",IFERROR(INDEX(PecDesc,MATCH($B895,PecCod,0)),"Peça não cadastrada"))</f>
        <v>0</v>
      </c>
      <c r="H895" s="27">
        <f>IF(OR($C895="",$D895=""),"",$C895*$D895)</f>
        <v>0</v>
      </c>
    </row>
    <row r="896" spans="1:8">
      <c r="A896" s="25"/>
      <c r="B896" s="13"/>
      <c r="C896" s="20"/>
      <c r="D896" s="19"/>
      <c r="E896" s="13"/>
      <c r="F896" s="13"/>
      <c r="G896" s="26">
        <f>IF($B896="","",IFERROR(INDEX(PecDesc,MATCH($B896,PecCod,0)),"Peça não cadastrada"))</f>
        <v>0</v>
      </c>
      <c r="H896" s="27">
        <f>IF(OR($C896="",$D896=""),"",$C896*$D896)</f>
        <v>0</v>
      </c>
    </row>
    <row r="897" spans="1:8">
      <c r="A897" s="25"/>
      <c r="B897" s="13"/>
      <c r="C897" s="20"/>
      <c r="D897" s="19"/>
      <c r="E897" s="13"/>
      <c r="F897" s="13"/>
      <c r="G897" s="26">
        <f>IF($B897="","",IFERROR(INDEX(PecDesc,MATCH($B897,PecCod,0)),"Peça não cadastrada"))</f>
        <v>0</v>
      </c>
      <c r="H897" s="27">
        <f>IF(OR($C897="",$D897=""),"",$C897*$D897)</f>
        <v>0</v>
      </c>
    </row>
    <row r="898" spans="1:8">
      <c r="A898" s="25"/>
      <c r="B898" s="13"/>
      <c r="C898" s="20"/>
      <c r="D898" s="19"/>
      <c r="E898" s="13"/>
      <c r="F898" s="13"/>
      <c r="G898" s="26">
        <f>IF($B898="","",IFERROR(INDEX(PecDesc,MATCH($B898,PecCod,0)),"Peça não cadastrada"))</f>
        <v>0</v>
      </c>
      <c r="H898" s="27">
        <f>IF(OR($C898="",$D898=""),"",$C898*$D898)</f>
        <v>0</v>
      </c>
    </row>
    <row r="899" spans="1:8">
      <c r="A899" s="25"/>
      <c r="B899" s="13"/>
      <c r="C899" s="20"/>
      <c r="D899" s="19"/>
      <c r="E899" s="13"/>
      <c r="F899" s="13"/>
      <c r="G899" s="26">
        <f>IF($B899="","",IFERROR(INDEX(PecDesc,MATCH($B899,PecCod,0)),"Peça não cadastrada"))</f>
        <v>0</v>
      </c>
      <c r="H899" s="27">
        <f>IF(OR($C899="",$D899=""),"",$C899*$D899)</f>
        <v>0</v>
      </c>
    </row>
    <row r="900" spans="1:8">
      <c r="A900" s="25"/>
      <c r="B900" s="13"/>
      <c r="C900" s="20"/>
      <c r="D900" s="19"/>
      <c r="E900" s="13"/>
      <c r="F900" s="13"/>
      <c r="G900" s="26">
        <f>IF($B900="","",IFERROR(INDEX(PecDesc,MATCH($B900,PecCod,0)),"Peça não cadastrada"))</f>
        <v>0</v>
      </c>
      <c r="H900" s="27">
        <f>IF(OR($C900="",$D900=""),"",$C900*$D900)</f>
        <v>0</v>
      </c>
    </row>
    <row r="901" spans="1:8">
      <c r="A901" s="25"/>
      <c r="B901" s="13"/>
      <c r="C901" s="20"/>
      <c r="D901" s="19"/>
      <c r="E901" s="13"/>
      <c r="F901" s="13"/>
      <c r="G901" s="26">
        <f>IF($B901="","",IFERROR(INDEX(PecDesc,MATCH($B901,PecCod,0)),"Peça não cadastrada"))</f>
        <v>0</v>
      </c>
      <c r="H901" s="27">
        <f>IF(OR($C901="",$D901=""),"",$C901*$D901)</f>
        <v>0</v>
      </c>
    </row>
    <row r="902" spans="1:8">
      <c r="A902" s="25"/>
      <c r="B902" s="13"/>
      <c r="C902" s="20"/>
      <c r="D902" s="19"/>
      <c r="E902" s="13"/>
      <c r="F902" s="13"/>
      <c r="G902" s="26">
        <f>IF($B902="","",IFERROR(INDEX(PecDesc,MATCH($B902,PecCod,0)),"Peça não cadastrada"))</f>
        <v>0</v>
      </c>
      <c r="H902" s="27">
        <f>IF(OR($C902="",$D902=""),"",$C902*$D902)</f>
        <v>0</v>
      </c>
    </row>
    <row r="903" spans="1:8">
      <c r="A903" s="25"/>
      <c r="B903" s="13"/>
      <c r="C903" s="20"/>
      <c r="D903" s="19"/>
      <c r="E903" s="13"/>
      <c r="F903" s="13"/>
      <c r="G903" s="26">
        <f>IF($B903="","",IFERROR(INDEX(PecDesc,MATCH($B903,PecCod,0)),"Peça não cadastrada"))</f>
        <v>0</v>
      </c>
      <c r="H903" s="27">
        <f>IF(OR($C903="",$D903=""),"",$C903*$D903)</f>
        <v>0</v>
      </c>
    </row>
    <row r="904" spans="1:8">
      <c r="A904" s="25"/>
      <c r="B904" s="13"/>
      <c r="C904" s="20"/>
      <c r="D904" s="19"/>
      <c r="E904" s="13"/>
      <c r="F904" s="13"/>
      <c r="G904" s="26">
        <f>IF($B904="","",IFERROR(INDEX(PecDesc,MATCH($B904,PecCod,0)),"Peça não cadastrada"))</f>
        <v>0</v>
      </c>
      <c r="H904" s="27">
        <f>IF(OR($C904="",$D904=""),"",$C904*$D904)</f>
        <v>0</v>
      </c>
    </row>
    <row r="905" spans="1:8">
      <c r="A905" s="25"/>
      <c r="B905" s="13"/>
      <c r="C905" s="20"/>
      <c r="D905" s="19"/>
      <c r="E905" s="13"/>
      <c r="F905" s="13"/>
      <c r="G905" s="26">
        <f>IF($B905="","",IFERROR(INDEX(PecDesc,MATCH($B905,PecCod,0)),"Peça não cadastrada"))</f>
        <v>0</v>
      </c>
      <c r="H905" s="27">
        <f>IF(OR($C905="",$D905=""),"",$C905*$D905)</f>
        <v>0</v>
      </c>
    </row>
    <row r="906" spans="1:8">
      <c r="A906" s="25"/>
      <c r="B906" s="13"/>
      <c r="C906" s="20"/>
      <c r="D906" s="19"/>
      <c r="E906" s="13"/>
      <c r="F906" s="13"/>
      <c r="G906" s="26">
        <f>IF($B906="","",IFERROR(INDEX(PecDesc,MATCH($B906,PecCod,0)),"Peça não cadastrada"))</f>
        <v>0</v>
      </c>
      <c r="H906" s="27">
        <f>IF(OR($C906="",$D906=""),"",$C906*$D906)</f>
        <v>0</v>
      </c>
    </row>
    <row r="907" spans="1:8">
      <c r="A907" s="25"/>
      <c r="B907" s="13"/>
      <c r="C907" s="20"/>
      <c r="D907" s="19"/>
      <c r="E907" s="13"/>
      <c r="F907" s="13"/>
      <c r="G907" s="26">
        <f>IF($B907="","",IFERROR(INDEX(PecDesc,MATCH($B907,PecCod,0)),"Peça não cadastrada"))</f>
        <v>0</v>
      </c>
      <c r="H907" s="27">
        <f>IF(OR($C907="",$D907=""),"",$C907*$D907)</f>
        <v>0</v>
      </c>
    </row>
    <row r="908" spans="1:8">
      <c r="A908" s="25"/>
      <c r="B908" s="13"/>
      <c r="C908" s="20"/>
      <c r="D908" s="19"/>
      <c r="E908" s="13"/>
      <c r="F908" s="13"/>
      <c r="G908" s="26">
        <f>IF($B908="","",IFERROR(INDEX(PecDesc,MATCH($B908,PecCod,0)),"Peça não cadastrada"))</f>
        <v>0</v>
      </c>
      <c r="H908" s="27">
        <f>IF(OR($C908="",$D908=""),"",$C908*$D908)</f>
        <v>0</v>
      </c>
    </row>
    <row r="909" spans="1:8">
      <c r="A909" s="25"/>
      <c r="B909" s="13"/>
      <c r="C909" s="20"/>
      <c r="D909" s="19"/>
      <c r="E909" s="13"/>
      <c r="F909" s="13"/>
      <c r="G909" s="26">
        <f>IF($B909="","",IFERROR(INDEX(PecDesc,MATCH($B909,PecCod,0)),"Peça não cadastrada"))</f>
        <v>0</v>
      </c>
      <c r="H909" s="27">
        <f>IF(OR($C909="",$D909=""),"",$C909*$D909)</f>
        <v>0</v>
      </c>
    </row>
    <row r="910" spans="1:8">
      <c r="A910" s="25"/>
      <c r="B910" s="13"/>
      <c r="C910" s="20"/>
      <c r="D910" s="19"/>
      <c r="E910" s="13"/>
      <c r="F910" s="13"/>
      <c r="G910" s="26">
        <f>IF($B910="","",IFERROR(INDEX(PecDesc,MATCH($B910,PecCod,0)),"Peça não cadastrada"))</f>
        <v>0</v>
      </c>
      <c r="H910" s="27">
        <f>IF(OR($C910="",$D910=""),"",$C910*$D910)</f>
        <v>0</v>
      </c>
    </row>
    <row r="911" spans="1:8">
      <c r="A911" s="25"/>
      <c r="B911" s="13"/>
      <c r="C911" s="20"/>
      <c r="D911" s="19"/>
      <c r="E911" s="13"/>
      <c r="F911" s="13"/>
      <c r="G911" s="26">
        <f>IF($B911="","",IFERROR(INDEX(PecDesc,MATCH($B911,PecCod,0)),"Peça não cadastrada"))</f>
        <v>0</v>
      </c>
      <c r="H911" s="27">
        <f>IF(OR($C911="",$D911=""),"",$C911*$D911)</f>
        <v>0</v>
      </c>
    </row>
    <row r="912" spans="1:8">
      <c r="A912" s="25"/>
      <c r="B912" s="13"/>
      <c r="C912" s="20"/>
      <c r="D912" s="19"/>
      <c r="E912" s="13"/>
      <c r="F912" s="13"/>
      <c r="G912" s="26">
        <f>IF($B912="","",IFERROR(INDEX(PecDesc,MATCH($B912,PecCod,0)),"Peça não cadastrada"))</f>
        <v>0</v>
      </c>
      <c r="H912" s="27">
        <f>IF(OR($C912="",$D912=""),"",$C912*$D912)</f>
        <v>0</v>
      </c>
    </row>
    <row r="913" spans="1:8">
      <c r="A913" s="25"/>
      <c r="B913" s="13"/>
      <c r="C913" s="20"/>
      <c r="D913" s="19"/>
      <c r="E913" s="13"/>
      <c r="F913" s="13"/>
      <c r="G913" s="26">
        <f>IF($B913="","",IFERROR(INDEX(PecDesc,MATCH($B913,PecCod,0)),"Peça não cadastrada"))</f>
        <v>0</v>
      </c>
      <c r="H913" s="27">
        <f>IF(OR($C913="",$D913=""),"",$C913*$D913)</f>
        <v>0</v>
      </c>
    </row>
    <row r="914" spans="1:8">
      <c r="A914" s="25"/>
      <c r="B914" s="13"/>
      <c r="C914" s="20"/>
      <c r="D914" s="19"/>
      <c r="E914" s="13"/>
      <c r="F914" s="13"/>
      <c r="G914" s="26">
        <f>IF($B914="","",IFERROR(INDEX(PecDesc,MATCH($B914,PecCod,0)),"Peça não cadastrada"))</f>
        <v>0</v>
      </c>
      <c r="H914" s="27">
        <f>IF(OR($C914="",$D914=""),"",$C914*$D914)</f>
        <v>0</v>
      </c>
    </row>
    <row r="915" spans="1:8">
      <c r="A915" s="25"/>
      <c r="B915" s="13"/>
      <c r="C915" s="20"/>
      <c r="D915" s="19"/>
      <c r="E915" s="13"/>
      <c r="F915" s="13"/>
      <c r="G915" s="26">
        <f>IF($B915="","",IFERROR(INDEX(PecDesc,MATCH($B915,PecCod,0)),"Peça não cadastrada"))</f>
        <v>0</v>
      </c>
      <c r="H915" s="27">
        <f>IF(OR($C915="",$D915=""),"",$C915*$D915)</f>
        <v>0</v>
      </c>
    </row>
    <row r="916" spans="1:8">
      <c r="A916" s="25"/>
      <c r="B916" s="13"/>
      <c r="C916" s="20"/>
      <c r="D916" s="19"/>
      <c r="E916" s="13"/>
      <c r="F916" s="13"/>
      <c r="G916" s="26">
        <f>IF($B916="","",IFERROR(INDEX(PecDesc,MATCH($B916,PecCod,0)),"Peça não cadastrada"))</f>
        <v>0</v>
      </c>
      <c r="H916" s="27">
        <f>IF(OR($C916="",$D916=""),"",$C916*$D916)</f>
        <v>0</v>
      </c>
    </row>
    <row r="917" spans="1:8">
      <c r="A917" s="25"/>
      <c r="B917" s="13"/>
      <c r="C917" s="20"/>
      <c r="D917" s="19"/>
      <c r="E917" s="13"/>
      <c r="F917" s="13"/>
      <c r="G917" s="26">
        <f>IF($B917="","",IFERROR(INDEX(PecDesc,MATCH($B917,PecCod,0)),"Peça não cadastrada"))</f>
        <v>0</v>
      </c>
      <c r="H917" s="27">
        <f>IF(OR($C917="",$D917=""),"",$C917*$D917)</f>
        <v>0</v>
      </c>
    </row>
    <row r="918" spans="1:8">
      <c r="A918" s="25"/>
      <c r="B918" s="13"/>
      <c r="C918" s="20"/>
      <c r="D918" s="19"/>
      <c r="E918" s="13"/>
      <c r="F918" s="13"/>
      <c r="G918" s="26">
        <f>IF($B918="","",IFERROR(INDEX(PecDesc,MATCH($B918,PecCod,0)),"Peça não cadastrada"))</f>
        <v>0</v>
      </c>
      <c r="H918" s="27">
        <f>IF(OR($C918="",$D918=""),"",$C918*$D918)</f>
        <v>0</v>
      </c>
    </row>
    <row r="919" spans="1:8">
      <c r="A919" s="25"/>
      <c r="B919" s="13"/>
      <c r="C919" s="20"/>
      <c r="D919" s="19"/>
      <c r="E919" s="13"/>
      <c r="F919" s="13"/>
      <c r="G919" s="26">
        <f>IF($B919="","",IFERROR(INDEX(PecDesc,MATCH($B919,PecCod,0)),"Peça não cadastrada"))</f>
        <v>0</v>
      </c>
      <c r="H919" s="27">
        <f>IF(OR($C919="",$D919=""),"",$C919*$D919)</f>
        <v>0</v>
      </c>
    </row>
    <row r="920" spans="1:8">
      <c r="A920" s="25"/>
      <c r="B920" s="13"/>
      <c r="C920" s="20"/>
      <c r="D920" s="19"/>
      <c r="E920" s="13"/>
      <c r="F920" s="13"/>
      <c r="G920" s="26">
        <f>IF($B920="","",IFERROR(INDEX(PecDesc,MATCH($B920,PecCod,0)),"Peça não cadastrada"))</f>
        <v>0</v>
      </c>
      <c r="H920" s="27">
        <f>IF(OR($C920="",$D920=""),"",$C920*$D920)</f>
        <v>0</v>
      </c>
    </row>
    <row r="921" spans="1:8">
      <c r="A921" s="25"/>
      <c r="B921" s="13"/>
      <c r="C921" s="20"/>
      <c r="D921" s="19"/>
      <c r="E921" s="13"/>
      <c r="F921" s="13"/>
      <c r="G921" s="26">
        <f>IF($B921="","",IFERROR(INDEX(PecDesc,MATCH($B921,PecCod,0)),"Peça não cadastrada"))</f>
        <v>0</v>
      </c>
      <c r="H921" s="27">
        <f>IF(OR($C921="",$D921=""),"",$C921*$D921)</f>
        <v>0</v>
      </c>
    </row>
    <row r="922" spans="1:8">
      <c r="A922" s="25"/>
      <c r="B922" s="13"/>
      <c r="C922" s="20"/>
      <c r="D922" s="19"/>
      <c r="E922" s="13"/>
      <c r="F922" s="13"/>
      <c r="G922" s="26">
        <f>IF($B922="","",IFERROR(INDEX(PecDesc,MATCH($B922,PecCod,0)),"Peça não cadastrada"))</f>
        <v>0</v>
      </c>
      <c r="H922" s="27">
        <f>IF(OR($C922="",$D922=""),"",$C922*$D922)</f>
        <v>0</v>
      </c>
    </row>
    <row r="923" spans="1:8">
      <c r="A923" s="25"/>
      <c r="B923" s="13"/>
      <c r="C923" s="20"/>
      <c r="D923" s="19"/>
      <c r="E923" s="13"/>
      <c r="F923" s="13"/>
      <c r="G923" s="26">
        <f>IF($B923="","",IFERROR(INDEX(PecDesc,MATCH($B923,PecCod,0)),"Peça não cadastrada"))</f>
        <v>0</v>
      </c>
      <c r="H923" s="27">
        <f>IF(OR($C923="",$D923=""),"",$C923*$D923)</f>
        <v>0</v>
      </c>
    </row>
    <row r="924" spans="1:8">
      <c r="A924" s="25"/>
      <c r="B924" s="13"/>
      <c r="C924" s="20"/>
      <c r="D924" s="19"/>
      <c r="E924" s="13"/>
      <c r="F924" s="13"/>
      <c r="G924" s="26">
        <f>IF($B924="","",IFERROR(INDEX(PecDesc,MATCH($B924,PecCod,0)),"Peça não cadastrada"))</f>
        <v>0</v>
      </c>
      <c r="H924" s="27">
        <f>IF(OR($C924="",$D924=""),"",$C924*$D924)</f>
        <v>0</v>
      </c>
    </row>
    <row r="925" spans="1:8">
      <c r="A925" s="25"/>
      <c r="B925" s="13"/>
      <c r="C925" s="20"/>
      <c r="D925" s="19"/>
      <c r="E925" s="13"/>
      <c r="F925" s="13"/>
      <c r="G925" s="26">
        <f>IF($B925="","",IFERROR(INDEX(PecDesc,MATCH($B925,PecCod,0)),"Peça não cadastrada"))</f>
        <v>0</v>
      </c>
      <c r="H925" s="27">
        <f>IF(OR($C925="",$D925=""),"",$C925*$D925)</f>
        <v>0</v>
      </c>
    </row>
    <row r="926" spans="1:8">
      <c r="A926" s="25"/>
      <c r="B926" s="13"/>
      <c r="C926" s="20"/>
      <c r="D926" s="19"/>
      <c r="E926" s="13"/>
      <c r="F926" s="13"/>
      <c r="G926" s="26">
        <f>IF($B926="","",IFERROR(INDEX(PecDesc,MATCH($B926,PecCod,0)),"Peça não cadastrada"))</f>
        <v>0</v>
      </c>
      <c r="H926" s="27">
        <f>IF(OR($C926="",$D926=""),"",$C926*$D926)</f>
        <v>0</v>
      </c>
    </row>
    <row r="927" spans="1:8">
      <c r="A927" s="25"/>
      <c r="B927" s="13"/>
      <c r="C927" s="20"/>
      <c r="D927" s="19"/>
      <c r="E927" s="13"/>
      <c r="F927" s="13"/>
      <c r="G927" s="26">
        <f>IF($B927="","",IFERROR(INDEX(PecDesc,MATCH($B927,PecCod,0)),"Peça não cadastrada"))</f>
        <v>0</v>
      </c>
      <c r="H927" s="27">
        <f>IF(OR($C927="",$D927=""),"",$C927*$D927)</f>
        <v>0</v>
      </c>
    </row>
    <row r="928" spans="1:8">
      <c r="A928" s="25"/>
      <c r="B928" s="13"/>
      <c r="C928" s="20"/>
      <c r="D928" s="19"/>
      <c r="E928" s="13"/>
      <c r="F928" s="13"/>
      <c r="G928" s="26">
        <f>IF($B928="","",IFERROR(INDEX(PecDesc,MATCH($B928,PecCod,0)),"Peça não cadastrada"))</f>
        <v>0</v>
      </c>
      <c r="H928" s="27">
        <f>IF(OR($C928="",$D928=""),"",$C928*$D928)</f>
        <v>0</v>
      </c>
    </row>
    <row r="929" spans="1:8">
      <c r="A929" s="25"/>
      <c r="B929" s="13"/>
      <c r="C929" s="20"/>
      <c r="D929" s="19"/>
      <c r="E929" s="13"/>
      <c r="F929" s="13"/>
      <c r="G929" s="26">
        <f>IF($B929="","",IFERROR(INDEX(PecDesc,MATCH($B929,PecCod,0)),"Peça não cadastrada"))</f>
        <v>0</v>
      </c>
      <c r="H929" s="27">
        <f>IF(OR($C929="",$D929=""),"",$C929*$D929)</f>
        <v>0</v>
      </c>
    </row>
    <row r="930" spans="1:8">
      <c r="A930" s="25"/>
      <c r="B930" s="13"/>
      <c r="C930" s="20"/>
      <c r="D930" s="19"/>
      <c r="E930" s="13"/>
      <c r="F930" s="13"/>
      <c r="G930" s="26">
        <f>IF($B930="","",IFERROR(INDEX(PecDesc,MATCH($B930,PecCod,0)),"Peça não cadastrada"))</f>
        <v>0</v>
      </c>
      <c r="H930" s="27">
        <f>IF(OR($C930="",$D930=""),"",$C930*$D930)</f>
        <v>0</v>
      </c>
    </row>
    <row r="931" spans="1:8">
      <c r="A931" s="25"/>
      <c r="B931" s="13"/>
      <c r="C931" s="20"/>
      <c r="D931" s="19"/>
      <c r="E931" s="13"/>
      <c r="F931" s="13"/>
      <c r="G931" s="26">
        <f>IF($B931="","",IFERROR(INDEX(PecDesc,MATCH($B931,PecCod,0)),"Peça não cadastrada"))</f>
        <v>0</v>
      </c>
      <c r="H931" s="27">
        <f>IF(OR($C931="",$D931=""),"",$C931*$D931)</f>
        <v>0</v>
      </c>
    </row>
    <row r="932" spans="1:8">
      <c r="A932" s="25"/>
      <c r="B932" s="13"/>
      <c r="C932" s="20"/>
      <c r="D932" s="19"/>
      <c r="E932" s="13"/>
      <c r="F932" s="13"/>
      <c r="G932" s="26">
        <f>IF($B932="","",IFERROR(INDEX(PecDesc,MATCH($B932,PecCod,0)),"Peça não cadastrada"))</f>
        <v>0</v>
      </c>
      <c r="H932" s="27">
        <f>IF(OR($C932="",$D932=""),"",$C932*$D932)</f>
        <v>0</v>
      </c>
    </row>
    <row r="933" spans="1:8">
      <c r="A933" s="25"/>
      <c r="B933" s="13"/>
      <c r="C933" s="20"/>
      <c r="D933" s="19"/>
      <c r="E933" s="13"/>
      <c r="F933" s="13"/>
      <c r="G933" s="26">
        <f>IF($B933="","",IFERROR(INDEX(PecDesc,MATCH($B933,PecCod,0)),"Peça não cadastrada"))</f>
        <v>0</v>
      </c>
      <c r="H933" s="27">
        <f>IF(OR($C933="",$D933=""),"",$C933*$D933)</f>
        <v>0</v>
      </c>
    </row>
    <row r="934" spans="1:8">
      <c r="A934" s="25"/>
      <c r="B934" s="13"/>
      <c r="C934" s="20"/>
      <c r="D934" s="19"/>
      <c r="E934" s="13"/>
      <c r="F934" s="13"/>
      <c r="G934" s="26">
        <f>IF($B934="","",IFERROR(INDEX(PecDesc,MATCH($B934,PecCod,0)),"Peça não cadastrada"))</f>
        <v>0</v>
      </c>
      <c r="H934" s="27">
        <f>IF(OR($C934="",$D934=""),"",$C934*$D934)</f>
        <v>0</v>
      </c>
    </row>
    <row r="935" spans="1:8">
      <c r="A935" s="25"/>
      <c r="B935" s="13"/>
      <c r="C935" s="20"/>
      <c r="D935" s="19"/>
      <c r="E935" s="13"/>
      <c r="F935" s="13"/>
      <c r="G935" s="26">
        <f>IF($B935="","",IFERROR(INDEX(PecDesc,MATCH($B935,PecCod,0)),"Peça não cadastrada"))</f>
        <v>0</v>
      </c>
      <c r="H935" s="27">
        <f>IF(OR($C935="",$D935=""),"",$C935*$D935)</f>
        <v>0</v>
      </c>
    </row>
    <row r="936" spans="1:8">
      <c r="A936" s="25"/>
      <c r="B936" s="13"/>
      <c r="C936" s="20"/>
      <c r="D936" s="19"/>
      <c r="E936" s="13"/>
      <c r="F936" s="13"/>
      <c r="G936" s="26">
        <f>IF($B936="","",IFERROR(INDEX(PecDesc,MATCH($B936,PecCod,0)),"Peça não cadastrada"))</f>
        <v>0</v>
      </c>
      <c r="H936" s="27">
        <f>IF(OR($C936="",$D936=""),"",$C936*$D936)</f>
        <v>0</v>
      </c>
    </row>
    <row r="937" spans="1:8">
      <c r="A937" s="25"/>
      <c r="B937" s="13"/>
      <c r="C937" s="20"/>
      <c r="D937" s="19"/>
      <c r="E937" s="13"/>
      <c r="F937" s="13"/>
      <c r="G937" s="26">
        <f>IF($B937="","",IFERROR(INDEX(PecDesc,MATCH($B937,PecCod,0)),"Peça não cadastrada"))</f>
        <v>0</v>
      </c>
      <c r="H937" s="27">
        <f>IF(OR($C937="",$D937=""),"",$C937*$D937)</f>
        <v>0</v>
      </c>
    </row>
    <row r="938" spans="1:8">
      <c r="A938" s="25"/>
      <c r="B938" s="13"/>
      <c r="C938" s="20"/>
      <c r="D938" s="19"/>
      <c r="E938" s="13"/>
      <c r="F938" s="13"/>
      <c r="G938" s="26">
        <f>IF($B938="","",IFERROR(INDEX(PecDesc,MATCH($B938,PecCod,0)),"Peça não cadastrada"))</f>
        <v>0</v>
      </c>
      <c r="H938" s="27">
        <f>IF(OR($C938="",$D938=""),"",$C938*$D938)</f>
        <v>0</v>
      </c>
    </row>
    <row r="939" spans="1:8">
      <c r="A939" s="25"/>
      <c r="B939" s="13"/>
      <c r="C939" s="20"/>
      <c r="D939" s="19"/>
      <c r="E939" s="13"/>
      <c r="F939" s="13"/>
      <c r="G939" s="26">
        <f>IF($B939="","",IFERROR(INDEX(PecDesc,MATCH($B939,PecCod,0)),"Peça não cadastrada"))</f>
        <v>0</v>
      </c>
      <c r="H939" s="27">
        <f>IF(OR($C939="",$D939=""),"",$C939*$D939)</f>
        <v>0</v>
      </c>
    </row>
    <row r="940" spans="1:8">
      <c r="A940" s="25"/>
      <c r="B940" s="13"/>
      <c r="C940" s="20"/>
      <c r="D940" s="19"/>
      <c r="E940" s="13"/>
      <c r="F940" s="13"/>
      <c r="G940" s="26">
        <f>IF($B940="","",IFERROR(INDEX(PecDesc,MATCH($B940,PecCod,0)),"Peça não cadastrada"))</f>
        <v>0</v>
      </c>
      <c r="H940" s="27">
        <f>IF(OR($C940="",$D940=""),"",$C940*$D940)</f>
        <v>0</v>
      </c>
    </row>
    <row r="941" spans="1:8">
      <c r="A941" s="25"/>
      <c r="B941" s="13"/>
      <c r="C941" s="20"/>
      <c r="D941" s="19"/>
      <c r="E941" s="13"/>
      <c r="F941" s="13"/>
      <c r="G941" s="26">
        <f>IF($B941="","",IFERROR(INDEX(PecDesc,MATCH($B941,PecCod,0)),"Peça não cadastrada"))</f>
        <v>0</v>
      </c>
      <c r="H941" s="27">
        <f>IF(OR($C941="",$D941=""),"",$C941*$D941)</f>
        <v>0</v>
      </c>
    </row>
    <row r="942" spans="1:8">
      <c r="A942" s="25"/>
      <c r="B942" s="13"/>
      <c r="C942" s="20"/>
      <c r="D942" s="19"/>
      <c r="E942" s="13"/>
      <c r="F942" s="13"/>
      <c r="G942" s="26">
        <f>IF($B942="","",IFERROR(INDEX(PecDesc,MATCH($B942,PecCod,0)),"Peça não cadastrada"))</f>
        <v>0</v>
      </c>
      <c r="H942" s="27">
        <f>IF(OR($C942="",$D942=""),"",$C942*$D942)</f>
        <v>0</v>
      </c>
    </row>
    <row r="943" spans="1:8">
      <c r="A943" s="25"/>
      <c r="B943" s="13"/>
      <c r="C943" s="20"/>
      <c r="D943" s="19"/>
      <c r="E943" s="13"/>
      <c r="F943" s="13"/>
      <c r="G943" s="26">
        <f>IF($B943="","",IFERROR(INDEX(PecDesc,MATCH($B943,PecCod,0)),"Peça não cadastrada"))</f>
        <v>0</v>
      </c>
      <c r="H943" s="27">
        <f>IF(OR($C943="",$D943=""),"",$C943*$D943)</f>
        <v>0</v>
      </c>
    </row>
    <row r="944" spans="1:8">
      <c r="A944" s="25"/>
      <c r="B944" s="13"/>
      <c r="C944" s="20"/>
      <c r="D944" s="19"/>
      <c r="E944" s="13"/>
      <c r="F944" s="13"/>
      <c r="G944" s="26">
        <f>IF($B944="","",IFERROR(INDEX(PecDesc,MATCH($B944,PecCod,0)),"Peça não cadastrada"))</f>
        <v>0</v>
      </c>
      <c r="H944" s="27">
        <f>IF(OR($C944="",$D944=""),"",$C944*$D944)</f>
        <v>0</v>
      </c>
    </row>
    <row r="945" spans="1:8">
      <c r="A945" s="25"/>
      <c r="B945" s="13"/>
      <c r="C945" s="20"/>
      <c r="D945" s="19"/>
      <c r="E945" s="13"/>
      <c r="F945" s="13"/>
      <c r="G945" s="26">
        <f>IF($B945="","",IFERROR(INDEX(PecDesc,MATCH($B945,PecCod,0)),"Peça não cadastrada"))</f>
        <v>0</v>
      </c>
      <c r="H945" s="27">
        <f>IF(OR($C945="",$D945=""),"",$C945*$D945)</f>
        <v>0</v>
      </c>
    </row>
    <row r="946" spans="1:8">
      <c r="A946" s="25"/>
      <c r="B946" s="13"/>
      <c r="C946" s="20"/>
      <c r="D946" s="19"/>
      <c r="E946" s="13"/>
      <c r="F946" s="13"/>
      <c r="G946" s="26">
        <f>IF($B946="","",IFERROR(INDEX(PecDesc,MATCH($B946,PecCod,0)),"Peça não cadastrada"))</f>
        <v>0</v>
      </c>
      <c r="H946" s="27">
        <f>IF(OR($C946="",$D946=""),"",$C946*$D946)</f>
        <v>0</v>
      </c>
    </row>
    <row r="947" spans="1:8">
      <c r="A947" s="25"/>
      <c r="B947" s="13"/>
      <c r="C947" s="20"/>
      <c r="D947" s="19"/>
      <c r="E947" s="13"/>
      <c r="F947" s="13"/>
      <c r="G947" s="26">
        <f>IF($B947="","",IFERROR(INDEX(PecDesc,MATCH($B947,PecCod,0)),"Peça não cadastrada"))</f>
        <v>0</v>
      </c>
      <c r="H947" s="27">
        <f>IF(OR($C947="",$D947=""),"",$C947*$D947)</f>
        <v>0</v>
      </c>
    </row>
    <row r="948" spans="1:8">
      <c r="A948" s="25"/>
      <c r="B948" s="13"/>
      <c r="C948" s="20"/>
      <c r="D948" s="19"/>
      <c r="E948" s="13"/>
      <c r="F948" s="13"/>
      <c r="G948" s="26">
        <f>IF($B948="","",IFERROR(INDEX(PecDesc,MATCH($B948,PecCod,0)),"Peça não cadastrada"))</f>
        <v>0</v>
      </c>
      <c r="H948" s="27">
        <f>IF(OR($C948="",$D948=""),"",$C948*$D948)</f>
        <v>0</v>
      </c>
    </row>
    <row r="949" spans="1:8">
      <c r="A949" s="25"/>
      <c r="B949" s="13"/>
      <c r="C949" s="20"/>
      <c r="D949" s="19"/>
      <c r="E949" s="13"/>
      <c r="F949" s="13"/>
      <c r="G949" s="26">
        <f>IF($B949="","",IFERROR(INDEX(PecDesc,MATCH($B949,PecCod,0)),"Peça não cadastrada"))</f>
        <v>0</v>
      </c>
      <c r="H949" s="27">
        <f>IF(OR($C949="",$D949=""),"",$C949*$D949)</f>
        <v>0</v>
      </c>
    </row>
    <row r="950" spans="1:8">
      <c r="A950" s="25"/>
      <c r="B950" s="13"/>
      <c r="C950" s="20"/>
      <c r="D950" s="19"/>
      <c r="E950" s="13"/>
      <c r="F950" s="13"/>
      <c r="G950" s="26">
        <f>IF($B950="","",IFERROR(INDEX(PecDesc,MATCH($B950,PecCod,0)),"Peça não cadastrada"))</f>
        <v>0</v>
      </c>
      <c r="H950" s="27">
        <f>IF(OR($C950="",$D950=""),"",$C950*$D950)</f>
        <v>0</v>
      </c>
    </row>
    <row r="951" spans="1:8">
      <c r="A951" s="25"/>
      <c r="B951" s="13"/>
      <c r="C951" s="20"/>
      <c r="D951" s="19"/>
      <c r="E951" s="13"/>
      <c r="F951" s="13"/>
      <c r="G951" s="26">
        <f>IF($B951="","",IFERROR(INDEX(PecDesc,MATCH($B951,PecCod,0)),"Peça não cadastrada"))</f>
        <v>0</v>
      </c>
      <c r="H951" s="27">
        <f>IF(OR($C951="",$D951=""),"",$C951*$D951)</f>
        <v>0</v>
      </c>
    </row>
    <row r="952" spans="1:8">
      <c r="A952" s="25"/>
      <c r="B952" s="13"/>
      <c r="C952" s="20"/>
      <c r="D952" s="19"/>
      <c r="E952" s="13"/>
      <c r="F952" s="13"/>
      <c r="G952" s="26">
        <f>IF($B952="","",IFERROR(INDEX(PecDesc,MATCH($B952,PecCod,0)),"Peça não cadastrada"))</f>
        <v>0</v>
      </c>
      <c r="H952" s="27">
        <f>IF(OR($C952="",$D952=""),"",$C952*$D952)</f>
        <v>0</v>
      </c>
    </row>
    <row r="953" spans="1:8">
      <c r="A953" s="25"/>
      <c r="B953" s="13"/>
      <c r="C953" s="20"/>
      <c r="D953" s="19"/>
      <c r="E953" s="13"/>
      <c r="F953" s="13"/>
      <c r="G953" s="26">
        <f>IF($B953="","",IFERROR(INDEX(PecDesc,MATCH($B953,PecCod,0)),"Peça não cadastrada"))</f>
        <v>0</v>
      </c>
      <c r="H953" s="27">
        <f>IF(OR($C953="",$D953=""),"",$C953*$D953)</f>
        <v>0</v>
      </c>
    </row>
    <row r="954" spans="1:8">
      <c r="A954" s="25"/>
      <c r="B954" s="13"/>
      <c r="C954" s="20"/>
      <c r="D954" s="19"/>
      <c r="E954" s="13"/>
      <c r="F954" s="13"/>
      <c r="G954" s="26">
        <f>IF($B954="","",IFERROR(INDEX(PecDesc,MATCH($B954,PecCod,0)),"Peça não cadastrada"))</f>
        <v>0</v>
      </c>
      <c r="H954" s="27">
        <f>IF(OR($C954="",$D954=""),"",$C954*$D954)</f>
        <v>0</v>
      </c>
    </row>
    <row r="955" spans="1:8">
      <c r="A955" s="25"/>
      <c r="B955" s="13"/>
      <c r="C955" s="20"/>
      <c r="D955" s="19"/>
      <c r="E955" s="13"/>
      <c r="F955" s="13"/>
      <c r="G955" s="26">
        <f>IF($B955="","",IFERROR(INDEX(PecDesc,MATCH($B955,PecCod,0)),"Peça não cadastrada"))</f>
        <v>0</v>
      </c>
      <c r="H955" s="27">
        <f>IF(OR($C955="",$D955=""),"",$C955*$D955)</f>
        <v>0</v>
      </c>
    </row>
    <row r="956" spans="1:8">
      <c r="A956" s="25"/>
      <c r="B956" s="13"/>
      <c r="C956" s="20"/>
      <c r="D956" s="19"/>
      <c r="E956" s="13"/>
      <c r="F956" s="13"/>
      <c r="G956" s="26">
        <f>IF($B956="","",IFERROR(INDEX(PecDesc,MATCH($B956,PecCod,0)),"Peça não cadastrada"))</f>
        <v>0</v>
      </c>
      <c r="H956" s="27">
        <f>IF(OR($C956="",$D956=""),"",$C956*$D956)</f>
        <v>0</v>
      </c>
    </row>
    <row r="957" spans="1:8">
      <c r="A957" s="25"/>
      <c r="B957" s="13"/>
      <c r="C957" s="20"/>
      <c r="D957" s="19"/>
      <c r="E957" s="13"/>
      <c r="F957" s="13"/>
      <c r="G957" s="26">
        <f>IF($B957="","",IFERROR(INDEX(PecDesc,MATCH($B957,PecCod,0)),"Peça não cadastrada"))</f>
        <v>0</v>
      </c>
      <c r="H957" s="27">
        <f>IF(OR($C957="",$D957=""),"",$C957*$D957)</f>
        <v>0</v>
      </c>
    </row>
    <row r="958" spans="1:8">
      <c r="A958" s="25"/>
      <c r="B958" s="13"/>
      <c r="C958" s="20"/>
      <c r="D958" s="19"/>
      <c r="E958" s="13"/>
      <c r="F958" s="13"/>
      <c r="G958" s="26">
        <f>IF($B958="","",IFERROR(INDEX(PecDesc,MATCH($B958,PecCod,0)),"Peça não cadastrada"))</f>
        <v>0</v>
      </c>
      <c r="H958" s="27">
        <f>IF(OR($C958="",$D958=""),"",$C958*$D958)</f>
        <v>0</v>
      </c>
    </row>
    <row r="959" spans="1:8">
      <c r="A959" s="25"/>
      <c r="B959" s="13"/>
      <c r="C959" s="20"/>
      <c r="D959" s="19"/>
      <c r="E959" s="13"/>
      <c r="F959" s="13"/>
      <c r="G959" s="26">
        <f>IF($B959="","",IFERROR(INDEX(PecDesc,MATCH($B959,PecCod,0)),"Peça não cadastrada"))</f>
        <v>0</v>
      </c>
      <c r="H959" s="27">
        <f>IF(OR($C959="",$D959=""),"",$C959*$D959)</f>
        <v>0</v>
      </c>
    </row>
    <row r="960" spans="1:8">
      <c r="A960" s="25"/>
      <c r="B960" s="13"/>
      <c r="C960" s="20"/>
      <c r="D960" s="19"/>
      <c r="E960" s="13"/>
      <c r="F960" s="13"/>
      <c r="G960" s="26">
        <f>IF($B960="","",IFERROR(INDEX(PecDesc,MATCH($B960,PecCod,0)),"Peça não cadastrada"))</f>
        <v>0</v>
      </c>
      <c r="H960" s="27">
        <f>IF(OR($C960="",$D960=""),"",$C960*$D960)</f>
        <v>0</v>
      </c>
    </row>
    <row r="961" spans="1:8">
      <c r="A961" s="25"/>
      <c r="B961" s="13"/>
      <c r="C961" s="20"/>
      <c r="D961" s="19"/>
      <c r="E961" s="13"/>
      <c r="F961" s="13"/>
      <c r="G961" s="26">
        <f>IF($B961="","",IFERROR(INDEX(PecDesc,MATCH($B961,PecCod,0)),"Peça não cadastrada"))</f>
        <v>0</v>
      </c>
      <c r="H961" s="27">
        <f>IF(OR($C961="",$D961=""),"",$C961*$D961)</f>
        <v>0</v>
      </c>
    </row>
    <row r="962" spans="1:8">
      <c r="A962" s="25"/>
      <c r="B962" s="13"/>
      <c r="C962" s="20"/>
      <c r="D962" s="19"/>
      <c r="E962" s="13"/>
      <c r="F962" s="13"/>
      <c r="G962" s="26">
        <f>IF($B962="","",IFERROR(INDEX(PecDesc,MATCH($B962,PecCod,0)),"Peça não cadastrada"))</f>
        <v>0</v>
      </c>
      <c r="H962" s="27">
        <f>IF(OR($C962="",$D962=""),"",$C962*$D962)</f>
        <v>0</v>
      </c>
    </row>
    <row r="963" spans="1:8">
      <c r="A963" s="25"/>
      <c r="B963" s="13"/>
      <c r="C963" s="20"/>
      <c r="D963" s="19"/>
      <c r="E963" s="13"/>
      <c r="F963" s="13"/>
      <c r="G963" s="26">
        <f>IF($B963="","",IFERROR(INDEX(PecDesc,MATCH($B963,PecCod,0)),"Peça não cadastrada"))</f>
        <v>0</v>
      </c>
      <c r="H963" s="27">
        <f>IF(OR($C963="",$D963=""),"",$C963*$D963)</f>
        <v>0</v>
      </c>
    </row>
    <row r="964" spans="1:8">
      <c r="A964" s="25"/>
      <c r="B964" s="13"/>
      <c r="C964" s="20"/>
      <c r="D964" s="19"/>
      <c r="E964" s="13"/>
      <c r="F964" s="13"/>
      <c r="G964" s="26">
        <f>IF($B964="","",IFERROR(INDEX(PecDesc,MATCH($B964,PecCod,0)),"Peça não cadastrada"))</f>
        <v>0</v>
      </c>
      <c r="H964" s="27">
        <f>IF(OR($C964="",$D964=""),"",$C964*$D964)</f>
        <v>0</v>
      </c>
    </row>
    <row r="965" spans="1:8">
      <c r="A965" s="25"/>
      <c r="B965" s="13"/>
      <c r="C965" s="20"/>
      <c r="D965" s="19"/>
      <c r="E965" s="13"/>
      <c r="F965" s="13"/>
      <c r="G965" s="26">
        <f>IF($B965="","",IFERROR(INDEX(PecDesc,MATCH($B965,PecCod,0)),"Peça não cadastrada"))</f>
        <v>0</v>
      </c>
      <c r="H965" s="27">
        <f>IF(OR($C965="",$D965=""),"",$C965*$D965)</f>
        <v>0</v>
      </c>
    </row>
    <row r="966" spans="1:8">
      <c r="A966" s="25"/>
      <c r="B966" s="13"/>
      <c r="C966" s="20"/>
      <c r="D966" s="19"/>
      <c r="E966" s="13"/>
      <c r="F966" s="13"/>
      <c r="G966" s="26">
        <f>IF($B966="","",IFERROR(INDEX(PecDesc,MATCH($B966,PecCod,0)),"Peça não cadastrada"))</f>
        <v>0</v>
      </c>
      <c r="H966" s="27">
        <f>IF(OR($C966="",$D966=""),"",$C966*$D966)</f>
        <v>0</v>
      </c>
    </row>
    <row r="967" spans="1:8">
      <c r="A967" s="25"/>
      <c r="B967" s="13"/>
      <c r="C967" s="20"/>
      <c r="D967" s="19"/>
      <c r="E967" s="13"/>
      <c r="F967" s="13"/>
      <c r="G967" s="26">
        <f>IF($B967="","",IFERROR(INDEX(PecDesc,MATCH($B967,PecCod,0)),"Peça não cadastrada"))</f>
        <v>0</v>
      </c>
      <c r="H967" s="27">
        <f>IF(OR($C967="",$D967=""),"",$C967*$D967)</f>
        <v>0</v>
      </c>
    </row>
    <row r="968" spans="1:8">
      <c r="A968" s="25"/>
      <c r="B968" s="13"/>
      <c r="C968" s="20"/>
      <c r="D968" s="19"/>
      <c r="E968" s="13"/>
      <c r="F968" s="13"/>
      <c r="G968" s="26">
        <f>IF($B968="","",IFERROR(INDEX(PecDesc,MATCH($B968,PecCod,0)),"Peça não cadastrada"))</f>
        <v>0</v>
      </c>
      <c r="H968" s="27">
        <f>IF(OR($C968="",$D968=""),"",$C968*$D968)</f>
        <v>0</v>
      </c>
    </row>
    <row r="969" spans="1:8">
      <c r="A969" s="25"/>
      <c r="B969" s="13"/>
      <c r="C969" s="20"/>
      <c r="D969" s="19"/>
      <c r="E969" s="13"/>
      <c r="F969" s="13"/>
      <c r="G969" s="26">
        <f>IF($B969="","",IFERROR(INDEX(PecDesc,MATCH($B969,PecCod,0)),"Peça não cadastrada"))</f>
        <v>0</v>
      </c>
      <c r="H969" s="27">
        <f>IF(OR($C969="",$D969=""),"",$C969*$D969)</f>
        <v>0</v>
      </c>
    </row>
    <row r="970" spans="1:8">
      <c r="A970" s="25"/>
      <c r="B970" s="13"/>
      <c r="C970" s="20"/>
      <c r="D970" s="19"/>
      <c r="E970" s="13"/>
      <c r="F970" s="13"/>
      <c r="G970" s="26">
        <f>IF($B970="","",IFERROR(INDEX(PecDesc,MATCH($B970,PecCod,0)),"Peça não cadastrada"))</f>
        <v>0</v>
      </c>
      <c r="H970" s="27">
        <f>IF(OR($C970="",$D970=""),"",$C970*$D970)</f>
        <v>0</v>
      </c>
    </row>
    <row r="971" spans="1:8">
      <c r="A971" s="25"/>
      <c r="B971" s="13"/>
      <c r="C971" s="20"/>
      <c r="D971" s="19"/>
      <c r="E971" s="13"/>
      <c r="F971" s="13"/>
      <c r="G971" s="26">
        <f>IF($B971="","",IFERROR(INDEX(PecDesc,MATCH($B971,PecCod,0)),"Peça não cadastrada"))</f>
        <v>0</v>
      </c>
      <c r="H971" s="27">
        <f>IF(OR($C971="",$D971=""),"",$C971*$D971)</f>
        <v>0</v>
      </c>
    </row>
    <row r="972" spans="1:8">
      <c r="A972" s="25"/>
      <c r="B972" s="13"/>
      <c r="C972" s="20"/>
      <c r="D972" s="19"/>
      <c r="E972" s="13"/>
      <c r="F972" s="13"/>
      <c r="G972" s="26">
        <f>IF($B972="","",IFERROR(INDEX(PecDesc,MATCH($B972,PecCod,0)),"Peça não cadastrada"))</f>
        <v>0</v>
      </c>
      <c r="H972" s="27">
        <f>IF(OR($C972="",$D972=""),"",$C972*$D972)</f>
        <v>0</v>
      </c>
    </row>
    <row r="973" spans="1:8">
      <c r="A973" s="25"/>
      <c r="B973" s="13"/>
      <c r="C973" s="20"/>
      <c r="D973" s="19"/>
      <c r="E973" s="13"/>
      <c r="F973" s="13"/>
      <c r="G973" s="26">
        <f>IF($B973="","",IFERROR(INDEX(PecDesc,MATCH($B973,PecCod,0)),"Peça não cadastrada"))</f>
        <v>0</v>
      </c>
      <c r="H973" s="27">
        <f>IF(OR($C973="",$D973=""),"",$C973*$D973)</f>
        <v>0</v>
      </c>
    </row>
    <row r="974" spans="1:8">
      <c r="A974" s="25"/>
      <c r="B974" s="13"/>
      <c r="C974" s="20"/>
      <c r="D974" s="19"/>
      <c r="E974" s="13"/>
      <c r="F974" s="13"/>
      <c r="G974" s="26">
        <f>IF($B974="","",IFERROR(INDEX(PecDesc,MATCH($B974,PecCod,0)),"Peça não cadastrada"))</f>
        <v>0</v>
      </c>
      <c r="H974" s="27">
        <f>IF(OR($C974="",$D974=""),"",$C974*$D974)</f>
        <v>0</v>
      </c>
    </row>
    <row r="975" spans="1:8">
      <c r="A975" s="25"/>
      <c r="B975" s="13"/>
      <c r="C975" s="20"/>
      <c r="D975" s="19"/>
      <c r="E975" s="13"/>
      <c r="F975" s="13"/>
      <c r="G975" s="26">
        <f>IF($B975="","",IFERROR(INDEX(PecDesc,MATCH($B975,PecCod,0)),"Peça não cadastrada"))</f>
        <v>0</v>
      </c>
      <c r="H975" s="27">
        <f>IF(OR($C975="",$D975=""),"",$C975*$D975)</f>
        <v>0</v>
      </c>
    </row>
    <row r="976" spans="1:8">
      <c r="A976" s="25"/>
      <c r="B976" s="13"/>
      <c r="C976" s="20"/>
      <c r="D976" s="19"/>
      <c r="E976" s="13"/>
      <c r="F976" s="13"/>
      <c r="G976" s="26">
        <f>IF($B976="","",IFERROR(INDEX(PecDesc,MATCH($B976,PecCod,0)),"Peça não cadastrada"))</f>
        <v>0</v>
      </c>
      <c r="H976" s="27">
        <f>IF(OR($C976="",$D976=""),"",$C976*$D976)</f>
        <v>0</v>
      </c>
    </row>
    <row r="977" spans="1:8">
      <c r="A977" s="25"/>
      <c r="B977" s="13"/>
      <c r="C977" s="20"/>
      <c r="D977" s="19"/>
      <c r="E977" s="13"/>
      <c r="F977" s="13"/>
      <c r="G977" s="26">
        <f>IF($B977="","",IFERROR(INDEX(PecDesc,MATCH($B977,PecCod,0)),"Peça não cadastrada"))</f>
        <v>0</v>
      </c>
      <c r="H977" s="27">
        <f>IF(OR($C977="",$D977=""),"",$C977*$D977)</f>
        <v>0</v>
      </c>
    </row>
    <row r="978" spans="1:8">
      <c r="A978" s="25"/>
      <c r="B978" s="13"/>
      <c r="C978" s="20"/>
      <c r="D978" s="19"/>
      <c r="E978" s="13"/>
      <c r="F978" s="13"/>
      <c r="G978" s="26">
        <f>IF($B978="","",IFERROR(INDEX(PecDesc,MATCH($B978,PecCod,0)),"Peça não cadastrada"))</f>
        <v>0</v>
      </c>
      <c r="H978" s="27">
        <f>IF(OR($C978="",$D978=""),"",$C978*$D978)</f>
        <v>0</v>
      </c>
    </row>
    <row r="979" spans="1:8">
      <c r="A979" s="25"/>
      <c r="B979" s="13"/>
      <c r="C979" s="20"/>
      <c r="D979" s="19"/>
      <c r="E979" s="13"/>
      <c r="F979" s="13"/>
      <c r="G979" s="26">
        <f>IF($B979="","",IFERROR(INDEX(PecDesc,MATCH($B979,PecCod,0)),"Peça não cadastrada"))</f>
        <v>0</v>
      </c>
      <c r="H979" s="27">
        <f>IF(OR($C979="",$D979=""),"",$C979*$D979)</f>
        <v>0</v>
      </c>
    </row>
    <row r="980" spans="1:8">
      <c r="A980" s="25"/>
      <c r="B980" s="13"/>
      <c r="C980" s="20"/>
      <c r="D980" s="19"/>
      <c r="E980" s="13"/>
      <c r="F980" s="13"/>
      <c r="G980" s="26">
        <f>IF($B980="","",IFERROR(INDEX(PecDesc,MATCH($B980,PecCod,0)),"Peça não cadastrada"))</f>
        <v>0</v>
      </c>
      <c r="H980" s="27">
        <f>IF(OR($C980="",$D980=""),"",$C980*$D980)</f>
        <v>0</v>
      </c>
    </row>
    <row r="981" spans="1:8">
      <c r="A981" s="25"/>
      <c r="B981" s="13"/>
      <c r="C981" s="20"/>
      <c r="D981" s="19"/>
      <c r="E981" s="13"/>
      <c r="F981" s="13"/>
      <c r="G981" s="26">
        <f>IF($B981="","",IFERROR(INDEX(PecDesc,MATCH($B981,PecCod,0)),"Peça não cadastrada"))</f>
        <v>0</v>
      </c>
      <c r="H981" s="27">
        <f>IF(OR($C981="",$D981=""),"",$C981*$D981)</f>
        <v>0</v>
      </c>
    </row>
    <row r="982" spans="1:8">
      <c r="A982" s="25"/>
      <c r="B982" s="13"/>
      <c r="C982" s="20"/>
      <c r="D982" s="19"/>
      <c r="E982" s="13"/>
      <c r="F982" s="13"/>
      <c r="G982" s="26">
        <f>IF($B982="","",IFERROR(INDEX(PecDesc,MATCH($B982,PecCod,0)),"Peça não cadastrada"))</f>
        <v>0</v>
      </c>
      <c r="H982" s="27">
        <f>IF(OR($C982="",$D982=""),"",$C982*$D982)</f>
        <v>0</v>
      </c>
    </row>
    <row r="983" spans="1:8">
      <c r="A983" s="25"/>
      <c r="B983" s="13"/>
      <c r="C983" s="20"/>
      <c r="D983" s="19"/>
      <c r="E983" s="13"/>
      <c r="F983" s="13"/>
      <c r="G983" s="26">
        <f>IF($B983="","",IFERROR(INDEX(PecDesc,MATCH($B983,PecCod,0)),"Peça não cadastrada"))</f>
        <v>0</v>
      </c>
      <c r="H983" s="27">
        <f>IF(OR($C983="",$D983=""),"",$C983*$D983)</f>
        <v>0</v>
      </c>
    </row>
    <row r="984" spans="1:8">
      <c r="A984" s="25"/>
      <c r="B984" s="13"/>
      <c r="C984" s="20"/>
      <c r="D984" s="19"/>
      <c r="E984" s="13"/>
      <c r="F984" s="13"/>
      <c r="G984" s="26">
        <f>IF($B984="","",IFERROR(INDEX(PecDesc,MATCH($B984,PecCod,0)),"Peça não cadastrada"))</f>
        <v>0</v>
      </c>
      <c r="H984" s="27">
        <f>IF(OR($C984="",$D984=""),"",$C984*$D984)</f>
        <v>0</v>
      </c>
    </row>
    <row r="985" spans="1:8">
      <c r="A985" s="25"/>
      <c r="B985" s="13"/>
      <c r="C985" s="20"/>
      <c r="D985" s="19"/>
      <c r="E985" s="13"/>
      <c r="F985" s="13"/>
      <c r="G985" s="26">
        <f>IF($B985="","",IFERROR(INDEX(PecDesc,MATCH($B985,PecCod,0)),"Peça não cadastrada"))</f>
        <v>0</v>
      </c>
      <c r="H985" s="27">
        <f>IF(OR($C985="",$D985=""),"",$C985*$D985)</f>
        <v>0</v>
      </c>
    </row>
    <row r="986" spans="1:8">
      <c r="A986" s="25"/>
      <c r="B986" s="13"/>
      <c r="C986" s="20"/>
      <c r="D986" s="19"/>
      <c r="E986" s="13"/>
      <c r="F986" s="13"/>
      <c r="G986" s="26">
        <f>IF($B986="","",IFERROR(INDEX(PecDesc,MATCH($B986,PecCod,0)),"Peça não cadastrada"))</f>
        <v>0</v>
      </c>
      <c r="H986" s="27">
        <f>IF(OR($C986="",$D986=""),"",$C986*$D986)</f>
        <v>0</v>
      </c>
    </row>
    <row r="987" spans="1:8">
      <c r="A987" s="25"/>
      <c r="B987" s="13"/>
      <c r="C987" s="20"/>
      <c r="D987" s="19"/>
      <c r="E987" s="13"/>
      <c r="F987" s="13"/>
      <c r="G987" s="26">
        <f>IF($B987="","",IFERROR(INDEX(PecDesc,MATCH($B987,PecCod,0)),"Peça não cadastrada"))</f>
        <v>0</v>
      </c>
      <c r="H987" s="27">
        <f>IF(OR($C987="",$D987=""),"",$C987*$D987)</f>
        <v>0</v>
      </c>
    </row>
    <row r="988" spans="1:8">
      <c r="A988" s="25"/>
      <c r="B988" s="13"/>
      <c r="C988" s="20"/>
      <c r="D988" s="19"/>
      <c r="E988" s="13"/>
      <c r="F988" s="13"/>
      <c r="G988" s="26">
        <f>IF($B988="","",IFERROR(INDEX(PecDesc,MATCH($B988,PecCod,0)),"Peça não cadastrada"))</f>
        <v>0</v>
      </c>
      <c r="H988" s="27">
        <f>IF(OR($C988="",$D988=""),"",$C988*$D988)</f>
        <v>0</v>
      </c>
    </row>
    <row r="989" spans="1:8">
      <c r="A989" s="25"/>
      <c r="B989" s="13"/>
      <c r="C989" s="20"/>
      <c r="D989" s="19"/>
      <c r="E989" s="13"/>
      <c r="F989" s="13"/>
      <c r="G989" s="26">
        <f>IF($B989="","",IFERROR(INDEX(PecDesc,MATCH($B989,PecCod,0)),"Peça não cadastrada"))</f>
        <v>0</v>
      </c>
      <c r="H989" s="27">
        <f>IF(OR($C989="",$D989=""),"",$C989*$D989)</f>
        <v>0</v>
      </c>
    </row>
    <row r="990" spans="1:8">
      <c r="A990" s="25"/>
      <c r="B990" s="13"/>
      <c r="C990" s="20"/>
      <c r="D990" s="19"/>
      <c r="E990" s="13"/>
      <c r="F990" s="13"/>
      <c r="G990" s="26">
        <f>IF($B990="","",IFERROR(INDEX(PecDesc,MATCH($B990,PecCod,0)),"Peça não cadastrada"))</f>
        <v>0</v>
      </c>
      <c r="H990" s="27">
        <f>IF(OR($C990="",$D990=""),"",$C990*$D990)</f>
        <v>0</v>
      </c>
    </row>
    <row r="991" spans="1:8">
      <c r="A991" s="25"/>
      <c r="B991" s="13"/>
      <c r="C991" s="20"/>
      <c r="D991" s="19"/>
      <c r="E991" s="13"/>
      <c r="F991" s="13"/>
      <c r="G991" s="26">
        <f>IF($B991="","",IFERROR(INDEX(PecDesc,MATCH($B991,PecCod,0)),"Peça não cadastrada"))</f>
        <v>0</v>
      </c>
      <c r="H991" s="27">
        <f>IF(OR($C991="",$D991=""),"",$C991*$D991)</f>
        <v>0</v>
      </c>
    </row>
    <row r="992" spans="1:8">
      <c r="A992" s="25"/>
      <c r="B992" s="13"/>
      <c r="C992" s="20"/>
      <c r="D992" s="19"/>
      <c r="E992" s="13"/>
      <c r="F992" s="13"/>
      <c r="G992" s="26">
        <f>IF($B992="","",IFERROR(INDEX(PecDesc,MATCH($B992,PecCod,0)),"Peça não cadastrada"))</f>
        <v>0</v>
      </c>
      <c r="H992" s="27">
        <f>IF(OR($C992="",$D992=""),"",$C992*$D992)</f>
        <v>0</v>
      </c>
    </row>
    <row r="993" spans="1:8">
      <c r="A993" s="25"/>
      <c r="B993" s="13"/>
      <c r="C993" s="20"/>
      <c r="D993" s="19"/>
      <c r="E993" s="13"/>
      <c r="F993" s="13"/>
      <c r="G993" s="26">
        <f>IF($B993="","",IFERROR(INDEX(PecDesc,MATCH($B993,PecCod,0)),"Peça não cadastrada"))</f>
        <v>0</v>
      </c>
      <c r="H993" s="27">
        <f>IF(OR($C993="",$D993=""),"",$C993*$D993)</f>
        <v>0</v>
      </c>
    </row>
    <row r="994" spans="1:8">
      <c r="A994" s="25"/>
      <c r="B994" s="13"/>
      <c r="C994" s="20"/>
      <c r="D994" s="19"/>
      <c r="E994" s="13"/>
      <c r="F994" s="13"/>
      <c r="G994" s="26">
        <f>IF($B994="","",IFERROR(INDEX(PecDesc,MATCH($B994,PecCod,0)),"Peça não cadastrada"))</f>
        <v>0</v>
      </c>
      <c r="H994" s="27">
        <f>IF(OR($C994="",$D994=""),"",$C994*$D994)</f>
        <v>0</v>
      </c>
    </row>
    <row r="995" spans="1:8">
      <c r="A995" s="25"/>
      <c r="B995" s="13"/>
      <c r="C995" s="20"/>
      <c r="D995" s="19"/>
      <c r="E995" s="13"/>
      <c r="F995" s="13"/>
      <c r="G995" s="26">
        <f>IF($B995="","",IFERROR(INDEX(PecDesc,MATCH($B995,PecCod,0)),"Peça não cadastrada"))</f>
        <v>0</v>
      </c>
      <c r="H995" s="27">
        <f>IF(OR($C995="",$D995=""),"",$C995*$D995)</f>
        <v>0</v>
      </c>
    </row>
    <row r="996" spans="1:8">
      <c r="A996" s="25"/>
      <c r="B996" s="13"/>
      <c r="C996" s="20"/>
      <c r="D996" s="19"/>
      <c r="E996" s="13"/>
      <c r="F996" s="13"/>
      <c r="G996" s="26">
        <f>IF($B996="","",IFERROR(INDEX(PecDesc,MATCH($B996,PecCod,0)),"Peça não cadastrada"))</f>
        <v>0</v>
      </c>
      <c r="H996" s="27">
        <f>IF(OR($C996="",$D996=""),"",$C996*$D996)</f>
        <v>0</v>
      </c>
    </row>
    <row r="997" spans="1:8">
      <c r="A997" s="25"/>
      <c r="B997" s="13"/>
      <c r="C997" s="20"/>
      <c r="D997" s="19"/>
      <c r="E997" s="13"/>
      <c r="F997" s="13"/>
      <c r="G997" s="26">
        <f>IF($B997="","",IFERROR(INDEX(PecDesc,MATCH($B997,PecCod,0)),"Peça não cadastrada"))</f>
        <v>0</v>
      </c>
      <c r="H997" s="27">
        <f>IF(OR($C997="",$D997=""),"",$C997*$D997)</f>
        <v>0</v>
      </c>
    </row>
    <row r="998" spans="1:8">
      <c r="A998" s="25"/>
      <c r="B998" s="13"/>
      <c r="C998" s="20"/>
      <c r="D998" s="19"/>
      <c r="E998" s="13"/>
      <c r="F998" s="13"/>
      <c r="G998" s="26">
        <f>IF($B998="","",IFERROR(INDEX(PecDesc,MATCH($B998,PecCod,0)),"Peça não cadastrada"))</f>
        <v>0</v>
      </c>
      <c r="H998" s="27">
        <f>IF(OR($C998="",$D998=""),"",$C998*$D998)</f>
        <v>0</v>
      </c>
    </row>
    <row r="999" spans="1:8">
      <c r="A999" s="25"/>
      <c r="B999" s="13"/>
      <c r="C999" s="20"/>
      <c r="D999" s="19"/>
      <c r="E999" s="13"/>
      <c r="F999" s="13"/>
      <c r="G999" s="26">
        <f>IF($B999="","",IFERROR(INDEX(PecDesc,MATCH($B999,PecCod,0)),"Peça não cadastrada"))</f>
        <v>0</v>
      </c>
      <c r="H999" s="27">
        <f>IF(OR($C999="",$D999=""),"",$C999*$D999)</f>
        <v>0</v>
      </c>
    </row>
    <row r="1000" spans="1:8">
      <c r="A1000" s="25"/>
      <c r="B1000" s="13"/>
      <c r="C1000" s="20"/>
      <c r="D1000" s="19"/>
      <c r="E1000" s="13"/>
      <c r="F1000" s="13"/>
      <c r="G1000" s="26">
        <f>IF($B1000="","",IFERROR(INDEX(PecDesc,MATCH($B1000,PecCod,0)),"Peça não cadastrada"))</f>
        <v>0</v>
      </c>
      <c r="H1000" s="27">
        <f>IF(OR($C1000="",$D1000=""),"",$C1000*$D1000)</f>
        <v>0</v>
      </c>
    </row>
    <row r="1001" spans="1:8">
      <c r="A1001" s="25"/>
      <c r="B1001" s="13"/>
      <c r="C1001" s="20"/>
      <c r="D1001" s="19"/>
      <c r="E1001" s="13"/>
      <c r="F1001" s="13"/>
      <c r="G1001" s="26">
        <f>IF($B1001="","",IFERROR(INDEX(PecDesc,MATCH($B1001,PecCod,0)),"Peça não cadastrada"))</f>
        <v>0</v>
      </c>
      <c r="H1001" s="27">
        <f>IF(OR($C1001="",$D1001=""),"",$C1001*$D1001)</f>
        <v>0</v>
      </c>
    </row>
    <row r="1002" spans="1:8">
      <c r="A1002" s="25"/>
      <c r="B1002" s="13"/>
      <c r="C1002" s="20"/>
      <c r="D1002" s="19"/>
      <c r="E1002" s="13"/>
      <c r="F1002" s="13"/>
      <c r="G1002" s="26">
        <f>IF($B1002="","",IFERROR(INDEX(PecDesc,MATCH($B1002,PecCod,0)),"Peça não cadastrada"))</f>
        <v>0</v>
      </c>
      <c r="H1002" s="27">
        <f>IF(OR($C1002="",$D1002=""),"",$C1002*$D1002)</f>
        <v>0</v>
      </c>
    </row>
    <row r="1003" spans="1:8">
      <c r="A1003" s="25"/>
      <c r="B1003" s="13"/>
      <c r="C1003" s="20"/>
      <c r="D1003" s="19"/>
      <c r="E1003" s="13"/>
      <c r="F1003" s="13"/>
      <c r="G1003" s="26">
        <f>IF($B1003="","",IFERROR(INDEX(PecDesc,MATCH($B1003,PecCod,0)),"Peça não cadastrada"))</f>
        <v>0</v>
      </c>
      <c r="H1003" s="27">
        <f>IF(OR($C1003="",$D1003=""),"",$C1003*$D1003)</f>
        <v>0</v>
      </c>
    </row>
    <row r="1004" spans="1:8">
      <c r="A1004" s="25"/>
      <c r="B1004" s="13"/>
      <c r="C1004" s="20"/>
      <c r="D1004" s="19"/>
      <c r="E1004" s="13"/>
      <c r="F1004" s="13"/>
      <c r="G1004" s="26">
        <f>IF($B1004="","",IFERROR(INDEX(PecDesc,MATCH($B1004,PecCod,0)),"Peça não cadastrada"))</f>
        <v>0</v>
      </c>
      <c r="H1004" s="27">
        <f>IF(OR($C1004="",$D1004=""),"",$C1004*$D1004)</f>
        <v>0</v>
      </c>
    </row>
  </sheetData>
  <mergeCells count="2">
    <mergeCell ref="A1:H1"/>
    <mergeCell ref="A2:H2"/>
  </mergeCells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A5:A1004">
      <formula1>36526</formula1>
    </dataValidation>
    <dataValidation type="list" allowBlank="1" showInputMessage="1" showErrorMessage="1" errorTitle="Valor inválido" error="Escolha um item da lista." sqref="B5:B1004">
      <formula1>PecCod</formula1>
    </dataValidation>
    <dataValidation type="decimal" operator="greaterThanOrEqual" allowBlank="1" showInputMessage="1" showErrorMessage="1" errorTitle="Valor inválido" error="Digite um número maior ou igual a 0." sqref="C5:D10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AA100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11.7109375" customWidth="1"/>
    <col min="3" max="3" width="10.7109375" customWidth="1"/>
    <col min="4" max="4" width="22.7109375" customWidth="1"/>
    <col min="5" max="5" width="18.7109375" customWidth="1"/>
    <col min="6" max="6" width="9.7109375" customWidth="1"/>
    <col min="7" max="7" width="30.7109375" customWidth="1"/>
    <col min="8" max="8" width="13.7109375" customWidth="1"/>
    <col min="9" max="9" width="15.7109375" customWidth="1"/>
    <col min="10" max="10" width="9.7109375" customWidth="1"/>
    <col min="11" max="11" width="12.7109375" customWidth="1"/>
    <col min="12" max="12" width="10.7109375" customWidth="1"/>
    <col min="13" max="13" width="11.7109375" customWidth="1"/>
    <col min="14" max="14" width="15.7109375" customWidth="1"/>
    <col min="15" max="16" width="13.7109375" customWidth="1"/>
    <col min="17" max="17" width="12.7109375" customWidth="1"/>
    <col min="18" max="18" width="13.7109375" customWidth="1"/>
    <col min="19" max="20" width="12.7109375" customWidth="1"/>
    <col min="21" max="21" width="13.7109375" customWidth="1"/>
    <col min="22" max="22" width="8.7109375" customWidth="1"/>
    <col min="23" max="23" width="13.7109375" customWidth="1"/>
    <col min="24" max="24" width="9.7109375" customWidth="1"/>
    <col min="25" max="25" width="20.7109375" customWidth="1"/>
    <col min="26" max="26" width="10.7109375" customWidth="1"/>
    <col min="27" max="27" width="0" hidden="1" customWidth="1"/>
  </cols>
  <sheetData>
    <row r="1" spans="1:27" ht="36" customHeight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customHeight="1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ht="56" customHeight="1">
      <c r="A4" s="10" t="s">
        <v>103</v>
      </c>
      <c r="B4" s="10" t="s">
        <v>104</v>
      </c>
      <c r="C4" s="10" t="s">
        <v>76</v>
      </c>
      <c r="D4" s="10" t="s">
        <v>79</v>
      </c>
      <c r="E4" s="10" t="s">
        <v>77</v>
      </c>
      <c r="F4" s="10" t="s">
        <v>105</v>
      </c>
      <c r="G4" s="10" t="s">
        <v>106</v>
      </c>
      <c r="H4" s="10" t="s">
        <v>107</v>
      </c>
      <c r="I4" s="10" t="s">
        <v>108</v>
      </c>
      <c r="J4" s="10" t="s">
        <v>109</v>
      </c>
      <c r="K4" s="10" t="s">
        <v>110</v>
      </c>
      <c r="L4" s="10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10" t="s">
        <v>120</v>
      </c>
      <c r="V4" s="10" t="s">
        <v>121</v>
      </c>
      <c r="W4" s="10" t="s">
        <v>122</v>
      </c>
      <c r="X4" s="10" t="s">
        <v>123</v>
      </c>
      <c r="Y4" s="10" t="s">
        <v>124</v>
      </c>
      <c r="Z4" s="10" t="s">
        <v>125</v>
      </c>
      <c r="AA4" s="10" t="s">
        <v>126</v>
      </c>
    </row>
    <row r="5" spans="1:27">
      <c r="A5" s="17"/>
      <c r="B5" s="25"/>
      <c r="C5" s="13"/>
      <c r="D5" s="26">
        <f>IF($C5="","",IFERROR(INDEX(VeicCli,MATCH($C5,VeicPlaca,0)),"Placa não cadastrada"))</f>
        <v>0</v>
      </c>
      <c r="E5" s="26">
        <f>IF($C5="","",IFERROR(INDEX(VeicModelo,MATCH($C5,VeicPlaca,0)),""))</f>
        <v>0</v>
      </c>
      <c r="F5" s="28"/>
      <c r="G5" s="13"/>
      <c r="H5" s="13"/>
      <c r="I5" s="13"/>
      <c r="J5" s="29"/>
      <c r="K5" s="19"/>
      <c r="L5" s="19"/>
      <c r="M5" s="25"/>
      <c r="N5" s="13"/>
      <c r="O5" s="19"/>
      <c r="P5" s="27">
        <f>IF($A5="","",N($J5)*ValorHora)</f>
        <v>0</v>
      </c>
      <c r="Q5" s="27">
        <f>IF($A5="","",SUMIFS(ItTotal,ItOS,$A5))</f>
        <v>0</v>
      </c>
      <c r="R5" s="30">
        <f>IF($A5="","",$P5+$Q5+N($K5)-N($L5))</f>
        <v>0</v>
      </c>
      <c r="S5" s="27">
        <f>IF($A5="","",SUMIFS(ItCusto,ItOS,$A5))</f>
        <v>0</v>
      </c>
      <c r="T5" s="27">
        <f>IF($A5="","",$P5*ComMec)</f>
        <v>0</v>
      </c>
      <c r="U5" s="21">
        <f>IF($A5="","",$R5-$S5-$T5-N($K5))</f>
        <v>0</v>
      </c>
      <c r="V5" s="31">
        <f>IF(OR($A5="",N($R5)&lt;=0),"",$U5/$R5)</f>
        <v>0</v>
      </c>
      <c r="W5" s="27">
        <f>IF($A5="","",IF(OR($I5="Finalizado",$I5="Entregue"),MAX(0,$R5-N($O5)),0))</f>
        <v>0</v>
      </c>
      <c r="X5" s="32">
        <f>IF(OR($A5="",$B5=""),"",IF(OR($I5="Entregue",$I5="Cancelada"),"",Hoje-$B5))</f>
        <v>0</v>
      </c>
      <c r="Y5" s="24">
        <f>IF($A5="","",IF(AND(OR($I5="Aprovado",$I5="Em execução",$I5="Aguardando peça"),N($X5)&gt;PrazoMax),"ATRASADA",IF(AND(OR($I5="Finalizado",$I5="Entregue"),$W5&gt;0.005),"Cobrar",IF($I5="Orçamento","Aguardando aprovação",""))))</f>
        <v>0</v>
      </c>
      <c r="Z5" s="33">
        <f>IF(AND($I5="Entregue",$M5&lt;&gt;""),DATE(YEAR($M5),MONTH($M5),1),"")</f>
        <v>0</v>
      </c>
      <c r="AA5" s="34">
        <f>IF(AND($C5&lt;&gt;"",$C5=HistPlaca),COUNTIF($C$5:$C5,HistPlaca),"")</f>
        <v>0</v>
      </c>
    </row>
    <row r="6" spans="1:27">
      <c r="A6" s="17"/>
      <c r="B6" s="25"/>
      <c r="C6" s="13"/>
      <c r="D6" s="26">
        <f>IF($C6="","",IFERROR(INDEX(VeicCli,MATCH($C6,VeicPlaca,0)),"Placa não cadastrada"))</f>
        <v>0</v>
      </c>
      <c r="E6" s="26">
        <f>IF($C6="","",IFERROR(INDEX(VeicModelo,MATCH($C6,VeicPlaca,0)),""))</f>
        <v>0</v>
      </c>
      <c r="F6" s="28"/>
      <c r="G6" s="13"/>
      <c r="H6" s="13"/>
      <c r="I6" s="13"/>
      <c r="J6" s="29"/>
      <c r="K6" s="19"/>
      <c r="L6" s="19"/>
      <c r="M6" s="25"/>
      <c r="N6" s="13"/>
      <c r="O6" s="19"/>
      <c r="P6" s="27">
        <f>IF($A6="","",N($J6)*ValorHora)</f>
        <v>0</v>
      </c>
      <c r="Q6" s="27">
        <f>IF($A6="","",SUMIFS(ItTotal,ItOS,$A6))</f>
        <v>0</v>
      </c>
      <c r="R6" s="30">
        <f>IF($A6="","",$P6+$Q6+N($K6)-N($L6))</f>
        <v>0</v>
      </c>
      <c r="S6" s="27">
        <f>IF($A6="","",SUMIFS(ItCusto,ItOS,$A6))</f>
        <v>0</v>
      </c>
      <c r="T6" s="27">
        <f>IF($A6="","",$P6*ComMec)</f>
        <v>0</v>
      </c>
      <c r="U6" s="21">
        <f>IF($A6="","",$R6-$S6-$T6-N($K6))</f>
        <v>0</v>
      </c>
      <c r="V6" s="31">
        <f>IF(OR($A6="",N($R6)&lt;=0),"",$U6/$R6)</f>
        <v>0</v>
      </c>
      <c r="W6" s="27">
        <f>IF($A6="","",IF(OR($I6="Finalizado",$I6="Entregue"),MAX(0,$R6-N($O6)),0))</f>
        <v>0</v>
      </c>
      <c r="X6" s="32">
        <f>IF(OR($A6="",$B6=""),"",IF(OR($I6="Entregue",$I6="Cancelada"),"",Hoje-$B6))</f>
        <v>0</v>
      </c>
      <c r="Y6" s="24">
        <f>IF($A6="","",IF(AND(OR($I6="Aprovado",$I6="Em execução",$I6="Aguardando peça"),N($X6)&gt;PrazoMax),"ATRASADA",IF(AND(OR($I6="Finalizado",$I6="Entregue"),$W6&gt;0.005),"Cobrar",IF($I6="Orçamento","Aguardando aprovação",""))))</f>
        <v>0</v>
      </c>
      <c r="Z6" s="33">
        <f>IF(AND($I6="Entregue",$M6&lt;&gt;""),DATE(YEAR($M6),MONTH($M6),1),"")</f>
        <v>0</v>
      </c>
      <c r="AA6" s="34">
        <f>IF(AND($C6&lt;&gt;"",$C6=HistPlaca),COUNTIF($C$5:$C6,HistPlaca),"")</f>
        <v>0</v>
      </c>
    </row>
    <row r="7" spans="1:27">
      <c r="A7" s="17"/>
      <c r="B7" s="25"/>
      <c r="C7" s="13"/>
      <c r="D7" s="26">
        <f>IF($C7="","",IFERROR(INDEX(VeicCli,MATCH($C7,VeicPlaca,0)),"Placa não cadastrada"))</f>
        <v>0</v>
      </c>
      <c r="E7" s="26">
        <f>IF($C7="","",IFERROR(INDEX(VeicModelo,MATCH($C7,VeicPlaca,0)),""))</f>
        <v>0</v>
      </c>
      <c r="F7" s="28"/>
      <c r="G7" s="13"/>
      <c r="H7" s="13"/>
      <c r="I7" s="13"/>
      <c r="J7" s="29"/>
      <c r="K7" s="19"/>
      <c r="L7" s="19"/>
      <c r="M7" s="25"/>
      <c r="N7" s="13"/>
      <c r="O7" s="19"/>
      <c r="P7" s="27">
        <f>IF($A7="","",N($J7)*ValorHora)</f>
        <v>0</v>
      </c>
      <c r="Q7" s="27">
        <f>IF($A7="","",SUMIFS(ItTotal,ItOS,$A7))</f>
        <v>0</v>
      </c>
      <c r="R7" s="30">
        <f>IF($A7="","",$P7+$Q7+N($K7)-N($L7))</f>
        <v>0</v>
      </c>
      <c r="S7" s="27">
        <f>IF($A7="","",SUMIFS(ItCusto,ItOS,$A7))</f>
        <v>0</v>
      </c>
      <c r="T7" s="27">
        <f>IF($A7="","",$P7*ComMec)</f>
        <v>0</v>
      </c>
      <c r="U7" s="21">
        <f>IF($A7="","",$R7-$S7-$T7-N($K7))</f>
        <v>0</v>
      </c>
      <c r="V7" s="31">
        <f>IF(OR($A7="",N($R7)&lt;=0),"",$U7/$R7)</f>
        <v>0</v>
      </c>
      <c r="W7" s="27">
        <f>IF($A7="","",IF(OR($I7="Finalizado",$I7="Entregue"),MAX(0,$R7-N($O7)),0))</f>
        <v>0</v>
      </c>
      <c r="X7" s="32">
        <f>IF(OR($A7="",$B7=""),"",IF(OR($I7="Entregue",$I7="Cancelada"),"",Hoje-$B7))</f>
        <v>0</v>
      </c>
      <c r="Y7" s="24">
        <f>IF($A7="","",IF(AND(OR($I7="Aprovado",$I7="Em execução",$I7="Aguardando peça"),N($X7)&gt;PrazoMax),"ATRASADA",IF(AND(OR($I7="Finalizado",$I7="Entregue"),$W7&gt;0.005),"Cobrar",IF($I7="Orçamento","Aguardando aprovação",""))))</f>
        <v>0</v>
      </c>
      <c r="Z7" s="33">
        <f>IF(AND($I7="Entregue",$M7&lt;&gt;""),DATE(YEAR($M7),MONTH($M7),1),"")</f>
        <v>0</v>
      </c>
      <c r="AA7" s="34">
        <f>IF(AND($C7&lt;&gt;"",$C7=HistPlaca),COUNTIF($C$5:$C7,HistPlaca),"")</f>
        <v>0</v>
      </c>
    </row>
    <row r="8" spans="1:27">
      <c r="A8" s="17"/>
      <c r="B8" s="25"/>
      <c r="C8" s="13"/>
      <c r="D8" s="26">
        <f>IF($C8="","",IFERROR(INDEX(VeicCli,MATCH($C8,VeicPlaca,0)),"Placa não cadastrada"))</f>
        <v>0</v>
      </c>
      <c r="E8" s="26">
        <f>IF($C8="","",IFERROR(INDEX(VeicModelo,MATCH($C8,VeicPlaca,0)),""))</f>
        <v>0</v>
      </c>
      <c r="F8" s="28"/>
      <c r="G8" s="13"/>
      <c r="H8" s="13"/>
      <c r="I8" s="13"/>
      <c r="J8" s="29"/>
      <c r="K8" s="19"/>
      <c r="L8" s="19"/>
      <c r="M8" s="25"/>
      <c r="N8" s="13"/>
      <c r="O8" s="19"/>
      <c r="P8" s="27">
        <f>IF($A8="","",N($J8)*ValorHora)</f>
        <v>0</v>
      </c>
      <c r="Q8" s="27">
        <f>IF($A8="","",SUMIFS(ItTotal,ItOS,$A8))</f>
        <v>0</v>
      </c>
      <c r="R8" s="30">
        <f>IF($A8="","",$P8+$Q8+N($K8)-N($L8))</f>
        <v>0</v>
      </c>
      <c r="S8" s="27">
        <f>IF($A8="","",SUMIFS(ItCusto,ItOS,$A8))</f>
        <v>0</v>
      </c>
      <c r="T8" s="27">
        <f>IF($A8="","",$P8*ComMec)</f>
        <v>0</v>
      </c>
      <c r="U8" s="21">
        <f>IF($A8="","",$R8-$S8-$T8-N($K8))</f>
        <v>0</v>
      </c>
      <c r="V8" s="31">
        <f>IF(OR($A8="",N($R8)&lt;=0),"",$U8/$R8)</f>
        <v>0</v>
      </c>
      <c r="W8" s="27">
        <f>IF($A8="","",IF(OR($I8="Finalizado",$I8="Entregue"),MAX(0,$R8-N($O8)),0))</f>
        <v>0</v>
      </c>
      <c r="X8" s="32">
        <f>IF(OR($A8="",$B8=""),"",IF(OR($I8="Entregue",$I8="Cancelada"),"",Hoje-$B8))</f>
        <v>0</v>
      </c>
      <c r="Y8" s="24">
        <f>IF($A8="","",IF(AND(OR($I8="Aprovado",$I8="Em execução",$I8="Aguardando peça"),N($X8)&gt;PrazoMax),"ATRASADA",IF(AND(OR($I8="Finalizado",$I8="Entregue"),$W8&gt;0.005),"Cobrar",IF($I8="Orçamento","Aguardando aprovação",""))))</f>
        <v>0</v>
      </c>
      <c r="Z8" s="33">
        <f>IF(AND($I8="Entregue",$M8&lt;&gt;""),DATE(YEAR($M8),MONTH($M8),1),"")</f>
        <v>0</v>
      </c>
      <c r="AA8" s="34">
        <f>IF(AND($C8&lt;&gt;"",$C8=HistPlaca),COUNTIF($C$5:$C8,HistPlaca),"")</f>
        <v>0</v>
      </c>
    </row>
    <row r="9" spans="1:27">
      <c r="A9" s="17"/>
      <c r="B9" s="25"/>
      <c r="C9" s="13"/>
      <c r="D9" s="26">
        <f>IF($C9="","",IFERROR(INDEX(VeicCli,MATCH($C9,VeicPlaca,0)),"Placa não cadastrada"))</f>
        <v>0</v>
      </c>
      <c r="E9" s="26">
        <f>IF($C9="","",IFERROR(INDEX(VeicModelo,MATCH($C9,VeicPlaca,0)),""))</f>
        <v>0</v>
      </c>
      <c r="F9" s="28"/>
      <c r="G9" s="13"/>
      <c r="H9" s="13"/>
      <c r="I9" s="13"/>
      <c r="J9" s="29"/>
      <c r="K9" s="19"/>
      <c r="L9" s="19"/>
      <c r="M9" s="25"/>
      <c r="N9" s="13"/>
      <c r="O9" s="19"/>
      <c r="P9" s="27">
        <f>IF($A9="","",N($J9)*ValorHora)</f>
        <v>0</v>
      </c>
      <c r="Q9" s="27">
        <f>IF($A9="","",SUMIFS(ItTotal,ItOS,$A9))</f>
        <v>0</v>
      </c>
      <c r="R9" s="30">
        <f>IF($A9="","",$P9+$Q9+N($K9)-N($L9))</f>
        <v>0</v>
      </c>
      <c r="S9" s="27">
        <f>IF($A9="","",SUMIFS(ItCusto,ItOS,$A9))</f>
        <v>0</v>
      </c>
      <c r="T9" s="27">
        <f>IF($A9="","",$P9*ComMec)</f>
        <v>0</v>
      </c>
      <c r="U9" s="21">
        <f>IF($A9="","",$R9-$S9-$T9-N($K9))</f>
        <v>0</v>
      </c>
      <c r="V9" s="31">
        <f>IF(OR($A9="",N($R9)&lt;=0),"",$U9/$R9)</f>
        <v>0</v>
      </c>
      <c r="W9" s="27">
        <f>IF($A9="","",IF(OR($I9="Finalizado",$I9="Entregue"),MAX(0,$R9-N($O9)),0))</f>
        <v>0</v>
      </c>
      <c r="X9" s="32">
        <f>IF(OR($A9="",$B9=""),"",IF(OR($I9="Entregue",$I9="Cancelada"),"",Hoje-$B9))</f>
        <v>0</v>
      </c>
      <c r="Y9" s="24">
        <f>IF($A9="","",IF(AND(OR($I9="Aprovado",$I9="Em execução",$I9="Aguardando peça"),N($X9)&gt;PrazoMax),"ATRASADA",IF(AND(OR($I9="Finalizado",$I9="Entregue"),$W9&gt;0.005),"Cobrar",IF($I9="Orçamento","Aguardando aprovação",""))))</f>
        <v>0</v>
      </c>
      <c r="Z9" s="33">
        <f>IF(AND($I9="Entregue",$M9&lt;&gt;""),DATE(YEAR($M9),MONTH($M9),1),"")</f>
        <v>0</v>
      </c>
      <c r="AA9" s="34">
        <f>IF(AND($C9&lt;&gt;"",$C9=HistPlaca),COUNTIF($C$5:$C9,HistPlaca),"")</f>
        <v>0</v>
      </c>
    </row>
    <row r="10" spans="1:27">
      <c r="A10" s="17"/>
      <c r="B10" s="25"/>
      <c r="C10" s="13"/>
      <c r="D10" s="26">
        <f>IF($C10="","",IFERROR(INDEX(VeicCli,MATCH($C10,VeicPlaca,0)),"Placa não cadastrada"))</f>
        <v>0</v>
      </c>
      <c r="E10" s="26">
        <f>IF($C10="","",IFERROR(INDEX(VeicModelo,MATCH($C10,VeicPlaca,0)),""))</f>
        <v>0</v>
      </c>
      <c r="F10" s="28"/>
      <c r="G10" s="13"/>
      <c r="H10" s="13"/>
      <c r="I10" s="13"/>
      <c r="J10" s="29"/>
      <c r="K10" s="19"/>
      <c r="L10" s="19"/>
      <c r="M10" s="25"/>
      <c r="N10" s="13"/>
      <c r="O10" s="19"/>
      <c r="P10" s="27">
        <f>IF($A10="","",N($J10)*ValorHora)</f>
        <v>0</v>
      </c>
      <c r="Q10" s="27">
        <f>IF($A10="","",SUMIFS(ItTotal,ItOS,$A10))</f>
        <v>0</v>
      </c>
      <c r="R10" s="30">
        <f>IF($A10="","",$P10+$Q10+N($K10)-N($L10))</f>
        <v>0</v>
      </c>
      <c r="S10" s="27">
        <f>IF($A10="","",SUMIFS(ItCusto,ItOS,$A10))</f>
        <v>0</v>
      </c>
      <c r="T10" s="27">
        <f>IF($A10="","",$P10*ComMec)</f>
        <v>0</v>
      </c>
      <c r="U10" s="21">
        <f>IF($A10="","",$R10-$S10-$T10-N($K10))</f>
        <v>0</v>
      </c>
      <c r="V10" s="31">
        <f>IF(OR($A10="",N($R10)&lt;=0),"",$U10/$R10)</f>
        <v>0</v>
      </c>
      <c r="W10" s="27">
        <f>IF($A10="","",IF(OR($I10="Finalizado",$I10="Entregue"),MAX(0,$R10-N($O10)),0))</f>
        <v>0</v>
      </c>
      <c r="X10" s="32">
        <f>IF(OR($A10="",$B10=""),"",IF(OR($I10="Entregue",$I10="Cancelada"),"",Hoje-$B10))</f>
        <v>0</v>
      </c>
      <c r="Y10" s="24">
        <f>IF($A10="","",IF(AND(OR($I10="Aprovado",$I10="Em execução",$I10="Aguardando peça"),N($X10)&gt;PrazoMax),"ATRASADA",IF(AND(OR($I10="Finalizado",$I10="Entregue"),$W10&gt;0.005),"Cobrar",IF($I10="Orçamento","Aguardando aprovação",""))))</f>
        <v>0</v>
      </c>
      <c r="Z10" s="33">
        <f>IF(AND($I10="Entregue",$M10&lt;&gt;""),DATE(YEAR($M10),MONTH($M10),1),"")</f>
        <v>0</v>
      </c>
      <c r="AA10" s="34">
        <f>IF(AND($C10&lt;&gt;"",$C10=HistPlaca),COUNTIF($C$5:$C10,HistPlaca),"")</f>
        <v>0</v>
      </c>
    </row>
    <row r="11" spans="1:27">
      <c r="A11" s="17"/>
      <c r="B11" s="25"/>
      <c r="C11" s="13"/>
      <c r="D11" s="26">
        <f>IF($C11="","",IFERROR(INDEX(VeicCli,MATCH($C11,VeicPlaca,0)),"Placa não cadastrada"))</f>
        <v>0</v>
      </c>
      <c r="E11" s="26">
        <f>IF($C11="","",IFERROR(INDEX(VeicModelo,MATCH($C11,VeicPlaca,0)),""))</f>
        <v>0</v>
      </c>
      <c r="F11" s="28"/>
      <c r="G11" s="13"/>
      <c r="H11" s="13"/>
      <c r="I11" s="13"/>
      <c r="J11" s="29"/>
      <c r="K11" s="19"/>
      <c r="L11" s="19"/>
      <c r="M11" s="25"/>
      <c r="N11" s="13"/>
      <c r="O11" s="19"/>
      <c r="P11" s="27">
        <f>IF($A11="","",N($J11)*ValorHora)</f>
        <v>0</v>
      </c>
      <c r="Q11" s="27">
        <f>IF($A11="","",SUMIFS(ItTotal,ItOS,$A11))</f>
        <v>0</v>
      </c>
      <c r="R11" s="30">
        <f>IF($A11="","",$P11+$Q11+N($K11)-N($L11))</f>
        <v>0</v>
      </c>
      <c r="S11" s="27">
        <f>IF($A11="","",SUMIFS(ItCusto,ItOS,$A11))</f>
        <v>0</v>
      </c>
      <c r="T11" s="27">
        <f>IF($A11="","",$P11*ComMec)</f>
        <v>0</v>
      </c>
      <c r="U11" s="21">
        <f>IF($A11="","",$R11-$S11-$T11-N($K11))</f>
        <v>0</v>
      </c>
      <c r="V11" s="31">
        <f>IF(OR($A11="",N($R11)&lt;=0),"",$U11/$R11)</f>
        <v>0</v>
      </c>
      <c r="W11" s="27">
        <f>IF($A11="","",IF(OR($I11="Finalizado",$I11="Entregue"),MAX(0,$R11-N($O11)),0))</f>
        <v>0</v>
      </c>
      <c r="X11" s="32">
        <f>IF(OR($A11="",$B11=""),"",IF(OR($I11="Entregue",$I11="Cancelada"),"",Hoje-$B11))</f>
        <v>0</v>
      </c>
      <c r="Y11" s="24">
        <f>IF($A11="","",IF(AND(OR($I11="Aprovado",$I11="Em execução",$I11="Aguardando peça"),N($X11)&gt;PrazoMax),"ATRASADA",IF(AND(OR($I11="Finalizado",$I11="Entregue"),$W11&gt;0.005),"Cobrar",IF($I11="Orçamento","Aguardando aprovação",""))))</f>
        <v>0</v>
      </c>
      <c r="Z11" s="33">
        <f>IF(AND($I11="Entregue",$M11&lt;&gt;""),DATE(YEAR($M11),MONTH($M11),1),"")</f>
        <v>0</v>
      </c>
      <c r="AA11" s="34">
        <f>IF(AND($C11&lt;&gt;"",$C11=HistPlaca),COUNTIF($C$5:$C11,HistPlaca),"")</f>
        <v>0</v>
      </c>
    </row>
    <row r="12" spans="1:27">
      <c r="A12" s="17"/>
      <c r="B12" s="25"/>
      <c r="C12" s="13"/>
      <c r="D12" s="26">
        <f>IF($C12="","",IFERROR(INDEX(VeicCli,MATCH($C12,VeicPlaca,0)),"Placa não cadastrada"))</f>
        <v>0</v>
      </c>
      <c r="E12" s="26">
        <f>IF($C12="","",IFERROR(INDEX(VeicModelo,MATCH($C12,VeicPlaca,0)),""))</f>
        <v>0</v>
      </c>
      <c r="F12" s="28"/>
      <c r="G12" s="13"/>
      <c r="H12" s="13"/>
      <c r="I12" s="13"/>
      <c r="J12" s="29"/>
      <c r="K12" s="19"/>
      <c r="L12" s="19"/>
      <c r="M12" s="25"/>
      <c r="N12" s="13"/>
      <c r="O12" s="19"/>
      <c r="P12" s="27">
        <f>IF($A12="","",N($J12)*ValorHora)</f>
        <v>0</v>
      </c>
      <c r="Q12" s="27">
        <f>IF($A12="","",SUMIFS(ItTotal,ItOS,$A12))</f>
        <v>0</v>
      </c>
      <c r="R12" s="30">
        <f>IF($A12="","",$P12+$Q12+N($K12)-N($L12))</f>
        <v>0</v>
      </c>
      <c r="S12" s="27">
        <f>IF($A12="","",SUMIFS(ItCusto,ItOS,$A12))</f>
        <v>0</v>
      </c>
      <c r="T12" s="27">
        <f>IF($A12="","",$P12*ComMec)</f>
        <v>0</v>
      </c>
      <c r="U12" s="21">
        <f>IF($A12="","",$R12-$S12-$T12-N($K12))</f>
        <v>0</v>
      </c>
      <c r="V12" s="31">
        <f>IF(OR($A12="",N($R12)&lt;=0),"",$U12/$R12)</f>
        <v>0</v>
      </c>
      <c r="W12" s="27">
        <f>IF($A12="","",IF(OR($I12="Finalizado",$I12="Entregue"),MAX(0,$R12-N($O12)),0))</f>
        <v>0</v>
      </c>
      <c r="X12" s="32">
        <f>IF(OR($A12="",$B12=""),"",IF(OR($I12="Entregue",$I12="Cancelada"),"",Hoje-$B12))</f>
        <v>0</v>
      </c>
      <c r="Y12" s="24">
        <f>IF($A12="","",IF(AND(OR($I12="Aprovado",$I12="Em execução",$I12="Aguardando peça"),N($X12)&gt;PrazoMax),"ATRASADA",IF(AND(OR($I12="Finalizado",$I12="Entregue"),$W12&gt;0.005),"Cobrar",IF($I12="Orçamento","Aguardando aprovação",""))))</f>
        <v>0</v>
      </c>
      <c r="Z12" s="33">
        <f>IF(AND($I12="Entregue",$M12&lt;&gt;""),DATE(YEAR($M12),MONTH($M12),1),"")</f>
        <v>0</v>
      </c>
      <c r="AA12" s="34">
        <f>IF(AND($C12&lt;&gt;"",$C12=HistPlaca),COUNTIF($C$5:$C12,HistPlaca),"")</f>
        <v>0</v>
      </c>
    </row>
    <row r="13" spans="1:27">
      <c r="A13" s="17"/>
      <c r="B13" s="25"/>
      <c r="C13" s="13"/>
      <c r="D13" s="26">
        <f>IF($C13="","",IFERROR(INDEX(VeicCli,MATCH($C13,VeicPlaca,0)),"Placa não cadastrada"))</f>
        <v>0</v>
      </c>
      <c r="E13" s="26">
        <f>IF($C13="","",IFERROR(INDEX(VeicModelo,MATCH($C13,VeicPlaca,0)),""))</f>
        <v>0</v>
      </c>
      <c r="F13" s="28"/>
      <c r="G13" s="13"/>
      <c r="H13" s="13"/>
      <c r="I13" s="13"/>
      <c r="J13" s="29"/>
      <c r="K13" s="19"/>
      <c r="L13" s="19"/>
      <c r="M13" s="25"/>
      <c r="N13" s="13"/>
      <c r="O13" s="19"/>
      <c r="P13" s="27">
        <f>IF($A13="","",N($J13)*ValorHora)</f>
        <v>0</v>
      </c>
      <c r="Q13" s="27">
        <f>IF($A13="","",SUMIFS(ItTotal,ItOS,$A13))</f>
        <v>0</v>
      </c>
      <c r="R13" s="30">
        <f>IF($A13="","",$P13+$Q13+N($K13)-N($L13))</f>
        <v>0</v>
      </c>
      <c r="S13" s="27">
        <f>IF($A13="","",SUMIFS(ItCusto,ItOS,$A13))</f>
        <v>0</v>
      </c>
      <c r="T13" s="27">
        <f>IF($A13="","",$P13*ComMec)</f>
        <v>0</v>
      </c>
      <c r="U13" s="21">
        <f>IF($A13="","",$R13-$S13-$T13-N($K13))</f>
        <v>0</v>
      </c>
      <c r="V13" s="31">
        <f>IF(OR($A13="",N($R13)&lt;=0),"",$U13/$R13)</f>
        <v>0</v>
      </c>
      <c r="W13" s="27">
        <f>IF($A13="","",IF(OR($I13="Finalizado",$I13="Entregue"),MAX(0,$R13-N($O13)),0))</f>
        <v>0</v>
      </c>
      <c r="X13" s="32">
        <f>IF(OR($A13="",$B13=""),"",IF(OR($I13="Entregue",$I13="Cancelada"),"",Hoje-$B13))</f>
        <v>0</v>
      </c>
      <c r="Y13" s="24">
        <f>IF($A13="","",IF(AND(OR($I13="Aprovado",$I13="Em execução",$I13="Aguardando peça"),N($X13)&gt;PrazoMax),"ATRASADA",IF(AND(OR($I13="Finalizado",$I13="Entregue"),$W13&gt;0.005),"Cobrar",IF($I13="Orçamento","Aguardando aprovação",""))))</f>
        <v>0</v>
      </c>
      <c r="Z13" s="33">
        <f>IF(AND($I13="Entregue",$M13&lt;&gt;""),DATE(YEAR($M13),MONTH($M13),1),"")</f>
        <v>0</v>
      </c>
      <c r="AA13" s="34">
        <f>IF(AND($C13&lt;&gt;"",$C13=HistPlaca),COUNTIF($C$5:$C13,HistPlaca),"")</f>
        <v>0</v>
      </c>
    </row>
    <row r="14" spans="1:27">
      <c r="A14" s="17"/>
      <c r="B14" s="25"/>
      <c r="C14" s="13"/>
      <c r="D14" s="26">
        <f>IF($C14="","",IFERROR(INDEX(VeicCli,MATCH($C14,VeicPlaca,0)),"Placa não cadastrada"))</f>
        <v>0</v>
      </c>
      <c r="E14" s="26">
        <f>IF($C14="","",IFERROR(INDEX(VeicModelo,MATCH($C14,VeicPlaca,0)),""))</f>
        <v>0</v>
      </c>
      <c r="F14" s="28"/>
      <c r="G14" s="13"/>
      <c r="H14" s="13"/>
      <c r="I14" s="13"/>
      <c r="J14" s="29"/>
      <c r="K14" s="19"/>
      <c r="L14" s="19"/>
      <c r="M14" s="25"/>
      <c r="N14" s="13"/>
      <c r="O14" s="19"/>
      <c r="P14" s="27">
        <f>IF($A14="","",N($J14)*ValorHora)</f>
        <v>0</v>
      </c>
      <c r="Q14" s="27">
        <f>IF($A14="","",SUMIFS(ItTotal,ItOS,$A14))</f>
        <v>0</v>
      </c>
      <c r="R14" s="30">
        <f>IF($A14="","",$P14+$Q14+N($K14)-N($L14))</f>
        <v>0</v>
      </c>
      <c r="S14" s="27">
        <f>IF($A14="","",SUMIFS(ItCusto,ItOS,$A14))</f>
        <v>0</v>
      </c>
      <c r="T14" s="27">
        <f>IF($A14="","",$P14*ComMec)</f>
        <v>0</v>
      </c>
      <c r="U14" s="21">
        <f>IF($A14="","",$R14-$S14-$T14-N($K14))</f>
        <v>0</v>
      </c>
      <c r="V14" s="31">
        <f>IF(OR($A14="",N($R14)&lt;=0),"",$U14/$R14)</f>
        <v>0</v>
      </c>
      <c r="W14" s="27">
        <f>IF($A14="","",IF(OR($I14="Finalizado",$I14="Entregue"),MAX(0,$R14-N($O14)),0))</f>
        <v>0</v>
      </c>
      <c r="X14" s="32">
        <f>IF(OR($A14="",$B14=""),"",IF(OR($I14="Entregue",$I14="Cancelada"),"",Hoje-$B14))</f>
        <v>0</v>
      </c>
      <c r="Y14" s="24">
        <f>IF($A14="","",IF(AND(OR($I14="Aprovado",$I14="Em execução",$I14="Aguardando peça"),N($X14)&gt;PrazoMax),"ATRASADA",IF(AND(OR($I14="Finalizado",$I14="Entregue"),$W14&gt;0.005),"Cobrar",IF($I14="Orçamento","Aguardando aprovação",""))))</f>
        <v>0</v>
      </c>
      <c r="Z14" s="33">
        <f>IF(AND($I14="Entregue",$M14&lt;&gt;""),DATE(YEAR($M14),MONTH($M14),1),"")</f>
        <v>0</v>
      </c>
      <c r="AA14" s="34">
        <f>IF(AND($C14&lt;&gt;"",$C14=HistPlaca),COUNTIF($C$5:$C14,HistPlaca),"")</f>
        <v>0</v>
      </c>
    </row>
    <row r="15" spans="1:27">
      <c r="A15" s="17"/>
      <c r="B15" s="25"/>
      <c r="C15" s="13"/>
      <c r="D15" s="26">
        <f>IF($C15="","",IFERROR(INDEX(VeicCli,MATCH($C15,VeicPlaca,0)),"Placa não cadastrada"))</f>
        <v>0</v>
      </c>
      <c r="E15" s="26">
        <f>IF($C15="","",IFERROR(INDEX(VeicModelo,MATCH($C15,VeicPlaca,0)),""))</f>
        <v>0</v>
      </c>
      <c r="F15" s="28"/>
      <c r="G15" s="13"/>
      <c r="H15" s="13"/>
      <c r="I15" s="13"/>
      <c r="J15" s="29"/>
      <c r="K15" s="19"/>
      <c r="L15" s="19"/>
      <c r="M15" s="25"/>
      <c r="N15" s="13"/>
      <c r="O15" s="19"/>
      <c r="P15" s="27">
        <f>IF($A15="","",N($J15)*ValorHora)</f>
        <v>0</v>
      </c>
      <c r="Q15" s="27">
        <f>IF($A15="","",SUMIFS(ItTotal,ItOS,$A15))</f>
        <v>0</v>
      </c>
      <c r="R15" s="30">
        <f>IF($A15="","",$P15+$Q15+N($K15)-N($L15))</f>
        <v>0</v>
      </c>
      <c r="S15" s="27">
        <f>IF($A15="","",SUMIFS(ItCusto,ItOS,$A15))</f>
        <v>0</v>
      </c>
      <c r="T15" s="27">
        <f>IF($A15="","",$P15*ComMec)</f>
        <v>0</v>
      </c>
      <c r="U15" s="21">
        <f>IF($A15="","",$R15-$S15-$T15-N($K15))</f>
        <v>0</v>
      </c>
      <c r="V15" s="31">
        <f>IF(OR($A15="",N($R15)&lt;=0),"",$U15/$R15)</f>
        <v>0</v>
      </c>
      <c r="W15" s="27">
        <f>IF($A15="","",IF(OR($I15="Finalizado",$I15="Entregue"),MAX(0,$R15-N($O15)),0))</f>
        <v>0</v>
      </c>
      <c r="X15" s="32">
        <f>IF(OR($A15="",$B15=""),"",IF(OR($I15="Entregue",$I15="Cancelada"),"",Hoje-$B15))</f>
        <v>0</v>
      </c>
      <c r="Y15" s="24">
        <f>IF($A15="","",IF(AND(OR($I15="Aprovado",$I15="Em execução",$I15="Aguardando peça"),N($X15)&gt;PrazoMax),"ATRASADA",IF(AND(OR($I15="Finalizado",$I15="Entregue"),$W15&gt;0.005),"Cobrar",IF($I15="Orçamento","Aguardando aprovação",""))))</f>
        <v>0</v>
      </c>
      <c r="Z15" s="33">
        <f>IF(AND($I15="Entregue",$M15&lt;&gt;""),DATE(YEAR($M15),MONTH($M15),1),"")</f>
        <v>0</v>
      </c>
      <c r="AA15" s="34">
        <f>IF(AND($C15&lt;&gt;"",$C15=HistPlaca),COUNTIF($C$5:$C15,HistPlaca),"")</f>
        <v>0</v>
      </c>
    </row>
    <row r="16" spans="1:27">
      <c r="A16" s="17"/>
      <c r="B16" s="25"/>
      <c r="C16" s="13"/>
      <c r="D16" s="26">
        <f>IF($C16="","",IFERROR(INDEX(VeicCli,MATCH($C16,VeicPlaca,0)),"Placa não cadastrada"))</f>
        <v>0</v>
      </c>
      <c r="E16" s="26">
        <f>IF($C16="","",IFERROR(INDEX(VeicModelo,MATCH($C16,VeicPlaca,0)),""))</f>
        <v>0</v>
      </c>
      <c r="F16" s="28"/>
      <c r="G16" s="13"/>
      <c r="H16" s="13"/>
      <c r="I16" s="13"/>
      <c r="J16" s="29"/>
      <c r="K16" s="19"/>
      <c r="L16" s="19"/>
      <c r="M16" s="25"/>
      <c r="N16" s="13"/>
      <c r="O16" s="19"/>
      <c r="P16" s="27">
        <f>IF($A16="","",N($J16)*ValorHora)</f>
        <v>0</v>
      </c>
      <c r="Q16" s="27">
        <f>IF($A16="","",SUMIFS(ItTotal,ItOS,$A16))</f>
        <v>0</v>
      </c>
      <c r="R16" s="30">
        <f>IF($A16="","",$P16+$Q16+N($K16)-N($L16))</f>
        <v>0</v>
      </c>
      <c r="S16" s="27">
        <f>IF($A16="","",SUMIFS(ItCusto,ItOS,$A16))</f>
        <v>0</v>
      </c>
      <c r="T16" s="27">
        <f>IF($A16="","",$P16*ComMec)</f>
        <v>0</v>
      </c>
      <c r="U16" s="21">
        <f>IF($A16="","",$R16-$S16-$T16-N($K16))</f>
        <v>0</v>
      </c>
      <c r="V16" s="31">
        <f>IF(OR($A16="",N($R16)&lt;=0),"",$U16/$R16)</f>
        <v>0</v>
      </c>
      <c r="W16" s="27">
        <f>IF($A16="","",IF(OR($I16="Finalizado",$I16="Entregue"),MAX(0,$R16-N($O16)),0))</f>
        <v>0</v>
      </c>
      <c r="X16" s="32">
        <f>IF(OR($A16="",$B16=""),"",IF(OR($I16="Entregue",$I16="Cancelada"),"",Hoje-$B16))</f>
        <v>0</v>
      </c>
      <c r="Y16" s="24">
        <f>IF($A16="","",IF(AND(OR($I16="Aprovado",$I16="Em execução",$I16="Aguardando peça"),N($X16)&gt;PrazoMax),"ATRASADA",IF(AND(OR($I16="Finalizado",$I16="Entregue"),$W16&gt;0.005),"Cobrar",IF($I16="Orçamento","Aguardando aprovação",""))))</f>
        <v>0</v>
      </c>
      <c r="Z16" s="33">
        <f>IF(AND($I16="Entregue",$M16&lt;&gt;""),DATE(YEAR($M16),MONTH($M16),1),"")</f>
        <v>0</v>
      </c>
      <c r="AA16" s="34">
        <f>IF(AND($C16&lt;&gt;"",$C16=HistPlaca),COUNTIF($C$5:$C16,HistPlaca),"")</f>
        <v>0</v>
      </c>
    </row>
    <row r="17" spans="1:27">
      <c r="A17" s="17"/>
      <c r="B17" s="25"/>
      <c r="C17" s="13"/>
      <c r="D17" s="26">
        <f>IF($C17="","",IFERROR(INDEX(VeicCli,MATCH($C17,VeicPlaca,0)),"Placa não cadastrada"))</f>
        <v>0</v>
      </c>
      <c r="E17" s="26">
        <f>IF($C17="","",IFERROR(INDEX(VeicModelo,MATCH($C17,VeicPlaca,0)),""))</f>
        <v>0</v>
      </c>
      <c r="F17" s="28"/>
      <c r="G17" s="13"/>
      <c r="H17" s="13"/>
      <c r="I17" s="13"/>
      <c r="J17" s="29"/>
      <c r="K17" s="19"/>
      <c r="L17" s="19"/>
      <c r="M17" s="25"/>
      <c r="N17" s="13"/>
      <c r="O17" s="19"/>
      <c r="P17" s="27">
        <f>IF($A17="","",N($J17)*ValorHora)</f>
        <v>0</v>
      </c>
      <c r="Q17" s="27">
        <f>IF($A17="","",SUMIFS(ItTotal,ItOS,$A17))</f>
        <v>0</v>
      </c>
      <c r="R17" s="30">
        <f>IF($A17="","",$P17+$Q17+N($K17)-N($L17))</f>
        <v>0</v>
      </c>
      <c r="S17" s="27">
        <f>IF($A17="","",SUMIFS(ItCusto,ItOS,$A17))</f>
        <v>0</v>
      </c>
      <c r="T17" s="27">
        <f>IF($A17="","",$P17*ComMec)</f>
        <v>0</v>
      </c>
      <c r="U17" s="21">
        <f>IF($A17="","",$R17-$S17-$T17-N($K17))</f>
        <v>0</v>
      </c>
      <c r="V17" s="31">
        <f>IF(OR($A17="",N($R17)&lt;=0),"",$U17/$R17)</f>
        <v>0</v>
      </c>
      <c r="W17" s="27">
        <f>IF($A17="","",IF(OR($I17="Finalizado",$I17="Entregue"),MAX(0,$R17-N($O17)),0))</f>
        <v>0</v>
      </c>
      <c r="X17" s="32">
        <f>IF(OR($A17="",$B17=""),"",IF(OR($I17="Entregue",$I17="Cancelada"),"",Hoje-$B17))</f>
        <v>0</v>
      </c>
      <c r="Y17" s="24">
        <f>IF($A17="","",IF(AND(OR($I17="Aprovado",$I17="Em execução",$I17="Aguardando peça"),N($X17)&gt;PrazoMax),"ATRASADA",IF(AND(OR($I17="Finalizado",$I17="Entregue"),$W17&gt;0.005),"Cobrar",IF($I17="Orçamento","Aguardando aprovação",""))))</f>
        <v>0</v>
      </c>
      <c r="Z17" s="33">
        <f>IF(AND($I17="Entregue",$M17&lt;&gt;""),DATE(YEAR($M17),MONTH($M17),1),"")</f>
        <v>0</v>
      </c>
      <c r="AA17" s="34">
        <f>IF(AND($C17&lt;&gt;"",$C17=HistPlaca),COUNTIF($C$5:$C17,HistPlaca),"")</f>
        <v>0</v>
      </c>
    </row>
    <row r="18" spans="1:27">
      <c r="A18" s="17"/>
      <c r="B18" s="25"/>
      <c r="C18" s="13"/>
      <c r="D18" s="26">
        <f>IF($C18="","",IFERROR(INDEX(VeicCli,MATCH($C18,VeicPlaca,0)),"Placa não cadastrada"))</f>
        <v>0</v>
      </c>
      <c r="E18" s="26">
        <f>IF($C18="","",IFERROR(INDEX(VeicModelo,MATCH($C18,VeicPlaca,0)),""))</f>
        <v>0</v>
      </c>
      <c r="F18" s="28"/>
      <c r="G18" s="13"/>
      <c r="H18" s="13"/>
      <c r="I18" s="13"/>
      <c r="J18" s="29"/>
      <c r="K18" s="19"/>
      <c r="L18" s="19"/>
      <c r="M18" s="25"/>
      <c r="N18" s="13"/>
      <c r="O18" s="19"/>
      <c r="P18" s="27">
        <f>IF($A18="","",N($J18)*ValorHora)</f>
        <v>0</v>
      </c>
      <c r="Q18" s="27">
        <f>IF($A18="","",SUMIFS(ItTotal,ItOS,$A18))</f>
        <v>0</v>
      </c>
      <c r="R18" s="30">
        <f>IF($A18="","",$P18+$Q18+N($K18)-N($L18))</f>
        <v>0</v>
      </c>
      <c r="S18" s="27">
        <f>IF($A18="","",SUMIFS(ItCusto,ItOS,$A18))</f>
        <v>0</v>
      </c>
      <c r="T18" s="27">
        <f>IF($A18="","",$P18*ComMec)</f>
        <v>0</v>
      </c>
      <c r="U18" s="21">
        <f>IF($A18="","",$R18-$S18-$T18-N($K18))</f>
        <v>0</v>
      </c>
      <c r="V18" s="31">
        <f>IF(OR($A18="",N($R18)&lt;=0),"",$U18/$R18)</f>
        <v>0</v>
      </c>
      <c r="W18" s="27">
        <f>IF($A18="","",IF(OR($I18="Finalizado",$I18="Entregue"),MAX(0,$R18-N($O18)),0))</f>
        <v>0</v>
      </c>
      <c r="X18" s="32">
        <f>IF(OR($A18="",$B18=""),"",IF(OR($I18="Entregue",$I18="Cancelada"),"",Hoje-$B18))</f>
        <v>0</v>
      </c>
      <c r="Y18" s="24">
        <f>IF($A18="","",IF(AND(OR($I18="Aprovado",$I18="Em execução",$I18="Aguardando peça"),N($X18)&gt;PrazoMax),"ATRASADA",IF(AND(OR($I18="Finalizado",$I18="Entregue"),$W18&gt;0.005),"Cobrar",IF($I18="Orçamento","Aguardando aprovação",""))))</f>
        <v>0</v>
      </c>
      <c r="Z18" s="33">
        <f>IF(AND($I18="Entregue",$M18&lt;&gt;""),DATE(YEAR($M18),MONTH($M18),1),"")</f>
        <v>0</v>
      </c>
      <c r="AA18" s="34">
        <f>IF(AND($C18&lt;&gt;"",$C18=HistPlaca),COUNTIF($C$5:$C18,HistPlaca),"")</f>
        <v>0</v>
      </c>
    </row>
    <row r="19" spans="1:27">
      <c r="A19" s="17"/>
      <c r="B19" s="25"/>
      <c r="C19" s="13"/>
      <c r="D19" s="26">
        <f>IF($C19="","",IFERROR(INDEX(VeicCli,MATCH($C19,VeicPlaca,0)),"Placa não cadastrada"))</f>
        <v>0</v>
      </c>
      <c r="E19" s="26">
        <f>IF($C19="","",IFERROR(INDEX(VeicModelo,MATCH($C19,VeicPlaca,0)),""))</f>
        <v>0</v>
      </c>
      <c r="F19" s="28"/>
      <c r="G19" s="13"/>
      <c r="H19" s="13"/>
      <c r="I19" s="13"/>
      <c r="J19" s="29"/>
      <c r="K19" s="19"/>
      <c r="L19" s="19"/>
      <c r="M19" s="25"/>
      <c r="N19" s="13"/>
      <c r="O19" s="19"/>
      <c r="P19" s="27">
        <f>IF($A19="","",N($J19)*ValorHora)</f>
        <v>0</v>
      </c>
      <c r="Q19" s="27">
        <f>IF($A19="","",SUMIFS(ItTotal,ItOS,$A19))</f>
        <v>0</v>
      </c>
      <c r="R19" s="30">
        <f>IF($A19="","",$P19+$Q19+N($K19)-N($L19))</f>
        <v>0</v>
      </c>
      <c r="S19" s="27">
        <f>IF($A19="","",SUMIFS(ItCusto,ItOS,$A19))</f>
        <v>0</v>
      </c>
      <c r="T19" s="27">
        <f>IF($A19="","",$P19*ComMec)</f>
        <v>0</v>
      </c>
      <c r="U19" s="21">
        <f>IF($A19="","",$R19-$S19-$T19-N($K19))</f>
        <v>0</v>
      </c>
      <c r="V19" s="31">
        <f>IF(OR($A19="",N($R19)&lt;=0),"",$U19/$R19)</f>
        <v>0</v>
      </c>
      <c r="W19" s="27">
        <f>IF($A19="","",IF(OR($I19="Finalizado",$I19="Entregue"),MAX(0,$R19-N($O19)),0))</f>
        <v>0</v>
      </c>
      <c r="X19" s="32">
        <f>IF(OR($A19="",$B19=""),"",IF(OR($I19="Entregue",$I19="Cancelada"),"",Hoje-$B19))</f>
        <v>0</v>
      </c>
      <c r="Y19" s="24">
        <f>IF($A19="","",IF(AND(OR($I19="Aprovado",$I19="Em execução",$I19="Aguardando peça"),N($X19)&gt;PrazoMax),"ATRASADA",IF(AND(OR($I19="Finalizado",$I19="Entregue"),$W19&gt;0.005),"Cobrar",IF($I19="Orçamento","Aguardando aprovação",""))))</f>
        <v>0</v>
      </c>
      <c r="Z19" s="33">
        <f>IF(AND($I19="Entregue",$M19&lt;&gt;""),DATE(YEAR($M19),MONTH($M19),1),"")</f>
        <v>0</v>
      </c>
      <c r="AA19" s="34">
        <f>IF(AND($C19&lt;&gt;"",$C19=HistPlaca),COUNTIF($C$5:$C19,HistPlaca),"")</f>
        <v>0</v>
      </c>
    </row>
    <row r="20" spans="1:27">
      <c r="A20" s="17"/>
      <c r="B20" s="25"/>
      <c r="C20" s="13"/>
      <c r="D20" s="26">
        <f>IF($C20="","",IFERROR(INDEX(VeicCli,MATCH($C20,VeicPlaca,0)),"Placa não cadastrada"))</f>
        <v>0</v>
      </c>
      <c r="E20" s="26">
        <f>IF($C20="","",IFERROR(INDEX(VeicModelo,MATCH($C20,VeicPlaca,0)),""))</f>
        <v>0</v>
      </c>
      <c r="F20" s="28"/>
      <c r="G20" s="13"/>
      <c r="H20" s="13"/>
      <c r="I20" s="13"/>
      <c r="J20" s="29"/>
      <c r="K20" s="19"/>
      <c r="L20" s="19"/>
      <c r="M20" s="25"/>
      <c r="N20" s="13"/>
      <c r="O20" s="19"/>
      <c r="P20" s="27">
        <f>IF($A20="","",N($J20)*ValorHora)</f>
        <v>0</v>
      </c>
      <c r="Q20" s="27">
        <f>IF($A20="","",SUMIFS(ItTotal,ItOS,$A20))</f>
        <v>0</v>
      </c>
      <c r="R20" s="30">
        <f>IF($A20="","",$P20+$Q20+N($K20)-N($L20))</f>
        <v>0</v>
      </c>
      <c r="S20" s="27">
        <f>IF($A20="","",SUMIFS(ItCusto,ItOS,$A20))</f>
        <v>0</v>
      </c>
      <c r="T20" s="27">
        <f>IF($A20="","",$P20*ComMec)</f>
        <v>0</v>
      </c>
      <c r="U20" s="21">
        <f>IF($A20="","",$R20-$S20-$T20-N($K20))</f>
        <v>0</v>
      </c>
      <c r="V20" s="31">
        <f>IF(OR($A20="",N($R20)&lt;=0),"",$U20/$R20)</f>
        <v>0</v>
      </c>
      <c r="W20" s="27">
        <f>IF($A20="","",IF(OR($I20="Finalizado",$I20="Entregue"),MAX(0,$R20-N($O20)),0))</f>
        <v>0</v>
      </c>
      <c r="X20" s="32">
        <f>IF(OR($A20="",$B20=""),"",IF(OR($I20="Entregue",$I20="Cancelada"),"",Hoje-$B20))</f>
        <v>0</v>
      </c>
      <c r="Y20" s="24">
        <f>IF($A20="","",IF(AND(OR($I20="Aprovado",$I20="Em execução",$I20="Aguardando peça"),N($X20)&gt;PrazoMax),"ATRASADA",IF(AND(OR($I20="Finalizado",$I20="Entregue"),$W20&gt;0.005),"Cobrar",IF($I20="Orçamento","Aguardando aprovação",""))))</f>
        <v>0</v>
      </c>
      <c r="Z20" s="33">
        <f>IF(AND($I20="Entregue",$M20&lt;&gt;""),DATE(YEAR($M20),MONTH($M20),1),"")</f>
        <v>0</v>
      </c>
      <c r="AA20" s="34">
        <f>IF(AND($C20&lt;&gt;"",$C20=HistPlaca),COUNTIF($C$5:$C20,HistPlaca),"")</f>
        <v>0</v>
      </c>
    </row>
    <row r="21" spans="1:27">
      <c r="A21" s="17"/>
      <c r="B21" s="25"/>
      <c r="C21" s="13"/>
      <c r="D21" s="26">
        <f>IF($C21="","",IFERROR(INDEX(VeicCli,MATCH($C21,VeicPlaca,0)),"Placa não cadastrada"))</f>
        <v>0</v>
      </c>
      <c r="E21" s="26">
        <f>IF($C21="","",IFERROR(INDEX(VeicModelo,MATCH($C21,VeicPlaca,0)),""))</f>
        <v>0</v>
      </c>
      <c r="F21" s="28"/>
      <c r="G21" s="13"/>
      <c r="H21" s="13"/>
      <c r="I21" s="13"/>
      <c r="J21" s="29"/>
      <c r="K21" s="19"/>
      <c r="L21" s="19"/>
      <c r="M21" s="25"/>
      <c r="N21" s="13"/>
      <c r="O21" s="19"/>
      <c r="P21" s="27">
        <f>IF($A21="","",N($J21)*ValorHora)</f>
        <v>0</v>
      </c>
      <c r="Q21" s="27">
        <f>IF($A21="","",SUMIFS(ItTotal,ItOS,$A21))</f>
        <v>0</v>
      </c>
      <c r="R21" s="30">
        <f>IF($A21="","",$P21+$Q21+N($K21)-N($L21))</f>
        <v>0</v>
      </c>
      <c r="S21" s="27">
        <f>IF($A21="","",SUMIFS(ItCusto,ItOS,$A21))</f>
        <v>0</v>
      </c>
      <c r="T21" s="27">
        <f>IF($A21="","",$P21*ComMec)</f>
        <v>0</v>
      </c>
      <c r="U21" s="21">
        <f>IF($A21="","",$R21-$S21-$T21-N($K21))</f>
        <v>0</v>
      </c>
      <c r="V21" s="31">
        <f>IF(OR($A21="",N($R21)&lt;=0),"",$U21/$R21)</f>
        <v>0</v>
      </c>
      <c r="W21" s="27">
        <f>IF($A21="","",IF(OR($I21="Finalizado",$I21="Entregue"),MAX(0,$R21-N($O21)),0))</f>
        <v>0</v>
      </c>
      <c r="X21" s="32">
        <f>IF(OR($A21="",$B21=""),"",IF(OR($I21="Entregue",$I21="Cancelada"),"",Hoje-$B21))</f>
        <v>0</v>
      </c>
      <c r="Y21" s="24">
        <f>IF($A21="","",IF(AND(OR($I21="Aprovado",$I21="Em execução",$I21="Aguardando peça"),N($X21)&gt;PrazoMax),"ATRASADA",IF(AND(OR($I21="Finalizado",$I21="Entregue"),$W21&gt;0.005),"Cobrar",IF($I21="Orçamento","Aguardando aprovação",""))))</f>
        <v>0</v>
      </c>
      <c r="Z21" s="33">
        <f>IF(AND($I21="Entregue",$M21&lt;&gt;""),DATE(YEAR($M21),MONTH($M21),1),"")</f>
        <v>0</v>
      </c>
      <c r="AA21" s="34">
        <f>IF(AND($C21&lt;&gt;"",$C21=HistPlaca),COUNTIF($C$5:$C21,HistPlaca),"")</f>
        <v>0</v>
      </c>
    </row>
    <row r="22" spans="1:27">
      <c r="A22" s="17"/>
      <c r="B22" s="25"/>
      <c r="C22" s="13"/>
      <c r="D22" s="26">
        <f>IF($C22="","",IFERROR(INDEX(VeicCli,MATCH($C22,VeicPlaca,0)),"Placa não cadastrada"))</f>
        <v>0</v>
      </c>
      <c r="E22" s="26">
        <f>IF($C22="","",IFERROR(INDEX(VeicModelo,MATCH($C22,VeicPlaca,0)),""))</f>
        <v>0</v>
      </c>
      <c r="F22" s="28"/>
      <c r="G22" s="13"/>
      <c r="H22" s="13"/>
      <c r="I22" s="13"/>
      <c r="J22" s="29"/>
      <c r="K22" s="19"/>
      <c r="L22" s="19"/>
      <c r="M22" s="25"/>
      <c r="N22" s="13"/>
      <c r="O22" s="19"/>
      <c r="P22" s="27">
        <f>IF($A22="","",N($J22)*ValorHora)</f>
        <v>0</v>
      </c>
      <c r="Q22" s="27">
        <f>IF($A22="","",SUMIFS(ItTotal,ItOS,$A22))</f>
        <v>0</v>
      </c>
      <c r="R22" s="30">
        <f>IF($A22="","",$P22+$Q22+N($K22)-N($L22))</f>
        <v>0</v>
      </c>
      <c r="S22" s="27">
        <f>IF($A22="","",SUMIFS(ItCusto,ItOS,$A22))</f>
        <v>0</v>
      </c>
      <c r="T22" s="27">
        <f>IF($A22="","",$P22*ComMec)</f>
        <v>0</v>
      </c>
      <c r="U22" s="21">
        <f>IF($A22="","",$R22-$S22-$T22-N($K22))</f>
        <v>0</v>
      </c>
      <c r="V22" s="31">
        <f>IF(OR($A22="",N($R22)&lt;=0),"",$U22/$R22)</f>
        <v>0</v>
      </c>
      <c r="W22" s="27">
        <f>IF($A22="","",IF(OR($I22="Finalizado",$I22="Entregue"),MAX(0,$R22-N($O22)),0))</f>
        <v>0</v>
      </c>
      <c r="X22" s="32">
        <f>IF(OR($A22="",$B22=""),"",IF(OR($I22="Entregue",$I22="Cancelada"),"",Hoje-$B22))</f>
        <v>0</v>
      </c>
      <c r="Y22" s="24">
        <f>IF($A22="","",IF(AND(OR($I22="Aprovado",$I22="Em execução",$I22="Aguardando peça"),N($X22)&gt;PrazoMax),"ATRASADA",IF(AND(OR($I22="Finalizado",$I22="Entregue"),$W22&gt;0.005),"Cobrar",IF($I22="Orçamento","Aguardando aprovação",""))))</f>
        <v>0</v>
      </c>
      <c r="Z22" s="33">
        <f>IF(AND($I22="Entregue",$M22&lt;&gt;""),DATE(YEAR($M22),MONTH($M22),1),"")</f>
        <v>0</v>
      </c>
      <c r="AA22" s="34">
        <f>IF(AND($C22&lt;&gt;"",$C22=HistPlaca),COUNTIF($C$5:$C22,HistPlaca),"")</f>
        <v>0</v>
      </c>
    </row>
    <row r="23" spans="1:27">
      <c r="A23" s="17"/>
      <c r="B23" s="25"/>
      <c r="C23" s="13"/>
      <c r="D23" s="26">
        <f>IF($C23="","",IFERROR(INDEX(VeicCli,MATCH($C23,VeicPlaca,0)),"Placa não cadastrada"))</f>
        <v>0</v>
      </c>
      <c r="E23" s="26">
        <f>IF($C23="","",IFERROR(INDEX(VeicModelo,MATCH($C23,VeicPlaca,0)),""))</f>
        <v>0</v>
      </c>
      <c r="F23" s="28"/>
      <c r="G23" s="13"/>
      <c r="H23" s="13"/>
      <c r="I23" s="13"/>
      <c r="J23" s="29"/>
      <c r="K23" s="19"/>
      <c r="L23" s="19"/>
      <c r="M23" s="25"/>
      <c r="N23" s="13"/>
      <c r="O23" s="19"/>
      <c r="P23" s="27">
        <f>IF($A23="","",N($J23)*ValorHora)</f>
        <v>0</v>
      </c>
      <c r="Q23" s="27">
        <f>IF($A23="","",SUMIFS(ItTotal,ItOS,$A23))</f>
        <v>0</v>
      </c>
      <c r="R23" s="30">
        <f>IF($A23="","",$P23+$Q23+N($K23)-N($L23))</f>
        <v>0</v>
      </c>
      <c r="S23" s="27">
        <f>IF($A23="","",SUMIFS(ItCusto,ItOS,$A23))</f>
        <v>0</v>
      </c>
      <c r="T23" s="27">
        <f>IF($A23="","",$P23*ComMec)</f>
        <v>0</v>
      </c>
      <c r="U23" s="21">
        <f>IF($A23="","",$R23-$S23-$T23-N($K23))</f>
        <v>0</v>
      </c>
      <c r="V23" s="31">
        <f>IF(OR($A23="",N($R23)&lt;=0),"",$U23/$R23)</f>
        <v>0</v>
      </c>
      <c r="W23" s="27">
        <f>IF($A23="","",IF(OR($I23="Finalizado",$I23="Entregue"),MAX(0,$R23-N($O23)),0))</f>
        <v>0</v>
      </c>
      <c r="X23" s="32">
        <f>IF(OR($A23="",$B23=""),"",IF(OR($I23="Entregue",$I23="Cancelada"),"",Hoje-$B23))</f>
        <v>0</v>
      </c>
      <c r="Y23" s="24">
        <f>IF($A23="","",IF(AND(OR($I23="Aprovado",$I23="Em execução",$I23="Aguardando peça"),N($X23)&gt;PrazoMax),"ATRASADA",IF(AND(OR($I23="Finalizado",$I23="Entregue"),$W23&gt;0.005),"Cobrar",IF($I23="Orçamento","Aguardando aprovação",""))))</f>
        <v>0</v>
      </c>
      <c r="Z23" s="33">
        <f>IF(AND($I23="Entregue",$M23&lt;&gt;""),DATE(YEAR($M23),MONTH($M23),1),"")</f>
        <v>0</v>
      </c>
      <c r="AA23" s="34">
        <f>IF(AND($C23&lt;&gt;"",$C23=HistPlaca),COUNTIF($C$5:$C23,HistPlaca),"")</f>
        <v>0</v>
      </c>
    </row>
    <row r="24" spans="1:27">
      <c r="A24" s="17"/>
      <c r="B24" s="25"/>
      <c r="C24" s="13"/>
      <c r="D24" s="26">
        <f>IF($C24="","",IFERROR(INDEX(VeicCli,MATCH($C24,VeicPlaca,0)),"Placa não cadastrada"))</f>
        <v>0</v>
      </c>
      <c r="E24" s="26">
        <f>IF($C24="","",IFERROR(INDEX(VeicModelo,MATCH($C24,VeicPlaca,0)),""))</f>
        <v>0</v>
      </c>
      <c r="F24" s="28"/>
      <c r="G24" s="13"/>
      <c r="H24" s="13"/>
      <c r="I24" s="13"/>
      <c r="J24" s="29"/>
      <c r="K24" s="19"/>
      <c r="L24" s="19"/>
      <c r="M24" s="25"/>
      <c r="N24" s="13"/>
      <c r="O24" s="19"/>
      <c r="P24" s="27">
        <f>IF($A24="","",N($J24)*ValorHora)</f>
        <v>0</v>
      </c>
      <c r="Q24" s="27">
        <f>IF($A24="","",SUMIFS(ItTotal,ItOS,$A24))</f>
        <v>0</v>
      </c>
      <c r="R24" s="30">
        <f>IF($A24="","",$P24+$Q24+N($K24)-N($L24))</f>
        <v>0</v>
      </c>
      <c r="S24" s="27">
        <f>IF($A24="","",SUMIFS(ItCusto,ItOS,$A24))</f>
        <v>0</v>
      </c>
      <c r="T24" s="27">
        <f>IF($A24="","",$P24*ComMec)</f>
        <v>0</v>
      </c>
      <c r="U24" s="21">
        <f>IF($A24="","",$R24-$S24-$T24-N($K24))</f>
        <v>0</v>
      </c>
      <c r="V24" s="31">
        <f>IF(OR($A24="",N($R24)&lt;=0),"",$U24/$R24)</f>
        <v>0</v>
      </c>
      <c r="W24" s="27">
        <f>IF($A24="","",IF(OR($I24="Finalizado",$I24="Entregue"),MAX(0,$R24-N($O24)),0))</f>
        <v>0</v>
      </c>
      <c r="X24" s="32">
        <f>IF(OR($A24="",$B24=""),"",IF(OR($I24="Entregue",$I24="Cancelada"),"",Hoje-$B24))</f>
        <v>0</v>
      </c>
      <c r="Y24" s="24">
        <f>IF($A24="","",IF(AND(OR($I24="Aprovado",$I24="Em execução",$I24="Aguardando peça"),N($X24)&gt;PrazoMax),"ATRASADA",IF(AND(OR($I24="Finalizado",$I24="Entregue"),$W24&gt;0.005),"Cobrar",IF($I24="Orçamento","Aguardando aprovação",""))))</f>
        <v>0</v>
      </c>
      <c r="Z24" s="33">
        <f>IF(AND($I24="Entregue",$M24&lt;&gt;""),DATE(YEAR($M24),MONTH($M24),1),"")</f>
        <v>0</v>
      </c>
      <c r="AA24" s="34">
        <f>IF(AND($C24&lt;&gt;"",$C24=HistPlaca),COUNTIF($C$5:$C24,HistPlaca),"")</f>
        <v>0</v>
      </c>
    </row>
    <row r="25" spans="1:27">
      <c r="A25" s="17"/>
      <c r="B25" s="25"/>
      <c r="C25" s="13"/>
      <c r="D25" s="26">
        <f>IF($C25="","",IFERROR(INDEX(VeicCli,MATCH($C25,VeicPlaca,0)),"Placa não cadastrada"))</f>
        <v>0</v>
      </c>
      <c r="E25" s="26">
        <f>IF($C25="","",IFERROR(INDEX(VeicModelo,MATCH($C25,VeicPlaca,0)),""))</f>
        <v>0</v>
      </c>
      <c r="F25" s="28"/>
      <c r="G25" s="13"/>
      <c r="H25" s="13"/>
      <c r="I25" s="13"/>
      <c r="J25" s="29"/>
      <c r="K25" s="19"/>
      <c r="L25" s="19"/>
      <c r="M25" s="25"/>
      <c r="N25" s="13"/>
      <c r="O25" s="19"/>
      <c r="P25" s="27">
        <f>IF($A25="","",N($J25)*ValorHora)</f>
        <v>0</v>
      </c>
      <c r="Q25" s="27">
        <f>IF($A25="","",SUMIFS(ItTotal,ItOS,$A25))</f>
        <v>0</v>
      </c>
      <c r="R25" s="30">
        <f>IF($A25="","",$P25+$Q25+N($K25)-N($L25))</f>
        <v>0</v>
      </c>
      <c r="S25" s="27">
        <f>IF($A25="","",SUMIFS(ItCusto,ItOS,$A25))</f>
        <v>0</v>
      </c>
      <c r="T25" s="27">
        <f>IF($A25="","",$P25*ComMec)</f>
        <v>0</v>
      </c>
      <c r="U25" s="21">
        <f>IF($A25="","",$R25-$S25-$T25-N($K25))</f>
        <v>0</v>
      </c>
      <c r="V25" s="31">
        <f>IF(OR($A25="",N($R25)&lt;=0),"",$U25/$R25)</f>
        <v>0</v>
      </c>
      <c r="W25" s="27">
        <f>IF($A25="","",IF(OR($I25="Finalizado",$I25="Entregue"),MAX(0,$R25-N($O25)),0))</f>
        <v>0</v>
      </c>
      <c r="X25" s="32">
        <f>IF(OR($A25="",$B25=""),"",IF(OR($I25="Entregue",$I25="Cancelada"),"",Hoje-$B25))</f>
        <v>0</v>
      </c>
      <c r="Y25" s="24">
        <f>IF($A25="","",IF(AND(OR($I25="Aprovado",$I25="Em execução",$I25="Aguardando peça"),N($X25)&gt;PrazoMax),"ATRASADA",IF(AND(OR($I25="Finalizado",$I25="Entregue"),$W25&gt;0.005),"Cobrar",IF($I25="Orçamento","Aguardando aprovação",""))))</f>
        <v>0</v>
      </c>
      <c r="Z25" s="33">
        <f>IF(AND($I25="Entregue",$M25&lt;&gt;""),DATE(YEAR($M25),MONTH($M25),1),"")</f>
        <v>0</v>
      </c>
      <c r="AA25" s="34">
        <f>IF(AND($C25&lt;&gt;"",$C25=HistPlaca),COUNTIF($C$5:$C25,HistPlaca),"")</f>
        <v>0</v>
      </c>
    </row>
    <row r="26" spans="1:27">
      <c r="A26" s="17"/>
      <c r="B26" s="25"/>
      <c r="C26" s="13"/>
      <c r="D26" s="26">
        <f>IF($C26="","",IFERROR(INDEX(VeicCli,MATCH($C26,VeicPlaca,0)),"Placa não cadastrada"))</f>
        <v>0</v>
      </c>
      <c r="E26" s="26">
        <f>IF($C26="","",IFERROR(INDEX(VeicModelo,MATCH($C26,VeicPlaca,0)),""))</f>
        <v>0</v>
      </c>
      <c r="F26" s="28"/>
      <c r="G26" s="13"/>
      <c r="H26" s="13"/>
      <c r="I26" s="13"/>
      <c r="J26" s="29"/>
      <c r="K26" s="19"/>
      <c r="L26" s="19"/>
      <c r="M26" s="25"/>
      <c r="N26" s="13"/>
      <c r="O26" s="19"/>
      <c r="P26" s="27">
        <f>IF($A26="","",N($J26)*ValorHora)</f>
        <v>0</v>
      </c>
      <c r="Q26" s="27">
        <f>IF($A26="","",SUMIFS(ItTotal,ItOS,$A26))</f>
        <v>0</v>
      </c>
      <c r="R26" s="30">
        <f>IF($A26="","",$P26+$Q26+N($K26)-N($L26))</f>
        <v>0</v>
      </c>
      <c r="S26" s="27">
        <f>IF($A26="","",SUMIFS(ItCusto,ItOS,$A26))</f>
        <v>0</v>
      </c>
      <c r="T26" s="27">
        <f>IF($A26="","",$P26*ComMec)</f>
        <v>0</v>
      </c>
      <c r="U26" s="21">
        <f>IF($A26="","",$R26-$S26-$T26-N($K26))</f>
        <v>0</v>
      </c>
      <c r="V26" s="31">
        <f>IF(OR($A26="",N($R26)&lt;=0),"",$U26/$R26)</f>
        <v>0</v>
      </c>
      <c r="W26" s="27">
        <f>IF($A26="","",IF(OR($I26="Finalizado",$I26="Entregue"),MAX(0,$R26-N($O26)),0))</f>
        <v>0</v>
      </c>
      <c r="X26" s="32">
        <f>IF(OR($A26="",$B26=""),"",IF(OR($I26="Entregue",$I26="Cancelada"),"",Hoje-$B26))</f>
        <v>0</v>
      </c>
      <c r="Y26" s="24">
        <f>IF($A26="","",IF(AND(OR($I26="Aprovado",$I26="Em execução",$I26="Aguardando peça"),N($X26)&gt;PrazoMax),"ATRASADA",IF(AND(OR($I26="Finalizado",$I26="Entregue"),$W26&gt;0.005),"Cobrar",IF($I26="Orçamento","Aguardando aprovação",""))))</f>
        <v>0</v>
      </c>
      <c r="Z26" s="33">
        <f>IF(AND($I26="Entregue",$M26&lt;&gt;""),DATE(YEAR($M26),MONTH($M26),1),"")</f>
        <v>0</v>
      </c>
      <c r="AA26" s="34">
        <f>IF(AND($C26&lt;&gt;"",$C26=HistPlaca),COUNTIF($C$5:$C26,HistPlaca),"")</f>
        <v>0</v>
      </c>
    </row>
    <row r="27" spans="1:27">
      <c r="A27" s="17"/>
      <c r="B27" s="25"/>
      <c r="C27" s="13"/>
      <c r="D27" s="26">
        <f>IF($C27="","",IFERROR(INDEX(VeicCli,MATCH($C27,VeicPlaca,0)),"Placa não cadastrada"))</f>
        <v>0</v>
      </c>
      <c r="E27" s="26">
        <f>IF($C27="","",IFERROR(INDEX(VeicModelo,MATCH($C27,VeicPlaca,0)),""))</f>
        <v>0</v>
      </c>
      <c r="F27" s="28"/>
      <c r="G27" s="13"/>
      <c r="H27" s="13"/>
      <c r="I27" s="13"/>
      <c r="J27" s="29"/>
      <c r="K27" s="19"/>
      <c r="L27" s="19"/>
      <c r="M27" s="25"/>
      <c r="N27" s="13"/>
      <c r="O27" s="19"/>
      <c r="P27" s="27">
        <f>IF($A27="","",N($J27)*ValorHora)</f>
        <v>0</v>
      </c>
      <c r="Q27" s="27">
        <f>IF($A27="","",SUMIFS(ItTotal,ItOS,$A27))</f>
        <v>0</v>
      </c>
      <c r="R27" s="30">
        <f>IF($A27="","",$P27+$Q27+N($K27)-N($L27))</f>
        <v>0</v>
      </c>
      <c r="S27" s="27">
        <f>IF($A27="","",SUMIFS(ItCusto,ItOS,$A27))</f>
        <v>0</v>
      </c>
      <c r="T27" s="27">
        <f>IF($A27="","",$P27*ComMec)</f>
        <v>0</v>
      </c>
      <c r="U27" s="21">
        <f>IF($A27="","",$R27-$S27-$T27-N($K27))</f>
        <v>0</v>
      </c>
      <c r="V27" s="31">
        <f>IF(OR($A27="",N($R27)&lt;=0),"",$U27/$R27)</f>
        <v>0</v>
      </c>
      <c r="W27" s="27">
        <f>IF($A27="","",IF(OR($I27="Finalizado",$I27="Entregue"),MAX(0,$R27-N($O27)),0))</f>
        <v>0</v>
      </c>
      <c r="X27" s="32">
        <f>IF(OR($A27="",$B27=""),"",IF(OR($I27="Entregue",$I27="Cancelada"),"",Hoje-$B27))</f>
        <v>0</v>
      </c>
      <c r="Y27" s="24">
        <f>IF($A27="","",IF(AND(OR($I27="Aprovado",$I27="Em execução",$I27="Aguardando peça"),N($X27)&gt;PrazoMax),"ATRASADA",IF(AND(OR($I27="Finalizado",$I27="Entregue"),$W27&gt;0.005),"Cobrar",IF($I27="Orçamento","Aguardando aprovação",""))))</f>
        <v>0</v>
      </c>
      <c r="Z27" s="33">
        <f>IF(AND($I27="Entregue",$M27&lt;&gt;""),DATE(YEAR($M27),MONTH($M27),1),"")</f>
        <v>0</v>
      </c>
      <c r="AA27" s="34">
        <f>IF(AND($C27&lt;&gt;"",$C27=HistPlaca),COUNTIF($C$5:$C27,HistPlaca),"")</f>
        <v>0</v>
      </c>
    </row>
    <row r="28" spans="1:27">
      <c r="A28" s="17"/>
      <c r="B28" s="25"/>
      <c r="C28" s="13"/>
      <c r="D28" s="26">
        <f>IF($C28="","",IFERROR(INDEX(VeicCli,MATCH($C28,VeicPlaca,0)),"Placa não cadastrada"))</f>
        <v>0</v>
      </c>
      <c r="E28" s="26">
        <f>IF($C28="","",IFERROR(INDEX(VeicModelo,MATCH($C28,VeicPlaca,0)),""))</f>
        <v>0</v>
      </c>
      <c r="F28" s="28"/>
      <c r="G28" s="13"/>
      <c r="H28" s="13"/>
      <c r="I28" s="13"/>
      <c r="J28" s="29"/>
      <c r="K28" s="19"/>
      <c r="L28" s="19"/>
      <c r="M28" s="25"/>
      <c r="N28" s="13"/>
      <c r="O28" s="19"/>
      <c r="P28" s="27">
        <f>IF($A28="","",N($J28)*ValorHora)</f>
        <v>0</v>
      </c>
      <c r="Q28" s="27">
        <f>IF($A28="","",SUMIFS(ItTotal,ItOS,$A28))</f>
        <v>0</v>
      </c>
      <c r="R28" s="30">
        <f>IF($A28="","",$P28+$Q28+N($K28)-N($L28))</f>
        <v>0</v>
      </c>
      <c r="S28" s="27">
        <f>IF($A28="","",SUMIFS(ItCusto,ItOS,$A28))</f>
        <v>0</v>
      </c>
      <c r="T28" s="27">
        <f>IF($A28="","",$P28*ComMec)</f>
        <v>0</v>
      </c>
      <c r="U28" s="21">
        <f>IF($A28="","",$R28-$S28-$T28-N($K28))</f>
        <v>0</v>
      </c>
      <c r="V28" s="31">
        <f>IF(OR($A28="",N($R28)&lt;=0),"",$U28/$R28)</f>
        <v>0</v>
      </c>
      <c r="W28" s="27">
        <f>IF($A28="","",IF(OR($I28="Finalizado",$I28="Entregue"),MAX(0,$R28-N($O28)),0))</f>
        <v>0</v>
      </c>
      <c r="X28" s="32">
        <f>IF(OR($A28="",$B28=""),"",IF(OR($I28="Entregue",$I28="Cancelada"),"",Hoje-$B28))</f>
        <v>0</v>
      </c>
      <c r="Y28" s="24">
        <f>IF($A28="","",IF(AND(OR($I28="Aprovado",$I28="Em execução",$I28="Aguardando peça"),N($X28)&gt;PrazoMax),"ATRASADA",IF(AND(OR($I28="Finalizado",$I28="Entregue"),$W28&gt;0.005),"Cobrar",IF($I28="Orçamento","Aguardando aprovação",""))))</f>
        <v>0</v>
      </c>
      <c r="Z28" s="33">
        <f>IF(AND($I28="Entregue",$M28&lt;&gt;""),DATE(YEAR($M28),MONTH($M28),1),"")</f>
        <v>0</v>
      </c>
      <c r="AA28" s="34">
        <f>IF(AND($C28&lt;&gt;"",$C28=HistPlaca),COUNTIF($C$5:$C28,HistPlaca),"")</f>
        <v>0</v>
      </c>
    </row>
    <row r="29" spans="1:27">
      <c r="A29" s="17"/>
      <c r="B29" s="25"/>
      <c r="C29" s="13"/>
      <c r="D29" s="26">
        <f>IF($C29="","",IFERROR(INDEX(VeicCli,MATCH($C29,VeicPlaca,0)),"Placa não cadastrada"))</f>
        <v>0</v>
      </c>
      <c r="E29" s="26">
        <f>IF($C29="","",IFERROR(INDEX(VeicModelo,MATCH($C29,VeicPlaca,0)),""))</f>
        <v>0</v>
      </c>
      <c r="F29" s="28"/>
      <c r="G29" s="13"/>
      <c r="H29" s="13"/>
      <c r="I29" s="13"/>
      <c r="J29" s="29"/>
      <c r="K29" s="19"/>
      <c r="L29" s="19"/>
      <c r="M29" s="25"/>
      <c r="N29" s="13"/>
      <c r="O29" s="19"/>
      <c r="P29" s="27">
        <f>IF($A29="","",N($J29)*ValorHora)</f>
        <v>0</v>
      </c>
      <c r="Q29" s="27">
        <f>IF($A29="","",SUMIFS(ItTotal,ItOS,$A29))</f>
        <v>0</v>
      </c>
      <c r="R29" s="30">
        <f>IF($A29="","",$P29+$Q29+N($K29)-N($L29))</f>
        <v>0</v>
      </c>
      <c r="S29" s="27">
        <f>IF($A29="","",SUMIFS(ItCusto,ItOS,$A29))</f>
        <v>0</v>
      </c>
      <c r="T29" s="27">
        <f>IF($A29="","",$P29*ComMec)</f>
        <v>0</v>
      </c>
      <c r="U29" s="21">
        <f>IF($A29="","",$R29-$S29-$T29-N($K29))</f>
        <v>0</v>
      </c>
      <c r="V29" s="31">
        <f>IF(OR($A29="",N($R29)&lt;=0),"",$U29/$R29)</f>
        <v>0</v>
      </c>
      <c r="W29" s="27">
        <f>IF($A29="","",IF(OR($I29="Finalizado",$I29="Entregue"),MAX(0,$R29-N($O29)),0))</f>
        <v>0</v>
      </c>
      <c r="X29" s="32">
        <f>IF(OR($A29="",$B29=""),"",IF(OR($I29="Entregue",$I29="Cancelada"),"",Hoje-$B29))</f>
        <v>0</v>
      </c>
      <c r="Y29" s="24">
        <f>IF($A29="","",IF(AND(OR($I29="Aprovado",$I29="Em execução",$I29="Aguardando peça"),N($X29)&gt;PrazoMax),"ATRASADA",IF(AND(OR($I29="Finalizado",$I29="Entregue"),$W29&gt;0.005),"Cobrar",IF($I29="Orçamento","Aguardando aprovação",""))))</f>
        <v>0</v>
      </c>
      <c r="Z29" s="33">
        <f>IF(AND($I29="Entregue",$M29&lt;&gt;""),DATE(YEAR($M29),MONTH($M29),1),"")</f>
        <v>0</v>
      </c>
      <c r="AA29" s="34">
        <f>IF(AND($C29&lt;&gt;"",$C29=HistPlaca),COUNTIF($C$5:$C29,HistPlaca),"")</f>
        <v>0</v>
      </c>
    </row>
    <row r="30" spans="1:27">
      <c r="A30" s="17"/>
      <c r="B30" s="25"/>
      <c r="C30" s="13"/>
      <c r="D30" s="26">
        <f>IF($C30="","",IFERROR(INDEX(VeicCli,MATCH($C30,VeicPlaca,0)),"Placa não cadastrada"))</f>
        <v>0</v>
      </c>
      <c r="E30" s="26">
        <f>IF($C30="","",IFERROR(INDEX(VeicModelo,MATCH($C30,VeicPlaca,0)),""))</f>
        <v>0</v>
      </c>
      <c r="F30" s="28"/>
      <c r="G30" s="13"/>
      <c r="H30" s="13"/>
      <c r="I30" s="13"/>
      <c r="J30" s="29"/>
      <c r="K30" s="19"/>
      <c r="L30" s="19"/>
      <c r="M30" s="25"/>
      <c r="N30" s="13"/>
      <c r="O30" s="19"/>
      <c r="P30" s="27">
        <f>IF($A30="","",N($J30)*ValorHora)</f>
        <v>0</v>
      </c>
      <c r="Q30" s="27">
        <f>IF($A30="","",SUMIFS(ItTotal,ItOS,$A30))</f>
        <v>0</v>
      </c>
      <c r="R30" s="30">
        <f>IF($A30="","",$P30+$Q30+N($K30)-N($L30))</f>
        <v>0</v>
      </c>
      <c r="S30" s="27">
        <f>IF($A30="","",SUMIFS(ItCusto,ItOS,$A30))</f>
        <v>0</v>
      </c>
      <c r="T30" s="27">
        <f>IF($A30="","",$P30*ComMec)</f>
        <v>0</v>
      </c>
      <c r="U30" s="21">
        <f>IF($A30="","",$R30-$S30-$T30-N($K30))</f>
        <v>0</v>
      </c>
      <c r="V30" s="31">
        <f>IF(OR($A30="",N($R30)&lt;=0),"",$U30/$R30)</f>
        <v>0</v>
      </c>
      <c r="W30" s="27">
        <f>IF($A30="","",IF(OR($I30="Finalizado",$I30="Entregue"),MAX(0,$R30-N($O30)),0))</f>
        <v>0</v>
      </c>
      <c r="X30" s="32">
        <f>IF(OR($A30="",$B30=""),"",IF(OR($I30="Entregue",$I30="Cancelada"),"",Hoje-$B30))</f>
        <v>0</v>
      </c>
      <c r="Y30" s="24">
        <f>IF($A30="","",IF(AND(OR($I30="Aprovado",$I30="Em execução",$I30="Aguardando peça"),N($X30)&gt;PrazoMax),"ATRASADA",IF(AND(OR($I30="Finalizado",$I30="Entregue"),$W30&gt;0.005),"Cobrar",IF($I30="Orçamento","Aguardando aprovação",""))))</f>
        <v>0</v>
      </c>
      <c r="Z30" s="33">
        <f>IF(AND($I30="Entregue",$M30&lt;&gt;""),DATE(YEAR($M30),MONTH($M30),1),"")</f>
        <v>0</v>
      </c>
      <c r="AA30" s="34">
        <f>IF(AND($C30&lt;&gt;"",$C30=HistPlaca),COUNTIF($C$5:$C30,HistPlaca),"")</f>
        <v>0</v>
      </c>
    </row>
    <row r="31" spans="1:27">
      <c r="A31" s="17"/>
      <c r="B31" s="25"/>
      <c r="C31" s="13"/>
      <c r="D31" s="26">
        <f>IF($C31="","",IFERROR(INDEX(VeicCli,MATCH($C31,VeicPlaca,0)),"Placa não cadastrada"))</f>
        <v>0</v>
      </c>
      <c r="E31" s="26">
        <f>IF($C31="","",IFERROR(INDEX(VeicModelo,MATCH($C31,VeicPlaca,0)),""))</f>
        <v>0</v>
      </c>
      <c r="F31" s="28"/>
      <c r="G31" s="13"/>
      <c r="H31" s="13"/>
      <c r="I31" s="13"/>
      <c r="J31" s="29"/>
      <c r="K31" s="19"/>
      <c r="L31" s="19"/>
      <c r="M31" s="25"/>
      <c r="N31" s="13"/>
      <c r="O31" s="19"/>
      <c r="P31" s="27">
        <f>IF($A31="","",N($J31)*ValorHora)</f>
        <v>0</v>
      </c>
      <c r="Q31" s="27">
        <f>IF($A31="","",SUMIFS(ItTotal,ItOS,$A31))</f>
        <v>0</v>
      </c>
      <c r="R31" s="30">
        <f>IF($A31="","",$P31+$Q31+N($K31)-N($L31))</f>
        <v>0</v>
      </c>
      <c r="S31" s="27">
        <f>IF($A31="","",SUMIFS(ItCusto,ItOS,$A31))</f>
        <v>0</v>
      </c>
      <c r="T31" s="27">
        <f>IF($A31="","",$P31*ComMec)</f>
        <v>0</v>
      </c>
      <c r="U31" s="21">
        <f>IF($A31="","",$R31-$S31-$T31-N($K31))</f>
        <v>0</v>
      </c>
      <c r="V31" s="31">
        <f>IF(OR($A31="",N($R31)&lt;=0),"",$U31/$R31)</f>
        <v>0</v>
      </c>
      <c r="W31" s="27">
        <f>IF($A31="","",IF(OR($I31="Finalizado",$I31="Entregue"),MAX(0,$R31-N($O31)),0))</f>
        <v>0</v>
      </c>
      <c r="X31" s="32">
        <f>IF(OR($A31="",$B31=""),"",IF(OR($I31="Entregue",$I31="Cancelada"),"",Hoje-$B31))</f>
        <v>0</v>
      </c>
      <c r="Y31" s="24">
        <f>IF($A31="","",IF(AND(OR($I31="Aprovado",$I31="Em execução",$I31="Aguardando peça"),N($X31)&gt;PrazoMax),"ATRASADA",IF(AND(OR($I31="Finalizado",$I31="Entregue"),$W31&gt;0.005),"Cobrar",IF($I31="Orçamento","Aguardando aprovação",""))))</f>
        <v>0</v>
      </c>
      <c r="Z31" s="33">
        <f>IF(AND($I31="Entregue",$M31&lt;&gt;""),DATE(YEAR($M31),MONTH($M31),1),"")</f>
        <v>0</v>
      </c>
      <c r="AA31" s="34">
        <f>IF(AND($C31&lt;&gt;"",$C31=HistPlaca),COUNTIF($C$5:$C31,HistPlaca),"")</f>
        <v>0</v>
      </c>
    </row>
    <row r="32" spans="1:27">
      <c r="A32" s="17"/>
      <c r="B32" s="25"/>
      <c r="C32" s="13"/>
      <c r="D32" s="26">
        <f>IF($C32="","",IFERROR(INDEX(VeicCli,MATCH($C32,VeicPlaca,0)),"Placa não cadastrada"))</f>
        <v>0</v>
      </c>
      <c r="E32" s="26">
        <f>IF($C32="","",IFERROR(INDEX(VeicModelo,MATCH($C32,VeicPlaca,0)),""))</f>
        <v>0</v>
      </c>
      <c r="F32" s="28"/>
      <c r="G32" s="13"/>
      <c r="H32" s="13"/>
      <c r="I32" s="13"/>
      <c r="J32" s="29"/>
      <c r="K32" s="19"/>
      <c r="L32" s="19"/>
      <c r="M32" s="25"/>
      <c r="N32" s="13"/>
      <c r="O32" s="19"/>
      <c r="P32" s="27">
        <f>IF($A32="","",N($J32)*ValorHora)</f>
        <v>0</v>
      </c>
      <c r="Q32" s="27">
        <f>IF($A32="","",SUMIFS(ItTotal,ItOS,$A32))</f>
        <v>0</v>
      </c>
      <c r="R32" s="30">
        <f>IF($A32="","",$P32+$Q32+N($K32)-N($L32))</f>
        <v>0</v>
      </c>
      <c r="S32" s="27">
        <f>IF($A32="","",SUMIFS(ItCusto,ItOS,$A32))</f>
        <v>0</v>
      </c>
      <c r="T32" s="27">
        <f>IF($A32="","",$P32*ComMec)</f>
        <v>0</v>
      </c>
      <c r="U32" s="21">
        <f>IF($A32="","",$R32-$S32-$T32-N($K32))</f>
        <v>0</v>
      </c>
      <c r="V32" s="31">
        <f>IF(OR($A32="",N($R32)&lt;=0),"",$U32/$R32)</f>
        <v>0</v>
      </c>
      <c r="W32" s="27">
        <f>IF($A32="","",IF(OR($I32="Finalizado",$I32="Entregue"),MAX(0,$R32-N($O32)),0))</f>
        <v>0</v>
      </c>
      <c r="X32" s="32">
        <f>IF(OR($A32="",$B32=""),"",IF(OR($I32="Entregue",$I32="Cancelada"),"",Hoje-$B32))</f>
        <v>0</v>
      </c>
      <c r="Y32" s="24">
        <f>IF($A32="","",IF(AND(OR($I32="Aprovado",$I32="Em execução",$I32="Aguardando peça"),N($X32)&gt;PrazoMax),"ATRASADA",IF(AND(OR($I32="Finalizado",$I32="Entregue"),$W32&gt;0.005),"Cobrar",IF($I32="Orçamento","Aguardando aprovação",""))))</f>
        <v>0</v>
      </c>
      <c r="Z32" s="33">
        <f>IF(AND($I32="Entregue",$M32&lt;&gt;""),DATE(YEAR($M32),MONTH($M32),1),"")</f>
        <v>0</v>
      </c>
      <c r="AA32" s="34">
        <f>IF(AND($C32&lt;&gt;"",$C32=HistPlaca),COUNTIF($C$5:$C32,HistPlaca),"")</f>
        <v>0</v>
      </c>
    </row>
    <row r="33" spans="1:27">
      <c r="A33" s="17"/>
      <c r="B33" s="25"/>
      <c r="C33" s="13"/>
      <c r="D33" s="26">
        <f>IF($C33="","",IFERROR(INDEX(VeicCli,MATCH($C33,VeicPlaca,0)),"Placa não cadastrada"))</f>
        <v>0</v>
      </c>
      <c r="E33" s="26">
        <f>IF($C33="","",IFERROR(INDEX(VeicModelo,MATCH($C33,VeicPlaca,0)),""))</f>
        <v>0</v>
      </c>
      <c r="F33" s="28"/>
      <c r="G33" s="13"/>
      <c r="H33" s="13"/>
      <c r="I33" s="13"/>
      <c r="J33" s="29"/>
      <c r="K33" s="19"/>
      <c r="L33" s="19"/>
      <c r="M33" s="25"/>
      <c r="N33" s="13"/>
      <c r="O33" s="19"/>
      <c r="P33" s="27">
        <f>IF($A33="","",N($J33)*ValorHora)</f>
        <v>0</v>
      </c>
      <c r="Q33" s="27">
        <f>IF($A33="","",SUMIFS(ItTotal,ItOS,$A33))</f>
        <v>0</v>
      </c>
      <c r="R33" s="30">
        <f>IF($A33="","",$P33+$Q33+N($K33)-N($L33))</f>
        <v>0</v>
      </c>
      <c r="S33" s="27">
        <f>IF($A33="","",SUMIFS(ItCusto,ItOS,$A33))</f>
        <v>0</v>
      </c>
      <c r="T33" s="27">
        <f>IF($A33="","",$P33*ComMec)</f>
        <v>0</v>
      </c>
      <c r="U33" s="21">
        <f>IF($A33="","",$R33-$S33-$T33-N($K33))</f>
        <v>0</v>
      </c>
      <c r="V33" s="31">
        <f>IF(OR($A33="",N($R33)&lt;=0),"",$U33/$R33)</f>
        <v>0</v>
      </c>
      <c r="W33" s="27">
        <f>IF($A33="","",IF(OR($I33="Finalizado",$I33="Entregue"),MAX(0,$R33-N($O33)),0))</f>
        <v>0</v>
      </c>
      <c r="X33" s="32">
        <f>IF(OR($A33="",$B33=""),"",IF(OR($I33="Entregue",$I33="Cancelada"),"",Hoje-$B33))</f>
        <v>0</v>
      </c>
      <c r="Y33" s="24">
        <f>IF($A33="","",IF(AND(OR($I33="Aprovado",$I33="Em execução",$I33="Aguardando peça"),N($X33)&gt;PrazoMax),"ATRASADA",IF(AND(OR($I33="Finalizado",$I33="Entregue"),$W33&gt;0.005),"Cobrar",IF($I33="Orçamento","Aguardando aprovação",""))))</f>
        <v>0</v>
      </c>
      <c r="Z33" s="33">
        <f>IF(AND($I33="Entregue",$M33&lt;&gt;""),DATE(YEAR($M33),MONTH($M33),1),"")</f>
        <v>0</v>
      </c>
      <c r="AA33" s="34">
        <f>IF(AND($C33&lt;&gt;"",$C33=HistPlaca),COUNTIF($C$5:$C33,HistPlaca),"")</f>
        <v>0</v>
      </c>
    </row>
    <row r="34" spans="1:27">
      <c r="A34" s="17"/>
      <c r="B34" s="25"/>
      <c r="C34" s="13"/>
      <c r="D34" s="26">
        <f>IF($C34="","",IFERROR(INDEX(VeicCli,MATCH($C34,VeicPlaca,0)),"Placa não cadastrada"))</f>
        <v>0</v>
      </c>
      <c r="E34" s="26">
        <f>IF($C34="","",IFERROR(INDEX(VeicModelo,MATCH($C34,VeicPlaca,0)),""))</f>
        <v>0</v>
      </c>
      <c r="F34" s="28"/>
      <c r="G34" s="13"/>
      <c r="H34" s="13"/>
      <c r="I34" s="13"/>
      <c r="J34" s="29"/>
      <c r="K34" s="19"/>
      <c r="L34" s="19"/>
      <c r="M34" s="25"/>
      <c r="N34" s="13"/>
      <c r="O34" s="19"/>
      <c r="P34" s="27">
        <f>IF($A34="","",N($J34)*ValorHora)</f>
        <v>0</v>
      </c>
      <c r="Q34" s="27">
        <f>IF($A34="","",SUMIFS(ItTotal,ItOS,$A34))</f>
        <v>0</v>
      </c>
      <c r="R34" s="30">
        <f>IF($A34="","",$P34+$Q34+N($K34)-N($L34))</f>
        <v>0</v>
      </c>
      <c r="S34" s="27">
        <f>IF($A34="","",SUMIFS(ItCusto,ItOS,$A34))</f>
        <v>0</v>
      </c>
      <c r="T34" s="27">
        <f>IF($A34="","",$P34*ComMec)</f>
        <v>0</v>
      </c>
      <c r="U34" s="21">
        <f>IF($A34="","",$R34-$S34-$T34-N($K34))</f>
        <v>0</v>
      </c>
      <c r="V34" s="31">
        <f>IF(OR($A34="",N($R34)&lt;=0),"",$U34/$R34)</f>
        <v>0</v>
      </c>
      <c r="W34" s="27">
        <f>IF($A34="","",IF(OR($I34="Finalizado",$I34="Entregue"),MAX(0,$R34-N($O34)),0))</f>
        <v>0</v>
      </c>
      <c r="X34" s="32">
        <f>IF(OR($A34="",$B34=""),"",IF(OR($I34="Entregue",$I34="Cancelada"),"",Hoje-$B34))</f>
        <v>0</v>
      </c>
      <c r="Y34" s="24">
        <f>IF($A34="","",IF(AND(OR($I34="Aprovado",$I34="Em execução",$I34="Aguardando peça"),N($X34)&gt;PrazoMax),"ATRASADA",IF(AND(OR($I34="Finalizado",$I34="Entregue"),$W34&gt;0.005),"Cobrar",IF($I34="Orçamento","Aguardando aprovação",""))))</f>
        <v>0</v>
      </c>
      <c r="Z34" s="33">
        <f>IF(AND($I34="Entregue",$M34&lt;&gt;""),DATE(YEAR($M34),MONTH($M34),1),"")</f>
        <v>0</v>
      </c>
      <c r="AA34" s="34">
        <f>IF(AND($C34&lt;&gt;"",$C34=HistPlaca),COUNTIF($C$5:$C34,HistPlaca),"")</f>
        <v>0</v>
      </c>
    </row>
    <row r="35" spans="1:27">
      <c r="A35" s="17"/>
      <c r="B35" s="25"/>
      <c r="C35" s="13"/>
      <c r="D35" s="26">
        <f>IF($C35="","",IFERROR(INDEX(VeicCli,MATCH($C35,VeicPlaca,0)),"Placa não cadastrada"))</f>
        <v>0</v>
      </c>
      <c r="E35" s="26">
        <f>IF($C35="","",IFERROR(INDEX(VeicModelo,MATCH($C35,VeicPlaca,0)),""))</f>
        <v>0</v>
      </c>
      <c r="F35" s="28"/>
      <c r="G35" s="13"/>
      <c r="H35" s="13"/>
      <c r="I35" s="13"/>
      <c r="J35" s="29"/>
      <c r="K35" s="19"/>
      <c r="L35" s="19"/>
      <c r="M35" s="25"/>
      <c r="N35" s="13"/>
      <c r="O35" s="19"/>
      <c r="P35" s="27">
        <f>IF($A35="","",N($J35)*ValorHora)</f>
        <v>0</v>
      </c>
      <c r="Q35" s="27">
        <f>IF($A35="","",SUMIFS(ItTotal,ItOS,$A35))</f>
        <v>0</v>
      </c>
      <c r="R35" s="30">
        <f>IF($A35="","",$P35+$Q35+N($K35)-N($L35))</f>
        <v>0</v>
      </c>
      <c r="S35" s="27">
        <f>IF($A35="","",SUMIFS(ItCusto,ItOS,$A35))</f>
        <v>0</v>
      </c>
      <c r="T35" s="27">
        <f>IF($A35="","",$P35*ComMec)</f>
        <v>0</v>
      </c>
      <c r="U35" s="21">
        <f>IF($A35="","",$R35-$S35-$T35-N($K35))</f>
        <v>0</v>
      </c>
      <c r="V35" s="31">
        <f>IF(OR($A35="",N($R35)&lt;=0),"",$U35/$R35)</f>
        <v>0</v>
      </c>
      <c r="W35" s="27">
        <f>IF($A35="","",IF(OR($I35="Finalizado",$I35="Entregue"),MAX(0,$R35-N($O35)),0))</f>
        <v>0</v>
      </c>
      <c r="X35" s="32">
        <f>IF(OR($A35="",$B35=""),"",IF(OR($I35="Entregue",$I35="Cancelada"),"",Hoje-$B35))</f>
        <v>0</v>
      </c>
      <c r="Y35" s="24">
        <f>IF($A35="","",IF(AND(OR($I35="Aprovado",$I35="Em execução",$I35="Aguardando peça"),N($X35)&gt;PrazoMax),"ATRASADA",IF(AND(OR($I35="Finalizado",$I35="Entregue"),$W35&gt;0.005),"Cobrar",IF($I35="Orçamento","Aguardando aprovação",""))))</f>
        <v>0</v>
      </c>
      <c r="Z35" s="33">
        <f>IF(AND($I35="Entregue",$M35&lt;&gt;""),DATE(YEAR($M35),MONTH($M35),1),"")</f>
        <v>0</v>
      </c>
      <c r="AA35" s="34">
        <f>IF(AND($C35&lt;&gt;"",$C35=HistPlaca),COUNTIF($C$5:$C35,HistPlaca),"")</f>
        <v>0</v>
      </c>
    </row>
    <row r="36" spans="1:27">
      <c r="A36" s="17"/>
      <c r="B36" s="25"/>
      <c r="C36" s="13"/>
      <c r="D36" s="26">
        <f>IF($C36="","",IFERROR(INDEX(VeicCli,MATCH($C36,VeicPlaca,0)),"Placa não cadastrada"))</f>
        <v>0</v>
      </c>
      <c r="E36" s="26">
        <f>IF($C36="","",IFERROR(INDEX(VeicModelo,MATCH($C36,VeicPlaca,0)),""))</f>
        <v>0</v>
      </c>
      <c r="F36" s="28"/>
      <c r="G36" s="13"/>
      <c r="H36" s="13"/>
      <c r="I36" s="13"/>
      <c r="J36" s="29"/>
      <c r="K36" s="19"/>
      <c r="L36" s="19"/>
      <c r="M36" s="25"/>
      <c r="N36" s="13"/>
      <c r="O36" s="19"/>
      <c r="P36" s="27">
        <f>IF($A36="","",N($J36)*ValorHora)</f>
        <v>0</v>
      </c>
      <c r="Q36" s="27">
        <f>IF($A36="","",SUMIFS(ItTotal,ItOS,$A36))</f>
        <v>0</v>
      </c>
      <c r="R36" s="30">
        <f>IF($A36="","",$P36+$Q36+N($K36)-N($L36))</f>
        <v>0</v>
      </c>
      <c r="S36" s="27">
        <f>IF($A36="","",SUMIFS(ItCusto,ItOS,$A36))</f>
        <v>0</v>
      </c>
      <c r="T36" s="27">
        <f>IF($A36="","",$P36*ComMec)</f>
        <v>0</v>
      </c>
      <c r="U36" s="21">
        <f>IF($A36="","",$R36-$S36-$T36-N($K36))</f>
        <v>0</v>
      </c>
      <c r="V36" s="31">
        <f>IF(OR($A36="",N($R36)&lt;=0),"",$U36/$R36)</f>
        <v>0</v>
      </c>
      <c r="W36" s="27">
        <f>IF($A36="","",IF(OR($I36="Finalizado",$I36="Entregue"),MAX(0,$R36-N($O36)),0))</f>
        <v>0</v>
      </c>
      <c r="X36" s="32">
        <f>IF(OR($A36="",$B36=""),"",IF(OR($I36="Entregue",$I36="Cancelada"),"",Hoje-$B36))</f>
        <v>0</v>
      </c>
      <c r="Y36" s="24">
        <f>IF($A36="","",IF(AND(OR($I36="Aprovado",$I36="Em execução",$I36="Aguardando peça"),N($X36)&gt;PrazoMax),"ATRASADA",IF(AND(OR($I36="Finalizado",$I36="Entregue"),$W36&gt;0.005),"Cobrar",IF($I36="Orçamento","Aguardando aprovação",""))))</f>
        <v>0</v>
      </c>
      <c r="Z36" s="33">
        <f>IF(AND($I36="Entregue",$M36&lt;&gt;""),DATE(YEAR($M36),MONTH($M36),1),"")</f>
        <v>0</v>
      </c>
      <c r="AA36" s="34">
        <f>IF(AND($C36&lt;&gt;"",$C36=HistPlaca),COUNTIF($C$5:$C36,HistPlaca),"")</f>
        <v>0</v>
      </c>
    </row>
    <row r="37" spans="1:27">
      <c r="A37" s="17"/>
      <c r="B37" s="25"/>
      <c r="C37" s="13"/>
      <c r="D37" s="26">
        <f>IF($C37="","",IFERROR(INDEX(VeicCli,MATCH($C37,VeicPlaca,0)),"Placa não cadastrada"))</f>
        <v>0</v>
      </c>
      <c r="E37" s="26">
        <f>IF($C37="","",IFERROR(INDEX(VeicModelo,MATCH($C37,VeicPlaca,0)),""))</f>
        <v>0</v>
      </c>
      <c r="F37" s="28"/>
      <c r="G37" s="13"/>
      <c r="H37" s="13"/>
      <c r="I37" s="13"/>
      <c r="J37" s="29"/>
      <c r="K37" s="19"/>
      <c r="L37" s="19"/>
      <c r="M37" s="25"/>
      <c r="N37" s="13"/>
      <c r="O37" s="19"/>
      <c r="P37" s="27">
        <f>IF($A37="","",N($J37)*ValorHora)</f>
        <v>0</v>
      </c>
      <c r="Q37" s="27">
        <f>IF($A37="","",SUMIFS(ItTotal,ItOS,$A37))</f>
        <v>0</v>
      </c>
      <c r="R37" s="30">
        <f>IF($A37="","",$P37+$Q37+N($K37)-N($L37))</f>
        <v>0</v>
      </c>
      <c r="S37" s="27">
        <f>IF($A37="","",SUMIFS(ItCusto,ItOS,$A37))</f>
        <v>0</v>
      </c>
      <c r="T37" s="27">
        <f>IF($A37="","",$P37*ComMec)</f>
        <v>0</v>
      </c>
      <c r="U37" s="21">
        <f>IF($A37="","",$R37-$S37-$T37-N($K37))</f>
        <v>0</v>
      </c>
      <c r="V37" s="31">
        <f>IF(OR($A37="",N($R37)&lt;=0),"",$U37/$R37)</f>
        <v>0</v>
      </c>
      <c r="W37" s="27">
        <f>IF($A37="","",IF(OR($I37="Finalizado",$I37="Entregue"),MAX(0,$R37-N($O37)),0))</f>
        <v>0</v>
      </c>
      <c r="X37" s="32">
        <f>IF(OR($A37="",$B37=""),"",IF(OR($I37="Entregue",$I37="Cancelada"),"",Hoje-$B37))</f>
        <v>0</v>
      </c>
      <c r="Y37" s="24">
        <f>IF($A37="","",IF(AND(OR($I37="Aprovado",$I37="Em execução",$I37="Aguardando peça"),N($X37)&gt;PrazoMax),"ATRASADA",IF(AND(OR($I37="Finalizado",$I37="Entregue"),$W37&gt;0.005),"Cobrar",IF($I37="Orçamento","Aguardando aprovação",""))))</f>
        <v>0</v>
      </c>
      <c r="Z37" s="33">
        <f>IF(AND($I37="Entregue",$M37&lt;&gt;""),DATE(YEAR($M37),MONTH($M37),1),"")</f>
        <v>0</v>
      </c>
      <c r="AA37" s="34">
        <f>IF(AND($C37&lt;&gt;"",$C37=HistPlaca),COUNTIF($C$5:$C37,HistPlaca),"")</f>
        <v>0</v>
      </c>
    </row>
    <row r="38" spans="1:27">
      <c r="A38" s="17"/>
      <c r="B38" s="25"/>
      <c r="C38" s="13"/>
      <c r="D38" s="26">
        <f>IF($C38="","",IFERROR(INDEX(VeicCli,MATCH($C38,VeicPlaca,0)),"Placa não cadastrada"))</f>
        <v>0</v>
      </c>
      <c r="E38" s="26">
        <f>IF($C38="","",IFERROR(INDEX(VeicModelo,MATCH($C38,VeicPlaca,0)),""))</f>
        <v>0</v>
      </c>
      <c r="F38" s="28"/>
      <c r="G38" s="13"/>
      <c r="H38" s="13"/>
      <c r="I38" s="13"/>
      <c r="J38" s="29"/>
      <c r="K38" s="19"/>
      <c r="L38" s="19"/>
      <c r="M38" s="25"/>
      <c r="N38" s="13"/>
      <c r="O38" s="19"/>
      <c r="P38" s="27">
        <f>IF($A38="","",N($J38)*ValorHora)</f>
        <v>0</v>
      </c>
      <c r="Q38" s="27">
        <f>IF($A38="","",SUMIFS(ItTotal,ItOS,$A38))</f>
        <v>0</v>
      </c>
      <c r="R38" s="30">
        <f>IF($A38="","",$P38+$Q38+N($K38)-N($L38))</f>
        <v>0</v>
      </c>
      <c r="S38" s="27">
        <f>IF($A38="","",SUMIFS(ItCusto,ItOS,$A38))</f>
        <v>0</v>
      </c>
      <c r="T38" s="27">
        <f>IF($A38="","",$P38*ComMec)</f>
        <v>0</v>
      </c>
      <c r="U38" s="21">
        <f>IF($A38="","",$R38-$S38-$T38-N($K38))</f>
        <v>0</v>
      </c>
      <c r="V38" s="31">
        <f>IF(OR($A38="",N($R38)&lt;=0),"",$U38/$R38)</f>
        <v>0</v>
      </c>
      <c r="W38" s="27">
        <f>IF($A38="","",IF(OR($I38="Finalizado",$I38="Entregue"),MAX(0,$R38-N($O38)),0))</f>
        <v>0</v>
      </c>
      <c r="X38" s="32">
        <f>IF(OR($A38="",$B38=""),"",IF(OR($I38="Entregue",$I38="Cancelada"),"",Hoje-$B38))</f>
        <v>0</v>
      </c>
      <c r="Y38" s="24">
        <f>IF($A38="","",IF(AND(OR($I38="Aprovado",$I38="Em execução",$I38="Aguardando peça"),N($X38)&gt;PrazoMax),"ATRASADA",IF(AND(OR($I38="Finalizado",$I38="Entregue"),$W38&gt;0.005),"Cobrar",IF($I38="Orçamento","Aguardando aprovação",""))))</f>
        <v>0</v>
      </c>
      <c r="Z38" s="33">
        <f>IF(AND($I38="Entregue",$M38&lt;&gt;""),DATE(YEAR($M38),MONTH($M38),1),"")</f>
        <v>0</v>
      </c>
      <c r="AA38" s="34">
        <f>IF(AND($C38&lt;&gt;"",$C38=HistPlaca),COUNTIF($C$5:$C38,HistPlaca),"")</f>
        <v>0</v>
      </c>
    </row>
    <row r="39" spans="1:27">
      <c r="A39" s="17"/>
      <c r="B39" s="25"/>
      <c r="C39" s="13"/>
      <c r="D39" s="26">
        <f>IF($C39="","",IFERROR(INDEX(VeicCli,MATCH($C39,VeicPlaca,0)),"Placa não cadastrada"))</f>
        <v>0</v>
      </c>
      <c r="E39" s="26">
        <f>IF($C39="","",IFERROR(INDEX(VeicModelo,MATCH($C39,VeicPlaca,0)),""))</f>
        <v>0</v>
      </c>
      <c r="F39" s="28"/>
      <c r="G39" s="13"/>
      <c r="H39" s="13"/>
      <c r="I39" s="13"/>
      <c r="J39" s="29"/>
      <c r="K39" s="19"/>
      <c r="L39" s="19"/>
      <c r="M39" s="25"/>
      <c r="N39" s="13"/>
      <c r="O39" s="19"/>
      <c r="P39" s="27">
        <f>IF($A39="","",N($J39)*ValorHora)</f>
        <v>0</v>
      </c>
      <c r="Q39" s="27">
        <f>IF($A39="","",SUMIFS(ItTotal,ItOS,$A39))</f>
        <v>0</v>
      </c>
      <c r="R39" s="30">
        <f>IF($A39="","",$P39+$Q39+N($K39)-N($L39))</f>
        <v>0</v>
      </c>
      <c r="S39" s="27">
        <f>IF($A39="","",SUMIFS(ItCusto,ItOS,$A39))</f>
        <v>0</v>
      </c>
      <c r="T39" s="27">
        <f>IF($A39="","",$P39*ComMec)</f>
        <v>0</v>
      </c>
      <c r="U39" s="21">
        <f>IF($A39="","",$R39-$S39-$T39-N($K39))</f>
        <v>0</v>
      </c>
      <c r="V39" s="31">
        <f>IF(OR($A39="",N($R39)&lt;=0),"",$U39/$R39)</f>
        <v>0</v>
      </c>
      <c r="W39" s="27">
        <f>IF($A39="","",IF(OR($I39="Finalizado",$I39="Entregue"),MAX(0,$R39-N($O39)),0))</f>
        <v>0</v>
      </c>
      <c r="X39" s="32">
        <f>IF(OR($A39="",$B39=""),"",IF(OR($I39="Entregue",$I39="Cancelada"),"",Hoje-$B39))</f>
        <v>0</v>
      </c>
      <c r="Y39" s="24">
        <f>IF($A39="","",IF(AND(OR($I39="Aprovado",$I39="Em execução",$I39="Aguardando peça"),N($X39)&gt;PrazoMax),"ATRASADA",IF(AND(OR($I39="Finalizado",$I39="Entregue"),$W39&gt;0.005),"Cobrar",IF($I39="Orçamento","Aguardando aprovação",""))))</f>
        <v>0</v>
      </c>
      <c r="Z39" s="33">
        <f>IF(AND($I39="Entregue",$M39&lt;&gt;""),DATE(YEAR($M39),MONTH($M39),1),"")</f>
        <v>0</v>
      </c>
      <c r="AA39" s="34">
        <f>IF(AND($C39&lt;&gt;"",$C39=HistPlaca),COUNTIF($C$5:$C39,HistPlaca),"")</f>
        <v>0</v>
      </c>
    </row>
    <row r="40" spans="1:27">
      <c r="A40" s="17"/>
      <c r="B40" s="25"/>
      <c r="C40" s="13"/>
      <c r="D40" s="26">
        <f>IF($C40="","",IFERROR(INDEX(VeicCli,MATCH($C40,VeicPlaca,0)),"Placa não cadastrada"))</f>
        <v>0</v>
      </c>
      <c r="E40" s="26">
        <f>IF($C40="","",IFERROR(INDEX(VeicModelo,MATCH($C40,VeicPlaca,0)),""))</f>
        <v>0</v>
      </c>
      <c r="F40" s="28"/>
      <c r="G40" s="13"/>
      <c r="H40" s="13"/>
      <c r="I40" s="13"/>
      <c r="J40" s="29"/>
      <c r="K40" s="19"/>
      <c r="L40" s="19"/>
      <c r="M40" s="25"/>
      <c r="N40" s="13"/>
      <c r="O40" s="19"/>
      <c r="P40" s="27">
        <f>IF($A40="","",N($J40)*ValorHora)</f>
        <v>0</v>
      </c>
      <c r="Q40" s="27">
        <f>IF($A40="","",SUMIFS(ItTotal,ItOS,$A40))</f>
        <v>0</v>
      </c>
      <c r="R40" s="30">
        <f>IF($A40="","",$P40+$Q40+N($K40)-N($L40))</f>
        <v>0</v>
      </c>
      <c r="S40" s="27">
        <f>IF($A40="","",SUMIFS(ItCusto,ItOS,$A40))</f>
        <v>0</v>
      </c>
      <c r="T40" s="27">
        <f>IF($A40="","",$P40*ComMec)</f>
        <v>0</v>
      </c>
      <c r="U40" s="21">
        <f>IF($A40="","",$R40-$S40-$T40-N($K40))</f>
        <v>0</v>
      </c>
      <c r="V40" s="31">
        <f>IF(OR($A40="",N($R40)&lt;=0),"",$U40/$R40)</f>
        <v>0</v>
      </c>
      <c r="W40" s="27">
        <f>IF($A40="","",IF(OR($I40="Finalizado",$I40="Entregue"),MAX(0,$R40-N($O40)),0))</f>
        <v>0</v>
      </c>
      <c r="X40" s="32">
        <f>IF(OR($A40="",$B40=""),"",IF(OR($I40="Entregue",$I40="Cancelada"),"",Hoje-$B40))</f>
        <v>0</v>
      </c>
      <c r="Y40" s="24">
        <f>IF($A40="","",IF(AND(OR($I40="Aprovado",$I40="Em execução",$I40="Aguardando peça"),N($X40)&gt;PrazoMax),"ATRASADA",IF(AND(OR($I40="Finalizado",$I40="Entregue"),$W40&gt;0.005),"Cobrar",IF($I40="Orçamento","Aguardando aprovação",""))))</f>
        <v>0</v>
      </c>
      <c r="Z40" s="33">
        <f>IF(AND($I40="Entregue",$M40&lt;&gt;""),DATE(YEAR($M40),MONTH($M40),1),"")</f>
        <v>0</v>
      </c>
      <c r="AA40" s="34">
        <f>IF(AND($C40&lt;&gt;"",$C40=HistPlaca),COUNTIF($C$5:$C40,HistPlaca),"")</f>
        <v>0</v>
      </c>
    </row>
    <row r="41" spans="1:27">
      <c r="A41" s="17"/>
      <c r="B41" s="25"/>
      <c r="C41" s="13"/>
      <c r="D41" s="26">
        <f>IF($C41="","",IFERROR(INDEX(VeicCli,MATCH($C41,VeicPlaca,0)),"Placa não cadastrada"))</f>
        <v>0</v>
      </c>
      <c r="E41" s="26">
        <f>IF($C41="","",IFERROR(INDEX(VeicModelo,MATCH($C41,VeicPlaca,0)),""))</f>
        <v>0</v>
      </c>
      <c r="F41" s="28"/>
      <c r="G41" s="13"/>
      <c r="H41" s="13"/>
      <c r="I41" s="13"/>
      <c r="J41" s="29"/>
      <c r="K41" s="19"/>
      <c r="L41" s="19"/>
      <c r="M41" s="25"/>
      <c r="N41" s="13"/>
      <c r="O41" s="19"/>
      <c r="P41" s="27">
        <f>IF($A41="","",N($J41)*ValorHora)</f>
        <v>0</v>
      </c>
      <c r="Q41" s="27">
        <f>IF($A41="","",SUMIFS(ItTotal,ItOS,$A41))</f>
        <v>0</v>
      </c>
      <c r="R41" s="30">
        <f>IF($A41="","",$P41+$Q41+N($K41)-N($L41))</f>
        <v>0</v>
      </c>
      <c r="S41" s="27">
        <f>IF($A41="","",SUMIFS(ItCusto,ItOS,$A41))</f>
        <v>0</v>
      </c>
      <c r="T41" s="27">
        <f>IF($A41="","",$P41*ComMec)</f>
        <v>0</v>
      </c>
      <c r="U41" s="21">
        <f>IF($A41="","",$R41-$S41-$T41-N($K41))</f>
        <v>0</v>
      </c>
      <c r="V41" s="31">
        <f>IF(OR($A41="",N($R41)&lt;=0),"",$U41/$R41)</f>
        <v>0</v>
      </c>
      <c r="W41" s="27">
        <f>IF($A41="","",IF(OR($I41="Finalizado",$I41="Entregue"),MAX(0,$R41-N($O41)),0))</f>
        <v>0</v>
      </c>
      <c r="X41" s="32">
        <f>IF(OR($A41="",$B41=""),"",IF(OR($I41="Entregue",$I41="Cancelada"),"",Hoje-$B41))</f>
        <v>0</v>
      </c>
      <c r="Y41" s="24">
        <f>IF($A41="","",IF(AND(OR($I41="Aprovado",$I41="Em execução",$I41="Aguardando peça"),N($X41)&gt;PrazoMax),"ATRASADA",IF(AND(OR($I41="Finalizado",$I41="Entregue"),$W41&gt;0.005),"Cobrar",IF($I41="Orçamento","Aguardando aprovação",""))))</f>
        <v>0</v>
      </c>
      <c r="Z41" s="33">
        <f>IF(AND($I41="Entregue",$M41&lt;&gt;""),DATE(YEAR($M41),MONTH($M41),1),"")</f>
        <v>0</v>
      </c>
      <c r="AA41" s="34">
        <f>IF(AND($C41&lt;&gt;"",$C41=HistPlaca),COUNTIF($C$5:$C41,HistPlaca),"")</f>
        <v>0</v>
      </c>
    </row>
    <row r="42" spans="1:27">
      <c r="A42" s="17"/>
      <c r="B42" s="25"/>
      <c r="C42" s="13"/>
      <c r="D42" s="26">
        <f>IF($C42="","",IFERROR(INDEX(VeicCli,MATCH($C42,VeicPlaca,0)),"Placa não cadastrada"))</f>
        <v>0</v>
      </c>
      <c r="E42" s="26">
        <f>IF($C42="","",IFERROR(INDEX(VeicModelo,MATCH($C42,VeicPlaca,0)),""))</f>
        <v>0</v>
      </c>
      <c r="F42" s="28"/>
      <c r="G42" s="13"/>
      <c r="H42" s="13"/>
      <c r="I42" s="13"/>
      <c r="J42" s="29"/>
      <c r="K42" s="19"/>
      <c r="L42" s="19"/>
      <c r="M42" s="25"/>
      <c r="N42" s="13"/>
      <c r="O42" s="19"/>
      <c r="P42" s="27">
        <f>IF($A42="","",N($J42)*ValorHora)</f>
        <v>0</v>
      </c>
      <c r="Q42" s="27">
        <f>IF($A42="","",SUMIFS(ItTotal,ItOS,$A42))</f>
        <v>0</v>
      </c>
      <c r="R42" s="30">
        <f>IF($A42="","",$P42+$Q42+N($K42)-N($L42))</f>
        <v>0</v>
      </c>
      <c r="S42" s="27">
        <f>IF($A42="","",SUMIFS(ItCusto,ItOS,$A42))</f>
        <v>0</v>
      </c>
      <c r="T42" s="27">
        <f>IF($A42="","",$P42*ComMec)</f>
        <v>0</v>
      </c>
      <c r="U42" s="21">
        <f>IF($A42="","",$R42-$S42-$T42-N($K42))</f>
        <v>0</v>
      </c>
      <c r="V42" s="31">
        <f>IF(OR($A42="",N($R42)&lt;=0),"",$U42/$R42)</f>
        <v>0</v>
      </c>
      <c r="W42" s="27">
        <f>IF($A42="","",IF(OR($I42="Finalizado",$I42="Entregue"),MAX(0,$R42-N($O42)),0))</f>
        <v>0</v>
      </c>
      <c r="X42" s="32">
        <f>IF(OR($A42="",$B42=""),"",IF(OR($I42="Entregue",$I42="Cancelada"),"",Hoje-$B42))</f>
        <v>0</v>
      </c>
      <c r="Y42" s="24">
        <f>IF($A42="","",IF(AND(OR($I42="Aprovado",$I42="Em execução",$I42="Aguardando peça"),N($X42)&gt;PrazoMax),"ATRASADA",IF(AND(OR($I42="Finalizado",$I42="Entregue"),$W42&gt;0.005),"Cobrar",IF($I42="Orçamento","Aguardando aprovação",""))))</f>
        <v>0</v>
      </c>
      <c r="Z42" s="33">
        <f>IF(AND($I42="Entregue",$M42&lt;&gt;""),DATE(YEAR($M42),MONTH($M42),1),"")</f>
        <v>0</v>
      </c>
      <c r="AA42" s="34">
        <f>IF(AND($C42&lt;&gt;"",$C42=HistPlaca),COUNTIF($C$5:$C42,HistPlaca),"")</f>
        <v>0</v>
      </c>
    </row>
    <row r="43" spans="1:27">
      <c r="A43" s="17"/>
      <c r="B43" s="25"/>
      <c r="C43" s="13"/>
      <c r="D43" s="26">
        <f>IF($C43="","",IFERROR(INDEX(VeicCli,MATCH($C43,VeicPlaca,0)),"Placa não cadastrada"))</f>
        <v>0</v>
      </c>
      <c r="E43" s="26">
        <f>IF($C43="","",IFERROR(INDEX(VeicModelo,MATCH($C43,VeicPlaca,0)),""))</f>
        <v>0</v>
      </c>
      <c r="F43" s="28"/>
      <c r="G43" s="13"/>
      <c r="H43" s="13"/>
      <c r="I43" s="13"/>
      <c r="J43" s="29"/>
      <c r="K43" s="19"/>
      <c r="L43" s="19"/>
      <c r="M43" s="25"/>
      <c r="N43" s="13"/>
      <c r="O43" s="19"/>
      <c r="P43" s="27">
        <f>IF($A43="","",N($J43)*ValorHora)</f>
        <v>0</v>
      </c>
      <c r="Q43" s="27">
        <f>IF($A43="","",SUMIFS(ItTotal,ItOS,$A43))</f>
        <v>0</v>
      </c>
      <c r="R43" s="30">
        <f>IF($A43="","",$P43+$Q43+N($K43)-N($L43))</f>
        <v>0</v>
      </c>
      <c r="S43" s="27">
        <f>IF($A43="","",SUMIFS(ItCusto,ItOS,$A43))</f>
        <v>0</v>
      </c>
      <c r="T43" s="27">
        <f>IF($A43="","",$P43*ComMec)</f>
        <v>0</v>
      </c>
      <c r="U43" s="21">
        <f>IF($A43="","",$R43-$S43-$T43-N($K43))</f>
        <v>0</v>
      </c>
      <c r="V43" s="31">
        <f>IF(OR($A43="",N($R43)&lt;=0),"",$U43/$R43)</f>
        <v>0</v>
      </c>
      <c r="W43" s="27">
        <f>IF($A43="","",IF(OR($I43="Finalizado",$I43="Entregue"),MAX(0,$R43-N($O43)),0))</f>
        <v>0</v>
      </c>
      <c r="X43" s="32">
        <f>IF(OR($A43="",$B43=""),"",IF(OR($I43="Entregue",$I43="Cancelada"),"",Hoje-$B43))</f>
        <v>0</v>
      </c>
      <c r="Y43" s="24">
        <f>IF($A43="","",IF(AND(OR($I43="Aprovado",$I43="Em execução",$I43="Aguardando peça"),N($X43)&gt;PrazoMax),"ATRASADA",IF(AND(OR($I43="Finalizado",$I43="Entregue"),$W43&gt;0.005),"Cobrar",IF($I43="Orçamento","Aguardando aprovação",""))))</f>
        <v>0</v>
      </c>
      <c r="Z43" s="33">
        <f>IF(AND($I43="Entregue",$M43&lt;&gt;""),DATE(YEAR($M43),MONTH($M43),1),"")</f>
        <v>0</v>
      </c>
      <c r="AA43" s="34">
        <f>IF(AND($C43&lt;&gt;"",$C43=HistPlaca),COUNTIF($C$5:$C43,HistPlaca),"")</f>
        <v>0</v>
      </c>
    </row>
    <row r="44" spans="1:27">
      <c r="A44" s="17"/>
      <c r="B44" s="25"/>
      <c r="C44" s="13"/>
      <c r="D44" s="26">
        <f>IF($C44="","",IFERROR(INDEX(VeicCli,MATCH($C44,VeicPlaca,0)),"Placa não cadastrada"))</f>
        <v>0</v>
      </c>
      <c r="E44" s="26">
        <f>IF($C44="","",IFERROR(INDEX(VeicModelo,MATCH($C44,VeicPlaca,0)),""))</f>
        <v>0</v>
      </c>
      <c r="F44" s="28"/>
      <c r="G44" s="13"/>
      <c r="H44" s="13"/>
      <c r="I44" s="13"/>
      <c r="J44" s="29"/>
      <c r="K44" s="19"/>
      <c r="L44" s="19"/>
      <c r="M44" s="25"/>
      <c r="N44" s="13"/>
      <c r="O44" s="19"/>
      <c r="P44" s="27">
        <f>IF($A44="","",N($J44)*ValorHora)</f>
        <v>0</v>
      </c>
      <c r="Q44" s="27">
        <f>IF($A44="","",SUMIFS(ItTotal,ItOS,$A44))</f>
        <v>0</v>
      </c>
      <c r="R44" s="30">
        <f>IF($A44="","",$P44+$Q44+N($K44)-N($L44))</f>
        <v>0</v>
      </c>
      <c r="S44" s="27">
        <f>IF($A44="","",SUMIFS(ItCusto,ItOS,$A44))</f>
        <v>0</v>
      </c>
      <c r="T44" s="27">
        <f>IF($A44="","",$P44*ComMec)</f>
        <v>0</v>
      </c>
      <c r="U44" s="21">
        <f>IF($A44="","",$R44-$S44-$T44-N($K44))</f>
        <v>0</v>
      </c>
      <c r="V44" s="31">
        <f>IF(OR($A44="",N($R44)&lt;=0),"",$U44/$R44)</f>
        <v>0</v>
      </c>
      <c r="W44" s="27">
        <f>IF($A44="","",IF(OR($I44="Finalizado",$I44="Entregue"),MAX(0,$R44-N($O44)),0))</f>
        <v>0</v>
      </c>
      <c r="X44" s="32">
        <f>IF(OR($A44="",$B44=""),"",IF(OR($I44="Entregue",$I44="Cancelada"),"",Hoje-$B44))</f>
        <v>0</v>
      </c>
      <c r="Y44" s="24">
        <f>IF($A44="","",IF(AND(OR($I44="Aprovado",$I44="Em execução",$I44="Aguardando peça"),N($X44)&gt;PrazoMax),"ATRASADA",IF(AND(OR($I44="Finalizado",$I44="Entregue"),$W44&gt;0.005),"Cobrar",IF($I44="Orçamento","Aguardando aprovação",""))))</f>
        <v>0</v>
      </c>
      <c r="Z44" s="33">
        <f>IF(AND($I44="Entregue",$M44&lt;&gt;""),DATE(YEAR($M44),MONTH($M44),1),"")</f>
        <v>0</v>
      </c>
      <c r="AA44" s="34">
        <f>IF(AND($C44&lt;&gt;"",$C44=HistPlaca),COUNTIF($C$5:$C44,HistPlaca),"")</f>
        <v>0</v>
      </c>
    </row>
    <row r="45" spans="1:27">
      <c r="A45" s="17"/>
      <c r="B45" s="25"/>
      <c r="C45" s="13"/>
      <c r="D45" s="26">
        <f>IF($C45="","",IFERROR(INDEX(VeicCli,MATCH($C45,VeicPlaca,0)),"Placa não cadastrada"))</f>
        <v>0</v>
      </c>
      <c r="E45" s="26">
        <f>IF($C45="","",IFERROR(INDEX(VeicModelo,MATCH($C45,VeicPlaca,0)),""))</f>
        <v>0</v>
      </c>
      <c r="F45" s="28"/>
      <c r="G45" s="13"/>
      <c r="H45" s="13"/>
      <c r="I45" s="13"/>
      <c r="J45" s="29"/>
      <c r="K45" s="19"/>
      <c r="L45" s="19"/>
      <c r="M45" s="25"/>
      <c r="N45" s="13"/>
      <c r="O45" s="19"/>
      <c r="P45" s="27">
        <f>IF($A45="","",N($J45)*ValorHora)</f>
        <v>0</v>
      </c>
      <c r="Q45" s="27">
        <f>IF($A45="","",SUMIFS(ItTotal,ItOS,$A45))</f>
        <v>0</v>
      </c>
      <c r="R45" s="30">
        <f>IF($A45="","",$P45+$Q45+N($K45)-N($L45))</f>
        <v>0</v>
      </c>
      <c r="S45" s="27">
        <f>IF($A45="","",SUMIFS(ItCusto,ItOS,$A45))</f>
        <v>0</v>
      </c>
      <c r="T45" s="27">
        <f>IF($A45="","",$P45*ComMec)</f>
        <v>0</v>
      </c>
      <c r="U45" s="21">
        <f>IF($A45="","",$R45-$S45-$T45-N($K45))</f>
        <v>0</v>
      </c>
      <c r="V45" s="31">
        <f>IF(OR($A45="",N($R45)&lt;=0),"",$U45/$R45)</f>
        <v>0</v>
      </c>
      <c r="W45" s="27">
        <f>IF($A45="","",IF(OR($I45="Finalizado",$I45="Entregue"),MAX(0,$R45-N($O45)),0))</f>
        <v>0</v>
      </c>
      <c r="X45" s="32">
        <f>IF(OR($A45="",$B45=""),"",IF(OR($I45="Entregue",$I45="Cancelada"),"",Hoje-$B45))</f>
        <v>0</v>
      </c>
      <c r="Y45" s="24">
        <f>IF($A45="","",IF(AND(OR($I45="Aprovado",$I45="Em execução",$I45="Aguardando peça"),N($X45)&gt;PrazoMax),"ATRASADA",IF(AND(OR($I45="Finalizado",$I45="Entregue"),$W45&gt;0.005),"Cobrar",IF($I45="Orçamento","Aguardando aprovação",""))))</f>
        <v>0</v>
      </c>
      <c r="Z45" s="33">
        <f>IF(AND($I45="Entregue",$M45&lt;&gt;""),DATE(YEAR($M45),MONTH($M45),1),"")</f>
        <v>0</v>
      </c>
      <c r="AA45" s="34">
        <f>IF(AND($C45&lt;&gt;"",$C45=HistPlaca),COUNTIF($C$5:$C45,HistPlaca),"")</f>
        <v>0</v>
      </c>
    </row>
    <row r="46" spans="1:27">
      <c r="A46" s="17"/>
      <c r="B46" s="25"/>
      <c r="C46" s="13"/>
      <c r="D46" s="26">
        <f>IF($C46="","",IFERROR(INDEX(VeicCli,MATCH($C46,VeicPlaca,0)),"Placa não cadastrada"))</f>
        <v>0</v>
      </c>
      <c r="E46" s="26">
        <f>IF($C46="","",IFERROR(INDEX(VeicModelo,MATCH($C46,VeicPlaca,0)),""))</f>
        <v>0</v>
      </c>
      <c r="F46" s="28"/>
      <c r="G46" s="13"/>
      <c r="H46" s="13"/>
      <c r="I46" s="13"/>
      <c r="J46" s="29"/>
      <c r="K46" s="19"/>
      <c r="L46" s="19"/>
      <c r="M46" s="25"/>
      <c r="N46" s="13"/>
      <c r="O46" s="19"/>
      <c r="P46" s="27">
        <f>IF($A46="","",N($J46)*ValorHora)</f>
        <v>0</v>
      </c>
      <c r="Q46" s="27">
        <f>IF($A46="","",SUMIFS(ItTotal,ItOS,$A46))</f>
        <v>0</v>
      </c>
      <c r="R46" s="30">
        <f>IF($A46="","",$P46+$Q46+N($K46)-N($L46))</f>
        <v>0</v>
      </c>
      <c r="S46" s="27">
        <f>IF($A46="","",SUMIFS(ItCusto,ItOS,$A46))</f>
        <v>0</v>
      </c>
      <c r="T46" s="27">
        <f>IF($A46="","",$P46*ComMec)</f>
        <v>0</v>
      </c>
      <c r="U46" s="21">
        <f>IF($A46="","",$R46-$S46-$T46-N($K46))</f>
        <v>0</v>
      </c>
      <c r="V46" s="31">
        <f>IF(OR($A46="",N($R46)&lt;=0),"",$U46/$R46)</f>
        <v>0</v>
      </c>
      <c r="W46" s="27">
        <f>IF($A46="","",IF(OR($I46="Finalizado",$I46="Entregue"),MAX(0,$R46-N($O46)),0))</f>
        <v>0</v>
      </c>
      <c r="X46" s="32">
        <f>IF(OR($A46="",$B46=""),"",IF(OR($I46="Entregue",$I46="Cancelada"),"",Hoje-$B46))</f>
        <v>0</v>
      </c>
      <c r="Y46" s="24">
        <f>IF($A46="","",IF(AND(OR($I46="Aprovado",$I46="Em execução",$I46="Aguardando peça"),N($X46)&gt;PrazoMax),"ATRASADA",IF(AND(OR($I46="Finalizado",$I46="Entregue"),$W46&gt;0.005),"Cobrar",IF($I46="Orçamento","Aguardando aprovação",""))))</f>
        <v>0</v>
      </c>
      <c r="Z46" s="33">
        <f>IF(AND($I46="Entregue",$M46&lt;&gt;""),DATE(YEAR($M46),MONTH($M46),1),"")</f>
        <v>0</v>
      </c>
      <c r="AA46" s="34">
        <f>IF(AND($C46&lt;&gt;"",$C46=HistPlaca),COUNTIF($C$5:$C46,HistPlaca),"")</f>
        <v>0</v>
      </c>
    </row>
    <row r="47" spans="1:27">
      <c r="A47" s="17"/>
      <c r="B47" s="25"/>
      <c r="C47" s="13"/>
      <c r="D47" s="26">
        <f>IF($C47="","",IFERROR(INDEX(VeicCli,MATCH($C47,VeicPlaca,0)),"Placa não cadastrada"))</f>
        <v>0</v>
      </c>
      <c r="E47" s="26">
        <f>IF($C47="","",IFERROR(INDEX(VeicModelo,MATCH($C47,VeicPlaca,0)),""))</f>
        <v>0</v>
      </c>
      <c r="F47" s="28"/>
      <c r="G47" s="13"/>
      <c r="H47" s="13"/>
      <c r="I47" s="13"/>
      <c r="J47" s="29"/>
      <c r="K47" s="19"/>
      <c r="L47" s="19"/>
      <c r="M47" s="25"/>
      <c r="N47" s="13"/>
      <c r="O47" s="19"/>
      <c r="P47" s="27">
        <f>IF($A47="","",N($J47)*ValorHora)</f>
        <v>0</v>
      </c>
      <c r="Q47" s="27">
        <f>IF($A47="","",SUMIFS(ItTotal,ItOS,$A47))</f>
        <v>0</v>
      </c>
      <c r="R47" s="30">
        <f>IF($A47="","",$P47+$Q47+N($K47)-N($L47))</f>
        <v>0</v>
      </c>
      <c r="S47" s="27">
        <f>IF($A47="","",SUMIFS(ItCusto,ItOS,$A47))</f>
        <v>0</v>
      </c>
      <c r="T47" s="27">
        <f>IF($A47="","",$P47*ComMec)</f>
        <v>0</v>
      </c>
      <c r="U47" s="21">
        <f>IF($A47="","",$R47-$S47-$T47-N($K47))</f>
        <v>0</v>
      </c>
      <c r="V47" s="31">
        <f>IF(OR($A47="",N($R47)&lt;=0),"",$U47/$R47)</f>
        <v>0</v>
      </c>
      <c r="W47" s="27">
        <f>IF($A47="","",IF(OR($I47="Finalizado",$I47="Entregue"),MAX(0,$R47-N($O47)),0))</f>
        <v>0</v>
      </c>
      <c r="X47" s="32">
        <f>IF(OR($A47="",$B47=""),"",IF(OR($I47="Entregue",$I47="Cancelada"),"",Hoje-$B47))</f>
        <v>0</v>
      </c>
      <c r="Y47" s="24">
        <f>IF($A47="","",IF(AND(OR($I47="Aprovado",$I47="Em execução",$I47="Aguardando peça"),N($X47)&gt;PrazoMax),"ATRASADA",IF(AND(OR($I47="Finalizado",$I47="Entregue"),$W47&gt;0.005),"Cobrar",IF($I47="Orçamento","Aguardando aprovação",""))))</f>
        <v>0</v>
      </c>
      <c r="Z47" s="33">
        <f>IF(AND($I47="Entregue",$M47&lt;&gt;""),DATE(YEAR($M47),MONTH($M47),1),"")</f>
        <v>0</v>
      </c>
      <c r="AA47" s="34">
        <f>IF(AND($C47&lt;&gt;"",$C47=HistPlaca),COUNTIF($C$5:$C47,HistPlaca),"")</f>
        <v>0</v>
      </c>
    </row>
    <row r="48" spans="1:27">
      <c r="A48" s="17"/>
      <c r="B48" s="25"/>
      <c r="C48" s="13"/>
      <c r="D48" s="26">
        <f>IF($C48="","",IFERROR(INDEX(VeicCli,MATCH($C48,VeicPlaca,0)),"Placa não cadastrada"))</f>
        <v>0</v>
      </c>
      <c r="E48" s="26">
        <f>IF($C48="","",IFERROR(INDEX(VeicModelo,MATCH($C48,VeicPlaca,0)),""))</f>
        <v>0</v>
      </c>
      <c r="F48" s="28"/>
      <c r="G48" s="13"/>
      <c r="H48" s="13"/>
      <c r="I48" s="13"/>
      <c r="J48" s="29"/>
      <c r="K48" s="19"/>
      <c r="L48" s="19"/>
      <c r="M48" s="25"/>
      <c r="N48" s="13"/>
      <c r="O48" s="19"/>
      <c r="P48" s="27">
        <f>IF($A48="","",N($J48)*ValorHora)</f>
        <v>0</v>
      </c>
      <c r="Q48" s="27">
        <f>IF($A48="","",SUMIFS(ItTotal,ItOS,$A48))</f>
        <v>0</v>
      </c>
      <c r="R48" s="30">
        <f>IF($A48="","",$P48+$Q48+N($K48)-N($L48))</f>
        <v>0</v>
      </c>
      <c r="S48" s="27">
        <f>IF($A48="","",SUMIFS(ItCusto,ItOS,$A48))</f>
        <v>0</v>
      </c>
      <c r="T48" s="27">
        <f>IF($A48="","",$P48*ComMec)</f>
        <v>0</v>
      </c>
      <c r="U48" s="21">
        <f>IF($A48="","",$R48-$S48-$T48-N($K48))</f>
        <v>0</v>
      </c>
      <c r="V48" s="31">
        <f>IF(OR($A48="",N($R48)&lt;=0),"",$U48/$R48)</f>
        <v>0</v>
      </c>
      <c r="W48" s="27">
        <f>IF($A48="","",IF(OR($I48="Finalizado",$I48="Entregue"),MAX(0,$R48-N($O48)),0))</f>
        <v>0</v>
      </c>
      <c r="X48" s="32">
        <f>IF(OR($A48="",$B48=""),"",IF(OR($I48="Entregue",$I48="Cancelada"),"",Hoje-$B48))</f>
        <v>0</v>
      </c>
      <c r="Y48" s="24">
        <f>IF($A48="","",IF(AND(OR($I48="Aprovado",$I48="Em execução",$I48="Aguardando peça"),N($X48)&gt;PrazoMax),"ATRASADA",IF(AND(OR($I48="Finalizado",$I48="Entregue"),$W48&gt;0.005),"Cobrar",IF($I48="Orçamento","Aguardando aprovação",""))))</f>
        <v>0</v>
      </c>
      <c r="Z48" s="33">
        <f>IF(AND($I48="Entregue",$M48&lt;&gt;""),DATE(YEAR($M48),MONTH($M48),1),"")</f>
        <v>0</v>
      </c>
      <c r="AA48" s="34">
        <f>IF(AND($C48&lt;&gt;"",$C48=HistPlaca),COUNTIF($C$5:$C48,HistPlaca),"")</f>
        <v>0</v>
      </c>
    </row>
    <row r="49" spans="1:27">
      <c r="A49" s="17"/>
      <c r="B49" s="25"/>
      <c r="C49" s="13"/>
      <c r="D49" s="26">
        <f>IF($C49="","",IFERROR(INDEX(VeicCli,MATCH($C49,VeicPlaca,0)),"Placa não cadastrada"))</f>
        <v>0</v>
      </c>
      <c r="E49" s="26">
        <f>IF($C49="","",IFERROR(INDEX(VeicModelo,MATCH($C49,VeicPlaca,0)),""))</f>
        <v>0</v>
      </c>
      <c r="F49" s="28"/>
      <c r="G49" s="13"/>
      <c r="H49" s="13"/>
      <c r="I49" s="13"/>
      <c r="J49" s="29"/>
      <c r="K49" s="19"/>
      <c r="L49" s="19"/>
      <c r="M49" s="25"/>
      <c r="N49" s="13"/>
      <c r="O49" s="19"/>
      <c r="P49" s="27">
        <f>IF($A49="","",N($J49)*ValorHora)</f>
        <v>0</v>
      </c>
      <c r="Q49" s="27">
        <f>IF($A49="","",SUMIFS(ItTotal,ItOS,$A49))</f>
        <v>0</v>
      </c>
      <c r="R49" s="30">
        <f>IF($A49="","",$P49+$Q49+N($K49)-N($L49))</f>
        <v>0</v>
      </c>
      <c r="S49" s="27">
        <f>IF($A49="","",SUMIFS(ItCusto,ItOS,$A49))</f>
        <v>0</v>
      </c>
      <c r="T49" s="27">
        <f>IF($A49="","",$P49*ComMec)</f>
        <v>0</v>
      </c>
      <c r="U49" s="21">
        <f>IF($A49="","",$R49-$S49-$T49-N($K49))</f>
        <v>0</v>
      </c>
      <c r="V49" s="31">
        <f>IF(OR($A49="",N($R49)&lt;=0),"",$U49/$R49)</f>
        <v>0</v>
      </c>
      <c r="W49" s="27">
        <f>IF($A49="","",IF(OR($I49="Finalizado",$I49="Entregue"),MAX(0,$R49-N($O49)),0))</f>
        <v>0</v>
      </c>
      <c r="X49" s="32">
        <f>IF(OR($A49="",$B49=""),"",IF(OR($I49="Entregue",$I49="Cancelada"),"",Hoje-$B49))</f>
        <v>0</v>
      </c>
      <c r="Y49" s="24">
        <f>IF($A49="","",IF(AND(OR($I49="Aprovado",$I49="Em execução",$I49="Aguardando peça"),N($X49)&gt;PrazoMax),"ATRASADA",IF(AND(OR($I49="Finalizado",$I49="Entregue"),$W49&gt;0.005),"Cobrar",IF($I49="Orçamento","Aguardando aprovação",""))))</f>
        <v>0</v>
      </c>
      <c r="Z49" s="33">
        <f>IF(AND($I49="Entregue",$M49&lt;&gt;""),DATE(YEAR($M49),MONTH($M49),1),"")</f>
        <v>0</v>
      </c>
      <c r="AA49" s="34">
        <f>IF(AND($C49&lt;&gt;"",$C49=HistPlaca),COUNTIF($C$5:$C49,HistPlaca),"")</f>
        <v>0</v>
      </c>
    </row>
    <row r="50" spans="1:27">
      <c r="A50" s="17"/>
      <c r="B50" s="25"/>
      <c r="C50" s="13"/>
      <c r="D50" s="26">
        <f>IF($C50="","",IFERROR(INDEX(VeicCli,MATCH($C50,VeicPlaca,0)),"Placa não cadastrada"))</f>
        <v>0</v>
      </c>
      <c r="E50" s="26">
        <f>IF($C50="","",IFERROR(INDEX(VeicModelo,MATCH($C50,VeicPlaca,0)),""))</f>
        <v>0</v>
      </c>
      <c r="F50" s="28"/>
      <c r="G50" s="13"/>
      <c r="H50" s="13"/>
      <c r="I50" s="13"/>
      <c r="J50" s="29"/>
      <c r="K50" s="19"/>
      <c r="L50" s="19"/>
      <c r="M50" s="25"/>
      <c r="N50" s="13"/>
      <c r="O50" s="19"/>
      <c r="P50" s="27">
        <f>IF($A50="","",N($J50)*ValorHora)</f>
        <v>0</v>
      </c>
      <c r="Q50" s="27">
        <f>IF($A50="","",SUMIFS(ItTotal,ItOS,$A50))</f>
        <v>0</v>
      </c>
      <c r="R50" s="30">
        <f>IF($A50="","",$P50+$Q50+N($K50)-N($L50))</f>
        <v>0</v>
      </c>
      <c r="S50" s="27">
        <f>IF($A50="","",SUMIFS(ItCusto,ItOS,$A50))</f>
        <v>0</v>
      </c>
      <c r="T50" s="27">
        <f>IF($A50="","",$P50*ComMec)</f>
        <v>0</v>
      </c>
      <c r="U50" s="21">
        <f>IF($A50="","",$R50-$S50-$T50-N($K50))</f>
        <v>0</v>
      </c>
      <c r="V50" s="31">
        <f>IF(OR($A50="",N($R50)&lt;=0),"",$U50/$R50)</f>
        <v>0</v>
      </c>
      <c r="W50" s="27">
        <f>IF($A50="","",IF(OR($I50="Finalizado",$I50="Entregue"),MAX(0,$R50-N($O50)),0))</f>
        <v>0</v>
      </c>
      <c r="X50" s="32">
        <f>IF(OR($A50="",$B50=""),"",IF(OR($I50="Entregue",$I50="Cancelada"),"",Hoje-$B50))</f>
        <v>0</v>
      </c>
      <c r="Y50" s="24">
        <f>IF($A50="","",IF(AND(OR($I50="Aprovado",$I50="Em execução",$I50="Aguardando peça"),N($X50)&gt;PrazoMax),"ATRASADA",IF(AND(OR($I50="Finalizado",$I50="Entregue"),$W50&gt;0.005),"Cobrar",IF($I50="Orçamento","Aguardando aprovação",""))))</f>
        <v>0</v>
      </c>
      <c r="Z50" s="33">
        <f>IF(AND($I50="Entregue",$M50&lt;&gt;""),DATE(YEAR($M50),MONTH($M50),1),"")</f>
        <v>0</v>
      </c>
      <c r="AA50" s="34">
        <f>IF(AND($C50&lt;&gt;"",$C50=HistPlaca),COUNTIF($C$5:$C50,HistPlaca),"")</f>
        <v>0</v>
      </c>
    </row>
    <row r="51" spans="1:27">
      <c r="A51" s="17"/>
      <c r="B51" s="25"/>
      <c r="C51" s="13"/>
      <c r="D51" s="26">
        <f>IF($C51="","",IFERROR(INDEX(VeicCli,MATCH($C51,VeicPlaca,0)),"Placa não cadastrada"))</f>
        <v>0</v>
      </c>
      <c r="E51" s="26">
        <f>IF($C51="","",IFERROR(INDEX(VeicModelo,MATCH($C51,VeicPlaca,0)),""))</f>
        <v>0</v>
      </c>
      <c r="F51" s="28"/>
      <c r="G51" s="13"/>
      <c r="H51" s="13"/>
      <c r="I51" s="13"/>
      <c r="J51" s="29"/>
      <c r="K51" s="19"/>
      <c r="L51" s="19"/>
      <c r="M51" s="25"/>
      <c r="N51" s="13"/>
      <c r="O51" s="19"/>
      <c r="P51" s="27">
        <f>IF($A51="","",N($J51)*ValorHora)</f>
        <v>0</v>
      </c>
      <c r="Q51" s="27">
        <f>IF($A51="","",SUMIFS(ItTotal,ItOS,$A51))</f>
        <v>0</v>
      </c>
      <c r="R51" s="30">
        <f>IF($A51="","",$P51+$Q51+N($K51)-N($L51))</f>
        <v>0</v>
      </c>
      <c r="S51" s="27">
        <f>IF($A51="","",SUMIFS(ItCusto,ItOS,$A51))</f>
        <v>0</v>
      </c>
      <c r="T51" s="27">
        <f>IF($A51="","",$P51*ComMec)</f>
        <v>0</v>
      </c>
      <c r="U51" s="21">
        <f>IF($A51="","",$R51-$S51-$T51-N($K51))</f>
        <v>0</v>
      </c>
      <c r="V51" s="31">
        <f>IF(OR($A51="",N($R51)&lt;=0),"",$U51/$R51)</f>
        <v>0</v>
      </c>
      <c r="W51" s="27">
        <f>IF($A51="","",IF(OR($I51="Finalizado",$I51="Entregue"),MAX(0,$R51-N($O51)),0))</f>
        <v>0</v>
      </c>
      <c r="X51" s="32">
        <f>IF(OR($A51="",$B51=""),"",IF(OR($I51="Entregue",$I51="Cancelada"),"",Hoje-$B51))</f>
        <v>0</v>
      </c>
      <c r="Y51" s="24">
        <f>IF($A51="","",IF(AND(OR($I51="Aprovado",$I51="Em execução",$I51="Aguardando peça"),N($X51)&gt;PrazoMax),"ATRASADA",IF(AND(OR($I51="Finalizado",$I51="Entregue"),$W51&gt;0.005),"Cobrar",IF($I51="Orçamento","Aguardando aprovação",""))))</f>
        <v>0</v>
      </c>
      <c r="Z51" s="33">
        <f>IF(AND($I51="Entregue",$M51&lt;&gt;""),DATE(YEAR($M51),MONTH($M51),1),"")</f>
        <v>0</v>
      </c>
      <c r="AA51" s="34">
        <f>IF(AND($C51&lt;&gt;"",$C51=HistPlaca),COUNTIF($C$5:$C51,HistPlaca),"")</f>
        <v>0</v>
      </c>
    </row>
    <row r="52" spans="1:27">
      <c r="A52" s="17"/>
      <c r="B52" s="25"/>
      <c r="C52" s="13"/>
      <c r="D52" s="26">
        <f>IF($C52="","",IFERROR(INDEX(VeicCli,MATCH($C52,VeicPlaca,0)),"Placa não cadastrada"))</f>
        <v>0</v>
      </c>
      <c r="E52" s="26">
        <f>IF($C52="","",IFERROR(INDEX(VeicModelo,MATCH($C52,VeicPlaca,0)),""))</f>
        <v>0</v>
      </c>
      <c r="F52" s="28"/>
      <c r="G52" s="13"/>
      <c r="H52" s="13"/>
      <c r="I52" s="13"/>
      <c r="J52" s="29"/>
      <c r="K52" s="19"/>
      <c r="L52" s="19"/>
      <c r="M52" s="25"/>
      <c r="N52" s="13"/>
      <c r="O52" s="19"/>
      <c r="P52" s="27">
        <f>IF($A52="","",N($J52)*ValorHora)</f>
        <v>0</v>
      </c>
      <c r="Q52" s="27">
        <f>IF($A52="","",SUMIFS(ItTotal,ItOS,$A52))</f>
        <v>0</v>
      </c>
      <c r="R52" s="30">
        <f>IF($A52="","",$P52+$Q52+N($K52)-N($L52))</f>
        <v>0</v>
      </c>
      <c r="S52" s="27">
        <f>IF($A52="","",SUMIFS(ItCusto,ItOS,$A52))</f>
        <v>0</v>
      </c>
      <c r="T52" s="27">
        <f>IF($A52="","",$P52*ComMec)</f>
        <v>0</v>
      </c>
      <c r="U52" s="21">
        <f>IF($A52="","",$R52-$S52-$T52-N($K52))</f>
        <v>0</v>
      </c>
      <c r="V52" s="31">
        <f>IF(OR($A52="",N($R52)&lt;=0),"",$U52/$R52)</f>
        <v>0</v>
      </c>
      <c r="W52" s="27">
        <f>IF($A52="","",IF(OR($I52="Finalizado",$I52="Entregue"),MAX(0,$R52-N($O52)),0))</f>
        <v>0</v>
      </c>
      <c r="X52" s="32">
        <f>IF(OR($A52="",$B52=""),"",IF(OR($I52="Entregue",$I52="Cancelada"),"",Hoje-$B52))</f>
        <v>0</v>
      </c>
      <c r="Y52" s="24">
        <f>IF($A52="","",IF(AND(OR($I52="Aprovado",$I52="Em execução",$I52="Aguardando peça"),N($X52)&gt;PrazoMax),"ATRASADA",IF(AND(OR($I52="Finalizado",$I52="Entregue"),$W52&gt;0.005),"Cobrar",IF($I52="Orçamento","Aguardando aprovação",""))))</f>
        <v>0</v>
      </c>
      <c r="Z52" s="33">
        <f>IF(AND($I52="Entregue",$M52&lt;&gt;""),DATE(YEAR($M52),MONTH($M52),1),"")</f>
        <v>0</v>
      </c>
      <c r="AA52" s="34">
        <f>IF(AND($C52&lt;&gt;"",$C52=HistPlaca),COUNTIF($C$5:$C52,HistPlaca),"")</f>
        <v>0</v>
      </c>
    </row>
    <row r="53" spans="1:27">
      <c r="A53" s="17"/>
      <c r="B53" s="25"/>
      <c r="C53" s="13"/>
      <c r="D53" s="26">
        <f>IF($C53="","",IFERROR(INDEX(VeicCli,MATCH($C53,VeicPlaca,0)),"Placa não cadastrada"))</f>
        <v>0</v>
      </c>
      <c r="E53" s="26">
        <f>IF($C53="","",IFERROR(INDEX(VeicModelo,MATCH($C53,VeicPlaca,0)),""))</f>
        <v>0</v>
      </c>
      <c r="F53" s="28"/>
      <c r="G53" s="13"/>
      <c r="H53" s="13"/>
      <c r="I53" s="13"/>
      <c r="J53" s="29"/>
      <c r="K53" s="19"/>
      <c r="L53" s="19"/>
      <c r="M53" s="25"/>
      <c r="N53" s="13"/>
      <c r="O53" s="19"/>
      <c r="P53" s="27">
        <f>IF($A53="","",N($J53)*ValorHora)</f>
        <v>0</v>
      </c>
      <c r="Q53" s="27">
        <f>IF($A53="","",SUMIFS(ItTotal,ItOS,$A53))</f>
        <v>0</v>
      </c>
      <c r="R53" s="30">
        <f>IF($A53="","",$P53+$Q53+N($K53)-N($L53))</f>
        <v>0</v>
      </c>
      <c r="S53" s="27">
        <f>IF($A53="","",SUMIFS(ItCusto,ItOS,$A53))</f>
        <v>0</v>
      </c>
      <c r="T53" s="27">
        <f>IF($A53="","",$P53*ComMec)</f>
        <v>0</v>
      </c>
      <c r="U53" s="21">
        <f>IF($A53="","",$R53-$S53-$T53-N($K53))</f>
        <v>0</v>
      </c>
      <c r="V53" s="31">
        <f>IF(OR($A53="",N($R53)&lt;=0),"",$U53/$R53)</f>
        <v>0</v>
      </c>
      <c r="W53" s="27">
        <f>IF($A53="","",IF(OR($I53="Finalizado",$I53="Entregue"),MAX(0,$R53-N($O53)),0))</f>
        <v>0</v>
      </c>
      <c r="X53" s="32">
        <f>IF(OR($A53="",$B53=""),"",IF(OR($I53="Entregue",$I53="Cancelada"),"",Hoje-$B53))</f>
        <v>0</v>
      </c>
      <c r="Y53" s="24">
        <f>IF($A53="","",IF(AND(OR($I53="Aprovado",$I53="Em execução",$I53="Aguardando peça"),N($X53)&gt;PrazoMax),"ATRASADA",IF(AND(OR($I53="Finalizado",$I53="Entregue"),$W53&gt;0.005),"Cobrar",IF($I53="Orçamento","Aguardando aprovação",""))))</f>
        <v>0</v>
      </c>
      <c r="Z53" s="33">
        <f>IF(AND($I53="Entregue",$M53&lt;&gt;""),DATE(YEAR($M53),MONTH($M53),1),"")</f>
        <v>0</v>
      </c>
      <c r="AA53" s="34">
        <f>IF(AND($C53&lt;&gt;"",$C53=HistPlaca),COUNTIF($C$5:$C53,HistPlaca),"")</f>
        <v>0</v>
      </c>
    </row>
    <row r="54" spans="1:27">
      <c r="A54" s="17"/>
      <c r="B54" s="25"/>
      <c r="C54" s="13"/>
      <c r="D54" s="26">
        <f>IF($C54="","",IFERROR(INDEX(VeicCli,MATCH($C54,VeicPlaca,0)),"Placa não cadastrada"))</f>
        <v>0</v>
      </c>
      <c r="E54" s="26">
        <f>IF($C54="","",IFERROR(INDEX(VeicModelo,MATCH($C54,VeicPlaca,0)),""))</f>
        <v>0</v>
      </c>
      <c r="F54" s="28"/>
      <c r="G54" s="13"/>
      <c r="H54" s="13"/>
      <c r="I54" s="13"/>
      <c r="J54" s="29"/>
      <c r="K54" s="19"/>
      <c r="L54" s="19"/>
      <c r="M54" s="25"/>
      <c r="N54" s="13"/>
      <c r="O54" s="19"/>
      <c r="P54" s="27">
        <f>IF($A54="","",N($J54)*ValorHora)</f>
        <v>0</v>
      </c>
      <c r="Q54" s="27">
        <f>IF($A54="","",SUMIFS(ItTotal,ItOS,$A54))</f>
        <v>0</v>
      </c>
      <c r="R54" s="30">
        <f>IF($A54="","",$P54+$Q54+N($K54)-N($L54))</f>
        <v>0</v>
      </c>
      <c r="S54" s="27">
        <f>IF($A54="","",SUMIFS(ItCusto,ItOS,$A54))</f>
        <v>0</v>
      </c>
      <c r="T54" s="27">
        <f>IF($A54="","",$P54*ComMec)</f>
        <v>0</v>
      </c>
      <c r="U54" s="21">
        <f>IF($A54="","",$R54-$S54-$T54-N($K54))</f>
        <v>0</v>
      </c>
      <c r="V54" s="31">
        <f>IF(OR($A54="",N($R54)&lt;=0),"",$U54/$R54)</f>
        <v>0</v>
      </c>
      <c r="W54" s="27">
        <f>IF($A54="","",IF(OR($I54="Finalizado",$I54="Entregue"),MAX(0,$R54-N($O54)),0))</f>
        <v>0</v>
      </c>
      <c r="X54" s="32">
        <f>IF(OR($A54="",$B54=""),"",IF(OR($I54="Entregue",$I54="Cancelada"),"",Hoje-$B54))</f>
        <v>0</v>
      </c>
      <c r="Y54" s="24">
        <f>IF($A54="","",IF(AND(OR($I54="Aprovado",$I54="Em execução",$I54="Aguardando peça"),N($X54)&gt;PrazoMax),"ATRASADA",IF(AND(OR($I54="Finalizado",$I54="Entregue"),$W54&gt;0.005),"Cobrar",IF($I54="Orçamento","Aguardando aprovação",""))))</f>
        <v>0</v>
      </c>
      <c r="Z54" s="33">
        <f>IF(AND($I54="Entregue",$M54&lt;&gt;""),DATE(YEAR($M54),MONTH($M54),1),"")</f>
        <v>0</v>
      </c>
      <c r="AA54" s="34">
        <f>IF(AND($C54&lt;&gt;"",$C54=HistPlaca),COUNTIF($C$5:$C54,HistPlaca),"")</f>
        <v>0</v>
      </c>
    </row>
    <row r="55" spans="1:27">
      <c r="A55" s="17"/>
      <c r="B55" s="25"/>
      <c r="C55" s="13"/>
      <c r="D55" s="26">
        <f>IF($C55="","",IFERROR(INDEX(VeicCli,MATCH($C55,VeicPlaca,0)),"Placa não cadastrada"))</f>
        <v>0</v>
      </c>
      <c r="E55" s="26">
        <f>IF($C55="","",IFERROR(INDEX(VeicModelo,MATCH($C55,VeicPlaca,0)),""))</f>
        <v>0</v>
      </c>
      <c r="F55" s="28"/>
      <c r="G55" s="13"/>
      <c r="H55" s="13"/>
      <c r="I55" s="13"/>
      <c r="J55" s="29"/>
      <c r="K55" s="19"/>
      <c r="L55" s="19"/>
      <c r="M55" s="25"/>
      <c r="N55" s="13"/>
      <c r="O55" s="19"/>
      <c r="P55" s="27">
        <f>IF($A55="","",N($J55)*ValorHora)</f>
        <v>0</v>
      </c>
      <c r="Q55" s="27">
        <f>IF($A55="","",SUMIFS(ItTotal,ItOS,$A55))</f>
        <v>0</v>
      </c>
      <c r="R55" s="30">
        <f>IF($A55="","",$P55+$Q55+N($K55)-N($L55))</f>
        <v>0</v>
      </c>
      <c r="S55" s="27">
        <f>IF($A55="","",SUMIFS(ItCusto,ItOS,$A55))</f>
        <v>0</v>
      </c>
      <c r="T55" s="27">
        <f>IF($A55="","",$P55*ComMec)</f>
        <v>0</v>
      </c>
      <c r="U55" s="21">
        <f>IF($A55="","",$R55-$S55-$T55-N($K55))</f>
        <v>0</v>
      </c>
      <c r="V55" s="31">
        <f>IF(OR($A55="",N($R55)&lt;=0),"",$U55/$R55)</f>
        <v>0</v>
      </c>
      <c r="W55" s="27">
        <f>IF($A55="","",IF(OR($I55="Finalizado",$I55="Entregue"),MAX(0,$R55-N($O55)),0))</f>
        <v>0</v>
      </c>
      <c r="X55" s="32">
        <f>IF(OR($A55="",$B55=""),"",IF(OR($I55="Entregue",$I55="Cancelada"),"",Hoje-$B55))</f>
        <v>0</v>
      </c>
      <c r="Y55" s="24">
        <f>IF($A55="","",IF(AND(OR($I55="Aprovado",$I55="Em execução",$I55="Aguardando peça"),N($X55)&gt;PrazoMax),"ATRASADA",IF(AND(OR($I55="Finalizado",$I55="Entregue"),$W55&gt;0.005),"Cobrar",IF($I55="Orçamento","Aguardando aprovação",""))))</f>
        <v>0</v>
      </c>
      <c r="Z55" s="33">
        <f>IF(AND($I55="Entregue",$M55&lt;&gt;""),DATE(YEAR($M55),MONTH($M55),1),"")</f>
        <v>0</v>
      </c>
      <c r="AA55" s="34">
        <f>IF(AND($C55&lt;&gt;"",$C55=HistPlaca),COUNTIF($C$5:$C55,HistPlaca),"")</f>
        <v>0</v>
      </c>
    </row>
    <row r="56" spans="1:27">
      <c r="A56" s="17"/>
      <c r="B56" s="25"/>
      <c r="C56" s="13"/>
      <c r="D56" s="26">
        <f>IF($C56="","",IFERROR(INDEX(VeicCli,MATCH($C56,VeicPlaca,0)),"Placa não cadastrada"))</f>
        <v>0</v>
      </c>
      <c r="E56" s="26">
        <f>IF($C56="","",IFERROR(INDEX(VeicModelo,MATCH($C56,VeicPlaca,0)),""))</f>
        <v>0</v>
      </c>
      <c r="F56" s="28"/>
      <c r="G56" s="13"/>
      <c r="H56" s="13"/>
      <c r="I56" s="13"/>
      <c r="J56" s="29"/>
      <c r="K56" s="19"/>
      <c r="L56" s="19"/>
      <c r="M56" s="25"/>
      <c r="N56" s="13"/>
      <c r="O56" s="19"/>
      <c r="P56" s="27">
        <f>IF($A56="","",N($J56)*ValorHora)</f>
        <v>0</v>
      </c>
      <c r="Q56" s="27">
        <f>IF($A56="","",SUMIFS(ItTotal,ItOS,$A56))</f>
        <v>0</v>
      </c>
      <c r="R56" s="30">
        <f>IF($A56="","",$P56+$Q56+N($K56)-N($L56))</f>
        <v>0</v>
      </c>
      <c r="S56" s="27">
        <f>IF($A56="","",SUMIFS(ItCusto,ItOS,$A56))</f>
        <v>0</v>
      </c>
      <c r="T56" s="27">
        <f>IF($A56="","",$P56*ComMec)</f>
        <v>0</v>
      </c>
      <c r="U56" s="21">
        <f>IF($A56="","",$R56-$S56-$T56-N($K56))</f>
        <v>0</v>
      </c>
      <c r="V56" s="31">
        <f>IF(OR($A56="",N($R56)&lt;=0),"",$U56/$R56)</f>
        <v>0</v>
      </c>
      <c r="W56" s="27">
        <f>IF($A56="","",IF(OR($I56="Finalizado",$I56="Entregue"),MAX(0,$R56-N($O56)),0))</f>
        <v>0</v>
      </c>
      <c r="X56" s="32">
        <f>IF(OR($A56="",$B56=""),"",IF(OR($I56="Entregue",$I56="Cancelada"),"",Hoje-$B56))</f>
        <v>0</v>
      </c>
      <c r="Y56" s="24">
        <f>IF($A56="","",IF(AND(OR($I56="Aprovado",$I56="Em execução",$I56="Aguardando peça"),N($X56)&gt;PrazoMax),"ATRASADA",IF(AND(OR($I56="Finalizado",$I56="Entregue"),$W56&gt;0.005),"Cobrar",IF($I56="Orçamento","Aguardando aprovação",""))))</f>
        <v>0</v>
      </c>
      <c r="Z56" s="33">
        <f>IF(AND($I56="Entregue",$M56&lt;&gt;""),DATE(YEAR($M56),MONTH($M56),1),"")</f>
        <v>0</v>
      </c>
      <c r="AA56" s="34">
        <f>IF(AND($C56&lt;&gt;"",$C56=HistPlaca),COUNTIF($C$5:$C56,HistPlaca),"")</f>
        <v>0</v>
      </c>
    </row>
    <row r="57" spans="1:27">
      <c r="A57" s="17"/>
      <c r="B57" s="25"/>
      <c r="C57" s="13"/>
      <c r="D57" s="26">
        <f>IF($C57="","",IFERROR(INDEX(VeicCli,MATCH($C57,VeicPlaca,0)),"Placa não cadastrada"))</f>
        <v>0</v>
      </c>
      <c r="E57" s="26">
        <f>IF($C57="","",IFERROR(INDEX(VeicModelo,MATCH($C57,VeicPlaca,0)),""))</f>
        <v>0</v>
      </c>
      <c r="F57" s="28"/>
      <c r="G57" s="13"/>
      <c r="H57" s="13"/>
      <c r="I57" s="13"/>
      <c r="J57" s="29"/>
      <c r="K57" s="19"/>
      <c r="L57" s="19"/>
      <c r="M57" s="25"/>
      <c r="N57" s="13"/>
      <c r="O57" s="19"/>
      <c r="P57" s="27">
        <f>IF($A57="","",N($J57)*ValorHora)</f>
        <v>0</v>
      </c>
      <c r="Q57" s="27">
        <f>IF($A57="","",SUMIFS(ItTotal,ItOS,$A57))</f>
        <v>0</v>
      </c>
      <c r="R57" s="30">
        <f>IF($A57="","",$P57+$Q57+N($K57)-N($L57))</f>
        <v>0</v>
      </c>
      <c r="S57" s="27">
        <f>IF($A57="","",SUMIFS(ItCusto,ItOS,$A57))</f>
        <v>0</v>
      </c>
      <c r="T57" s="27">
        <f>IF($A57="","",$P57*ComMec)</f>
        <v>0</v>
      </c>
      <c r="U57" s="21">
        <f>IF($A57="","",$R57-$S57-$T57-N($K57))</f>
        <v>0</v>
      </c>
      <c r="V57" s="31">
        <f>IF(OR($A57="",N($R57)&lt;=0),"",$U57/$R57)</f>
        <v>0</v>
      </c>
      <c r="W57" s="27">
        <f>IF($A57="","",IF(OR($I57="Finalizado",$I57="Entregue"),MAX(0,$R57-N($O57)),0))</f>
        <v>0</v>
      </c>
      <c r="X57" s="32">
        <f>IF(OR($A57="",$B57=""),"",IF(OR($I57="Entregue",$I57="Cancelada"),"",Hoje-$B57))</f>
        <v>0</v>
      </c>
      <c r="Y57" s="24">
        <f>IF($A57="","",IF(AND(OR($I57="Aprovado",$I57="Em execução",$I57="Aguardando peça"),N($X57)&gt;PrazoMax),"ATRASADA",IF(AND(OR($I57="Finalizado",$I57="Entregue"),$W57&gt;0.005),"Cobrar",IF($I57="Orçamento","Aguardando aprovação",""))))</f>
        <v>0</v>
      </c>
      <c r="Z57" s="33">
        <f>IF(AND($I57="Entregue",$M57&lt;&gt;""),DATE(YEAR($M57),MONTH($M57),1),"")</f>
        <v>0</v>
      </c>
      <c r="AA57" s="34">
        <f>IF(AND($C57&lt;&gt;"",$C57=HistPlaca),COUNTIF($C$5:$C57,HistPlaca),"")</f>
        <v>0</v>
      </c>
    </row>
    <row r="58" spans="1:27">
      <c r="A58" s="17"/>
      <c r="B58" s="25"/>
      <c r="C58" s="13"/>
      <c r="D58" s="26">
        <f>IF($C58="","",IFERROR(INDEX(VeicCli,MATCH($C58,VeicPlaca,0)),"Placa não cadastrada"))</f>
        <v>0</v>
      </c>
      <c r="E58" s="26">
        <f>IF($C58="","",IFERROR(INDEX(VeicModelo,MATCH($C58,VeicPlaca,0)),""))</f>
        <v>0</v>
      </c>
      <c r="F58" s="28"/>
      <c r="G58" s="13"/>
      <c r="H58" s="13"/>
      <c r="I58" s="13"/>
      <c r="J58" s="29"/>
      <c r="K58" s="19"/>
      <c r="L58" s="19"/>
      <c r="M58" s="25"/>
      <c r="N58" s="13"/>
      <c r="O58" s="19"/>
      <c r="P58" s="27">
        <f>IF($A58="","",N($J58)*ValorHora)</f>
        <v>0</v>
      </c>
      <c r="Q58" s="27">
        <f>IF($A58="","",SUMIFS(ItTotal,ItOS,$A58))</f>
        <v>0</v>
      </c>
      <c r="R58" s="30">
        <f>IF($A58="","",$P58+$Q58+N($K58)-N($L58))</f>
        <v>0</v>
      </c>
      <c r="S58" s="27">
        <f>IF($A58="","",SUMIFS(ItCusto,ItOS,$A58))</f>
        <v>0</v>
      </c>
      <c r="T58" s="27">
        <f>IF($A58="","",$P58*ComMec)</f>
        <v>0</v>
      </c>
      <c r="U58" s="21">
        <f>IF($A58="","",$R58-$S58-$T58-N($K58))</f>
        <v>0</v>
      </c>
      <c r="V58" s="31">
        <f>IF(OR($A58="",N($R58)&lt;=0),"",$U58/$R58)</f>
        <v>0</v>
      </c>
      <c r="W58" s="27">
        <f>IF($A58="","",IF(OR($I58="Finalizado",$I58="Entregue"),MAX(0,$R58-N($O58)),0))</f>
        <v>0</v>
      </c>
      <c r="X58" s="32">
        <f>IF(OR($A58="",$B58=""),"",IF(OR($I58="Entregue",$I58="Cancelada"),"",Hoje-$B58))</f>
        <v>0</v>
      </c>
      <c r="Y58" s="24">
        <f>IF($A58="","",IF(AND(OR($I58="Aprovado",$I58="Em execução",$I58="Aguardando peça"),N($X58)&gt;PrazoMax),"ATRASADA",IF(AND(OR($I58="Finalizado",$I58="Entregue"),$W58&gt;0.005),"Cobrar",IF($I58="Orçamento","Aguardando aprovação",""))))</f>
        <v>0</v>
      </c>
      <c r="Z58" s="33">
        <f>IF(AND($I58="Entregue",$M58&lt;&gt;""),DATE(YEAR($M58),MONTH($M58),1),"")</f>
        <v>0</v>
      </c>
      <c r="AA58" s="34">
        <f>IF(AND($C58&lt;&gt;"",$C58=HistPlaca),COUNTIF($C$5:$C58,HistPlaca),"")</f>
        <v>0</v>
      </c>
    </row>
    <row r="59" spans="1:27">
      <c r="A59" s="17"/>
      <c r="B59" s="25"/>
      <c r="C59" s="13"/>
      <c r="D59" s="26">
        <f>IF($C59="","",IFERROR(INDEX(VeicCli,MATCH($C59,VeicPlaca,0)),"Placa não cadastrada"))</f>
        <v>0</v>
      </c>
      <c r="E59" s="26">
        <f>IF($C59="","",IFERROR(INDEX(VeicModelo,MATCH($C59,VeicPlaca,0)),""))</f>
        <v>0</v>
      </c>
      <c r="F59" s="28"/>
      <c r="G59" s="13"/>
      <c r="H59" s="13"/>
      <c r="I59" s="13"/>
      <c r="J59" s="29"/>
      <c r="K59" s="19"/>
      <c r="L59" s="19"/>
      <c r="M59" s="25"/>
      <c r="N59" s="13"/>
      <c r="O59" s="19"/>
      <c r="P59" s="27">
        <f>IF($A59="","",N($J59)*ValorHora)</f>
        <v>0</v>
      </c>
      <c r="Q59" s="27">
        <f>IF($A59="","",SUMIFS(ItTotal,ItOS,$A59))</f>
        <v>0</v>
      </c>
      <c r="R59" s="30">
        <f>IF($A59="","",$P59+$Q59+N($K59)-N($L59))</f>
        <v>0</v>
      </c>
      <c r="S59" s="27">
        <f>IF($A59="","",SUMIFS(ItCusto,ItOS,$A59))</f>
        <v>0</v>
      </c>
      <c r="T59" s="27">
        <f>IF($A59="","",$P59*ComMec)</f>
        <v>0</v>
      </c>
      <c r="U59" s="21">
        <f>IF($A59="","",$R59-$S59-$T59-N($K59))</f>
        <v>0</v>
      </c>
      <c r="V59" s="31">
        <f>IF(OR($A59="",N($R59)&lt;=0),"",$U59/$R59)</f>
        <v>0</v>
      </c>
      <c r="W59" s="27">
        <f>IF($A59="","",IF(OR($I59="Finalizado",$I59="Entregue"),MAX(0,$R59-N($O59)),0))</f>
        <v>0</v>
      </c>
      <c r="X59" s="32">
        <f>IF(OR($A59="",$B59=""),"",IF(OR($I59="Entregue",$I59="Cancelada"),"",Hoje-$B59))</f>
        <v>0</v>
      </c>
      <c r="Y59" s="24">
        <f>IF($A59="","",IF(AND(OR($I59="Aprovado",$I59="Em execução",$I59="Aguardando peça"),N($X59)&gt;PrazoMax),"ATRASADA",IF(AND(OR($I59="Finalizado",$I59="Entregue"),$W59&gt;0.005),"Cobrar",IF($I59="Orçamento","Aguardando aprovação",""))))</f>
        <v>0</v>
      </c>
      <c r="Z59" s="33">
        <f>IF(AND($I59="Entregue",$M59&lt;&gt;""),DATE(YEAR($M59),MONTH($M59),1),"")</f>
        <v>0</v>
      </c>
      <c r="AA59" s="34">
        <f>IF(AND($C59&lt;&gt;"",$C59=HistPlaca),COUNTIF($C$5:$C59,HistPlaca),"")</f>
        <v>0</v>
      </c>
    </row>
    <row r="60" spans="1:27">
      <c r="A60" s="17"/>
      <c r="B60" s="25"/>
      <c r="C60" s="13"/>
      <c r="D60" s="26">
        <f>IF($C60="","",IFERROR(INDEX(VeicCli,MATCH($C60,VeicPlaca,0)),"Placa não cadastrada"))</f>
        <v>0</v>
      </c>
      <c r="E60" s="26">
        <f>IF($C60="","",IFERROR(INDEX(VeicModelo,MATCH($C60,VeicPlaca,0)),""))</f>
        <v>0</v>
      </c>
      <c r="F60" s="28"/>
      <c r="G60" s="13"/>
      <c r="H60" s="13"/>
      <c r="I60" s="13"/>
      <c r="J60" s="29"/>
      <c r="K60" s="19"/>
      <c r="L60" s="19"/>
      <c r="M60" s="25"/>
      <c r="N60" s="13"/>
      <c r="O60" s="19"/>
      <c r="P60" s="27">
        <f>IF($A60="","",N($J60)*ValorHora)</f>
        <v>0</v>
      </c>
      <c r="Q60" s="27">
        <f>IF($A60="","",SUMIFS(ItTotal,ItOS,$A60))</f>
        <v>0</v>
      </c>
      <c r="R60" s="30">
        <f>IF($A60="","",$P60+$Q60+N($K60)-N($L60))</f>
        <v>0</v>
      </c>
      <c r="S60" s="27">
        <f>IF($A60="","",SUMIFS(ItCusto,ItOS,$A60))</f>
        <v>0</v>
      </c>
      <c r="T60" s="27">
        <f>IF($A60="","",$P60*ComMec)</f>
        <v>0</v>
      </c>
      <c r="U60" s="21">
        <f>IF($A60="","",$R60-$S60-$T60-N($K60))</f>
        <v>0</v>
      </c>
      <c r="V60" s="31">
        <f>IF(OR($A60="",N($R60)&lt;=0),"",$U60/$R60)</f>
        <v>0</v>
      </c>
      <c r="W60" s="27">
        <f>IF($A60="","",IF(OR($I60="Finalizado",$I60="Entregue"),MAX(0,$R60-N($O60)),0))</f>
        <v>0</v>
      </c>
      <c r="X60" s="32">
        <f>IF(OR($A60="",$B60=""),"",IF(OR($I60="Entregue",$I60="Cancelada"),"",Hoje-$B60))</f>
        <v>0</v>
      </c>
      <c r="Y60" s="24">
        <f>IF($A60="","",IF(AND(OR($I60="Aprovado",$I60="Em execução",$I60="Aguardando peça"),N($X60)&gt;PrazoMax),"ATRASADA",IF(AND(OR($I60="Finalizado",$I60="Entregue"),$W60&gt;0.005),"Cobrar",IF($I60="Orçamento","Aguardando aprovação",""))))</f>
        <v>0</v>
      </c>
      <c r="Z60" s="33">
        <f>IF(AND($I60="Entregue",$M60&lt;&gt;""),DATE(YEAR($M60),MONTH($M60),1),"")</f>
        <v>0</v>
      </c>
      <c r="AA60" s="34">
        <f>IF(AND($C60&lt;&gt;"",$C60=HistPlaca),COUNTIF($C$5:$C60,HistPlaca),"")</f>
        <v>0</v>
      </c>
    </row>
    <row r="61" spans="1:27">
      <c r="A61" s="17"/>
      <c r="B61" s="25"/>
      <c r="C61" s="13"/>
      <c r="D61" s="26">
        <f>IF($C61="","",IFERROR(INDEX(VeicCli,MATCH($C61,VeicPlaca,0)),"Placa não cadastrada"))</f>
        <v>0</v>
      </c>
      <c r="E61" s="26">
        <f>IF($C61="","",IFERROR(INDEX(VeicModelo,MATCH($C61,VeicPlaca,0)),""))</f>
        <v>0</v>
      </c>
      <c r="F61" s="28"/>
      <c r="G61" s="13"/>
      <c r="H61" s="13"/>
      <c r="I61" s="13"/>
      <c r="J61" s="29"/>
      <c r="K61" s="19"/>
      <c r="L61" s="19"/>
      <c r="M61" s="25"/>
      <c r="N61" s="13"/>
      <c r="O61" s="19"/>
      <c r="P61" s="27">
        <f>IF($A61="","",N($J61)*ValorHora)</f>
        <v>0</v>
      </c>
      <c r="Q61" s="27">
        <f>IF($A61="","",SUMIFS(ItTotal,ItOS,$A61))</f>
        <v>0</v>
      </c>
      <c r="R61" s="30">
        <f>IF($A61="","",$P61+$Q61+N($K61)-N($L61))</f>
        <v>0</v>
      </c>
      <c r="S61" s="27">
        <f>IF($A61="","",SUMIFS(ItCusto,ItOS,$A61))</f>
        <v>0</v>
      </c>
      <c r="T61" s="27">
        <f>IF($A61="","",$P61*ComMec)</f>
        <v>0</v>
      </c>
      <c r="U61" s="21">
        <f>IF($A61="","",$R61-$S61-$T61-N($K61))</f>
        <v>0</v>
      </c>
      <c r="V61" s="31">
        <f>IF(OR($A61="",N($R61)&lt;=0),"",$U61/$R61)</f>
        <v>0</v>
      </c>
      <c r="W61" s="27">
        <f>IF($A61="","",IF(OR($I61="Finalizado",$I61="Entregue"),MAX(0,$R61-N($O61)),0))</f>
        <v>0</v>
      </c>
      <c r="X61" s="32">
        <f>IF(OR($A61="",$B61=""),"",IF(OR($I61="Entregue",$I61="Cancelada"),"",Hoje-$B61))</f>
        <v>0</v>
      </c>
      <c r="Y61" s="24">
        <f>IF($A61="","",IF(AND(OR($I61="Aprovado",$I61="Em execução",$I61="Aguardando peça"),N($X61)&gt;PrazoMax),"ATRASADA",IF(AND(OR($I61="Finalizado",$I61="Entregue"),$W61&gt;0.005),"Cobrar",IF($I61="Orçamento","Aguardando aprovação",""))))</f>
        <v>0</v>
      </c>
      <c r="Z61" s="33">
        <f>IF(AND($I61="Entregue",$M61&lt;&gt;""),DATE(YEAR($M61),MONTH($M61),1),"")</f>
        <v>0</v>
      </c>
      <c r="AA61" s="34">
        <f>IF(AND($C61&lt;&gt;"",$C61=HistPlaca),COUNTIF($C$5:$C61,HistPlaca),"")</f>
        <v>0</v>
      </c>
    </row>
    <row r="62" spans="1:27">
      <c r="A62" s="17"/>
      <c r="B62" s="25"/>
      <c r="C62" s="13"/>
      <c r="D62" s="26">
        <f>IF($C62="","",IFERROR(INDEX(VeicCli,MATCH($C62,VeicPlaca,0)),"Placa não cadastrada"))</f>
        <v>0</v>
      </c>
      <c r="E62" s="26">
        <f>IF($C62="","",IFERROR(INDEX(VeicModelo,MATCH($C62,VeicPlaca,0)),""))</f>
        <v>0</v>
      </c>
      <c r="F62" s="28"/>
      <c r="G62" s="13"/>
      <c r="H62" s="13"/>
      <c r="I62" s="13"/>
      <c r="J62" s="29"/>
      <c r="K62" s="19"/>
      <c r="L62" s="19"/>
      <c r="M62" s="25"/>
      <c r="N62" s="13"/>
      <c r="O62" s="19"/>
      <c r="P62" s="27">
        <f>IF($A62="","",N($J62)*ValorHora)</f>
        <v>0</v>
      </c>
      <c r="Q62" s="27">
        <f>IF($A62="","",SUMIFS(ItTotal,ItOS,$A62))</f>
        <v>0</v>
      </c>
      <c r="R62" s="30">
        <f>IF($A62="","",$P62+$Q62+N($K62)-N($L62))</f>
        <v>0</v>
      </c>
      <c r="S62" s="27">
        <f>IF($A62="","",SUMIFS(ItCusto,ItOS,$A62))</f>
        <v>0</v>
      </c>
      <c r="T62" s="27">
        <f>IF($A62="","",$P62*ComMec)</f>
        <v>0</v>
      </c>
      <c r="U62" s="21">
        <f>IF($A62="","",$R62-$S62-$T62-N($K62))</f>
        <v>0</v>
      </c>
      <c r="V62" s="31">
        <f>IF(OR($A62="",N($R62)&lt;=0),"",$U62/$R62)</f>
        <v>0</v>
      </c>
      <c r="W62" s="27">
        <f>IF($A62="","",IF(OR($I62="Finalizado",$I62="Entregue"),MAX(0,$R62-N($O62)),0))</f>
        <v>0</v>
      </c>
      <c r="X62" s="32">
        <f>IF(OR($A62="",$B62=""),"",IF(OR($I62="Entregue",$I62="Cancelada"),"",Hoje-$B62))</f>
        <v>0</v>
      </c>
      <c r="Y62" s="24">
        <f>IF($A62="","",IF(AND(OR($I62="Aprovado",$I62="Em execução",$I62="Aguardando peça"),N($X62)&gt;PrazoMax),"ATRASADA",IF(AND(OR($I62="Finalizado",$I62="Entregue"),$W62&gt;0.005),"Cobrar",IF($I62="Orçamento","Aguardando aprovação",""))))</f>
        <v>0</v>
      </c>
      <c r="Z62" s="33">
        <f>IF(AND($I62="Entregue",$M62&lt;&gt;""),DATE(YEAR($M62),MONTH($M62),1),"")</f>
        <v>0</v>
      </c>
      <c r="AA62" s="34">
        <f>IF(AND($C62&lt;&gt;"",$C62=HistPlaca),COUNTIF($C$5:$C62,HistPlaca),"")</f>
        <v>0</v>
      </c>
    </row>
    <row r="63" spans="1:27">
      <c r="A63" s="17"/>
      <c r="B63" s="25"/>
      <c r="C63" s="13"/>
      <c r="D63" s="26">
        <f>IF($C63="","",IFERROR(INDEX(VeicCli,MATCH($C63,VeicPlaca,0)),"Placa não cadastrada"))</f>
        <v>0</v>
      </c>
      <c r="E63" s="26">
        <f>IF($C63="","",IFERROR(INDEX(VeicModelo,MATCH($C63,VeicPlaca,0)),""))</f>
        <v>0</v>
      </c>
      <c r="F63" s="28"/>
      <c r="G63" s="13"/>
      <c r="H63" s="13"/>
      <c r="I63" s="13"/>
      <c r="J63" s="29"/>
      <c r="K63" s="19"/>
      <c r="L63" s="19"/>
      <c r="M63" s="25"/>
      <c r="N63" s="13"/>
      <c r="O63" s="19"/>
      <c r="P63" s="27">
        <f>IF($A63="","",N($J63)*ValorHora)</f>
        <v>0</v>
      </c>
      <c r="Q63" s="27">
        <f>IF($A63="","",SUMIFS(ItTotal,ItOS,$A63))</f>
        <v>0</v>
      </c>
      <c r="R63" s="30">
        <f>IF($A63="","",$P63+$Q63+N($K63)-N($L63))</f>
        <v>0</v>
      </c>
      <c r="S63" s="27">
        <f>IF($A63="","",SUMIFS(ItCusto,ItOS,$A63))</f>
        <v>0</v>
      </c>
      <c r="T63" s="27">
        <f>IF($A63="","",$P63*ComMec)</f>
        <v>0</v>
      </c>
      <c r="U63" s="21">
        <f>IF($A63="","",$R63-$S63-$T63-N($K63))</f>
        <v>0</v>
      </c>
      <c r="V63" s="31">
        <f>IF(OR($A63="",N($R63)&lt;=0),"",$U63/$R63)</f>
        <v>0</v>
      </c>
      <c r="W63" s="27">
        <f>IF($A63="","",IF(OR($I63="Finalizado",$I63="Entregue"),MAX(0,$R63-N($O63)),0))</f>
        <v>0</v>
      </c>
      <c r="X63" s="32">
        <f>IF(OR($A63="",$B63=""),"",IF(OR($I63="Entregue",$I63="Cancelada"),"",Hoje-$B63))</f>
        <v>0</v>
      </c>
      <c r="Y63" s="24">
        <f>IF($A63="","",IF(AND(OR($I63="Aprovado",$I63="Em execução",$I63="Aguardando peça"),N($X63)&gt;PrazoMax),"ATRASADA",IF(AND(OR($I63="Finalizado",$I63="Entregue"),$W63&gt;0.005),"Cobrar",IF($I63="Orçamento","Aguardando aprovação",""))))</f>
        <v>0</v>
      </c>
      <c r="Z63" s="33">
        <f>IF(AND($I63="Entregue",$M63&lt;&gt;""),DATE(YEAR($M63),MONTH($M63),1),"")</f>
        <v>0</v>
      </c>
      <c r="AA63" s="34">
        <f>IF(AND($C63&lt;&gt;"",$C63=HistPlaca),COUNTIF($C$5:$C63,HistPlaca),"")</f>
        <v>0</v>
      </c>
    </row>
    <row r="64" spans="1:27">
      <c r="A64" s="17"/>
      <c r="B64" s="25"/>
      <c r="C64" s="13"/>
      <c r="D64" s="26">
        <f>IF($C64="","",IFERROR(INDEX(VeicCli,MATCH($C64,VeicPlaca,0)),"Placa não cadastrada"))</f>
        <v>0</v>
      </c>
      <c r="E64" s="26">
        <f>IF($C64="","",IFERROR(INDEX(VeicModelo,MATCH($C64,VeicPlaca,0)),""))</f>
        <v>0</v>
      </c>
      <c r="F64" s="28"/>
      <c r="G64" s="13"/>
      <c r="H64" s="13"/>
      <c r="I64" s="13"/>
      <c r="J64" s="29"/>
      <c r="K64" s="19"/>
      <c r="L64" s="19"/>
      <c r="M64" s="25"/>
      <c r="N64" s="13"/>
      <c r="O64" s="19"/>
      <c r="P64" s="27">
        <f>IF($A64="","",N($J64)*ValorHora)</f>
        <v>0</v>
      </c>
      <c r="Q64" s="27">
        <f>IF($A64="","",SUMIFS(ItTotal,ItOS,$A64))</f>
        <v>0</v>
      </c>
      <c r="R64" s="30">
        <f>IF($A64="","",$P64+$Q64+N($K64)-N($L64))</f>
        <v>0</v>
      </c>
      <c r="S64" s="27">
        <f>IF($A64="","",SUMIFS(ItCusto,ItOS,$A64))</f>
        <v>0</v>
      </c>
      <c r="T64" s="27">
        <f>IF($A64="","",$P64*ComMec)</f>
        <v>0</v>
      </c>
      <c r="U64" s="21">
        <f>IF($A64="","",$R64-$S64-$T64-N($K64))</f>
        <v>0</v>
      </c>
      <c r="V64" s="31">
        <f>IF(OR($A64="",N($R64)&lt;=0),"",$U64/$R64)</f>
        <v>0</v>
      </c>
      <c r="W64" s="27">
        <f>IF($A64="","",IF(OR($I64="Finalizado",$I64="Entregue"),MAX(0,$R64-N($O64)),0))</f>
        <v>0</v>
      </c>
      <c r="X64" s="32">
        <f>IF(OR($A64="",$B64=""),"",IF(OR($I64="Entregue",$I64="Cancelada"),"",Hoje-$B64))</f>
        <v>0</v>
      </c>
      <c r="Y64" s="24">
        <f>IF($A64="","",IF(AND(OR($I64="Aprovado",$I64="Em execução",$I64="Aguardando peça"),N($X64)&gt;PrazoMax),"ATRASADA",IF(AND(OR($I64="Finalizado",$I64="Entregue"),$W64&gt;0.005),"Cobrar",IF($I64="Orçamento","Aguardando aprovação",""))))</f>
        <v>0</v>
      </c>
      <c r="Z64" s="33">
        <f>IF(AND($I64="Entregue",$M64&lt;&gt;""),DATE(YEAR($M64),MONTH($M64),1),"")</f>
        <v>0</v>
      </c>
      <c r="AA64" s="34">
        <f>IF(AND($C64&lt;&gt;"",$C64=HistPlaca),COUNTIF($C$5:$C64,HistPlaca),"")</f>
        <v>0</v>
      </c>
    </row>
    <row r="65" spans="1:27">
      <c r="A65" s="17"/>
      <c r="B65" s="25"/>
      <c r="C65" s="13"/>
      <c r="D65" s="26">
        <f>IF($C65="","",IFERROR(INDEX(VeicCli,MATCH($C65,VeicPlaca,0)),"Placa não cadastrada"))</f>
        <v>0</v>
      </c>
      <c r="E65" s="26">
        <f>IF($C65="","",IFERROR(INDEX(VeicModelo,MATCH($C65,VeicPlaca,0)),""))</f>
        <v>0</v>
      </c>
      <c r="F65" s="28"/>
      <c r="G65" s="13"/>
      <c r="H65" s="13"/>
      <c r="I65" s="13"/>
      <c r="J65" s="29"/>
      <c r="K65" s="19"/>
      <c r="L65" s="19"/>
      <c r="M65" s="25"/>
      <c r="N65" s="13"/>
      <c r="O65" s="19"/>
      <c r="P65" s="27">
        <f>IF($A65="","",N($J65)*ValorHora)</f>
        <v>0</v>
      </c>
      <c r="Q65" s="27">
        <f>IF($A65="","",SUMIFS(ItTotal,ItOS,$A65))</f>
        <v>0</v>
      </c>
      <c r="R65" s="30">
        <f>IF($A65="","",$P65+$Q65+N($K65)-N($L65))</f>
        <v>0</v>
      </c>
      <c r="S65" s="27">
        <f>IF($A65="","",SUMIFS(ItCusto,ItOS,$A65))</f>
        <v>0</v>
      </c>
      <c r="T65" s="27">
        <f>IF($A65="","",$P65*ComMec)</f>
        <v>0</v>
      </c>
      <c r="U65" s="21">
        <f>IF($A65="","",$R65-$S65-$T65-N($K65))</f>
        <v>0</v>
      </c>
      <c r="V65" s="31">
        <f>IF(OR($A65="",N($R65)&lt;=0),"",$U65/$R65)</f>
        <v>0</v>
      </c>
      <c r="W65" s="27">
        <f>IF($A65="","",IF(OR($I65="Finalizado",$I65="Entregue"),MAX(0,$R65-N($O65)),0))</f>
        <v>0</v>
      </c>
      <c r="X65" s="32">
        <f>IF(OR($A65="",$B65=""),"",IF(OR($I65="Entregue",$I65="Cancelada"),"",Hoje-$B65))</f>
        <v>0</v>
      </c>
      <c r="Y65" s="24">
        <f>IF($A65="","",IF(AND(OR($I65="Aprovado",$I65="Em execução",$I65="Aguardando peça"),N($X65)&gt;PrazoMax),"ATRASADA",IF(AND(OR($I65="Finalizado",$I65="Entregue"),$W65&gt;0.005),"Cobrar",IF($I65="Orçamento","Aguardando aprovação",""))))</f>
        <v>0</v>
      </c>
      <c r="Z65" s="33">
        <f>IF(AND($I65="Entregue",$M65&lt;&gt;""),DATE(YEAR($M65),MONTH($M65),1),"")</f>
        <v>0</v>
      </c>
      <c r="AA65" s="34">
        <f>IF(AND($C65&lt;&gt;"",$C65=HistPlaca),COUNTIF($C$5:$C65,HistPlaca),"")</f>
        <v>0</v>
      </c>
    </row>
    <row r="66" spans="1:27">
      <c r="A66" s="17"/>
      <c r="B66" s="25"/>
      <c r="C66" s="13"/>
      <c r="D66" s="26">
        <f>IF($C66="","",IFERROR(INDEX(VeicCli,MATCH($C66,VeicPlaca,0)),"Placa não cadastrada"))</f>
        <v>0</v>
      </c>
      <c r="E66" s="26">
        <f>IF($C66="","",IFERROR(INDEX(VeicModelo,MATCH($C66,VeicPlaca,0)),""))</f>
        <v>0</v>
      </c>
      <c r="F66" s="28"/>
      <c r="G66" s="13"/>
      <c r="H66" s="13"/>
      <c r="I66" s="13"/>
      <c r="J66" s="29"/>
      <c r="K66" s="19"/>
      <c r="L66" s="19"/>
      <c r="M66" s="25"/>
      <c r="N66" s="13"/>
      <c r="O66" s="19"/>
      <c r="P66" s="27">
        <f>IF($A66="","",N($J66)*ValorHora)</f>
        <v>0</v>
      </c>
      <c r="Q66" s="27">
        <f>IF($A66="","",SUMIFS(ItTotal,ItOS,$A66))</f>
        <v>0</v>
      </c>
      <c r="R66" s="30">
        <f>IF($A66="","",$P66+$Q66+N($K66)-N($L66))</f>
        <v>0</v>
      </c>
      <c r="S66" s="27">
        <f>IF($A66="","",SUMIFS(ItCusto,ItOS,$A66))</f>
        <v>0</v>
      </c>
      <c r="T66" s="27">
        <f>IF($A66="","",$P66*ComMec)</f>
        <v>0</v>
      </c>
      <c r="U66" s="21">
        <f>IF($A66="","",$R66-$S66-$T66-N($K66))</f>
        <v>0</v>
      </c>
      <c r="V66" s="31">
        <f>IF(OR($A66="",N($R66)&lt;=0),"",$U66/$R66)</f>
        <v>0</v>
      </c>
      <c r="W66" s="27">
        <f>IF($A66="","",IF(OR($I66="Finalizado",$I66="Entregue"),MAX(0,$R66-N($O66)),0))</f>
        <v>0</v>
      </c>
      <c r="X66" s="32">
        <f>IF(OR($A66="",$B66=""),"",IF(OR($I66="Entregue",$I66="Cancelada"),"",Hoje-$B66))</f>
        <v>0</v>
      </c>
      <c r="Y66" s="24">
        <f>IF($A66="","",IF(AND(OR($I66="Aprovado",$I66="Em execução",$I66="Aguardando peça"),N($X66)&gt;PrazoMax),"ATRASADA",IF(AND(OR($I66="Finalizado",$I66="Entregue"),$W66&gt;0.005),"Cobrar",IF($I66="Orçamento","Aguardando aprovação",""))))</f>
        <v>0</v>
      </c>
      <c r="Z66" s="33">
        <f>IF(AND($I66="Entregue",$M66&lt;&gt;""),DATE(YEAR($M66),MONTH($M66),1),"")</f>
        <v>0</v>
      </c>
      <c r="AA66" s="34">
        <f>IF(AND($C66&lt;&gt;"",$C66=HistPlaca),COUNTIF($C$5:$C66,HistPlaca),"")</f>
        <v>0</v>
      </c>
    </row>
    <row r="67" spans="1:27">
      <c r="A67" s="17"/>
      <c r="B67" s="25"/>
      <c r="C67" s="13"/>
      <c r="D67" s="26">
        <f>IF($C67="","",IFERROR(INDEX(VeicCli,MATCH($C67,VeicPlaca,0)),"Placa não cadastrada"))</f>
        <v>0</v>
      </c>
      <c r="E67" s="26">
        <f>IF($C67="","",IFERROR(INDEX(VeicModelo,MATCH($C67,VeicPlaca,0)),""))</f>
        <v>0</v>
      </c>
      <c r="F67" s="28"/>
      <c r="G67" s="13"/>
      <c r="H67" s="13"/>
      <c r="I67" s="13"/>
      <c r="J67" s="29"/>
      <c r="K67" s="19"/>
      <c r="L67" s="19"/>
      <c r="M67" s="25"/>
      <c r="N67" s="13"/>
      <c r="O67" s="19"/>
      <c r="P67" s="27">
        <f>IF($A67="","",N($J67)*ValorHora)</f>
        <v>0</v>
      </c>
      <c r="Q67" s="27">
        <f>IF($A67="","",SUMIFS(ItTotal,ItOS,$A67))</f>
        <v>0</v>
      </c>
      <c r="R67" s="30">
        <f>IF($A67="","",$P67+$Q67+N($K67)-N($L67))</f>
        <v>0</v>
      </c>
      <c r="S67" s="27">
        <f>IF($A67="","",SUMIFS(ItCusto,ItOS,$A67))</f>
        <v>0</v>
      </c>
      <c r="T67" s="27">
        <f>IF($A67="","",$P67*ComMec)</f>
        <v>0</v>
      </c>
      <c r="U67" s="21">
        <f>IF($A67="","",$R67-$S67-$T67-N($K67))</f>
        <v>0</v>
      </c>
      <c r="V67" s="31">
        <f>IF(OR($A67="",N($R67)&lt;=0),"",$U67/$R67)</f>
        <v>0</v>
      </c>
      <c r="W67" s="27">
        <f>IF($A67="","",IF(OR($I67="Finalizado",$I67="Entregue"),MAX(0,$R67-N($O67)),0))</f>
        <v>0</v>
      </c>
      <c r="X67" s="32">
        <f>IF(OR($A67="",$B67=""),"",IF(OR($I67="Entregue",$I67="Cancelada"),"",Hoje-$B67))</f>
        <v>0</v>
      </c>
      <c r="Y67" s="24">
        <f>IF($A67="","",IF(AND(OR($I67="Aprovado",$I67="Em execução",$I67="Aguardando peça"),N($X67)&gt;PrazoMax),"ATRASADA",IF(AND(OR($I67="Finalizado",$I67="Entregue"),$W67&gt;0.005),"Cobrar",IF($I67="Orçamento","Aguardando aprovação",""))))</f>
        <v>0</v>
      </c>
      <c r="Z67" s="33">
        <f>IF(AND($I67="Entregue",$M67&lt;&gt;""),DATE(YEAR($M67),MONTH($M67),1),"")</f>
        <v>0</v>
      </c>
      <c r="AA67" s="34">
        <f>IF(AND($C67&lt;&gt;"",$C67=HistPlaca),COUNTIF($C$5:$C67,HistPlaca),"")</f>
        <v>0</v>
      </c>
    </row>
    <row r="68" spans="1:27">
      <c r="A68" s="17"/>
      <c r="B68" s="25"/>
      <c r="C68" s="13"/>
      <c r="D68" s="26">
        <f>IF($C68="","",IFERROR(INDEX(VeicCli,MATCH($C68,VeicPlaca,0)),"Placa não cadastrada"))</f>
        <v>0</v>
      </c>
      <c r="E68" s="26">
        <f>IF($C68="","",IFERROR(INDEX(VeicModelo,MATCH($C68,VeicPlaca,0)),""))</f>
        <v>0</v>
      </c>
      <c r="F68" s="28"/>
      <c r="G68" s="13"/>
      <c r="H68" s="13"/>
      <c r="I68" s="13"/>
      <c r="J68" s="29"/>
      <c r="K68" s="19"/>
      <c r="L68" s="19"/>
      <c r="M68" s="25"/>
      <c r="N68" s="13"/>
      <c r="O68" s="19"/>
      <c r="P68" s="27">
        <f>IF($A68="","",N($J68)*ValorHora)</f>
        <v>0</v>
      </c>
      <c r="Q68" s="27">
        <f>IF($A68="","",SUMIFS(ItTotal,ItOS,$A68))</f>
        <v>0</v>
      </c>
      <c r="R68" s="30">
        <f>IF($A68="","",$P68+$Q68+N($K68)-N($L68))</f>
        <v>0</v>
      </c>
      <c r="S68" s="27">
        <f>IF($A68="","",SUMIFS(ItCusto,ItOS,$A68))</f>
        <v>0</v>
      </c>
      <c r="T68" s="27">
        <f>IF($A68="","",$P68*ComMec)</f>
        <v>0</v>
      </c>
      <c r="U68" s="21">
        <f>IF($A68="","",$R68-$S68-$T68-N($K68))</f>
        <v>0</v>
      </c>
      <c r="V68" s="31">
        <f>IF(OR($A68="",N($R68)&lt;=0),"",$U68/$R68)</f>
        <v>0</v>
      </c>
      <c r="W68" s="27">
        <f>IF($A68="","",IF(OR($I68="Finalizado",$I68="Entregue"),MAX(0,$R68-N($O68)),0))</f>
        <v>0</v>
      </c>
      <c r="X68" s="32">
        <f>IF(OR($A68="",$B68=""),"",IF(OR($I68="Entregue",$I68="Cancelada"),"",Hoje-$B68))</f>
        <v>0</v>
      </c>
      <c r="Y68" s="24">
        <f>IF($A68="","",IF(AND(OR($I68="Aprovado",$I68="Em execução",$I68="Aguardando peça"),N($X68)&gt;PrazoMax),"ATRASADA",IF(AND(OR($I68="Finalizado",$I68="Entregue"),$W68&gt;0.005),"Cobrar",IF($I68="Orçamento","Aguardando aprovação",""))))</f>
        <v>0</v>
      </c>
      <c r="Z68" s="33">
        <f>IF(AND($I68="Entregue",$M68&lt;&gt;""),DATE(YEAR($M68),MONTH($M68),1),"")</f>
        <v>0</v>
      </c>
      <c r="AA68" s="34">
        <f>IF(AND($C68&lt;&gt;"",$C68=HistPlaca),COUNTIF($C$5:$C68,HistPlaca),"")</f>
        <v>0</v>
      </c>
    </row>
    <row r="69" spans="1:27">
      <c r="A69" s="17"/>
      <c r="B69" s="25"/>
      <c r="C69" s="13"/>
      <c r="D69" s="26">
        <f>IF($C69="","",IFERROR(INDEX(VeicCli,MATCH($C69,VeicPlaca,0)),"Placa não cadastrada"))</f>
        <v>0</v>
      </c>
      <c r="E69" s="26">
        <f>IF($C69="","",IFERROR(INDEX(VeicModelo,MATCH($C69,VeicPlaca,0)),""))</f>
        <v>0</v>
      </c>
      <c r="F69" s="28"/>
      <c r="G69" s="13"/>
      <c r="H69" s="13"/>
      <c r="I69" s="13"/>
      <c r="J69" s="29"/>
      <c r="K69" s="19"/>
      <c r="L69" s="19"/>
      <c r="M69" s="25"/>
      <c r="N69" s="13"/>
      <c r="O69" s="19"/>
      <c r="P69" s="27">
        <f>IF($A69="","",N($J69)*ValorHora)</f>
        <v>0</v>
      </c>
      <c r="Q69" s="27">
        <f>IF($A69="","",SUMIFS(ItTotal,ItOS,$A69))</f>
        <v>0</v>
      </c>
      <c r="R69" s="30">
        <f>IF($A69="","",$P69+$Q69+N($K69)-N($L69))</f>
        <v>0</v>
      </c>
      <c r="S69" s="27">
        <f>IF($A69="","",SUMIFS(ItCusto,ItOS,$A69))</f>
        <v>0</v>
      </c>
      <c r="T69" s="27">
        <f>IF($A69="","",$P69*ComMec)</f>
        <v>0</v>
      </c>
      <c r="U69" s="21">
        <f>IF($A69="","",$R69-$S69-$T69-N($K69))</f>
        <v>0</v>
      </c>
      <c r="V69" s="31">
        <f>IF(OR($A69="",N($R69)&lt;=0),"",$U69/$R69)</f>
        <v>0</v>
      </c>
      <c r="W69" s="27">
        <f>IF($A69="","",IF(OR($I69="Finalizado",$I69="Entregue"),MAX(0,$R69-N($O69)),0))</f>
        <v>0</v>
      </c>
      <c r="X69" s="32">
        <f>IF(OR($A69="",$B69=""),"",IF(OR($I69="Entregue",$I69="Cancelada"),"",Hoje-$B69))</f>
        <v>0</v>
      </c>
      <c r="Y69" s="24">
        <f>IF($A69="","",IF(AND(OR($I69="Aprovado",$I69="Em execução",$I69="Aguardando peça"),N($X69)&gt;PrazoMax),"ATRASADA",IF(AND(OR($I69="Finalizado",$I69="Entregue"),$W69&gt;0.005),"Cobrar",IF($I69="Orçamento","Aguardando aprovação",""))))</f>
        <v>0</v>
      </c>
      <c r="Z69" s="33">
        <f>IF(AND($I69="Entregue",$M69&lt;&gt;""),DATE(YEAR($M69),MONTH($M69),1),"")</f>
        <v>0</v>
      </c>
      <c r="AA69" s="34">
        <f>IF(AND($C69&lt;&gt;"",$C69=HistPlaca),COUNTIF($C$5:$C69,HistPlaca),"")</f>
        <v>0</v>
      </c>
    </row>
    <row r="70" spans="1:27">
      <c r="A70" s="17"/>
      <c r="B70" s="25"/>
      <c r="C70" s="13"/>
      <c r="D70" s="26">
        <f>IF($C70="","",IFERROR(INDEX(VeicCli,MATCH($C70,VeicPlaca,0)),"Placa não cadastrada"))</f>
        <v>0</v>
      </c>
      <c r="E70" s="26">
        <f>IF($C70="","",IFERROR(INDEX(VeicModelo,MATCH($C70,VeicPlaca,0)),""))</f>
        <v>0</v>
      </c>
      <c r="F70" s="28"/>
      <c r="G70" s="13"/>
      <c r="H70" s="13"/>
      <c r="I70" s="13"/>
      <c r="J70" s="29"/>
      <c r="K70" s="19"/>
      <c r="L70" s="19"/>
      <c r="M70" s="25"/>
      <c r="N70" s="13"/>
      <c r="O70" s="19"/>
      <c r="P70" s="27">
        <f>IF($A70="","",N($J70)*ValorHora)</f>
        <v>0</v>
      </c>
      <c r="Q70" s="27">
        <f>IF($A70="","",SUMIFS(ItTotal,ItOS,$A70))</f>
        <v>0</v>
      </c>
      <c r="R70" s="30">
        <f>IF($A70="","",$P70+$Q70+N($K70)-N($L70))</f>
        <v>0</v>
      </c>
      <c r="S70" s="27">
        <f>IF($A70="","",SUMIFS(ItCusto,ItOS,$A70))</f>
        <v>0</v>
      </c>
      <c r="T70" s="27">
        <f>IF($A70="","",$P70*ComMec)</f>
        <v>0</v>
      </c>
      <c r="U70" s="21">
        <f>IF($A70="","",$R70-$S70-$T70-N($K70))</f>
        <v>0</v>
      </c>
      <c r="V70" s="31">
        <f>IF(OR($A70="",N($R70)&lt;=0),"",$U70/$R70)</f>
        <v>0</v>
      </c>
      <c r="W70" s="27">
        <f>IF($A70="","",IF(OR($I70="Finalizado",$I70="Entregue"),MAX(0,$R70-N($O70)),0))</f>
        <v>0</v>
      </c>
      <c r="X70" s="32">
        <f>IF(OR($A70="",$B70=""),"",IF(OR($I70="Entregue",$I70="Cancelada"),"",Hoje-$B70))</f>
        <v>0</v>
      </c>
      <c r="Y70" s="24">
        <f>IF($A70="","",IF(AND(OR($I70="Aprovado",$I70="Em execução",$I70="Aguardando peça"),N($X70)&gt;PrazoMax),"ATRASADA",IF(AND(OR($I70="Finalizado",$I70="Entregue"),$W70&gt;0.005),"Cobrar",IF($I70="Orçamento","Aguardando aprovação",""))))</f>
        <v>0</v>
      </c>
      <c r="Z70" s="33">
        <f>IF(AND($I70="Entregue",$M70&lt;&gt;""),DATE(YEAR($M70),MONTH($M70),1),"")</f>
        <v>0</v>
      </c>
      <c r="AA70" s="34">
        <f>IF(AND($C70&lt;&gt;"",$C70=HistPlaca),COUNTIF($C$5:$C70,HistPlaca),"")</f>
        <v>0</v>
      </c>
    </row>
    <row r="71" spans="1:27">
      <c r="A71" s="17"/>
      <c r="B71" s="25"/>
      <c r="C71" s="13"/>
      <c r="D71" s="26">
        <f>IF($C71="","",IFERROR(INDEX(VeicCli,MATCH($C71,VeicPlaca,0)),"Placa não cadastrada"))</f>
        <v>0</v>
      </c>
      <c r="E71" s="26">
        <f>IF($C71="","",IFERROR(INDEX(VeicModelo,MATCH($C71,VeicPlaca,0)),""))</f>
        <v>0</v>
      </c>
      <c r="F71" s="28"/>
      <c r="G71" s="13"/>
      <c r="H71" s="13"/>
      <c r="I71" s="13"/>
      <c r="J71" s="29"/>
      <c r="K71" s="19"/>
      <c r="L71" s="19"/>
      <c r="M71" s="25"/>
      <c r="N71" s="13"/>
      <c r="O71" s="19"/>
      <c r="P71" s="27">
        <f>IF($A71="","",N($J71)*ValorHora)</f>
        <v>0</v>
      </c>
      <c r="Q71" s="27">
        <f>IF($A71="","",SUMIFS(ItTotal,ItOS,$A71))</f>
        <v>0</v>
      </c>
      <c r="R71" s="30">
        <f>IF($A71="","",$P71+$Q71+N($K71)-N($L71))</f>
        <v>0</v>
      </c>
      <c r="S71" s="27">
        <f>IF($A71="","",SUMIFS(ItCusto,ItOS,$A71))</f>
        <v>0</v>
      </c>
      <c r="T71" s="27">
        <f>IF($A71="","",$P71*ComMec)</f>
        <v>0</v>
      </c>
      <c r="U71" s="21">
        <f>IF($A71="","",$R71-$S71-$T71-N($K71))</f>
        <v>0</v>
      </c>
      <c r="V71" s="31">
        <f>IF(OR($A71="",N($R71)&lt;=0),"",$U71/$R71)</f>
        <v>0</v>
      </c>
      <c r="W71" s="27">
        <f>IF($A71="","",IF(OR($I71="Finalizado",$I71="Entregue"),MAX(0,$R71-N($O71)),0))</f>
        <v>0</v>
      </c>
      <c r="X71" s="32">
        <f>IF(OR($A71="",$B71=""),"",IF(OR($I71="Entregue",$I71="Cancelada"),"",Hoje-$B71))</f>
        <v>0</v>
      </c>
      <c r="Y71" s="24">
        <f>IF($A71="","",IF(AND(OR($I71="Aprovado",$I71="Em execução",$I71="Aguardando peça"),N($X71)&gt;PrazoMax),"ATRASADA",IF(AND(OR($I71="Finalizado",$I71="Entregue"),$W71&gt;0.005),"Cobrar",IF($I71="Orçamento","Aguardando aprovação",""))))</f>
        <v>0</v>
      </c>
      <c r="Z71" s="33">
        <f>IF(AND($I71="Entregue",$M71&lt;&gt;""),DATE(YEAR($M71),MONTH($M71),1),"")</f>
        <v>0</v>
      </c>
      <c r="AA71" s="34">
        <f>IF(AND($C71&lt;&gt;"",$C71=HistPlaca),COUNTIF($C$5:$C71,HistPlaca),"")</f>
        <v>0</v>
      </c>
    </row>
    <row r="72" spans="1:27">
      <c r="A72" s="17"/>
      <c r="B72" s="25"/>
      <c r="C72" s="13"/>
      <c r="D72" s="26">
        <f>IF($C72="","",IFERROR(INDEX(VeicCli,MATCH($C72,VeicPlaca,0)),"Placa não cadastrada"))</f>
        <v>0</v>
      </c>
      <c r="E72" s="26">
        <f>IF($C72="","",IFERROR(INDEX(VeicModelo,MATCH($C72,VeicPlaca,0)),""))</f>
        <v>0</v>
      </c>
      <c r="F72" s="28"/>
      <c r="G72" s="13"/>
      <c r="H72" s="13"/>
      <c r="I72" s="13"/>
      <c r="J72" s="29"/>
      <c r="K72" s="19"/>
      <c r="L72" s="19"/>
      <c r="M72" s="25"/>
      <c r="N72" s="13"/>
      <c r="O72" s="19"/>
      <c r="P72" s="27">
        <f>IF($A72="","",N($J72)*ValorHora)</f>
        <v>0</v>
      </c>
      <c r="Q72" s="27">
        <f>IF($A72="","",SUMIFS(ItTotal,ItOS,$A72))</f>
        <v>0</v>
      </c>
      <c r="R72" s="30">
        <f>IF($A72="","",$P72+$Q72+N($K72)-N($L72))</f>
        <v>0</v>
      </c>
      <c r="S72" s="27">
        <f>IF($A72="","",SUMIFS(ItCusto,ItOS,$A72))</f>
        <v>0</v>
      </c>
      <c r="T72" s="27">
        <f>IF($A72="","",$P72*ComMec)</f>
        <v>0</v>
      </c>
      <c r="U72" s="21">
        <f>IF($A72="","",$R72-$S72-$T72-N($K72))</f>
        <v>0</v>
      </c>
      <c r="V72" s="31">
        <f>IF(OR($A72="",N($R72)&lt;=0),"",$U72/$R72)</f>
        <v>0</v>
      </c>
      <c r="W72" s="27">
        <f>IF($A72="","",IF(OR($I72="Finalizado",$I72="Entregue"),MAX(0,$R72-N($O72)),0))</f>
        <v>0</v>
      </c>
      <c r="X72" s="32">
        <f>IF(OR($A72="",$B72=""),"",IF(OR($I72="Entregue",$I72="Cancelada"),"",Hoje-$B72))</f>
        <v>0</v>
      </c>
      <c r="Y72" s="24">
        <f>IF($A72="","",IF(AND(OR($I72="Aprovado",$I72="Em execução",$I72="Aguardando peça"),N($X72)&gt;PrazoMax),"ATRASADA",IF(AND(OR($I72="Finalizado",$I72="Entregue"),$W72&gt;0.005),"Cobrar",IF($I72="Orçamento","Aguardando aprovação",""))))</f>
        <v>0</v>
      </c>
      <c r="Z72" s="33">
        <f>IF(AND($I72="Entregue",$M72&lt;&gt;""),DATE(YEAR($M72),MONTH($M72),1),"")</f>
        <v>0</v>
      </c>
      <c r="AA72" s="34">
        <f>IF(AND($C72&lt;&gt;"",$C72=HistPlaca),COUNTIF($C$5:$C72,HistPlaca),"")</f>
        <v>0</v>
      </c>
    </row>
    <row r="73" spans="1:27">
      <c r="A73" s="17"/>
      <c r="B73" s="25"/>
      <c r="C73" s="13"/>
      <c r="D73" s="26">
        <f>IF($C73="","",IFERROR(INDEX(VeicCli,MATCH($C73,VeicPlaca,0)),"Placa não cadastrada"))</f>
        <v>0</v>
      </c>
      <c r="E73" s="26">
        <f>IF($C73="","",IFERROR(INDEX(VeicModelo,MATCH($C73,VeicPlaca,0)),""))</f>
        <v>0</v>
      </c>
      <c r="F73" s="28"/>
      <c r="G73" s="13"/>
      <c r="H73" s="13"/>
      <c r="I73" s="13"/>
      <c r="J73" s="29"/>
      <c r="K73" s="19"/>
      <c r="L73" s="19"/>
      <c r="M73" s="25"/>
      <c r="N73" s="13"/>
      <c r="O73" s="19"/>
      <c r="P73" s="27">
        <f>IF($A73="","",N($J73)*ValorHora)</f>
        <v>0</v>
      </c>
      <c r="Q73" s="27">
        <f>IF($A73="","",SUMIFS(ItTotal,ItOS,$A73))</f>
        <v>0</v>
      </c>
      <c r="R73" s="30">
        <f>IF($A73="","",$P73+$Q73+N($K73)-N($L73))</f>
        <v>0</v>
      </c>
      <c r="S73" s="27">
        <f>IF($A73="","",SUMIFS(ItCusto,ItOS,$A73))</f>
        <v>0</v>
      </c>
      <c r="T73" s="27">
        <f>IF($A73="","",$P73*ComMec)</f>
        <v>0</v>
      </c>
      <c r="U73" s="21">
        <f>IF($A73="","",$R73-$S73-$T73-N($K73))</f>
        <v>0</v>
      </c>
      <c r="V73" s="31">
        <f>IF(OR($A73="",N($R73)&lt;=0),"",$U73/$R73)</f>
        <v>0</v>
      </c>
      <c r="W73" s="27">
        <f>IF($A73="","",IF(OR($I73="Finalizado",$I73="Entregue"),MAX(0,$R73-N($O73)),0))</f>
        <v>0</v>
      </c>
      <c r="X73" s="32">
        <f>IF(OR($A73="",$B73=""),"",IF(OR($I73="Entregue",$I73="Cancelada"),"",Hoje-$B73))</f>
        <v>0</v>
      </c>
      <c r="Y73" s="24">
        <f>IF($A73="","",IF(AND(OR($I73="Aprovado",$I73="Em execução",$I73="Aguardando peça"),N($X73)&gt;PrazoMax),"ATRASADA",IF(AND(OR($I73="Finalizado",$I73="Entregue"),$W73&gt;0.005),"Cobrar",IF($I73="Orçamento","Aguardando aprovação",""))))</f>
        <v>0</v>
      </c>
      <c r="Z73" s="33">
        <f>IF(AND($I73="Entregue",$M73&lt;&gt;""),DATE(YEAR($M73),MONTH($M73),1),"")</f>
        <v>0</v>
      </c>
      <c r="AA73" s="34">
        <f>IF(AND($C73&lt;&gt;"",$C73=HistPlaca),COUNTIF($C$5:$C73,HistPlaca),"")</f>
        <v>0</v>
      </c>
    </row>
    <row r="74" spans="1:27">
      <c r="A74" s="17"/>
      <c r="B74" s="25"/>
      <c r="C74" s="13"/>
      <c r="D74" s="26">
        <f>IF($C74="","",IFERROR(INDEX(VeicCli,MATCH($C74,VeicPlaca,0)),"Placa não cadastrada"))</f>
        <v>0</v>
      </c>
      <c r="E74" s="26">
        <f>IF($C74="","",IFERROR(INDEX(VeicModelo,MATCH($C74,VeicPlaca,0)),""))</f>
        <v>0</v>
      </c>
      <c r="F74" s="28"/>
      <c r="G74" s="13"/>
      <c r="H74" s="13"/>
      <c r="I74" s="13"/>
      <c r="J74" s="29"/>
      <c r="K74" s="19"/>
      <c r="L74" s="19"/>
      <c r="M74" s="25"/>
      <c r="N74" s="13"/>
      <c r="O74" s="19"/>
      <c r="P74" s="27">
        <f>IF($A74="","",N($J74)*ValorHora)</f>
        <v>0</v>
      </c>
      <c r="Q74" s="27">
        <f>IF($A74="","",SUMIFS(ItTotal,ItOS,$A74))</f>
        <v>0</v>
      </c>
      <c r="R74" s="30">
        <f>IF($A74="","",$P74+$Q74+N($K74)-N($L74))</f>
        <v>0</v>
      </c>
      <c r="S74" s="27">
        <f>IF($A74="","",SUMIFS(ItCusto,ItOS,$A74))</f>
        <v>0</v>
      </c>
      <c r="T74" s="27">
        <f>IF($A74="","",$P74*ComMec)</f>
        <v>0</v>
      </c>
      <c r="U74" s="21">
        <f>IF($A74="","",$R74-$S74-$T74-N($K74))</f>
        <v>0</v>
      </c>
      <c r="V74" s="31">
        <f>IF(OR($A74="",N($R74)&lt;=0),"",$U74/$R74)</f>
        <v>0</v>
      </c>
      <c r="W74" s="27">
        <f>IF($A74="","",IF(OR($I74="Finalizado",$I74="Entregue"),MAX(0,$R74-N($O74)),0))</f>
        <v>0</v>
      </c>
      <c r="X74" s="32">
        <f>IF(OR($A74="",$B74=""),"",IF(OR($I74="Entregue",$I74="Cancelada"),"",Hoje-$B74))</f>
        <v>0</v>
      </c>
      <c r="Y74" s="24">
        <f>IF($A74="","",IF(AND(OR($I74="Aprovado",$I74="Em execução",$I74="Aguardando peça"),N($X74)&gt;PrazoMax),"ATRASADA",IF(AND(OR($I74="Finalizado",$I74="Entregue"),$W74&gt;0.005),"Cobrar",IF($I74="Orçamento","Aguardando aprovação",""))))</f>
        <v>0</v>
      </c>
      <c r="Z74" s="33">
        <f>IF(AND($I74="Entregue",$M74&lt;&gt;""),DATE(YEAR($M74),MONTH($M74),1),"")</f>
        <v>0</v>
      </c>
      <c r="AA74" s="34">
        <f>IF(AND($C74&lt;&gt;"",$C74=HistPlaca),COUNTIF($C$5:$C74,HistPlaca),"")</f>
        <v>0</v>
      </c>
    </row>
    <row r="75" spans="1:27">
      <c r="A75" s="17"/>
      <c r="B75" s="25"/>
      <c r="C75" s="13"/>
      <c r="D75" s="26">
        <f>IF($C75="","",IFERROR(INDEX(VeicCli,MATCH($C75,VeicPlaca,0)),"Placa não cadastrada"))</f>
        <v>0</v>
      </c>
      <c r="E75" s="26">
        <f>IF($C75="","",IFERROR(INDEX(VeicModelo,MATCH($C75,VeicPlaca,0)),""))</f>
        <v>0</v>
      </c>
      <c r="F75" s="28"/>
      <c r="G75" s="13"/>
      <c r="H75" s="13"/>
      <c r="I75" s="13"/>
      <c r="J75" s="29"/>
      <c r="K75" s="19"/>
      <c r="L75" s="19"/>
      <c r="M75" s="25"/>
      <c r="N75" s="13"/>
      <c r="O75" s="19"/>
      <c r="P75" s="27">
        <f>IF($A75="","",N($J75)*ValorHora)</f>
        <v>0</v>
      </c>
      <c r="Q75" s="27">
        <f>IF($A75="","",SUMIFS(ItTotal,ItOS,$A75))</f>
        <v>0</v>
      </c>
      <c r="R75" s="30">
        <f>IF($A75="","",$P75+$Q75+N($K75)-N($L75))</f>
        <v>0</v>
      </c>
      <c r="S75" s="27">
        <f>IF($A75="","",SUMIFS(ItCusto,ItOS,$A75))</f>
        <v>0</v>
      </c>
      <c r="T75" s="27">
        <f>IF($A75="","",$P75*ComMec)</f>
        <v>0</v>
      </c>
      <c r="U75" s="21">
        <f>IF($A75="","",$R75-$S75-$T75-N($K75))</f>
        <v>0</v>
      </c>
      <c r="V75" s="31">
        <f>IF(OR($A75="",N($R75)&lt;=0),"",$U75/$R75)</f>
        <v>0</v>
      </c>
      <c r="W75" s="27">
        <f>IF($A75="","",IF(OR($I75="Finalizado",$I75="Entregue"),MAX(0,$R75-N($O75)),0))</f>
        <v>0</v>
      </c>
      <c r="X75" s="32">
        <f>IF(OR($A75="",$B75=""),"",IF(OR($I75="Entregue",$I75="Cancelada"),"",Hoje-$B75))</f>
        <v>0</v>
      </c>
      <c r="Y75" s="24">
        <f>IF($A75="","",IF(AND(OR($I75="Aprovado",$I75="Em execução",$I75="Aguardando peça"),N($X75)&gt;PrazoMax),"ATRASADA",IF(AND(OR($I75="Finalizado",$I75="Entregue"),$W75&gt;0.005),"Cobrar",IF($I75="Orçamento","Aguardando aprovação",""))))</f>
        <v>0</v>
      </c>
      <c r="Z75" s="33">
        <f>IF(AND($I75="Entregue",$M75&lt;&gt;""),DATE(YEAR($M75),MONTH($M75),1),"")</f>
        <v>0</v>
      </c>
      <c r="AA75" s="34">
        <f>IF(AND($C75&lt;&gt;"",$C75=HistPlaca),COUNTIF($C$5:$C75,HistPlaca),"")</f>
        <v>0</v>
      </c>
    </row>
    <row r="76" spans="1:27">
      <c r="A76" s="17"/>
      <c r="B76" s="25"/>
      <c r="C76" s="13"/>
      <c r="D76" s="26">
        <f>IF($C76="","",IFERROR(INDEX(VeicCli,MATCH($C76,VeicPlaca,0)),"Placa não cadastrada"))</f>
        <v>0</v>
      </c>
      <c r="E76" s="26">
        <f>IF($C76="","",IFERROR(INDEX(VeicModelo,MATCH($C76,VeicPlaca,0)),""))</f>
        <v>0</v>
      </c>
      <c r="F76" s="28"/>
      <c r="G76" s="13"/>
      <c r="H76" s="13"/>
      <c r="I76" s="13"/>
      <c r="J76" s="29"/>
      <c r="K76" s="19"/>
      <c r="L76" s="19"/>
      <c r="M76" s="25"/>
      <c r="N76" s="13"/>
      <c r="O76" s="19"/>
      <c r="P76" s="27">
        <f>IF($A76="","",N($J76)*ValorHora)</f>
        <v>0</v>
      </c>
      <c r="Q76" s="27">
        <f>IF($A76="","",SUMIFS(ItTotal,ItOS,$A76))</f>
        <v>0</v>
      </c>
      <c r="R76" s="30">
        <f>IF($A76="","",$P76+$Q76+N($K76)-N($L76))</f>
        <v>0</v>
      </c>
      <c r="S76" s="27">
        <f>IF($A76="","",SUMIFS(ItCusto,ItOS,$A76))</f>
        <v>0</v>
      </c>
      <c r="T76" s="27">
        <f>IF($A76="","",$P76*ComMec)</f>
        <v>0</v>
      </c>
      <c r="U76" s="21">
        <f>IF($A76="","",$R76-$S76-$T76-N($K76))</f>
        <v>0</v>
      </c>
      <c r="V76" s="31">
        <f>IF(OR($A76="",N($R76)&lt;=0),"",$U76/$R76)</f>
        <v>0</v>
      </c>
      <c r="W76" s="27">
        <f>IF($A76="","",IF(OR($I76="Finalizado",$I76="Entregue"),MAX(0,$R76-N($O76)),0))</f>
        <v>0</v>
      </c>
      <c r="X76" s="32">
        <f>IF(OR($A76="",$B76=""),"",IF(OR($I76="Entregue",$I76="Cancelada"),"",Hoje-$B76))</f>
        <v>0</v>
      </c>
      <c r="Y76" s="24">
        <f>IF($A76="","",IF(AND(OR($I76="Aprovado",$I76="Em execução",$I76="Aguardando peça"),N($X76)&gt;PrazoMax),"ATRASADA",IF(AND(OR($I76="Finalizado",$I76="Entregue"),$W76&gt;0.005),"Cobrar",IF($I76="Orçamento","Aguardando aprovação",""))))</f>
        <v>0</v>
      </c>
      <c r="Z76" s="33">
        <f>IF(AND($I76="Entregue",$M76&lt;&gt;""),DATE(YEAR($M76),MONTH($M76),1),"")</f>
        <v>0</v>
      </c>
      <c r="AA76" s="34">
        <f>IF(AND($C76&lt;&gt;"",$C76=HistPlaca),COUNTIF($C$5:$C76,HistPlaca),"")</f>
        <v>0</v>
      </c>
    </row>
    <row r="77" spans="1:27">
      <c r="A77" s="17"/>
      <c r="B77" s="25"/>
      <c r="C77" s="13"/>
      <c r="D77" s="26">
        <f>IF($C77="","",IFERROR(INDEX(VeicCli,MATCH($C77,VeicPlaca,0)),"Placa não cadastrada"))</f>
        <v>0</v>
      </c>
      <c r="E77" s="26">
        <f>IF($C77="","",IFERROR(INDEX(VeicModelo,MATCH($C77,VeicPlaca,0)),""))</f>
        <v>0</v>
      </c>
      <c r="F77" s="28"/>
      <c r="G77" s="13"/>
      <c r="H77" s="13"/>
      <c r="I77" s="13"/>
      <c r="J77" s="29"/>
      <c r="K77" s="19"/>
      <c r="L77" s="19"/>
      <c r="M77" s="25"/>
      <c r="N77" s="13"/>
      <c r="O77" s="19"/>
      <c r="P77" s="27">
        <f>IF($A77="","",N($J77)*ValorHora)</f>
        <v>0</v>
      </c>
      <c r="Q77" s="27">
        <f>IF($A77="","",SUMIFS(ItTotal,ItOS,$A77))</f>
        <v>0</v>
      </c>
      <c r="R77" s="30">
        <f>IF($A77="","",$P77+$Q77+N($K77)-N($L77))</f>
        <v>0</v>
      </c>
      <c r="S77" s="27">
        <f>IF($A77="","",SUMIFS(ItCusto,ItOS,$A77))</f>
        <v>0</v>
      </c>
      <c r="T77" s="27">
        <f>IF($A77="","",$P77*ComMec)</f>
        <v>0</v>
      </c>
      <c r="U77" s="21">
        <f>IF($A77="","",$R77-$S77-$T77-N($K77))</f>
        <v>0</v>
      </c>
      <c r="V77" s="31">
        <f>IF(OR($A77="",N($R77)&lt;=0),"",$U77/$R77)</f>
        <v>0</v>
      </c>
      <c r="W77" s="27">
        <f>IF($A77="","",IF(OR($I77="Finalizado",$I77="Entregue"),MAX(0,$R77-N($O77)),0))</f>
        <v>0</v>
      </c>
      <c r="X77" s="32">
        <f>IF(OR($A77="",$B77=""),"",IF(OR($I77="Entregue",$I77="Cancelada"),"",Hoje-$B77))</f>
        <v>0</v>
      </c>
      <c r="Y77" s="24">
        <f>IF($A77="","",IF(AND(OR($I77="Aprovado",$I77="Em execução",$I77="Aguardando peça"),N($X77)&gt;PrazoMax),"ATRASADA",IF(AND(OR($I77="Finalizado",$I77="Entregue"),$W77&gt;0.005),"Cobrar",IF($I77="Orçamento","Aguardando aprovação",""))))</f>
        <v>0</v>
      </c>
      <c r="Z77" s="33">
        <f>IF(AND($I77="Entregue",$M77&lt;&gt;""),DATE(YEAR($M77),MONTH($M77),1),"")</f>
        <v>0</v>
      </c>
      <c r="AA77" s="34">
        <f>IF(AND($C77&lt;&gt;"",$C77=HistPlaca),COUNTIF($C$5:$C77,HistPlaca),"")</f>
        <v>0</v>
      </c>
    </row>
    <row r="78" spans="1:27">
      <c r="A78" s="17"/>
      <c r="B78" s="25"/>
      <c r="C78" s="13"/>
      <c r="D78" s="26">
        <f>IF($C78="","",IFERROR(INDEX(VeicCli,MATCH($C78,VeicPlaca,0)),"Placa não cadastrada"))</f>
        <v>0</v>
      </c>
      <c r="E78" s="26">
        <f>IF($C78="","",IFERROR(INDEX(VeicModelo,MATCH($C78,VeicPlaca,0)),""))</f>
        <v>0</v>
      </c>
      <c r="F78" s="28"/>
      <c r="G78" s="13"/>
      <c r="H78" s="13"/>
      <c r="I78" s="13"/>
      <c r="J78" s="29"/>
      <c r="K78" s="19"/>
      <c r="L78" s="19"/>
      <c r="M78" s="25"/>
      <c r="N78" s="13"/>
      <c r="O78" s="19"/>
      <c r="P78" s="27">
        <f>IF($A78="","",N($J78)*ValorHora)</f>
        <v>0</v>
      </c>
      <c r="Q78" s="27">
        <f>IF($A78="","",SUMIFS(ItTotal,ItOS,$A78))</f>
        <v>0</v>
      </c>
      <c r="R78" s="30">
        <f>IF($A78="","",$P78+$Q78+N($K78)-N($L78))</f>
        <v>0</v>
      </c>
      <c r="S78" s="27">
        <f>IF($A78="","",SUMIFS(ItCusto,ItOS,$A78))</f>
        <v>0</v>
      </c>
      <c r="T78" s="27">
        <f>IF($A78="","",$P78*ComMec)</f>
        <v>0</v>
      </c>
      <c r="U78" s="21">
        <f>IF($A78="","",$R78-$S78-$T78-N($K78))</f>
        <v>0</v>
      </c>
      <c r="V78" s="31">
        <f>IF(OR($A78="",N($R78)&lt;=0),"",$U78/$R78)</f>
        <v>0</v>
      </c>
      <c r="W78" s="27">
        <f>IF($A78="","",IF(OR($I78="Finalizado",$I78="Entregue"),MAX(0,$R78-N($O78)),0))</f>
        <v>0</v>
      </c>
      <c r="X78" s="32">
        <f>IF(OR($A78="",$B78=""),"",IF(OR($I78="Entregue",$I78="Cancelada"),"",Hoje-$B78))</f>
        <v>0</v>
      </c>
      <c r="Y78" s="24">
        <f>IF($A78="","",IF(AND(OR($I78="Aprovado",$I78="Em execução",$I78="Aguardando peça"),N($X78)&gt;PrazoMax),"ATRASADA",IF(AND(OR($I78="Finalizado",$I78="Entregue"),$W78&gt;0.005),"Cobrar",IF($I78="Orçamento","Aguardando aprovação",""))))</f>
        <v>0</v>
      </c>
      <c r="Z78" s="33">
        <f>IF(AND($I78="Entregue",$M78&lt;&gt;""),DATE(YEAR($M78),MONTH($M78),1),"")</f>
        <v>0</v>
      </c>
      <c r="AA78" s="34">
        <f>IF(AND($C78&lt;&gt;"",$C78=HistPlaca),COUNTIF($C$5:$C78,HistPlaca),"")</f>
        <v>0</v>
      </c>
    </row>
    <row r="79" spans="1:27">
      <c r="A79" s="17"/>
      <c r="B79" s="25"/>
      <c r="C79" s="13"/>
      <c r="D79" s="26">
        <f>IF($C79="","",IFERROR(INDEX(VeicCli,MATCH($C79,VeicPlaca,0)),"Placa não cadastrada"))</f>
        <v>0</v>
      </c>
      <c r="E79" s="26">
        <f>IF($C79="","",IFERROR(INDEX(VeicModelo,MATCH($C79,VeicPlaca,0)),""))</f>
        <v>0</v>
      </c>
      <c r="F79" s="28"/>
      <c r="G79" s="13"/>
      <c r="H79" s="13"/>
      <c r="I79" s="13"/>
      <c r="J79" s="29"/>
      <c r="K79" s="19"/>
      <c r="L79" s="19"/>
      <c r="M79" s="25"/>
      <c r="N79" s="13"/>
      <c r="O79" s="19"/>
      <c r="P79" s="27">
        <f>IF($A79="","",N($J79)*ValorHora)</f>
        <v>0</v>
      </c>
      <c r="Q79" s="27">
        <f>IF($A79="","",SUMIFS(ItTotal,ItOS,$A79))</f>
        <v>0</v>
      </c>
      <c r="R79" s="30">
        <f>IF($A79="","",$P79+$Q79+N($K79)-N($L79))</f>
        <v>0</v>
      </c>
      <c r="S79" s="27">
        <f>IF($A79="","",SUMIFS(ItCusto,ItOS,$A79))</f>
        <v>0</v>
      </c>
      <c r="T79" s="27">
        <f>IF($A79="","",$P79*ComMec)</f>
        <v>0</v>
      </c>
      <c r="U79" s="21">
        <f>IF($A79="","",$R79-$S79-$T79-N($K79))</f>
        <v>0</v>
      </c>
      <c r="V79" s="31">
        <f>IF(OR($A79="",N($R79)&lt;=0),"",$U79/$R79)</f>
        <v>0</v>
      </c>
      <c r="W79" s="27">
        <f>IF($A79="","",IF(OR($I79="Finalizado",$I79="Entregue"),MAX(0,$R79-N($O79)),0))</f>
        <v>0</v>
      </c>
      <c r="X79" s="32">
        <f>IF(OR($A79="",$B79=""),"",IF(OR($I79="Entregue",$I79="Cancelada"),"",Hoje-$B79))</f>
        <v>0</v>
      </c>
      <c r="Y79" s="24">
        <f>IF($A79="","",IF(AND(OR($I79="Aprovado",$I79="Em execução",$I79="Aguardando peça"),N($X79)&gt;PrazoMax),"ATRASADA",IF(AND(OR($I79="Finalizado",$I79="Entregue"),$W79&gt;0.005),"Cobrar",IF($I79="Orçamento","Aguardando aprovação",""))))</f>
        <v>0</v>
      </c>
      <c r="Z79" s="33">
        <f>IF(AND($I79="Entregue",$M79&lt;&gt;""),DATE(YEAR($M79),MONTH($M79),1),"")</f>
        <v>0</v>
      </c>
      <c r="AA79" s="34">
        <f>IF(AND($C79&lt;&gt;"",$C79=HistPlaca),COUNTIF($C$5:$C79,HistPlaca),"")</f>
        <v>0</v>
      </c>
    </row>
    <row r="80" spans="1:27">
      <c r="A80" s="17"/>
      <c r="B80" s="25"/>
      <c r="C80" s="13"/>
      <c r="D80" s="26">
        <f>IF($C80="","",IFERROR(INDEX(VeicCli,MATCH($C80,VeicPlaca,0)),"Placa não cadastrada"))</f>
        <v>0</v>
      </c>
      <c r="E80" s="26">
        <f>IF($C80="","",IFERROR(INDEX(VeicModelo,MATCH($C80,VeicPlaca,0)),""))</f>
        <v>0</v>
      </c>
      <c r="F80" s="28"/>
      <c r="G80" s="13"/>
      <c r="H80" s="13"/>
      <c r="I80" s="13"/>
      <c r="J80" s="29"/>
      <c r="K80" s="19"/>
      <c r="L80" s="19"/>
      <c r="M80" s="25"/>
      <c r="N80" s="13"/>
      <c r="O80" s="19"/>
      <c r="P80" s="27">
        <f>IF($A80="","",N($J80)*ValorHora)</f>
        <v>0</v>
      </c>
      <c r="Q80" s="27">
        <f>IF($A80="","",SUMIFS(ItTotal,ItOS,$A80))</f>
        <v>0</v>
      </c>
      <c r="R80" s="30">
        <f>IF($A80="","",$P80+$Q80+N($K80)-N($L80))</f>
        <v>0</v>
      </c>
      <c r="S80" s="27">
        <f>IF($A80="","",SUMIFS(ItCusto,ItOS,$A80))</f>
        <v>0</v>
      </c>
      <c r="T80" s="27">
        <f>IF($A80="","",$P80*ComMec)</f>
        <v>0</v>
      </c>
      <c r="U80" s="21">
        <f>IF($A80="","",$R80-$S80-$T80-N($K80))</f>
        <v>0</v>
      </c>
      <c r="V80" s="31">
        <f>IF(OR($A80="",N($R80)&lt;=0),"",$U80/$R80)</f>
        <v>0</v>
      </c>
      <c r="W80" s="27">
        <f>IF($A80="","",IF(OR($I80="Finalizado",$I80="Entregue"),MAX(0,$R80-N($O80)),0))</f>
        <v>0</v>
      </c>
      <c r="X80" s="32">
        <f>IF(OR($A80="",$B80=""),"",IF(OR($I80="Entregue",$I80="Cancelada"),"",Hoje-$B80))</f>
        <v>0</v>
      </c>
      <c r="Y80" s="24">
        <f>IF($A80="","",IF(AND(OR($I80="Aprovado",$I80="Em execução",$I80="Aguardando peça"),N($X80)&gt;PrazoMax),"ATRASADA",IF(AND(OR($I80="Finalizado",$I80="Entregue"),$W80&gt;0.005),"Cobrar",IF($I80="Orçamento","Aguardando aprovação",""))))</f>
        <v>0</v>
      </c>
      <c r="Z80" s="33">
        <f>IF(AND($I80="Entregue",$M80&lt;&gt;""),DATE(YEAR($M80),MONTH($M80),1),"")</f>
        <v>0</v>
      </c>
      <c r="AA80" s="34">
        <f>IF(AND($C80&lt;&gt;"",$C80=HistPlaca),COUNTIF($C$5:$C80,HistPlaca),"")</f>
        <v>0</v>
      </c>
    </row>
    <row r="81" spans="1:27">
      <c r="A81" s="17"/>
      <c r="B81" s="25"/>
      <c r="C81" s="13"/>
      <c r="D81" s="26">
        <f>IF($C81="","",IFERROR(INDEX(VeicCli,MATCH($C81,VeicPlaca,0)),"Placa não cadastrada"))</f>
        <v>0</v>
      </c>
      <c r="E81" s="26">
        <f>IF($C81="","",IFERROR(INDEX(VeicModelo,MATCH($C81,VeicPlaca,0)),""))</f>
        <v>0</v>
      </c>
      <c r="F81" s="28"/>
      <c r="G81" s="13"/>
      <c r="H81" s="13"/>
      <c r="I81" s="13"/>
      <c r="J81" s="29"/>
      <c r="K81" s="19"/>
      <c r="L81" s="19"/>
      <c r="M81" s="25"/>
      <c r="N81" s="13"/>
      <c r="O81" s="19"/>
      <c r="P81" s="27">
        <f>IF($A81="","",N($J81)*ValorHora)</f>
        <v>0</v>
      </c>
      <c r="Q81" s="27">
        <f>IF($A81="","",SUMIFS(ItTotal,ItOS,$A81))</f>
        <v>0</v>
      </c>
      <c r="R81" s="30">
        <f>IF($A81="","",$P81+$Q81+N($K81)-N($L81))</f>
        <v>0</v>
      </c>
      <c r="S81" s="27">
        <f>IF($A81="","",SUMIFS(ItCusto,ItOS,$A81))</f>
        <v>0</v>
      </c>
      <c r="T81" s="27">
        <f>IF($A81="","",$P81*ComMec)</f>
        <v>0</v>
      </c>
      <c r="U81" s="21">
        <f>IF($A81="","",$R81-$S81-$T81-N($K81))</f>
        <v>0</v>
      </c>
      <c r="V81" s="31">
        <f>IF(OR($A81="",N($R81)&lt;=0),"",$U81/$R81)</f>
        <v>0</v>
      </c>
      <c r="W81" s="27">
        <f>IF($A81="","",IF(OR($I81="Finalizado",$I81="Entregue"),MAX(0,$R81-N($O81)),0))</f>
        <v>0</v>
      </c>
      <c r="X81" s="32">
        <f>IF(OR($A81="",$B81=""),"",IF(OR($I81="Entregue",$I81="Cancelada"),"",Hoje-$B81))</f>
        <v>0</v>
      </c>
      <c r="Y81" s="24">
        <f>IF($A81="","",IF(AND(OR($I81="Aprovado",$I81="Em execução",$I81="Aguardando peça"),N($X81)&gt;PrazoMax),"ATRASADA",IF(AND(OR($I81="Finalizado",$I81="Entregue"),$W81&gt;0.005),"Cobrar",IF($I81="Orçamento","Aguardando aprovação",""))))</f>
        <v>0</v>
      </c>
      <c r="Z81" s="33">
        <f>IF(AND($I81="Entregue",$M81&lt;&gt;""),DATE(YEAR($M81),MONTH($M81),1),"")</f>
        <v>0</v>
      </c>
      <c r="AA81" s="34">
        <f>IF(AND($C81&lt;&gt;"",$C81=HistPlaca),COUNTIF($C$5:$C81,HistPlaca),"")</f>
        <v>0</v>
      </c>
    </row>
    <row r="82" spans="1:27">
      <c r="A82" s="17"/>
      <c r="B82" s="25"/>
      <c r="C82" s="13"/>
      <c r="D82" s="26">
        <f>IF($C82="","",IFERROR(INDEX(VeicCli,MATCH($C82,VeicPlaca,0)),"Placa não cadastrada"))</f>
        <v>0</v>
      </c>
      <c r="E82" s="26">
        <f>IF($C82="","",IFERROR(INDEX(VeicModelo,MATCH($C82,VeicPlaca,0)),""))</f>
        <v>0</v>
      </c>
      <c r="F82" s="28"/>
      <c r="G82" s="13"/>
      <c r="H82" s="13"/>
      <c r="I82" s="13"/>
      <c r="J82" s="29"/>
      <c r="K82" s="19"/>
      <c r="L82" s="19"/>
      <c r="M82" s="25"/>
      <c r="N82" s="13"/>
      <c r="O82" s="19"/>
      <c r="P82" s="27">
        <f>IF($A82="","",N($J82)*ValorHora)</f>
        <v>0</v>
      </c>
      <c r="Q82" s="27">
        <f>IF($A82="","",SUMIFS(ItTotal,ItOS,$A82))</f>
        <v>0</v>
      </c>
      <c r="R82" s="30">
        <f>IF($A82="","",$P82+$Q82+N($K82)-N($L82))</f>
        <v>0</v>
      </c>
      <c r="S82" s="27">
        <f>IF($A82="","",SUMIFS(ItCusto,ItOS,$A82))</f>
        <v>0</v>
      </c>
      <c r="T82" s="27">
        <f>IF($A82="","",$P82*ComMec)</f>
        <v>0</v>
      </c>
      <c r="U82" s="21">
        <f>IF($A82="","",$R82-$S82-$T82-N($K82))</f>
        <v>0</v>
      </c>
      <c r="V82" s="31">
        <f>IF(OR($A82="",N($R82)&lt;=0),"",$U82/$R82)</f>
        <v>0</v>
      </c>
      <c r="W82" s="27">
        <f>IF($A82="","",IF(OR($I82="Finalizado",$I82="Entregue"),MAX(0,$R82-N($O82)),0))</f>
        <v>0</v>
      </c>
      <c r="X82" s="32">
        <f>IF(OR($A82="",$B82=""),"",IF(OR($I82="Entregue",$I82="Cancelada"),"",Hoje-$B82))</f>
        <v>0</v>
      </c>
      <c r="Y82" s="24">
        <f>IF($A82="","",IF(AND(OR($I82="Aprovado",$I82="Em execução",$I82="Aguardando peça"),N($X82)&gt;PrazoMax),"ATRASADA",IF(AND(OR($I82="Finalizado",$I82="Entregue"),$W82&gt;0.005),"Cobrar",IF($I82="Orçamento","Aguardando aprovação",""))))</f>
        <v>0</v>
      </c>
      <c r="Z82" s="33">
        <f>IF(AND($I82="Entregue",$M82&lt;&gt;""),DATE(YEAR($M82),MONTH($M82),1),"")</f>
        <v>0</v>
      </c>
      <c r="AA82" s="34">
        <f>IF(AND($C82&lt;&gt;"",$C82=HistPlaca),COUNTIF($C$5:$C82,HistPlaca),"")</f>
        <v>0</v>
      </c>
    </row>
    <row r="83" spans="1:27">
      <c r="A83" s="17"/>
      <c r="B83" s="25"/>
      <c r="C83" s="13"/>
      <c r="D83" s="26">
        <f>IF($C83="","",IFERROR(INDEX(VeicCli,MATCH($C83,VeicPlaca,0)),"Placa não cadastrada"))</f>
        <v>0</v>
      </c>
      <c r="E83" s="26">
        <f>IF($C83="","",IFERROR(INDEX(VeicModelo,MATCH($C83,VeicPlaca,0)),""))</f>
        <v>0</v>
      </c>
      <c r="F83" s="28"/>
      <c r="G83" s="13"/>
      <c r="H83" s="13"/>
      <c r="I83" s="13"/>
      <c r="J83" s="29"/>
      <c r="K83" s="19"/>
      <c r="L83" s="19"/>
      <c r="M83" s="25"/>
      <c r="N83" s="13"/>
      <c r="O83" s="19"/>
      <c r="P83" s="27">
        <f>IF($A83="","",N($J83)*ValorHora)</f>
        <v>0</v>
      </c>
      <c r="Q83" s="27">
        <f>IF($A83="","",SUMIFS(ItTotal,ItOS,$A83))</f>
        <v>0</v>
      </c>
      <c r="R83" s="30">
        <f>IF($A83="","",$P83+$Q83+N($K83)-N($L83))</f>
        <v>0</v>
      </c>
      <c r="S83" s="27">
        <f>IF($A83="","",SUMIFS(ItCusto,ItOS,$A83))</f>
        <v>0</v>
      </c>
      <c r="T83" s="27">
        <f>IF($A83="","",$P83*ComMec)</f>
        <v>0</v>
      </c>
      <c r="U83" s="21">
        <f>IF($A83="","",$R83-$S83-$T83-N($K83))</f>
        <v>0</v>
      </c>
      <c r="V83" s="31">
        <f>IF(OR($A83="",N($R83)&lt;=0),"",$U83/$R83)</f>
        <v>0</v>
      </c>
      <c r="W83" s="27">
        <f>IF($A83="","",IF(OR($I83="Finalizado",$I83="Entregue"),MAX(0,$R83-N($O83)),0))</f>
        <v>0</v>
      </c>
      <c r="X83" s="32">
        <f>IF(OR($A83="",$B83=""),"",IF(OR($I83="Entregue",$I83="Cancelada"),"",Hoje-$B83))</f>
        <v>0</v>
      </c>
      <c r="Y83" s="24">
        <f>IF($A83="","",IF(AND(OR($I83="Aprovado",$I83="Em execução",$I83="Aguardando peça"),N($X83)&gt;PrazoMax),"ATRASADA",IF(AND(OR($I83="Finalizado",$I83="Entregue"),$W83&gt;0.005),"Cobrar",IF($I83="Orçamento","Aguardando aprovação",""))))</f>
        <v>0</v>
      </c>
      <c r="Z83" s="33">
        <f>IF(AND($I83="Entregue",$M83&lt;&gt;""),DATE(YEAR($M83),MONTH($M83),1),"")</f>
        <v>0</v>
      </c>
      <c r="AA83" s="34">
        <f>IF(AND($C83&lt;&gt;"",$C83=HistPlaca),COUNTIF($C$5:$C83,HistPlaca),"")</f>
        <v>0</v>
      </c>
    </row>
    <row r="84" spans="1:27">
      <c r="A84" s="17"/>
      <c r="B84" s="25"/>
      <c r="C84" s="13"/>
      <c r="D84" s="26">
        <f>IF($C84="","",IFERROR(INDEX(VeicCli,MATCH($C84,VeicPlaca,0)),"Placa não cadastrada"))</f>
        <v>0</v>
      </c>
      <c r="E84" s="26">
        <f>IF($C84="","",IFERROR(INDEX(VeicModelo,MATCH($C84,VeicPlaca,0)),""))</f>
        <v>0</v>
      </c>
      <c r="F84" s="28"/>
      <c r="G84" s="13"/>
      <c r="H84" s="13"/>
      <c r="I84" s="13"/>
      <c r="J84" s="29"/>
      <c r="K84" s="19"/>
      <c r="L84" s="19"/>
      <c r="M84" s="25"/>
      <c r="N84" s="13"/>
      <c r="O84" s="19"/>
      <c r="P84" s="27">
        <f>IF($A84="","",N($J84)*ValorHora)</f>
        <v>0</v>
      </c>
      <c r="Q84" s="27">
        <f>IF($A84="","",SUMIFS(ItTotal,ItOS,$A84))</f>
        <v>0</v>
      </c>
      <c r="R84" s="30">
        <f>IF($A84="","",$P84+$Q84+N($K84)-N($L84))</f>
        <v>0</v>
      </c>
      <c r="S84" s="27">
        <f>IF($A84="","",SUMIFS(ItCusto,ItOS,$A84))</f>
        <v>0</v>
      </c>
      <c r="T84" s="27">
        <f>IF($A84="","",$P84*ComMec)</f>
        <v>0</v>
      </c>
      <c r="U84" s="21">
        <f>IF($A84="","",$R84-$S84-$T84-N($K84))</f>
        <v>0</v>
      </c>
      <c r="V84" s="31">
        <f>IF(OR($A84="",N($R84)&lt;=0),"",$U84/$R84)</f>
        <v>0</v>
      </c>
      <c r="W84" s="27">
        <f>IF($A84="","",IF(OR($I84="Finalizado",$I84="Entregue"),MAX(0,$R84-N($O84)),0))</f>
        <v>0</v>
      </c>
      <c r="X84" s="32">
        <f>IF(OR($A84="",$B84=""),"",IF(OR($I84="Entregue",$I84="Cancelada"),"",Hoje-$B84))</f>
        <v>0</v>
      </c>
      <c r="Y84" s="24">
        <f>IF($A84="","",IF(AND(OR($I84="Aprovado",$I84="Em execução",$I84="Aguardando peça"),N($X84)&gt;PrazoMax),"ATRASADA",IF(AND(OR($I84="Finalizado",$I84="Entregue"),$W84&gt;0.005),"Cobrar",IF($I84="Orçamento","Aguardando aprovação",""))))</f>
        <v>0</v>
      </c>
      <c r="Z84" s="33">
        <f>IF(AND($I84="Entregue",$M84&lt;&gt;""),DATE(YEAR($M84),MONTH($M84),1),"")</f>
        <v>0</v>
      </c>
      <c r="AA84" s="34">
        <f>IF(AND($C84&lt;&gt;"",$C84=HistPlaca),COUNTIF($C$5:$C84,HistPlaca),"")</f>
        <v>0</v>
      </c>
    </row>
    <row r="85" spans="1:27">
      <c r="A85" s="17"/>
      <c r="B85" s="25"/>
      <c r="C85" s="13"/>
      <c r="D85" s="26">
        <f>IF($C85="","",IFERROR(INDEX(VeicCli,MATCH($C85,VeicPlaca,0)),"Placa não cadastrada"))</f>
        <v>0</v>
      </c>
      <c r="E85" s="26">
        <f>IF($C85="","",IFERROR(INDEX(VeicModelo,MATCH($C85,VeicPlaca,0)),""))</f>
        <v>0</v>
      </c>
      <c r="F85" s="28"/>
      <c r="G85" s="13"/>
      <c r="H85" s="13"/>
      <c r="I85" s="13"/>
      <c r="J85" s="29"/>
      <c r="K85" s="19"/>
      <c r="L85" s="19"/>
      <c r="M85" s="25"/>
      <c r="N85" s="13"/>
      <c r="O85" s="19"/>
      <c r="P85" s="27">
        <f>IF($A85="","",N($J85)*ValorHora)</f>
        <v>0</v>
      </c>
      <c r="Q85" s="27">
        <f>IF($A85="","",SUMIFS(ItTotal,ItOS,$A85))</f>
        <v>0</v>
      </c>
      <c r="R85" s="30">
        <f>IF($A85="","",$P85+$Q85+N($K85)-N($L85))</f>
        <v>0</v>
      </c>
      <c r="S85" s="27">
        <f>IF($A85="","",SUMIFS(ItCusto,ItOS,$A85))</f>
        <v>0</v>
      </c>
      <c r="T85" s="27">
        <f>IF($A85="","",$P85*ComMec)</f>
        <v>0</v>
      </c>
      <c r="U85" s="21">
        <f>IF($A85="","",$R85-$S85-$T85-N($K85))</f>
        <v>0</v>
      </c>
      <c r="V85" s="31">
        <f>IF(OR($A85="",N($R85)&lt;=0),"",$U85/$R85)</f>
        <v>0</v>
      </c>
      <c r="W85" s="27">
        <f>IF($A85="","",IF(OR($I85="Finalizado",$I85="Entregue"),MAX(0,$R85-N($O85)),0))</f>
        <v>0</v>
      </c>
      <c r="X85" s="32">
        <f>IF(OR($A85="",$B85=""),"",IF(OR($I85="Entregue",$I85="Cancelada"),"",Hoje-$B85))</f>
        <v>0</v>
      </c>
      <c r="Y85" s="24">
        <f>IF($A85="","",IF(AND(OR($I85="Aprovado",$I85="Em execução",$I85="Aguardando peça"),N($X85)&gt;PrazoMax),"ATRASADA",IF(AND(OR($I85="Finalizado",$I85="Entregue"),$W85&gt;0.005),"Cobrar",IF($I85="Orçamento","Aguardando aprovação",""))))</f>
        <v>0</v>
      </c>
      <c r="Z85" s="33">
        <f>IF(AND($I85="Entregue",$M85&lt;&gt;""),DATE(YEAR($M85),MONTH($M85),1),"")</f>
        <v>0</v>
      </c>
      <c r="AA85" s="34">
        <f>IF(AND($C85&lt;&gt;"",$C85=HistPlaca),COUNTIF($C$5:$C85,HistPlaca),"")</f>
        <v>0</v>
      </c>
    </row>
    <row r="86" spans="1:27">
      <c r="A86" s="17"/>
      <c r="B86" s="25"/>
      <c r="C86" s="13"/>
      <c r="D86" s="26">
        <f>IF($C86="","",IFERROR(INDEX(VeicCli,MATCH($C86,VeicPlaca,0)),"Placa não cadastrada"))</f>
        <v>0</v>
      </c>
      <c r="E86" s="26">
        <f>IF($C86="","",IFERROR(INDEX(VeicModelo,MATCH($C86,VeicPlaca,0)),""))</f>
        <v>0</v>
      </c>
      <c r="F86" s="28"/>
      <c r="G86" s="13"/>
      <c r="H86" s="13"/>
      <c r="I86" s="13"/>
      <c r="J86" s="29"/>
      <c r="K86" s="19"/>
      <c r="L86" s="19"/>
      <c r="M86" s="25"/>
      <c r="N86" s="13"/>
      <c r="O86" s="19"/>
      <c r="P86" s="27">
        <f>IF($A86="","",N($J86)*ValorHora)</f>
        <v>0</v>
      </c>
      <c r="Q86" s="27">
        <f>IF($A86="","",SUMIFS(ItTotal,ItOS,$A86))</f>
        <v>0</v>
      </c>
      <c r="R86" s="30">
        <f>IF($A86="","",$P86+$Q86+N($K86)-N($L86))</f>
        <v>0</v>
      </c>
      <c r="S86" s="27">
        <f>IF($A86="","",SUMIFS(ItCusto,ItOS,$A86))</f>
        <v>0</v>
      </c>
      <c r="T86" s="27">
        <f>IF($A86="","",$P86*ComMec)</f>
        <v>0</v>
      </c>
      <c r="U86" s="21">
        <f>IF($A86="","",$R86-$S86-$T86-N($K86))</f>
        <v>0</v>
      </c>
      <c r="V86" s="31">
        <f>IF(OR($A86="",N($R86)&lt;=0),"",$U86/$R86)</f>
        <v>0</v>
      </c>
      <c r="W86" s="27">
        <f>IF($A86="","",IF(OR($I86="Finalizado",$I86="Entregue"),MAX(0,$R86-N($O86)),0))</f>
        <v>0</v>
      </c>
      <c r="X86" s="32">
        <f>IF(OR($A86="",$B86=""),"",IF(OR($I86="Entregue",$I86="Cancelada"),"",Hoje-$B86))</f>
        <v>0</v>
      </c>
      <c r="Y86" s="24">
        <f>IF($A86="","",IF(AND(OR($I86="Aprovado",$I86="Em execução",$I86="Aguardando peça"),N($X86)&gt;PrazoMax),"ATRASADA",IF(AND(OR($I86="Finalizado",$I86="Entregue"),$W86&gt;0.005),"Cobrar",IF($I86="Orçamento","Aguardando aprovação",""))))</f>
        <v>0</v>
      </c>
      <c r="Z86" s="33">
        <f>IF(AND($I86="Entregue",$M86&lt;&gt;""),DATE(YEAR($M86),MONTH($M86),1),"")</f>
        <v>0</v>
      </c>
      <c r="AA86" s="34">
        <f>IF(AND($C86&lt;&gt;"",$C86=HistPlaca),COUNTIF($C$5:$C86,HistPlaca),"")</f>
        <v>0</v>
      </c>
    </row>
    <row r="87" spans="1:27">
      <c r="A87" s="17"/>
      <c r="B87" s="25"/>
      <c r="C87" s="13"/>
      <c r="D87" s="26">
        <f>IF($C87="","",IFERROR(INDEX(VeicCli,MATCH($C87,VeicPlaca,0)),"Placa não cadastrada"))</f>
        <v>0</v>
      </c>
      <c r="E87" s="26">
        <f>IF($C87="","",IFERROR(INDEX(VeicModelo,MATCH($C87,VeicPlaca,0)),""))</f>
        <v>0</v>
      </c>
      <c r="F87" s="28"/>
      <c r="G87" s="13"/>
      <c r="H87" s="13"/>
      <c r="I87" s="13"/>
      <c r="J87" s="29"/>
      <c r="K87" s="19"/>
      <c r="L87" s="19"/>
      <c r="M87" s="25"/>
      <c r="N87" s="13"/>
      <c r="O87" s="19"/>
      <c r="P87" s="27">
        <f>IF($A87="","",N($J87)*ValorHora)</f>
        <v>0</v>
      </c>
      <c r="Q87" s="27">
        <f>IF($A87="","",SUMIFS(ItTotal,ItOS,$A87))</f>
        <v>0</v>
      </c>
      <c r="R87" s="30">
        <f>IF($A87="","",$P87+$Q87+N($K87)-N($L87))</f>
        <v>0</v>
      </c>
      <c r="S87" s="27">
        <f>IF($A87="","",SUMIFS(ItCusto,ItOS,$A87))</f>
        <v>0</v>
      </c>
      <c r="T87" s="27">
        <f>IF($A87="","",$P87*ComMec)</f>
        <v>0</v>
      </c>
      <c r="U87" s="21">
        <f>IF($A87="","",$R87-$S87-$T87-N($K87))</f>
        <v>0</v>
      </c>
      <c r="V87" s="31">
        <f>IF(OR($A87="",N($R87)&lt;=0),"",$U87/$R87)</f>
        <v>0</v>
      </c>
      <c r="W87" s="27">
        <f>IF($A87="","",IF(OR($I87="Finalizado",$I87="Entregue"),MAX(0,$R87-N($O87)),0))</f>
        <v>0</v>
      </c>
      <c r="X87" s="32">
        <f>IF(OR($A87="",$B87=""),"",IF(OR($I87="Entregue",$I87="Cancelada"),"",Hoje-$B87))</f>
        <v>0</v>
      </c>
      <c r="Y87" s="24">
        <f>IF($A87="","",IF(AND(OR($I87="Aprovado",$I87="Em execução",$I87="Aguardando peça"),N($X87)&gt;PrazoMax),"ATRASADA",IF(AND(OR($I87="Finalizado",$I87="Entregue"),$W87&gt;0.005),"Cobrar",IF($I87="Orçamento","Aguardando aprovação",""))))</f>
        <v>0</v>
      </c>
      <c r="Z87" s="33">
        <f>IF(AND($I87="Entregue",$M87&lt;&gt;""),DATE(YEAR($M87),MONTH($M87),1),"")</f>
        <v>0</v>
      </c>
      <c r="AA87" s="34">
        <f>IF(AND($C87&lt;&gt;"",$C87=HistPlaca),COUNTIF($C$5:$C87,HistPlaca),"")</f>
        <v>0</v>
      </c>
    </row>
    <row r="88" spans="1:27">
      <c r="A88" s="17"/>
      <c r="B88" s="25"/>
      <c r="C88" s="13"/>
      <c r="D88" s="26">
        <f>IF($C88="","",IFERROR(INDEX(VeicCli,MATCH($C88,VeicPlaca,0)),"Placa não cadastrada"))</f>
        <v>0</v>
      </c>
      <c r="E88" s="26">
        <f>IF($C88="","",IFERROR(INDEX(VeicModelo,MATCH($C88,VeicPlaca,0)),""))</f>
        <v>0</v>
      </c>
      <c r="F88" s="28"/>
      <c r="G88" s="13"/>
      <c r="H88" s="13"/>
      <c r="I88" s="13"/>
      <c r="J88" s="29"/>
      <c r="K88" s="19"/>
      <c r="L88" s="19"/>
      <c r="M88" s="25"/>
      <c r="N88" s="13"/>
      <c r="O88" s="19"/>
      <c r="P88" s="27">
        <f>IF($A88="","",N($J88)*ValorHora)</f>
        <v>0</v>
      </c>
      <c r="Q88" s="27">
        <f>IF($A88="","",SUMIFS(ItTotal,ItOS,$A88))</f>
        <v>0</v>
      </c>
      <c r="R88" s="30">
        <f>IF($A88="","",$P88+$Q88+N($K88)-N($L88))</f>
        <v>0</v>
      </c>
      <c r="S88" s="27">
        <f>IF($A88="","",SUMIFS(ItCusto,ItOS,$A88))</f>
        <v>0</v>
      </c>
      <c r="T88" s="27">
        <f>IF($A88="","",$P88*ComMec)</f>
        <v>0</v>
      </c>
      <c r="U88" s="21">
        <f>IF($A88="","",$R88-$S88-$T88-N($K88))</f>
        <v>0</v>
      </c>
      <c r="V88" s="31">
        <f>IF(OR($A88="",N($R88)&lt;=0),"",$U88/$R88)</f>
        <v>0</v>
      </c>
      <c r="W88" s="27">
        <f>IF($A88="","",IF(OR($I88="Finalizado",$I88="Entregue"),MAX(0,$R88-N($O88)),0))</f>
        <v>0</v>
      </c>
      <c r="X88" s="32">
        <f>IF(OR($A88="",$B88=""),"",IF(OR($I88="Entregue",$I88="Cancelada"),"",Hoje-$B88))</f>
        <v>0</v>
      </c>
      <c r="Y88" s="24">
        <f>IF($A88="","",IF(AND(OR($I88="Aprovado",$I88="Em execução",$I88="Aguardando peça"),N($X88)&gt;PrazoMax),"ATRASADA",IF(AND(OR($I88="Finalizado",$I88="Entregue"),$W88&gt;0.005),"Cobrar",IF($I88="Orçamento","Aguardando aprovação",""))))</f>
        <v>0</v>
      </c>
      <c r="Z88" s="33">
        <f>IF(AND($I88="Entregue",$M88&lt;&gt;""),DATE(YEAR($M88),MONTH($M88),1),"")</f>
        <v>0</v>
      </c>
      <c r="AA88" s="34">
        <f>IF(AND($C88&lt;&gt;"",$C88=HistPlaca),COUNTIF($C$5:$C88,HistPlaca),"")</f>
        <v>0</v>
      </c>
    </row>
    <row r="89" spans="1:27">
      <c r="A89" s="17"/>
      <c r="B89" s="25"/>
      <c r="C89" s="13"/>
      <c r="D89" s="26">
        <f>IF($C89="","",IFERROR(INDEX(VeicCli,MATCH($C89,VeicPlaca,0)),"Placa não cadastrada"))</f>
        <v>0</v>
      </c>
      <c r="E89" s="26">
        <f>IF($C89="","",IFERROR(INDEX(VeicModelo,MATCH($C89,VeicPlaca,0)),""))</f>
        <v>0</v>
      </c>
      <c r="F89" s="28"/>
      <c r="G89" s="13"/>
      <c r="H89" s="13"/>
      <c r="I89" s="13"/>
      <c r="J89" s="29"/>
      <c r="K89" s="19"/>
      <c r="L89" s="19"/>
      <c r="M89" s="25"/>
      <c r="N89" s="13"/>
      <c r="O89" s="19"/>
      <c r="P89" s="27">
        <f>IF($A89="","",N($J89)*ValorHora)</f>
        <v>0</v>
      </c>
      <c r="Q89" s="27">
        <f>IF($A89="","",SUMIFS(ItTotal,ItOS,$A89))</f>
        <v>0</v>
      </c>
      <c r="R89" s="30">
        <f>IF($A89="","",$P89+$Q89+N($K89)-N($L89))</f>
        <v>0</v>
      </c>
      <c r="S89" s="27">
        <f>IF($A89="","",SUMIFS(ItCusto,ItOS,$A89))</f>
        <v>0</v>
      </c>
      <c r="T89" s="27">
        <f>IF($A89="","",$P89*ComMec)</f>
        <v>0</v>
      </c>
      <c r="U89" s="21">
        <f>IF($A89="","",$R89-$S89-$T89-N($K89))</f>
        <v>0</v>
      </c>
      <c r="V89" s="31">
        <f>IF(OR($A89="",N($R89)&lt;=0),"",$U89/$R89)</f>
        <v>0</v>
      </c>
      <c r="W89" s="27">
        <f>IF($A89="","",IF(OR($I89="Finalizado",$I89="Entregue"),MAX(0,$R89-N($O89)),0))</f>
        <v>0</v>
      </c>
      <c r="X89" s="32">
        <f>IF(OR($A89="",$B89=""),"",IF(OR($I89="Entregue",$I89="Cancelada"),"",Hoje-$B89))</f>
        <v>0</v>
      </c>
      <c r="Y89" s="24">
        <f>IF($A89="","",IF(AND(OR($I89="Aprovado",$I89="Em execução",$I89="Aguardando peça"),N($X89)&gt;PrazoMax),"ATRASADA",IF(AND(OR($I89="Finalizado",$I89="Entregue"),$W89&gt;0.005),"Cobrar",IF($I89="Orçamento","Aguardando aprovação",""))))</f>
        <v>0</v>
      </c>
      <c r="Z89" s="33">
        <f>IF(AND($I89="Entregue",$M89&lt;&gt;""),DATE(YEAR($M89),MONTH($M89),1),"")</f>
        <v>0</v>
      </c>
      <c r="AA89" s="34">
        <f>IF(AND($C89&lt;&gt;"",$C89=HistPlaca),COUNTIF($C$5:$C89,HistPlaca),"")</f>
        <v>0</v>
      </c>
    </row>
    <row r="90" spans="1:27">
      <c r="A90" s="17"/>
      <c r="B90" s="25"/>
      <c r="C90" s="13"/>
      <c r="D90" s="26">
        <f>IF($C90="","",IFERROR(INDEX(VeicCli,MATCH($C90,VeicPlaca,0)),"Placa não cadastrada"))</f>
        <v>0</v>
      </c>
      <c r="E90" s="26">
        <f>IF($C90="","",IFERROR(INDEX(VeicModelo,MATCH($C90,VeicPlaca,0)),""))</f>
        <v>0</v>
      </c>
      <c r="F90" s="28"/>
      <c r="G90" s="13"/>
      <c r="H90" s="13"/>
      <c r="I90" s="13"/>
      <c r="J90" s="29"/>
      <c r="K90" s="19"/>
      <c r="L90" s="19"/>
      <c r="M90" s="25"/>
      <c r="N90" s="13"/>
      <c r="O90" s="19"/>
      <c r="P90" s="27">
        <f>IF($A90="","",N($J90)*ValorHora)</f>
        <v>0</v>
      </c>
      <c r="Q90" s="27">
        <f>IF($A90="","",SUMIFS(ItTotal,ItOS,$A90))</f>
        <v>0</v>
      </c>
      <c r="R90" s="30">
        <f>IF($A90="","",$P90+$Q90+N($K90)-N($L90))</f>
        <v>0</v>
      </c>
      <c r="S90" s="27">
        <f>IF($A90="","",SUMIFS(ItCusto,ItOS,$A90))</f>
        <v>0</v>
      </c>
      <c r="T90" s="27">
        <f>IF($A90="","",$P90*ComMec)</f>
        <v>0</v>
      </c>
      <c r="U90" s="21">
        <f>IF($A90="","",$R90-$S90-$T90-N($K90))</f>
        <v>0</v>
      </c>
      <c r="V90" s="31">
        <f>IF(OR($A90="",N($R90)&lt;=0),"",$U90/$R90)</f>
        <v>0</v>
      </c>
      <c r="W90" s="27">
        <f>IF($A90="","",IF(OR($I90="Finalizado",$I90="Entregue"),MAX(0,$R90-N($O90)),0))</f>
        <v>0</v>
      </c>
      <c r="X90" s="32">
        <f>IF(OR($A90="",$B90=""),"",IF(OR($I90="Entregue",$I90="Cancelada"),"",Hoje-$B90))</f>
        <v>0</v>
      </c>
      <c r="Y90" s="24">
        <f>IF($A90="","",IF(AND(OR($I90="Aprovado",$I90="Em execução",$I90="Aguardando peça"),N($X90)&gt;PrazoMax),"ATRASADA",IF(AND(OR($I90="Finalizado",$I90="Entregue"),$W90&gt;0.005),"Cobrar",IF($I90="Orçamento","Aguardando aprovação",""))))</f>
        <v>0</v>
      </c>
      <c r="Z90" s="33">
        <f>IF(AND($I90="Entregue",$M90&lt;&gt;""),DATE(YEAR($M90),MONTH($M90),1),"")</f>
        <v>0</v>
      </c>
      <c r="AA90" s="34">
        <f>IF(AND($C90&lt;&gt;"",$C90=HistPlaca),COUNTIF($C$5:$C90,HistPlaca),"")</f>
        <v>0</v>
      </c>
    </row>
    <row r="91" spans="1:27">
      <c r="A91" s="17"/>
      <c r="B91" s="25"/>
      <c r="C91" s="13"/>
      <c r="D91" s="26">
        <f>IF($C91="","",IFERROR(INDEX(VeicCli,MATCH($C91,VeicPlaca,0)),"Placa não cadastrada"))</f>
        <v>0</v>
      </c>
      <c r="E91" s="26">
        <f>IF($C91="","",IFERROR(INDEX(VeicModelo,MATCH($C91,VeicPlaca,0)),""))</f>
        <v>0</v>
      </c>
      <c r="F91" s="28"/>
      <c r="G91" s="13"/>
      <c r="H91" s="13"/>
      <c r="I91" s="13"/>
      <c r="J91" s="29"/>
      <c r="K91" s="19"/>
      <c r="L91" s="19"/>
      <c r="M91" s="25"/>
      <c r="N91" s="13"/>
      <c r="O91" s="19"/>
      <c r="P91" s="27">
        <f>IF($A91="","",N($J91)*ValorHora)</f>
        <v>0</v>
      </c>
      <c r="Q91" s="27">
        <f>IF($A91="","",SUMIFS(ItTotal,ItOS,$A91))</f>
        <v>0</v>
      </c>
      <c r="R91" s="30">
        <f>IF($A91="","",$P91+$Q91+N($K91)-N($L91))</f>
        <v>0</v>
      </c>
      <c r="S91" s="27">
        <f>IF($A91="","",SUMIFS(ItCusto,ItOS,$A91))</f>
        <v>0</v>
      </c>
      <c r="T91" s="27">
        <f>IF($A91="","",$P91*ComMec)</f>
        <v>0</v>
      </c>
      <c r="U91" s="21">
        <f>IF($A91="","",$R91-$S91-$T91-N($K91))</f>
        <v>0</v>
      </c>
      <c r="V91" s="31">
        <f>IF(OR($A91="",N($R91)&lt;=0),"",$U91/$R91)</f>
        <v>0</v>
      </c>
      <c r="W91" s="27">
        <f>IF($A91="","",IF(OR($I91="Finalizado",$I91="Entregue"),MAX(0,$R91-N($O91)),0))</f>
        <v>0</v>
      </c>
      <c r="X91" s="32">
        <f>IF(OR($A91="",$B91=""),"",IF(OR($I91="Entregue",$I91="Cancelada"),"",Hoje-$B91))</f>
        <v>0</v>
      </c>
      <c r="Y91" s="24">
        <f>IF($A91="","",IF(AND(OR($I91="Aprovado",$I91="Em execução",$I91="Aguardando peça"),N($X91)&gt;PrazoMax),"ATRASADA",IF(AND(OR($I91="Finalizado",$I91="Entregue"),$W91&gt;0.005),"Cobrar",IF($I91="Orçamento","Aguardando aprovação",""))))</f>
        <v>0</v>
      </c>
      <c r="Z91" s="33">
        <f>IF(AND($I91="Entregue",$M91&lt;&gt;""),DATE(YEAR($M91),MONTH($M91),1),"")</f>
        <v>0</v>
      </c>
      <c r="AA91" s="34">
        <f>IF(AND($C91&lt;&gt;"",$C91=HistPlaca),COUNTIF($C$5:$C91,HistPlaca),"")</f>
        <v>0</v>
      </c>
    </row>
    <row r="92" spans="1:27">
      <c r="A92" s="17"/>
      <c r="B92" s="25"/>
      <c r="C92" s="13"/>
      <c r="D92" s="26">
        <f>IF($C92="","",IFERROR(INDEX(VeicCli,MATCH($C92,VeicPlaca,0)),"Placa não cadastrada"))</f>
        <v>0</v>
      </c>
      <c r="E92" s="26">
        <f>IF($C92="","",IFERROR(INDEX(VeicModelo,MATCH($C92,VeicPlaca,0)),""))</f>
        <v>0</v>
      </c>
      <c r="F92" s="28"/>
      <c r="G92" s="13"/>
      <c r="H92" s="13"/>
      <c r="I92" s="13"/>
      <c r="J92" s="29"/>
      <c r="K92" s="19"/>
      <c r="L92" s="19"/>
      <c r="M92" s="25"/>
      <c r="N92" s="13"/>
      <c r="O92" s="19"/>
      <c r="P92" s="27">
        <f>IF($A92="","",N($J92)*ValorHora)</f>
        <v>0</v>
      </c>
      <c r="Q92" s="27">
        <f>IF($A92="","",SUMIFS(ItTotal,ItOS,$A92))</f>
        <v>0</v>
      </c>
      <c r="R92" s="30">
        <f>IF($A92="","",$P92+$Q92+N($K92)-N($L92))</f>
        <v>0</v>
      </c>
      <c r="S92" s="27">
        <f>IF($A92="","",SUMIFS(ItCusto,ItOS,$A92))</f>
        <v>0</v>
      </c>
      <c r="T92" s="27">
        <f>IF($A92="","",$P92*ComMec)</f>
        <v>0</v>
      </c>
      <c r="U92" s="21">
        <f>IF($A92="","",$R92-$S92-$T92-N($K92))</f>
        <v>0</v>
      </c>
      <c r="V92" s="31">
        <f>IF(OR($A92="",N($R92)&lt;=0),"",$U92/$R92)</f>
        <v>0</v>
      </c>
      <c r="W92" s="27">
        <f>IF($A92="","",IF(OR($I92="Finalizado",$I92="Entregue"),MAX(0,$R92-N($O92)),0))</f>
        <v>0</v>
      </c>
      <c r="X92" s="32">
        <f>IF(OR($A92="",$B92=""),"",IF(OR($I92="Entregue",$I92="Cancelada"),"",Hoje-$B92))</f>
        <v>0</v>
      </c>
      <c r="Y92" s="24">
        <f>IF($A92="","",IF(AND(OR($I92="Aprovado",$I92="Em execução",$I92="Aguardando peça"),N($X92)&gt;PrazoMax),"ATRASADA",IF(AND(OR($I92="Finalizado",$I92="Entregue"),$W92&gt;0.005),"Cobrar",IF($I92="Orçamento","Aguardando aprovação",""))))</f>
        <v>0</v>
      </c>
      <c r="Z92" s="33">
        <f>IF(AND($I92="Entregue",$M92&lt;&gt;""),DATE(YEAR($M92),MONTH($M92),1),"")</f>
        <v>0</v>
      </c>
      <c r="AA92" s="34">
        <f>IF(AND($C92&lt;&gt;"",$C92=HistPlaca),COUNTIF($C$5:$C92,HistPlaca),"")</f>
        <v>0</v>
      </c>
    </row>
    <row r="93" spans="1:27">
      <c r="A93" s="17"/>
      <c r="B93" s="25"/>
      <c r="C93" s="13"/>
      <c r="D93" s="26">
        <f>IF($C93="","",IFERROR(INDEX(VeicCli,MATCH($C93,VeicPlaca,0)),"Placa não cadastrada"))</f>
        <v>0</v>
      </c>
      <c r="E93" s="26">
        <f>IF($C93="","",IFERROR(INDEX(VeicModelo,MATCH($C93,VeicPlaca,0)),""))</f>
        <v>0</v>
      </c>
      <c r="F93" s="28"/>
      <c r="G93" s="13"/>
      <c r="H93" s="13"/>
      <c r="I93" s="13"/>
      <c r="J93" s="29"/>
      <c r="K93" s="19"/>
      <c r="L93" s="19"/>
      <c r="M93" s="25"/>
      <c r="N93" s="13"/>
      <c r="O93" s="19"/>
      <c r="P93" s="27">
        <f>IF($A93="","",N($J93)*ValorHora)</f>
        <v>0</v>
      </c>
      <c r="Q93" s="27">
        <f>IF($A93="","",SUMIFS(ItTotal,ItOS,$A93))</f>
        <v>0</v>
      </c>
      <c r="R93" s="30">
        <f>IF($A93="","",$P93+$Q93+N($K93)-N($L93))</f>
        <v>0</v>
      </c>
      <c r="S93" s="27">
        <f>IF($A93="","",SUMIFS(ItCusto,ItOS,$A93))</f>
        <v>0</v>
      </c>
      <c r="T93" s="27">
        <f>IF($A93="","",$P93*ComMec)</f>
        <v>0</v>
      </c>
      <c r="U93" s="21">
        <f>IF($A93="","",$R93-$S93-$T93-N($K93))</f>
        <v>0</v>
      </c>
      <c r="V93" s="31">
        <f>IF(OR($A93="",N($R93)&lt;=0),"",$U93/$R93)</f>
        <v>0</v>
      </c>
      <c r="W93" s="27">
        <f>IF($A93="","",IF(OR($I93="Finalizado",$I93="Entregue"),MAX(0,$R93-N($O93)),0))</f>
        <v>0</v>
      </c>
      <c r="X93" s="32">
        <f>IF(OR($A93="",$B93=""),"",IF(OR($I93="Entregue",$I93="Cancelada"),"",Hoje-$B93))</f>
        <v>0</v>
      </c>
      <c r="Y93" s="24">
        <f>IF($A93="","",IF(AND(OR($I93="Aprovado",$I93="Em execução",$I93="Aguardando peça"),N($X93)&gt;PrazoMax),"ATRASADA",IF(AND(OR($I93="Finalizado",$I93="Entregue"),$W93&gt;0.005),"Cobrar",IF($I93="Orçamento","Aguardando aprovação",""))))</f>
        <v>0</v>
      </c>
      <c r="Z93" s="33">
        <f>IF(AND($I93="Entregue",$M93&lt;&gt;""),DATE(YEAR($M93),MONTH($M93),1),"")</f>
        <v>0</v>
      </c>
      <c r="AA93" s="34">
        <f>IF(AND($C93&lt;&gt;"",$C93=HistPlaca),COUNTIF($C$5:$C93,HistPlaca),"")</f>
        <v>0</v>
      </c>
    </row>
    <row r="94" spans="1:27">
      <c r="A94" s="17"/>
      <c r="B94" s="25"/>
      <c r="C94" s="13"/>
      <c r="D94" s="26">
        <f>IF($C94="","",IFERROR(INDEX(VeicCli,MATCH($C94,VeicPlaca,0)),"Placa não cadastrada"))</f>
        <v>0</v>
      </c>
      <c r="E94" s="26">
        <f>IF($C94="","",IFERROR(INDEX(VeicModelo,MATCH($C94,VeicPlaca,0)),""))</f>
        <v>0</v>
      </c>
      <c r="F94" s="28"/>
      <c r="G94" s="13"/>
      <c r="H94" s="13"/>
      <c r="I94" s="13"/>
      <c r="J94" s="29"/>
      <c r="K94" s="19"/>
      <c r="L94" s="19"/>
      <c r="M94" s="25"/>
      <c r="N94" s="13"/>
      <c r="O94" s="19"/>
      <c r="P94" s="27">
        <f>IF($A94="","",N($J94)*ValorHora)</f>
        <v>0</v>
      </c>
      <c r="Q94" s="27">
        <f>IF($A94="","",SUMIFS(ItTotal,ItOS,$A94))</f>
        <v>0</v>
      </c>
      <c r="R94" s="30">
        <f>IF($A94="","",$P94+$Q94+N($K94)-N($L94))</f>
        <v>0</v>
      </c>
      <c r="S94" s="27">
        <f>IF($A94="","",SUMIFS(ItCusto,ItOS,$A94))</f>
        <v>0</v>
      </c>
      <c r="T94" s="27">
        <f>IF($A94="","",$P94*ComMec)</f>
        <v>0</v>
      </c>
      <c r="U94" s="21">
        <f>IF($A94="","",$R94-$S94-$T94-N($K94))</f>
        <v>0</v>
      </c>
      <c r="V94" s="31">
        <f>IF(OR($A94="",N($R94)&lt;=0),"",$U94/$R94)</f>
        <v>0</v>
      </c>
      <c r="W94" s="27">
        <f>IF($A94="","",IF(OR($I94="Finalizado",$I94="Entregue"),MAX(0,$R94-N($O94)),0))</f>
        <v>0</v>
      </c>
      <c r="X94" s="32">
        <f>IF(OR($A94="",$B94=""),"",IF(OR($I94="Entregue",$I94="Cancelada"),"",Hoje-$B94))</f>
        <v>0</v>
      </c>
      <c r="Y94" s="24">
        <f>IF($A94="","",IF(AND(OR($I94="Aprovado",$I94="Em execução",$I94="Aguardando peça"),N($X94)&gt;PrazoMax),"ATRASADA",IF(AND(OR($I94="Finalizado",$I94="Entregue"),$W94&gt;0.005),"Cobrar",IF($I94="Orçamento","Aguardando aprovação",""))))</f>
        <v>0</v>
      </c>
      <c r="Z94" s="33">
        <f>IF(AND($I94="Entregue",$M94&lt;&gt;""),DATE(YEAR($M94),MONTH($M94),1),"")</f>
        <v>0</v>
      </c>
      <c r="AA94" s="34">
        <f>IF(AND($C94&lt;&gt;"",$C94=HistPlaca),COUNTIF($C$5:$C94,HistPlaca),"")</f>
        <v>0</v>
      </c>
    </row>
    <row r="95" spans="1:27">
      <c r="A95" s="17"/>
      <c r="B95" s="25"/>
      <c r="C95" s="13"/>
      <c r="D95" s="26">
        <f>IF($C95="","",IFERROR(INDEX(VeicCli,MATCH($C95,VeicPlaca,0)),"Placa não cadastrada"))</f>
        <v>0</v>
      </c>
      <c r="E95" s="26">
        <f>IF($C95="","",IFERROR(INDEX(VeicModelo,MATCH($C95,VeicPlaca,0)),""))</f>
        <v>0</v>
      </c>
      <c r="F95" s="28"/>
      <c r="G95" s="13"/>
      <c r="H95" s="13"/>
      <c r="I95" s="13"/>
      <c r="J95" s="29"/>
      <c r="K95" s="19"/>
      <c r="L95" s="19"/>
      <c r="M95" s="25"/>
      <c r="N95" s="13"/>
      <c r="O95" s="19"/>
      <c r="P95" s="27">
        <f>IF($A95="","",N($J95)*ValorHora)</f>
        <v>0</v>
      </c>
      <c r="Q95" s="27">
        <f>IF($A95="","",SUMIFS(ItTotal,ItOS,$A95))</f>
        <v>0</v>
      </c>
      <c r="R95" s="30">
        <f>IF($A95="","",$P95+$Q95+N($K95)-N($L95))</f>
        <v>0</v>
      </c>
      <c r="S95" s="27">
        <f>IF($A95="","",SUMIFS(ItCusto,ItOS,$A95))</f>
        <v>0</v>
      </c>
      <c r="T95" s="27">
        <f>IF($A95="","",$P95*ComMec)</f>
        <v>0</v>
      </c>
      <c r="U95" s="21">
        <f>IF($A95="","",$R95-$S95-$T95-N($K95))</f>
        <v>0</v>
      </c>
      <c r="V95" s="31">
        <f>IF(OR($A95="",N($R95)&lt;=0),"",$U95/$R95)</f>
        <v>0</v>
      </c>
      <c r="W95" s="27">
        <f>IF($A95="","",IF(OR($I95="Finalizado",$I95="Entregue"),MAX(0,$R95-N($O95)),0))</f>
        <v>0</v>
      </c>
      <c r="X95" s="32">
        <f>IF(OR($A95="",$B95=""),"",IF(OR($I95="Entregue",$I95="Cancelada"),"",Hoje-$B95))</f>
        <v>0</v>
      </c>
      <c r="Y95" s="24">
        <f>IF($A95="","",IF(AND(OR($I95="Aprovado",$I95="Em execução",$I95="Aguardando peça"),N($X95)&gt;PrazoMax),"ATRASADA",IF(AND(OR($I95="Finalizado",$I95="Entregue"),$W95&gt;0.005),"Cobrar",IF($I95="Orçamento","Aguardando aprovação",""))))</f>
        <v>0</v>
      </c>
      <c r="Z95" s="33">
        <f>IF(AND($I95="Entregue",$M95&lt;&gt;""),DATE(YEAR($M95),MONTH($M95),1),"")</f>
        <v>0</v>
      </c>
      <c r="AA95" s="34">
        <f>IF(AND($C95&lt;&gt;"",$C95=HistPlaca),COUNTIF($C$5:$C95,HistPlaca),"")</f>
        <v>0</v>
      </c>
    </row>
    <row r="96" spans="1:27">
      <c r="A96" s="17"/>
      <c r="B96" s="25"/>
      <c r="C96" s="13"/>
      <c r="D96" s="26">
        <f>IF($C96="","",IFERROR(INDEX(VeicCli,MATCH($C96,VeicPlaca,0)),"Placa não cadastrada"))</f>
        <v>0</v>
      </c>
      <c r="E96" s="26">
        <f>IF($C96="","",IFERROR(INDEX(VeicModelo,MATCH($C96,VeicPlaca,0)),""))</f>
        <v>0</v>
      </c>
      <c r="F96" s="28"/>
      <c r="G96" s="13"/>
      <c r="H96" s="13"/>
      <c r="I96" s="13"/>
      <c r="J96" s="29"/>
      <c r="K96" s="19"/>
      <c r="L96" s="19"/>
      <c r="M96" s="25"/>
      <c r="N96" s="13"/>
      <c r="O96" s="19"/>
      <c r="P96" s="27">
        <f>IF($A96="","",N($J96)*ValorHora)</f>
        <v>0</v>
      </c>
      <c r="Q96" s="27">
        <f>IF($A96="","",SUMIFS(ItTotal,ItOS,$A96))</f>
        <v>0</v>
      </c>
      <c r="R96" s="30">
        <f>IF($A96="","",$P96+$Q96+N($K96)-N($L96))</f>
        <v>0</v>
      </c>
      <c r="S96" s="27">
        <f>IF($A96="","",SUMIFS(ItCusto,ItOS,$A96))</f>
        <v>0</v>
      </c>
      <c r="T96" s="27">
        <f>IF($A96="","",$P96*ComMec)</f>
        <v>0</v>
      </c>
      <c r="U96" s="21">
        <f>IF($A96="","",$R96-$S96-$T96-N($K96))</f>
        <v>0</v>
      </c>
      <c r="V96" s="31">
        <f>IF(OR($A96="",N($R96)&lt;=0),"",$U96/$R96)</f>
        <v>0</v>
      </c>
      <c r="W96" s="27">
        <f>IF($A96="","",IF(OR($I96="Finalizado",$I96="Entregue"),MAX(0,$R96-N($O96)),0))</f>
        <v>0</v>
      </c>
      <c r="X96" s="32">
        <f>IF(OR($A96="",$B96=""),"",IF(OR($I96="Entregue",$I96="Cancelada"),"",Hoje-$B96))</f>
        <v>0</v>
      </c>
      <c r="Y96" s="24">
        <f>IF($A96="","",IF(AND(OR($I96="Aprovado",$I96="Em execução",$I96="Aguardando peça"),N($X96)&gt;PrazoMax),"ATRASADA",IF(AND(OR($I96="Finalizado",$I96="Entregue"),$W96&gt;0.005),"Cobrar",IF($I96="Orçamento","Aguardando aprovação",""))))</f>
        <v>0</v>
      </c>
      <c r="Z96" s="33">
        <f>IF(AND($I96="Entregue",$M96&lt;&gt;""),DATE(YEAR($M96),MONTH($M96),1),"")</f>
        <v>0</v>
      </c>
      <c r="AA96" s="34">
        <f>IF(AND($C96&lt;&gt;"",$C96=HistPlaca),COUNTIF($C$5:$C96,HistPlaca),"")</f>
        <v>0</v>
      </c>
    </row>
    <row r="97" spans="1:27">
      <c r="A97" s="17"/>
      <c r="B97" s="25"/>
      <c r="C97" s="13"/>
      <c r="D97" s="26">
        <f>IF($C97="","",IFERROR(INDEX(VeicCli,MATCH($C97,VeicPlaca,0)),"Placa não cadastrada"))</f>
        <v>0</v>
      </c>
      <c r="E97" s="26">
        <f>IF($C97="","",IFERROR(INDEX(VeicModelo,MATCH($C97,VeicPlaca,0)),""))</f>
        <v>0</v>
      </c>
      <c r="F97" s="28"/>
      <c r="G97" s="13"/>
      <c r="H97" s="13"/>
      <c r="I97" s="13"/>
      <c r="J97" s="29"/>
      <c r="K97" s="19"/>
      <c r="L97" s="19"/>
      <c r="M97" s="25"/>
      <c r="N97" s="13"/>
      <c r="O97" s="19"/>
      <c r="P97" s="27">
        <f>IF($A97="","",N($J97)*ValorHora)</f>
        <v>0</v>
      </c>
      <c r="Q97" s="27">
        <f>IF($A97="","",SUMIFS(ItTotal,ItOS,$A97))</f>
        <v>0</v>
      </c>
      <c r="R97" s="30">
        <f>IF($A97="","",$P97+$Q97+N($K97)-N($L97))</f>
        <v>0</v>
      </c>
      <c r="S97" s="27">
        <f>IF($A97="","",SUMIFS(ItCusto,ItOS,$A97))</f>
        <v>0</v>
      </c>
      <c r="T97" s="27">
        <f>IF($A97="","",$P97*ComMec)</f>
        <v>0</v>
      </c>
      <c r="U97" s="21">
        <f>IF($A97="","",$R97-$S97-$T97-N($K97))</f>
        <v>0</v>
      </c>
      <c r="V97" s="31">
        <f>IF(OR($A97="",N($R97)&lt;=0),"",$U97/$R97)</f>
        <v>0</v>
      </c>
      <c r="W97" s="27">
        <f>IF($A97="","",IF(OR($I97="Finalizado",$I97="Entregue"),MAX(0,$R97-N($O97)),0))</f>
        <v>0</v>
      </c>
      <c r="X97" s="32">
        <f>IF(OR($A97="",$B97=""),"",IF(OR($I97="Entregue",$I97="Cancelada"),"",Hoje-$B97))</f>
        <v>0</v>
      </c>
      <c r="Y97" s="24">
        <f>IF($A97="","",IF(AND(OR($I97="Aprovado",$I97="Em execução",$I97="Aguardando peça"),N($X97)&gt;PrazoMax),"ATRASADA",IF(AND(OR($I97="Finalizado",$I97="Entregue"),$W97&gt;0.005),"Cobrar",IF($I97="Orçamento","Aguardando aprovação",""))))</f>
        <v>0</v>
      </c>
      <c r="Z97" s="33">
        <f>IF(AND($I97="Entregue",$M97&lt;&gt;""),DATE(YEAR($M97),MONTH($M97),1),"")</f>
        <v>0</v>
      </c>
      <c r="AA97" s="34">
        <f>IF(AND($C97&lt;&gt;"",$C97=HistPlaca),COUNTIF($C$5:$C97,HistPlaca),"")</f>
        <v>0</v>
      </c>
    </row>
    <row r="98" spans="1:27">
      <c r="A98" s="17"/>
      <c r="B98" s="25"/>
      <c r="C98" s="13"/>
      <c r="D98" s="26">
        <f>IF($C98="","",IFERROR(INDEX(VeicCli,MATCH($C98,VeicPlaca,0)),"Placa não cadastrada"))</f>
        <v>0</v>
      </c>
      <c r="E98" s="26">
        <f>IF($C98="","",IFERROR(INDEX(VeicModelo,MATCH($C98,VeicPlaca,0)),""))</f>
        <v>0</v>
      </c>
      <c r="F98" s="28"/>
      <c r="G98" s="13"/>
      <c r="H98" s="13"/>
      <c r="I98" s="13"/>
      <c r="J98" s="29"/>
      <c r="K98" s="19"/>
      <c r="L98" s="19"/>
      <c r="M98" s="25"/>
      <c r="N98" s="13"/>
      <c r="O98" s="19"/>
      <c r="P98" s="27">
        <f>IF($A98="","",N($J98)*ValorHora)</f>
        <v>0</v>
      </c>
      <c r="Q98" s="27">
        <f>IF($A98="","",SUMIFS(ItTotal,ItOS,$A98))</f>
        <v>0</v>
      </c>
      <c r="R98" s="30">
        <f>IF($A98="","",$P98+$Q98+N($K98)-N($L98))</f>
        <v>0</v>
      </c>
      <c r="S98" s="27">
        <f>IF($A98="","",SUMIFS(ItCusto,ItOS,$A98))</f>
        <v>0</v>
      </c>
      <c r="T98" s="27">
        <f>IF($A98="","",$P98*ComMec)</f>
        <v>0</v>
      </c>
      <c r="U98" s="21">
        <f>IF($A98="","",$R98-$S98-$T98-N($K98))</f>
        <v>0</v>
      </c>
      <c r="V98" s="31">
        <f>IF(OR($A98="",N($R98)&lt;=0),"",$U98/$R98)</f>
        <v>0</v>
      </c>
      <c r="W98" s="27">
        <f>IF($A98="","",IF(OR($I98="Finalizado",$I98="Entregue"),MAX(0,$R98-N($O98)),0))</f>
        <v>0</v>
      </c>
      <c r="X98" s="32">
        <f>IF(OR($A98="",$B98=""),"",IF(OR($I98="Entregue",$I98="Cancelada"),"",Hoje-$B98))</f>
        <v>0</v>
      </c>
      <c r="Y98" s="24">
        <f>IF($A98="","",IF(AND(OR($I98="Aprovado",$I98="Em execução",$I98="Aguardando peça"),N($X98)&gt;PrazoMax),"ATRASADA",IF(AND(OR($I98="Finalizado",$I98="Entregue"),$W98&gt;0.005),"Cobrar",IF($I98="Orçamento","Aguardando aprovação",""))))</f>
        <v>0</v>
      </c>
      <c r="Z98" s="33">
        <f>IF(AND($I98="Entregue",$M98&lt;&gt;""),DATE(YEAR($M98),MONTH($M98),1),"")</f>
        <v>0</v>
      </c>
      <c r="AA98" s="34">
        <f>IF(AND($C98&lt;&gt;"",$C98=HistPlaca),COUNTIF($C$5:$C98,HistPlaca),"")</f>
        <v>0</v>
      </c>
    </row>
    <row r="99" spans="1:27">
      <c r="A99" s="17"/>
      <c r="B99" s="25"/>
      <c r="C99" s="13"/>
      <c r="D99" s="26">
        <f>IF($C99="","",IFERROR(INDEX(VeicCli,MATCH($C99,VeicPlaca,0)),"Placa não cadastrada"))</f>
        <v>0</v>
      </c>
      <c r="E99" s="26">
        <f>IF($C99="","",IFERROR(INDEX(VeicModelo,MATCH($C99,VeicPlaca,0)),""))</f>
        <v>0</v>
      </c>
      <c r="F99" s="28"/>
      <c r="G99" s="13"/>
      <c r="H99" s="13"/>
      <c r="I99" s="13"/>
      <c r="J99" s="29"/>
      <c r="K99" s="19"/>
      <c r="L99" s="19"/>
      <c r="M99" s="25"/>
      <c r="N99" s="13"/>
      <c r="O99" s="19"/>
      <c r="P99" s="27">
        <f>IF($A99="","",N($J99)*ValorHora)</f>
        <v>0</v>
      </c>
      <c r="Q99" s="27">
        <f>IF($A99="","",SUMIFS(ItTotal,ItOS,$A99))</f>
        <v>0</v>
      </c>
      <c r="R99" s="30">
        <f>IF($A99="","",$P99+$Q99+N($K99)-N($L99))</f>
        <v>0</v>
      </c>
      <c r="S99" s="27">
        <f>IF($A99="","",SUMIFS(ItCusto,ItOS,$A99))</f>
        <v>0</v>
      </c>
      <c r="T99" s="27">
        <f>IF($A99="","",$P99*ComMec)</f>
        <v>0</v>
      </c>
      <c r="U99" s="21">
        <f>IF($A99="","",$R99-$S99-$T99-N($K99))</f>
        <v>0</v>
      </c>
      <c r="V99" s="31">
        <f>IF(OR($A99="",N($R99)&lt;=0),"",$U99/$R99)</f>
        <v>0</v>
      </c>
      <c r="W99" s="27">
        <f>IF($A99="","",IF(OR($I99="Finalizado",$I99="Entregue"),MAX(0,$R99-N($O99)),0))</f>
        <v>0</v>
      </c>
      <c r="X99" s="32">
        <f>IF(OR($A99="",$B99=""),"",IF(OR($I99="Entregue",$I99="Cancelada"),"",Hoje-$B99))</f>
        <v>0</v>
      </c>
      <c r="Y99" s="24">
        <f>IF($A99="","",IF(AND(OR($I99="Aprovado",$I99="Em execução",$I99="Aguardando peça"),N($X99)&gt;PrazoMax),"ATRASADA",IF(AND(OR($I99="Finalizado",$I99="Entregue"),$W99&gt;0.005),"Cobrar",IF($I99="Orçamento","Aguardando aprovação",""))))</f>
        <v>0</v>
      </c>
      <c r="Z99" s="33">
        <f>IF(AND($I99="Entregue",$M99&lt;&gt;""),DATE(YEAR($M99),MONTH($M99),1),"")</f>
        <v>0</v>
      </c>
      <c r="AA99" s="34">
        <f>IF(AND($C99&lt;&gt;"",$C99=HistPlaca),COUNTIF($C$5:$C99,HistPlaca),"")</f>
        <v>0</v>
      </c>
    </row>
    <row r="100" spans="1:27">
      <c r="A100" s="17"/>
      <c r="B100" s="25"/>
      <c r="C100" s="13"/>
      <c r="D100" s="26">
        <f>IF($C100="","",IFERROR(INDEX(VeicCli,MATCH($C100,VeicPlaca,0)),"Placa não cadastrada"))</f>
        <v>0</v>
      </c>
      <c r="E100" s="26">
        <f>IF($C100="","",IFERROR(INDEX(VeicModelo,MATCH($C100,VeicPlaca,0)),""))</f>
        <v>0</v>
      </c>
      <c r="F100" s="28"/>
      <c r="G100" s="13"/>
      <c r="H100" s="13"/>
      <c r="I100" s="13"/>
      <c r="J100" s="29"/>
      <c r="K100" s="19"/>
      <c r="L100" s="19"/>
      <c r="M100" s="25"/>
      <c r="N100" s="13"/>
      <c r="O100" s="19"/>
      <c r="P100" s="27">
        <f>IF($A100="","",N($J100)*ValorHora)</f>
        <v>0</v>
      </c>
      <c r="Q100" s="27">
        <f>IF($A100="","",SUMIFS(ItTotal,ItOS,$A100))</f>
        <v>0</v>
      </c>
      <c r="R100" s="30">
        <f>IF($A100="","",$P100+$Q100+N($K100)-N($L100))</f>
        <v>0</v>
      </c>
      <c r="S100" s="27">
        <f>IF($A100="","",SUMIFS(ItCusto,ItOS,$A100))</f>
        <v>0</v>
      </c>
      <c r="T100" s="27">
        <f>IF($A100="","",$P100*ComMec)</f>
        <v>0</v>
      </c>
      <c r="U100" s="21">
        <f>IF($A100="","",$R100-$S100-$T100-N($K100))</f>
        <v>0</v>
      </c>
      <c r="V100" s="31">
        <f>IF(OR($A100="",N($R100)&lt;=0),"",$U100/$R100)</f>
        <v>0</v>
      </c>
      <c r="W100" s="27">
        <f>IF($A100="","",IF(OR($I100="Finalizado",$I100="Entregue"),MAX(0,$R100-N($O100)),0))</f>
        <v>0</v>
      </c>
      <c r="X100" s="32">
        <f>IF(OR($A100="",$B100=""),"",IF(OR($I100="Entregue",$I100="Cancelada"),"",Hoje-$B100))</f>
        <v>0</v>
      </c>
      <c r="Y100" s="24">
        <f>IF($A100="","",IF(AND(OR($I100="Aprovado",$I100="Em execução",$I100="Aguardando peça"),N($X100)&gt;PrazoMax),"ATRASADA",IF(AND(OR($I100="Finalizado",$I100="Entregue"),$W100&gt;0.005),"Cobrar",IF($I100="Orçamento","Aguardando aprovação",""))))</f>
        <v>0</v>
      </c>
      <c r="Z100" s="33">
        <f>IF(AND($I100="Entregue",$M100&lt;&gt;""),DATE(YEAR($M100),MONTH($M100),1),"")</f>
        <v>0</v>
      </c>
      <c r="AA100" s="34">
        <f>IF(AND($C100&lt;&gt;"",$C100=HistPlaca),COUNTIF($C$5:$C100,HistPlaca),"")</f>
        <v>0</v>
      </c>
    </row>
    <row r="101" spans="1:27">
      <c r="A101" s="17"/>
      <c r="B101" s="25"/>
      <c r="C101" s="13"/>
      <c r="D101" s="26">
        <f>IF($C101="","",IFERROR(INDEX(VeicCli,MATCH($C101,VeicPlaca,0)),"Placa não cadastrada"))</f>
        <v>0</v>
      </c>
      <c r="E101" s="26">
        <f>IF($C101="","",IFERROR(INDEX(VeicModelo,MATCH($C101,VeicPlaca,0)),""))</f>
        <v>0</v>
      </c>
      <c r="F101" s="28"/>
      <c r="G101" s="13"/>
      <c r="H101" s="13"/>
      <c r="I101" s="13"/>
      <c r="J101" s="29"/>
      <c r="K101" s="19"/>
      <c r="L101" s="19"/>
      <c r="M101" s="25"/>
      <c r="N101" s="13"/>
      <c r="O101" s="19"/>
      <c r="P101" s="27">
        <f>IF($A101="","",N($J101)*ValorHora)</f>
        <v>0</v>
      </c>
      <c r="Q101" s="27">
        <f>IF($A101="","",SUMIFS(ItTotal,ItOS,$A101))</f>
        <v>0</v>
      </c>
      <c r="R101" s="30">
        <f>IF($A101="","",$P101+$Q101+N($K101)-N($L101))</f>
        <v>0</v>
      </c>
      <c r="S101" s="27">
        <f>IF($A101="","",SUMIFS(ItCusto,ItOS,$A101))</f>
        <v>0</v>
      </c>
      <c r="T101" s="27">
        <f>IF($A101="","",$P101*ComMec)</f>
        <v>0</v>
      </c>
      <c r="U101" s="21">
        <f>IF($A101="","",$R101-$S101-$T101-N($K101))</f>
        <v>0</v>
      </c>
      <c r="V101" s="31">
        <f>IF(OR($A101="",N($R101)&lt;=0),"",$U101/$R101)</f>
        <v>0</v>
      </c>
      <c r="W101" s="27">
        <f>IF($A101="","",IF(OR($I101="Finalizado",$I101="Entregue"),MAX(0,$R101-N($O101)),0))</f>
        <v>0</v>
      </c>
      <c r="X101" s="32">
        <f>IF(OR($A101="",$B101=""),"",IF(OR($I101="Entregue",$I101="Cancelada"),"",Hoje-$B101))</f>
        <v>0</v>
      </c>
      <c r="Y101" s="24">
        <f>IF($A101="","",IF(AND(OR($I101="Aprovado",$I101="Em execução",$I101="Aguardando peça"),N($X101)&gt;PrazoMax),"ATRASADA",IF(AND(OR($I101="Finalizado",$I101="Entregue"),$W101&gt;0.005),"Cobrar",IF($I101="Orçamento","Aguardando aprovação",""))))</f>
        <v>0</v>
      </c>
      <c r="Z101" s="33">
        <f>IF(AND($I101="Entregue",$M101&lt;&gt;""),DATE(YEAR($M101),MONTH($M101),1),"")</f>
        <v>0</v>
      </c>
      <c r="AA101" s="34">
        <f>IF(AND($C101&lt;&gt;"",$C101=HistPlaca),COUNTIF($C$5:$C101,HistPlaca),"")</f>
        <v>0</v>
      </c>
    </row>
    <row r="102" spans="1:27">
      <c r="A102" s="17"/>
      <c r="B102" s="25"/>
      <c r="C102" s="13"/>
      <c r="D102" s="26">
        <f>IF($C102="","",IFERROR(INDEX(VeicCli,MATCH($C102,VeicPlaca,0)),"Placa não cadastrada"))</f>
        <v>0</v>
      </c>
      <c r="E102" s="26">
        <f>IF($C102="","",IFERROR(INDEX(VeicModelo,MATCH($C102,VeicPlaca,0)),""))</f>
        <v>0</v>
      </c>
      <c r="F102" s="28"/>
      <c r="G102" s="13"/>
      <c r="H102" s="13"/>
      <c r="I102" s="13"/>
      <c r="J102" s="29"/>
      <c r="K102" s="19"/>
      <c r="L102" s="19"/>
      <c r="M102" s="25"/>
      <c r="N102" s="13"/>
      <c r="O102" s="19"/>
      <c r="P102" s="27">
        <f>IF($A102="","",N($J102)*ValorHora)</f>
        <v>0</v>
      </c>
      <c r="Q102" s="27">
        <f>IF($A102="","",SUMIFS(ItTotal,ItOS,$A102))</f>
        <v>0</v>
      </c>
      <c r="R102" s="30">
        <f>IF($A102="","",$P102+$Q102+N($K102)-N($L102))</f>
        <v>0</v>
      </c>
      <c r="S102" s="27">
        <f>IF($A102="","",SUMIFS(ItCusto,ItOS,$A102))</f>
        <v>0</v>
      </c>
      <c r="T102" s="27">
        <f>IF($A102="","",$P102*ComMec)</f>
        <v>0</v>
      </c>
      <c r="U102" s="21">
        <f>IF($A102="","",$R102-$S102-$T102-N($K102))</f>
        <v>0</v>
      </c>
      <c r="V102" s="31">
        <f>IF(OR($A102="",N($R102)&lt;=0),"",$U102/$R102)</f>
        <v>0</v>
      </c>
      <c r="W102" s="27">
        <f>IF($A102="","",IF(OR($I102="Finalizado",$I102="Entregue"),MAX(0,$R102-N($O102)),0))</f>
        <v>0</v>
      </c>
      <c r="X102" s="32">
        <f>IF(OR($A102="",$B102=""),"",IF(OR($I102="Entregue",$I102="Cancelada"),"",Hoje-$B102))</f>
        <v>0</v>
      </c>
      <c r="Y102" s="24">
        <f>IF($A102="","",IF(AND(OR($I102="Aprovado",$I102="Em execução",$I102="Aguardando peça"),N($X102)&gt;PrazoMax),"ATRASADA",IF(AND(OR($I102="Finalizado",$I102="Entregue"),$W102&gt;0.005),"Cobrar",IF($I102="Orçamento","Aguardando aprovação",""))))</f>
        <v>0</v>
      </c>
      <c r="Z102" s="33">
        <f>IF(AND($I102="Entregue",$M102&lt;&gt;""),DATE(YEAR($M102),MONTH($M102),1),"")</f>
        <v>0</v>
      </c>
      <c r="AA102" s="34">
        <f>IF(AND($C102&lt;&gt;"",$C102=HistPlaca),COUNTIF($C$5:$C102,HistPlaca),"")</f>
        <v>0</v>
      </c>
    </row>
    <row r="103" spans="1:27">
      <c r="A103" s="17"/>
      <c r="B103" s="25"/>
      <c r="C103" s="13"/>
      <c r="D103" s="26">
        <f>IF($C103="","",IFERROR(INDEX(VeicCli,MATCH($C103,VeicPlaca,0)),"Placa não cadastrada"))</f>
        <v>0</v>
      </c>
      <c r="E103" s="26">
        <f>IF($C103="","",IFERROR(INDEX(VeicModelo,MATCH($C103,VeicPlaca,0)),""))</f>
        <v>0</v>
      </c>
      <c r="F103" s="28"/>
      <c r="G103" s="13"/>
      <c r="H103" s="13"/>
      <c r="I103" s="13"/>
      <c r="J103" s="29"/>
      <c r="K103" s="19"/>
      <c r="L103" s="19"/>
      <c r="M103" s="25"/>
      <c r="N103" s="13"/>
      <c r="O103" s="19"/>
      <c r="P103" s="27">
        <f>IF($A103="","",N($J103)*ValorHora)</f>
        <v>0</v>
      </c>
      <c r="Q103" s="27">
        <f>IF($A103="","",SUMIFS(ItTotal,ItOS,$A103))</f>
        <v>0</v>
      </c>
      <c r="R103" s="30">
        <f>IF($A103="","",$P103+$Q103+N($K103)-N($L103))</f>
        <v>0</v>
      </c>
      <c r="S103" s="27">
        <f>IF($A103="","",SUMIFS(ItCusto,ItOS,$A103))</f>
        <v>0</v>
      </c>
      <c r="T103" s="27">
        <f>IF($A103="","",$P103*ComMec)</f>
        <v>0</v>
      </c>
      <c r="U103" s="21">
        <f>IF($A103="","",$R103-$S103-$T103-N($K103))</f>
        <v>0</v>
      </c>
      <c r="V103" s="31">
        <f>IF(OR($A103="",N($R103)&lt;=0),"",$U103/$R103)</f>
        <v>0</v>
      </c>
      <c r="W103" s="27">
        <f>IF($A103="","",IF(OR($I103="Finalizado",$I103="Entregue"),MAX(0,$R103-N($O103)),0))</f>
        <v>0</v>
      </c>
      <c r="X103" s="32">
        <f>IF(OR($A103="",$B103=""),"",IF(OR($I103="Entregue",$I103="Cancelada"),"",Hoje-$B103))</f>
        <v>0</v>
      </c>
      <c r="Y103" s="24">
        <f>IF($A103="","",IF(AND(OR($I103="Aprovado",$I103="Em execução",$I103="Aguardando peça"),N($X103)&gt;PrazoMax),"ATRASADA",IF(AND(OR($I103="Finalizado",$I103="Entregue"),$W103&gt;0.005),"Cobrar",IF($I103="Orçamento","Aguardando aprovação",""))))</f>
        <v>0</v>
      </c>
      <c r="Z103" s="33">
        <f>IF(AND($I103="Entregue",$M103&lt;&gt;""),DATE(YEAR($M103),MONTH($M103),1),"")</f>
        <v>0</v>
      </c>
      <c r="AA103" s="34">
        <f>IF(AND($C103&lt;&gt;"",$C103=HistPlaca),COUNTIF($C$5:$C103,HistPlaca),"")</f>
        <v>0</v>
      </c>
    </row>
    <row r="104" spans="1:27">
      <c r="A104" s="17"/>
      <c r="B104" s="25"/>
      <c r="C104" s="13"/>
      <c r="D104" s="26">
        <f>IF($C104="","",IFERROR(INDEX(VeicCli,MATCH($C104,VeicPlaca,0)),"Placa não cadastrada"))</f>
        <v>0</v>
      </c>
      <c r="E104" s="26">
        <f>IF($C104="","",IFERROR(INDEX(VeicModelo,MATCH($C104,VeicPlaca,0)),""))</f>
        <v>0</v>
      </c>
      <c r="F104" s="28"/>
      <c r="G104" s="13"/>
      <c r="H104" s="13"/>
      <c r="I104" s="13"/>
      <c r="J104" s="29"/>
      <c r="K104" s="19"/>
      <c r="L104" s="19"/>
      <c r="M104" s="25"/>
      <c r="N104" s="13"/>
      <c r="O104" s="19"/>
      <c r="P104" s="27">
        <f>IF($A104="","",N($J104)*ValorHora)</f>
        <v>0</v>
      </c>
      <c r="Q104" s="27">
        <f>IF($A104="","",SUMIFS(ItTotal,ItOS,$A104))</f>
        <v>0</v>
      </c>
      <c r="R104" s="30">
        <f>IF($A104="","",$P104+$Q104+N($K104)-N($L104))</f>
        <v>0</v>
      </c>
      <c r="S104" s="27">
        <f>IF($A104="","",SUMIFS(ItCusto,ItOS,$A104))</f>
        <v>0</v>
      </c>
      <c r="T104" s="27">
        <f>IF($A104="","",$P104*ComMec)</f>
        <v>0</v>
      </c>
      <c r="U104" s="21">
        <f>IF($A104="","",$R104-$S104-$T104-N($K104))</f>
        <v>0</v>
      </c>
      <c r="V104" s="31">
        <f>IF(OR($A104="",N($R104)&lt;=0),"",$U104/$R104)</f>
        <v>0</v>
      </c>
      <c r="W104" s="27">
        <f>IF($A104="","",IF(OR($I104="Finalizado",$I104="Entregue"),MAX(0,$R104-N($O104)),0))</f>
        <v>0</v>
      </c>
      <c r="X104" s="32">
        <f>IF(OR($A104="",$B104=""),"",IF(OR($I104="Entregue",$I104="Cancelada"),"",Hoje-$B104))</f>
        <v>0</v>
      </c>
      <c r="Y104" s="24">
        <f>IF($A104="","",IF(AND(OR($I104="Aprovado",$I104="Em execução",$I104="Aguardando peça"),N($X104)&gt;PrazoMax),"ATRASADA",IF(AND(OR($I104="Finalizado",$I104="Entregue"),$W104&gt;0.005),"Cobrar",IF($I104="Orçamento","Aguardando aprovação",""))))</f>
        <v>0</v>
      </c>
      <c r="Z104" s="33">
        <f>IF(AND($I104="Entregue",$M104&lt;&gt;""),DATE(YEAR($M104),MONTH($M104),1),"")</f>
        <v>0</v>
      </c>
      <c r="AA104" s="34">
        <f>IF(AND($C104&lt;&gt;"",$C104=HistPlaca),COUNTIF($C$5:$C104,HistPlaca),"")</f>
        <v>0</v>
      </c>
    </row>
    <row r="105" spans="1:27">
      <c r="A105" s="17"/>
      <c r="B105" s="25"/>
      <c r="C105" s="13"/>
      <c r="D105" s="26">
        <f>IF($C105="","",IFERROR(INDEX(VeicCli,MATCH($C105,VeicPlaca,0)),"Placa não cadastrada"))</f>
        <v>0</v>
      </c>
      <c r="E105" s="26">
        <f>IF($C105="","",IFERROR(INDEX(VeicModelo,MATCH($C105,VeicPlaca,0)),""))</f>
        <v>0</v>
      </c>
      <c r="F105" s="28"/>
      <c r="G105" s="13"/>
      <c r="H105" s="13"/>
      <c r="I105" s="13"/>
      <c r="J105" s="29"/>
      <c r="K105" s="19"/>
      <c r="L105" s="19"/>
      <c r="M105" s="25"/>
      <c r="N105" s="13"/>
      <c r="O105" s="19"/>
      <c r="P105" s="27">
        <f>IF($A105="","",N($J105)*ValorHora)</f>
        <v>0</v>
      </c>
      <c r="Q105" s="27">
        <f>IF($A105="","",SUMIFS(ItTotal,ItOS,$A105))</f>
        <v>0</v>
      </c>
      <c r="R105" s="30">
        <f>IF($A105="","",$P105+$Q105+N($K105)-N($L105))</f>
        <v>0</v>
      </c>
      <c r="S105" s="27">
        <f>IF($A105="","",SUMIFS(ItCusto,ItOS,$A105))</f>
        <v>0</v>
      </c>
      <c r="T105" s="27">
        <f>IF($A105="","",$P105*ComMec)</f>
        <v>0</v>
      </c>
      <c r="U105" s="21">
        <f>IF($A105="","",$R105-$S105-$T105-N($K105))</f>
        <v>0</v>
      </c>
      <c r="V105" s="31">
        <f>IF(OR($A105="",N($R105)&lt;=0),"",$U105/$R105)</f>
        <v>0</v>
      </c>
      <c r="W105" s="27">
        <f>IF($A105="","",IF(OR($I105="Finalizado",$I105="Entregue"),MAX(0,$R105-N($O105)),0))</f>
        <v>0</v>
      </c>
      <c r="X105" s="32">
        <f>IF(OR($A105="",$B105=""),"",IF(OR($I105="Entregue",$I105="Cancelada"),"",Hoje-$B105))</f>
        <v>0</v>
      </c>
      <c r="Y105" s="24">
        <f>IF($A105="","",IF(AND(OR($I105="Aprovado",$I105="Em execução",$I105="Aguardando peça"),N($X105)&gt;PrazoMax),"ATRASADA",IF(AND(OR($I105="Finalizado",$I105="Entregue"),$W105&gt;0.005),"Cobrar",IF($I105="Orçamento","Aguardando aprovação",""))))</f>
        <v>0</v>
      </c>
      <c r="Z105" s="33">
        <f>IF(AND($I105="Entregue",$M105&lt;&gt;""),DATE(YEAR($M105),MONTH($M105),1),"")</f>
        <v>0</v>
      </c>
      <c r="AA105" s="34">
        <f>IF(AND($C105&lt;&gt;"",$C105=HistPlaca),COUNTIF($C$5:$C105,HistPlaca),"")</f>
        <v>0</v>
      </c>
    </row>
    <row r="106" spans="1:27">
      <c r="A106" s="17"/>
      <c r="B106" s="25"/>
      <c r="C106" s="13"/>
      <c r="D106" s="26">
        <f>IF($C106="","",IFERROR(INDEX(VeicCli,MATCH($C106,VeicPlaca,0)),"Placa não cadastrada"))</f>
        <v>0</v>
      </c>
      <c r="E106" s="26">
        <f>IF($C106="","",IFERROR(INDEX(VeicModelo,MATCH($C106,VeicPlaca,0)),""))</f>
        <v>0</v>
      </c>
      <c r="F106" s="28"/>
      <c r="G106" s="13"/>
      <c r="H106" s="13"/>
      <c r="I106" s="13"/>
      <c r="J106" s="29"/>
      <c r="K106" s="19"/>
      <c r="L106" s="19"/>
      <c r="M106" s="25"/>
      <c r="N106" s="13"/>
      <c r="O106" s="19"/>
      <c r="P106" s="27">
        <f>IF($A106="","",N($J106)*ValorHora)</f>
        <v>0</v>
      </c>
      <c r="Q106" s="27">
        <f>IF($A106="","",SUMIFS(ItTotal,ItOS,$A106))</f>
        <v>0</v>
      </c>
      <c r="R106" s="30">
        <f>IF($A106="","",$P106+$Q106+N($K106)-N($L106))</f>
        <v>0</v>
      </c>
      <c r="S106" s="27">
        <f>IF($A106="","",SUMIFS(ItCusto,ItOS,$A106))</f>
        <v>0</v>
      </c>
      <c r="T106" s="27">
        <f>IF($A106="","",$P106*ComMec)</f>
        <v>0</v>
      </c>
      <c r="U106" s="21">
        <f>IF($A106="","",$R106-$S106-$T106-N($K106))</f>
        <v>0</v>
      </c>
      <c r="V106" s="31">
        <f>IF(OR($A106="",N($R106)&lt;=0),"",$U106/$R106)</f>
        <v>0</v>
      </c>
      <c r="W106" s="27">
        <f>IF($A106="","",IF(OR($I106="Finalizado",$I106="Entregue"),MAX(0,$R106-N($O106)),0))</f>
        <v>0</v>
      </c>
      <c r="X106" s="32">
        <f>IF(OR($A106="",$B106=""),"",IF(OR($I106="Entregue",$I106="Cancelada"),"",Hoje-$B106))</f>
        <v>0</v>
      </c>
      <c r="Y106" s="24">
        <f>IF($A106="","",IF(AND(OR($I106="Aprovado",$I106="Em execução",$I106="Aguardando peça"),N($X106)&gt;PrazoMax),"ATRASADA",IF(AND(OR($I106="Finalizado",$I106="Entregue"),$W106&gt;0.005),"Cobrar",IF($I106="Orçamento","Aguardando aprovação",""))))</f>
        <v>0</v>
      </c>
      <c r="Z106" s="33">
        <f>IF(AND($I106="Entregue",$M106&lt;&gt;""),DATE(YEAR($M106),MONTH($M106),1),"")</f>
        <v>0</v>
      </c>
      <c r="AA106" s="34">
        <f>IF(AND($C106&lt;&gt;"",$C106=HistPlaca),COUNTIF($C$5:$C106,HistPlaca),"")</f>
        <v>0</v>
      </c>
    </row>
    <row r="107" spans="1:27">
      <c r="A107" s="17"/>
      <c r="B107" s="25"/>
      <c r="C107" s="13"/>
      <c r="D107" s="26">
        <f>IF($C107="","",IFERROR(INDEX(VeicCli,MATCH($C107,VeicPlaca,0)),"Placa não cadastrada"))</f>
        <v>0</v>
      </c>
      <c r="E107" s="26">
        <f>IF($C107="","",IFERROR(INDEX(VeicModelo,MATCH($C107,VeicPlaca,0)),""))</f>
        <v>0</v>
      </c>
      <c r="F107" s="28"/>
      <c r="G107" s="13"/>
      <c r="H107" s="13"/>
      <c r="I107" s="13"/>
      <c r="J107" s="29"/>
      <c r="K107" s="19"/>
      <c r="L107" s="19"/>
      <c r="M107" s="25"/>
      <c r="N107" s="13"/>
      <c r="O107" s="19"/>
      <c r="P107" s="27">
        <f>IF($A107="","",N($J107)*ValorHora)</f>
        <v>0</v>
      </c>
      <c r="Q107" s="27">
        <f>IF($A107="","",SUMIFS(ItTotal,ItOS,$A107))</f>
        <v>0</v>
      </c>
      <c r="R107" s="30">
        <f>IF($A107="","",$P107+$Q107+N($K107)-N($L107))</f>
        <v>0</v>
      </c>
      <c r="S107" s="27">
        <f>IF($A107="","",SUMIFS(ItCusto,ItOS,$A107))</f>
        <v>0</v>
      </c>
      <c r="T107" s="27">
        <f>IF($A107="","",$P107*ComMec)</f>
        <v>0</v>
      </c>
      <c r="U107" s="21">
        <f>IF($A107="","",$R107-$S107-$T107-N($K107))</f>
        <v>0</v>
      </c>
      <c r="V107" s="31">
        <f>IF(OR($A107="",N($R107)&lt;=0),"",$U107/$R107)</f>
        <v>0</v>
      </c>
      <c r="W107" s="27">
        <f>IF($A107="","",IF(OR($I107="Finalizado",$I107="Entregue"),MAX(0,$R107-N($O107)),0))</f>
        <v>0</v>
      </c>
      <c r="X107" s="32">
        <f>IF(OR($A107="",$B107=""),"",IF(OR($I107="Entregue",$I107="Cancelada"),"",Hoje-$B107))</f>
        <v>0</v>
      </c>
      <c r="Y107" s="24">
        <f>IF($A107="","",IF(AND(OR($I107="Aprovado",$I107="Em execução",$I107="Aguardando peça"),N($X107)&gt;PrazoMax),"ATRASADA",IF(AND(OR($I107="Finalizado",$I107="Entregue"),$W107&gt;0.005),"Cobrar",IF($I107="Orçamento","Aguardando aprovação",""))))</f>
        <v>0</v>
      </c>
      <c r="Z107" s="33">
        <f>IF(AND($I107="Entregue",$M107&lt;&gt;""),DATE(YEAR($M107),MONTH($M107),1),"")</f>
        <v>0</v>
      </c>
      <c r="AA107" s="34">
        <f>IF(AND($C107&lt;&gt;"",$C107=HistPlaca),COUNTIF($C$5:$C107,HistPlaca),"")</f>
        <v>0</v>
      </c>
    </row>
    <row r="108" spans="1:27">
      <c r="A108" s="17"/>
      <c r="B108" s="25"/>
      <c r="C108" s="13"/>
      <c r="D108" s="26">
        <f>IF($C108="","",IFERROR(INDEX(VeicCli,MATCH($C108,VeicPlaca,0)),"Placa não cadastrada"))</f>
        <v>0</v>
      </c>
      <c r="E108" s="26">
        <f>IF($C108="","",IFERROR(INDEX(VeicModelo,MATCH($C108,VeicPlaca,0)),""))</f>
        <v>0</v>
      </c>
      <c r="F108" s="28"/>
      <c r="G108" s="13"/>
      <c r="H108" s="13"/>
      <c r="I108" s="13"/>
      <c r="J108" s="29"/>
      <c r="K108" s="19"/>
      <c r="L108" s="19"/>
      <c r="M108" s="25"/>
      <c r="N108" s="13"/>
      <c r="O108" s="19"/>
      <c r="P108" s="27">
        <f>IF($A108="","",N($J108)*ValorHora)</f>
        <v>0</v>
      </c>
      <c r="Q108" s="27">
        <f>IF($A108="","",SUMIFS(ItTotal,ItOS,$A108))</f>
        <v>0</v>
      </c>
      <c r="R108" s="30">
        <f>IF($A108="","",$P108+$Q108+N($K108)-N($L108))</f>
        <v>0</v>
      </c>
      <c r="S108" s="27">
        <f>IF($A108="","",SUMIFS(ItCusto,ItOS,$A108))</f>
        <v>0</v>
      </c>
      <c r="T108" s="27">
        <f>IF($A108="","",$P108*ComMec)</f>
        <v>0</v>
      </c>
      <c r="U108" s="21">
        <f>IF($A108="","",$R108-$S108-$T108-N($K108))</f>
        <v>0</v>
      </c>
      <c r="V108" s="31">
        <f>IF(OR($A108="",N($R108)&lt;=0),"",$U108/$R108)</f>
        <v>0</v>
      </c>
      <c r="W108" s="27">
        <f>IF($A108="","",IF(OR($I108="Finalizado",$I108="Entregue"),MAX(0,$R108-N($O108)),0))</f>
        <v>0</v>
      </c>
      <c r="X108" s="32">
        <f>IF(OR($A108="",$B108=""),"",IF(OR($I108="Entregue",$I108="Cancelada"),"",Hoje-$B108))</f>
        <v>0</v>
      </c>
      <c r="Y108" s="24">
        <f>IF($A108="","",IF(AND(OR($I108="Aprovado",$I108="Em execução",$I108="Aguardando peça"),N($X108)&gt;PrazoMax),"ATRASADA",IF(AND(OR($I108="Finalizado",$I108="Entregue"),$W108&gt;0.005),"Cobrar",IF($I108="Orçamento","Aguardando aprovação",""))))</f>
        <v>0</v>
      </c>
      <c r="Z108" s="33">
        <f>IF(AND($I108="Entregue",$M108&lt;&gt;""),DATE(YEAR($M108),MONTH($M108),1),"")</f>
        <v>0</v>
      </c>
      <c r="AA108" s="34">
        <f>IF(AND($C108&lt;&gt;"",$C108=HistPlaca),COUNTIF($C$5:$C108,HistPlaca),"")</f>
        <v>0</v>
      </c>
    </row>
    <row r="109" spans="1:27">
      <c r="A109" s="17"/>
      <c r="B109" s="25"/>
      <c r="C109" s="13"/>
      <c r="D109" s="26">
        <f>IF($C109="","",IFERROR(INDEX(VeicCli,MATCH($C109,VeicPlaca,0)),"Placa não cadastrada"))</f>
        <v>0</v>
      </c>
      <c r="E109" s="26">
        <f>IF($C109="","",IFERROR(INDEX(VeicModelo,MATCH($C109,VeicPlaca,0)),""))</f>
        <v>0</v>
      </c>
      <c r="F109" s="28"/>
      <c r="G109" s="13"/>
      <c r="H109" s="13"/>
      <c r="I109" s="13"/>
      <c r="J109" s="29"/>
      <c r="K109" s="19"/>
      <c r="L109" s="19"/>
      <c r="M109" s="25"/>
      <c r="N109" s="13"/>
      <c r="O109" s="19"/>
      <c r="P109" s="27">
        <f>IF($A109="","",N($J109)*ValorHora)</f>
        <v>0</v>
      </c>
      <c r="Q109" s="27">
        <f>IF($A109="","",SUMIFS(ItTotal,ItOS,$A109))</f>
        <v>0</v>
      </c>
      <c r="R109" s="30">
        <f>IF($A109="","",$P109+$Q109+N($K109)-N($L109))</f>
        <v>0</v>
      </c>
      <c r="S109" s="27">
        <f>IF($A109="","",SUMIFS(ItCusto,ItOS,$A109))</f>
        <v>0</v>
      </c>
      <c r="T109" s="27">
        <f>IF($A109="","",$P109*ComMec)</f>
        <v>0</v>
      </c>
      <c r="U109" s="21">
        <f>IF($A109="","",$R109-$S109-$T109-N($K109))</f>
        <v>0</v>
      </c>
      <c r="V109" s="31">
        <f>IF(OR($A109="",N($R109)&lt;=0),"",$U109/$R109)</f>
        <v>0</v>
      </c>
      <c r="W109" s="27">
        <f>IF($A109="","",IF(OR($I109="Finalizado",$I109="Entregue"),MAX(0,$R109-N($O109)),0))</f>
        <v>0</v>
      </c>
      <c r="X109" s="32">
        <f>IF(OR($A109="",$B109=""),"",IF(OR($I109="Entregue",$I109="Cancelada"),"",Hoje-$B109))</f>
        <v>0</v>
      </c>
      <c r="Y109" s="24">
        <f>IF($A109="","",IF(AND(OR($I109="Aprovado",$I109="Em execução",$I109="Aguardando peça"),N($X109)&gt;PrazoMax),"ATRASADA",IF(AND(OR($I109="Finalizado",$I109="Entregue"),$W109&gt;0.005),"Cobrar",IF($I109="Orçamento","Aguardando aprovação",""))))</f>
        <v>0</v>
      </c>
      <c r="Z109" s="33">
        <f>IF(AND($I109="Entregue",$M109&lt;&gt;""),DATE(YEAR($M109),MONTH($M109),1),"")</f>
        <v>0</v>
      </c>
      <c r="AA109" s="34">
        <f>IF(AND($C109&lt;&gt;"",$C109=HistPlaca),COUNTIF($C$5:$C109,HistPlaca),"")</f>
        <v>0</v>
      </c>
    </row>
    <row r="110" spans="1:27">
      <c r="A110" s="17"/>
      <c r="B110" s="25"/>
      <c r="C110" s="13"/>
      <c r="D110" s="26">
        <f>IF($C110="","",IFERROR(INDEX(VeicCli,MATCH($C110,VeicPlaca,0)),"Placa não cadastrada"))</f>
        <v>0</v>
      </c>
      <c r="E110" s="26">
        <f>IF($C110="","",IFERROR(INDEX(VeicModelo,MATCH($C110,VeicPlaca,0)),""))</f>
        <v>0</v>
      </c>
      <c r="F110" s="28"/>
      <c r="G110" s="13"/>
      <c r="H110" s="13"/>
      <c r="I110" s="13"/>
      <c r="J110" s="29"/>
      <c r="K110" s="19"/>
      <c r="L110" s="19"/>
      <c r="M110" s="25"/>
      <c r="N110" s="13"/>
      <c r="O110" s="19"/>
      <c r="P110" s="27">
        <f>IF($A110="","",N($J110)*ValorHora)</f>
        <v>0</v>
      </c>
      <c r="Q110" s="27">
        <f>IF($A110="","",SUMIFS(ItTotal,ItOS,$A110))</f>
        <v>0</v>
      </c>
      <c r="R110" s="30">
        <f>IF($A110="","",$P110+$Q110+N($K110)-N($L110))</f>
        <v>0</v>
      </c>
      <c r="S110" s="27">
        <f>IF($A110="","",SUMIFS(ItCusto,ItOS,$A110))</f>
        <v>0</v>
      </c>
      <c r="T110" s="27">
        <f>IF($A110="","",$P110*ComMec)</f>
        <v>0</v>
      </c>
      <c r="U110" s="21">
        <f>IF($A110="","",$R110-$S110-$T110-N($K110))</f>
        <v>0</v>
      </c>
      <c r="V110" s="31">
        <f>IF(OR($A110="",N($R110)&lt;=0),"",$U110/$R110)</f>
        <v>0</v>
      </c>
      <c r="W110" s="27">
        <f>IF($A110="","",IF(OR($I110="Finalizado",$I110="Entregue"),MAX(0,$R110-N($O110)),0))</f>
        <v>0</v>
      </c>
      <c r="X110" s="32">
        <f>IF(OR($A110="",$B110=""),"",IF(OR($I110="Entregue",$I110="Cancelada"),"",Hoje-$B110))</f>
        <v>0</v>
      </c>
      <c r="Y110" s="24">
        <f>IF($A110="","",IF(AND(OR($I110="Aprovado",$I110="Em execução",$I110="Aguardando peça"),N($X110)&gt;PrazoMax),"ATRASADA",IF(AND(OR($I110="Finalizado",$I110="Entregue"),$W110&gt;0.005),"Cobrar",IF($I110="Orçamento","Aguardando aprovação",""))))</f>
        <v>0</v>
      </c>
      <c r="Z110" s="33">
        <f>IF(AND($I110="Entregue",$M110&lt;&gt;""),DATE(YEAR($M110),MONTH($M110),1),"")</f>
        <v>0</v>
      </c>
      <c r="AA110" s="34">
        <f>IF(AND($C110&lt;&gt;"",$C110=HistPlaca),COUNTIF($C$5:$C110,HistPlaca),"")</f>
        <v>0</v>
      </c>
    </row>
    <row r="111" spans="1:27">
      <c r="A111" s="17"/>
      <c r="B111" s="25"/>
      <c r="C111" s="13"/>
      <c r="D111" s="26">
        <f>IF($C111="","",IFERROR(INDEX(VeicCli,MATCH($C111,VeicPlaca,0)),"Placa não cadastrada"))</f>
        <v>0</v>
      </c>
      <c r="E111" s="26">
        <f>IF($C111="","",IFERROR(INDEX(VeicModelo,MATCH($C111,VeicPlaca,0)),""))</f>
        <v>0</v>
      </c>
      <c r="F111" s="28"/>
      <c r="G111" s="13"/>
      <c r="H111" s="13"/>
      <c r="I111" s="13"/>
      <c r="J111" s="29"/>
      <c r="K111" s="19"/>
      <c r="L111" s="19"/>
      <c r="M111" s="25"/>
      <c r="N111" s="13"/>
      <c r="O111" s="19"/>
      <c r="P111" s="27">
        <f>IF($A111="","",N($J111)*ValorHora)</f>
        <v>0</v>
      </c>
      <c r="Q111" s="27">
        <f>IF($A111="","",SUMIFS(ItTotal,ItOS,$A111))</f>
        <v>0</v>
      </c>
      <c r="R111" s="30">
        <f>IF($A111="","",$P111+$Q111+N($K111)-N($L111))</f>
        <v>0</v>
      </c>
      <c r="S111" s="27">
        <f>IF($A111="","",SUMIFS(ItCusto,ItOS,$A111))</f>
        <v>0</v>
      </c>
      <c r="T111" s="27">
        <f>IF($A111="","",$P111*ComMec)</f>
        <v>0</v>
      </c>
      <c r="U111" s="21">
        <f>IF($A111="","",$R111-$S111-$T111-N($K111))</f>
        <v>0</v>
      </c>
      <c r="V111" s="31">
        <f>IF(OR($A111="",N($R111)&lt;=0),"",$U111/$R111)</f>
        <v>0</v>
      </c>
      <c r="W111" s="27">
        <f>IF($A111="","",IF(OR($I111="Finalizado",$I111="Entregue"),MAX(0,$R111-N($O111)),0))</f>
        <v>0</v>
      </c>
      <c r="X111" s="32">
        <f>IF(OR($A111="",$B111=""),"",IF(OR($I111="Entregue",$I111="Cancelada"),"",Hoje-$B111))</f>
        <v>0</v>
      </c>
      <c r="Y111" s="24">
        <f>IF($A111="","",IF(AND(OR($I111="Aprovado",$I111="Em execução",$I111="Aguardando peça"),N($X111)&gt;PrazoMax),"ATRASADA",IF(AND(OR($I111="Finalizado",$I111="Entregue"),$W111&gt;0.005),"Cobrar",IF($I111="Orçamento","Aguardando aprovação",""))))</f>
        <v>0</v>
      </c>
      <c r="Z111" s="33">
        <f>IF(AND($I111="Entregue",$M111&lt;&gt;""),DATE(YEAR($M111),MONTH($M111),1),"")</f>
        <v>0</v>
      </c>
      <c r="AA111" s="34">
        <f>IF(AND($C111&lt;&gt;"",$C111=HistPlaca),COUNTIF($C$5:$C111,HistPlaca),"")</f>
        <v>0</v>
      </c>
    </row>
    <row r="112" spans="1:27">
      <c r="A112" s="17"/>
      <c r="B112" s="25"/>
      <c r="C112" s="13"/>
      <c r="D112" s="26">
        <f>IF($C112="","",IFERROR(INDEX(VeicCli,MATCH($C112,VeicPlaca,0)),"Placa não cadastrada"))</f>
        <v>0</v>
      </c>
      <c r="E112" s="26">
        <f>IF($C112="","",IFERROR(INDEX(VeicModelo,MATCH($C112,VeicPlaca,0)),""))</f>
        <v>0</v>
      </c>
      <c r="F112" s="28"/>
      <c r="G112" s="13"/>
      <c r="H112" s="13"/>
      <c r="I112" s="13"/>
      <c r="J112" s="29"/>
      <c r="K112" s="19"/>
      <c r="L112" s="19"/>
      <c r="M112" s="25"/>
      <c r="N112" s="13"/>
      <c r="O112" s="19"/>
      <c r="P112" s="27">
        <f>IF($A112="","",N($J112)*ValorHora)</f>
        <v>0</v>
      </c>
      <c r="Q112" s="27">
        <f>IF($A112="","",SUMIFS(ItTotal,ItOS,$A112))</f>
        <v>0</v>
      </c>
      <c r="R112" s="30">
        <f>IF($A112="","",$P112+$Q112+N($K112)-N($L112))</f>
        <v>0</v>
      </c>
      <c r="S112" s="27">
        <f>IF($A112="","",SUMIFS(ItCusto,ItOS,$A112))</f>
        <v>0</v>
      </c>
      <c r="T112" s="27">
        <f>IF($A112="","",$P112*ComMec)</f>
        <v>0</v>
      </c>
      <c r="U112" s="21">
        <f>IF($A112="","",$R112-$S112-$T112-N($K112))</f>
        <v>0</v>
      </c>
      <c r="V112" s="31">
        <f>IF(OR($A112="",N($R112)&lt;=0),"",$U112/$R112)</f>
        <v>0</v>
      </c>
      <c r="W112" s="27">
        <f>IF($A112="","",IF(OR($I112="Finalizado",$I112="Entregue"),MAX(0,$R112-N($O112)),0))</f>
        <v>0</v>
      </c>
      <c r="X112" s="32">
        <f>IF(OR($A112="",$B112=""),"",IF(OR($I112="Entregue",$I112="Cancelada"),"",Hoje-$B112))</f>
        <v>0</v>
      </c>
      <c r="Y112" s="24">
        <f>IF($A112="","",IF(AND(OR($I112="Aprovado",$I112="Em execução",$I112="Aguardando peça"),N($X112)&gt;PrazoMax),"ATRASADA",IF(AND(OR($I112="Finalizado",$I112="Entregue"),$W112&gt;0.005),"Cobrar",IF($I112="Orçamento","Aguardando aprovação",""))))</f>
        <v>0</v>
      </c>
      <c r="Z112" s="33">
        <f>IF(AND($I112="Entregue",$M112&lt;&gt;""),DATE(YEAR($M112),MONTH($M112),1),"")</f>
        <v>0</v>
      </c>
      <c r="AA112" s="34">
        <f>IF(AND($C112&lt;&gt;"",$C112=HistPlaca),COUNTIF($C$5:$C112,HistPlaca),"")</f>
        <v>0</v>
      </c>
    </row>
    <row r="113" spans="1:27">
      <c r="A113" s="17"/>
      <c r="B113" s="25"/>
      <c r="C113" s="13"/>
      <c r="D113" s="26">
        <f>IF($C113="","",IFERROR(INDEX(VeicCli,MATCH($C113,VeicPlaca,0)),"Placa não cadastrada"))</f>
        <v>0</v>
      </c>
      <c r="E113" s="26">
        <f>IF($C113="","",IFERROR(INDEX(VeicModelo,MATCH($C113,VeicPlaca,0)),""))</f>
        <v>0</v>
      </c>
      <c r="F113" s="28"/>
      <c r="G113" s="13"/>
      <c r="H113" s="13"/>
      <c r="I113" s="13"/>
      <c r="J113" s="29"/>
      <c r="K113" s="19"/>
      <c r="L113" s="19"/>
      <c r="M113" s="25"/>
      <c r="N113" s="13"/>
      <c r="O113" s="19"/>
      <c r="P113" s="27">
        <f>IF($A113="","",N($J113)*ValorHora)</f>
        <v>0</v>
      </c>
      <c r="Q113" s="27">
        <f>IF($A113="","",SUMIFS(ItTotal,ItOS,$A113))</f>
        <v>0</v>
      </c>
      <c r="R113" s="30">
        <f>IF($A113="","",$P113+$Q113+N($K113)-N($L113))</f>
        <v>0</v>
      </c>
      <c r="S113" s="27">
        <f>IF($A113="","",SUMIFS(ItCusto,ItOS,$A113))</f>
        <v>0</v>
      </c>
      <c r="T113" s="27">
        <f>IF($A113="","",$P113*ComMec)</f>
        <v>0</v>
      </c>
      <c r="U113" s="21">
        <f>IF($A113="","",$R113-$S113-$T113-N($K113))</f>
        <v>0</v>
      </c>
      <c r="V113" s="31">
        <f>IF(OR($A113="",N($R113)&lt;=0),"",$U113/$R113)</f>
        <v>0</v>
      </c>
      <c r="W113" s="27">
        <f>IF($A113="","",IF(OR($I113="Finalizado",$I113="Entregue"),MAX(0,$R113-N($O113)),0))</f>
        <v>0</v>
      </c>
      <c r="X113" s="32">
        <f>IF(OR($A113="",$B113=""),"",IF(OR($I113="Entregue",$I113="Cancelada"),"",Hoje-$B113))</f>
        <v>0</v>
      </c>
      <c r="Y113" s="24">
        <f>IF($A113="","",IF(AND(OR($I113="Aprovado",$I113="Em execução",$I113="Aguardando peça"),N($X113)&gt;PrazoMax),"ATRASADA",IF(AND(OR($I113="Finalizado",$I113="Entregue"),$W113&gt;0.005),"Cobrar",IF($I113="Orçamento","Aguardando aprovação",""))))</f>
        <v>0</v>
      </c>
      <c r="Z113" s="33">
        <f>IF(AND($I113="Entregue",$M113&lt;&gt;""),DATE(YEAR($M113),MONTH($M113),1),"")</f>
        <v>0</v>
      </c>
      <c r="AA113" s="34">
        <f>IF(AND($C113&lt;&gt;"",$C113=HistPlaca),COUNTIF($C$5:$C113,HistPlaca),"")</f>
        <v>0</v>
      </c>
    </row>
    <row r="114" spans="1:27">
      <c r="A114" s="17"/>
      <c r="B114" s="25"/>
      <c r="C114" s="13"/>
      <c r="D114" s="26">
        <f>IF($C114="","",IFERROR(INDEX(VeicCli,MATCH($C114,VeicPlaca,0)),"Placa não cadastrada"))</f>
        <v>0</v>
      </c>
      <c r="E114" s="26">
        <f>IF($C114="","",IFERROR(INDEX(VeicModelo,MATCH($C114,VeicPlaca,0)),""))</f>
        <v>0</v>
      </c>
      <c r="F114" s="28"/>
      <c r="G114" s="13"/>
      <c r="H114" s="13"/>
      <c r="I114" s="13"/>
      <c r="J114" s="29"/>
      <c r="K114" s="19"/>
      <c r="L114" s="19"/>
      <c r="M114" s="25"/>
      <c r="N114" s="13"/>
      <c r="O114" s="19"/>
      <c r="P114" s="27">
        <f>IF($A114="","",N($J114)*ValorHora)</f>
        <v>0</v>
      </c>
      <c r="Q114" s="27">
        <f>IF($A114="","",SUMIFS(ItTotal,ItOS,$A114))</f>
        <v>0</v>
      </c>
      <c r="R114" s="30">
        <f>IF($A114="","",$P114+$Q114+N($K114)-N($L114))</f>
        <v>0</v>
      </c>
      <c r="S114" s="27">
        <f>IF($A114="","",SUMIFS(ItCusto,ItOS,$A114))</f>
        <v>0</v>
      </c>
      <c r="T114" s="27">
        <f>IF($A114="","",$P114*ComMec)</f>
        <v>0</v>
      </c>
      <c r="U114" s="21">
        <f>IF($A114="","",$R114-$S114-$T114-N($K114))</f>
        <v>0</v>
      </c>
      <c r="V114" s="31">
        <f>IF(OR($A114="",N($R114)&lt;=0),"",$U114/$R114)</f>
        <v>0</v>
      </c>
      <c r="W114" s="27">
        <f>IF($A114="","",IF(OR($I114="Finalizado",$I114="Entregue"),MAX(0,$R114-N($O114)),0))</f>
        <v>0</v>
      </c>
      <c r="X114" s="32">
        <f>IF(OR($A114="",$B114=""),"",IF(OR($I114="Entregue",$I114="Cancelada"),"",Hoje-$B114))</f>
        <v>0</v>
      </c>
      <c r="Y114" s="24">
        <f>IF($A114="","",IF(AND(OR($I114="Aprovado",$I114="Em execução",$I114="Aguardando peça"),N($X114)&gt;PrazoMax),"ATRASADA",IF(AND(OR($I114="Finalizado",$I114="Entregue"),$W114&gt;0.005),"Cobrar",IF($I114="Orçamento","Aguardando aprovação",""))))</f>
        <v>0</v>
      </c>
      <c r="Z114" s="33">
        <f>IF(AND($I114="Entregue",$M114&lt;&gt;""),DATE(YEAR($M114),MONTH($M114),1),"")</f>
        <v>0</v>
      </c>
      <c r="AA114" s="34">
        <f>IF(AND($C114&lt;&gt;"",$C114=HistPlaca),COUNTIF($C$5:$C114,HistPlaca),"")</f>
        <v>0</v>
      </c>
    </row>
    <row r="115" spans="1:27">
      <c r="A115" s="17"/>
      <c r="B115" s="25"/>
      <c r="C115" s="13"/>
      <c r="D115" s="26">
        <f>IF($C115="","",IFERROR(INDEX(VeicCli,MATCH($C115,VeicPlaca,0)),"Placa não cadastrada"))</f>
        <v>0</v>
      </c>
      <c r="E115" s="26">
        <f>IF($C115="","",IFERROR(INDEX(VeicModelo,MATCH($C115,VeicPlaca,0)),""))</f>
        <v>0</v>
      </c>
      <c r="F115" s="28"/>
      <c r="G115" s="13"/>
      <c r="H115" s="13"/>
      <c r="I115" s="13"/>
      <c r="J115" s="29"/>
      <c r="K115" s="19"/>
      <c r="L115" s="19"/>
      <c r="M115" s="25"/>
      <c r="N115" s="13"/>
      <c r="O115" s="19"/>
      <c r="P115" s="27">
        <f>IF($A115="","",N($J115)*ValorHora)</f>
        <v>0</v>
      </c>
      <c r="Q115" s="27">
        <f>IF($A115="","",SUMIFS(ItTotal,ItOS,$A115))</f>
        <v>0</v>
      </c>
      <c r="R115" s="30">
        <f>IF($A115="","",$P115+$Q115+N($K115)-N($L115))</f>
        <v>0</v>
      </c>
      <c r="S115" s="27">
        <f>IF($A115="","",SUMIFS(ItCusto,ItOS,$A115))</f>
        <v>0</v>
      </c>
      <c r="T115" s="27">
        <f>IF($A115="","",$P115*ComMec)</f>
        <v>0</v>
      </c>
      <c r="U115" s="21">
        <f>IF($A115="","",$R115-$S115-$T115-N($K115))</f>
        <v>0</v>
      </c>
      <c r="V115" s="31">
        <f>IF(OR($A115="",N($R115)&lt;=0),"",$U115/$R115)</f>
        <v>0</v>
      </c>
      <c r="W115" s="27">
        <f>IF($A115="","",IF(OR($I115="Finalizado",$I115="Entregue"),MAX(0,$R115-N($O115)),0))</f>
        <v>0</v>
      </c>
      <c r="X115" s="32">
        <f>IF(OR($A115="",$B115=""),"",IF(OR($I115="Entregue",$I115="Cancelada"),"",Hoje-$B115))</f>
        <v>0</v>
      </c>
      <c r="Y115" s="24">
        <f>IF($A115="","",IF(AND(OR($I115="Aprovado",$I115="Em execução",$I115="Aguardando peça"),N($X115)&gt;PrazoMax),"ATRASADA",IF(AND(OR($I115="Finalizado",$I115="Entregue"),$W115&gt;0.005),"Cobrar",IF($I115="Orçamento","Aguardando aprovação",""))))</f>
        <v>0</v>
      </c>
      <c r="Z115" s="33">
        <f>IF(AND($I115="Entregue",$M115&lt;&gt;""),DATE(YEAR($M115),MONTH($M115),1),"")</f>
        <v>0</v>
      </c>
      <c r="AA115" s="34">
        <f>IF(AND($C115&lt;&gt;"",$C115=HistPlaca),COUNTIF($C$5:$C115,HistPlaca),"")</f>
        <v>0</v>
      </c>
    </row>
    <row r="116" spans="1:27">
      <c r="A116" s="17"/>
      <c r="B116" s="25"/>
      <c r="C116" s="13"/>
      <c r="D116" s="26">
        <f>IF($C116="","",IFERROR(INDEX(VeicCli,MATCH($C116,VeicPlaca,0)),"Placa não cadastrada"))</f>
        <v>0</v>
      </c>
      <c r="E116" s="26">
        <f>IF($C116="","",IFERROR(INDEX(VeicModelo,MATCH($C116,VeicPlaca,0)),""))</f>
        <v>0</v>
      </c>
      <c r="F116" s="28"/>
      <c r="G116" s="13"/>
      <c r="H116" s="13"/>
      <c r="I116" s="13"/>
      <c r="J116" s="29"/>
      <c r="K116" s="19"/>
      <c r="L116" s="19"/>
      <c r="M116" s="25"/>
      <c r="N116" s="13"/>
      <c r="O116" s="19"/>
      <c r="P116" s="27">
        <f>IF($A116="","",N($J116)*ValorHora)</f>
        <v>0</v>
      </c>
      <c r="Q116" s="27">
        <f>IF($A116="","",SUMIFS(ItTotal,ItOS,$A116))</f>
        <v>0</v>
      </c>
      <c r="R116" s="30">
        <f>IF($A116="","",$P116+$Q116+N($K116)-N($L116))</f>
        <v>0</v>
      </c>
      <c r="S116" s="27">
        <f>IF($A116="","",SUMIFS(ItCusto,ItOS,$A116))</f>
        <v>0</v>
      </c>
      <c r="T116" s="27">
        <f>IF($A116="","",$P116*ComMec)</f>
        <v>0</v>
      </c>
      <c r="U116" s="21">
        <f>IF($A116="","",$R116-$S116-$T116-N($K116))</f>
        <v>0</v>
      </c>
      <c r="V116" s="31">
        <f>IF(OR($A116="",N($R116)&lt;=0),"",$U116/$R116)</f>
        <v>0</v>
      </c>
      <c r="W116" s="27">
        <f>IF($A116="","",IF(OR($I116="Finalizado",$I116="Entregue"),MAX(0,$R116-N($O116)),0))</f>
        <v>0</v>
      </c>
      <c r="X116" s="32">
        <f>IF(OR($A116="",$B116=""),"",IF(OR($I116="Entregue",$I116="Cancelada"),"",Hoje-$B116))</f>
        <v>0</v>
      </c>
      <c r="Y116" s="24">
        <f>IF($A116="","",IF(AND(OR($I116="Aprovado",$I116="Em execução",$I116="Aguardando peça"),N($X116)&gt;PrazoMax),"ATRASADA",IF(AND(OR($I116="Finalizado",$I116="Entregue"),$W116&gt;0.005),"Cobrar",IF($I116="Orçamento","Aguardando aprovação",""))))</f>
        <v>0</v>
      </c>
      <c r="Z116" s="33">
        <f>IF(AND($I116="Entregue",$M116&lt;&gt;""),DATE(YEAR($M116),MONTH($M116),1),"")</f>
        <v>0</v>
      </c>
      <c r="AA116" s="34">
        <f>IF(AND($C116&lt;&gt;"",$C116=HistPlaca),COUNTIF($C$5:$C116,HistPlaca),"")</f>
        <v>0</v>
      </c>
    </row>
    <row r="117" spans="1:27">
      <c r="A117" s="17"/>
      <c r="B117" s="25"/>
      <c r="C117" s="13"/>
      <c r="D117" s="26">
        <f>IF($C117="","",IFERROR(INDEX(VeicCli,MATCH($C117,VeicPlaca,0)),"Placa não cadastrada"))</f>
        <v>0</v>
      </c>
      <c r="E117" s="26">
        <f>IF($C117="","",IFERROR(INDEX(VeicModelo,MATCH($C117,VeicPlaca,0)),""))</f>
        <v>0</v>
      </c>
      <c r="F117" s="28"/>
      <c r="G117" s="13"/>
      <c r="H117" s="13"/>
      <c r="I117" s="13"/>
      <c r="J117" s="29"/>
      <c r="K117" s="19"/>
      <c r="L117" s="19"/>
      <c r="M117" s="25"/>
      <c r="N117" s="13"/>
      <c r="O117" s="19"/>
      <c r="P117" s="27">
        <f>IF($A117="","",N($J117)*ValorHora)</f>
        <v>0</v>
      </c>
      <c r="Q117" s="27">
        <f>IF($A117="","",SUMIFS(ItTotal,ItOS,$A117))</f>
        <v>0</v>
      </c>
      <c r="R117" s="30">
        <f>IF($A117="","",$P117+$Q117+N($K117)-N($L117))</f>
        <v>0</v>
      </c>
      <c r="S117" s="27">
        <f>IF($A117="","",SUMIFS(ItCusto,ItOS,$A117))</f>
        <v>0</v>
      </c>
      <c r="T117" s="27">
        <f>IF($A117="","",$P117*ComMec)</f>
        <v>0</v>
      </c>
      <c r="U117" s="21">
        <f>IF($A117="","",$R117-$S117-$T117-N($K117))</f>
        <v>0</v>
      </c>
      <c r="V117" s="31">
        <f>IF(OR($A117="",N($R117)&lt;=0),"",$U117/$R117)</f>
        <v>0</v>
      </c>
      <c r="W117" s="27">
        <f>IF($A117="","",IF(OR($I117="Finalizado",$I117="Entregue"),MAX(0,$R117-N($O117)),0))</f>
        <v>0</v>
      </c>
      <c r="X117" s="32">
        <f>IF(OR($A117="",$B117=""),"",IF(OR($I117="Entregue",$I117="Cancelada"),"",Hoje-$B117))</f>
        <v>0</v>
      </c>
      <c r="Y117" s="24">
        <f>IF($A117="","",IF(AND(OR($I117="Aprovado",$I117="Em execução",$I117="Aguardando peça"),N($X117)&gt;PrazoMax),"ATRASADA",IF(AND(OR($I117="Finalizado",$I117="Entregue"),$W117&gt;0.005),"Cobrar",IF($I117="Orçamento","Aguardando aprovação",""))))</f>
        <v>0</v>
      </c>
      <c r="Z117" s="33">
        <f>IF(AND($I117="Entregue",$M117&lt;&gt;""),DATE(YEAR($M117),MONTH($M117),1),"")</f>
        <v>0</v>
      </c>
      <c r="AA117" s="34">
        <f>IF(AND($C117&lt;&gt;"",$C117=HistPlaca),COUNTIF($C$5:$C117,HistPlaca),"")</f>
        <v>0</v>
      </c>
    </row>
    <row r="118" spans="1:27">
      <c r="A118" s="17"/>
      <c r="B118" s="25"/>
      <c r="C118" s="13"/>
      <c r="D118" s="26">
        <f>IF($C118="","",IFERROR(INDEX(VeicCli,MATCH($C118,VeicPlaca,0)),"Placa não cadastrada"))</f>
        <v>0</v>
      </c>
      <c r="E118" s="26">
        <f>IF($C118="","",IFERROR(INDEX(VeicModelo,MATCH($C118,VeicPlaca,0)),""))</f>
        <v>0</v>
      </c>
      <c r="F118" s="28"/>
      <c r="G118" s="13"/>
      <c r="H118" s="13"/>
      <c r="I118" s="13"/>
      <c r="J118" s="29"/>
      <c r="K118" s="19"/>
      <c r="L118" s="19"/>
      <c r="M118" s="25"/>
      <c r="N118" s="13"/>
      <c r="O118" s="19"/>
      <c r="P118" s="27">
        <f>IF($A118="","",N($J118)*ValorHora)</f>
        <v>0</v>
      </c>
      <c r="Q118" s="27">
        <f>IF($A118="","",SUMIFS(ItTotal,ItOS,$A118))</f>
        <v>0</v>
      </c>
      <c r="R118" s="30">
        <f>IF($A118="","",$P118+$Q118+N($K118)-N($L118))</f>
        <v>0</v>
      </c>
      <c r="S118" s="27">
        <f>IF($A118="","",SUMIFS(ItCusto,ItOS,$A118))</f>
        <v>0</v>
      </c>
      <c r="T118" s="27">
        <f>IF($A118="","",$P118*ComMec)</f>
        <v>0</v>
      </c>
      <c r="U118" s="21">
        <f>IF($A118="","",$R118-$S118-$T118-N($K118))</f>
        <v>0</v>
      </c>
      <c r="V118" s="31">
        <f>IF(OR($A118="",N($R118)&lt;=0),"",$U118/$R118)</f>
        <v>0</v>
      </c>
      <c r="W118" s="27">
        <f>IF($A118="","",IF(OR($I118="Finalizado",$I118="Entregue"),MAX(0,$R118-N($O118)),0))</f>
        <v>0</v>
      </c>
      <c r="X118" s="32">
        <f>IF(OR($A118="",$B118=""),"",IF(OR($I118="Entregue",$I118="Cancelada"),"",Hoje-$B118))</f>
        <v>0</v>
      </c>
      <c r="Y118" s="24">
        <f>IF($A118="","",IF(AND(OR($I118="Aprovado",$I118="Em execução",$I118="Aguardando peça"),N($X118)&gt;PrazoMax),"ATRASADA",IF(AND(OR($I118="Finalizado",$I118="Entregue"),$W118&gt;0.005),"Cobrar",IF($I118="Orçamento","Aguardando aprovação",""))))</f>
        <v>0</v>
      </c>
      <c r="Z118" s="33">
        <f>IF(AND($I118="Entregue",$M118&lt;&gt;""),DATE(YEAR($M118),MONTH($M118),1),"")</f>
        <v>0</v>
      </c>
      <c r="AA118" s="34">
        <f>IF(AND($C118&lt;&gt;"",$C118=HistPlaca),COUNTIF($C$5:$C118,HistPlaca),"")</f>
        <v>0</v>
      </c>
    </row>
    <row r="119" spans="1:27">
      <c r="A119" s="17"/>
      <c r="B119" s="25"/>
      <c r="C119" s="13"/>
      <c r="D119" s="26">
        <f>IF($C119="","",IFERROR(INDEX(VeicCli,MATCH($C119,VeicPlaca,0)),"Placa não cadastrada"))</f>
        <v>0</v>
      </c>
      <c r="E119" s="26">
        <f>IF($C119="","",IFERROR(INDEX(VeicModelo,MATCH($C119,VeicPlaca,0)),""))</f>
        <v>0</v>
      </c>
      <c r="F119" s="28"/>
      <c r="G119" s="13"/>
      <c r="H119" s="13"/>
      <c r="I119" s="13"/>
      <c r="J119" s="29"/>
      <c r="K119" s="19"/>
      <c r="L119" s="19"/>
      <c r="M119" s="25"/>
      <c r="N119" s="13"/>
      <c r="O119" s="19"/>
      <c r="P119" s="27">
        <f>IF($A119="","",N($J119)*ValorHora)</f>
        <v>0</v>
      </c>
      <c r="Q119" s="27">
        <f>IF($A119="","",SUMIFS(ItTotal,ItOS,$A119))</f>
        <v>0</v>
      </c>
      <c r="R119" s="30">
        <f>IF($A119="","",$P119+$Q119+N($K119)-N($L119))</f>
        <v>0</v>
      </c>
      <c r="S119" s="27">
        <f>IF($A119="","",SUMIFS(ItCusto,ItOS,$A119))</f>
        <v>0</v>
      </c>
      <c r="T119" s="27">
        <f>IF($A119="","",$P119*ComMec)</f>
        <v>0</v>
      </c>
      <c r="U119" s="21">
        <f>IF($A119="","",$R119-$S119-$T119-N($K119))</f>
        <v>0</v>
      </c>
      <c r="V119" s="31">
        <f>IF(OR($A119="",N($R119)&lt;=0),"",$U119/$R119)</f>
        <v>0</v>
      </c>
      <c r="W119" s="27">
        <f>IF($A119="","",IF(OR($I119="Finalizado",$I119="Entregue"),MAX(0,$R119-N($O119)),0))</f>
        <v>0</v>
      </c>
      <c r="X119" s="32">
        <f>IF(OR($A119="",$B119=""),"",IF(OR($I119="Entregue",$I119="Cancelada"),"",Hoje-$B119))</f>
        <v>0</v>
      </c>
      <c r="Y119" s="24">
        <f>IF($A119="","",IF(AND(OR($I119="Aprovado",$I119="Em execução",$I119="Aguardando peça"),N($X119)&gt;PrazoMax),"ATRASADA",IF(AND(OR($I119="Finalizado",$I119="Entregue"),$W119&gt;0.005),"Cobrar",IF($I119="Orçamento","Aguardando aprovação",""))))</f>
        <v>0</v>
      </c>
      <c r="Z119" s="33">
        <f>IF(AND($I119="Entregue",$M119&lt;&gt;""),DATE(YEAR($M119),MONTH($M119),1),"")</f>
        <v>0</v>
      </c>
      <c r="AA119" s="34">
        <f>IF(AND($C119&lt;&gt;"",$C119=HistPlaca),COUNTIF($C$5:$C119,HistPlaca),"")</f>
        <v>0</v>
      </c>
    </row>
    <row r="120" spans="1:27">
      <c r="A120" s="17"/>
      <c r="B120" s="25"/>
      <c r="C120" s="13"/>
      <c r="D120" s="26">
        <f>IF($C120="","",IFERROR(INDEX(VeicCli,MATCH($C120,VeicPlaca,0)),"Placa não cadastrada"))</f>
        <v>0</v>
      </c>
      <c r="E120" s="26">
        <f>IF($C120="","",IFERROR(INDEX(VeicModelo,MATCH($C120,VeicPlaca,0)),""))</f>
        <v>0</v>
      </c>
      <c r="F120" s="28"/>
      <c r="G120" s="13"/>
      <c r="H120" s="13"/>
      <c r="I120" s="13"/>
      <c r="J120" s="29"/>
      <c r="K120" s="19"/>
      <c r="L120" s="19"/>
      <c r="M120" s="25"/>
      <c r="N120" s="13"/>
      <c r="O120" s="19"/>
      <c r="P120" s="27">
        <f>IF($A120="","",N($J120)*ValorHora)</f>
        <v>0</v>
      </c>
      <c r="Q120" s="27">
        <f>IF($A120="","",SUMIFS(ItTotal,ItOS,$A120))</f>
        <v>0</v>
      </c>
      <c r="R120" s="30">
        <f>IF($A120="","",$P120+$Q120+N($K120)-N($L120))</f>
        <v>0</v>
      </c>
      <c r="S120" s="27">
        <f>IF($A120="","",SUMIFS(ItCusto,ItOS,$A120))</f>
        <v>0</v>
      </c>
      <c r="T120" s="27">
        <f>IF($A120="","",$P120*ComMec)</f>
        <v>0</v>
      </c>
      <c r="U120" s="21">
        <f>IF($A120="","",$R120-$S120-$T120-N($K120))</f>
        <v>0</v>
      </c>
      <c r="V120" s="31">
        <f>IF(OR($A120="",N($R120)&lt;=0),"",$U120/$R120)</f>
        <v>0</v>
      </c>
      <c r="W120" s="27">
        <f>IF($A120="","",IF(OR($I120="Finalizado",$I120="Entregue"),MAX(0,$R120-N($O120)),0))</f>
        <v>0</v>
      </c>
      <c r="X120" s="32">
        <f>IF(OR($A120="",$B120=""),"",IF(OR($I120="Entregue",$I120="Cancelada"),"",Hoje-$B120))</f>
        <v>0</v>
      </c>
      <c r="Y120" s="24">
        <f>IF($A120="","",IF(AND(OR($I120="Aprovado",$I120="Em execução",$I120="Aguardando peça"),N($X120)&gt;PrazoMax),"ATRASADA",IF(AND(OR($I120="Finalizado",$I120="Entregue"),$W120&gt;0.005),"Cobrar",IF($I120="Orçamento","Aguardando aprovação",""))))</f>
        <v>0</v>
      </c>
      <c r="Z120" s="33">
        <f>IF(AND($I120="Entregue",$M120&lt;&gt;""),DATE(YEAR($M120),MONTH($M120),1),"")</f>
        <v>0</v>
      </c>
      <c r="AA120" s="34">
        <f>IF(AND($C120&lt;&gt;"",$C120=HistPlaca),COUNTIF($C$5:$C120,HistPlaca),"")</f>
        <v>0</v>
      </c>
    </row>
    <row r="121" spans="1:27">
      <c r="A121" s="17"/>
      <c r="B121" s="25"/>
      <c r="C121" s="13"/>
      <c r="D121" s="26">
        <f>IF($C121="","",IFERROR(INDEX(VeicCli,MATCH($C121,VeicPlaca,0)),"Placa não cadastrada"))</f>
        <v>0</v>
      </c>
      <c r="E121" s="26">
        <f>IF($C121="","",IFERROR(INDEX(VeicModelo,MATCH($C121,VeicPlaca,0)),""))</f>
        <v>0</v>
      </c>
      <c r="F121" s="28"/>
      <c r="G121" s="13"/>
      <c r="H121" s="13"/>
      <c r="I121" s="13"/>
      <c r="J121" s="29"/>
      <c r="K121" s="19"/>
      <c r="L121" s="19"/>
      <c r="M121" s="25"/>
      <c r="N121" s="13"/>
      <c r="O121" s="19"/>
      <c r="P121" s="27">
        <f>IF($A121="","",N($J121)*ValorHora)</f>
        <v>0</v>
      </c>
      <c r="Q121" s="27">
        <f>IF($A121="","",SUMIFS(ItTotal,ItOS,$A121))</f>
        <v>0</v>
      </c>
      <c r="R121" s="30">
        <f>IF($A121="","",$P121+$Q121+N($K121)-N($L121))</f>
        <v>0</v>
      </c>
      <c r="S121" s="27">
        <f>IF($A121="","",SUMIFS(ItCusto,ItOS,$A121))</f>
        <v>0</v>
      </c>
      <c r="T121" s="27">
        <f>IF($A121="","",$P121*ComMec)</f>
        <v>0</v>
      </c>
      <c r="U121" s="21">
        <f>IF($A121="","",$R121-$S121-$T121-N($K121))</f>
        <v>0</v>
      </c>
      <c r="V121" s="31">
        <f>IF(OR($A121="",N($R121)&lt;=0),"",$U121/$R121)</f>
        <v>0</v>
      </c>
      <c r="W121" s="27">
        <f>IF($A121="","",IF(OR($I121="Finalizado",$I121="Entregue"),MAX(0,$R121-N($O121)),0))</f>
        <v>0</v>
      </c>
      <c r="X121" s="32">
        <f>IF(OR($A121="",$B121=""),"",IF(OR($I121="Entregue",$I121="Cancelada"),"",Hoje-$B121))</f>
        <v>0</v>
      </c>
      <c r="Y121" s="24">
        <f>IF($A121="","",IF(AND(OR($I121="Aprovado",$I121="Em execução",$I121="Aguardando peça"),N($X121)&gt;PrazoMax),"ATRASADA",IF(AND(OR($I121="Finalizado",$I121="Entregue"),$W121&gt;0.005),"Cobrar",IF($I121="Orçamento","Aguardando aprovação",""))))</f>
        <v>0</v>
      </c>
      <c r="Z121" s="33">
        <f>IF(AND($I121="Entregue",$M121&lt;&gt;""),DATE(YEAR($M121),MONTH($M121),1),"")</f>
        <v>0</v>
      </c>
      <c r="AA121" s="34">
        <f>IF(AND($C121&lt;&gt;"",$C121=HistPlaca),COUNTIF($C$5:$C121,HistPlaca),"")</f>
        <v>0</v>
      </c>
    </row>
    <row r="122" spans="1:27">
      <c r="A122" s="17"/>
      <c r="B122" s="25"/>
      <c r="C122" s="13"/>
      <c r="D122" s="26">
        <f>IF($C122="","",IFERROR(INDEX(VeicCli,MATCH($C122,VeicPlaca,0)),"Placa não cadastrada"))</f>
        <v>0</v>
      </c>
      <c r="E122" s="26">
        <f>IF($C122="","",IFERROR(INDEX(VeicModelo,MATCH($C122,VeicPlaca,0)),""))</f>
        <v>0</v>
      </c>
      <c r="F122" s="28"/>
      <c r="G122" s="13"/>
      <c r="H122" s="13"/>
      <c r="I122" s="13"/>
      <c r="J122" s="29"/>
      <c r="K122" s="19"/>
      <c r="L122" s="19"/>
      <c r="M122" s="25"/>
      <c r="N122" s="13"/>
      <c r="O122" s="19"/>
      <c r="P122" s="27">
        <f>IF($A122="","",N($J122)*ValorHora)</f>
        <v>0</v>
      </c>
      <c r="Q122" s="27">
        <f>IF($A122="","",SUMIFS(ItTotal,ItOS,$A122))</f>
        <v>0</v>
      </c>
      <c r="R122" s="30">
        <f>IF($A122="","",$P122+$Q122+N($K122)-N($L122))</f>
        <v>0</v>
      </c>
      <c r="S122" s="27">
        <f>IF($A122="","",SUMIFS(ItCusto,ItOS,$A122))</f>
        <v>0</v>
      </c>
      <c r="T122" s="27">
        <f>IF($A122="","",$P122*ComMec)</f>
        <v>0</v>
      </c>
      <c r="U122" s="21">
        <f>IF($A122="","",$R122-$S122-$T122-N($K122))</f>
        <v>0</v>
      </c>
      <c r="V122" s="31">
        <f>IF(OR($A122="",N($R122)&lt;=0),"",$U122/$R122)</f>
        <v>0</v>
      </c>
      <c r="W122" s="27">
        <f>IF($A122="","",IF(OR($I122="Finalizado",$I122="Entregue"),MAX(0,$R122-N($O122)),0))</f>
        <v>0</v>
      </c>
      <c r="X122" s="32">
        <f>IF(OR($A122="",$B122=""),"",IF(OR($I122="Entregue",$I122="Cancelada"),"",Hoje-$B122))</f>
        <v>0</v>
      </c>
      <c r="Y122" s="24">
        <f>IF($A122="","",IF(AND(OR($I122="Aprovado",$I122="Em execução",$I122="Aguardando peça"),N($X122)&gt;PrazoMax),"ATRASADA",IF(AND(OR($I122="Finalizado",$I122="Entregue"),$W122&gt;0.005),"Cobrar",IF($I122="Orçamento","Aguardando aprovação",""))))</f>
        <v>0</v>
      </c>
      <c r="Z122" s="33">
        <f>IF(AND($I122="Entregue",$M122&lt;&gt;""),DATE(YEAR($M122),MONTH($M122),1),"")</f>
        <v>0</v>
      </c>
      <c r="AA122" s="34">
        <f>IF(AND($C122&lt;&gt;"",$C122=HistPlaca),COUNTIF($C$5:$C122,HistPlaca),"")</f>
        <v>0</v>
      </c>
    </row>
    <row r="123" spans="1:27">
      <c r="A123" s="17"/>
      <c r="B123" s="25"/>
      <c r="C123" s="13"/>
      <c r="D123" s="26">
        <f>IF($C123="","",IFERROR(INDEX(VeicCli,MATCH($C123,VeicPlaca,0)),"Placa não cadastrada"))</f>
        <v>0</v>
      </c>
      <c r="E123" s="26">
        <f>IF($C123="","",IFERROR(INDEX(VeicModelo,MATCH($C123,VeicPlaca,0)),""))</f>
        <v>0</v>
      </c>
      <c r="F123" s="28"/>
      <c r="G123" s="13"/>
      <c r="H123" s="13"/>
      <c r="I123" s="13"/>
      <c r="J123" s="29"/>
      <c r="K123" s="19"/>
      <c r="L123" s="19"/>
      <c r="M123" s="25"/>
      <c r="N123" s="13"/>
      <c r="O123" s="19"/>
      <c r="P123" s="27">
        <f>IF($A123="","",N($J123)*ValorHora)</f>
        <v>0</v>
      </c>
      <c r="Q123" s="27">
        <f>IF($A123="","",SUMIFS(ItTotal,ItOS,$A123))</f>
        <v>0</v>
      </c>
      <c r="R123" s="30">
        <f>IF($A123="","",$P123+$Q123+N($K123)-N($L123))</f>
        <v>0</v>
      </c>
      <c r="S123" s="27">
        <f>IF($A123="","",SUMIFS(ItCusto,ItOS,$A123))</f>
        <v>0</v>
      </c>
      <c r="T123" s="27">
        <f>IF($A123="","",$P123*ComMec)</f>
        <v>0</v>
      </c>
      <c r="U123" s="21">
        <f>IF($A123="","",$R123-$S123-$T123-N($K123))</f>
        <v>0</v>
      </c>
      <c r="V123" s="31">
        <f>IF(OR($A123="",N($R123)&lt;=0),"",$U123/$R123)</f>
        <v>0</v>
      </c>
      <c r="W123" s="27">
        <f>IF($A123="","",IF(OR($I123="Finalizado",$I123="Entregue"),MAX(0,$R123-N($O123)),0))</f>
        <v>0</v>
      </c>
      <c r="X123" s="32">
        <f>IF(OR($A123="",$B123=""),"",IF(OR($I123="Entregue",$I123="Cancelada"),"",Hoje-$B123))</f>
        <v>0</v>
      </c>
      <c r="Y123" s="24">
        <f>IF($A123="","",IF(AND(OR($I123="Aprovado",$I123="Em execução",$I123="Aguardando peça"),N($X123)&gt;PrazoMax),"ATRASADA",IF(AND(OR($I123="Finalizado",$I123="Entregue"),$W123&gt;0.005),"Cobrar",IF($I123="Orçamento","Aguardando aprovação",""))))</f>
        <v>0</v>
      </c>
      <c r="Z123" s="33">
        <f>IF(AND($I123="Entregue",$M123&lt;&gt;""),DATE(YEAR($M123),MONTH($M123),1),"")</f>
        <v>0</v>
      </c>
      <c r="AA123" s="34">
        <f>IF(AND($C123&lt;&gt;"",$C123=HistPlaca),COUNTIF($C$5:$C123,HistPlaca),"")</f>
        <v>0</v>
      </c>
    </row>
    <row r="124" spans="1:27">
      <c r="A124" s="17"/>
      <c r="B124" s="25"/>
      <c r="C124" s="13"/>
      <c r="D124" s="26">
        <f>IF($C124="","",IFERROR(INDEX(VeicCli,MATCH($C124,VeicPlaca,0)),"Placa não cadastrada"))</f>
        <v>0</v>
      </c>
      <c r="E124" s="26">
        <f>IF($C124="","",IFERROR(INDEX(VeicModelo,MATCH($C124,VeicPlaca,0)),""))</f>
        <v>0</v>
      </c>
      <c r="F124" s="28"/>
      <c r="G124" s="13"/>
      <c r="H124" s="13"/>
      <c r="I124" s="13"/>
      <c r="J124" s="29"/>
      <c r="K124" s="19"/>
      <c r="L124" s="19"/>
      <c r="M124" s="25"/>
      <c r="N124" s="13"/>
      <c r="O124" s="19"/>
      <c r="P124" s="27">
        <f>IF($A124="","",N($J124)*ValorHora)</f>
        <v>0</v>
      </c>
      <c r="Q124" s="27">
        <f>IF($A124="","",SUMIFS(ItTotal,ItOS,$A124))</f>
        <v>0</v>
      </c>
      <c r="R124" s="30">
        <f>IF($A124="","",$P124+$Q124+N($K124)-N($L124))</f>
        <v>0</v>
      </c>
      <c r="S124" s="27">
        <f>IF($A124="","",SUMIFS(ItCusto,ItOS,$A124))</f>
        <v>0</v>
      </c>
      <c r="T124" s="27">
        <f>IF($A124="","",$P124*ComMec)</f>
        <v>0</v>
      </c>
      <c r="U124" s="21">
        <f>IF($A124="","",$R124-$S124-$T124-N($K124))</f>
        <v>0</v>
      </c>
      <c r="V124" s="31">
        <f>IF(OR($A124="",N($R124)&lt;=0),"",$U124/$R124)</f>
        <v>0</v>
      </c>
      <c r="W124" s="27">
        <f>IF($A124="","",IF(OR($I124="Finalizado",$I124="Entregue"),MAX(0,$R124-N($O124)),0))</f>
        <v>0</v>
      </c>
      <c r="X124" s="32">
        <f>IF(OR($A124="",$B124=""),"",IF(OR($I124="Entregue",$I124="Cancelada"),"",Hoje-$B124))</f>
        <v>0</v>
      </c>
      <c r="Y124" s="24">
        <f>IF($A124="","",IF(AND(OR($I124="Aprovado",$I124="Em execução",$I124="Aguardando peça"),N($X124)&gt;PrazoMax),"ATRASADA",IF(AND(OR($I124="Finalizado",$I124="Entregue"),$W124&gt;0.005),"Cobrar",IF($I124="Orçamento","Aguardando aprovação",""))))</f>
        <v>0</v>
      </c>
      <c r="Z124" s="33">
        <f>IF(AND($I124="Entregue",$M124&lt;&gt;""),DATE(YEAR($M124),MONTH($M124),1),"")</f>
        <v>0</v>
      </c>
      <c r="AA124" s="34">
        <f>IF(AND($C124&lt;&gt;"",$C124=HistPlaca),COUNTIF($C$5:$C124,HistPlaca),"")</f>
        <v>0</v>
      </c>
    </row>
    <row r="125" spans="1:27">
      <c r="A125" s="17"/>
      <c r="B125" s="25"/>
      <c r="C125" s="13"/>
      <c r="D125" s="26">
        <f>IF($C125="","",IFERROR(INDEX(VeicCli,MATCH($C125,VeicPlaca,0)),"Placa não cadastrada"))</f>
        <v>0</v>
      </c>
      <c r="E125" s="26">
        <f>IF($C125="","",IFERROR(INDEX(VeicModelo,MATCH($C125,VeicPlaca,0)),""))</f>
        <v>0</v>
      </c>
      <c r="F125" s="28"/>
      <c r="G125" s="13"/>
      <c r="H125" s="13"/>
      <c r="I125" s="13"/>
      <c r="J125" s="29"/>
      <c r="K125" s="19"/>
      <c r="L125" s="19"/>
      <c r="M125" s="25"/>
      <c r="N125" s="13"/>
      <c r="O125" s="19"/>
      <c r="P125" s="27">
        <f>IF($A125="","",N($J125)*ValorHora)</f>
        <v>0</v>
      </c>
      <c r="Q125" s="27">
        <f>IF($A125="","",SUMIFS(ItTotal,ItOS,$A125))</f>
        <v>0</v>
      </c>
      <c r="R125" s="30">
        <f>IF($A125="","",$P125+$Q125+N($K125)-N($L125))</f>
        <v>0</v>
      </c>
      <c r="S125" s="27">
        <f>IF($A125="","",SUMIFS(ItCusto,ItOS,$A125))</f>
        <v>0</v>
      </c>
      <c r="T125" s="27">
        <f>IF($A125="","",$P125*ComMec)</f>
        <v>0</v>
      </c>
      <c r="U125" s="21">
        <f>IF($A125="","",$R125-$S125-$T125-N($K125))</f>
        <v>0</v>
      </c>
      <c r="V125" s="31">
        <f>IF(OR($A125="",N($R125)&lt;=0),"",$U125/$R125)</f>
        <v>0</v>
      </c>
      <c r="W125" s="27">
        <f>IF($A125="","",IF(OR($I125="Finalizado",$I125="Entregue"),MAX(0,$R125-N($O125)),0))</f>
        <v>0</v>
      </c>
      <c r="X125" s="32">
        <f>IF(OR($A125="",$B125=""),"",IF(OR($I125="Entregue",$I125="Cancelada"),"",Hoje-$B125))</f>
        <v>0</v>
      </c>
      <c r="Y125" s="24">
        <f>IF($A125="","",IF(AND(OR($I125="Aprovado",$I125="Em execução",$I125="Aguardando peça"),N($X125)&gt;PrazoMax),"ATRASADA",IF(AND(OR($I125="Finalizado",$I125="Entregue"),$W125&gt;0.005),"Cobrar",IF($I125="Orçamento","Aguardando aprovação",""))))</f>
        <v>0</v>
      </c>
      <c r="Z125" s="33">
        <f>IF(AND($I125="Entregue",$M125&lt;&gt;""),DATE(YEAR($M125),MONTH($M125),1),"")</f>
        <v>0</v>
      </c>
      <c r="AA125" s="34">
        <f>IF(AND($C125&lt;&gt;"",$C125=HistPlaca),COUNTIF($C$5:$C125,HistPlaca),"")</f>
        <v>0</v>
      </c>
    </row>
    <row r="126" spans="1:27">
      <c r="A126" s="17"/>
      <c r="B126" s="25"/>
      <c r="C126" s="13"/>
      <c r="D126" s="26">
        <f>IF($C126="","",IFERROR(INDEX(VeicCli,MATCH($C126,VeicPlaca,0)),"Placa não cadastrada"))</f>
        <v>0</v>
      </c>
      <c r="E126" s="26">
        <f>IF($C126="","",IFERROR(INDEX(VeicModelo,MATCH($C126,VeicPlaca,0)),""))</f>
        <v>0</v>
      </c>
      <c r="F126" s="28"/>
      <c r="G126" s="13"/>
      <c r="H126" s="13"/>
      <c r="I126" s="13"/>
      <c r="J126" s="29"/>
      <c r="K126" s="19"/>
      <c r="L126" s="19"/>
      <c r="M126" s="25"/>
      <c r="N126" s="13"/>
      <c r="O126" s="19"/>
      <c r="P126" s="27">
        <f>IF($A126="","",N($J126)*ValorHora)</f>
        <v>0</v>
      </c>
      <c r="Q126" s="27">
        <f>IF($A126="","",SUMIFS(ItTotal,ItOS,$A126))</f>
        <v>0</v>
      </c>
      <c r="R126" s="30">
        <f>IF($A126="","",$P126+$Q126+N($K126)-N($L126))</f>
        <v>0</v>
      </c>
      <c r="S126" s="27">
        <f>IF($A126="","",SUMIFS(ItCusto,ItOS,$A126))</f>
        <v>0</v>
      </c>
      <c r="T126" s="27">
        <f>IF($A126="","",$P126*ComMec)</f>
        <v>0</v>
      </c>
      <c r="U126" s="21">
        <f>IF($A126="","",$R126-$S126-$T126-N($K126))</f>
        <v>0</v>
      </c>
      <c r="V126" s="31">
        <f>IF(OR($A126="",N($R126)&lt;=0),"",$U126/$R126)</f>
        <v>0</v>
      </c>
      <c r="W126" s="27">
        <f>IF($A126="","",IF(OR($I126="Finalizado",$I126="Entregue"),MAX(0,$R126-N($O126)),0))</f>
        <v>0</v>
      </c>
      <c r="X126" s="32">
        <f>IF(OR($A126="",$B126=""),"",IF(OR($I126="Entregue",$I126="Cancelada"),"",Hoje-$B126))</f>
        <v>0</v>
      </c>
      <c r="Y126" s="24">
        <f>IF($A126="","",IF(AND(OR($I126="Aprovado",$I126="Em execução",$I126="Aguardando peça"),N($X126)&gt;PrazoMax),"ATRASADA",IF(AND(OR($I126="Finalizado",$I126="Entregue"),$W126&gt;0.005),"Cobrar",IF($I126="Orçamento","Aguardando aprovação",""))))</f>
        <v>0</v>
      </c>
      <c r="Z126" s="33">
        <f>IF(AND($I126="Entregue",$M126&lt;&gt;""),DATE(YEAR($M126),MONTH($M126),1),"")</f>
        <v>0</v>
      </c>
      <c r="AA126" s="34">
        <f>IF(AND($C126&lt;&gt;"",$C126=HistPlaca),COUNTIF($C$5:$C126,HistPlaca),"")</f>
        <v>0</v>
      </c>
    </row>
    <row r="127" spans="1:27">
      <c r="A127" s="17"/>
      <c r="B127" s="25"/>
      <c r="C127" s="13"/>
      <c r="D127" s="26">
        <f>IF($C127="","",IFERROR(INDEX(VeicCli,MATCH($C127,VeicPlaca,0)),"Placa não cadastrada"))</f>
        <v>0</v>
      </c>
      <c r="E127" s="26">
        <f>IF($C127="","",IFERROR(INDEX(VeicModelo,MATCH($C127,VeicPlaca,0)),""))</f>
        <v>0</v>
      </c>
      <c r="F127" s="28"/>
      <c r="G127" s="13"/>
      <c r="H127" s="13"/>
      <c r="I127" s="13"/>
      <c r="J127" s="29"/>
      <c r="K127" s="19"/>
      <c r="L127" s="19"/>
      <c r="M127" s="25"/>
      <c r="N127" s="13"/>
      <c r="O127" s="19"/>
      <c r="P127" s="27">
        <f>IF($A127="","",N($J127)*ValorHora)</f>
        <v>0</v>
      </c>
      <c r="Q127" s="27">
        <f>IF($A127="","",SUMIFS(ItTotal,ItOS,$A127))</f>
        <v>0</v>
      </c>
      <c r="R127" s="30">
        <f>IF($A127="","",$P127+$Q127+N($K127)-N($L127))</f>
        <v>0</v>
      </c>
      <c r="S127" s="27">
        <f>IF($A127="","",SUMIFS(ItCusto,ItOS,$A127))</f>
        <v>0</v>
      </c>
      <c r="T127" s="27">
        <f>IF($A127="","",$P127*ComMec)</f>
        <v>0</v>
      </c>
      <c r="U127" s="21">
        <f>IF($A127="","",$R127-$S127-$T127-N($K127))</f>
        <v>0</v>
      </c>
      <c r="V127" s="31">
        <f>IF(OR($A127="",N($R127)&lt;=0),"",$U127/$R127)</f>
        <v>0</v>
      </c>
      <c r="W127" s="27">
        <f>IF($A127="","",IF(OR($I127="Finalizado",$I127="Entregue"),MAX(0,$R127-N($O127)),0))</f>
        <v>0</v>
      </c>
      <c r="X127" s="32">
        <f>IF(OR($A127="",$B127=""),"",IF(OR($I127="Entregue",$I127="Cancelada"),"",Hoje-$B127))</f>
        <v>0</v>
      </c>
      <c r="Y127" s="24">
        <f>IF($A127="","",IF(AND(OR($I127="Aprovado",$I127="Em execução",$I127="Aguardando peça"),N($X127)&gt;PrazoMax),"ATRASADA",IF(AND(OR($I127="Finalizado",$I127="Entregue"),$W127&gt;0.005),"Cobrar",IF($I127="Orçamento","Aguardando aprovação",""))))</f>
        <v>0</v>
      </c>
      <c r="Z127" s="33">
        <f>IF(AND($I127="Entregue",$M127&lt;&gt;""),DATE(YEAR($M127),MONTH($M127),1),"")</f>
        <v>0</v>
      </c>
      <c r="AA127" s="34">
        <f>IF(AND($C127&lt;&gt;"",$C127=HistPlaca),COUNTIF($C$5:$C127,HistPlaca),"")</f>
        <v>0</v>
      </c>
    </row>
    <row r="128" spans="1:27">
      <c r="A128" s="17"/>
      <c r="B128" s="25"/>
      <c r="C128" s="13"/>
      <c r="D128" s="26">
        <f>IF($C128="","",IFERROR(INDEX(VeicCli,MATCH($C128,VeicPlaca,0)),"Placa não cadastrada"))</f>
        <v>0</v>
      </c>
      <c r="E128" s="26">
        <f>IF($C128="","",IFERROR(INDEX(VeicModelo,MATCH($C128,VeicPlaca,0)),""))</f>
        <v>0</v>
      </c>
      <c r="F128" s="28"/>
      <c r="G128" s="13"/>
      <c r="H128" s="13"/>
      <c r="I128" s="13"/>
      <c r="J128" s="29"/>
      <c r="K128" s="19"/>
      <c r="L128" s="19"/>
      <c r="M128" s="25"/>
      <c r="N128" s="13"/>
      <c r="O128" s="19"/>
      <c r="P128" s="27">
        <f>IF($A128="","",N($J128)*ValorHora)</f>
        <v>0</v>
      </c>
      <c r="Q128" s="27">
        <f>IF($A128="","",SUMIFS(ItTotal,ItOS,$A128))</f>
        <v>0</v>
      </c>
      <c r="R128" s="30">
        <f>IF($A128="","",$P128+$Q128+N($K128)-N($L128))</f>
        <v>0</v>
      </c>
      <c r="S128" s="27">
        <f>IF($A128="","",SUMIFS(ItCusto,ItOS,$A128))</f>
        <v>0</v>
      </c>
      <c r="T128" s="27">
        <f>IF($A128="","",$P128*ComMec)</f>
        <v>0</v>
      </c>
      <c r="U128" s="21">
        <f>IF($A128="","",$R128-$S128-$T128-N($K128))</f>
        <v>0</v>
      </c>
      <c r="V128" s="31">
        <f>IF(OR($A128="",N($R128)&lt;=0),"",$U128/$R128)</f>
        <v>0</v>
      </c>
      <c r="W128" s="27">
        <f>IF($A128="","",IF(OR($I128="Finalizado",$I128="Entregue"),MAX(0,$R128-N($O128)),0))</f>
        <v>0</v>
      </c>
      <c r="X128" s="32">
        <f>IF(OR($A128="",$B128=""),"",IF(OR($I128="Entregue",$I128="Cancelada"),"",Hoje-$B128))</f>
        <v>0</v>
      </c>
      <c r="Y128" s="24">
        <f>IF($A128="","",IF(AND(OR($I128="Aprovado",$I128="Em execução",$I128="Aguardando peça"),N($X128)&gt;PrazoMax),"ATRASADA",IF(AND(OR($I128="Finalizado",$I128="Entregue"),$W128&gt;0.005),"Cobrar",IF($I128="Orçamento","Aguardando aprovação",""))))</f>
        <v>0</v>
      </c>
      <c r="Z128" s="33">
        <f>IF(AND($I128="Entregue",$M128&lt;&gt;""),DATE(YEAR($M128),MONTH($M128),1),"")</f>
        <v>0</v>
      </c>
      <c r="AA128" s="34">
        <f>IF(AND($C128&lt;&gt;"",$C128=HistPlaca),COUNTIF($C$5:$C128,HistPlaca),"")</f>
        <v>0</v>
      </c>
    </row>
    <row r="129" spans="1:27">
      <c r="A129" s="17"/>
      <c r="B129" s="25"/>
      <c r="C129" s="13"/>
      <c r="D129" s="26">
        <f>IF($C129="","",IFERROR(INDEX(VeicCli,MATCH($C129,VeicPlaca,0)),"Placa não cadastrada"))</f>
        <v>0</v>
      </c>
      <c r="E129" s="26">
        <f>IF($C129="","",IFERROR(INDEX(VeicModelo,MATCH($C129,VeicPlaca,0)),""))</f>
        <v>0</v>
      </c>
      <c r="F129" s="28"/>
      <c r="G129" s="13"/>
      <c r="H129" s="13"/>
      <c r="I129" s="13"/>
      <c r="J129" s="29"/>
      <c r="K129" s="19"/>
      <c r="L129" s="19"/>
      <c r="M129" s="25"/>
      <c r="N129" s="13"/>
      <c r="O129" s="19"/>
      <c r="P129" s="27">
        <f>IF($A129="","",N($J129)*ValorHora)</f>
        <v>0</v>
      </c>
      <c r="Q129" s="27">
        <f>IF($A129="","",SUMIFS(ItTotal,ItOS,$A129))</f>
        <v>0</v>
      </c>
      <c r="R129" s="30">
        <f>IF($A129="","",$P129+$Q129+N($K129)-N($L129))</f>
        <v>0</v>
      </c>
      <c r="S129" s="27">
        <f>IF($A129="","",SUMIFS(ItCusto,ItOS,$A129))</f>
        <v>0</v>
      </c>
      <c r="T129" s="27">
        <f>IF($A129="","",$P129*ComMec)</f>
        <v>0</v>
      </c>
      <c r="U129" s="21">
        <f>IF($A129="","",$R129-$S129-$T129-N($K129))</f>
        <v>0</v>
      </c>
      <c r="V129" s="31">
        <f>IF(OR($A129="",N($R129)&lt;=0),"",$U129/$R129)</f>
        <v>0</v>
      </c>
      <c r="W129" s="27">
        <f>IF($A129="","",IF(OR($I129="Finalizado",$I129="Entregue"),MAX(0,$R129-N($O129)),0))</f>
        <v>0</v>
      </c>
      <c r="X129" s="32">
        <f>IF(OR($A129="",$B129=""),"",IF(OR($I129="Entregue",$I129="Cancelada"),"",Hoje-$B129))</f>
        <v>0</v>
      </c>
      <c r="Y129" s="24">
        <f>IF($A129="","",IF(AND(OR($I129="Aprovado",$I129="Em execução",$I129="Aguardando peça"),N($X129)&gt;PrazoMax),"ATRASADA",IF(AND(OR($I129="Finalizado",$I129="Entregue"),$W129&gt;0.005),"Cobrar",IF($I129="Orçamento","Aguardando aprovação",""))))</f>
        <v>0</v>
      </c>
      <c r="Z129" s="33">
        <f>IF(AND($I129="Entregue",$M129&lt;&gt;""),DATE(YEAR($M129),MONTH($M129),1),"")</f>
        <v>0</v>
      </c>
      <c r="AA129" s="34">
        <f>IF(AND($C129&lt;&gt;"",$C129=HistPlaca),COUNTIF($C$5:$C129,HistPlaca),"")</f>
        <v>0</v>
      </c>
    </row>
    <row r="130" spans="1:27">
      <c r="A130" s="17"/>
      <c r="B130" s="25"/>
      <c r="C130" s="13"/>
      <c r="D130" s="26">
        <f>IF($C130="","",IFERROR(INDEX(VeicCli,MATCH($C130,VeicPlaca,0)),"Placa não cadastrada"))</f>
        <v>0</v>
      </c>
      <c r="E130" s="26">
        <f>IF($C130="","",IFERROR(INDEX(VeicModelo,MATCH($C130,VeicPlaca,0)),""))</f>
        <v>0</v>
      </c>
      <c r="F130" s="28"/>
      <c r="G130" s="13"/>
      <c r="H130" s="13"/>
      <c r="I130" s="13"/>
      <c r="J130" s="29"/>
      <c r="K130" s="19"/>
      <c r="L130" s="19"/>
      <c r="M130" s="25"/>
      <c r="N130" s="13"/>
      <c r="O130" s="19"/>
      <c r="P130" s="27">
        <f>IF($A130="","",N($J130)*ValorHora)</f>
        <v>0</v>
      </c>
      <c r="Q130" s="27">
        <f>IF($A130="","",SUMIFS(ItTotal,ItOS,$A130))</f>
        <v>0</v>
      </c>
      <c r="R130" s="30">
        <f>IF($A130="","",$P130+$Q130+N($K130)-N($L130))</f>
        <v>0</v>
      </c>
      <c r="S130" s="27">
        <f>IF($A130="","",SUMIFS(ItCusto,ItOS,$A130))</f>
        <v>0</v>
      </c>
      <c r="T130" s="27">
        <f>IF($A130="","",$P130*ComMec)</f>
        <v>0</v>
      </c>
      <c r="U130" s="21">
        <f>IF($A130="","",$R130-$S130-$T130-N($K130))</f>
        <v>0</v>
      </c>
      <c r="V130" s="31">
        <f>IF(OR($A130="",N($R130)&lt;=0),"",$U130/$R130)</f>
        <v>0</v>
      </c>
      <c r="W130" s="27">
        <f>IF($A130="","",IF(OR($I130="Finalizado",$I130="Entregue"),MAX(0,$R130-N($O130)),0))</f>
        <v>0</v>
      </c>
      <c r="X130" s="32">
        <f>IF(OR($A130="",$B130=""),"",IF(OR($I130="Entregue",$I130="Cancelada"),"",Hoje-$B130))</f>
        <v>0</v>
      </c>
      <c r="Y130" s="24">
        <f>IF($A130="","",IF(AND(OR($I130="Aprovado",$I130="Em execução",$I130="Aguardando peça"),N($X130)&gt;PrazoMax),"ATRASADA",IF(AND(OR($I130="Finalizado",$I130="Entregue"),$W130&gt;0.005),"Cobrar",IF($I130="Orçamento","Aguardando aprovação",""))))</f>
        <v>0</v>
      </c>
      <c r="Z130" s="33">
        <f>IF(AND($I130="Entregue",$M130&lt;&gt;""),DATE(YEAR($M130),MONTH($M130),1),"")</f>
        <v>0</v>
      </c>
      <c r="AA130" s="34">
        <f>IF(AND($C130&lt;&gt;"",$C130=HistPlaca),COUNTIF($C$5:$C130,HistPlaca),"")</f>
        <v>0</v>
      </c>
    </row>
    <row r="131" spans="1:27">
      <c r="A131" s="17"/>
      <c r="B131" s="25"/>
      <c r="C131" s="13"/>
      <c r="D131" s="26">
        <f>IF($C131="","",IFERROR(INDEX(VeicCli,MATCH($C131,VeicPlaca,0)),"Placa não cadastrada"))</f>
        <v>0</v>
      </c>
      <c r="E131" s="26">
        <f>IF($C131="","",IFERROR(INDEX(VeicModelo,MATCH($C131,VeicPlaca,0)),""))</f>
        <v>0</v>
      </c>
      <c r="F131" s="28"/>
      <c r="G131" s="13"/>
      <c r="H131" s="13"/>
      <c r="I131" s="13"/>
      <c r="J131" s="29"/>
      <c r="K131" s="19"/>
      <c r="L131" s="19"/>
      <c r="M131" s="25"/>
      <c r="N131" s="13"/>
      <c r="O131" s="19"/>
      <c r="P131" s="27">
        <f>IF($A131="","",N($J131)*ValorHora)</f>
        <v>0</v>
      </c>
      <c r="Q131" s="27">
        <f>IF($A131="","",SUMIFS(ItTotal,ItOS,$A131))</f>
        <v>0</v>
      </c>
      <c r="R131" s="30">
        <f>IF($A131="","",$P131+$Q131+N($K131)-N($L131))</f>
        <v>0</v>
      </c>
      <c r="S131" s="27">
        <f>IF($A131="","",SUMIFS(ItCusto,ItOS,$A131))</f>
        <v>0</v>
      </c>
      <c r="T131" s="27">
        <f>IF($A131="","",$P131*ComMec)</f>
        <v>0</v>
      </c>
      <c r="U131" s="21">
        <f>IF($A131="","",$R131-$S131-$T131-N($K131))</f>
        <v>0</v>
      </c>
      <c r="V131" s="31">
        <f>IF(OR($A131="",N($R131)&lt;=0),"",$U131/$R131)</f>
        <v>0</v>
      </c>
      <c r="W131" s="27">
        <f>IF($A131="","",IF(OR($I131="Finalizado",$I131="Entregue"),MAX(0,$R131-N($O131)),0))</f>
        <v>0</v>
      </c>
      <c r="X131" s="32">
        <f>IF(OR($A131="",$B131=""),"",IF(OR($I131="Entregue",$I131="Cancelada"),"",Hoje-$B131))</f>
        <v>0</v>
      </c>
      <c r="Y131" s="24">
        <f>IF($A131="","",IF(AND(OR($I131="Aprovado",$I131="Em execução",$I131="Aguardando peça"),N($X131)&gt;PrazoMax),"ATRASADA",IF(AND(OR($I131="Finalizado",$I131="Entregue"),$W131&gt;0.005),"Cobrar",IF($I131="Orçamento","Aguardando aprovação",""))))</f>
        <v>0</v>
      </c>
      <c r="Z131" s="33">
        <f>IF(AND($I131="Entregue",$M131&lt;&gt;""),DATE(YEAR($M131),MONTH($M131),1),"")</f>
        <v>0</v>
      </c>
      <c r="AA131" s="34">
        <f>IF(AND($C131&lt;&gt;"",$C131=HistPlaca),COUNTIF($C$5:$C131,HistPlaca),"")</f>
        <v>0</v>
      </c>
    </row>
    <row r="132" spans="1:27">
      <c r="A132" s="17"/>
      <c r="B132" s="25"/>
      <c r="C132" s="13"/>
      <c r="D132" s="26">
        <f>IF($C132="","",IFERROR(INDEX(VeicCli,MATCH($C132,VeicPlaca,0)),"Placa não cadastrada"))</f>
        <v>0</v>
      </c>
      <c r="E132" s="26">
        <f>IF($C132="","",IFERROR(INDEX(VeicModelo,MATCH($C132,VeicPlaca,0)),""))</f>
        <v>0</v>
      </c>
      <c r="F132" s="28"/>
      <c r="G132" s="13"/>
      <c r="H132" s="13"/>
      <c r="I132" s="13"/>
      <c r="J132" s="29"/>
      <c r="K132" s="19"/>
      <c r="L132" s="19"/>
      <c r="M132" s="25"/>
      <c r="N132" s="13"/>
      <c r="O132" s="19"/>
      <c r="P132" s="27">
        <f>IF($A132="","",N($J132)*ValorHora)</f>
        <v>0</v>
      </c>
      <c r="Q132" s="27">
        <f>IF($A132="","",SUMIFS(ItTotal,ItOS,$A132))</f>
        <v>0</v>
      </c>
      <c r="R132" s="30">
        <f>IF($A132="","",$P132+$Q132+N($K132)-N($L132))</f>
        <v>0</v>
      </c>
      <c r="S132" s="27">
        <f>IF($A132="","",SUMIFS(ItCusto,ItOS,$A132))</f>
        <v>0</v>
      </c>
      <c r="T132" s="27">
        <f>IF($A132="","",$P132*ComMec)</f>
        <v>0</v>
      </c>
      <c r="U132" s="21">
        <f>IF($A132="","",$R132-$S132-$T132-N($K132))</f>
        <v>0</v>
      </c>
      <c r="V132" s="31">
        <f>IF(OR($A132="",N($R132)&lt;=0),"",$U132/$R132)</f>
        <v>0</v>
      </c>
      <c r="W132" s="27">
        <f>IF($A132="","",IF(OR($I132="Finalizado",$I132="Entregue"),MAX(0,$R132-N($O132)),0))</f>
        <v>0</v>
      </c>
      <c r="X132" s="32">
        <f>IF(OR($A132="",$B132=""),"",IF(OR($I132="Entregue",$I132="Cancelada"),"",Hoje-$B132))</f>
        <v>0</v>
      </c>
      <c r="Y132" s="24">
        <f>IF($A132="","",IF(AND(OR($I132="Aprovado",$I132="Em execução",$I132="Aguardando peça"),N($X132)&gt;PrazoMax),"ATRASADA",IF(AND(OR($I132="Finalizado",$I132="Entregue"),$W132&gt;0.005),"Cobrar",IF($I132="Orçamento","Aguardando aprovação",""))))</f>
        <v>0</v>
      </c>
      <c r="Z132" s="33">
        <f>IF(AND($I132="Entregue",$M132&lt;&gt;""),DATE(YEAR($M132),MONTH($M132),1),"")</f>
        <v>0</v>
      </c>
      <c r="AA132" s="34">
        <f>IF(AND($C132&lt;&gt;"",$C132=HistPlaca),COUNTIF($C$5:$C132,HistPlaca),"")</f>
        <v>0</v>
      </c>
    </row>
    <row r="133" spans="1:27">
      <c r="A133" s="17"/>
      <c r="B133" s="25"/>
      <c r="C133" s="13"/>
      <c r="D133" s="26">
        <f>IF($C133="","",IFERROR(INDEX(VeicCli,MATCH($C133,VeicPlaca,0)),"Placa não cadastrada"))</f>
        <v>0</v>
      </c>
      <c r="E133" s="26">
        <f>IF($C133="","",IFERROR(INDEX(VeicModelo,MATCH($C133,VeicPlaca,0)),""))</f>
        <v>0</v>
      </c>
      <c r="F133" s="28"/>
      <c r="G133" s="13"/>
      <c r="H133" s="13"/>
      <c r="I133" s="13"/>
      <c r="J133" s="29"/>
      <c r="K133" s="19"/>
      <c r="L133" s="19"/>
      <c r="M133" s="25"/>
      <c r="N133" s="13"/>
      <c r="O133" s="19"/>
      <c r="P133" s="27">
        <f>IF($A133="","",N($J133)*ValorHora)</f>
        <v>0</v>
      </c>
      <c r="Q133" s="27">
        <f>IF($A133="","",SUMIFS(ItTotal,ItOS,$A133))</f>
        <v>0</v>
      </c>
      <c r="R133" s="30">
        <f>IF($A133="","",$P133+$Q133+N($K133)-N($L133))</f>
        <v>0</v>
      </c>
      <c r="S133" s="27">
        <f>IF($A133="","",SUMIFS(ItCusto,ItOS,$A133))</f>
        <v>0</v>
      </c>
      <c r="T133" s="27">
        <f>IF($A133="","",$P133*ComMec)</f>
        <v>0</v>
      </c>
      <c r="U133" s="21">
        <f>IF($A133="","",$R133-$S133-$T133-N($K133))</f>
        <v>0</v>
      </c>
      <c r="V133" s="31">
        <f>IF(OR($A133="",N($R133)&lt;=0),"",$U133/$R133)</f>
        <v>0</v>
      </c>
      <c r="W133" s="27">
        <f>IF($A133="","",IF(OR($I133="Finalizado",$I133="Entregue"),MAX(0,$R133-N($O133)),0))</f>
        <v>0</v>
      </c>
      <c r="X133" s="32">
        <f>IF(OR($A133="",$B133=""),"",IF(OR($I133="Entregue",$I133="Cancelada"),"",Hoje-$B133))</f>
        <v>0</v>
      </c>
      <c r="Y133" s="24">
        <f>IF($A133="","",IF(AND(OR($I133="Aprovado",$I133="Em execução",$I133="Aguardando peça"),N($X133)&gt;PrazoMax),"ATRASADA",IF(AND(OR($I133="Finalizado",$I133="Entregue"),$W133&gt;0.005),"Cobrar",IF($I133="Orçamento","Aguardando aprovação",""))))</f>
        <v>0</v>
      </c>
      <c r="Z133" s="33">
        <f>IF(AND($I133="Entregue",$M133&lt;&gt;""),DATE(YEAR($M133),MONTH($M133),1),"")</f>
        <v>0</v>
      </c>
      <c r="AA133" s="34">
        <f>IF(AND($C133&lt;&gt;"",$C133=HistPlaca),COUNTIF($C$5:$C133,HistPlaca),"")</f>
        <v>0</v>
      </c>
    </row>
    <row r="134" spans="1:27">
      <c r="A134" s="17"/>
      <c r="B134" s="25"/>
      <c r="C134" s="13"/>
      <c r="D134" s="26">
        <f>IF($C134="","",IFERROR(INDEX(VeicCli,MATCH($C134,VeicPlaca,0)),"Placa não cadastrada"))</f>
        <v>0</v>
      </c>
      <c r="E134" s="26">
        <f>IF($C134="","",IFERROR(INDEX(VeicModelo,MATCH($C134,VeicPlaca,0)),""))</f>
        <v>0</v>
      </c>
      <c r="F134" s="28"/>
      <c r="G134" s="13"/>
      <c r="H134" s="13"/>
      <c r="I134" s="13"/>
      <c r="J134" s="29"/>
      <c r="K134" s="19"/>
      <c r="L134" s="19"/>
      <c r="M134" s="25"/>
      <c r="N134" s="13"/>
      <c r="O134" s="19"/>
      <c r="P134" s="27">
        <f>IF($A134="","",N($J134)*ValorHora)</f>
        <v>0</v>
      </c>
      <c r="Q134" s="27">
        <f>IF($A134="","",SUMIFS(ItTotal,ItOS,$A134))</f>
        <v>0</v>
      </c>
      <c r="R134" s="30">
        <f>IF($A134="","",$P134+$Q134+N($K134)-N($L134))</f>
        <v>0</v>
      </c>
      <c r="S134" s="27">
        <f>IF($A134="","",SUMIFS(ItCusto,ItOS,$A134))</f>
        <v>0</v>
      </c>
      <c r="T134" s="27">
        <f>IF($A134="","",$P134*ComMec)</f>
        <v>0</v>
      </c>
      <c r="U134" s="21">
        <f>IF($A134="","",$R134-$S134-$T134-N($K134))</f>
        <v>0</v>
      </c>
      <c r="V134" s="31">
        <f>IF(OR($A134="",N($R134)&lt;=0),"",$U134/$R134)</f>
        <v>0</v>
      </c>
      <c r="W134" s="27">
        <f>IF($A134="","",IF(OR($I134="Finalizado",$I134="Entregue"),MAX(0,$R134-N($O134)),0))</f>
        <v>0</v>
      </c>
      <c r="X134" s="32">
        <f>IF(OR($A134="",$B134=""),"",IF(OR($I134="Entregue",$I134="Cancelada"),"",Hoje-$B134))</f>
        <v>0</v>
      </c>
      <c r="Y134" s="24">
        <f>IF($A134="","",IF(AND(OR($I134="Aprovado",$I134="Em execução",$I134="Aguardando peça"),N($X134)&gt;PrazoMax),"ATRASADA",IF(AND(OR($I134="Finalizado",$I134="Entregue"),$W134&gt;0.005),"Cobrar",IF($I134="Orçamento","Aguardando aprovação",""))))</f>
        <v>0</v>
      </c>
      <c r="Z134" s="33">
        <f>IF(AND($I134="Entregue",$M134&lt;&gt;""),DATE(YEAR($M134),MONTH($M134),1),"")</f>
        <v>0</v>
      </c>
      <c r="AA134" s="34">
        <f>IF(AND($C134&lt;&gt;"",$C134=HistPlaca),COUNTIF($C$5:$C134,HistPlaca),"")</f>
        <v>0</v>
      </c>
    </row>
    <row r="135" spans="1:27">
      <c r="A135" s="17"/>
      <c r="B135" s="25"/>
      <c r="C135" s="13"/>
      <c r="D135" s="26">
        <f>IF($C135="","",IFERROR(INDEX(VeicCli,MATCH($C135,VeicPlaca,0)),"Placa não cadastrada"))</f>
        <v>0</v>
      </c>
      <c r="E135" s="26">
        <f>IF($C135="","",IFERROR(INDEX(VeicModelo,MATCH($C135,VeicPlaca,0)),""))</f>
        <v>0</v>
      </c>
      <c r="F135" s="28"/>
      <c r="G135" s="13"/>
      <c r="H135" s="13"/>
      <c r="I135" s="13"/>
      <c r="J135" s="29"/>
      <c r="K135" s="19"/>
      <c r="L135" s="19"/>
      <c r="M135" s="25"/>
      <c r="N135" s="13"/>
      <c r="O135" s="19"/>
      <c r="P135" s="27">
        <f>IF($A135="","",N($J135)*ValorHora)</f>
        <v>0</v>
      </c>
      <c r="Q135" s="27">
        <f>IF($A135="","",SUMIFS(ItTotal,ItOS,$A135))</f>
        <v>0</v>
      </c>
      <c r="R135" s="30">
        <f>IF($A135="","",$P135+$Q135+N($K135)-N($L135))</f>
        <v>0</v>
      </c>
      <c r="S135" s="27">
        <f>IF($A135="","",SUMIFS(ItCusto,ItOS,$A135))</f>
        <v>0</v>
      </c>
      <c r="T135" s="27">
        <f>IF($A135="","",$P135*ComMec)</f>
        <v>0</v>
      </c>
      <c r="U135" s="21">
        <f>IF($A135="","",$R135-$S135-$T135-N($K135))</f>
        <v>0</v>
      </c>
      <c r="V135" s="31">
        <f>IF(OR($A135="",N($R135)&lt;=0),"",$U135/$R135)</f>
        <v>0</v>
      </c>
      <c r="W135" s="27">
        <f>IF($A135="","",IF(OR($I135="Finalizado",$I135="Entregue"),MAX(0,$R135-N($O135)),0))</f>
        <v>0</v>
      </c>
      <c r="X135" s="32">
        <f>IF(OR($A135="",$B135=""),"",IF(OR($I135="Entregue",$I135="Cancelada"),"",Hoje-$B135))</f>
        <v>0</v>
      </c>
      <c r="Y135" s="24">
        <f>IF($A135="","",IF(AND(OR($I135="Aprovado",$I135="Em execução",$I135="Aguardando peça"),N($X135)&gt;PrazoMax),"ATRASADA",IF(AND(OR($I135="Finalizado",$I135="Entregue"),$W135&gt;0.005),"Cobrar",IF($I135="Orçamento","Aguardando aprovação",""))))</f>
        <v>0</v>
      </c>
      <c r="Z135" s="33">
        <f>IF(AND($I135="Entregue",$M135&lt;&gt;""),DATE(YEAR($M135),MONTH($M135),1),"")</f>
        <v>0</v>
      </c>
      <c r="AA135" s="34">
        <f>IF(AND($C135&lt;&gt;"",$C135=HistPlaca),COUNTIF($C$5:$C135,HistPlaca),"")</f>
        <v>0</v>
      </c>
    </row>
    <row r="136" spans="1:27">
      <c r="A136" s="17"/>
      <c r="B136" s="25"/>
      <c r="C136" s="13"/>
      <c r="D136" s="26">
        <f>IF($C136="","",IFERROR(INDEX(VeicCli,MATCH($C136,VeicPlaca,0)),"Placa não cadastrada"))</f>
        <v>0</v>
      </c>
      <c r="E136" s="26">
        <f>IF($C136="","",IFERROR(INDEX(VeicModelo,MATCH($C136,VeicPlaca,0)),""))</f>
        <v>0</v>
      </c>
      <c r="F136" s="28"/>
      <c r="G136" s="13"/>
      <c r="H136" s="13"/>
      <c r="I136" s="13"/>
      <c r="J136" s="29"/>
      <c r="K136" s="19"/>
      <c r="L136" s="19"/>
      <c r="M136" s="25"/>
      <c r="N136" s="13"/>
      <c r="O136" s="19"/>
      <c r="P136" s="27">
        <f>IF($A136="","",N($J136)*ValorHora)</f>
        <v>0</v>
      </c>
      <c r="Q136" s="27">
        <f>IF($A136="","",SUMIFS(ItTotal,ItOS,$A136))</f>
        <v>0</v>
      </c>
      <c r="R136" s="30">
        <f>IF($A136="","",$P136+$Q136+N($K136)-N($L136))</f>
        <v>0</v>
      </c>
      <c r="S136" s="27">
        <f>IF($A136="","",SUMIFS(ItCusto,ItOS,$A136))</f>
        <v>0</v>
      </c>
      <c r="T136" s="27">
        <f>IF($A136="","",$P136*ComMec)</f>
        <v>0</v>
      </c>
      <c r="U136" s="21">
        <f>IF($A136="","",$R136-$S136-$T136-N($K136))</f>
        <v>0</v>
      </c>
      <c r="V136" s="31">
        <f>IF(OR($A136="",N($R136)&lt;=0),"",$U136/$R136)</f>
        <v>0</v>
      </c>
      <c r="W136" s="27">
        <f>IF($A136="","",IF(OR($I136="Finalizado",$I136="Entregue"),MAX(0,$R136-N($O136)),0))</f>
        <v>0</v>
      </c>
      <c r="X136" s="32">
        <f>IF(OR($A136="",$B136=""),"",IF(OR($I136="Entregue",$I136="Cancelada"),"",Hoje-$B136))</f>
        <v>0</v>
      </c>
      <c r="Y136" s="24">
        <f>IF($A136="","",IF(AND(OR($I136="Aprovado",$I136="Em execução",$I136="Aguardando peça"),N($X136)&gt;PrazoMax),"ATRASADA",IF(AND(OR($I136="Finalizado",$I136="Entregue"),$W136&gt;0.005),"Cobrar",IF($I136="Orçamento","Aguardando aprovação",""))))</f>
        <v>0</v>
      </c>
      <c r="Z136" s="33">
        <f>IF(AND($I136="Entregue",$M136&lt;&gt;""),DATE(YEAR($M136),MONTH($M136),1),"")</f>
        <v>0</v>
      </c>
      <c r="AA136" s="34">
        <f>IF(AND($C136&lt;&gt;"",$C136=HistPlaca),COUNTIF($C$5:$C136,HistPlaca),"")</f>
        <v>0</v>
      </c>
    </row>
    <row r="137" spans="1:27">
      <c r="A137" s="17"/>
      <c r="B137" s="25"/>
      <c r="C137" s="13"/>
      <c r="D137" s="26">
        <f>IF($C137="","",IFERROR(INDEX(VeicCli,MATCH($C137,VeicPlaca,0)),"Placa não cadastrada"))</f>
        <v>0</v>
      </c>
      <c r="E137" s="26">
        <f>IF($C137="","",IFERROR(INDEX(VeicModelo,MATCH($C137,VeicPlaca,0)),""))</f>
        <v>0</v>
      </c>
      <c r="F137" s="28"/>
      <c r="G137" s="13"/>
      <c r="H137" s="13"/>
      <c r="I137" s="13"/>
      <c r="J137" s="29"/>
      <c r="K137" s="19"/>
      <c r="L137" s="19"/>
      <c r="M137" s="25"/>
      <c r="N137" s="13"/>
      <c r="O137" s="19"/>
      <c r="P137" s="27">
        <f>IF($A137="","",N($J137)*ValorHora)</f>
        <v>0</v>
      </c>
      <c r="Q137" s="27">
        <f>IF($A137="","",SUMIFS(ItTotal,ItOS,$A137))</f>
        <v>0</v>
      </c>
      <c r="R137" s="30">
        <f>IF($A137="","",$P137+$Q137+N($K137)-N($L137))</f>
        <v>0</v>
      </c>
      <c r="S137" s="27">
        <f>IF($A137="","",SUMIFS(ItCusto,ItOS,$A137))</f>
        <v>0</v>
      </c>
      <c r="T137" s="27">
        <f>IF($A137="","",$P137*ComMec)</f>
        <v>0</v>
      </c>
      <c r="U137" s="21">
        <f>IF($A137="","",$R137-$S137-$T137-N($K137))</f>
        <v>0</v>
      </c>
      <c r="V137" s="31">
        <f>IF(OR($A137="",N($R137)&lt;=0),"",$U137/$R137)</f>
        <v>0</v>
      </c>
      <c r="W137" s="27">
        <f>IF($A137="","",IF(OR($I137="Finalizado",$I137="Entregue"),MAX(0,$R137-N($O137)),0))</f>
        <v>0</v>
      </c>
      <c r="X137" s="32">
        <f>IF(OR($A137="",$B137=""),"",IF(OR($I137="Entregue",$I137="Cancelada"),"",Hoje-$B137))</f>
        <v>0</v>
      </c>
      <c r="Y137" s="24">
        <f>IF($A137="","",IF(AND(OR($I137="Aprovado",$I137="Em execução",$I137="Aguardando peça"),N($X137)&gt;PrazoMax),"ATRASADA",IF(AND(OR($I137="Finalizado",$I137="Entregue"),$W137&gt;0.005),"Cobrar",IF($I137="Orçamento","Aguardando aprovação",""))))</f>
        <v>0</v>
      </c>
      <c r="Z137" s="33">
        <f>IF(AND($I137="Entregue",$M137&lt;&gt;""),DATE(YEAR($M137),MONTH($M137),1),"")</f>
        <v>0</v>
      </c>
      <c r="AA137" s="34">
        <f>IF(AND($C137&lt;&gt;"",$C137=HistPlaca),COUNTIF($C$5:$C137,HistPlaca),"")</f>
        <v>0</v>
      </c>
    </row>
    <row r="138" spans="1:27">
      <c r="A138" s="17"/>
      <c r="B138" s="25"/>
      <c r="C138" s="13"/>
      <c r="D138" s="26">
        <f>IF($C138="","",IFERROR(INDEX(VeicCli,MATCH($C138,VeicPlaca,0)),"Placa não cadastrada"))</f>
        <v>0</v>
      </c>
      <c r="E138" s="26">
        <f>IF($C138="","",IFERROR(INDEX(VeicModelo,MATCH($C138,VeicPlaca,0)),""))</f>
        <v>0</v>
      </c>
      <c r="F138" s="28"/>
      <c r="G138" s="13"/>
      <c r="H138" s="13"/>
      <c r="I138" s="13"/>
      <c r="J138" s="29"/>
      <c r="K138" s="19"/>
      <c r="L138" s="19"/>
      <c r="M138" s="25"/>
      <c r="N138" s="13"/>
      <c r="O138" s="19"/>
      <c r="P138" s="27">
        <f>IF($A138="","",N($J138)*ValorHora)</f>
        <v>0</v>
      </c>
      <c r="Q138" s="27">
        <f>IF($A138="","",SUMIFS(ItTotal,ItOS,$A138))</f>
        <v>0</v>
      </c>
      <c r="R138" s="30">
        <f>IF($A138="","",$P138+$Q138+N($K138)-N($L138))</f>
        <v>0</v>
      </c>
      <c r="S138" s="27">
        <f>IF($A138="","",SUMIFS(ItCusto,ItOS,$A138))</f>
        <v>0</v>
      </c>
      <c r="T138" s="27">
        <f>IF($A138="","",$P138*ComMec)</f>
        <v>0</v>
      </c>
      <c r="U138" s="21">
        <f>IF($A138="","",$R138-$S138-$T138-N($K138))</f>
        <v>0</v>
      </c>
      <c r="V138" s="31">
        <f>IF(OR($A138="",N($R138)&lt;=0),"",$U138/$R138)</f>
        <v>0</v>
      </c>
      <c r="W138" s="27">
        <f>IF($A138="","",IF(OR($I138="Finalizado",$I138="Entregue"),MAX(0,$R138-N($O138)),0))</f>
        <v>0</v>
      </c>
      <c r="X138" s="32">
        <f>IF(OR($A138="",$B138=""),"",IF(OR($I138="Entregue",$I138="Cancelada"),"",Hoje-$B138))</f>
        <v>0</v>
      </c>
      <c r="Y138" s="24">
        <f>IF($A138="","",IF(AND(OR($I138="Aprovado",$I138="Em execução",$I138="Aguardando peça"),N($X138)&gt;PrazoMax),"ATRASADA",IF(AND(OR($I138="Finalizado",$I138="Entregue"),$W138&gt;0.005),"Cobrar",IF($I138="Orçamento","Aguardando aprovação",""))))</f>
        <v>0</v>
      </c>
      <c r="Z138" s="33">
        <f>IF(AND($I138="Entregue",$M138&lt;&gt;""),DATE(YEAR($M138),MONTH($M138),1),"")</f>
        <v>0</v>
      </c>
      <c r="AA138" s="34">
        <f>IF(AND($C138&lt;&gt;"",$C138=HistPlaca),COUNTIF($C$5:$C138,HistPlaca),"")</f>
        <v>0</v>
      </c>
    </row>
    <row r="139" spans="1:27">
      <c r="A139" s="17"/>
      <c r="B139" s="25"/>
      <c r="C139" s="13"/>
      <c r="D139" s="26">
        <f>IF($C139="","",IFERROR(INDEX(VeicCli,MATCH($C139,VeicPlaca,0)),"Placa não cadastrada"))</f>
        <v>0</v>
      </c>
      <c r="E139" s="26">
        <f>IF($C139="","",IFERROR(INDEX(VeicModelo,MATCH($C139,VeicPlaca,0)),""))</f>
        <v>0</v>
      </c>
      <c r="F139" s="28"/>
      <c r="G139" s="13"/>
      <c r="H139" s="13"/>
      <c r="I139" s="13"/>
      <c r="J139" s="29"/>
      <c r="K139" s="19"/>
      <c r="L139" s="19"/>
      <c r="M139" s="25"/>
      <c r="N139" s="13"/>
      <c r="O139" s="19"/>
      <c r="P139" s="27">
        <f>IF($A139="","",N($J139)*ValorHora)</f>
        <v>0</v>
      </c>
      <c r="Q139" s="27">
        <f>IF($A139="","",SUMIFS(ItTotal,ItOS,$A139))</f>
        <v>0</v>
      </c>
      <c r="R139" s="30">
        <f>IF($A139="","",$P139+$Q139+N($K139)-N($L139))</f>
        <v>0</v>
      </c>
      <c r="S139" s="27">
        <f>IF($A139="","",SUMIFS(ItCusto,ItOS,$A139))</f>
        <v>0</v>
      </c>
      <c r="T139" s="27">
        <f>IF($A139="","",$P139*ComMec)</f>
        <v>0</v>
      </c>
      <c r="U139" s="21">
        <f>IF($A139="","",$R139-$S139-$T139-N($K139))</f>
        <v>0</v>
      </c>
      <c r="V139" s="31">
        <f>IF(OR($A139="",N($R139)&lt;=0),"",$U139/$R139)</f>
        <v>0</v>
      </c>
      <c r="W139" s="27">
        <f>IF($A139="","",IF(OR($I139="Finalizado",$I139="Entregue"),MAX(0,$R139-N($O139)),0))</f>
        <v>0</v>
      </c>
      <c r="X139" s="32">
        <f>IF(OR($A139="",$B139=""),"",IF(OR($I139="Entregue",$I139="Cancelada"),"",Hoje-$B139))</f>
        <v>0</v>
      </c>
      <c r="Y139" s="24">
        <f>IF($A139="","",IF(AND(OR($I139="Aprovado",$I139="Em execução",$I139="Aguardando peça"),N($X139)&gt;PrazoMax),"ATRASADA",IF(AND(OR($I139="Finalizado",$I139="Entregue"),$W139&gt;0.005),"Cobrar",IF($I139="Orçamento","Aguardando aprovação",""))))</f>
        <v>0</v>
      </c>
      <c r="Z139" s="33">
        <f>IF(AND($I139="Entregue",$M139&lt;&gt;""),DATE(YEAR($M139),MONTH($M139),1),"")</f>
        <v>0</v>
      </c>
      <c r="AA139" s="34">
        <f>IF(AND($C139&lt;&gt;"",$C139=HistPlaca),COUNTIF($C$5:$C139,HistPlaca),"")</f>
        <v>0</v>
      </c>
    </row>
    <row r="140" spans="1:27">
      <c r="A140" s="17"/>
      <c r="B140" s="25"/>
      <c r="C140" s="13"/>
      <c r="D140" s="26">
        <f>IF($C140="","",IFERROR(INDEX(VeicCli,MATCH($C140,VeicPlaca,0)),"Placa não cadastrada"))</f>
        <v>0</v>
      </c>
      <c r="E140" s="26">
        <f>IF($C140="","",IFERROR(INDEX(VeicModelo,MATCH($C140,VeicPlaca,0)),""))</f>
        <v>0</v>
      </c>
      <c r="F140" s="28"/>
      <c r="G140" s="13"/>
      <c r="H140" s="13"/>
      <c r="I140" s="13"/>
      <c r="J140" s="29"/>
      <c r="K140" s="19"/>
      <c r="L140" s="19"/>
      <c r="M140" s="25"/>
      <c r="N140" s="13"/>
      <c r="O140" s="19"/>
      <c r="P140" s="27">
        <f>IF($A140="","",N($J140)*ValorHora)</f>
        <v>0</v>
      </c>
      <c r="Q140" s="27">
        <f>IF($A140="","",SUMIFS(ItTotal,ItOS,$A140))</f>
        <v>0</v>
      </c>
      <c r="R140" s="30">
        <f>IF($A140="","",$P140+$Q140+N($K140)-N($L140))</f>
        <v>0</v>
      </c>
      <c r="S140" s="27">
        <f>IF($A140="","",SUMIFS(ItCusto,ItOS,$A140))</f>
        <v>0</v>
      </c>
      <c r="T140" s="27">
        <f>IF($A140="","",$P140*ComMec)</f>
        <v>0</v>
      </c>
      <c r="U140" s="21">
        <f>IF($A140="","",$R140-$S140-$T140-N($K140))</f>
        <v>0</v>
      </c>
      <c r="V140" s="31">
        <f>IF(OR($A140="",N($R140)&lt;=0),"",$U140/$R140)</f>
        <v>0</v>
      </c>
      <c r="W140" s="27">
        <f>IF($A140="","",IF(OR($I140="Finalizado",$I140="Entregue"),MAX(0,$R140-N($O140)),0))</f>
        <v>0</v>
      </c>
      <c r="X140" s="32">
        <f>IF(OR($A140="",$B140=""),"",IF(OR($I140="Entregue",$I140="Cancelada"),"",Hoje-$B140))</f>
        <v>0</v>
      </c>
      <c r="Y140" s="24">
        <f>IF($A140="","",IF(AND(OR($I140="Aprovado",$I140="Em execução",$I140="Aguardando peça"),N($X140)&gt;PrazoMax),"ATRASADA",IF(AND(OR($I140="Finalizado",$I140="Entregue"),$W140&gt;0.005),"Cobrar",IF($I140="Orçamento","Aguardando aprovação",""))))</f>
        <v>0</v>
      </c>
      <c r="Z140" s="33">
        <f>IF(AND($I140="Entregue",$M140&lt;&gt;""),DATE(YEAR($M140),MONTH($M140),1),"")</f>
        <v>0</v>
      </c>
      <c r="AA140" s="34">
        <f>IF(AND($C140&lt;&gt;"",$C140=HistPlaca),COUNTIF($C$5:$C140,HistPlaca),"")</f>
        <v>0</v>
      </c>
    </row>
    <row r="141" spans="1:27">
      <c r="A141" s="17"/>
      <c r="B141" s="25"/>
      <c r="C141" s="13"/>
      <c r="D141" s="26">
        <f>IF($C141="","",IFERROR(INDEX(VeicCli,MATCH($C141,VeicPlaca,0)),"Placa não cadastrada"))</f>
        <v>0</v>
      </c>
      <c r="E141" s="26">
        <f>IF($C141="","",IFERROR(INDEX(VeicModelo,MATCH($C141,VeicPlaca,0)),""))</f>
        <v>0</v>
      </c>
      <c r="F141" s="28"/>
      <c r="G141" s="13"/>
      <c r="H141" s="13"/>
      <c r="I141" s="13"/>
      <c r="J141" s="29"/>
      <c r="K141" s="19"/>
      <c r="L141" s="19"/>
      <c r="M141" s="25"/>
      <c r="N141" s="13"/>
      <c r="O141" s="19"/>
      <c r="P141" s="27">
        <f>IF($A141="","",N($J141)*ValorHora)</f>
        <v>0</v>
      </c>
      <c r="Q141" s="27">
        <f>IF($A141="","",SUMIFS(ItTotal,ItOS,$A141))</f>
        <v>0</v>
      </c>
      <c r="R141" s="30">
        <f>IF($A141="","",$P141+$Q141+N($K141)-N($L141))</f>
        <v>0</v>
      </c>
      <c r="S141" s="27">
        <f>IF($A141="","",SUMIFS(ItCusto,ItOS,$A141))</f>
        <v>0</v>
      </c>
      <c r="T141" s="27">
        <f>IF($A141="","",$P141*ComMec)</f>
        <v>0</v>
      </c>
      <c r="U141" s="21">
        <f>IF($A141="","",$R141-$S141-$T141-N($K141))</f>
        <v>0</v>
      </c>
      <c r="V141" s="31">
        <f>IF(OR($A141="",N($R141)&lt;=0),"",$U141/$R141)</f>
        <v>0</v>
      </c>
      <c r="W141" s="27">
        <f>IF($A141="","",IF(OR($I141="Finalizado",$I141="Entregue"),MAX(0,$R141-N($O141)),0))</f>
        <v>0</v>
      </c>
      <c r="X141" s="32">
        <f>IF(OR($A141="",$B141=""),"",IF(OR($I141="Entregue",$I141="Cancelada"),"",Hoje-$B141))</f>
        <v>0</v>
      </c>
      <c r="Y141" s="24">
        <f>IF($A141="","",IF(AND(OR($I141="Aprovado",$I141="Em execução",$I141="Aguardando peça"),N($X141)&gt;PrazoMax),"ATRASADA",IF(AND(OR($I141="Finalizado",$I141="Entregue"),$W141&gt;0.005),"Cobrar",IF($I141="Orçamento","Aguardando aprovação",""))))</f>
        <v>0</v>
      </c>
      <c r="Z141" s="33">
        <f>IF(AND($I141="Entregue",$M141&lt;&gt;""),DATE(YEAR($M141),MONTH($M141),1),"")</f>
        <v>0</v>
      </c>
      <c r="AA141" s="34">
        <f>IF(AND($C141&lt;&gt;"",$C141=HistPlaca),COUNTIF($C$5:$C141,HistPlaca),"")</f>
        <v>0</v>
      </c>
    </row>
    <row r="142" spans="1:27">
      <c r="A142" s="17"/>
      <c r="B142" s="25"/>
      <c r="C142" s="13"/>
      <c r="D142" s="26">
        <f>IF($C142="","",IFERROR(INDEX(VeicCli,MATCH($C142,VeicPlaca,0)),"Placa não cadastrada"))</f>
        <v>0</v>
      </c>
      <c r="E142" s="26">
        <f>IF($C142="","",IFERROR(INDEX(VeicModelo,MATCH($C142,VeicPlaca,0)),""))</f>
        <v>0</v>
      </c>
      <c r="F142" s="28"/>
      <c r="G142" s="13"/>
      <c r="H142" s="13"/>
      <c r="I142" s="13"/>
      <c r="J142" s="29"/>
      <c r="K142" s="19"/>
      <c r="L142" s="19"/>
      <c r="M142" s="25"/>
      <c r="N142" s="13"/>
      <c r="O142" s="19"/>
      <c r="P142" s="27">
        <f>IF($A142="","",N($J142)*ValorHora)</f>
        <v>0</v>
      </c>
      <c r="Q142" s="27">
        <f>IF($A142="","",SUMIFS(ItTotal,ItOS,$A142))</f>
        <v>0</v>
      </c>
      <c r="R142" s="30">
        <f>IF($A142="","",$P142+$Q142+N($K142)-N($L142))</f>
        <v>0</v>
      </c>
      <c r="S142" s="27">
        <f>IF($A142="","",SUMIFS(ItCusto,ItOS,$A142))</f>
        <v>0</v>
      </c>
      <c r="T142" s="27">
        <f>IF($A142="","",$P142*ComMec)</f>
        <v>0</v>
      </c>
      <c r="U142" s="21">
        <f>IF($A142="","",$R142-$S142-$T142-N($K142))</f>
        <v>0</v>
      </c>
      <c r="V142" s="31">
        <f>IF(OR($A142="",N($R142)&lt;=0),"",$U142/$R142)</f>
        <v>0</v>
      </c>
      <c r="W142" s="27">
        <f>IF($A142="","",IF(OR($I142="Finalizado",$I142="Entregue"),MAX(0,$R142-N($O142)),0))</f>
        <v>0</v>
      </c>
      <c r="X142" s="32">
        <f>IF(OR($A142="",$B142=""),"",IF(OR($I142="Entregue",$I142="Cancelada"),"",Hoje-$B142))</f>
        <v>0</v>
      </c>
      <c r="Y142" s="24">
        <f>IF($A142="","",IF(AND(OR($I142="Aprovado",$I142="Em execução",$I142="Aguardando peça"),N($X142)&gt;PrazoMax),"ATRASADA",IF(AND(OR($I142="Finalizado",$I142="Entregue"),$W142&gt;0.005),"Cobrar",IF($I142="Orçamento","Aguardando aprovação",""))))</f>
        <v>0</v>
      </c>
      <c r="Z142" s="33">
        <f>IF(AND($I142="Entregue",$M142&lt;&gt;""),DATE(YEAR($M142),MONTH($M142),1),"")</f>
        <v>0</v>
      </c>
      <c r="AA142" s="34">
        <f>IF(AND($C142&lt;&gt;"",$C142=HistPlaca),COUNTIF($C$5:$C142,HistPlaca),"")</f>
        <v>0</v>
      </c>
    </row>
    <row r="143" spans="1:27">
      <c r="A143" s="17"/>
      <c r="B143" s="25"/>
      <c r="C143" s="13"/>
      <c r="D143" s="26">
        <f>IF($C143="","",IFERROR(INDEX(VeicCli,MATCH($C143,VeicPlaca,0)),"Placa não cadastrada"))</f>
        <v>0</v>
      </c>
      <c r="E143" s="26">
        <f>IF($C143="","",IFERROR(INDEX(VeicModelo,MATCH($C143,VeicPlaca,0)),""))</f>
        <v>0</v>
      </c>
      <c r="F143" s="28"/>
      <c r="G143" s="13"/>
      <c r="H143" s="13"/>
      <c r="I143" s="13"/>
      <c r="J143" s="29"/>
      <c r="K143" s="19"/>
      <c r="L143" s="19"/>
      <c r="M143" s="25"/>
      <c r="N143" s="13"/>
      <c r="O143" s="19"/>
      <c r="P143" s="27">
        <f>IF($A143="","",N($J143)*ValorHora)</f>
        <v>0</v>
      </c>
      <c r="Q143" s="27">
        <f>IF($A143="","",SUMIFS(ItTotal,ItOS,$A143))</f>
        <v>0</v>
      </c>
      <c r="R143" s="30">
        <f>IF($A143="","",$P143+$Q143+N($K143)-N($L143))</f>
        <v>0</v>
      </c>
      <c r="S143" s="27">
        <f>IF($A143="","",SUMIFS(ItCusto,ItOS,$A143))</f>
        <v>0</v>
      </c>
      <c r="T143" s="27">
        <f>IF($A143="","",$P143*ComMec)</f>
        <v>0</v>
      </c>
      <c r="U143" s="21">
        <f>IF($A143="","",$R143-$S143-$T143-N($K143))</f>
        <v>0</v>
      </c>
      <c r="V143" s="31">
        <f>IF(OR($A143="",N($R143)&lt;=0),"",$U143/$R143)</f>
        <v>0</v>
      </c>
      <c r="W143" s="27">
        <f>IF($A143="","",IF(OR($I143="Finalizado",$I143="Entregue"),MAX(0,$R143-N($O143)),0))</f>
        <v>0</v>
      </c>
      <c r="X143" s="32">
        <f>IF(OR($A143="",$B143=""),"",IF(OR($I143="Entregue",$I143="Cancelada"),"",Hoje-$B143))</f>
        <v>0</v>
      </c>
      <c r="Y143" s="24">
        <f>IF($A143="","",IF(AND(OR($I143="Aprovado",$I143="Em execução",$I143="Aguardando peça"),N($X143)&gt;PrazoMax),"ATRASADA",IF(AND(OR($I143="Finalizado",$I143="Entregue"),$W143&gt;0.005),"Cobrar",IF($I143="Orçamento","Aguardando aprovação",""))))</f>
        <v>0</v>
      </c>
      <c r="Z143" s="33">
        <f>IF(AND($I143="Entregue",$M143&lt;&gt;""),DATE(YEAR($M143),MONTH($M143),1),"")</f>
        <v>0</v>
      </c>
      <c r="AA143" s="34">
        <f>IF(AND($C143&lt;&gt;"",$C143=HistPlaca),COUNTIF($C$5:$C143,HistPlaca),"")</f>
        <v>0</v>
      </c>
    </row>
    <row r="144" spans="1:27">
      <c r="A144" s="17"/>
      <c r="B144" s="25"/>
      <c r="C144" s="13"/>
      <c r="D144" s="26">
        <f>IF($C144="","",IFERROR(INDEX(VeicCli,MATCH($C144,VeicPlaca,0)),"Placa não cadastrada"))</f>
        <v>0</v>
      </c>
      <c r="E144" s="26">
        <f>IF($C144="","",IFERROR(INDEX(VeicModelo,MATCH($C144,VeicPlaca,0)),""))</f>
        <v>0</v>
      </c>
      <c r="F144" s="28"/>
      <c r="G144" s="13"/>
      <c r="H144" s="13"/>
      <c r="I144" s="13"/>
      <c r="J144" s="29"/>
      <c r="K144" s="19"/>
      <c r="L144" s="19"/>
      <c r="M144" s="25"/>
      <c r="N144" s="13"/>
      <c r="O144" s="19"/>
      <c r="P144" s="27">
        <f>IF($A144="","",N($J144)*ValorHora)</f>
        <v>0</v>
      </c>
      <c r="Q144" s="27">
        <f>IF($A144="","",SUMIFS(ItTotal,ItOS,$A144))</f>
        <v>0</v>
      </c>
      <c r="R144" s="30">
        <f>IF($A144="","",$P144+$Q144+N($K144)-N($L144))</f>
        <v>0</v>
      </c>
      <c r="S144" s="27">
        <f>IF($A144="","",SUMIFS(ItCusto,ItOS,$A144))</f>
        <v>0</v>
      </c>
      <c r="T144" s="27">
        <f>IF($A144="","",$P144*ComMec)</f>
        <v>0</v>
      </c>
      <c r="U144" s="21">
        <f>IF($A144="","",$R144-$S144-$T144-N($K144))</f>
        <v>0</v>
      </c>
      <c r="V144" s="31">
        <f>IF(OR($A144="",N($R144)&lt;=0),"",$U144/$R144)</f>
        <v>0</v>
      </c>
      <c r="W144" s="27">
        <f>IF($A144="","",IF(OR($I144="Finalizado",$I144="Entregue"),MAX(0,$R144-N($O144)),0))</f>
        <v>0</v>
      </c>
      <c r="X144" s="32">
        <f>IF(OR($A144="",$B144=""),"",IF(OR($I144="Entregue",$I144="Cancelada"),"",Hoje-$B144))</f>
        <v>0</v>
      </c>
      <c r="Y144" s="24">
        <f>IF($A144="","",IF(AND(OR($I144="Aprovado",$I144="Em execução",$I144="Aguardando peça"),N($X144)&gt;PrazoMax),"ATRASADA",IF(AND(OR($I144="Finalizado",$I144="Entregue"),$W144&gt;0.005),"Cobrar",IF($I144="Orçamento","Aguardando aprovação",""))))</f>
        <v>0</v>
      </c>
      <c r="Z144" s="33">
        <f>IF(AND($I144="Entregue",$M144&lt;&gt;""),DATE(YEAR($M144),MONTH($M144),1),"")</f>
        <v>0</v>
      </c>
      <c r="AA144" s="34">
        <f>IF(AND($C144&lt;&gt;"",$C144=HistPlaca),COUNTIF($C$5:$C144,HistPlaca),"")</f>
        <v>0</v>
      </c>
    </row>
    <row r="145" spans="1:27">
      <c r="A145" s="17"/>
      <c r="B145" s="25"/>
      <c r="C145" s="13"/>
      <c r="D145" s="26">
        <f>IF($C145="","",IFERROR(INDEX(VeicCli,MATCH($C145,VeicPlaca,0)),"Placa não cadastrada"))</f>
        <v>0</v>
      </c>
      <c r="E145" s="26">
        <f>IF($C145="","",IFERROR(INDEX(VeicModelo,MATCH($C145,VeicPlaca,0)),""))</f>
        <v>0</v>
      </c>
      <c r="F145" s="28"/>
      <c r="G145" s="13"/>
      <c r="H145" s="13"/>
      <c r="I145" s="13"/>
      <c r="J145" s="29"/>
      <c r="K145" s="19"/>
      <c r="L145" s="19"/>
      <c r="M145" s="25"/>
      <c r="N145" s="13"/>
      <c r="O145" s="19"/>
      <c r="P145" s="27">
        <f>IF($A145="","",N($J145)*ValorHora)</f>
        <v>0</v>
      </c>
      <c r="Q145" s="27">
        <f>IF($A145="","",SUMIFS(ItTotal,ItOS,$A145))</f>
        <v>0</v>
      </c>
      <c r="R145" s="30">
        <f>IF($A145="","",$P145+$Q145+N($K145)-N($L145))</f>
        <v>0</v>
      </c>
      <c r="S145" s="27">
        <f>IF($A145="","",SUMIFS(ItCusto,ItOS,$A145))</f>
        <v>0</v>
      </c>
      <c r="T145" s="27">
        <f>IF($A145="","",$P145*ComMec)</f>
        <v>0</v>
      </c>
      <c r="U145" s="21">
        <f>IF($A145="","",$R145-$S145-$T145-N($K145))</f>
        <v>0</v>
      </c>
      <c r="V145" s="31">
        <f>IF(OR($A145="",N($R145)&lt;=0),"",$U145/$R145)</f>
        <v>0</v>
      </c>
      <c r="W145" s="27">
        <f>IF($A145="","",IF(OR($I145="Finalizado",$I145="Entregue"),MAX(0,$R145-N($O145)),0))</f>
        <v>0</v>
      </c>
      <c r="X145" s="32">
        <f>IF(OR($A145="",$B145=""),"",IF(OR($I145="Entregue",$I145="Cancelada"),"",Hoje-$B145))</f>
        <v>0</v>
      </c>
      <c r="Y145" s="24">
        <f>IF($A145="","",IF(AND(OR($I145="Aprovado",$I145="Em execução",$I145="Aguardando peça"),N($X145)&gt;PrazoMax),"ATRASADA",IF(AND(OR($I145="Finalizado",$I145="Entregue"),$W145&gt;0.005),"Cobrar",IF($I145="Orçamento","Aguardando aprovação",""))))</f>
        <v>0</v>
      </c>
      <c r="Z145" s="33">
        <f>IF(AND($I145="Entregue",$M145&lt;&gt;""),DATE(YEAR($M145),MONTH($M145),1),"")</f>
        <v>0</v>
      </c>
      <c r="AA145" s="34">
        <f>IF(AND($C145&lt;&gt;"",$C145=HistPlaca),COUNTIF($C$5:$C145,HistPlaca),"")</f>
        <v>0</v>
      </c>
    </row>
    <row r="146" spans="1:27">
      <c r="A146" s="17"/>
      <c r="B146" s="25"/>
      <c r="C146" s="13"/>
      <c r="D146" s="26">
        <f>IF($C146="","",IFERROR(INDEX(VeicCli,MATCH($C146,VeicPlaca,0)),"Placa não cadastrada"))</f>
        <v>0</v>
      </c>
      <c r="E146" s="26">
        <f>IF($C146="","",IFERROR(INDEX(VeicModelo,MATCH($C146,VeicPlaca,0)),""))</f>
        <v>0</v>
      </c>
      <c r="F146" s="28"/>
      <c r="G146" s="13"/>
      <c r="H146" s="13"/>
      <c r="I146" s="13"/>
      <c r="J146" s="29"/>
      <c r="K146" s="19"/>
      <c r="L146" s="19"/>
      <c r="M146" s="25"/>
      <c r="N146" s="13"/>
      <c r="O146" s="19"/>
      <c r="P146" s="27">
        <f>IF($A146="","",N($J146)*ValorHora)</f>
        <v>0</v>
      </c>
      <c r="Q146" s="27">
        <f>IF($A146="","",SUMIFS(ItTotal,ItOS,$A146))</f>
        <v>0</v>
      </c>
      <c r="R146" s="30">
        <f>IF($A146="","",$P146+$Q146+N($K146)-N($L146))</f>
        <v>0</v>
      </c>
      <c r="S146" s="27">
        <f>IF($A146="","",SUMIFS(ItCusto,ItOS,$A146))</f>
        <v>0</v>
      </c>
      <c r="T146" s="27">
        <f>IF($A146="","",$P146*ComMec)</f>
        <v>0</v>
      </c>
      <c r="U146" s="21">
        <f>IF($A146="","",$R146-$S146-$T146-N($K146))</f>
        <v>0</v>
      </c>
      <c r="V146" s="31">
        <f>IF(OR($A146="",N($R146)&lt;=0),"",$U146/$R146)</f>
        <v>0</v>
      </c>
      <c r="W146" s="27">
        <f>IF($A146="","",IF(OR($I146="Finalizado",$I146="Entregue"),MAX(0,$R146-N($O146)),0))</f>
        <v>0</v>
      </c>
      <c r="X146" s="32">
        <f>IF(OR($A146="",$B146=""),"",IF(OR($I146="Entregue",$I146="Cancelada"),"",Hoje-$B146))</f>
        <v>0</v>
      </c>
      <c r="Y146" s="24">
        <f>IF($A146="","",IF(AND(OR($I146="Aprovado",$I146="Em execução",$I146="Aguardando peça"),N($X146)&gt;PrazoMax),"ATRASADA",IF(AND(OR($I146="Finalizado",$I146="Entregue"),$W146&gt;0.005),"Cobrar",IF($I146="Orçamento","Aguardando aprovação",""))))</f>
        <v>0</v>
      </c>
      <c r="Z146" s="33">
        <f>IF(AND($I146="Entregue",$M146&lt;&gt;""),DATE(YEAR($M146),MONTH($M146),1),"")</f>
        <v>0</v>
      </c>
      <c r="AA146" s="34">
        <f>IF(AND($C146&lt;&gt;"",$C146=HistPlaca),COUNTIF($C$5:$C146,HistPlaca),"")</f>
        <v>0</v>
      </c>
    </row>
    <row r="147" spans="1:27">
      <c r="A147" s="17"/>
      <c r="B147" s="25"/>
      <c r="C147" s="13"/>
      <c r="D147" s="26">
        <f>IF($C147="","",IFERROR(INDEX(VeicCli,MATCH($C147,VeicPlaca,0)),"Placa não cadastrada"))</f>
        <v>0</v>
      </c>
      <c r="E147" s="26">
        <f>IF($C147="","",IFERROR(INDEX(VeicModelo,MATCH($C147,VeicPlaca,0)),""))</f>
        <v>0</v>
      </c>
      <c r="F147" s="28"/>
      <c r="G147" s="13"/>
      <c r="H147" s="13"/>
      <c r="I147" s="13"/>
      <c r="J147" s="29"/>
      <c r="K147" s="19"/>
      <c r="L147" s="19"/>
      <c r="M147" s="25"/>
      <c r="N147" s="13"/>
      <c r="O147" s="19"/>
      <c r="P147" s="27">
        <f>IF($A147="","",N($J147)*ValorHora)</f>
        <v>0</v>
      </c>
      <c r="Q147" s="27">
        <f>IF($A147="","",SUMIFS(ItTotal,ItOS,$A147))</f>
        <v>0</v>
      </c>
      <c r="R147" s="30">
        <f>IF($A147="","",$P147+$Q147+N($K147)-N($L147))</f>
        <v>0</v>
      </c>
      <c r="S147" s="27">
        <f>IF($A147="","",SUMIFS(ItCusto,ItOS,$A147))</f>
        <v>0</v>
      </c>
      <c r="T147" s="27">
        <f>IF($A147="","",$P147*ComMec)</f>
        <v>0</v>
      </c>
      <c r="U147" s="21">
        <f>IF($A147="","",$R147-$S147-$T147-N($K147))</f>
        <v>0</v>
      </c>
      <c r="V147" s="31">
        <f>IF(OR($A147="",N($R147)&lt;=0),"",$U147/$R147)</f>
        <v>0</v>
      </c>
      <c r="W147" s="27">
        <f>IF($A147="","",IF(OR($I147="Finalizado",$I147="Entregue"),MAX(0,$R147-N($O147)),0))</f>
        <v>0</v>
      </c>
      <c r="X147" s="32">
        <f>IF(OR($A147="",$B147=""),"",IF(OR($I147="Entregue",$I147="Cancelada"),"",Hoje-$B147))</f>
        <v>0</v>
      </c>
      <c r="Y147" s="24">
        <f>IF($A147="","",IF(AND(OR($I147="Aprovado",$I147="Em execução",$I147="Aguardando peça"),N($X147)&gt;PrazoMax),"ATRASADA",IF(AND(OR($I147="Finalizado",$I147="Entregue"),$W147&gt;0.005),"Cobrar",IF($I147="Orçamento","Aguardando aprovação",""))))</f>
        <v>0</v>
      </c>
      <c r="Z147" s="33">
        <f>IF(AND($I147="Entregue",$M147&lt;&gt;""),DATE(YEAR($M147),MONTH($M147),1),"")</f>
        <v>0</v>
      </c>
      <c r="AA147" s="34">
        <f>IF(AND($C147&lt;&gt;"",$C147=HistPlaca),COUNTIF($C$5:$C147,HistPlaca),"")</f>
        <v>0</v>
      </c>
    </row>
    <row r="148" spans="1:27">
      <c r="A148" s="17"/>
      <c r="B148" s="25"/>
      <c r="C148" s="13"/>
      <c r="D148" s="26">
        <f>IF($C148="","",IFERROR(INDEX(VeicCli,MATCH($C148,VeicPlaca,0)),"Placa não cadastrada"))</f>
        <v>0</v>
      </c>
      <c r="E148" s="26">
        <f>IF($C148="","",IFERROR(INDEX(VeicModelo,MATCH($C148,VeicPlaca,0)),""))</f>
        <v>0</v>
      </c>
      <c r="F148" s="28"/>
      <c r="G148" s="13"/>
      <c r="H148" s="13"/>
      <c r="I148" s="13"/>
      <c r="J148" s="29"/>
      <c r="K148" s="19"/>
      <c r="L148" s="19"/>
      <c r="M148" s="25"/>
      <c r="N148" s="13"/>
      <c r="O148" s="19"/>
      <c r="P148" s="27">
        <f>IF($A148="","",N($J148)*ValorHora)</f>
        <v>0</v>
      </c>
      <c r="Q148" s="27">
        <f>IF($A148="","",SUMIFS(ItTotal,ItOS,$A148))</f>
        <v>0</v>
      </c>
      <c r="R148" s="30">
        <f>IF($A148="","",$P148+$Q148+N($K148)-N($L148))</f>
        <v>0</v>
      </c>
      <c r="S148" s="27">
        <f>IF($A148="","",SUMIFS(ItCusto,ItOS,$A148))</f>
        <v>0</v>
      </c>
      <c r="T148" s="27">
        <f>IF($A148="","",$P148*ComMec)</f>
        <v>0</v>
      </c>
      <c r="U148" s="21">
        <f>IF($A148="","",$R148-$S148-$T148-N($K148))</f>
        <v>0</v>
      </c>
      <c r="V148" s="31">
        <f>IF(OR($A148="",N($R148)&lt;=0),"",$U148/$R148)</f>
        <v>0</v>
      </c>
      <c r="W148" s="27">
        <f>IF($A148="","",IF(OR($I148="Finalizado",$I148="Entregue"),MAX(0,$R148-N($O148)),0))</f>
        <v>0</v>
      </c>
      <c r="X148" s="32">
        <f>IF(OR($A148="",$B148=""),"",IF(OR($I148="Entregue",$I148="Cancelada"),"",Hoje-$B148))</f>
        <v>0</v>
      </c>
      <c r="Y148" s="24">
        <f>IF($A148="","",IF(AND(OR($I148="Aprovado",$I148="Em execução",$I148="Aguardando peça"),N($X148)&gt;PrazoMax),"ATRASADA",IF(AND(OR($I148="Finalizado",$I148="Entregue"),$W148&gt;0.005),"Cobrar",IF($I148="Orçamento","Aguardando aprovação",""))))</f>
        <v>0</v>
      </c>
      <c r="Z148" s="33">
        <f>IF(AND($I148="Entregue",$M148&lt;&gt;""),DATE(YEAR($M148),MONTH($M148),1),"")</f>
        <v>0</v>
      </c>
      <c r="AA148" s="34">
        <f>IF(AND($C148&lt;&gt;"",$C148=HistPlaca),COUNTIF($C$5:$C148,HistPlaca),"")</f>
        <v>0</v>
      </c>
    </row>
    <row r="149" spans="1:27">
      <c r="A149" s="17"/>
      <c r="B149" s="25"/>
      <c r="C149" s="13"/>
      <c r="D149" s="26">
        <f>IF($C149="","",IFERROR(INDEX(VeicCli,MATCH($C149,VeicPlaca,0)),"Placa não cadastrada"))</f>
        <v>0</v>
      </c>
      <c r="E149" s="26">
        <f>IF($C149="","",IFERROR(INDEX(VeicModelo,MATCH($C149,VeicPlaca,0)),""))</f>
        <v>0</v>
      </c>
      <c r="F149" s="28"/>
      <c r="G149" s="13"/>
      <c r="H149" s="13"/>
      <c r="I149" s="13"/>
      <c r="J149" s="29"/>
      <c r="K149" s="19"/>
      <c r="L149" s="19"/>
      <c r="M149" s="25"/>
      <c r="N149" s="13"/>
      <c r="O149" s="19"/>
      <c r="P149" s="27">
        <f>IF($A149="","",N($J149)*ValorHora)</f>
        <v>0</v>
      </c>
      <c r="Q149" s="27">
        <f>IF($A149="","",SUMIFS(ItTotal,ItOS,$A149))</f>
        <v>0</v>
      </c>
      <c r="R149" s="30">
        <f>IF($A149="","",$P149+$Q149+N($K149)-N($L149))</f>
        <v>0</v>
      </c>
      <c r="S149" s="27">
        <f>IF($A149="","",SUMIFS(ItCusto,ItOS,$A149))</f>
        <v>0</v>
      </c>
      <c r="T149" s="27">
        <f>IF($A149="","",$P149*ComMec)</f>
        <v>0</v>
      </c>
      <c r="U149" s="21">
        <f>IF($A149="","",$R149-$S149-$T149-N($K149))</f>
        <v>0</v>
      </c>
      <c r="V149" s="31">
        <f>IF(OR($A149="",N($R149)&lt;=0),"",$U149/$R149)</f>
        <v>0</v>
      </c>
      <c r="W149" s="27">
        <f>IF($A149="","",IF(OR($I149="Finalizado",$I149="Entregue"),MAX(0,$R149-N($O149)),0))</f>
        <v>0</v>
      </c>
      <c r="X149" s="32">
        <f>IF(OR($A149="",$B149=""),"",IF(OR($I149="Entregue",$I149="Cancelada"),"",Hoje-$B149))</f>
        <v>0</v>
      </c>
      <c r="Y149" s="24">
        <f>IF($A149="","",IF(AND(OR($I149="Aprovado",$I149="Em execução",$I149="Aguardando peça"),N($X149)&gt;PrazoMax),"ATRASADA",IF(AND(OR($I149="Finalizado",$I149="Entregue"),$W149&gt;0.005),"Cobrar",IF($I149="Orçamento","Aguardando aprovação",""))))</f>
        <v>0</v>
      </c>
      <c r="Z149" s="33">
        <f>IF(AND($I149="Entregue",$M149&lt;&gt;""),DATE(YEAR($M149),MONTH($M149),1),"")</f>
        <v>0</v>
      </c>
      <c r="AA149" s="34">
        <f>IF(AND($C149&lt;&gt;"",$C149=HistPlaca),COUNTIF($C$5:$C149,HistPlaca),"")</f>
        <v>0</v>
      </c>
    </row>
    <row r="150" spans="1:27">
      <c r="A150" s="17"/>
      <c r="B150" s="25"/>
      <c r="C150" s="13"/>
      <c r="D150" s="26">
        <f>IF($C150="","",IFERROR(INDEX(VeicCli,MATCH($C150,VeicPlaca,0)),"Placa não cadastrada"))</f>
        <v>0</v>
      </c>
      <c r="E150" s="26">
        <f>IF($C150="","",IFERROR(INDEX(VeicModelo,MATCH($C150,VeicPlaca,0)),""))</f>
        <v>0</v>
      </c>
      <c r="F150" s="28"/>
      <c r="G150" s="13"/>
      <c r="H150" s="13"/>
      <c r="I150" s="13"/>
      <c r="J150" s="29"/>
      <c r="K150" s="19"/>
      <c r="L150" s="19"/>
      <c r="M150" s="25"/>
      <c r="N150" s="13"/>
      <c r="O150" s="19"/>
      <c r="P150" s="27">
        <f>IF($A150="","",N($J150)*ValorHora)</f>
        <v>0</v>
      </c>
      <c r="Q150" s="27">
        <f>IF($A150="","",SUMIFS(ItTotal,ItOS,$A150))</f>
        <v>0</v>
      </c>
      <c r="R150" s="30">
        <f>IF($A150="","",$P150+$Q150+N($K150)-N($L150))</f>
        <v>0</v>
      </c>
      <c r="S150" s="27">
        <f>IF($A150="","",SUMIFS(ItCusto,ItOS,$A150))</f>
        <v>0</v>
      </c>
      <c r="T150" s="27">
        <f>IF($A150="","",$P150*ComMec)</f>
        <v>0</v>
      </c>
      <c r="U150" s="21">
        <f>IF($A150="","",$R150-$S150-$T150-N($K150))</f>
        <v>0</v>
      </c>
      <c r="V150" s="31">
        <f>IF(OR($A150="",N($R150)&lt;=0),"",$U150/$R150)</f>
        <v>0</v>
      </c>
      <c r="W150" s="27">
        <f>IF($A150="","",IF(OR($I150="Finalizado",$I150="Entregue"),MAX(0,$R150-N($O150)),0))</f>
        <v>0</v>
      </c>
      <c r="X150" s="32">
        <f>IF(OR($A150="",$B150=""),"",IF(OR($I150="Entregue",$I150="Cancelada"),"",Hoje-$B150))</f>
        <v>0</v>
      </c>
      <c r="Y150" s="24">
        <f>IF($A150="","",IF(AND(OR($I150="Aprovado",$I150="Em execução",$I150="Aguardando peça"),N($X150)&gt;PrazoMax),"ATRASADA",IF(AND(OR($I150="Finalizado",$I150="Entregue"),$W150&gt;0.005),"Cobrar",IF($I150="Orçamento","Aguardando aprovação",""))))</f>
        <v>0</v>
      </c>
      <c r="Z150" s="33">
        <f>IF(AND($I150="Entregue",$M150&lt;&gt;""),DATE(YEAR($M150),MONTH($M150),1),"")</f>
        <v>0</v>
      </c>
      <c r="AA150" s="34">
        <f>IF(AND($C150&lt;&gt;"",$C150=HistPlaca),COUNTIF($C$5:$C150,HistPlaca),"")</f>
        <v>0</v>
      </c>
    </row>
    <row r="151" spans="1:27">
      <c r="A151" s="17"/>
      <c r="B151" s="25"/>
      <c r="C151" s="13"/>
      <c r="D151" s="26">
        <f>IF($C151="","",IFERROR(INDEX(VeicCli,MATCH($C151,VeicPlaca,0)),"Placa não cadastrada"))</f>
        <v>0</v>
      </c>
      <c r="E151" s="26">
        <f>IF($C151="","",IFERROR(INDEX(VeicModelo,MATCH($C151,VeicPlaca,0)),""))</f>
        <v>0</v>
      </c>
      <c r="F151" s="28"/>
      <c r="G151" s="13"/>
      <c r="H151" s="13"/>
      <c r="I151" s="13"/>
      <c r="J151" s="29"/>
      <c r="K151" s="19"/>
      <c r="L151" s="19"/>
      <c r="M151" s="25"/>
      <c r="N151" s="13"/>
      <c r="O151" s="19"/>
      <c r="P151" s="27">
        <f>IF($A151="","",N($J151)*ValorHora)</f>
        <v>0</v>
      </c>
      <c r="Q151" s="27">
        <f>IF($A151="","",SUMIFS(ItTotal,ItOS,$A151))</f>
        <v>0</v>
      </c>
      <c r="R151" s="30">
        <f>IF($A151="","",$P151+$Q151+N($K151)-N($L151))</f>
        <v>0</v>
      </c>
      <c r="S151" s="27">
        <f>IF($A151="","",SUMIFS(ItCusto,ItOS,$A151))</f>
        <v>0</v>
      </c>
      <c r="T151" s="27">
        <f>IF($A151="","",$P151*ComMec)</f>
        <v>0</v>
      </c>
      <c r="U151" s="21">
        <f>IF($A151="","",$R151-$S151-$T151-N($K151))</f>
        <v>0</v>
      </c>
      <c r="V151" s="31">
        <f>IF(OR($A151="",N($R151)&lt;=0),"",$U151/$R151)</f>
        <v>0</v>
      </c>
      <c r="W151" s="27">
        <f>IF($A151="","",IF(OR($I151="Finalizado",$I151="Entregue"),MAX(0,$R151-N($O151)),0))</f>
        <v>0</v>
      </c>
      <c r="X151" s="32">
        <f>IF(OR($A151="",$B151=""),"",IF(OR($I151="Entregue",$I151="Cancelada"),"",Hoje-$B151))</f>
        <v>0</v>
      </c>
      <c r="Y151" s="24">
        <f>IF($A151="","",IF(AND(OR($I151="Aprovado",$I151="Em execução",$I151="Aguardando peça"),N($X151)&gt;PrazoMax),"ATRASADA",IF(AND(OR($I151="Finalizado",$I151="Entregue"),$W151&gt;0.005),"Cobrar",IF($I151="Orçamento","Aguardando aprovação",""))))</f>
        <v>0</v>
      </c>
      <c r="Z151" s="33">
        <f>IF(AND($I151="Entregue",$M151&lt;&gt;""),DATE(YEAR($M151),MONTH($M151),1),"")</f>
        <v>0</v>
      </c>
      <c r="AA151" s="34">
        <f>IF(AND($C151&lt;&gt;"",$C151=HistPlaca),COUNTIF($C$5:$C151,HistPlaca),"")</f>
        <v>0</v>
      </c>
    </row>
    <row r="152" spans="1:27">
      <c r="A152" s="17"/>
      <c r="B152" s="25"/>
      <c r="C152" s="13"/>
      <c r="D152" s="26">
        <f>IF($C152="","",IFERROR(INDEX(VeicCli,MATCH($C152,VeicPlaca,0)),"Placa não cadastrada"))</f>
        <v>0</v>
      </c>
      <c r="E152" s="26">
        <f>IF($C152="","",IFERROR(INDEX(VeicModelo,MATCH($C152,VeicPlaca,0)),""))</f>
        <v>0</v>
      </c>
      <c r="F152" s="28"/>
      <c r="G152" s="13"/>
      <c r="H152" s="13"/>
      <c r="I152" s="13"/>
      <c r="J152" s="29"/>
      <c r="K152" s="19"/>
      <c r="L152" s="19"/>
      <c r="M152" s="25"/>
      <c r="N152" s="13"/>
      <c r="O152" s="19"/>
      <c r="P152" s="27">
        <f>IF($A152="","",N($J152)*ValorHora)</f>
        <v>0</v>
      </c>
      <c r="Q152" s="27">
        <f>IF($A152="","",SUMIFS(ItTotal,ItOS,$A152))</f>
        <v>0</v>
      </c>
      <c r="R152" s="30">
        <f>IF($A152="","",$P152+$Q152+N($K152)-N($L152))</f>
        <v>0</v>
      </c>
      <c r="S152" s="27">
        <f>IF($A152="","",SUMIFS(ItCusto,ItOS,$A152))</f>
        <v>0</v>
      </c>
      <c r="T152" s="27">
        <f>IF($A152="","",$P152*ComMec)</f>
        <v>0</v>
      </c>
      <c r="U152" s="21">
        <f>IF($A152="","",$R152-$S152-$T152-N($K152))</f>
        <v>0</v>
      </c>
      <c r="V152" s="31">
        <f>IF(OR($A152="",N($R152)&lt;=0),"",$U152/$R152)</f>
        <v>0</v>
      </c>
      <c r="W152" s="27">
        <f>IF($A152="","",IF(OR($I152="Finalizado",$I152="Entregue"),MAX(0,$R152-N($O152)),0))</f>
        <v>0</v>
      </c>
      <c r="X152" s="32">
        <f>IF(OR($A152="",$B152=""),"",IF(OR($I152="Entregue",$I152="Cancelada"),"",Hoje-$B152))</f>
        <v>0</v>
      </c>
      <c r="Y152" s="24">
        <f>IF($A152="","",IF(AND(OR($I152="Aprovado",$I152="Em execução",$I152="Aguardando peça"),N($X152)&gt;PrazoMax),"ATRASADA",IF(AND(OR($I152="Finalizado",$I152="Entregue"),$W152&gt;0.005),"Cobrar",IF($I152="Orçamento","Aguardando aprovação",""))))</f>
        <v>0</v>
      </c>
      <c r="Z152" s="33">
        <f>IF(AND($I152="Entregue",$M152&lt;&gt;""),DATE(YEAR($M152),MONTH($M152),1),"")</f>
        <v>0</v>
      </c>
      <c r="AA152" s="34">
        <f>IF(AND($C152&lt;&gt;"",$C152=HistPlaca),COUNTIF($C$5:$C152,HistPlaca),"")</f>
        <v>0</v>
      </c>
    </row>
    <row r="153" spans="1:27">
      <c r="A153" s="17"/>
      <c r="B153" s="25"/>
      <c r="C153" s="13"/>
      <c r="D153" s="26">
        <f>IF($C153="","",IFERROR(INDEX(VeicCli,MATCH($C153,VeicPlaca,0)),"Placa não cadastrada"))</f>
        <v>0</v>
      </c>
      <c r="E153" s="26">
        <f>IF($C153="","",IFERROR(INDEX(VeicModelo,MATCH($C153,VeicPlaca,0)),""))</f>
        <v>0</v>
      </c>
      <c r="F153" s="28"/>
      <c r="G153" s="13"/>
      <c r="H153" s="13"/>
      <c r="I153" s="13"/>
      <c r="J153" s="29"/>
      <c r="K153" s="19"/>
      <c r="L153" s="19"/>
      <c r="M153" s="25"/>
      <c r="N153" s="13"/>
      <c r="O153" s="19"/>
      <c r="P153" s="27">
        <f>IF($A153="","",N($J153)*ValorHora)</f>
        <v>0</v>
      </c>
      <c r="Q153" s="27">
        <f>IF($A153="","",SUMIFS(ItTotal,ItOS,$A153))</f>
        <v>0</v>
      </c>
      <c r="R153" s="30">
        <f>IF($A153="","",$P153+$Q153+N($K153)-N($L153))</f>
        <v>0</v>
      </c>
      <c r="S153" s="27">
        <f>IF($A153="","",SUMIFS(ItCusto,ItOS,$A153))</f>
        <v>0</v>
      </c>
      <c r="T153" s="27">
        <f>IF($A153="","",$P153*ComMec)</f>
        <v>0</v>
      </c>
      <c r="U153" s="21">
        <f>IF($A153="","",$R153-$S153-$T153-N($K153))</f>
        <v>0</v>
      </c>
      <c r="V153" s="31">
        <f>IF(OR($A153="",N($R153)&lt;=0),"",$U153/$R153)</f>
        <v>0</v>
      </c>
      <c r="W153" s="27">
        <f>IF($A153="","",IF(OR($I153="Finalizado",$I153="Entregue"),MAX(0,$R153-N($O153)),0))</f>
        <v>0</v>
      </c>
      <c r="X153" s="32">
        <f>IF(OR($A153="",$B153=""),"",IF(OR($I153="Entregue",$I153="Cancelada"),"",Hoje-$B153))</f>
        <v>0</v>
      </c>
      <c r="Y153" s="24">
        <f>IF($A153="","",IF(AND(OR($I153="Aprovado",$I153="Em execução",$I153="Aguardando peça"),N($X153)&gt;PrazoMax),"ATRASADA",IF(AND(OR($I153="Finalizado",$I153="Entregue"),$W153&gt;0.005),"Cobrar",IF($I153="Orçamento","Aguardando aprovação",""))))</f>
        <v>0</v>
      </c>
      <c r="Z153" s="33">
        <f>IF(AND($I153="Entregue",$M153&lt;&gt;""),DATE(YEAR($M153),MONTH($M153),1),"")</f>
        <v>0</v>
      </c>
      <c r="AA153" s="34">
        <f>IF(AND($C153&lt;&gt;"",$C153=HistPlaca),COUNTIF($C$5:$C153,HistPlaca),"")</f>
        <v>0</v>
      </c>
    </row>
    <row r="154" spans="1:27">
      <c r="A154" s="17"/>
      <c r="B154" s="25"/>
      <c r="C154" s="13"/>
      <c r="D154" s="26">
        <f>IF($C154="","",IFERROR(INDEX(VeicCli,MATCH($C154,VeicPlaca,0)),"Placa não cadastrada"))</f>
        <v>0</v>
      </c>
      <c r="E154" s="26">
        <f>IF($C154="","",IFERROR(INDEX(VeicModelo,MATCH($C154,VeicPlaca,0)),""))</f>
        <v>0</v>
      </c>
      <c r="F154" s="28"/>
      <c r="G154" s="13"/>
      <c r="H154" s="13"/>
      <c r="I154" s="13"/>
      <c r="J154" s="29"/>
      <c r="K154" s="19"/>
      <c r="L154" s="19"/>
      <c r="M154" s="25"/>
      <c r="N154" s="13"/>
      <c r="O154" s="19"/>
      <c r="P154" s="27">
        <f>IF($A154="","",N($J154)*ValorHora)</f>
        <v>0</v>
      </c>
      <c r="Q154" s="27">
        <f>IF($A154="","",SUMIFS(ItTotal,ItOS,$A154))</f>
        <v>0</v>
      </c>
      <c r="R154" s="30">
        <f>IF($A154="","",$P154+$Q154+N($K154)-N($L154))</f>
        <v>0</v>
      </c>
      <c r="S154" s="27">
        <f>IF($A154="","",SUMIFS(ItCusto,ItOS,$A154))</f>
        <v>0</v>
      </c>
      <c r="T154" s="27">
        <f>IF($A154="","",$P154*ComMec)</f>
        <v>0</v>
      </c>
      <c r="U154" s="21">
        <f>IF($A154="","",$R154-$S154-$T154-N($K154))</f>
        <v>0</v>
      </c>
      <c r="V154" s="31">
        <f>IF(OR($A154="",N($R154)&lt;=0),"",$U154/$R154)</f>
        <v>0</v>
      </c>
      <c r="W154" s="27">
        <f>IF($A154="","",IF(OR($I154="Finalizado",$I154="Entregue"),MAX(0,$R154-N($O154)),0))</f>
        <v>0</v>
      </c>
      <c r="X154" s="32">
        <f>IF(OR($A154="",$B154=""),"",IF(OR($I154="Entregue",$I154="Cancelada"),"",Hoje-$B154))</f>
        <v>0</v>
      </c>
      <c r="Y154" s="24">
        <f>IF($A154="","",IF(AND(OR($I154="Aprovado",$I154="Em execução",$I154="Aguardando peça"),N($X154)&gt;PrazoMax),"ATRASADA",IF(AND(OR($I154="Finalizado",$I154="Entregue"),$W154&gt;0.005),"Cobrar",IF($I154="Orçamento","Aguardando aprovação",""))))</f>
        <v>0</v>
      </c>
      <c r="Z154" s="33">
        <f>IF(AND($I154="Entregue",$M154&lt;&gt;""),DATE(YEAR($M154),MONTH($M154),1),"")</f>
        <v>0</v>
      </c>
      <c r="AA154" s="34">
        <f>IF(AND($C154&lt;&gt;"",$C154=HistPlaca),COUNTIF($C$5:$C154,HistPlaca),"")</f>
        <v>0</v>
      </c>
    </row>
    <row r="155" spans="1:27">
      <c r="A155" s="17"/>
      <c r="B155" s="25"/>
      <c r="C155" s="13"/>
      <c r="D155" s="26">
        <f>IF($C155="","",IFERROR(INDEX(VeicCli,MATCH($C155,VeicPlaca,0)),"Placa não cadastrada"))</f>
        <v>0</v>
      </c>
      <c r="E155" s="26">
        <f>IF($C155="","",IFERROR(INDEX(VeicModelo,MATCH($C155,VeicPlaca,0)),""))</f>
        <v>0</v>
      </c>
      <c r="F155" s="28"/>
      <c r="G155" s="13"/>
      <c r="H155" s="13"/>
      <c r="I155" s="13"/>
      <c r="J155" s="29"/>
      <c r="K155" s="19"/>
      <c r="L155" s="19"/>
      <c r="M155" s="25"/>
      <c r="N155" s="13"/>
      <c r="O155" s="19"/>
      <c r="P155" s="27">
        <f>IF($A155="","",N($J155)*ValorHora)</f>
        <v>0</v>
      </c>
      <c r="Q155" s="27">
        <f>IF($A155="","",SUMIFS(ItTotal,ItOS,$A155))</f>
        <v>0</v>
      </c>
      <c r="R155" s="30">
        <f>IF($A155="","",$P155+$Q155+N($K155)-N($L155))</f>
        <v>0</v>
      </c>
      <c r="S155" s="27">
        <f>IF($A155="","",SUMIFS(ItCusto,ItOS,$A155))</f>
        <v>0</v>
      </c>
      <c r="T155" s="27">
        <f>IF($A155="","",$P155*ComMec)</f>
        <v>0</v>
      </c>
      <c r="U155" s="21">
        <f>IF($A155="","",$R155-$S155-$T155-N($K155))</f>
        <v>0</v>
      </c>
      <c r="V155" s="31">
        <f>IF(OR($A155="",N($R155)&lt;=0),"",$U155/$R155)</f>
        <v>0</v>
      </c>
      <c r="W155" s="27">
        <f>IF($A155="","",IF(OR($I155="Finalizado",$I155="Entregue"),MAX(0,$R155-N($O155)),0))</f>
        <v>0</v>
      </c>
      <c r="X155" s="32">
        <f>IF(OR($A155="",$B155=""),"",IF(OR($I155="Entregue",$I155="Cancelada"),"",Hoje-$B155))</f>
        <v>0</v>
      </c>
      <c r="Y155" s="24">
        <f>IF($A155="","",IF(AND(OR($I155="Aprovado",$I155="Em execução",$I155="Aguardando peça"),N($X155)&gt;PrazoMax),"ATRASADA",IF(AND(OR($I155="Finalizado",$I155="Entregue"),$W155&gt;0.005),"Cobrar",IF($I155="Orçamento","Aguardando aprovação",""))))</f>
        <v>0</v>
      </c>
      <c r="Z155" s="33">
        <f>IF(AND($I155="Entregue",$M155&lt;&gt;""),DATE(YEAR($M155),MONTH($M155),1),"")</f>
        <v>0</v>
      </c>
      <c r="AA155" s="34">
        <f>IF(AND($C155&lt;&gt;"",$C155=HistPlaca),COUNTIF($C$5:$C155,HistPlaca),"")</f>
        <v>0</v>
      </c>
    </row>
    <row r="156" spans="1:27">
      <c r="A156" s="17"/>
      <c r="B156" s="25"/>
      <c r="C156" s="13"/>
      <c r="D156" s="26">
        <f>IF($C156="","",IFERROR(INDEX(VeicCli,MATCH($C156,VeicPlaca,0)),"Placa não cadastrada"))</f>
        <v>0</v>
      </c>
      <c r="E156" s="26">
        <f>IF($C156="","",IFERROR(INDEX(VeicModelo,MATCH($C156,VeicPlaca,0)),""))</f>
        <v>0</v>
      </c>
      <c r="F156" s="28"/>
      <c r="G156" s="13"/>
      <c r="H156" s="13"/>
      <c r="I156" s="13"/>
      <c r="J156" s="29"/>
      <c r="K156" s="19"/>
      <c r="L156" s="19"/>
      <c r="M156" s="25"/>
      <c r="N156" s="13"/>
      <c r="O156" s="19"/>
      <c r="P156" s="27">
        <f>IF($A156="","",N($J156)*ValorHora)</f>
        <v>0</v>
      </c>
      <c r="Q156" s="27">
        <f>IF($A156="","",SUMIFS(ItTotal,ItOS,$A156))</f>
        <v>0</v>
      </c>
      <c r="R156" s="30">
        <f>IF($A156="","",$P156+$Q156+N($K156)-N($L156))</f>
        <v>0</v>
      </c>
      <c r="S156" s="27">
        <f>IF($A156="","",SUMIFS(ItCusto,ItOS,$A156))</f>
        <v>0</v>
      </c>
      <c r="T156" s="27">
        <f>IF($A156="","",$P156*ComMec)</f>
        <v>0</v>
      </c>
      <c r="U156" s="21">
        <f>IF($A156="","",$R156-$S156-$T156-N($K156))</f>
        <v>0</v>
      </c>
      <c r="V156" s="31">
        <f>IF(OR($A156="",N($R156)&lt;=0),"",$U156/$R156)</f>
        <v>0</v>
      </c>
      <c r="W156" s="27">
        <f>IF($A156="","",IF(OR($I156="Finalizado",$I156="Entregue"),MAX(0,$R156-N($O156)),0))</f>
        <v>0</v>
      </c>
      <c r="X156" s="32">
        <f>IF(OR($A156="",$B156=""),"",IF(OR($I156="Entregue",$I156="Cancelada"),"",Hoje-$B156))</f>
        <v>0</v>
      </c>
      <c r="Y156" s="24">
        <f>IF($A156="","",IF(AND(OR($I156="Aprovado",$I156="Em execução",$I156="Aguardando peça"),N($X156)&gt;PrazoMax),"ATRASADA",IF(AND(OR($I156="Finalizado",$I156="Entregue"),$W156&gt;0.005),"Cobrar",IF($I156="Orçamento","Aguardando aprovação",""))))</f>
        <v>0</v>
      </c>
      <c r="Z156" s="33">
        <f>IF(AND($I156="Entregue",$M156&lt;&gt;""),DATE(YEAR($M156),MONTH($M156),1),"")</f>
        <v>0</v>
      </c>
      <c r="AA156" s="34">
        <f>IF(AND($C156&lt;&gt;"",$C156=HistPlaca),COUNTIF($C$5:$C156,HistPlaca),"")</f>
        <v>0</v>
      </c>
    </row>
    <row r="157" spans="1:27">
      <c r="A157" s="17"/>
      <c r="B157" s="25"/>
      <c r="C157" s="13"/>
      <c r="D157" s="26">
        <f>IF($C157="","",IFERROR(INDEX(VeicCli,MATCH($C157,VeicPlaca,0)),"Placa não cadastrada"))</f>
        <v>0</v>
      </c>
      <c r="E157" s="26">
        <f>IF($C157="","",IFERROR(INDEX(VeicModelo,MATCH($C157,VeicPlaca,0)),""))</f>
        <v>0</v>
      </c>
      <c r="F157" s="28"/>
      <c r="G157" s="13"/>
      <c r="H157" s="13"/>
      <c r="I157" s="13"/>
      <c r="J157" s="29"/>
      <c r="K157" s="19"/>
      <c r="L157" s="19"/>
      <c r="M157" s="25"/>
      <c r="N157" s="13"/>
      <c r="O157" s="19"/>
      <c r="P157" s="27">
        <f>IF($A157="","",N($J157)*ValorHora)</f>
        <v>0</v>
      </c>
      <c r="Q157" s="27">
        <f>IF($A157="","",SUMIFS(ItTotal,ItOS,$A157))</f>
        <v>0</v>
      </c>
      <c r="R157" s="30">
        <f>IF($A157="","",$P157+$Q157+N($K157)-N($L157))</f>
        <v>0</v>
      </c>
      <c r="S157" s="27">
        <f>IF($A157="","",SUMIFS(ItCusto,ItOS,$A157))</f>
        <v>0</v>
      </c>
      <c r="T157" s="27">
        <f>IF($A157="","",$P157*ComMec)</f>
        <v>0</v>
      </c>
      <c r="U157" s="21">
        <f>IF($A157="","",$R157-$S157-$T157-N($K157))</f>
        <v>0</v>
      </c>
      <c r="V157" s="31">
        <f>IF(OR($A157="",N($R157)&lt;=0),"",$U157/$R157)</f>
        <v>0</v>
      </c>
      <c r="W157" s="27">
        <f>IF($A157="","",IF(OR($I157="Finalizado",$I157="Entregue"),MAX(0,$R157-N($O157)),0))</f>
        <v>0</v>
      </c>
      <c r="X157" s="32">
        <f>IF(OR($A157="",$B157=""),"",IF(OR($I157="Entregue",$I157="Cancelada"),"",Hoje-$B157))</f>
        <v>0</v>
      </c>
      <c r="Y157" s="24">
        <f>IF($A157="","",IF(AND(OR($I157="Aprovado",$I157="Em execução",$I157="Aguardando peça"),N($X157)&gt;PrazoMax),"ATRASADA",IF(AND(OR($I157="Finalizado",$I157="Entregue"),$W157&gt;0.005),"Cobrar",IF($I157="Orçamento","Aguardando aprovação",""))))</f>
        <v>0</v>
      </c>
      <c r="Z157" s="33">
        <f>IF(AND($I157="Entregue",$M157&lt;&gt;""),DATE(YEAR($M157),MONTH($M157),1),"")</f>
        <v>0</v>
      </c>
      <c r="AA157" s="34">
        <f>IF(AND($C157&lt;&gt;"",$C157=HistPlaca),COUNTIF($C$5:$C157,HistPlaca),"")</f>
        <v>0</v>
      </c>
    </row>
    <row r="158" spans="1:27">
      <c r="A158" s="17"/>
      <c r="B158" s="25"/>
      <c r="C158" s="13"/>
      <c r="D158" s="26">
        <f>IF($C158="","",IFERROR(INDEX(VeicCli,MATCH($C158,VeicPlaca,0)),"Placa não cadastrada"))</f>
        <v>0</v>
      </c>
      <c r="E158" s="26">
        <f>IF($C158="","",IFERROR(INDEX(VeicModelo,MATCH($C158,VeicPlaca,0)),""))</f>
        <v>0</v>
      </c>
      <c r="F158" s="28"/>
      <c r="G158" s="13"/>
      <c r="H158" s="13"/>
      <c r="I158" s="13"/>
      <c r="J158" s="29"/>
      <c r="K158" s="19"/>
      <c r="L158" s="19"/>
      <c r="M158" s="25"/>
      <c r="N158" s="13"/>
      <c r="O158" s="19"/>
      <c r="P158" s="27">
        <f>IF($A158="","",N($J158)*ValorHora)</f>
        <v>0</v>
      </c>
      <c r="Q158" s="27">
        <f>IF($A158="","",SUMIFS(ItTotal,ItOS,$A158))</f>
        <v>0</v>
      </c>
      <c r="R158" s="30">
        <f>IF($A158="","",$P158+$Q158+N($K158)-N($L158))</f>
        <v>0</v>
      </c>
      <c r="S158" s="27">
        <f>IF($A158="","",SUMIFS(ItCusto,ItOS,$A158))</f>
        <v>0</v>
      </c>
      <c r="T158" s="27">
        <f>IF($A158="","",$P158*ComMec)</f>
        <v>0</v>
      </c>
      <c r="U158" s="21">
        <f>IF($A158="","",$R158-$S158-$T158-N($K158))</f>
        <v>0</v>
      </c>
      <c r="V158" s="31">
        <f>IF(OR($A158="",N($R158)&lt;=0),"",$U158/$R158)</f>
        <v>0</v>
      </c>
      <c r="W158" s="27">
        <f>IF($A158="","",IF(OR($I158="Finalizado",$I158="Entregue"),MAX(0,$R158-N($O158)),0))</f>
        <v>0</v>
      </c>
      <c r="X158" s="32">
        <f>IF(OR($A158="",$B158=""),"",IF(OR($I158="Entregue",$I158="Cancelada"),"",Hoje-$B158))</f>
        <v>0</v>
      </c>
      <c r="Y158" s="24">
        <f>IF($A158="","",IF(AND(OR($I158="Aprovado",$I158="Em execução",$I158="Aguardando peça"),N($X158)&gt;PrazoMax),"ATRASADA",IF(AND(OR($I158="Finalizado",$I158="Entregue"),$W158&gt;0.005),"Cobrar",IF($I158="Orçamento","Aguardando aprovação",""))))</f>
        <v>0</v>
      </c>
      <c r="Z158" s="33">
        <f>IF(AND($I158="Entregue",$M158&lt;&gt;""),DATE(YEAR($M158),MONTH($M158),1),"")</f>
        <v>0</v>
      </c>
      <c r="AA158" s="34">
        <f>IF(AND($C158&lt;&gt;"",$C158=HistPlaca),COUNTIF($C$5:$C158,HistPlaca),"")</f>
        <v>0</v>
      </c>
    </row>
    <row r="159" spans="1:27">
      <c r="A159" s="17"/>
      <c r="B159" s="25"/>
      <c r="C159" s="13"/>
      <c r="D159" s="26">
        <f>IF($C159="","",IFERROR(INDEX(VeicCli,MATCH($C159,VeicPlaca,0)),"Placa não cadastrada"))</f>
        <v>0</v>
      </c>
      <c r="E159" s="26">
        <f>IF($C159="","",IFERROR(INDEX(VeicModelo,MATCH($C159,VeicPlaca,0)),""))</f>
        <v>0</v>
      </c>
      <c r="F159" s="28"/>
      <c r="G159" s="13"/>
      <c r="H159" s="13"/>
      <c r="I159" s="13"/>
      <c r="J159" s="29"/>
      <c r="K159" s="19"/>
      <c r="L159" s="19"/>
      <c r="M159" s="25"/>
      <c r="N159" s="13"/>
      <c r="O159" s="19"/>
      <c r="P159" s="27">
        <f>IF($A159="","",N($J159)*ValorHora)</f>
        <v>0</v>
      </c>
      <c r="Q159" s="27">
        <f>IF($A159="","",SUMIFS(ItTotal,ItOS,$A159))</f>
        <v>0</v>
      </c>
      <c r="R159" s="30">
        <f>IF($A159="","",$P159+$Q159+N($K159)-N($L159))</f>
        <v>0</v>
      </c>
      <c r="S159" s="27">
        <f>IF($A159="","",SUMIFS(ItCusto,ItOS,$A159))</f>
        <v>0</v>
      </c>
      <c r="T159" s="27">
        <f>IF($A159="","",$P159*ComMec)</f>
        <v>0</v>
      </c>
      <c r="U159" s="21">
        <f>IF($A159="","",$R159-$S159-$T159-N($K159))</f>
        <v>0</v>
      </c>
      <c r="V159" s="31">
        <f>IF(OR($A159="",N($R159)&lt;=0),"",$U159/$R159)</f>
        <v>0</v>
      </c>
      <c r="W159" s="27">
        <f>IF($A159="","",IF(OR($I159="Finalizado",$I159="Entregue"),MAX(0,$R159-N($O159)),0))</f>
        <v>0</v>
      </c>
      <c r="X159" s="32">
        <f>IF(OR($A159="",$B159=""),"",IF(OR($I159="Entregue",$I159="Cancelada"),"",Hoje-$B159))</f>
        <v>0</v>
      </c>
      <c r="Y159" s="24">
        <f>IF($A159="","",IF(AND(OR($I159="Aprovado",$I159="Em execução",$I159="Aguardando peça"),N($X159)&gt;PrazoMax),"ATRASADA",IF(AND(OR($I159="Finalizado",$I159="Entregue"),$W159&gt;0.005),"Cobrar",IF($I159="Orçamento","Aguardando aprovação",""))))</f>
        <v>0</v>
      </c>
      <c r="Z159" s="33">
        <f>IF(AND($I159="Entregue",$M159&lt;&gt;""),DATE(YEAR($M159),MONTH($M159),1),"")</f>
        <v>0</v>
      </c>
      <c r="AA159" s="34">
        <f>IF(AND($C159&lt;&gt;"",$C159=HistPlaca),COUNTIF($C$5:$C159,HistPlaca),"")</f>
        <v>0</v>
      </c>
    </row>
    <row r="160" spans="1:27">
      <c r="A160" s="17"/>
      <c r="B160" s="25"/>
      <c r="C160" s="13"/>
      <c r="D160" s="26">
        <f>IF($C160="","",IFERROR(INDEX(VeicCli,MATCH($C160,VeicPlaca,0)),"Placa não cadastrada"))</f>
        <v>0</v>
      </c>
      <c r="E160" s="26">
        <f>IF($C160="","",IFERROR(INDEX(VeicModelo,MATCH($C160,VeicPlaca,0)),""))</f>
        <v>0</v>
      </c>
      <c r="F160" s="28"/>
      <c r="G160" s="13"/>
      <c r="H160" s="13"/>
      <c r="I160" s="13"/>
      <c r="J160" s="29"/>
      <c r="K160" s="19"/>
      <c r="L160" s="19"/>
      <c r="M160" s="25"/>
      <c r="N160" s="13"/>
      <c r="O160" s="19"/>
      <c r="P160" s="27">
        <f>IF($A160="","",N($J160)*ValorHora)</f>
        <v>0</v>
      </c>
      <c r="Q160" s="27">
        <f>IF($A160="","",SUMIFS(ItTotal,ItOS,$A160))</f>
        <v>0</v>
      </c>
      <c r="R160" s="30">
        <f>IF($A160="","",$P160+$Q160+N($K160)-N($L160))</f>
        <v>0</v>
      </c>
      <c r="S160" s="27">
        <f>IF($A160="","",SUMIFS(ItCusto,ItOS,$A160))</f>
        <v>0</v>
      </c>
      <c r="T160" s="27">
        <f>IF($A160="","",$P160*ComMec)</f>
        <v>0</v>
      </c>
      <c r="U160" s="21">
        <f>IF($A160="","",$R160-$S160-$T160-N($K160))</f>
        <v>0</v>
      </c>
      <c r="V160" s="31">
        <f>IF(OR($A160="",N($R160)&lt;=0),"",$U160/$R160)</f>
        <v>0</v>
      </c>
      <c r="W160" s="27">
        <f>IF($A160="","",IF(OR($I160="Finalizado",$I160="Entregue"),MAX(0,$R160-N($O160)),0))</f>
        <v>0</v>
      </c>
      <c r="X160" s="32">
        <f>IF(OR($A160="",$B160=""),"",IF(OR($I160="Entregue",$I160="Cancelada"),"",Hoje-$B160))</f>
        <v>0</v>
      </c>
      <c r="Y160" s="24">
        <f>IF($A160="","",IF(AND(OR($I160="Aprovado",$I160="Em execução",$I160="Aguardando peça"),N($X160)&gt;PrazoMax),"ATRASADA",IF(AND(OR($I160="Finalizado",$I160="Entregue"),$W160&gt;0.005),"Cobrar",IF($I160="Orçamento","Aguardando aprovação",""))))</f>
        <v>0</v>
      </c>
      <c r="Z160" s="33">
        <f>IF(AND($I160="Entregue",$M160&lt;&gt;""),DATE(YEAR($M160),MONTH($M160),1),"")</f>
        <v>0</v>
      </c>
      <c r="AA160" s="34">
        <f>IF(AND($C160&lt;&gt;"",$C160=HistPlaca),COUNTIF($C$5:$C160,HistPlaca),"")</f>
        <v>0</v>
      </c>
    </row>
    <row r="161" spans="1:27">
      <c r="A161" s="17"/>
      <c r="B161" s="25"/>
      <c r="C161" s="13"/>
      <c r="D161" s="26">
        <f>IF($C161="","",IFERROR(INDEX(VeicCli,MATCH($C161,VeicPlaca,0)),"Placa não cadastrada"))</f>
        <v>0</v>
      </c>
      <c r="E161" s="26">
        <f>IF($C161="","",IFERROR(INDEX(VeicModelo,MATCH($C161,VeicPlaca,0)),""))</f>
        <v>0</v>
      </c>
      <c r="F161" s="28"/>
      <c r="G161" s="13"/>
      <c r="H161" s="13"/>
      <c r="I161" s="13"/>
      <c r="J161" s="29"/>
      <c r="K161" s="19"/>
      <c r="L161" s="19"/>
      <c r="M161" s="25"/>
      <c r="N161" s="13"/>
      <c r="O161" s="19"/>
      <c r="P161" s="27">
        <f>IF($A161="","",N($J161)*ValorHora)</f>
        <v>0</v>
      </c>
      <c r="Q161" s="27">
        <f>IF($A161="","",SUMIFS(ItTotal,ItOS,$A161))</f>
        <v>0</v>
      </c>
      <c r="R161" s="30">
        <f>IF($A161="","",$P161+$Q161+N($K161)-N($L161))</f>
        <v>0</v>
      </c>
      <c r="S161" s="27">
        <f>IF($A161="","",SUMIFS(ItCusto,ItOS,$A161))</f>
        <v>0</v>
      </c>
      <c r="T161" s="27">
        <f>IF($A161="","",$P161*ComMec)</f>
        <v>0</v>
      </c>
      <c r="U161" s="21">
        <f>IF($A161="","",$R161-$S161-$T161-N($K161))</f>
        <v>0</v>
      </c>
      <c r="V161" s="31">
        <f>IF(OR($A161="",N($R161)&lt;=0),"",$U161/$R161)</f>
        <v>0</v>
      </c>
      <c r="W161" s="27">
        <f>IF($A161="","",IF(OR($I161="Finalizado",$I161="Entregue"),MAX(0,$R161-N($O161)),0))</f>
        <v>0</v>
      </c>
      <c r="X161" s="32">
        <f>IF(OR($A161="",$B161=""),"",IF(OR($I161="Entregue",$I161="Cancelada"),"",Hoje-$B161))</f>
        <v>0</v>
      </c>
      <c r="Y161" s="24">
        <f>IF($A161="","",IF(AND(OR($I161="Aprovado",$I161="Em execução",$I161="Aguardando peça"),N($X161)&gt;PrazoMax),"ATRASADA",IF(AND(OR($I161="Finalizado",$I161="Entregue"),$W161&gt;0.005),"Cobrar",IF($I161="Orçamento","Aguardando aprovação",""))))</f>
        <v>0</v>
      </c>
      <c r="Z161" s="33">
        <f>IF(AND($I161="Entregue",$M161&lt;&gt;""),DATE(YEAR($M161),MONTH($M161),1),"")</f>
        <v>0</v>
      </c>
      <c r="AA161" s="34">
        <f>IF(AND($C161&lt;&gt;"",$C161=HistPlaca),COUNTIF($C$5:$C161,HistPlaca),"")</f>
        <v>0</v>
      </c>
    </row>
    <row r="162" spans="1:27">
      <c r="A162" s="17"/>
      <c r="B162" s="25"/>
      <c r="C162" s="13"/>
      <c r="D162" s="26">
        <f>IF($C162="","",IFERROR(INDEX(VeicCli,MATCH($C162,VeicPlaca,0)),"Placa não cadastrada"))</f>
        <v>0</v>
      </c>
      <c r="E162" s="26">
        <f>IF($C162="","",IFERROR(INDEX(VeicModelo,MATCH($C162,VeicPlaca,0)),""))</f>
        <v>0</v>
      </c>
      <c r="F162" s="28"/>
      <c r="G162" s="13"/>
      <c r="H162" s="13"/>
      <c r="I162" s="13"/>
      <c r="J162" s="29"/>
      <c r="K162" s="19"/>
      <c r="L162" s="19"/>
      <c r="M162" s="25"/>
      <c r="N162" s="13"/>
      <c r="O162" s="19"/>
      <c r="P162" s="27">
        <f>IF($A162="","",N($J162)*ValorHora)</f>
        <v>0</v>
      </c>
      <c r="Q162" s="27">
        <f>IF($A162="","",SUMIFS(ItTotal,ItOS,$A162))</f>
        <v>0</v>
      </c>
      <c r="R162" s="30">
        <f>IF($A162="","",$P162+$Q162+N($K162)-N($L162))</f>
        <v>0</v>
      </c>
      <c r="S162" s="27">
        <f>IF($A162="","",SUMIFS(ItCusto,ItOS,$A162))</f>
        <v>0</v>
      </c>
      <c r="T162" s="27">
        <f>IF($A162="","",$P162*ComMec)</f>
        <v>0</v>
      </c>
      <c r="U162" s="21">
        <f>IF($A162="","",$R162-$S162-$T162-N($K162))</f>
        <v>0</v>
      </c>
      <c r="V162" s="31">
        <f>IF(OR($A162="",N($R162)&lt;=0),"",$U162/$R162)</f>
        <v>0</v>
      </c>
      <c r="W162" s="27">
        <f>IF($A162="","",IF(OR($I162="Finalizado",$I162="Entregue"),MAX(0,$R162-N($O162)),0))</f>
        <v>0</v>
      </c>
      <c r="X162" s="32">
        <f>IF(OR($A162="",$B162=""),"",IF(OR($I162="Entregue",$I162="Cancelada"),"",Hoje-$B162))</f>
        <v>0</v>
      </c>
      <c r="Y162" s="24">
        <f>IF($A162="","",IF(AND(OR($I162="Aprovado",$I162="Em execução",$I162="Aguardando peça"),N($X162)&gt;PrazoMax),"ATRASADA",IF(AND(OR($I162="Finalizado",$I162="Entregue"),$W162&gt;0.005),"Cobrar",IF($I162="Orçamento","Aguardando aprovação",""))))</f>
        <v>0</v>
      </c>
      <c r="Z162" s="33">
        <f>IF(AND($I162="Entregue",$M162&lt;&gt;""),DATE(YEAR($M162),MONTH($M162),1),"")</f>
        <v>0</v>
      </c>
      <c r="AA162" s="34">
        <f>IF(AND($C162&lt;&gt;"",$C162=HistPlaca),COUNTIF($C$5:$C162,HistPlaca),"")</f>
        <v>0</v>
      </c>
    </row>
    <row r="163" spans="1:27">
      <c r="A163" s="17"/>
      <c r="B163" s="25"/>
      <c r="C163" s="13"/>
      <c r="D163" s="26">
        <f>IF($C163="","",IFERROR(INDEX(VeicCli,MATCH($C163,VeicPlaca,0)),"Placa não cadastrada"))</f>
        <v>0</v>
      </c>
      <c r="E163" s="26">
        <f>IF($C163="","",IFERROR(INDEX(VeicModelo,MATCH($C163,VeicPlaca,0)),""))</f>
        <v>0</v>
      </c>
      <c r="F163" s="28"/>
      <c r="G163" s="13"/>
      <c r="H163" s="13"/>
      <c r="I163" s="13"/>
      <c r="J163" s="29"/>
      <c r="K163" s="19"/>
      <c r="L163" s="19"/>
      <c r="M163" s="25"/>
      <c r="N163" s="13"/>
      <c r="O163" s="19"/>
      <c r="P163" s="27">
        <f>IF($A163="","",N($J163)*ValorHora)</f>
        <v>0</v>
      </c>
      <c r="Q163" s="27">
        <f>IF($A163="","",SUMIFS(ItTotal,ItOS,$A163))</f>
        <v>0</v>
      </c>
      <c r="R163" s="30">
        <f>IF($A163="","",$P163+$Q163+N($K163)-N($L163))</f>
        <v>0</v>
      </c>
      <c r="S163" s="27">
        <f>IF($A163="","",SUMIFS(ItCusto,ItOS,$A163))</f>
        <v>0</v>
      </c>
      <c r="T163" s="27">
        <f>IF($A163="","",$P163*ComMec)</f>
        <v>0</v>
      </c>
      <c r="U163" s="21">
        <f>IF($A163="","",$R163-$S163-$T163-N($K163))</f>
        <v>0</v>
      </c>
      <c r="V163" s="31">
        <f>IF(OR($A163="",N($R163)&lt;=0),"",$U163/$R163)</f>
        <v>0</v>
      </c>
      <c r="W163" s="27">
        <f>IF($A163="","",IF(OR($I163="Finalizado",$I163="Entregue"),MAX(0,$R163-N($O163)),0))</f>
        <v>0</v>
      </c>
      <c r="X163" s="32">
        <f>IF(OR($A163="",$B163=""),"",IF(OR($I163="Entregue",$I163="Cancelada"),"",Hoje-$B163))</f>
        <v>0</v>
      </c>
      <c r="Y163" s="24">
        <f>IF($A163="","",IF(AND(OR($I163="Aprovado",$I163="Em execução",$I163="Aguardando peça"),N($X163)&gt;PrazoMax),"ATRASADA",IF(AND(OR($I163="Finalizado",$I163="Entregue"),$W163&gt;0.005),"Cobrar",IF($I163="Orçamento","Aguardando aprovação",""))))</f>
        <v>0</v>
      </c>
      <c r="Z163" s="33">
        <f>IF(AND($I163="Entregue",$M163&lt;&gt;""),DATE(YEAR($M163),MONTH($M163),1),"")</f>
        <v>0</v>
      </c>
      <c r="AA163" s="34">
        <f>IF(AND($C163&lt;&gt;"",$C163=HistPlaca),COUNTIF($C$5:$C163,HistPlaca),"")</f>
        <v>0</v>
      </c>
    </row>
    <row r="164" spans="1:27">
      <c r="A164" s="17"/>
      <c r="B164" s="25"/>
      <c r="C164" s="13"/>
      <c r="D164" s="26">
        <f>IF($C164="","",IFERROR(INDEX(VeicCli,MATCH($C164,VeicPlaca,0)),"Placa não cadastrada"))</f>
        <v>0</v>
      </c>
      <c r="E164" s="26">
        <f>IF($C164="","",IFERROR(INDEX(VeicModelo,MATCH($C164,VeicPlaca,0)),""))</f>
        <v>0</v>
      </c>
      <c r="F164" s="28"/>
      <c r="G164" s="13"/>
      <c r="H164" s="13"/>
      <c r="I164" s="13"/>
      <c r="J164" s="29"/>
      <c r="K164" s="19"/>
      <c r="L164" s="19"/>
      <c r="M164" s="25"/>
      <c r="N164" s="13"/>
      <c r="O164" s="19"/>
      <c r="P164" s="27">
        <f>IF($A164="","",N($J164)*ValorHora)</f>
        <v>0</v>
      </c>
      <c r="Q164" s="27">
        <f>IF($A164="","",SUMIFS(ItTotal,ItOS,$A164))</f>
        <v>0</v>
      </c>
      <c r="R164" s="30">
        <f>IF($A164="","",$P164+$Q164+N($K164)-N($L164))</f>
        <v>0</v>
      </c>
      <c r="S164" s="27">
        <f>IF($A164="","",SUMIFS(ItCusto,ItOS,$A164))</f>
        <v>0</v>
      </c>
      <c r="T164" s="27">
        <f>IF($A164="","",$P164*ComMec)</f>
        <v>0</v>
      </c>
      <c r="U164" s="21">
        <f>IF($A164="","",$R164-$S164-$T164-N($K164))</f>
        <v>0</v>
      </c>
      <c r="V164" s="31">
        <f>IF(OR($A164="",N($R164)&lt;=0),"",$U164/$R164)</f>
        <v>0</v>
      </c>
      <c r="W164" s="27">
        <f>IF($A164="","",IF(OR($I164="Finalizado",$I164="Entregue"),MAX(0,$R164-N($O164)),0))</f>
        <v>0</v>
      </c>
      <c r="X164" s="32">
        <f>IF(OR($A164="",$B164=""),"",IF(OR($I164="Entregue",$I164="Cancelada"),"",Hoje-$B164))</f>
        <v>0</v>
      </c>
      <c r="Y164" s="24">
        <f>IF($A164="","",IF(AND(OR($I164="Aprovado",$I164="Em execução",$I164="Aguardando peça"),N($X164)&gt;PrazoMax),"ATRASADA",IF(AND(OR($I164="Finalizado",$I164="Entregue"),$W164&gt;0.005),"Cobrar",IF($I164="Orçamento","Aguardando aprovação",""))))</f>
        <v>0</v>
      </c>
      <c r="Z164" s="33">
        <f>IF(AND($I164="Entregue",$M164&lt;&gt;""),DATE(YEAR($M164),MONTH($M164),1),"")</f>
        <v>0</v>
      </c>
      <c r="AA164" s="34">
        <f>IF(AND($C164&lt;&gt;"",$C164=HistPlaca),COUNTIF($C$5:$C164,HistPlaca),"")</f>
        <v>0</v>
      </c>
    </row>
    <row r="165" spans="1:27">
      <c r="A165" s="17"/>
      <c r="B165" s="25"/>
      <c r="C165" s="13"/>
      <c r="D165" s="26">
        <f>IF($C165="","",IFERROR(INDEX(VeicCli,MATCH($C165,VeicPlaca,0)),"Placa não cadastrada"))</f>
        <v>0</v>
      </c>
      <c r="E165" s="26">
        <f>IF($C165="","",IFERROR(INDEX(VeicModelo,MATCH($C165,VeicPlaca,0)),""))</f>
        <v>0</v>
      </c>
      <c r="F165" s="28"/>
      <c r="G165" s="13"/>
      <c r="H165" s="13"/>
      <c r="I165" s="13"/>
      <c r="J165" s="29"/>
      <c r="K165" s="19"/>
      <c r="L165" s="19"/>
      <c r="M165" s="25"/>
      <c r="N165" s="13"/>
      <c r="O165" s="19"/>
      <c r="P165" s="27">
        <f>IF($A165="","",N($J165)*ValorHora)</f>
        <v>0</v>
      </c>
      <c r="Q165" s="27">
        <f>IF($A165="","",SUMIFS(ItTotal,ItOS,$A165))</f>
        <v>0</v>
      </c>
      <c r="R165" s="30">
        <f>IF($A165="","",$P165+$Q165+N($K165)-N($L165))</f>
        <v>0</v>
      </c>
      <c r="S165" s="27">
        <f>IF($A165="","",SUMIFS(ItCusto,ItOS,$A165))</f>
        <v>0</v>
      </c>
      <c r="T165" s="27">
        <f>IF($A165="","",$P165*ComMec)</f>
        <v>0</v>
      </c>
      <c r="U165" s="21">
        <f>IF($A165="","",$R165-$S165-$T165-N($K165))</f>
        <v>0</v>
      </c>
      <c r="V165" s="31">
        <f>IF(OR($A165="",N($R165)&lt;=0),"",$U165/$R165)</f>
        <v>0</v>
      </c>
      <c r="W165" s="27">
        <f>IF($A165="","",IF(OR($I165="Finalizado",$I165="Entregue"),MAX(0,$R165-N($O165)),0))</f>
        <v>0</v>
      </c>
      <c r="X165" s="32">
        <f>IF(OR($A165="",$B165=""),"",IF(OR($I165="Entregue",$I165="Cancelada"),"",Hoje-$B165))</f>
        <v>0</v>
      </c>
      <c r="Y165" s="24">
        <f>IF($A165="","",IF(AND(OR($I165="Aprovado",$I165="Em execução",$I165="Aguardando peça"),N($X165)&gt;PrazoMax),"ATRASADA",IF(AND(OR($I165="Finalizado",$I165="Entregue"),$W165&gt;0.005),"Cobrar",IF($I165="Orçamento","Aguardando aprovação",""))))</f>
        <v>0</v>
      </c>
      <c r="Z165" s="33">
        <f>IF(AND($I165="Entregue",$M165&lt;&gt;""),DATE(YEAR($M165),MONTH($M165),1),"")</f>
        <v>0</v>
      </c>
      <c r="AA165" s="34">
        <f>IF(AND($C165&lt;&gt;"",$C165=HistPlaca),COUNTIF($C$5:$C165,HistPlaca),"")</f>
        <v>0</v>
      </c>
    </row>
    <row r="166" spans="1:27">
      <c r="A166" s="17"/>
      <c r="B166" s="25"/>
      <c r="C166" s="13"/>
      <c r="D166" s="26">
        <f>IF($C166="","",IFERROR(INDEX(VeicCli,MATCH($C166,VeicPlaca,0)),"Placa não cadastrada"))</f>
        <v>0</v>
      </c>
      <c r="E166" s="26">
        <f>IF($C166="","",IFERROR(INDEX(VeicModelo,MATCH($C166,VeicPlaca,0)),""))</f>
        <v>0</v>
      </c>
      <c r="F166" s="28"/>
      <c r="G166" s="13"/>
      <c r="H166" s="13"/>
      <c r="I166" s="13"/>
      <c r="J166" s="29"/>
      <c r="K166" s="19"/>
      <c r="L166" s="19"/>
      <c r="M166" s="25"/>
      <c r="N166" s="13"/>
      <c r="O166" s="19"/>
      <c r="P166" s="27">
        <f>IF($A166="","",N($J166)*ValorHora)</f>
        <v>0</v>
      </c>
      <c r="Q166" s="27">
        <f>IF($A166="","",SUMIFS(ItTotal,ItOS,$A166))</f>
        <v>0</v>
      </c>
      <c r="R166" s="30">
        <f>IF($A166="","",$P166+$Q166+N($K166)-N($L166))</f>
        <v>0</v>
      </c>
      <c r="S166" s="27">
        <f>IF($A166="","",SUMIFS(ItCusto,ItOS,$A166))</f>
        <v>0</v>
      </c>
      <c r="T166" s="27">
        <f>IF($A166="","",$P166*ComMec)</f>
        <v>0</v>
      </c>
      <c r="U166" s="21">
        <f>IF($A166="","",$R166-$S166-$T166-N($K166))</f>
        <v>0</v>
      </c>
      <c r="V166" s="31">
        <f>IF(OR($A166="",N($R166)&lt;=0),"",$U166/$R166)</f>
        <v>0</v>
      </c>
      <c r="W166" s="27">
        <f>IF($A166="","",IF(OR($I166="Finalizado",$I166="Entregue"),MAX(0,$R166-N($O166)),0))</f>
        <v>0</v>
      </c>
      <c r="X166" s="32">
        <f>IF(OR($A166="",$B166=""),"",IF(OR($I166="Entregue",$I166="Cancelada"),"",Hoje-$B166))</f>
        <v>0</v>
      </c>
      <c r="Y166" s="24">
        <f>IF($A166="","",IF(AND(OR($I166="Aprovado",$I166="Em execução",$I166="Aguardando peça"),N($X166)&gt;PrazoMax),"ATRASADA",IF(AND(OR($I166="Finalizado",$I166="Entregue"),$W166&gt;0.005),"Cobrar",IF($I166="Orçamento","Aguardando aprovação",""))))</f>
        <v>0</v>
      </c>
      <c r="Z166" s="33">
        <f>IF(AND($I166="Entregue",$M166&lt;&gt;""),DATE(YEAR($M166),MONTH($M166),1),"")</f>
        <v>0</v>
      </c>
      <c r="AA166" s="34">
        <f>IF(AND($C166&lt;&gt;"",$C166=HistPlaca),COUNTIF($C$5:$C166,HistPlaca),"")</f>
        <v>0</v>
      </c>
    </row>
    <row r="167" spans="1:27">
      <c r="A167" s="17"/>
      <c r="B167" s="25"/>
      <c r="C167" s="13"/>
      <c r="D167" s="26">
        <f>IF($C167="","",IFERROR(INDEX(VeicCli,MATCH($C167,VeicPlaca,0)),"Placa não cadastrada"))</f>
        <v>0</v>
      </c>
      <c r="E167" s="26">
        <f>IF($C167="","",IFERROR(INDEX(VeicModelo,MATCH($C167,VeicPlaca,0)),""))</f>
        <v>0</v>
      </c>
      <c r="F167" s="28"/>
      <c r="G167" s="13"/>
      <c r="H167" s="13"/>
      <c r="I167" s="13"/>
      <c r="J167" s="29"/>
      <c r="K167" s="19"/>
      <c r="L167" s="19"/>
      <c r="M167" s="25"/>
      <c r="N167" s="13"/>
      <c r="O167" s="19"/>
      <c r="P167" s="27">
        <f>IF($A167="","",N($J167)*ValorHora)</f>
        <v>0</v>
      </c>
      <c r="Q167" s="27">
        <f>IF($A167="","",SUMIFS(ItTotal,ItOS,$A167))</f>
        <v>0</v>
      </c>
      <c r="R167" s="30">
        <f>IF($A167="","",$P167+$Q167+N($K167)-N($L167))</f>
        <v>0</v>
      </c>
      <c r="S167" s="27">
        <f>IF($A167="","",SUMIFS(ItCusto,ItOS,$A167))</f>
        <v>0</v>
      </c>
      <c r="T167" s="27">
        <f>IF($A167="","",$P167*ComMec)</f>
        <v>0</v>
      </c>
      <c r="U167" s="21">
        <f>IF($A167="","",$R167-$S167-$T167-N($K167))</f>
        <v>0</v>
      </c>
      <c r="V167" s="31">
        <f>IF(OR($A167="",N($R167)&lt;=0),"",$U167/$R167)</f>
        <v>0</v>
      </c>
      <c r="W167" s="27">
        <f>IF($A167="","",IF(OR($I167="Finalizado",$I167="Entregue"),MAX(0,$R167-N($O167)),0))</f>
        <v>0</v>
      </c>
      <c r="X167" s="32">
        <f>IF(OR($A167="",$B167=""),"",IF(OR($I167="Entregue",$I167="Cancelada"),"",Hoje-$B167))</f>
        <v>0</v>
      </c>
      <c r="Y167" s="24">
        <f>IF($A167="","",IF(AND(OR($I167="Aprovado",$I167="Em execução",$I167="Aguardando peça"),N($X167)&gt;PrazoMax),"ATRASADA",IF(AND(OR($I167="Finalizado",$I167="Entregue"),$W167&gt;0.005),"Cobrar",IF($I167="Orçamento","Aguardando aprovação",""))))</f>
        <v>0</v>
      </c>
      <c r="Z167" s="33">
        <f>IF(AND($I167="Entregue",$M167&lt;&gt;""),DATE(YEAR($M167),MONTH($M167),1),"")</f>
        <v>0</v>
      </c>
      <c r="AA167" s="34">
        <f>IF(AND($C167&lt;&gt;"",$C167=HistPlaca),COUNTIF($C$5:$C167,HistPlaca),"")</f>
        <v>0</v>
      </c>
    </row>
    <row r="168" spans="1:27">
      <c r="A168" s="17"/>
      <c r="B168" s="25"/>
      <c r="C168" s="13"/>
      <c r="D168" s="26">
        <f>IF($C168="","",IFERROR(INDEX(VeicCli,MATCH($C168,VeicPlaca,0)),"Placa não cadastrada"))</f>
        <v>0</v>
      </c>
      <c r="E168" s="26">
        <f>IF($C168="","",IFERROR(INDEX(VeicModelo,MATCH($C168,VeicPlaca,0)),""))</f>
        <v>0</v>
      </c>
      <c r="F168" s="28"/>
      <c r="G168" s="13"/>
      <c r="H168" s="13"/>
      <c r="I168" s="13"/>
      <c r="J168" s="29"/>
      <c r="K168" s="19"/>
      <c r="L168" s="19"/>
      <c r="M168" s="25"/>
      <c r="N168" s="13"/>
      <c r="O168" s="19"/>
      <c r="P168" s="27">
        <f>IF($A168="","",N($J168)*ValorHora)</f>
        <v>0</v>
      </c>
      <c r="Q168" s="27">
        <f>IF($A168="","",SUMIFS(ItTotal,ItOS,$A168))</f>
        <v>0</v>
      </c>
      <c r="R168" s="30">
        <f>IF($A168="","",$P168+$Q168+N($K168)-N($L168))</f>
        <v>0</v>
      </c>
      <c r="S168" s="27">
        <f>IF($A168="","",SUMIFS(ItCusto,ItOS,$A168))</f>
        <v>0</v>
      </c>
      <c r="T168" s="27">
        <f>IF($A168="","",$P168*ComMec)</f>
        <v>0</v>
      </c>
      <c r="U168" s="21">
        <f>IF($A168="","",$R168-$S168-$T168-N($K168))</f>
        <v>0</v>
      </c>
      <c r="V168" s="31">
        <f>IF(OR($A168="",N($R168)&lt;=0),"",$U168/$R168)</f>
        <v>0</v>
      </c>
      <c r="W168" s="27">
        <f>IF($A168="","",IF(OR($I168="Finalizado",$I168="Entregue"),MAX(0,$R168-N($O168)),0))</f>
        <v>0</v>
      </c>
      <c r="X168" s="32">
        <f>IF(OR($A168="",$B168=""),"",IF(OR($I168="Entregue",$I168="Cancelada"),"",Hoje-$B168))</f>
        <v>0</v>
      </c>
      <c r="Y168" s="24">
        <f>IF($A168="","",IF(AND(OR($I168="Aprovado",$I168="Em execução",$I168="Aguardando peça"),N($X168)&gt;PrazoMax),"ATRASADA",IF(AND(OR($I168="Finalizado",$I168="Entregue"),$W168&gt;0.005),"Cobrar",IF($I168="Orçamento","Aguardando aprovação",""))))</f>
        <v>0</v>
      </c>
      <c r="Z168" s="33">
        <f>IF(AND($I168="Entregue",$M168&lt;&gt;""),DATE(YEAR($M168),MONTH($M168),1),"")</f>
        <v>0</v>
      </c>
      <c r="AA168" s="34">
        <f>IF(AND($C168&lt;&gt;"",$C168=HistPlaca),COUNTIF($C$5:$C168,HistPlaca),"")</f>
        <v>0</v>
      </c>
    </row>
    <row r="169" spans="1:27">
      <c r="A169" s="17"/>
      <c r="B169" s="25"/>
      <c r="C169" s="13"/>
      <c r="D169" s="26">
        <f>IF($C169="","",IFERROR(INDEX(VeicCli,MATCH($C169,VeicPlaca,0)),"Placa não cadastrada"))</f>
        <v>0</v>
      </c>
      <c r="E169" s="26">
        <f>IF($C169="","",IFERROR(INDEX(VeicModelo,MATCH($C169,VeicPlaca,0)),""))</f>
        <v>0</v>
      </c>
      <c r="F169" s="28"/>
      <c r="G169" s="13"/>
      <c r="H169" s="13"/>
      <c r="I169" s="13"/>
      <c r="J169" s="29"/>
      <c r="K169" s="19"/>
      <c r="L169" s="19"/>
      <c r="M169" s="25"/>
      <c r="N169" s="13"/>
      <c r="O169" s="19"/>
      <c r="P169" s="27">
        <f>IF($A169="","",N($J169)*ValorHora)</f>
        <v>0</v>
      </c>
      <c r="Q169" s="27">
        <f>IF($A169="","",SUMIFS(ItTotal,ItOS,$A169))</f>
        <v>0</v>
      </c>
      <c r="R169" s="30">
        <f>IF($A169="","",$P169+$Q169+N($K169)-N($L169))</f>
        <v>0</v>
      </c>
      <c r="S169" s="27">
        <f>IF($A169="","",SUMIFS(ItCusto,ItOS,$A169))</f>
        <v>0</v>
      </c>
      <c r="T169" s="27">
        <f>IF($A169="","",$P169*ComMec)</f>
        <v>0</v>
      </c>
      <c r="U169" s="21">
        <f>IF($A169="","",$R169-$S169-$T169-N($K169))</f>
        <v>0</v>
      </c>
      <c r="V169" s="31">
        <f>IF(OR($A169="",N($R169)&lt;=0),"",$U169/$R169)</f>
        <v>0</v>
      </c>
      <c r="W169" s="27">
        <f>IF($A169="","",IF(OR($I169="Finalizado",$I169="Entregue"),MAX(0,$R169-N($O169)),0))</f>
        <v>0</v>
      </c>
      <c r="X169" s="32">
        <f>IF(OR($A169="",$B169=""),"",IF(OR($I169="Entregue",$I169="Cancelada"),"",Hoje-$B169))</f>
        <v>0</v>
      </c>
      <c r="Y169" s="24">
        <f>IF($A169="","",IF(AND(OR($I169="Aprovado",$I169="Em execução",$I169="Aguardando peça"),N($X169)&gt;PrazoMax),"ATRASADA",IF(AND(OR($I169="Finalizado",$I169="Entregue"),$W169&gt;0.005),"Cobrar",IF($I169="Orçamento","Aguardando aprovação",""))))</f>
        <v>0</v>
      </c>
      <c r="Z169" s="33">
        <f>IF(AND($I169="Entregue",$M169&lt;&gt;""),DATE(YEAR($M169),MONTH($M169),1),"")</f>
        <v>0</v>
      </c>
      <c r="AA169" s="34">
        <f>IF(AND($C169&lt;&gt;"",$C169=HistPlaca),COUNTIF($C$5:$C169,HistPlaca),"")</f>
        <v>0</v>
      </c>
    </row>
    <row r="170" spans="1:27">
      <c r="A170" s="17"/>
      <c r="B170" s="25"/>
      <c r="C170" s="13"/>
      <c r="D170" s="26">
        <f>IF($C170="","",IFERROR(INDEX(VeicCli,MATCH($C170,VeicPlaca,0)),"Placa não cadastrada"))</f>
        <v>0</v>
      </c>
      <c r="E170" s="26">
        <f>IF($C170="","",IFERROR(INDEX(VeicModelo,MATCH($C170,VeicPlaca,0)),""))</f>
        <v>0</v>
      </c>
      <c r="F170" s="28"/>
      <c r="G170" s="13"/>
      <c r="H170" s="13"/>
      <c r="I170" s="13"/>
      <c r="J170" s="29"/>
      <c r="K170" s="19"/>
      <c r="L170" s="19"/>
      <c r="M170" s="25"/>
      <c r="N170" s="13"/>
      <c r="O170" s="19"/>
      <c r="P170" s="27">
        <f>IF($A170="","",N($J170)*ValorHora)</f>
        <v>0</v>
      </c>
      <c r="Q170" s="27">
        <f>IF($A170="","",SUMIFS(ItTotal,ItOS,$A170))</f>
        <v>0</v>
      </c>
      <c r="R170" s="30">
        <f>IF($A170="","",$P170+$Q170+N($K170)-N($L170))</f>
        <v>0</v>
      </c>
      <c r="S170" s="27">
        <f>IF($A170="","",SUMIFS(ItCusto,ItOS,$A170))</f>
        <v>0</v>
      </c>
      <c r="T170" s="27">
        <f>IF($A170="","",$P170*ComMec)</f>
        <v>0</v>
      </c>
      <c r="U170" s="21">
        <f>IF($A170="","",$R170-$S170-$T170-N($K170))</f>
        <v>0</v>
      </c>
      <c r="V170" s="31">
        <f>IF(OR($A170="",N($R170)&lt;=0),"",$U170/$R170)</f>
        <v>0</v>
      </c>
      <c r="W170" s="27">
        <f>IF($A170="","",IF(OR($I170="Finalizado",$I170="Entregue"),MAX(0,$R170-N($O170)),0))</f>
        <v>0</v>
      </c>
      <c r="X170" s="32">
        <f>IF(OR($A170="",$B170=""),"",IF(OR($I170="Entregue",$I170="Cancelada"),"",Hoje-$B170))</f>
        <v>0</v>
      </c>
      <c r="Y170" s="24">
        <f>IF($A170="","",IF(AND(OR($I170="Aprovado",$I170="Em execução",$I170="Aguardando peça"),N($X170)&gt;PrazoMax),"ATRASADA",IF(AND(OR($I170="Finalizado",$I170="Entregue"),$W170&gt;0.005),"Cobrar",IF($I170="Orçamento","Aguardando aprovação",""))))</f>
        <v>0</v>
      </c>
      <c r="Z170" s="33">
        <f>IF(AND($I170="Entregue",$M170&lt;&gt;""),DATE(YEAR($M170),MONTH($M170),1),"")</f>
        <v>0</v>
      </c>
      <c r="AA170" s="34">
        <f>IF(AND($C170&lt;&gt;"",$C170=HistPlaca),COUNTIF($C$5:$C170,HistPlaca),"")</f>
        <v>0</v>
      </c>
    </row>
    <row r="171" spans="1:27">
      <c r="A171" s="17"/>
      <c r="B171" s="25"/>
      <c r="C171" s="13"/>
      <c r="D171" s="26">
        <f>IF($C171="","",IFERROR(INDEX(VeicCli,MATCH($C171,VeicPlaca,0)),"Placa não cadastrada"))</f>
        <v>0</v>
      </c>
      <c r="E171" s="26">
        <f>IF($C171="","",IFERROR(INDEX(VeicModelo,MATCH($C171,VeicPlaca,0)),""))</f>
        <v>0</v>
      </c>
      <c r="F171" s="28"/>
      <c r="G171" s="13"/>
      <c r="H171" s="13"/>
      <c r="I171" s="13"/>
      <c r="J171" s="29"/>
      <c r="K171" s="19"/>
      <c r="L171" s="19"/>
      <c r="M171" s="25"/>
      <c r="N171" s="13"/>
      <c r="O171" s="19"/>
      <c r="P171" s="27">
        <f>IF($A171="","",N($J171)*ValorHora)</f>
        <v>0</v>
      </c>
      <c r="Q171" s="27">
        <f>IF($A171="","",SUMIFS(ItTotal,ItOS,$A171))</f>
        <v>0</v>
      </c>
      <c r="R171" s="30">
        <f>IF($A171="","",$P171+$Q171+N($K171)-N($L171))</f>
        <v>0</v>
      </c>
      <c r="S171" s="27">
        <f>IF($A171="","",SUMIFS(ItCusto,ItOS,$A171))</f>
        <v>0</v>
      </c>
      <c r="T171" s="27">
        <f>IF($A171="","",$P171*ComMec)</f>
        <v>0</v>
      </c>
      <c r="U171" s="21">
        <f>IF($A171="","",$R171-$S171-$T171-N($K171))</f>
        <v>0</v>
      </c>
      <c r="V171" s="31">
        <f>IF(OR($A171="",N($R171)&lt;=0),"",$U171/$R171)</f>
        <v>0</v>
      </c>
      <c r="W171" s="27">
        <f>IF($A171="","",IF(OR($I171="Finalizado",$I171="Entregue"),MAX(0,$R171-N($O171)),0))</f>
        <v>0</v>
      </c>
      <c r="X171" s="32">
        <f>IF(OR($A171="",$B171=""),"",IF(OR($I171="Entregue",$I171="Cancelada"),"",Hoje-$B171))</f>
        <v>0</v>
      </c>
      <c r="Y171" s="24">
        <f>IF($A171="","",IF(AND(OR($I171="Aprovado",$I171="Em execução",$I171="Aguardando peça"),N($X171)&gt;PrazoMax),"ATRASADA",IF(AND(OR($I171="Finalizado",$I171="Entregue"),$W171&gt;0.005),"Cobrar",IF($I171="Orçamento","Aguardando aprovação",""))))</f>
        <v>0</v>
      </c>
      <c r="Z171" s="33">
        <f>IF(AND($I171="Entregue",$M171&lt;&gt;""),DATE(YEAR($M171),MONTH($M171),1),"")</f>
        <v>0</v>
      </c>
      <c r="AA171" s="34">
        <f>IF(AND($C171&lt;&gt;"",$C171=HistPlaca),COUNTIF($C$5:$C171,HistPlaca),"")</f>
        <v>0</v>
      </c>
    </row>
    <row r="172" spans="1:27">
      <c r="A172" s="17"/>
      <c r="B172" s="25"/>
      <c r="C172" s="13"/>
      <c r="D172" s="26">
        <f>IF($C172="","",IFERROR(INDEX(VeicCli,MATCH($C172,VeicPlaca,0)),"Placa não cadastrada"))</f>
        <v>0</v>
      </c>
      <c r="E172" s="26">
        <f>IF($C172="","",IFERROR(INDEX(VeicModelo,MATCH($C172,VeicPlaca,0)),""))</f>
        <v>0</v>
      </c>
      <c r="F172" s="28"/>
      <c r="G172" s="13"/>
      <c r="H172" s="13"/>
      <c r="I172" s="13"/>
      <c r="J172" s="29"/>
      <c r="K172" s="19"/>
      <c r="L172" s="19"/>
      <c r="M172" s="25"/>
      <c r="N172" s="13"/>
      <c r="O172" s="19"/>
      <c r="P172" s="27">
        <f>IF($A172="","",N($J172)*ValorHora)</f>
        <v>0</v>
      </c>
      <c r="Q172" s="27">
        <f>IF($A172="","",SUMIFS(ItTotal,ItOS,$A172))</f>
        <v>0</v>
      </c>
      <c r="R172" s="30">
        <f>IF($A172="","",$P172+$Q172+N($K172)-N($L172))</f>
        <v>0</v>
      </c>
      <c r="S172" s="27">
        <f>IF($A172="","",SUMIFS(ItCusto,ItOS,$A172))</f>
        <v>0</v>
      </c>
      <c r="T172" s="27">
        <f>IF($A172="","",$P172*ComMec)</f>
        <v>0</v>
      </c>
      <c r="U172" s="21">
        <f>IF($A172="","",$R172-$S172-$T172-N($K172))</f>
        <v>0</v>
      </c>
      <c r="V172" s="31">
        <f>IF(OR($A172="",N($R172)&lt;=0),"",$U172/$R172)</f>
        <v>0</v>
      </c>
      <c r="W172" s="27">
        <f>IF($A172="","",IF(OR($I172="Finalizado",$I172="Entregue"),MAX(0,$R172-N($O172)),0))</f>
        <v>0</v>
      </c>
      <c r="X172" s="32">
        <f>IF(OR($A172="",$B172=""),"",IF(OR($I172="Entregue",$I172="Cancelada"),"",Hoje-$B172))</f>
        <v>0</v>
      </c>
      <c r="Y172" s="24">
        <f>IF($A172="","",IF(AND(OR($I172="Aprovado",$I172="Em execução",$I172="Aguardando peça"),N($X172)&gt;PrazoMax),"ATRASADA",IF(AND(OR($I172="Finalizado",$I172="Entregue"),$W172&gt;0.005),"Cobrar",IF($I172="Orçamento","Aguardando aprovação",""))))</f>
        <v>0</v>
      </c>
      <c r="Z172" s="33">
        <f>IF(AND($I172="Entregue",$M172&lt;&gt;""),DATE(YEAR($M172),MONTH($M172),1),"")</f>
        <v>0</v>
      </c>
      <c r="AA172" s="34">
        <f>IF(AND($C172&lt;&gt;"",$C172=HistPlaca),COUNTIF($C$5:$C172,HistPlaca),"")</f>
        <v>0</v>
      </c>
    </row>
    <row r="173" spans="1:27">
      <c r="A173" s="17"/>
      <c r="B173" s="25"/>
      <c r="C173" s="13"/>
      <c r="D173" s="26">
        <f>IF($C173="","",IFERROR(INDEX(VeicCli,MATCH($C173,VeicPlaca,0)),"Placa não cadastrada"))</f>
        <v>0</v>
      </c>
      <c r="E173" s="26">
        <f>IF($C173="","",IFERROR(INDEX(VeicModelo,MATCH($C173,VeicPlaca,0)),""))</f>
        <v>0</v>
      </c>
      <c r="F173" s="28"/>
      <c r="G173" s="13"/>
      <c r="H173" s="13"/>
      <c r="I173" s="13"/>
      <c r="J173" s="29"/>
      <c r="K173" s="19"/>
      <c r="L173" s="19"/>
      <c r="M173" s="25"/>
      <c r="N173" s="13"/>
      <c r="O173" s="19"/>
      <c r="P173" s="27">
        <f>IF($A173="","",N($J173)*ValorHora)</f>
        <v>0</v>
      </c>
      <c r="Q173" s="27">
        <f>IF($A173="","",SUMIFS(ItTotal,ItOS,$A173))</f>
        <v>0</v>
      </c>
      <c r="R173" s="30">
        <f>IF($A173="","",$P173+$Q173+N($K173)-N($L173))</f>
        <v>0</v>
      </c>
      <c r="S173" s="27">
        <f>IF($A173="","",SUMIFS(ItCusto,ItOS,$A173))</f>
        <v>0</v>
      </c>
      <c r="T173" s="27">
        <f>IF($A173="","",$P173*ComMec)</f>
        <v>0</v>
      </c>
      <c r="U173" s="21">
        <f>IF($A173="","",$R173-$S173-$T173-N($K173))</f>
        <v>0</v>
      </c>
      <c r="V173" s="31">
        <f>IF(OR($A173="",N($R173)&lt;=0),"",$U173/$R173)</f>
        <v>0</v>
      </c>
      <c r="W173" s="27">
        <f>IF($A173="","",IF(OR($I173="Finalizado",$I173="Entregue"),MAX(0,$R173-N($O173)),0))</f>
        <v>0</v>
      </c>
      <c r="X173" s="32">
        <f>IF(OR($A173="",$B173=""),"",IF(OR($I173="Entregue",$I173="Cancelada"),"",Hoje-$B173))</f>
        <v>0</v>
      </c>
      <c r="Y173" s="24">
        <f>IF($A173="","",IF(AND(OR($I173="Aprovado",$I173="Em execução",$I173="Aguardando peça"),N($X173)&gt;PrazoMax),"ATRASADA",IF(AND(OR($I173="Finalizado",$I173="Entregue"),$W173&gt;0.005),"Cobrar",IF($I173="Orçamento","Aguardando aprovação",""))))</f>
        <v>0</v>
      </c>
      <c r="Z173" s="33">
        <f>IF(AND($I173="Entregue",$M173&lt;&gt;""),DATE(YEAR($M173),MONTH($M173),1),"")</f>
        <v>0</v>
      </c>
      <c r="AA173" s="34">
        <f>IF(AND($C173&lt;&gt;"",$C173=HistPlaca),COUNTIF($C$5:$C173,HistPlaca),"")</f>
        <v>0</v>
      </c>
    </row>
    <row r="174" spans="1:27">
      <c r="A174" s="17"/>
      <c r="B174" s="25"/>
      <c r="C174" s="13"/>
      <c r="D174" s="26">
        <f>IF($C174="","",IFERROR(INDEX(VeicCli,MATCH($C174,VeicPlaca,0)),"Placa não cadastrada"))</f>
        <v>0</v>
      </c>
      <c r="E174" s="26">
        <f>IF($C174="","",IFERROR(INDEX(VeicModelo,MATCH($C174,VeicPlaca,0)),""))</f>
        <v>0</v>
      </c>
      <c r="F174" s="28"/>
      <c r="G174" s="13"/>
      <c r="H174" s="13"/>
      <c r="I174" s="13"/>
      <c r="J174" s="29"/>
      <c r="K174" s="19"/>
      <c r="L174" s="19"/>
      <c r="M174" s="25"/>
      <c r="N174" s="13"/>
      <c r="O174" s="19"/>
      <c r="P174" s="27">
        <f>IF($A174="","",N($J174)*ValorHora)</f>
        <v>0</v>
      </c>
      <c r="Q174" s="27">
        <f>IF($A174="","",SUMIFS(ItTotal,ItOS,$A174))</f>
        <v>0</v>
      </c>
      <c r="R174" s="30">
        <f>IF($A174="","",$P174+$Q174+N($K174)-N($L174))</f>
        <v>0</v>
      </c>
      <c r="S174" s="27">
        <f>IF($A174="","",SUMIFS(ItCusto,ItOS,$A174))</f>
        <v>0</v>
      </c>
      <c r="T174" s="27">
        <f>IF($A174="","",$P174*ComMec)</f>
        <v>0</v>
      </c>
      <c r="U174" s="21">
        <f>IF($A174="","",$R174-$S174-$T174-N($K174))</f>
        <v>0</v>
      </c>
      <c r="V174" s="31">
        <f>IF(OR($A174="",N($R174)&lt;=0),"",$U174/$R174)</f>
        <v>0</v>
      </c>
      <c r="W174" s="27">
        <f>IF($A174="","",IF(OR($I174="Finalizado",$I174="Entregue"),MAX(0,$R174-N($O174)),0))</f>
        <v>0</v>
      </c>
      <c r="X174" s="32">
        <f>IF(OR($A174="",$B174=""),"",IF(OR($I174="Entregue",$I174="Cancelada"),"",Hoje-$B174))</f>
        <v>0</v>
      </c>
      <c r="Y174" s="24">
        <f>IF($A174="","",IF(AND(OR($I174="Aprovado",$I174="Em execução",$I174="Aguardando peça"),N($X174)&gt;PrazoMax),"ATRASADA",IF(AND(OR($I174="Finalizado",$I174="Entregue"),$W174&gt;0.005),"Cobrar",IF($I174="Orçamento","Aguardando aprovação",""))))</f>
        <v>0</v>
      </c>
      <c r="Z174" s="33">
        <f>IF(AND($I174="Entregue",$M174&lt;&gt;""),DATE(YEAR($M174),MONTH($M174),1),"")</f>
        <v>0</v>
      </c>
      <c r="AA174" s="34">
        <f>IF(AND($C174&lt;&gt;"",$C174=HistPlaca),COUNTIF($C$5:$C174,HistPlaca),"")</f>
        <v>0</v>
      </c>
    </row>
    <row r="175" spans="1:27">
      <c r="A175" s="17"/>
      <c r="B175" s="25"/>
      <c r="C175" s="13"/>
      <c r="D175" s="26">
        <f>IF($C175="","",IFERROR(INDEX(VeicCli,MATCH($C175,VeicPlaca,0)),"Placa não cadastrada"))</f>
        <v>0</v>
      </c>
      <c r="E175" s="26">
        <f>IF($C175="","",IFERROR(INDEX(VeicModelo,MATCH($C175,VeicPlaca,0)),""))</f>
        <v>0</v>
      </c>
      <c r="F175" s="28"/>
      <c r="G175" s="13"/>
      <c r="H175" s="13"/>
      <c r="I175" s="13"/>
      <c r="J175" s="29"/>
      <c r="K175" s="19"/>
      <c r="L175" s="19"/>
      <c r="M175" s="25"/>
      <c r="N175" s="13"/>
      <c r="O175" s="19"/>
      <c r="P175" s="27">
        <f>IF($A175="","",N($J175)*ValorHora)</f>
        <v>0</v>
      </c>
      <c r="Q175" s="27">
        <f>IF($A175="","",SUMIFS(ItTotal,ItOS,$A175))</f>
        <v>0</v>
      </c>
      <c r="R175" s="30">
        <f>IF($A175="","",$P175+$Q175+N($K175)-N($L175))</f>
        <v>0</v>
      </c>
      <c r="S175" s="27">
        <f>IF($A175="","",SUMIFS(ItCusto,ItOS,$A175))</f>
        <v>0</v>
      </c>
      <c r="T175" s="27">
        <f>IF($A175="","",$P175*ComMec)</f>
        <v>0</v>
      </c>
      <c r="U175" s="21">
        <f>IF($A175="","",$R175-$S175-$T175-N($K175))</f>
        <v>0</v>
      </c>
      <c r="V175" s="31">
        <f>IF(OR($A175="",N($R175)&lt;=0),"",$U175/$R175)</f>
        <v>0</v>
      </c>
      <c r="W175" s="27">
        <f>IF($A175="","",IF(OR($I175="Finalizado",$I175="Entregue"),MAX(0,$R175-N($O175)),0))</f>
        <v>0</v>
      </c>
      <c r="X175" s="32">
        <f>IF(OR($A175="",$B175=""),"",IF(OR($I175="Entregue",$I175="Cancelada"),"",Hoje-$B175))</f>
        <v>0</v>
      </c>
      <c r="Y175" s="24">
        <f>IF($A175="","",IF(AND(OR($I175="Aprovado",$I175="Em execução",$I175="Aguardando peça"),N($X175)&gt;PrazoMax),"ATRASADA",IF(AND(OR($I175="Finalizado",$I175="Entregue"),$W175&gt;0.005),"Cobrar",IF($I175="Orçamento","Aguardando aprovação",""))))</f>
        <v>0</v>
      </c>
      <c r="Z175" s="33">
        <f>IF(AND($I175="Entregue",$M175&lt;&gt;""),DATE(YEAR($M175),MONTH($M175),1),"")</f>
        <v>0</v>
      </c>
      <c r="AA175" s="34">
        <f>IF(AND($C175&lt;&gt;"",$C175=HistPlaca),COUNTIF($C$5:$C175,HistPlaca),"")</f>
        <v>0</v>
      </c>
    </row>
    <row r="176" spans="1:27">
      <c r="A176" s="17"/>
      <c r="B176" s="25"/>
      <c r="C176" s="13"/>
      <c r="D176" s="26">
        <f>IF($C176="","",IFERROR(INDEX(VeicCli,MATCH($C176,VeicPlaca,0)),"Placa não cadastrada"))</f>
        <v>0</v>
      </c>
      <c r="E176" s="26">
        <f>IF($C176="","",IFERROR(INDEX(VeicModelo,MATCH($C176,VeicPlaca,0)),""))</f>
        <v>0</v>
      </c>
      <c r="F176" s="28"/>
      <c r="G176" s="13"/>
      <c r="H176" s="13"/>
      <c r="I176" s="13"/>
      <c r="J176" s="29"/>
      <c r="K176" s="19"/>
      <c r="L176" s="19"/>
      <c r="M176" s="25"/>
      <c r="N176" s="13"/>
      <c r="O176" s="19"/>
      <c r="P176" s="27">
        <f>IF($A176="","",N($J176)*ValorHora)</f>
        <v>0</v>
      </c>
      <c r="Q176" s="27">
        <f>IF($A176="","",SUMIFS(ItTotal,ItOS,$A176))</f>
        <v>0</v>
      </c>
      <c r="R176" s="30">
        <f>IF($A176="","",$P176+$Q176+N($K176)-N($L176))</f>
        <v>0</v>
      </c>
      <c r="S176" s="27">
        <f>IF($A176="","",SUMIFS(ItCusto,ItOS,$A176))</f>
        <v>0</v>
      </c>
      <c r="T176" s="27">
        <f>IF($A176="","",$P176*ComMec)</f>
        <v>0</v>
      </c>
      <c r="U176" s="21">
        <f>IF($A176="","",$R176-$S176-$T176-N($K176))</f>
        <v>0</v>
      </c>
      <c r="V176" s="31">
        <f>IF(OR($A176="",N($R176)&lt;=0),"",$U176/$R176)</f>
        <v>0</v>
      </c>
      <c r="W176" s="27">
        <f>IF($A176="","",IF(OR($I176="Finalizado",$I176="Entregue"),MAX(0,$R176-N($O176)),0))</f>
        <v>0</v>
      </c>
      <c r="X176" s="32">
        <f>IF(OR($A176="",$B176=""),"",IF(OR($I176="Entregue",$I176="Cancelada"),"",Hoje-$B176))</f>
        <v>0</v>
      </c>
      <c r="Y176" s="24">
        <f>IF($A176="","",IF(AND(OR($I176="Aprovado",$I176="Em execução",$I176="Aguardando peça"),N($X176)&gt;PrazoMax),"ATRASADA",IF(AND(OR($I176="Finalizado",$I176="Entregue"),$W176&gt;0.005),"Cobrar",IF($I176="Orçamento","Aguardando aprovação",""))))</f>
        <v>0</v>
      </c>
      <c r="Z176" s="33">
        <f>IF(AND($I176="Entregue",$M176&lt;&gt;""),DATE(YEAR($M176),MONTH($M176),1),"")</f>
        <v>0</v>
      </c>
      <c r="AA176" s="34">
        <f>IF(AND($C176&lt;&gt;"",$C176=HistPlaca),COUNTIF($C$5:$C176,HistPlaca),"")</f>
        <v>0</v>
      </c>
    </row>
    <row r="177" spans="1:27">
      <c r="A177" s="17"/>
      <c r="B177" s="25"/>
      <c r="C177" s="13"/>
      <c r="D177" s="26">
        <f>IF($C177="","",IFERROR(INDEX(VeicCli,MATCH($C177,VeicPlaca,0)),"Placa não cadastrada"))</f>
        <v>0</v>
      </c>
      <c r="E177" s="26">
        <f>IF($C177="","",IFERROR(INDEX(VeicModelo,MATCH($C177,VeicPlaca,0)),""))</f>
        <v>0</v>
      </c>
      <c r="F177" s="28"/>
      <c r="G177" s="13"/>
      <c r="H177" s="13"/>
      <c r="I177" s="13"/>
      <c r="J177" s="29"/>
      <c r="K177" s="19"/>
      <c r="L177" s="19"/>
      <c r="M177" s="25"/>
      <c r="N177" s="13"/>
      <c r="O177" s="19"/>
      <c r="P177" s="27">
        <f>IF($A177="","",N($J177)*ValorHora)</f>
        <v>0</v>
      </c>
      <c r="Q177" s="27">
        <f>IF($A177="","",SUMIFS(ItTotal,ItOS,$A177))</f>
        <v>0</v>
      </c>
      <c r="R177" s="30">
        <f>IF($A177="","",$P177+$Q177+N($K177)-N($L177))</f>
        <v>0</v>
      </c>
      <c r="S177" s="27">
        <f>IF($A177="","",SUMIFS(ItCusto,ItOS,$A177))</f>
        <v>0</v>
      </c>
      <c r="T177" s="27">
        <f>IF($A177="","",$P177*ComMec)</f>
        <v>0</v>
      </c>
      <c r="U177" s="21">
        <f>IF($A177="","",$R177-$S177-$T177-N($K177))</f>
        <v>0</v>
      </c>
      <c r="V177" s="31">
        <f>IF(OR($A177="",N($R177)&lt;=0),"",$U177/$R177)</f>
        <v>0</v>
      </c>
      <c r="W177" s="27">
        <f>IF($A177="","",IF(OR($I177="Finalizado",$I177="Entregue"),MAX(0,$R177-N($O177)),0))</f>
        <v>0</v>
      </c>
      <c r="X177" s="32">
        <f>IF(OR($A177="",$B177=""),"",IF(OR($I177="Entregue",$I177="Cancelada"),"",Hoje-$B177))</f>
        <v>0</v>
      </c>
      <c r="Y177" s="24">
        <f>IF($A177="","",IF(AND(OR($I177="Aprovado",$I177="Em execução",$I177="Aguardando peça"),N($X177)&gt;PrazoMax),"ATRASADA",IF(AND(OR($I177="Finalizado",$I177="Entregue"),$W177&gt;0.005),"Cobrar",IF($I177="Orçamento","Aguardando aprovação",""))))</f>
        <v>0</v>
      </c>
      <c r="Z177" s="33">
        <f>IF(AND($I177="Entregue",$M177&lt;&gt;""),DATE(YEAR($M177),MONTH($M177),1),"")</f>
        <v>0</v>
      </c>
      <c r="AA177" s="34">
        <f>IF(AND($C177&lt;&gt;"",$C177=HistPlaca),COUNTIF($C$5:$C177,HistPlaca),"")</f>
        <v>0</v>
      </c>
    </row>
    <row r="178" spans="1:27">
      <c r="A178" s="17"/>
      <c r="B178" s="25"/>
      <c r="C178" s="13"/>
      <c r="D178" s="26">
        <f>IF($C178="","",IFERROR(INDEX(VeicCli,MATCH($C178,VeicPlaca,0)),"Placa não cadastrada"))</f>
        <v>0</v>
      </c>
      <c r="E178" s="26">
        <f>IF($C178="","",IFERROR(INDEX(VeicModelo,MATCH($C178,VeicPlaca,0)),""))</f>
        <v>0</v>
      </c>
      <c r="F178" s="28"/>
      <c r="G178" s="13"/>
      <c r="H178" s="13"/>
      <c r="I178" s="13"/>
      <c r="J178" s="29"/>
      <c r="K178" s="19"/>
      <c r="L178" s="19"/>
      <c r="M178" s="25"/>
      <c r="N178" s="13"/>
      <c r="O178" s="19"/>
      <c r="P178" s="27">
        <f>IF($A178="","",N($J178)*ValorHora)</f>
        <v>0</v>
      </c>
      <c r="Q178" s="27">
        <f>IF($A178="","",SUMIFS(ItTotal,ItOS,$A178))</f>
        <v>0</v>
      </c>
      <c r="R178" s="30">
        <f>IF($A178="","",$P178+$Q178+N($K178)-N($L178))</f>
        <v>0</v>
      </c>
      <c r="S178" s="27">
        <f>IF($A178="","",SUMIFS(ItCusto,ItOS,$A178))</f>
        <v>0</v>
      </c>
      <c r="T178" s="27">
        <f>IF($A178="","",$P178*ComMec)</f>
        <v>0</v>
      </c>
      <c r="U178" s="21">
        <f>IF($A178="","",$R178-$S178-$T178-N($K178))</f>
        <v>0</v>
      </c>
      <c r="V178" s="31">
        <f>IF(OR($A178="",N($R178)&lt;=0),"",$U178/$R178)</f>
        <v>0</v>
      </c>
      <c r="W178" s="27">
        <f>IF($A178="","",IF(OR($I178="Finalizado",$I178="Entregue"),MAX(0,$R178-N($O178)),0))</f>
        <v>0</v>
      </c>
      <c r="X178" s="32">
        <f>IF(OR($A178="",$B178=""),"",IF(OR($I178="Entregue",$I178="Cancelada"),"",Hoje-$B178))</f>
        <v>0</v>
      </c>
      <c r="Y178" s="24">
        <f>IF($A178="","",IF(AND(OR($I178="Aprovado",$I178="Em execução",$I178="Aguardando peça"),N($X178)&gt;PrazoMax),"ATRASADA",IF(AND(OR($I178="Finalizado",$I178="Entregue"),$W178&gt;0.005),"Cobrar",IF($I178="Orçamento","Aguardando aprovação",""))))</f>
        <v>0</v>
      </c>
      <c r="Z178" s="33">
        <f>IF(AND($I178="Entregue",$M178&lt;&gt;""),DATE(YEAR($M178),MONTH($M178),1),"")</f>
        <v>0</v>
      </c>
      <c r="AA178" s="34">
        <f>IF(AND($C178&lt;&gt;"",$C178=HistPlaca),COUNTIF($C$5:$C178,HistPlaca),"")</f>
        <v>0</v>
      </c>
    </row>
    <row r="179" spans="1:27">
      <c r="A179" s="17"/>
      <c r="B179" s="25"/>
      <c r="C179" s="13"/>
      <c r="D179" s="26">
        <f>IF($C179="","",IFERROR(INDEX(VeicCli,MATCH($C179,VeicPlaca,0)),"Placa não cadastrada"))</f>
        <v>0</v>
      </c>
      <c r="E179" s="26">
        <f>IF($C179="","",IFERROR(INDEX(VeicModelo,MATCH($C179,VeicPlaca,0)),""))</f>
        <v>0</v>
      </c>
      <c r="F179" s="28"/>
      <c r="G179" s="13"/>
      <c r="H179" s="13"/>
      <c r="I179" s="13"/>
      <c r="J179" s="29"/>
      <c r="K179" s="19"/>
      <c r="L179" s="19"/>
      <c r="M179" s="25"/>
      <c r="N179" s="13"/>
      <c r="O179" s="19"/>
      <c r="P179" s="27">
        <f>IF($A179="","",N($J179)*ValorHora)</f>
        <v>0</v>
      </c>
      <c r="Q179" s="27">
        <f>IF($A179="","",SUMIFS(ItTotal,ItOS,$A179))</f>
        <v>0</v>
      </c>
      <c r="R179" s="30">
        <f>IF($A179="","",$P179+$Q179+N($K179)-N($L179))</f>
        <v>0</v>
      </c>
      <c r="S179" s="27">
        <f>IF($A179="","",SUMIFS(ItCusto,ItOS,$A179))</f>
        <v>0</v>
      </c>
      <c r="T179" s="27">
        <f>IF($A179="","",$P179*ComMec)</f>
        <v>0</v>
      </c>
      <c r="U179" s="21">
        <f>IF($A179="","",$R179-$S179-$T179-N($K179))</f>
        <v>0</v>
      </c>
      <c r="V179" s="31">
        <f>IF(OR($A179="",N($R179)&lt;=0),"",$U179/$R179)</f>
        <v>0</v>
      </c>
      <c r="W179" s="27">
        <f>IF($A179="","",IF(OR($I179="Finalizado",$I179="Entregue"),MAX(0,$R179-N($O179)),0))</f>
        <v>0</v>
      </c>
      <c r="X179" s="32">
        <f>IF(OR($A179="",$B179=""),"",IF(OR($I179="Entregue",$I179="Cancelada"),"",Hoje-$B179))</f>
        <v>0</v>
      </c>
      <c r="Y179" s="24">
        <f>IF($A179="","",IF(AND(OR($I179="Aprovado",$I179="Em execução",$I179="Aguardando peça"),N($X179)&gt;PrazoMax),"ATRASADA",IF(AND(OR($I179="Finalizado",$I179="Entregue"),$W179&gt;0.005),"Cobrar",IF($I179="Orçamento","Aguardando aprovação",""))))</f>
        <v>0</v>
      </c>
      <c r="Z179" s="33">
        <f>IF(AND($I179="Entregue",$M179&lt;&gt;""),DATE(YEAR($M179),MONTH($M179),1),"")</f>
        <v>0</v>
      </c>
      <c r="AA179" s="34">
        <f>IF(AND($C179&lt;&gt;"",$C179=HistPlaca),COUNTIF($C$5:$C179,HistPlaca),"")</f>
        <v>0</v>
      </c>
    </row>
    <row r="180" spans="1:27">
      <c r="A180" s="17"/>
      <c r="B180" s="25"/>
      <c r="C180" s="13"/>
      <c r="D180" s="26">
        <f>IF($C180="","",IFERROR(INDEX(VeicCli,MATCH($C180,VeicPlaca,0)),"Placa não cadastrada"))</f>
        <v>0</v>
      </c>
      <c r="E180" s="26">
        <f>IF($C180="","",IFERROR(INDEX(VeicModelo,MATCH($C180,VeicPlaca,0)),""))</f>
        <v>0</v>
      </c>
      <c r="F180" s="28"/>
      <c r="G180" s="13"/>
      <c r="H180" s="13"/>
      <c r="I180" s="13"/>
      <c r="J180" s="29"/>
      <c r="K180" s="19"/>
      <c r="L180" s="19"/>
      <c r="M180" s="25"/>
      <c r="N180" s="13"/>
      <c r="O180" s="19"/>
      <c r="P180" s="27">
        <f>IF($A180="","",N($J180)*ValorHora)</f>
        <v>0</v>
      </c>
      <c r="Q180" s="27">
        <f>IF($A180="","",SUMIFS(ItTotal,ItOS,$A180))</f>
        <v>0</v>
      </c>
      <c r="R180" s="30">
        <f>IF($A180="","",$P180+$Q180+N($K180)-N($L180))</f>
        <v>0</v>
      </c>
      <c r="S180" s="27">
        <f>IF($A180="","",SUMIFS(ItCusto,ItOS,$A180))</f>
        <v>0</v>
      </c>
      <c r="T180" s="27">
        <f>IF($A180="","",$P180*ComMec)</f>
        <v>0</v>
      </c>
      <c r="U180" s="21">
        <f>IF($A180="","",$R180-$S180-$T180-N($K180))</f>
        <v>0</v>
      </c>
      <c r="V180" s="31">
        <f>IF(OR($A180="",N($R180)&lt;=0),"",$U180/$R180)</f>
        <v>0</v>
      </c>
      <c r="W180" s="27">
        <f>IF($A180="","",IF(OR($I180="Finalizado",$I180="Entregue"),MAX(0,$R180-N($O180)),0))</f>
        <v>0</v>
      </c>
      <c r="X180" s="32">
        <f>IF(OR($A180="",$B180=""),"",IF(OR($I180="Entregue",$I180="Cancelada"),"",Hoje-$B180))</f>
        <v>0</v>
      </c>
      <c r="Y180" s="24">
        <f>IF($A180="","",IF(AND(OR($I180="Aprovado",$I180="Em execução",$I180="Aguardando peça"),N($X180)&gt;PrazoMax),"ATRASADA",IF(AND(OR($I180="Finalizado",$I180="Entregue"),$W180&gt;0.005),"Cobrar",IF($I180="Orçamento","Aguardando aprovação",""))))</f>
        <v>0</v>
      </c>
      <c r="Z180" s="33">
        <f>IF(AND($I180="Entregue",$M180&lt;&gt;""),DATE(YEAR($M180),MONTH($M180),1),"")</f>
        <v>0</v>
      </c>
      <c r="AA180" s="34">
        <f>IF(AND($C180&lt;&gt;"",$C180=HistPlaca),COUNTIF($C$5:$C180,HistPlaca),"")</f>
        <v>0</v>
      </c>
    </row>
    <row r="181" spans="1:27">
      <c r="A181" s="17"/>
      <c r="B181" s="25"/>
      <c r="C181" s="13"/>
      <c r="D181" s="26">
        <f>IF($C181="","",IFERROR(INDEX(VeicCli,MATCH($C181,VeicPlaca,0)),"Placa não cadastrada"))</f>
        <v>0</v>
      </c>
      <c r="E181" s="26">
        <f>IF($C181="","",IFERROR(INDEX(VeicModelo,MATCH($C181,VeicPlaca,0)),""))</f>
        <v>0</v>
      </c>
      <c r="F181" s="28"/>
      <c r="G181" s="13"/>
      <c r="H181" s="13"/>
      <c r="I181" s="13"/>
      <c r="J181" s="29"/>
      <c r="K181" s="19"/>
      <c r="L181" s="19"/>
      <c r="M181" s="25"/>
      <c r="N181" s="13"/>
      <c r="O181" s="19"/>
      <c r="P181" s="27">
        <f>IF($A181="","",N($J181)*ValorHora)</f>
        <v>0</v>
      </c>
      <c r="Q181" s="27">
        <f>IF($A181="","",SUMIFS(ItTotal,ItOS,$A181))</f>
        <v>0</v>
      </c>
      <c r="R181" s="30">
        <f>IF($A181="","",$P181+$Q181+N($K181)-N($L181))</f>
        <v>0</v>
      </c>
      <c r="S181" s="27">
        <f>IF($A181="","",SUMIFS(ItCusto,ItOS,$A181))</f>
        <v>0</v>
      </c>
      <c r="T181" s="27">
        <f>IF($A181="","",$P181*ComMec)</f>
        <v>0</v>
      </c>
      <c r="U181" s="21">
        <f>IF($A181="","",$R181-$S181-$T181-N($K181))</f>
        <v>0</v>
      </c>
      <c r="V181" s="31">
        <f>IF(OR($A181="",N($R181)&lt;=0),"",$U181/$R181)</f>
        <v>0</v>
      </c>
      <c r="W181" s="27">
        <f>IF($A181="","",IF(OR($I181="Finalizado",$I181="Entregue"),MAX(0,$R181-N($O181)),0))</f>
        <v>0</v>
      </c>
      <c r="X181" s="32">
        <f>IF(OR($A181="",$B181=""),"",IF(OR($I181="Entregue",$I181="Cancelada"),"",Hoje-$B181))</f>
        <v>0</v>
      </c>
      <c r="Y181" s="24">
        <f>IF($A181="","",IF(AND(OR($I181="Aprovado",$I181="Em execução",$I181="Aguardando peça"),N($X181)&gt;PrazoMax),"ATRASADA",IF(AND(OR($I181="Finalizado",$I181="Entregue"),$W181&gt;0.005),"Cobrar",IF($I181="Orçamento","Aguardando aprovação",""))))</f>
        <v>0</v>
      </c>
      <c r="Z181" s="33">
        <f>IF(AND($I181="Entregue",$M181&lt;&gt;""),DATE(YEAR($M181),MONTH($M181),1),"")</f>
        <v>0</v>
      </c>
      <c r="AA181" s="34">
        <f>IF(AND($C181&lt;&gt;"",$C181=HistPlaca),COUNTIF($C$5:$C181,HistPlaca),"")</f>
        <v>0</v>
      </c>
    </row>
    <row r="182" spans="1:27">
      <c r="A182" s="17"/>
      <c r="B182" s="25"/>
      <c r="C182" s="13"/>
      <c r="D182" s="26">
        <f>IF($C182="","",IFERROR(INDEX(VeicCli,MATCH($C182,VeicPlaca,0)),"Placa não cadastrada"))</f>
        <v>0</v>
      </c>
      <c r="E182" s="26">
        <f>IF($C182="","",IFERROR(INDEX(VeicModelo,MATCH($C182,VeicPlaca,0)),""))</f>
        <v>0</v>
      </c>
      <c r="F182" s="28"/>
      <c r="G182" s="13"/>
      <c r="H182" s="13"/>
      <c r="I182" s="13"/>
      <c r="J182" s="29"/>
      <c r="K182" s="19"/>
      <c r="L182" s="19"/>
      <c r="M182" s="25"/>
      <c r="N182" s="13"/>
      <c r="O182" s="19"/>
      <c r="P182" s="27">
        <f>IF($A182="","",N($J182)*ValorHora)</f>
        <v>0</v>
      </c>
      <c r="Q182" s="27">
        <f>IF($A182="","",SUMIFS(ItTotal,ItOS,$A182))</f>
        <v>0</v>
      </c>
      <c r="R182" s="30">
        <f>IF($A182="","",$P182+$Q182+N($K182)-N($L182))</f>
        <v>0</v>
      </c>
      <c r="S182" s="27">
        <f>IF($A182="","",SUMIFS(ItCusto,ItOS,$A182))</f>
        <v>0</v>
      </c>
      <c r="T182" s="27">
        <f>IF($A182="","",$P182*ComMec)</f>
        <v>0</v>
      </c>
      <c r="U182" s="21">
        <f>IF($A182="","",$R182-$S182-$T182-N($K182))</f>
        <v>0</v>
      </c>
      <c r="V182" s="31">
        <f>IF(OR($A182="",N($R182)&lt;=0),"",$U182/$R182)</f>
        <v>0</v>
      </c>
      <c r="W182" s="27">
        <f>IF($A182="","",IF(OR($I182="Finalizado",$I182="Entregue"),MAX(0,$R182-N($O182)),0))</f>
        <v>0</v>
      </c>
      <c r="X182" s="32">
        <f>IF(OR($A182="",$B182=""),"",IF(OR($I182="Entregue",$I182="Cancelada"),"",Hoje-$B182))</f>
        <v>0</v>
      </c>
      <c r="Y182" s="24">
        <f>IF($A182="","",IF(AND(OR($I182="Aprovado",$I182="Em execução",$I182="Aguardando peça"),N($X182)&gt;PrazoMax),"ATRASADA",IF(AND(OR($I182="Finalizado",$I182="Entregue"),$W182&gt;0.005),"Cobrar",IF($I182="Orçamento","Aguardando aprovação",""))))</f>
        <v>0</v>
      </c>
      <c r="Z182" s="33">
        <f>IF(AND($I182="Entregue",$M182&lt;&gt;""),DATE(YEAR($M182),MONTH($M182),1),"")</f>
        <v>0</v>
      </c>
      <c r="AA182" s="34">
        <f>IF(AND($C182&lt;&gt;"",$C182=HistPlaca),COUNTIF($C$5:$C182,HistPlaca),"")</f>
        <v>0</v>
      </c>
    </row>
    <row r="183" spans="1:27">
      <c r="A183" s="17"/>
      <c r="B183" s="25"/>
      <c r="C183" s="13"/>
      <c r="D183" s="26">
        <f>IF($C183="","",IFERROR(INDEX(VeicCli,MATCH($C183,VeicPlaca,0)),"Placa não cadastrada"))</f>
        <v>0</v>
      </c>
      <c r="E183" s="26">
        <f>IF($C183="","",IFERROR(INDEX(VeicModelo,MATCH($C183,VeicPlaca,0)),""))</f>
        <v>0</v>
      </c>
      <c r="F183" s="28"/>
      <c r="G183" s="13"/>
      <c r="H183" s="13"/>
      <c r="I183" s="13"/>
      <c r="J183" s="29"/>
      <c r="K183" s="19"/>
      <c r="L183" s="19"/>
      <c r="M183" s="25"/>
      <c r="N183" s="13"/>
      <c r="O183" s="19"/>
      <c r="P183" s="27">
        <f>IF($A183="","",N($J183)*ValorHora)</f>
        <v>0</v>
      </c>
      <c r="Q183" s="27">
        <f>IF($A183="","",SUMIFS(ItTotal,ItOS,$A183))</f>
        <v>0</v>
      </c>
      <c r="R183" s="30">
        <f>IF($A183="","",$P183+$Q183+N($K183)-N($L183))</f>
        <v>0</v>
      </c>
      <c r="S183" s="27">
        <f>IF($A183="","",SUMIFS(ItCusto,ItOS,$A183))</f>
        <v>0</v>
      </c>
      <c r="T183" s="27">
        <f>IF($A183="","",$P183*ComMec)</f>
        <v>0</v>
      </c>
      <c r="U183" s="21">
        <f>IF($A183="","",$R183-$S183-$T183-N($K183))</f>
        <v>0</v>
      </c>
      <c r="V183" s="31">
        <f>IF(OR($A183="",N($R183)&lt;=0),"",$U183/$R183)</f>
        <v>0</v>
      </c>
      <c r="W183" s="27">
        <f>IF($A183="","",IF(OR($I183="Finalizado",$I183="Entregue"),MAX(0,$R183-N($O183)),0))</f>
        <v>0</v>
      </c>
      <c r="X183" s="32">
        <f>IF(OR($A183="",$B183=""),"",IF(OR($I183="Entregue",$I183="Cancelada"),"",Hoje-$B183))</f>
        <v>0</v>
      </c>
      <c r="Y183" s="24">
        <f>IF($A183="","",IF(AND(OR($I183="Aprovado",$I183="Em execução",$I183="Aguardando peça"),N($X183)&gt;PrazoMax),"ATRASADA",IF(AND(OR($I183="Finalizado",$I183="Entregue"),$W183&gt;0.005),"Cobrar",IF($I183="Orçamento","Aguardando aprovação",""))))</f>
        <v>0</v>
      </c>
      <c r="Z183" s="33">
        <f>IF(AND($I183="Entregue",$M183&lt;&gt;""),DATE(YEAR($M183),MONTH($M183),1),"")</f>
        <v>0</v>
      </c>
      <c r="AA183" s="34">
        <f>IF(AND($C183&lt;&gt;"",$C183=HistPlaca),COUNTIF($C$5:$C183,HistPlaca),"")</f>
        <v>0</v>
      </c>
    </row>
    <row r="184" spans="1:27">
      <c r="A184" s="17"/>
      <c r="B184" s="25"/>
      <c r="C184" s="13"/>
      <c r="D184" s="26">
        <f>IF($C184="","",IFERROR(INDEX(VeicCli,MATCH($C184,VeicPlaca,0)),"Placa não cadastrada"))</f>
        <v>0</v>
      </c>
      <c r="E184" s="26">
        <f>IF($C184="","",IFERROR(INDEX(VeicModelo,MATCH($C184,VeicPlaca,0)),""))</f>
        <v>0</v>
      </c>
      <c r="F184" s="28"/>
      <c r="G184" s="13"/>
      <c r="H184" s="13"/>
      <c r="I184" s="13"/>
      <c r="J184" s="29"/>
      <c r="K184" s="19"/>
      <c r="L184" s="19"/>
      <c r="M184" s="25"/>
      <c r="N184" s="13"/>
      <c r="O184" s="19"/>
      <c r="P184" s="27">
        <f>IF($A184="","",N($J184)*ValorHora)</f>
        <v>0</v>
      </c>
      <c r="Q184" s="27">
        <f>IF($A184="","",SUMIFS(ItTotal,ItOS,$A184))</f>
        <v>0</v>
      </c>
      <c r="R184" s="30">
        <f>IF($A184="","",$P184+$Q184+N($K184)-N($L184))</f>
        <v>0</v>
      </c>
      <c r="S184" s="27">
        <f>IF($A184="","",SUMIFS(ItCusto,ItOS,$A184))</f>
        <v>0</v>
      </c>
      <c r="T184" s="27">
        <f>IF($A184="","",$P184*ComMec)</f>
        <v>0</v>
      </c>
      <c r="U184" s="21">
        <f>IF($A184="","",$R184-$S184-$T184-N($K184))</f>
        <v>0</v>
      </c>
      <c r="V184" s="31">
        <f>IF(OR($A184="",N($R184)&lt;=0),"",$U184/$R184)</f>
        <v>0</v>
      </c>
      <c r="W184" s="27">
        <f>IF($A184="","",IF(OR($I184="Finalizado",$I184="Entregue"),MAX(0,$R184-N($O184)),0))</f>
        <v>0</v>
      </c>
      <c r="X184" s="32">
        <f>IF(OR($A184="",$B184=""),"",IF(OR($I184="Entregue",$I184="Cancelada"),"",Hoje-$B184))</f>
        <v>0</v>
      </c>
      <c r="Y184" s="24">
        <f>IF($A184="","",IF(AND(OR($I184="Aprovado",$I184="Em execução",$I184="Aguardando peça"),N($X184)&gt;PrazoMax),"ATRASADA",IF(AND(OR($I184="Finalizado",$I184="Entregue"),$W184&gt;0.005),"Cobrar",IF($I184="Orçamento","Aguardando aprovação",""))))</f>
        <v>0</v>
      </c>
      <c r="Z184" s="33">
        <f>IF(AND($I184="Entregue",$M184&lt;&gt;""),DATE(YEAR($M184),MONTH($M184),1),"")</f>
        <v>0</v>
      </c>
      <c r="AA184" s="34">
        <f>IF(AND($C184&lt;&gt;"",$C184=HistPlaca),COUNTIF($C$5:$C184,HistPlaca),"")</f>
        <v>0</v>
      </c>
    </row>
    <row r="185" spans="1:27">
      <c r="A185" s="17"/>
      <c r="B185" s="25"/>
      <c r="C185" s="13"/>
      <c r="D185" s="26">
        <f>IF($C185="","",IFERROR(INDEX(VeicCli,MATCH($C185,VeicPlaca,0)),"Placa não cadastrada"))</f>
        <v>0</v>
      </c>
      <c r="E185" s="26">
        <f>IF($C185="","",IFERROR(INDEX(VeicModelo,MATCH($C185,VeicPlaca,0)),""))</f>
        <v>0</v>
      </c>
      <c r="F185" s="28"/>
      <c r="G185" s="13"/>
      <c r="H185" s="13"/>
      <c r="I185" s="13"/>
      <c r="J185" s="29"/>
      <c r="K185" s="19"/>
      <c r="L185" s="19"/>
      <c r="M185" s="25"/>
      <c r="N185" s="13"/>
      <c r="O185" s="19"/>
      <c r="P185" s="27">
        <f>IF($A185="","",N($J185)*ValorHora)</f>
        <v>0</v>
      </c>
      <c r="Q185" s="27">
        <f>IF($A185="","",SUMIFS(ItTotal,ItOS,$A185))</f>
        <v>0</v>
      </c>
      <c r="R185" s="30">
        <f>IF($A185="","",$P185+$Q185+N($K185)-N($L185))</f>
        <v>0</v>
      </c>
      <c r="S185" s="27">
        <f>IF($A185="","",SUMIFS(ItCusto,ItOS,$A185))</f>
        <v>0</v>
      </c>
      <c r="T185" s="27">
        <f>IF($A185="","",$P185*ComMec)</f>
        <v>0</v>
      </c>
      <c r="U185" s="21">
        <f>IF($A185="","",$R185-$S185-$T185-N($K185))</f>
        <v>0</v>
      </c>
      <c r="V185" s="31">
        <f>IF(OR($A185="",N($R185)&lt;=0),"",$U185/$R185)</f>
        <v>0</v>
      </c>
      <c r="W185" s="27">
        <f>IF($A185="","",IF(OR($I185="Finalizado",$I185="Entregue"),MAX(0,$R185-N($O185)),0))</f>
        <v>0</v>
      </c>
      <c r="X185" s="32">
        <f>IF(OR($A185="",$B185=""),"",IF(OR($I185="Entregue",$I185="Cancelada"),"",Hoje-$B185))</f>
        <v>0</v>
      </c>
      <c r="Y185" s="24">
        <f>IF($A185="","",IF(AND(OR($I185="Aprovado",$I185="Em execução",$I185="Aguardando peça"),N($X185)&gt;PrazoMax),"ATRASADA",IF(AND(OR($I185="Finalizado",$I185="Entregue"),$W185&gt;0.005),"Cobrar",IF($I185="Orçamento","Aguardando aprovação",""))))</f>
        <v>0</v>
      </c>
      <c r="Z185" s="33">
        <f>IF(AND($I185="Entregue",$M185&lt;&gt;""),DATE(YEAR($M185),MONTH($M185),1),"")</f>
        <v>0</v>
      </c>
      <c r="AA185" s="34">
        <f>IF(AND($C185&lt;&gt;"",$C185=HistPlaca),COUNTIF($C$5:$C185,HistPlaca),"")</f>
        <v>0</v>
      </c>
    </row>
    <row r="186" spans="1:27">
      <c r="A186" s="17"/>
      <c r="B186" s="25"/>
      <c r="C186" s="13"/>
      <c r="D186" s="26">
        <f>IF($C186="","",IFERROR(INDEX(VeicCli,MATCH($C186,VeicPlaca,0)),"Placa não cadastrada"))</f>
        <v>0</v>
      </c>
      <c r="E186" s="26">
        <f>IF($C186="","",IFERROR(INDEX(VeicModelo,MATCH($C186,VeicPlaca,0)),""))</f>
        <v>0</v>
      </c>
      <c r="F186" s="28"/>
      <c r="G186" s="13"/>
      <c r="H186" s="13"/>
      <c r="I186" s="13"/>
      <c r="J186" s="29"/>
      <c r="K186" s="19"/>
      <c r="L186" s="19"/>
      <c r="M186" s="25"/>
      <c r="N186" s="13"/>
      <c r="O186" s="19"/>
      <c r="P186" s="27">
        <f>IF($A186="","",N($J186)*ValorHora)</f>
        <v>0</v>
      </c>
      <c r="Q186" s="27">
        <f>IF($A186="","",SUMIFS(ItTotal,ItOS,$A186))</f>
        <v>0</v>
      </c>
      <c r="R186" s="30">
        <f>IF($A186="","",$P186+$Q186+N($K186)-N($L186))</f>
        <v>0</v>
      </c>
      <c r="S186" s="27">
        <f>IF($A186="","",SUMIFS(ItCusto,ItOS,$A186))</f>
        <v>0</v>
      </c>
      <c r="T186" s="27">
        <f>IF($A186="","",$P186*ComMec)</f>
        <v>0</v>
      </c>
      <c r="U186" s="21">
        <f>IF($A186="","",$R186-$S186-$T186-N($K186))</f>
        <v>0</v>
      </c>
      <c r="V186" s="31">
        <f>IF(OR($A186="",N($R186)&lt;=0),"",$U186/$R186)</f>
        <v>0</v>
      </c>
      <c r="W186" s="27">
        <f>IF($A186="","",IF(OR($I186="Finalizado",$I186="Entregue"),MAX(0,$R186-N($O186)),0))</f>
        <v>0</v>
      </c>
      <c r="X186" s="32">
        <f>IF(OR($A186="",$B186=""),"",IF(OR($I186="Entregue",$I186="Cancelada"),"",Hoje-$B186))</f>
        <v>0</v>
      </c>
      <c r="Y186" s="24">
        <f>IF($A186="","",IF(AND(OR($I186="Aprovado",$I186="Em execução",$I186="Aguardando peça"),N($X186)&gt;PrazoMax),"ATRASADA",IF(AND(OR($I186="Finalizado",$I186="Entregue"),$W186&gt;0.005),"Cobrar",IF($I186="Orçamento","Aguardando aprovação",""))))</f>
        <v>0</v>
      </c>
      <c r="Z186" s="33">
        <f>IF(AND($I186="Entregue",$M186&lt;&gt;""),DATE(YEAR($M186),MONTH($M186),1),"")</f>
        <v>0</v>
      </c>
      <c r="AA186" s="34">
        <f>IF(AND($C186&lt;&gt;"",$C186=HistPlaca),COUNTIF($C$5:$C186,HistPlaca),"")</f>
        <v>0</v>
      </c>
    </row>
    <row r="187" spans="1:27">
      <c r="A187" s="17"/>
      <c r="B187" s="25"/>
      <c r="C187" s="13"/>
      <c r="D187" s="26">
        <f>IF($C187="","",IFERROR(INDEX(VeicCli,MATCH($C187,VeicPlaca,0)),"Placa não cadastrada"))</f>
        <v>0</v>
      </c>
      <c r="E187" s="26">
        <f>IF($C187="","",IFERROR(INDEX(VeicModelo,MATCH($C187,VeicPlaca,0)),""))</f>
        <v>0</v>
      </c>
      <c r="F187" s="28"/>
      <c r="G187" s="13"/>
      <c r="H187" s="13"/>
      <c r="I187" s="13"/>
      <c r="J187" s="29"/>
      <c r="K187" s="19"/>
      <c r="L187" s="19"/>
      <c r="M187" s="25"/>
      <c r="N187" s="13"/>
      <c r="O187" s="19"/>
      <c r="P187" s="27">
        <f>IF($A187="","",N($J187)*ValorHora)</f>
        <v>0</v>
      </c>
      <c r="Q187" s="27">
        <f>IF($A187="","",SUMIFS(ItTotal,ItOS,$A187))</f>
        <v>0</v>
      </c>
      <c r="R187" s="30">
        <f>IF($A187="","",$P187+$Q187+N($K187)-N($L187))</f>
        <v>0</v>
      </c>
      <c r="S187" s="27">
        <f>IF($A187="","",SUMIFS(ItCusto,ItOS,$A187))</f>
        <v>0</v>
      </c>
      <c r="T187" s="27">
        <f>IF($A187="","",$P187*ComMec)</f>
        <v>0</v>
      </c>
      <c r="U187" s="21">
        <f>IF($A187="","",$R187-$S187-$T187-N($K187))</f>
        <v>0</v>
      </c>
      <c r="V187" s="31">
        <f>IF(OR($A187="",N($R187)&lt;=0),"",$U187/$R187)</f>
        <v>0</v>
      </c>
      <c r="W187" s="27">
        <f>IF($A187="","",IF(OR($I187="Finalizado",$I187="Entregue"),MAX(0,$R187-N($O187)),0))</f>
        <v>0</v>
      </c>
      <c r="X187" s="32">
        <f>IF(OR($A187="",$B187=""),"",IF(OR($I187="Entregue",$I187="Cancelada"),"",Hoje-$B187))</f>
        <v>0</v>
      </c>
      <c r="Y187" s="24">
        <f>IF($A187="","",IF(AND(OR($I187="Aprovado",$I187="Em execução",$I187="Aguardando peça"),N($X187)&gt;PrazoMax),"ATRASADA",IF(AND(OR($I187="Finalizado",$I187="Entregue"),$W187&gt;0.005),"Cobrar",IF($I187="Orçamento","Aguardando aprovação",""))))</f>
        <v>0</v>
      </c>
      <c r="Z187" s="33">
        <f>IF(AND($I187="Entregue",$M187&lt;&gt;""),DATE(YEAR($M187),MONTH($M187),1),"")</f>
        <v>0</v>
      </c>
      <c r="AA187" s="34">
        <f>IF(AND($C187&lt;&gt;"",$C187=HistPlaca),COUNTIF($C$5:$C187,HistPlaca),"")</f>
        <v>0</v>
      </c>
    </row>
    <row r="188" spans="1:27">
      <c r="A188" s="17"/>
      <c r="B188" s="25"/>
      <c r="C188" s="13"/>
      <c r="D188" s="26">
        <f>IF($C188="","",IFERROR(INDEX(VeicCli,MATCH($C188,VeicPlaca,0)),"Placa não cadastrada"))</f>
        <v>0</v>
      </c>
      <c r="E188" s="26">
        <f>IF($C188="","",IFERROR(INDEX(VeicModelo,MATCH($C188,VeicPlaca,0)),""))</f>
        <v>0</v>
      </c>
      <c r="F188" s="28"/>
      <c r="G188" s="13"/>
      <c r="H188" s="13"/>
      <c r="I188" s="13"/>
      <c r="J188" s="29"/>
      <c r="K188" s="19"/>
      <c r="L188" s="19"/>
      <c r="M188" s="25"/>
      <c r="N188" s="13"/>
      <c r="O188" s="19"/>
      <c r="P188" s="27">
        <f>IF($A188="","",N($J188)*ValorHora)</f>
        <v>0</v>
      </c>
      <c r="Q188" s="27">
        <f>IF($A188="","",SUMIFS(ItTotal,ItOS,$A188))</f>
        <v>0</v>
      </c>
      <c r="R188" s="30">
        <f>IF($A188="","",$P188+$Q188+N($K188)-N($L188))</f>
        <v>0</v>
      </c>
      <c r="S188" s="27">
        <f>IF($A188="","",SUMIFS(ItCusto,ItOS,$A188))</f>
        <v>0</v>
      </c>
      <c r="T188" s="27">
        <f>IF($A188="","",$P188*ComMec)</f>
        <v>0</v>
      </c>
      <c r="U188" s="21">
        <f>IF($A188="","",$R188-$S188-$T188-N($K188))</f>
        <v>0</v>
      </c>
      <c r="V188" s="31">
        <f>IF(OR($A188="",N($R188)&lt;=0),"",$U188/$R188)</f>
        <v>0</v>
      </c>
      <c r="W188" s="27">
        <f>IF($A188="","",IF(OR($I188="Finalizado",$I188="Entregue"),MAX(0,$R188-N($O188)),0))</f>
        <v>0</v>
      </c>
      <c r="X188" s="32">
        <f>IF(OR($A188="",$B188=""),"",IF(OR($I188="Entregue",$I188="Cancelada"),"",Hoje-$B188))</f>
        <v>0</v>
      </c>
      <c r="Y188" s="24">
        <f>IF($A188="","",IF(AND(OR($I188="Aprovado",$I188="Em execução",$I188="Aguardando peça"),N($X188)&gt;PrazoMax),"ATRASADA",IF(AND(OR($I188="Finalizado",$I188="Entregue"),$W188&gt;0.005),"Cobrar",IF($I188="Orçamento","Aguardando aprovação",""))))</f>
        <v>0</v>
      </c>
      <c r="Z188" s="33">
        <f>IF(AND($I188="Entregue",$M188&lt;&gt;""),DATE(YEAR($M188),MONTH($M188),1),"")</f>
        <v>0</v>
      </c>
      <c r="AA188" s="34">
        <f>IF(AND($C188&lt;&gt;"",$C188=HistPlaca),COUNTIF($C$5:$C188,HistPlaca),"")</f>
        <v>0</v>
      </c>
    </row>
    <row r="189" spans="1:27">
      <c r="A189" s="17"/>
      <c r="B189" s="25"/>
      <c r="C189" s="13"/>
      <c r="D189" s="26">
        <f>IF($C189="","",IFERROR(INDEX(VeicCli,MATCH($C189,VeicPlaca,0)),"Placa não cadastrada"))</f>
        <v>0</v>
      </c>
      <c r="E189" s="26">
        <f>IF($C189="","",IFERROR(INDEX(VeicModelo,MATCH($C189,VeicPlaca,0)),""))</f>
        <v>0</v>
      </c>
      <c r="F189" s="28"/>
      <c r="G189" s="13"/>
      <c r="H189" s="13"/>
      <c r="I189" s="13"/>
      <c r="J189" s="29"/>
      <c r="K189" s="19"/>
      <c r="L189" s="19"/>
      <c r="M189" s="25"/>
      <c r="N189" s="13"/>
      <c r="O189" s="19"/>
      <c r="P189" s="27">
        <f>IF($A189="","",N($J189)*ValorHora)</f>
        <v>0</v>
      </c>
      <c r="Q189" s="27">
        <f>IF($A189="","",SUMIFS(ItTotal,ItOS,$A189))</f>
        <v>0</v>
      </c>
      <c r="R189" s="30">
        <f>IF($A189="","",$P189+$Q189+N($K189)-N($L189))</f>
        <v>0</v>
      </c>
      <c r="S189" s="27">
        <f>IF($A189="","",SUMIFS(ItCusto,ItOS,$A189))</f>
        <v>0</v>
      </c>
      <c r="T189" s="27">
        <f>IF($A189="","",$P189*ComMec)</f>
        <v>0</v>
      </c>
      <c r="U189" s="21">
        <f>IF($A189="","",$R189-$S189-$T189-N($K189))</f>
        <v>0</v>
      </c>
      <c r="V189" s="31">
        <f>IF(OR($A189="",N($R189)&lt;=0),"",$U189/$R189)</f>
        <v>0</v>
      </c>
      <c r="W189" s="27">
        <f>IF($A189="","",IF(OR($I189="Finalizado",$I189="Entregue"),MAX(0,$R189-N($O189)),0))</f>
        <v>0</v>
      </c>
      <c r="X189" s="32">
        <f>IF(OR($A189="",$B189=""),"",IF(OR($I189="Entregue",$I189="Cancelada"),"",Hoje-$B189))</f>
        <v>0</v>
      </c>
      <c r="Y189" s="24">
        <f>IF($A189="","",IF(AND(OR($I189="Aprovado",$I189="Em execução",$I189="Aguardando peça"),N($X189)&gt;PrazoMax),"ATRASADA",IF(AND(OR($I189="Finalizado",$I189="Entregue"),$W189&gt;0.005),"Cobrar",IF($I189="Orçamento","Aguardando aprovação",""))))</f>
        <v>0</v>
      </c>
      <c r="Z189" s="33">
        <f>IF(AND($I189="Entregue",$M189&lt;&gt;""),DATE(YEAR($M189),MONTH($M189),1),"")</f>
        <v>0</v>
      </c>
      <c r="AA189" s="34">
        <f>IF(AND($C189&lt;&gt;"",$C189=HistPlaca),COUNTIF($C$5:$C189,HistPlaca),"")</f>
        <v>0</v>
      </c>
    </row>
    <row r="190" spans="1:27">
      <c r="A190" s="17"/>
      <c r="B190" s="25"/>
      <c r="C190" s="13"/>
      <c r="D190" s="26">
        <f>IF($C190="","",IFERROR(INDEX(VeicCli,MATCH($C190,VeicPlaca,0)),"Placa não cadastrada"))</f>
        <v>0</v>
      </c>
      <c r="E190" s="26">
        <f>IF($C190="","",IFERROR(INDEX(VeicModelo,MATCH($C190,VeicPlaca,0)),""))</f>
        <v>0</v>
      </c>
      <c r="F190" s="28"/>
      <c r="G190" s="13"/>
      <c r="H190" s="13"/>
      <c r="I190" s="13"/>
      <c r="J190" s="29"/>
      <c r="K190" s="19"/>
      <c r="L190" s="19"/>
      <c r="M190" s="25"/>
      <c r="N190" s="13"/>
      <c r="O190" s="19"/>
      <c r="P190" s="27">
        <f>IF($A190="","",N($J190)*ValorHora)</f>
        <v>0</v>
      </c>
      <c r="Q190" s="27">
        <f>IF($A190="","",SUMIFS(ItTotal,ItOS,$A190))</f>
        <v>0</v>
      </c>
      <c r="R190" s="30">
        <f>IF($A190="","",$P190+$Q190+N($K190)-N($L190))</f>
        <v>0</v>
      </c>
      <c r="S190" s="27">
        <f>IF($A190="","",SUMIFS(ItCusto,ItOS,$A190))</f>
        <v>0</v>
      </c>
      <c r="T190" s="27">
        <f>IF($A190="","",$P190*ComMec)</f>
        <v>0</v>
      </c>
      <c r="U190" s="21">
        <f>IF($A190="","",$R190-$S190-$T190-N($K190))</f>
        <v>0</v>
      </c>
      <c r="V190" s="31">
        <f>IF(OR($A190="",N($R190)&lt;=0),"",$U190/$R190)</f>
        <v>0</v>
      </c>
      <c r="W190" s="27">
        <f>IF($A190="","",IF(OR($I190="Finalizado",$I190="Entregue"),MAX(0,$R190-N($O190)),0))</f>
        <v>0</v>
      </c>
      <c r="X190" s="32">
        <f>IF(OR($A190="",$B190=""),"",IF(OR($I190="Entregue",$I190="Cancelada"),"",Hoje-$B190))</f>
        <v>0</v>
      </c>
      <c r="Y190" s="24">
        <f>IF($A190="","",IF(AND(OR($I190="Aprovado",$I190="Em execução",$I190="Aguardando peça"),N($X190)&gt;PrazoMax),"ATRASADA",IF(AND(OR($I190="Finalizado",$I190="Entregue"),$W190&gt;0.005),"Cobrar",IF($I190="Orçamento","Aguardando aprovação",""))))</f>
        <v>0</v>
      </c>
      <c r="Z190" s="33">
        <f>IF(AND($I190="Entregue",$M190&lt;&gt;""),DATE(YEAR($M190),MONTH($M190),1),"")</f>
        <v>0</v>
      </c>
      <c r="AA190" s="34">
        <f>IF(AND($C190&lt;&gt;"",$C190=HistPlaca),COUNTIF($C$5:$C190,HistPlaca),"")</f>
        <v>0</v>
      </c>
    </row>
    <row r="191" spans="1:27">
      <c r="A191" s="17"/>
      <c r="B191" s="25"/>
      <c r="C191" s="13"/>
      <c r="D191" s="26">
        <f>IF($C191="","",IFERROR(INDEX(VeicCli,MATCH($C191,VeicPlaca,0)),"Placa não cadastrada"))</f>
        <v>0</v>
      </c>
      <c r="E191" s="26">
        <f>IF($C191="","",IFERROR(INDEX(VeicModelo,MATCH($C191,VeicPlaca,0)),""))</f>
        <v>0</v>
      </c>
      <c r="F191" s="28"/>
      <c r="G191" s="13"/>
      <c r="H191" s="13"/>
      <c r="I191" s="13"/>
      <c r="J191" s="29"/>
      <c r="K191" s="19"/>
      <c r="L191" s="19"/>
      <c r="M191" s="25"/>
      <c r="N191" s="13"/>
      <c r="O191" s="19"/>
      <c r="P191" s="27">
        <f>IF($A191="","",N($J191)*ValorHora)</f>
        <v>0</v>
      </c>
      <c r="Q191" s="27">
        <f>IF($A191="","",SUMIFS(ItTotal,ItOS,$A191))</f>
        <v>0</v>
      </c>
      <c r="R191" s="30">
        <f>IF($A191="","",$P191+$Q191+N($K191)-N($L191))</f>
        <v>0</v>
      </c>
      <c r="S191" s="27">
        <f>IF($A191="","",SUMIFS(ItCusto,ItOS,$A191))</f>
        <v>0</v>
      </c>
      <c r="T191" s="27">
        <f>IF($A191="","",$P191*ComMec)</f>
        <v>0</v>
      </c>
      <c r="U191" s="21">
        <f>IF($A191="","",$R191-$S191-$T191-N($K191))</f>
        <v>0</v>
      </c>
      <c r="V191" s="31">
        <f>IF(OR($A191="",N($R191)&lt;=0),"",$U191/$R191)</f>
        <v>0</v>
      </c>
      <c r="W191" s="27">
        <f>IF($A191="","",IF(OR($I191="Finalizado",$I191="Entregue"),MAX(0,$R191-N($O191)),0))</f>
        <v>0</v>
      </c>
      <c r="X191" s="32">
        <f>IF(OR($A191="",$B191=""),"",IF(OR($I191="Entregue",$I191="Cancelada"),"",Hoje-$B191))</f>
        <v>0</v>
      </c>
      <c r="Y191" s="24">
        <f>IF($A191="","",IF(AND(OR($I191="Aprovado",$I191="Em execução",$I191="Aguardando peça"),N($X191)&gt;PrazoMax),"ATRASADA",IF(AND(OR($I191="Finalizado",$I191="Entregue"),$W191&gt;0.005),"Cobrar",IF($I191="Orçamento","Aguardando aprovação",""))))</f>
        <v>0</v>
      </c>
      <c r="Z191" s="33">
        <f>IF(AND($I191="Entregue",$M191&lt;&gt;""),DATE(YEAR($M191),MONTH($M191),1),"")</f>
        <v>0</v>
      </c>
      <c r="AA191" s="34">
        <f>IF(AND($C191&lt;&gt;"",$C191=HistPlaca),COUNTIF($C$5:$C191,HistPlaca),"")</f>
        <v>0</v>
      </c>
    </row>
    <row r="192" spans="1:27">
      <c r="A192" s="17"/>
      <c r="B192" s="25"/>
      <c r="C192" s="13"/>
      <c r="D192" s="26">
        <f>IF($C192="","",IFERROR(INDEX(VeicCli,MATCH($C192,VeicPlaca,0)),"Placa não cadastrada"))</f>
        <v>0</v>
      </c>
      <c r="E192" s="26">
        <f>IF($C192="","",IFERROR(INDEX(VeicModelo,MATCH($C192,VeicPlaca,0)),""))</f>
        <v>0</v>
      </c>
      <c r="F192" s="28"/>
      <c r="G192" s="13"/>
      <c r="H192" s="13"/>
      <c r="I192" s="13"/>
      <c r="J192" s="29"/>
      <c r="K192" s="19"/>
      <c r="L192" s="19"/>
      <c r="M192" s="25"/>
      <c r="N192" s="13"/>
      <c r="O192" s="19"/>
      <c r="P192" s="27">
        <f>IF($A192="","",N($J192)*ValorHora)</f>
        <v>0</v>
      </c>
      <c r="Q192" s="27">
        <f>IF($A192="","",SUMIFS(ItTotal,ItOS,$A192))</f>
        <v>0</v>
      </c>
      <c r="R192" s="30">
        <f>IF($A192="","",$P192+$Q192+N($K192)-N($L192))</f>
        <v>0</v>
      </c>
      <c r="S192" s="27">
        <f>IF($A192="","",SUMIFS(ItCusto,ItOS,$A192))</f>
        <v>0</v>
      </c>
      <c r="T192" s="27">
        <f>IF($A192="","",$P192*ComMec)</f>
        <v>0</v>
      </c>
      <c r="U192" s="21">
        <f>IF($A192="","",$R192-$S192-$T192-N($K192))</f>
        <v>0</v>
      </c>
      <c r="V192" s="31">
        <f>IF(OR($A192="",N($R192)&lt;=0),"",$U192/$R192)</f>
        <v>0</v>
      </c>
      <c r="W192" s="27">
        <f>IF($A192="","",IF(OR($I192="Finalizado",$I192="Entregue"),MAX(0,$R192-N($O192)),0))</f>
        <v>0</v>
      </c>
      <c r="X192" s="32">
        <f>IF(OR($A192="",$B192=""),"",IF(OR($I192="Entregue",$I192="Cancelada"),"",Hoje-$B192))</f>
        <v>0</v>
      </c>
      <c r="Y192" s="24">
        <f>IF($A192="","",IF(AND(OR($I192="Aprovado",$I192="Em execução",$I192="Aguardando peça"),N($X192)&gt;PrazoMax),"ATRASADA",IF(AND(OR($I192="Finalizado",$I192="Entregue"),$W192&gt;0.005),"Cobrar",IF($I192="Orçamento","Aguardando aprovação",""))))</f>
        <v>0</v>
      </c>
      <c r="Z192" s="33">
        <f>IF(AND($I192="Entregue",$M192&lt;&gt;""),DATE(YEAR($M192),MONTH($M192),1),"")</f>
        <v>0</v>
      </c>
      <c r="AA192" s="34">
        <f>IF(AND($C192&lt;&gt;"",$C192=HistPlaca),COUNTIF($C$5:$C192,HistPlaca),"")</f>
        <v>0</v>
      </c>
    </row>
    <row r="193" spans="1:27">
      <c r="A193" s="17"/>
      <c r="B193" s="25"/>
      <c r="C193" s="13"/>
      <c r="D193" s="26">
        <f>IF($C193="","",IFERROR(INDEX(VeicCli,MATCH($C193,VeicPlaca,0)),"Placa não cadastrada"))</f>
        <v>0</v>
      </c>
      <c r="E193" s="26">
        <f>IF($C193="","",IFERROR(INDEX(VeicModelo,MATCH($C193,VeicPlaca,0)),""))</f>
        <v>0</v>
      </c>
      <c r="F193" s="28"/>
      <c r="G193" s="13"/>
      <c r="H193" s="13"/>
      <c r="I193" s="13"/>
      <c r="J193" s="29"/>
      <c r="K193" s="19"/>
      <c r="L193" s="19"/>
      <c r="M193" s="25"/>
      <c r="N193" s="13"/>
      <c r="O193" s="19"/>
      <c r="P193" s="27">
        <f>IF($A193="","",N($J193)*ValorHora)</f>
        <v>0</v>
      </c>
      <c r="Q193" s="27">
        <f>IF($A193="","",SUMIFS(ItTotal,ItOS,$A193))</f>
        <v>0</v>
      </c>
      <c r="R193" s="30">
        <f>IF($A193="","",$P193+$Q193+N($K193)-N($L193))</f>
        <v>0</v>
      </c>
      <c r="S193" s="27">
        <f>IF($A193="","",SUMIFS(ItCusto,ItOS,$A193))</f>
        <v>0</v>
      </c>
      <c r="T193" s="27">
        <f>IF($A193="","",$P193*ComMec)</f>
        <v>0</v>
      </c>
      <c r="U193" s="21">
        <f>IF($A193="","",$R193-$S193-$T193-N($K193))</f>
        <v>0</v>
      </c>
      <c r="V193" s="31">
        <f>IF(OR($A193="",N($R193)&lt;=0),"",$U193/$R193)</f>
        <v>0</v>
      </c>
      <c r="W193" s="27">
        <f>IF($A193="","",IF(OR($I193="Finalizado",$I193="Entregue"),MAX(0,$R193-N($O193)),0))</f>
        <v>0</v>
      </c>
      <c r="X193" s="32">
        <f>IF(OR($A193="",$B193=""),"",IF(OR($I193="Entregue",$I193="Cancelada"),"",Hoje-$B193))</f>
        <v>0</v>
      </c>
      <c r="Y193" s="24">
        <f>IF($A193="","",IF(AND(OR($I193="Aprovado",$I193="Em execução",$I193="Aguardando peça"),N($X193)&gt;PrazoMax),"ATRASADA",IF(AND(OR($I193="Finalizado",$I193="Entregue"),$W193&gt;0.005),"Cobrar",IF($I193="Orçamento","Aguardando aprovação",""))))</f>
        <v>0</v>
      </c>
      <c r="Z193" s="33">
        <f>IF(AND($I193="Entregue",$M193&lt;&gt;""),DATE(YEAR($M193),MONTH($M193),1),"")</f>
        <v>0</v>
      </c>
      <c r="AA193" s="34">
        <f>IF(AND($C193&lt;&gt;"",$C193=HistPlaca),COUNTIF($C$5:$C193,HistPlaca),"")</f>
        <v>0</v>
      </c>
    </row>
    <row r="194" spans="1:27">
      <c r="A194" s="17"/>
      <c r="B194" s="25"/>
      <c r="C194" s="13"/>
      <c r="D194" s="26">
        <f>IF($C194="","",IFERROR(INDEX(VeicCli,MATCH($C194,VeicPlaca,0)),"Placa não cadastrada"))</f>
        <v>0</v>
      </c>
      <c r="E194" s="26">
        <f>IF($C194="","",IFERROR(INDEX(VeicModelo,MATCH($C194,VeicPlaca,0)),""))</f>
        <v>0</v>
      </c>
      <c r="F194" s="28"/>
      <c r="G194" s="13"/>
      <c r="H194" s="13"/>
      <c r="I194" s="13"/>
      <c r="J194" s="29"/>
      <c r="K194" s="19"/>
      <c r="L194" s="19"/>
      <c r="M194" s="25"/>
      <c r="N194" s="13"/>
      <c r="O194" s="19"/>
      <c r="P194" s="27">
        <f>IF($A194="","",N($J194)*ValorHora)</f>
        <v>0</v>
      </c>
      <c r="Q194" s="27">
        <f>IF($A194="","",SUMIFS(ItTotal,ItOS,$A194))</f>
        <v>0</v>
      </c>
      <c r="R194" s="30">
        <f>IF($A194="","",$P194+$Q194+N($K194)-N($L194))</f>
        <v>0</v>
      </c>
      <c r="S194" s="27">
        <f>IF($A194="","",SUMIFS(ItCusto,ItOS,$A194))</f>
        <v>0</v>
      </c>
      <c r="T194" s="27">
        <f>IF($A194="","",$P194*ComMec)</f>
        <v>0</v>
      </c>
      <c r="U194" s="21">
        <f>IF($A194="","",$R194-$S194-$T194-N($K194))</f>
        <v>0</v>
      </c>
      <c r="V194" s="31">
        <f>IF(OR($A194="",N($R194)&lt;=0),"",$U194/$R194)</f>
        <v>0</v>
      </c>
      <c r="W194" s="27">
        <f>IF($A194="","",IF(OR($I194="Finalizado",$I194="Entregue"),MAX(0,$R194-N($O194)),0))</f>
        <v>0</v>
      </c>
      <c r="X194" s="32">
        <f>IF(OR($A194="",$B194=""),"",IF(OR($I194="Entregue",$I194="Cancelada"),"",Hoje-$B194))</f>
        <v>0</v>
      </c>
      <c r="Y194" s="24">
        <f>IF($A194="","",IF(AND(OR($I194="Aprovado",$I194="Em execução",$I194="Aguardando peça"),N($X194)&gt;PrazoMax),"ATRASADA",IF(AND(OR($I194="Finalizado",$I194="Entregue"),$W194&gt;0.005),"Cobrar",IF($I194="Orçamento","Aguardando aprovação",""))))</f>
        <v>0</v>
      </c>
      <c r="Z194" s="33">
        <f>IF(AND($I194="Entregue",$M194&lt;&gt;""),DATE(YEAR($M194),MONTH($M194),1),"")</f>
        <v>0</v>
      </c>
      <c r="AA194" s="34">
        <f>IF(AND($C194&lt;&gt;"",$C194=HistPlaca),COUNTIF($C$5:$C194,HistPlaca),"")</f>
        <v>0</v>
      </c>
    </row>
    <row r="195" spans="1:27">
      <c r="A195" s="17"/>
      <c r="B195" s="25"/>
      <c r="C195" s="13"/>
      <c r="D195" s="26">
        <f>IF($C195="","",IFERROR(INDEX(VeicCli,MATCH($C195,VeicPlaca,0)),"Placa não cadastrada"))</f>
        <v>0</v>
      </c>
      <c r="E195" s="26">
        <f>IF($C195="","",IFERROR(INDEX(VeicModelo,MATCH($C195,VeicPlaca,0)),""))</f>
        <v>0</v>
      </c>
      <c r="F195" s="28"/>
      <c r="G195" s="13"/>
      <c r="H195" s="13"/>
      <c r="I195" s="13"/>
      <c r="J195" s="29"/>
      <c r="K195" s="19"/>
      <c r="L195" s="19"/>
      <c r="M195" s="25"/>
      <c r="N195" s="13"/>
      <c r="O195" s="19"/>
      <c r="P195" s="27">
        <f>IF($A195="","",N($J195)*ValorHora)</f>
        <v>0</v>
      </c>
      <c r="Q195" s="27">
        <f>IF($A195="","",SUMIFS(ItTotal,ItOS,$A195))</f>
        <v>0</v>
      </c>
      <c r="R195" s="30">
        <f>IF($A195="","",$P195+$Q195+N($K195)-N($L195))</f>
        <v>0</v>
      </c>
      <c r="S195" s="27">
        <f>IF($A195="","",SUMIFS(ItCusto,ItOS,$A195))</f>
        <v>0</v>
      </c>
      <c r="T195" s="27">
        <f>IF($A195="","",$P195*ComMec)</f>
        <v>0</v>
      </c>
      <c r="U195" s="21">
        <f>IF($A195="","",$R195-$S195-$T195-N($K195))</f>
        <v>0</v>
      </c>
      <c r="V195" s="31">
        <f>IF(OR($A195="",N($R195)&lt;=0),"",$U195/$R195)</f>
        <v>0</v>
      </c>
      <c r="W195" s="27">
        <f>IF($A195="","",IF(OR($I195="Finalizado",$I195="Entregue"),MAX(0,$R195-N($O195)),0))</f>
        <v>0</v>
      </c>
      <c r="X195" s="32">
        <f>IF(OR($A195="",$B195=""),"",IF(OR($I195="Entregue",$I195="Cancelada"),"",Hoje-$B195))</f>
        <v>0</v>
      </c>
      <c r="Y195" s="24">
        <f>IF($A195="","",IF(AND(OR($I195="Aprovado",$I195="Em execução",$I195="Aguardando peça"),N($X195)&gt;PrazoMax),"ATRASADA",IF(AND(OR($I195="Finalizado",$I195="Entregue"),$W195&gt;0.005),"Cobrar",IF($I195="Orçamento","Aguardando aprovação",""))))</f>
        <v>0</v>
      </c>
      <c r="Z195" s="33">
        <f>IF(AND($I195="Entregue",$M195&lt;&gt;""),DATE(YEAR($M195),MONTH($M195),1),"")</f>
        <v>0</v>
      </c>
      <c r="AA195" s="34">
        <f>IF(AND($C195&lt;&gt;"",$C195=HistPlaca),COUNTIF($C$5:$C195,HistPlaca),"")</f>
        <v>0</v>
      </c>
    </row>
    <row r="196" spans="1:27">
      <c r="A196" s="17"/>
      <c r="B196" s="25"/>
      <c r="C196" s="13"/>
      <c r="D196" s="26">
        <f>IF($C196="","",IFERROR(INDEX(VeicCli,MATCH($C196,VeicPlaca,0)),"Placa não cadastrada"))</f>
        <v>0</v>
      </c>
      <c r="E196" s="26">
        <f>IF($C196="","",IFERROR(INDEX(VeicModelo,MATCH($C196,VeicPlaca,0)),""))</f>
        <v>0</v>
      </c>
      <c r="F196" s="28"/>
      <c r="G196" s="13"/>
      <c r="H196" s="13"/>
      <c r="I196" s="13"/>
      <c r="J196" s="29"/>
      <c r="K196" s="19"/>
      <c r="L196" s="19"/>
      <c r="M196" s="25"/>
      <c r="N196" s="13"/>
      <c r="O196" s="19"/>
      <c r="P196" s="27">
        <f>IF($A196="","",N($J196)*ValorHora)</f>
        <v>0</v>
      </c>
      <c r="Q196" s="27">
        <f>IF($A196="","",SUMIFS(ItTotal,ItOS,$A196))</f>
        <v>0</v>
      </c>
      <c r="R196" s="30">
        <f>IF($A196="","",$P196+$Q196+N($K196)-N($L196))</f>
        <v>0</v>
      </c>
      <c r="S196" s="27">
        <f>IF($A196="","",SUMIFS(ItCusto,ItOS,$A196))</f>
        <v>0</v>
      </c>
      <c r="T196" s="27">
        <f>IF($A196="","",$P196*ComMec)</f>
        <v>0</v>
      </c>
      <c r="U196" s="21">
        <f>IF($A196="","",$R196-$S196-$T196-N($K196))</f>
        <v>0</v>
      </c>
      <c r="V196" s="31">
        <f>IF(OR($A196="",N($R196)&lt;=0),"",$U196/$R196)</f>
        <v>0</v>
      </c>
      <c r="W196" s="27">
        <f>IF($A196="","",IF(OR($I196="Finalizado",$I196="Entregue"),MAX(0,$R196-N($O196)),0))</f>
        <v>0</v>
      </c>
      <c r="X196" s="32">
        <f>IF(OR($A196="",$B196=""),"",IF(OR($I196="Entregue",$I196="Cancelada"),"",Hoje-$B196))</f>
        <v>0</v>
      </c>
      <c r="Y196" s="24">
        <f>IF($A196="","",IF(AND(OR($I196="Aprovado",$I196="Em execução",$I196="Aguardando peça"),N($X196)&gt;PrazoMax),"ATRASADA",IF(AND(OR($I196="Finalizado",$I196="Entregue"),$W196&gt;0.005),"Cobrar",IF($I196="Orçamento","Aguardando aprovação",""))))</f>
        <v>0</v>
      </c>
      <c r="Z196" s="33">
        <f>IF(AND($I196="Entregue",$M196&lt;&gt;""),DATE(YEAR($M196),MONTH($M196),1),"")</f>
        <v>0</v>
      </c>
      <c r="AA196" s="34">
        <f>IF(AND($C196&lt;&gt;"",$C196=HistPlaca),COUNTIF($C$5:$C196,HistPlaca),"")</f>
        <v>0</v>
      </c>
    </row>
    <row r="197" spans="1:27">
      <c r="A197" s="17"/>
      <c r="B197" s="25"/>
      <c r="C197" s="13"/>
      <c r="D197" s="26">
        <f>IF($C197="","",IFERROR(INDEX(VeicCli,MATCH($C197,VeicPlaca,0)),"Placa não cadastrada"))</f>
        <v>0</v>
      </c>
      <c r="E197" s="26">
        <f>IF($C197="","",IFERROR(INDEX(VeicModelo,MATCH($C197,VeicPlaca,0)),""))</f>
        <v>0</v>
      </c>
      <c r="F197" s="28"/>
      <c r="G197" s="13"/>
      <c r="H197" s="13"/>
      <c r="I197" s="13"/>
      <c r="J197" s="29"/>
      <c r="K197" s="19"/>
      <c r="L197" s="19"/>
      <c r="M197" s="25"/>
      <c r="N197" s="13"/>
      <c r="O197" s="19"/>
      <c r="P197" s="27">
        <f>IF($A197="","",N($J197)*ValorHora)</f>
        <v>0</v>
      </c>
      <c r="Q197" s="27">
        <f>IF($A197="","",SUMIFS(ItTotal,ItOS,$A197))</f>
        <v>0</v>
      </c>
      <c r="R197" s="30">
        <f>IF($A197="","",$P197+$Q197+N($K197)-N($L197))</f>
        <v>0</v>
      </c>
      <c r="S197" s="27">
        <f>IF($A197="","",SUMIFS(ItCusto,ItOS,$A197))</f>
        <v>0</v>
      </c>
      <c r="T197" s="27">
        <f>IF($A197="","",$P197*ComMec)</f>
        <v>0</v>
      </c>
      <c r="U197" s="21">
        <f>IF($A197="","",$R197-$S197-$T197-N($K197))</f>
        <v>0</v>
      </c>
      <c r="V197" s="31">
        <f>IF(OR($A197="",N($R197)&lt;=0),"",$U197/$R197)</f>
        <v>0</v>
      </c>
      <c r="W197" s="27">
        <f>IF($A197="","",IF(OR($I197="Finalizado",$I197="Entregue"),MAX(0,$R197-N($O197)),0))</f>
        <v>0</v>
      </c>
      <c r="X197" s="32">
        <f>IF(OR($A197="",$B197=""),"",IF(OR($I197="Entregue",$I197="Cancelada"),"",Hoje-$B197))</f>
        <v>0</v>
      </c>
      <c r="Y197" s="24">
        <f>IF($A197="","",IF(AND(OR($I197="Aprovado",$I197="Em execução",$I197="Aguardando peça"),N($X197)&gt;PrazoMax),"ATRASADA",IF(AND(OR($I197="Finalizado",$I197="Entregue"),$W197&gt;0.005),"Cobrar",IF($I197="Orçamento","Aguardando aprovação",""))))</f>
        <v>0</v>
      </c>
      <c r="Z197" s="33">
        <f>IF(AND($I197="Entregue",$M197&lt;&gt;""),DATE(YEAR($M197),MONTH($M197),1),"")</f>
        <v>0</v>
      </c>
      <c r="AA197" s="34">
        <f>IF(AND($C197&lt;&gt;"",$C197=HistPlaca),COUNTIF($C$5:$C197,HistPlaca),"")</f>
        <v>0</v>
      </c>
    </row>
    <row r="198" spans="1:27">
      <c r="A198" s="17"/>
      <c r="B198" s="25"/>
      <c r="C198" s="13"/>
      <c r="D198" s="26">
        <f>IF($C198="","",IFERROR(INDEX(VeicCli,MATCH($C198,VeicPlaca,0)),"Placa não cadastrada"))</f>
        <v>0</v>
      </c>
      <c r="E198" s="26">
        <f>IF($C198="","",IFERROR(INDEX(VeicModelo,MATCH($C198,VeicPlaca,0)),""))</f>
        <v>0</v>
      </c>
      <c r="F198" s="28"/>
      <c r="G198" s="13"/>
      <c r="H198" s="13"/>
      <c r="I198" s="13"/>
      <c r="J198" s="29"/>
      <c r="K198" s="19"/>
      <c r="L198" s="19"/>
      <c r="M198" s="25"/>
      <c r="N198" s="13"/>
      <c r="O198" s="19"/>
      <c r="P198" s="27">
        <f>IF($A198="","",N($J198)*ValorHora)</f>
        <v>0</v>
      </c>
      <c r="Q198" s="27">
        <f>IF($A198="","",SUMIFS(ItTotal,ItOS,$A198))</f>
        <v>0</v>
      </c>
      <c r="R198" s="30">
        <f>IF($A198="","",$P198+$Q198+N($K198)-N($L198))</f>
        <v>0</v>
      </c>
      <c r="S198" s="27">
        <f>IF($A198="","",SUMIFS(ItCusto,ItOS,$A198))</f>
        <v>0</v>
      </c>
      <c r="T198" s="27">
        <f>IF($A198="","",$P198*ComMec)</f>
        <v>0</v>
      </c>
      <c r="U198" s="21">
        <f>IF($A198="","",$R198-$S198-$T198-N($K198))</f>
        <v>0</v>
      </c>
      <c r="V198" s="31">
        <f>IF(OR($A198="",N($R198)&lt;=0),"",$U198/$R198)</f>
        <v>0</v>
      </c>
      <c r="W198" s="27">
        <f>IF($A198="","",IF(OR($I198="Finalizado",$I198="Entregue"),MAX(0,$R198-N($O198)),0))</f>
        <v>0</v>
      </c>
      <c r="X198" s="32">
        <f>IF(OR($A198="",$B198=""),"",IF(OR($I198="Entregue",$I198="Cancelada"),"",Hoje-$B198))</f>
        <v>0</v>
      </c>
      <c r="Y198" s="24">
        <f>IF($A198="","",IF(AND(OR($I198="Aprovado",$I198="Em execução",$I198="Aguardando peça"),N($X198)&gt;PrazoMax),"ATRASADA",IF(AND(OR($I198="Finalizado",$I198="Entregue"),$W198&gt;0.005),"Cobrar",IF($I198="Orçamento","Aguardando aprovação",""))))</f>
        <v>0</v>
      </c>
      <c r="Z198" s="33">
        <f>IF(AND($I198="Entregue",$M198&lt;&gt;""),DATE(YEAR($M198),MONTH($M198),1),"")</f>
        <v>0</v>
      </c>
      <c r="AA198" s="34">
        <f>IF(AND($C198&lt;&gt;"",$C198=HistPlaca),COUNTIF($C$5:$C198,HistPlaca),"")</f>
        <v>0</v>
      </c>
    </row>
    <row r="199" spans="1:27">
      <c r="A199" s="17"/>
      <c r="B199" s="25"/>
      <c r="C199" s="13"/>
      <c r="D199" s="26">
        <f>IF($C199="","",IFERROR(INDEX(VeicCli,MATCH($C199,VeicPlaca,0)),"Placa não cadastrada"))</f>
        <v>0</v>
      </c>
      <c r="E199" s="26">
        <f>IF($C199="","",IFERROR(INDEX(VeicModelo,MATCH($C199,VeicPlaca,0)),""))</f>
        <v>0</v>
      </c>
      <c r="F199" s="28"/>
      <c r="G199" s="13"/>
      <c r="H199" s="13"/>
      <c r="I199" s="13"/>
      <c r="J199" s="29"/>
      <c r="K199" s="19"/>
      <c r="L199" s="19"/>
      <c r="M199" s="25"/>
      <c r="N199" s="13"/>
      <c r="O199" s="19"/>
      <c r="P199" s="27">
        <f>IF($A199="","",N($J199)*ValorHora)</f>
        <v>0</v>
      </c>
      <c r="Q199" s="27">
        <f>IF($A199="","",SUMIFS(ItTotal,ItOS,$A199))</f>
        <v>0</v>
      </c>
      <c r="R199" s="30">
        <f>IF($A199="","",$P199+$Q199+N($K199)-N($L199))</f>
        <v>0</v>
      </c>
      <c r="S199" s="27">
        <f>IF($A199="","",SUMIFS(ItCusto,ItOS,$A199))</f>
        <v>0</v>
      </c>
      <c r="T199" s="27">
        <f>IF($A199="","",$P199*ComMec)</f>
        <v>0</v>
      </c>
      <c r="U199" s="21">
        <f>IF($A199="","",$R199-$S199-$T199-N($K199))</f>
        <v>0</v>
      </c>
      <c r="V199" s="31">
        <f>IF(OR($A199="",N($R199)&lt;=0),"",$U199/$R199)</f>
        <v>0</v>
      </c>
      <c r="W199" s="27">
        <f>IF($A199="","",IF(OR($I199="Finalizado",$I199="Entregue"),MAX(0,$R199-N($O199)),0))</f>
        <v>0</v>
      </c>
      <c r="X199" s="32">
        <f>IF(OR($A199="",$B199=""),"",IF(OR($I199="Entregue",$I199="Cancelada"),"",Hoje-$B199))</f>
        <v>0</v>
      </c>
      <c r="Y199" s="24">
        <f>IF($A199="","",IF(AND(OR($I199="Aprovado",$I199="Em execução",$I199="Aguardando peça"),N($X199)&gt;PrazoMax),"ATRASADA",IF(AND(OR($I199="Finalizado",$I199="Entregue"),$W199&gt;0.005),"Cobrar",IF($I199="Orçamento","Aguardando aprovação",""))))</f>
        <v>0</v>
      </c>
      <c r="Z199" s="33">
        <f>IF(AND($I199="Entregue",$M199&lt;&gt;""),DATE(YEAR($M199),MONTH($M199),1),"")</f>
        <v>0</v>
      </c>
      <c r="AA199" s="34">
        <f>IF(AND($C199&lt;&gt;"",$C199=HistPlaca),COUNTIF($C$5:$C199,HistPlaca),"")</f>
        <v>0</v>
      </c>
    </row>
    <row r="200" spans="1:27">
      <c r="A200" s="17"/>
      <c r="B200" s="25"/>
      <c r="C200" s="13"/>
      <c r="D200" s="26">
        <f>IF($C200="","",IFERROR(INDEX(VeicCli,MATCH($C200,VeicPlaca,0)),"Placa não cadastrada"))</f>
        <v>0</v>
      </c>
      <c r="E200" s="26">
        <f>IF($C200="","",IFERROR(INDEX(VeicModelo,MATCH($C200,VeicPlaca,0)),""))</f>
        <v>0</v>
      </c>
      <c r="F200" s="28"/>
      <c r="G200" s="13"/>
      <c r="H200" s="13"/>
      <c r="I200" s="13"/>
      <c r="J200" s="29"/>
      <c r="K200" s="19"/>
      <c r="L200" s="19"/>
      <c r="M200" s="25"/>
      <c r="N200" s="13"/>
      <c r="O200" s="19"/>
      <c r="P200" s="27">
        <f>IF($A200="","",N($J200)*ValorHora)</f>
        <v>0</v>
      </c>
      <c r="Q200" s="27">
        <f>IF($A200="","",SUMIFS(ItTotal,ItOS,$A200))</f>
        <v>0</v>
      </c>
      <c r="R200" s="30">
        <f>IF($A200="","",$P200+$Q200+N($K200)-N($L200))</f>
        <v>0</v>
      </c>
      <c r="S200" s="27">
        <f>IF($A200="","",SUMIFS(ItCusto,ItOS,$A200))</f>
        <v>0</v>
      </c>
      <c r="T200" s="27">
        <f>IF($A200="","",$P200*ComMec)</f>
        <v>0</v>
      </c>
      <c r="U200" s="21">
        <f>IF($A200="","",$R200-$S200-$T200-N($K200))</f>
        <v>0</v>
      </c>
      <c r="V200" s="31">
        <f>IF(OR($A200="",N($R200)&lt;=0),"",$U200/$R200)</f>
        <v>0</v>
      </c>
      <c r="W200" s="27">
        <f>IF($A200="","",IF(OR($I200="Finalizado",$I200="Entregue"),MAX(0,$R200-N($O200)),0))</f>
        <v>0</v>
      </c>
      <c r="X200" s="32">
        <f>IF(OR($A200="",$B200=""),"",IF(OR($I200="Entregue",$I200="Cancelada"),"",Hoje-$B200))</f>
        <v>0</v>
      </c>
      <c r="Y200" s="24">
        <f>IF($A200="","",IF(AND(OR($I200="Aprovado",$I200="Em execução",$I200="Aguardando peça"),N($X200)&gt;PrazoMax),"ATRASADA",IF(AND(OR($I200="Finalizado",$I200="Entregue"),$W200&gt;0.005),"Cobrar",IF($I200="Orçamento","Aguardando aprovação",""))))</f>
        <v>0</v>
      </c>
      <c r="Z200" s="33">
        <f>IF(AND($I200="Entregue",$M200&lt;&gt;""),DATE(YEAR($M200),MONTH($M200),1),"")</f>
        <v>0</v>
      </c>
      <c r="AA200" s="34">
        <f>IF(AND($C200&lt;&gt;"",$C200=HistPlaca),COUNTIF($C$5:$C200,HistPlaca),"")</f>
        <v>0</v>
      </c>
    </row>
    <row r="201" spans="1:27">
      <c r="A201" s="17"/>
      <c r="B201" s="25"/>
      <c r="C201" s="13"/>
      <c r="D201" s="26">
        <f>IF($C201="","",IFERROR(INDEX(VeicCli,MATCH($C201,VeicPlaca,0)),"Placa não cadastrada"))</f>
        <v>0</v>
      </c>
      <c r="E201" s="26">
        <f>IF($C201="","",IFERROR(INDEX(VeicModelo,MATCH($C201,VeicPlaca,0)),""))</f>
        <v>0</v>
      </c>
      <c r="F201" s="28"/>
      <c r="G201" s="13"/>
      <c r="H201" s="13"/>
      <c r="I201" s="13"/>
      <c r="J201" s="29"/>
      <c r="K201" s="19"/>
      <c r="L201" s="19"/>
      <c r="M201" s="25"/>
      <c r="N201" s="13"/>
      <c r="O201" s="19"/>
      <c r="P201" s="27">
        <f>IF($A201="","",N($J201)*ValorHora)</f>
        <v>0</v>
      </c>
      <c r="Q201" s="27">
        <f>IF($A201="","",SUMIFS(ItTotal,ItOS,$A201))</f>
        <v>0</v>
      </c>
      <c r="R201" s="30">
        <f>IF($A201="","",$P201+$Q201+N($K201)-N($L201))</f>
        <v>0</v>
      </c>
      <c r="S201" s="27">
        <f>IF($A201="","",SUMIFS(ItCusto,ItOS,$A201))</f>
        <v>0</v>
      </c>
      <c r="T201" s="27">
        <f>IF($A201="","",$P201*ComMec)</f>
        <v>0</v>
      </c>
      <c r="U201" s="21">
        <f>IF($A201="","",$R201-$S201-$T201-N($K201))</f>
        <v>0</v>
      </c>
      <c r="V201" s="31">
        <f>IF(OR($A201="",N($R201)&lt;=0),"",$U201/$R201)</f>
        <v>0</v>
      </c>
      <c r="W201" s="27">
        <f>IF($A201="","",IF(OR($I201="Finalizado",$I201="Entregue"),MAX(0,$R201-N($O201)),0))</f>
        <v>0</v>
      </c>
      <c r="X201" s="32">
        <f>IF(OR($A201="",$B201=""),"",IF(OR($I201="Entregue",$I201="Cancelada"),"",Hoje-$B201))</f>
        <v>0</v>
      </c>
      <c r="Y201" s="24">
        <f>IF($A201="","",IF(AND(OR($I201="Aprovado",$I201="Em execução",$I201="Aguardando peça"),N($X201)&gt;PrazoMax),"ATRASADA",IF(AND(OR($I201="Finalizado",$I201="Entregue"),$W201&gt;0.005),"Cobrar",IF($I201="Orçamento","Aguardando aprovação",""))))</f>
        <v>0</v>
      </c>
      <c r="Z201" s="33">
        <f>IF(AND($I201="Entregue",$M201&lt;&gt;""),DATE(YEAR($M201),MONTH($M201),1),"")</f>
        <v>0</v>
      </c>
      <c r="AA201" s="34">
        <f>IF(AND($C201&lt;&gt;"",$C201=HistPlaca),COUNTIF($C$5:$C201,HistPlaca),"")</f>
        <v>0</v>
      </c>
    </row>
    <row r="202" spans="1:27">
      <c r="A202" s="17"/>
      <c r="B202" s="25"/>
      <c r="C202" s="13"/>
      <c r="D202" s="26">
        <f>IF($C202="","",IFERROR(INDEX(VeicCli,MATCH($C202,VeicPlaca,0)),"Placa não cadastrada"))</f>
        <v>0</v>
      </c>
      <c r="E202" s="26">
        <f>IF($C202="","",IFERROR(INDEX(VeicModelo,MATCH($C202,VeicPlaca,0)),""))</f>
        <v>0</v>
      </c>
      <c r="F202" s="28"/>
      <c r="G202" s="13"/>
      <c r="H202" s="13"/>
      <c r="I202" s="13"/>
      <c r="J202" s="29"/>
      <c r="K202" s="19"/>
      <c r="L202" s="19"/>
      <c r="M202" s="25"/>
      <c r="N202" s="13"/>
      <c r="O202" s="19"/>
      <c r="P202" s="27">
        <f>IF($A202="","",N($J202)*ValorHora)</f>
        <v>0</v>
      </c>
      <c r="Q202" s="27">
        <f>IF($A202="","",SUMIFS(ItTotal,ItOS,$A202))</f>
        <v>0</v>
      </c>
      <c r="R202" s="30">
        <f>IF($A202="","",$P202+$Q202+N($K202)-N($L202))</f>
        <v>0</v>
      </c>
      <c r="S202" s="27">
        <f>IF($A202="","",SUMIFS(ItCusto,ItOS,$A202))</f>
        <v>0</v>
      </c>
      <c r="T202" s="27">
        <f>IF($A202="","",$P202*ComMec)</f>
        <v>0</v>
      </c>
      <c r="U202" s="21">
        <f>IF($A202="","",$R202-$S202-$T202-N($K202))</f>
        <v>0</v>
      </c>
      <c r="V202" s="31">
        <f>IF(OR($A202="",N($R202)&lt;=0),"",$U202/$R202)</f>
        <v>0</v>
      </c>
      <c r="W202" s="27">
        <f>IF($A202="","",IF(OR($I202="Finalizado",$I202="Entregue"),MAX(0,$R202-N($O202)),0))</f>
        <v>0</v>
      </c>
      <c r="X202" s="32">
        <f>IF(OR($A202="",$B202=""),"",IF(OR($I202="Entregue",$I202="Cancelada"),"",Hoje-$B202))</f>
        <v>0</v>
      </c>
      <c r="Y202" s="24">
        <f>IF($A202="","",IF(AND(OR($I202="Aprovado",$I202="Em execução",$I202="Aguardando peça"),N($X202)&gt;PrazoMax),"ATRASADA",IF(AND(OR($I202="Finalizado",$I202="Entregue"),$W202&gt;0.005),"Cobrar",IF($I202="Orçamento","Aguardando aprovação",""))))</f>
        <v>0</v>
      </c>
      <c r="Z202" s="33">
        <f>IF(AND($I202="Entregue",$M202&lt;&gt;""),DATE(YEAR($M202),MONTH($M202),1),"")</f>
        <v>0</v>
      </c>
      <c r="AA202" s="34">
        <f>IF(AND($C202&lt;&gt;"",$C202=HistPlaca),COUNTIF($C$5:$C202,HistPlaca),"")</f>
        <v>0</v>
      </c>
    </row>
    <row r="203" spans="1:27">
      <c r="A203" s="17"/>
      <c r="B203" s="25"/>
      <c r="C203" s="13"/>
      <c r="D203" s="26">
        <f>IF($C203="","",IFERROR(INDEX(VeicCli,MATCH($C203,VeicPlaca,0)),"Placa não cadastrada"))</f>
        <v>0</v>
      </c>
      <c r="E203" s="26">
        <f>IF($C203="","",IFERROR(INDEX(VeicModelo,MATCH($C203,VeicPlaca,0)),""))</f>
        <v>0</v>
      </c>
      <c r="F203" s="28"/>
      <c r="G203" s="13"/>
      <c r="H203" s="13"/>
      <c r="I203" s="13"/>
      <c r="J203" s="29"/>
      <c r="K203" s="19"/>
      <c r="L203" s="19"/>
      <c r="M203" s="25"/>
      <c r="N203" s="13"/>
      <c r="O203" s="19"/>
      <c r="P203" s="27">
        <f>IF($A203="","",N($J203)*ValorHora)</f>
        <v>0</v>
      </c>
      <c r="Q203" s="27">
        <f>IF($A203="","",SUMIFS(ItTotal,ItOS,$A203))</f>
        <v>0</v>
      </c>
      <c r="R203" s="30">
        <f>IF($A203="","",$P203+$Q203+N($K203)-N($L203))</f>
        <v>0</v>
      </c>
      <c r="S203" s="27">
        <f>IF($A203="","",SUMIFS(ItCusto,ItOS,$A203))</f>
        <v>0</v>
      </c>
      <c r="T203" s="27">
        <f>IF($A203="","",$P203*ComMec)</f>
        <v>0</v>
      </c>
      <c r="U203" s="21">
        <f>IF($A203="","",$R203-$S203-$T203-N($K203))</f>
        <v>0</v>
      </c>
      <c r="V203" s="31">
        <f>IF(OR($A203="",N($R203)&lt;=0),"",$U203/$R203)</f>
        <v>0</v>
      </c>
      <c r="W203" s="27">
        <f>IF($A203="","",IF(OR($I203="Finalizado",$I203="Entregue"),MAX(0,$R203-N($O203)),0))</f>
        <v>0</v>
      </c>
      <c r="X203" s="32">
        <f>IF(OR($A203="",$B203=""),"",IF(OR($I203="Entregue",$I203="Cancelada"),"",Hoje-$B203))</f>
        <v>0</v>
      </c>
      <c r="Y203" s="24">
        <f>IF($A203="","",IF(AND(OR($I203="Aprovado",$I203="Em execução",$I203="Aguardando peça"),N($X203)&gt;PrazoMax),"ATRASADA",IF(AND(OR($I203="Finalizado",$I203="Entregue"),$W203&gt;0.005),"Cobrar",IF($I203="Orçamento","Aguardando aprovação",""))))</f>
        <v>0</v>
      </c>
      <c r="Z203" s="33">
        <f>IF(AND($I203="Entregue",$M203&lt;&gt;""),DATE(YEAR($M203),MONTH($M203),1),"")</f>
        <v>0</v>
      </c>
      <c r="AA203" s="34">
        <f>IF(AND($C203&lt;&gt;"",$C203=HistPlaca),COUNTIF($C$5:$C203,HistPlaca),"")</f>
        <v>0</v>
      </c>
    </row>
    <row r="204" spans="1:27">
      <c r="A204" s="17"/>
      <c r="B204" s="25"/>
      <c r="C204" s="13"/>
      <c r="D204" s="26">
        <f>IF($C204="","",IFERROR(INDEX(VeicCli,MATCH($C204,VeicPlaca,0)),"Placa não cadastrada"))</f>
        <v>0</v>
      </c>
      <c r="E204" s="26">
        <f>IF($C204="","",IFERROR(INDEX(VeicModelo,MATCH($C204,VeicPlaca,0)),""))</f>
        <v>0</v>
      </c>
      <c r="F204" s="28"/>
      <c r="G204" s="13"/>
      <c r="H204" s="13"/>
      <c r="I204" s="13"/>
      <c r="J204" s="29"/>
      <c r="K204" s="19"/>
      <c r="L204" s="19"/>
      <c r="M204" s="25"/>
      <c r="N204" s="13"/>
      <c r="O204" s="19"/>
      <c r="P204" s="27">
        <f>IF($A204="","",N($J204)*ValorHora)</f>
        <v>0</v>
      </c>
      <c r="Q204" s="27">
        <f>IF($A204="","",SUMIFS(ItTotal,ItOS,$A204))</f>
        <v>0</v>
      </c>
      <c r="R204" s="30">
        <f>IF($A204="","",$P204+$Q204+N($K204)-N($L204))</f>
        <v>0</v>
      </c>
      <c r="S204" s="27">
        <f>IF($A204="","",SUMIFS(ItCusto,ItOS,$A204))</f>
        <v>0</v>
      </c>
      <c r="T204" s="27">
        <f>IF($A204="","",$P204*ComMec)</f>
        <v>0</v>
      </c>
      <c r="U204" s="21">
        <f>IF($A204="","",$R204-$S204-$T204-N($K204))</f>
        <v>0</v>
      </c>
      <c r="V204" s="31">
        <f>IF(OR($A204="",N($R204)&lt;=0),"",$U204/$R204)</f>
        <v>0</v>
      </c>
      <c r="W204" s="27">
        <f>IF($A204="","",IF(OR($I204="Finalizado",$I204="Entregue"),MAX(0,$R204-N($O204)),0))</f>
        <v>0</v>
      </c>
      <c r="X204" s="32">
        <f>IF(OR($A204="",$B204=""),"",IF(OR($I204="Entregue",$I204="Cancelada"),"",Hoje-$B204))</f>
        <v>0</v>
      </c>
      <c r="Y204" s="24">
        <f>IF($A204="","",IF(AND(OR($I204="Aprovado",$I204="Em execução",$I204="Aguardando peça"),N($X204)&gt;PrazoMax),"ATRASADA",IF(AND(OR($I204="Finalizado",$I204="Entregue"),$W204&gt;0.005),"Cobrar",IF($I204="Orçamento","Aguardando aprovação",""))))</f>
        <v>0</v>
      </c>
      <c r="Z204" s="33">
        <f>IF(AND($I204="Entregue",$M204&lt;&gt;""),DATE(YEAR($M204),MONTH($M204),1),"")</f>
        <v>0</v>
      </c>
      <c r="AA204" s="34">
        <f>IF(AND($C204&lt;&gt;"",$C204=HistPlaca),COUNTIF($C$5:$C204,HistPlaca),"")</f>
        <v>0</v>
      </c>
    </row>
    <row r="205" spans="1:27">
      <c r="A205" s="17"/>
      <c r="B205" s="25"/>
      <c r="C205" s="13"/>
      <c r="D205" s="26">
        <f>IF($C205="","",IFERROR(INDEX(VeicCli,MATCH($C205,VeicPlaca,0)),"Placa não cadastrada"))</f>
        <v>0</v>
      </c>
      <c r="E205" s="26">
        <f>IF($C205="","",IFERROR(INDEX(VeicModelo,MATCH($C205,VeicPlaca,0)),""))</f>
        <v>0</v>
      </c>
      <c r="F205" s="28"/>
      <c r="G205" s="13"/>
      <c r="H205" s="13"/>
      <c r="I205" s="13"/>
      <c r="J205" s="29"/>
      <c r="K205" s="19"/>
      <c r="L205" s="19"/>
      <c r="M205" s="25"/>
      <c r="N205" s="13"/>
      <c r="O205" s="19"/>
      <c r="P205" s="27">
        <f>IF($A205="","",N($J205)*ValorHora)</f>
        <v>0</v>
      </c>
      <c r="Q205" s="27">
        <f>IF($A205="","",SUMIFS(ItTotal,ItOS,$A205))</f>
        <v>0</v>
      </c>
      <c r="R205" s="30">
        <f>IF($A205="","",$P205+$Q205+N($K205)-N($L205))</f>
        <v>0</v>
      </c>
      <c r="S205" s="27">
        <f>IF($A205="","",SUMIFS(ItCusto,ItOS,$A205))</f>
        <v>0</v>
      </c>
      <c r="T205" s="27">
        <f>IF($A205="","",$P205*ComMec)</f>
        <v>0</v>
      </c>
      <c r="U205" s="21">
        <f>IF($A205="","",$R205-$S205-$T205-N($K205))</f>
        <v>0</v>
      </c>
      <c r="V205" s="31">
        <f>IF(OR($A205="",N($R205)&lt;=0),"",$U205/$R205)</f>
        <v>0</v>
      </c>
      <c r="W205" s="27">
        <f>IF($A205="","",IF(OR($I205="Finalizado",$I205="Entregue"),MAX(0,$R205-N($O205)),0))</f>
        <v>0</v>
      </c>
      <c r="X205" s="32">
        <f>IF(OR($A205="",$B205=""),"",IF(OR($I205="Entregue",$I205="Cancelada"),"",Hoje-$B205))</f>
        <v>0</v>
      </c>
      <c r="Y205" s="24">
        <f>IF($A205="","",IF(AND(OR($I205="Aprovado",$I205="Em execução",$I205="Aguardando peça"),N($X205)&gt;PrazoMax),"ATRASADA",IF(AND(OR($I205="Finalizado",$I205="Entregue"),$W205&gt;0.005),"Cobrar",IF($I205="Orçamento","Aguardando aprovação",""))))</f>
        <v>0</v>
      </c>
      <c r="Z205" s="33">
        <f>IF(AND($I205="Entregue",$M205&lt;&gt;""),DATE(YEAR($M205),MONTH($M205),1),"")</f>
        <v>0</v>
      </c>
      <c r="AA205" s="34">
        <f>IF(AND($C205&lt;&gt;"",$C205=HistPlaca),COUNTIF($C$5:$C205,HistPlaca),"")</f>
        <v>0</v>
      </c>
    </row>
    <row r="206" spans="1:27">
      <c r="A206" s="17"/>
      <c r="B206" s="25"/>
      <c r="C206" s="13"/>
      <c r="D206" s="26">
        <f>IF($C206="","",IFERROR(INDEX(VeicCli,MATCH($C206,VeicPlaca,0)),"Placa não cadastrada"))</f>
        <v>0</v>
      </c>
      <c r="E206" s="26">
        <f>IF($C206="","",IFERROR(INDEX(VeicModelo,MATCH($C206,VeicPlaca,0)),""))</f>
        <v>0</v>
      </c>
      <c r="F206" s="28"/>
      <c r="G206" s="13"/>
      <c r="H206" s="13"/>
      <c r="I206" s="13"/>
      <c r="J206" s="29"/>
      <c r="K206" s="19"/>
      <c r="L206" s="19"/>
      <c r="M206" s="25"/>
      <c r="N206" s="13"/>
      <c r="O206" s="19"/>
      <c r="P206" s="27">
        <f>IF($A206="","",N($J206)*ValorHora)</f>
        <v>0</v>
      </c>
      <c r="Q206" s="27">
        <f>IF($A206="","",SUMIFS(ItTotal,ItOS,$A206))</f>
        <v>0</v>
      </c>
      <c r="R206" s="30">
        <f>IF($A206="","",$P206+$Q206+N($K206)-N($L206))</f>
        <v>0</v>
      </c>
      <c r="S206" s="27">
        <f>IF($A206="","",SUMIFS(ItCusto,ItOS,$A206))</f>
        <v>0</v>
      </c>
      <c r="T206" s="27">
        <f>IF($A206="","",$P206*ComMec)</f>
        <v>0</v>
      </c>
      <c r="U206" s="21">
        <f>IF($A206="","",$R206-$S206-$T206-N($K206))</f>
        <v>0</v>
      </c>
      <c r="V206" s="31">
        <f>IF(OR($A206="",N($R206)&lt;=0),"",$U206/$R206)</f>
        <v>0</v>
      </c>
      <c r="W206" s="27">
        <f>IF($A206="","",IF(OR($I206="Finalizado",$I206="Entregue"),MAX(0,$R206-N($O206)),0))</f>
        <v>0</v>
      </c>
      <c r="X206" s="32">
        <f>IF(OR($A206="",$B206=""),"",IF(OR($I206="Entregue",$I206="Cancelada"),"",Hoje-$B206))</f>
        <v>0</v>
      </c>
      <c r="Y206" s="24">
        <f>IF($A206="","",IF(AND(OR($I206="Aprovado",$I206="Em execução",$I206="Aguardando peça"),N($X206)&gt;PrazoMax),"ATRASADA",IF(AND(OR($I206="Finalizado",$I206="Entregue"),$W206&gt;0.005),"Cobrar",IF($I206="Orçamento","Aguardando aprovação",""))))</f>
        <v>0</v>
      </c>
      <c r="Z206" s="33">
        <f>IF(AND($I206="Entregue",$M206&lt;&gt;""),DATE(YEAR($M206),MONTH($M206),1),"")</f>
        <v>0</v>
      </c>
      <c r="AA206" s="34">
        <f>IF(AND($C206&lt;&gt;"",$C206=HistPlaca),COUNTIF($C$5:$C206,HistPlaca),"")</f>
        <v>0</v>
      </c>
    </row>
    <row r="207" spans="1:27">
      <c r="A207" s="17"/>
      <c r="B207" s="25"/>
      <c r="C207" s="13"/>
      <c r="D207" s="26">
        <f>IF($C207="","",IFERROR(INDEX(VeicCli,MATCH($C207,VeicPlaca,0)),"Placa não cadastrada"))</f>
        <v>0</v>
      </c>
      <c r="E207" s="26">
        <f>IF($C207="","",IFERROR(INDEX(VeicModelo,MATCH($C207,VeicPlaca,0)),""))</f>
        <v>0</v>
      </c>
      <c r="F207" s="28"/>
      <c r="G207" s="13"/>
      <c r="H207" s="13"/>
      <c r="I207" s="13"/>
      <c r="J207" s="29"/>
      <c r="K207" s="19"/>
      <c r="L207" s="19"/>
      <c r="M207" s="25"/>
      <c r="N207" s="13"/>
      <c r="O207" s="19"/>
      <c r="P207" s="27">
        <f>IF($A207="","",N($J207)*ValorHora)</f>
        <v>0</v>
      </c>
      <c r="Q207" s="27">
        <f>IF($A207="","",SUMIFS(ItTotal,ItOS,$A207))</f>
        <v>0</v>
      </c>
      <c r="R207" s="30">
        <f>IF($A207="","",$P207+$Q207+N($K207)-N($L207))</f>
        <v>0</v>
      </c>
      <c r="S207" s="27">
        <f>IF($A207="","",SUMIFS(ItCusto,ItOS,$A207))</f>
        <v>0</v>
      </c>
      <c r="T207" s="27">
        <f>IF($A207="","",$P207*ComMec)</f>
        <v>0</v>
      </c>
      <c r="U207" s="21">
        <f>IF($A207="","",$R207-$S207-$T207-N($K207))</f>
        <v>0</v>
      </c>
      <c r="V207" s="31">
        <f>IF(OR($A207="",N($R207)&lt;=0),"",$U207/$R207)</f>
        <v>0</v>
      </c>
      <c r="W207" s="27">
        <f>IF($A207="","",IF(OR($I207="Finalizado",$I207="Entregue"),MAX(0,$R207-N($O207)),0))</f>
        <v>0</v>
      </c>
      <c r="X207" s="32">
        <f>IF(OR($A207="",$B207=""),"",IF(OR($I207="Entregue",$I207="Cancelada"),"",Hoje-$B207))</f>
        <v>0</v>
      </c>
      <c r="Y207" s="24">
        <f>IF($A207="","",IF(AND(OR($I207="Aprovado",$I207="Em execução",$I207="Aguardando peça"),N($X207)&gt;PrazoMax),"ATRASADA",IF(AND(OR($I207="Finalizado",$I207="Entregue"),$W207&gt;0.005),"Cobrar",IF($I207="Orçamento","Aguardando aprovação",""))))</f>
        <v>0</v>
      </c>
      <c r="Z207" s="33">
        <f>IF(AND($I207="Entregue",$M207&lt;&gt;""),DATE(YEAR($M207),MONTH($M207),1),"")</f>
        <v>0</v>
      </c>
      <c r="AA207" s="34">
        <f>IF(AND($C207&lt;&gt;"",$C207=HistPlaca),COUNTIF($C$5:$C207,HistPlaca),"")</f>
        <v>0</v>
      </c>
    </row>
    <row r="208" spans="1:27">
      <c r="A208" s="17"/>
      <c r="B208" s="25"/>
      <c r="C208" s="13"/>
      <c r="D208" s="26">
        <f>IF($C208="","",IFERROR(INDEX(VeicCli,MATCH($C208,VeicPlaca,0)),"Placa não cadastrada"))</f>
        <v>0</v>
      </c>
      <c r="E208" s="26">
        <f>IF($C208="","",IFERROR(INDEX(VeicModelo,MATCH($C208,VeicPlaca,0)),""))</f>
        <v>0</v>
      </c>
      <c r="F208" s="28"/>
      <c r="G208" s="13"/>
      <c r="H208" s="13"/>
      <c r="I208" s="13"/>
      <c r="J208" s="29"/>
      <c r="K208" s="19"/>
      <c r="L208" s="19"/>
      <c r="M208" s="25"/>
      <c r="N208" s="13"/>
      <c r="O208" s="19"/>
      <c r="P208" s="27">
        <f>IF($A208="","",N($J208)*ValorHora)</f>
        <v>0</v>
      </c>
      <c r="Q208" s="27">
        <f>IF($A208="","",SUMIFS(ItTotal,ItOS,$A208))</f>
        <v>0</v>
      </c>
      <c r="R208" s="30">
        <f>IF($A208="","",$P208+$Q208+N($K208)-N($L208))</f>
        <v>0</v>
      </c>
      <c r="S208" s="27">
        <f>IF($A208="","",SUMIFS(ItCusto,ItOS,$A208))</f>
        <v>0</v>
      </c>
      <c r="T208" s="27">
        <f>IF($A208="","",$P208*ComMec)</f>
        <v>0</v>
      </c>
      <c r="U208" s="21">
        <f>IF($A208="","",$R208-$S208-$T208-N($K208))</f>
        <v>0</v>
      </c>
      <c r="V208" s="31">
        <f>IF(OR($A208="",N($R208)&lt;=0),"",$U208/$R208)</f>
        <v>0</v>
      </c>
      <c r="W208" s="27">
        <f>IF($A208="","",IF(OR($I208="Finalizado",$I208="Entregue"),MAX(0,$R208-N($O208)),0))</f>
        <v>0</v>
      </c>
      <c r="X208" s="32">
        <f>IF(OR($A208="",$B208=""),"",IF(OR($I208="Entregue",$I208="Cancelada"),"",Hoje-$B208))</f>
        <v>0</v>
      </c>
      <c r="Y208" s="24">
        <f>IF($A208="","",IF(AND(OR($I208="Aprovado",$I208="Em execução",$I208="Aguardando peça"),N($X208)&gt;PrazoMax),"ATRASADA",IF(AND(OR($I208="Finalizado",$I208="Entregue"),$W208&gt;0.005),"Cobrar",IF($I208="Orçamento","Aguardando aprovação",""))))</f>
        <v>0</v>
      </c>
      <c r="Z208" s="33">
        <f>IF(AND($I208="Entregue",$M208&lt;&gt;""),DATE(YEAR($M208),MONTH($M208),1),"")</f>
        <v>0</v>
      </c>
      <c r="AA208" s="34">
        <f>IF(AND($C208&lt;&gt;"",$C208=HistPlaca),COUNTIF($C$5:$C208,HistPlaca),"")</f>
        <v>0</v>
      </c>
    </row>
    <row r="209" spans="1:27">
      <c r="A209" s="17"/>
      <c r="B209" s="25"/>
      <c r="C209" s="13"/>
      <c r="D209" s="26">
        <f>IF($C209="","",IFERROR(INDEX(VeicCli,MATCH($C209,VeicPlaca,0)),"Placa não cadastrada"))</f>
        <v>0</v>
      </c>
      <c r="E209" s="26">
        <f>IF($C209="","",IFERROR(INDEX(VeicModelo,MATCH($C209,VeicPlaca,0)),""))</f>
        <v>0</v>
      </c>
      <c r="F209" s="28"/>
      <c r="G209" s="13"/>
      <c r="H209" s="13"/>
      <c r="I209" s="13"/>
      <c r="J209" s="29"/>
      <c r="K209" s="19"/>
      <c r="L209" s="19"/>
      <c r="M209" s="25"/>
      <c r="N209" s="13"/>
      <c r="O209" s="19"/>
      <c r="P209" s="27">
        <f>IF($A209="","",N($J209)*ValorHora)</f>
        <v>0</v>
      </c>
      <c r="Q209" s="27">
        <f>IF($A209="","",SUMIFS(ItTotal,ItOS,$A209))</f>
        <v>0</v>
      </c>
      <c r="R209" s="30">
        <f>IF($A209="","",$P209+$Q209+N($K209)-N($L209))</f>
        <v>0</v>
      </c>
      <c r="S209" s="27">
        <f>IF($A209="","",SUMIFS(ItCusto,ItOS,$A209))</f>
        <v>0</v>
      </c>
      <c r="T209" s="27">
        <f>IF($A209="","",$P209*ComMec)</f>
        <v>0</v>
      </c>
      <c r="U209" s="21">
        <f>IF($A209="","",$R209-$S209-$T209-N($K209))</f>
        <v>0</v>
      </c>
      <c r="V209" s="31">
        <f>IF(OR($A209="",N($R209)&lt;=0),"",$U209/$R209)</f>
        <v>0</v>
      </c>
      <c r="W209" s="27">
        <f>IF($A209="","",IF(OR($I209="Finalizado",$I209="Entregue"),MAX(0,$R209-N($O209)),0))</f>
        <v>0</v>
      </c>
      <c r="X209" s="32">
        <f>IF(OR($A209="",$B209=""),"",IF(OR($I209="Entregue",$I209="Cancelada"),"",Hoje-$B209))</f>
        <v>0</v>
      </c>
      <c r="Y209" s="24">
        <f>IF($A209="","",IF(AND(OR($I209="Aprovado",$I209="Em execução",$I209="Aguardando peça"),N($X209)&gt;PrazoMax),"ATRASADA",IF(AND(OR($I209="Finalizado",$I209="Entregue"),$W209&gt;0.005),"Cobrar",IF($I209="Orçamento","Aguardando aprovação",""))))</f>
        <v>0</v>
      </c>
      <c r="Z209" s="33">
        <f>IF(AND($I209="Entregue",$M209&lt;&gt;""),DATE(YEAR($M209),MONTH($M209),1),"")</f>
        <v>0</v>
      </c>
      <c r="AA209" s="34">
        <f>IF(AND($C209&lt;&gt;"",$C209=HistPlaca),COUNTIF($C$5:$C209,HistPlaca),"")</f>
        <v>0</v>
      </c>
    </row>
    <row r="210" spans="1:27">
      <c r="A210" s="17"/>
      <c r="B210" s="25"/>
      <c r="C210" s="13"/>
      <c r="D210" s="26">
        <f>IF($C210="","",IFERROR(INDEX(VeicCli,MATCH($C210,VeicPlaca,0)),"Placa não cadastrada"))</f>
        <v>0</v>
      </c>
      <c r="E210" s="26">
        <f>IF($C210="","",IFERROR(INDEX(VeicModelo,MATCH($C210,VeicPlaca,0)),""))</f>
        <v>0</v>
      </c>
      <c r="F210" s="28"/>
      <c r="G210" s="13"/>
      <c r="H210" s="13"/>
      <c r="I210" s="13"/>
      <c r="J210" s="29"/>
      <c r="K210" s="19"/>
      <c r="L210" s="19"/>
      <c r="M210" s="25"/>
      <c r="N210" s="13"/>
      <c r="O210" s="19"/>
      <c r="P210" s="27">
        <f>IF($A210="","",N($J210)*ValorHora)</f>
        <v>0</v>
      </c>
      <c r="Q210" s="27">
        <f>IF($A210="","",SUMIFS(ItTotal,ItOS,$A210))</f>
        <v>0</v>
      </c>
      <c r="R210" s="30">
        <f>IF($A210="","",$P210+$Q210+N($K210)-N($L210))</f>
        <v>0</v>
      </c>
      <c r="S210" s="27">
        <f>IF($A210="","",SUMIFS(ItCusto,ItOS,$A210))</f>
        <v>0</v>
      </c>
      <c r="T210" s="27">
        <f>IF($A210="","",$P210*ComMec)</f>
        <v>0</v>
      </c>
      <c r="U210" s="21">
        <f>IF($A210="","",$R210-$S210-$T210-N($K210))</f>
        <v>0</v>
      </c>
      <c r="V210" s="31">
        <f>IF(OR($A210="",N($R210)&lt;=0),"",$U210/$R210)</f>
        <v>0</v>
      </c>
      <c r="W210" s="27">
        <f>IF($A210="","",IF(OR($I210="Finalizado",$I210="Entregue"),MAX(0,$R210-N($O210)),0))</f>
        <v>0</v>
      </c>
      <c r="X210" s="32">
        <f>IF(OR($A210="",$B210=""),"",IF(OR($I210="Entregue",$I210="Cancelada"),"",Hoje-$B210))</f>
        <v>0</v>
      </c>
      <c r="Y210" s="24">
        <f>IF($A210="","",IF(AND(OR($I210="Aprovado",$I210="Em execução",$I210="Aguardando peça"),N($X210)&gt;PrazoMax),"ATRASADA",IF(AND(OR($I210="Finalizado",$I210="Entregue"),$W210&gt;0.005),"Cobrar",IF($I210="Orçamento","Aguardando aprovação",""))))</f>
        <v>0</v>
      </c>
      <c r="Z210" s="33">
        <f>IF(AND($I210="Entregue",$M210&lt;&gt;""),DATE(YEAR($M210),MONTH($M210),1),"")</f>
        <v>0</v>
      </c>
      <c r="AA210" s="34">
        <f>IF(AND($C210&lt;&gt;"",$C210=HistPlaca),COUNTIF($C$5:$C210,HistPlaca),"")</f>
        <v>0</v>
      </c>
    </row>
    <row r="211" spans="1:27">
      <c r="A211" s="17"/>
      <c r="B211" s="25"/>
      <c r="C211" s="13"/>
      <c r="D211" s="26">
        <f>IF($C211="","",IFERROR(INDEX(VeicCli,MATCH($C211,VeicPlaca,0)),"Placa não cadastrada"))</f>
        <v>0</v>
      </c>
      <c r="E211" s="26">
        <f>IF($C211="","",IFERROR(INDEX(VeicModelo,MATCH($C211,VeicPlaca,0)),""))</f>
        <v>0</v>
      </c>
      <c r="F211" s="28"/>
      <c r="G211" s="13"/>
      <c r="H211" s="13"/>
      <c r="I211" s="13"/>
      <c r="J211" s="29"/>
      <c r="K211" s="19"/>
      <c r="L211" s="19"/>
      <c r="M211" s="25"/>
      <c r="N211" s="13"/>
      <c r="O211" s="19"/>
      <c r="P211" s="27">
        <f>IF($A211="","",N($J211)*ValorHora)</f>
        <v>0</v>
      </c>
      <c r="Q211" s="27">
        <f>IF($A211="","",SUMIFS(ItTotal,ItOS,$A211))</f>
        <v>0</v>
      </c>
      <c r="R211" s="30">
        <f>IF($A211="","",$P211+$Q211+N($K211)-N($L211))</f>
        <v>0</v>
      </c>
      <c r="S211" s="27">
        <f>IF($A211="","",SUMIFS(ItCusto,ItOS,$A211))</f>
        <v>0</v>
      </c>
      <c r="T211" s="27">
        <f>IF($A211="","",$P211*ComMec)</f>
        <v>0</v>
      </c>
      <c r="U211" s="21">
        <f>IF($A211="","",$R211-$S211-$T211-N($K211))</f>
        <v>0</v>
      </c>
      <c r="V211" s="31">
        <f>IF(OR($A211="",N($R211)&lt;=0),"",$U211/$R211)</f>
        <v>0</v>
      </c>
      <c r="W211" s="27">
        <f>IF($A211="","",IF(OR($I211="Finalizado",$I211="Entregue"),MAX(0,$R211-N($O211)),0))</f>
        <v>0</v>
      </c>
      <c r="X211" s="32">
        <f>IF(OR($A211="",$B211=""),"",IF(OR($I211="Entregue",$I211="Cancelada"),"",Hoje-$B211))</f>
        <v>0</v>
      </c>
      <c r="Y211" s="24">
        <f>IF($A211="","",IF(AND(OR($I211="Aprovado",$I211="Em execução",$I211="Aguardando peça"),N($X211)&gt;PrazoMax),"ATRASADA",IF(AND(OR($I211="Finalizado",$I211="Entregue"),$W211&gt;0.005),"Cobrar",IF($I211="Orçamento","Aguardando aprovação",""))))</f>
        <v>0</v>
      </c>
      <c r="Z211" s="33">
        <f>IF(AND($I211="Entregue",$M211&lt;&gt;""),DATE(YEAR($M211),MONTH($M211),1),"")</f>
        <v>0</v>
      </c>
      <c r="AA211" s="34">
        <f>IF(AND($C211&lt;&gt;"",$C211=HistPlaca),COUNTIF($C$5:$C211,HistPlaca),"")</f>
        <v>0</v>
      </c>
    </row>
    <row r="212" spans="1:27">
      <c r="A212" s="17"/>
      <c r="B212" s="25"/>
      <c r="C212" s="13"/>
      <c r="D212" s="26">
        <f>IF($C212="","",IFERROR(INDEX(VeicCli,MATCH($C212,VeicPlaca,0)),"Placa não cadastrada"))</f>
        <v>0</v>
      </c>
      <c r="E212" s="26">
        <f>IF($C212="","",IFERROR(INDEX(VeicModelo,MATCH($C212,VeicPlaca,0)),""))</f>
        <v>0</v>
      </c>
      <c r="F212" s="28"/>
      <c r="G212" s="13"/>
      <c r="H212" s="13"/>
      <c r="I212" s="13"/>
      <c r="J212" s="29"/>
      <c r="K212" s="19"/>
      <c r="L212" s="19"/>
      <c r="M212" s="25"/>
      <c r="N212" s="13"/>
      <c r="O212" s="19"/>
      <c r="P212" s="27">
        <f>IF($A212="","",N($J212)*ValorHora)</f>
        <v>0</v>
      </c>
      <c r="Q212" s="27">
        <f>IF($A212="","",SUMIFS(ItTotal,ItOS,$A212))</f>
        <v>0</v>
      </c>
      <c r="R212" s="30">
        <f>IF($A212="","",$P212+$Q212+N($K212)-N($L212))</f>
        <v>0</v>
      </c>
      <c r="S212" s="27">
        <f>IF($A212="","",SUMIFS(ItCusto,ItOS,$A212))</f>
        <v>0</v>
      </c>
      <c r="T212" s="27">
        <f>IF($A212="","",$P212*ComMec)</f>
        <v>0</v>
      </c>
      <c r="U212" s="21">
        <f>IF($A212="","",$R212-$S212-$T212-N($K212))</f>
        <v>0</v>
      </c>
      <c r="V212" s="31">
        <f>IF(OR($A212="",N($R212)&lt;=0),"",$U212/$R212)</f>
        <v>0</v>
      </c>
      <c r="W212" s="27">
        <f>IF($A212="","",IF(OR($I212="Finalizado",$I212="Entregue"),MAX(0,$R212-N($O212)),0))</f>
        <v>0</v>
      </c>
      <c r="X212" s="32">
        <f>IF(OR($A212="",$B212=""),"",IF(OR($I212="Entregue",$I212="Cancelada"),"",Hoje-$B212))</f>
        <v>0</v>
      </c>
      <c r="Y212" s="24">
        <f>IF($A212="","",IF(AND(OR($I212="Aprovado",$I212="Em execução",$I212="Aguardando peça"),N($X212)&gt;PrazoMax),"ATRASADA",IF(AND(OR($I212="Finalizado",$I212="Entregue"),$W212&gt;0.005),"Cobrar",IF($I212="Orçamento","Aguardando aprovação",""))))</f>
        <v>0</v>
      </c>
      <c r="Z212" s="33">
        <f>IF(AND($I212="Entregue",$M212&lt;&gt;""),DATE(YEAR($M212),MONTH($M212),1),"")</f>
        <v>0</v>
      </c>
      <c r="AA212" s="34">
        <f>IF(AND($C212&lt;&gt;"",$C212=HistPlaca),COUNTIF($C$5:$C212,HistPlaca),"")</f>
        <v>0</v>
      </c>
    </row>
    <row r="213" spans="1:27">
      <c r="A213" s="17"/>
      <c r="B213" s="25"/>
      <c r="C213" s="13"/>
      <c r="D213" s="26">
        <f>IF($C213="","",IFERROR(INDEX(VeicCli,MATCH($C213,VeicPlaca,0)),"Placa não cadastrada"))</f>
        <v>0</v>
      </c>
      <c r="E213" s="26">
        <f>IF($C213="","",IFERROR(INDEX(VeicModelo,MATCH($C213,VeicPlaca,0)),""))</f>
        <v>0</v>
      </c>
      <c r="F213" s="28"/>
      <c r="G213" s="13"/>
      <c r="H213" s="13"/>
      <c r="I213" s="13"/>
      <c r="J213" s="29"/>
      <c r="K213" s="19"/>
      <c r="L213" s="19"/>
      <c r="M213" s="25"/>
      <c r="N213" s="13"/>
      <c r="O213" s="19"/>
      <c r="P213" s="27">
        <f>IF($A213="","",N($J213)*ValorHora)</f>
        <v>0</v>
      </c>
      <c r="Q213" s="27">
        <f>IF($A213="","",SUMIFS(ItTotal,ItOS,$A213))</f>
        <v>0</v>
      </c>
      <c r="R213" s="30">
        <f>IF($A213="","",$P213+$Q213+N($K213)-N($L213))</f>
        <v>0</v>
      </c>
      <c r="S213" s="27">
        <f>IF($A213="","",SUMIFS(ItCusto,ItOS,$A213))</f>
        <v>0</v>
      </c>
      <c r="T213" s="27">
        <f>IF($A213="","",$P213*ComMec)</f>
        <v>0</v>
      </c>
      <c r="U213" s="21">
        <f>IF($A213="","",$R213-$S213-$T213-N($K213))</f>
        <v>0</v>
      </c>
      <c r="V213" s="31">
        <f>IF(OR($A213="",N($R213)&lt;=0),"",$U213/$R213)</f>
        <v>0</v>
      </c>
      <c r="W213" s="27">
        <f>IF($A213="","",IF(OR($I213="Finalizado",$I213="Entregue"),MAX(0,$R213-N($O213)),0))</f>
        <v>0</v>
      </c>
      <c r="X213" s="32">
        <f>IF(OR($A213="",$B213=""),"",IF(OR($I213="Entregue",$I213="Cancelada"),"",Hoje-$B213))</f>
        <v>0</v>
      </c>
      <c r="Y213" s="24">
        <f>IF($A213="","",IF(AND(OR($I213="Aprovado",$I213="Em execução",$I213="Aguardando peça"),N($X213)&gt;PrazoMax),"ATRASADA",IF(AND(OR($I213="Finalizado",$I213="Entregue"),$W213&gt;0.005),"Cobrar",IF($I213="Orçamento","Aguardando aprovação",""))))</f>
        <v>0</v>
      </c>
      <c r="Z213" s="33">
        <f>IF(AND($I213="Entregue",$M213&lt;&gt;""),DATE(YEAR($M213),MONTH($M213),1),"")</f>
        <v>0</v>
      </c>
      <c r="AA213" s="34">
        <f>IF(AND($C213&lt;&gt;"",$C213=HistPlaca),COUNTIF($C$5:$C213,HistPlaca),"")</f>
        <v>0</v>
      </c>
    </row>
    <row r="214" spans="1:27">
      <c r="A214" s="17"/>
      <c r="B214" s="25"/>
      <c r="C214" s="13"/>
      <c r="D214" s="26">
        <f>IF($C214="","",IFERROR(INDEX(VeicCli,MATCH($C214,VeicPlaca,0)),"Placa não cadastrada"))</f>
        <v>0</v>
      </c>
      <c r="E214" s="26">
        <f>IF($C214="","",IFERROR(INDEX(VeicModelo,MATCH($C214,VeicPlaca,0)),""))</f>
        <v>0</v>
      </c>
      <c r="F214" s="28"/>
      <c r="G214" s="13"/>
      <c r="H214" s="13"/>
      <c r="I214" s="13"/>
      <c r="J214" s="29"/>
      <c r="K214" s="19"/>
      <c r="L214" s="19"/>
      <c r="M214" s="25"/>
      <c r="N214" s="13"/>
      <c r="O214" s="19"/>
      <c r="P214" s="27">
        <f>IF($A214="","",N($J214)*ValorHora)</f>
        <v>0</v>
      </c>
      <c r="Q214" s="27">
        <f>IF($A214="","",SUMIFS(ItTotal,ItOS,$A214))</f>
        <v>0</v>
      </c>
      <c r="R214" s="30">
        <f>IF($A214="","",$P214+$Q214+N($K214)-N($L214))</f>
        <v>0</v>
      </c>
      <c r="S214" s="27">
        <f>IF($A214="","",SUMIFS(ItCusto,ItOS,$A214))</f>
        <v>0</v>
      </c>
      <c r="T214" s="27">
        <f>IF($A214="","",$P214*ComMec)</f>
        <v>0</v>
      </c>
      <c r="U214" s="21">
        <f>IF($A214="","",$R214-$S214-$T214-N($K214))</f>
        <v>0</v>
      </c>
      <c r="V214" s="31">
        <f>IF(OR($A214="",N($R214)&lt;=0),"",$U214/$R214)</f>
        <v>0</v>
      </c>
      <c r="W214" s="27">
        <f>IF($A214="","",IF(OR($I214="Finalizado",$I214="Entregue"),MAX(0,$R214-N($O214)),0))</f>
        <v>0</v>
      </c>
      <c r="X214" s="32">
        <f>IF(OR($A214="",$B214=""),"",IF(OR($I214="Entregue",$I214="Cancelada"),"",Hoje-$B214))</f>
        <v>0</v>
      </c>
      <c r="Y214" s="24">
        <f>IF($A214="","",IF(AND(OR($I214="Aprovado",$I214="Em execução",$I214="Aguardando peça"),N($X214)&gt;PrazoMax),"ATRASADA",IF(AND(OR($I214="Finalizado",$I214="Entregue"),$W214&gt;0.005),"Cobrar",IF($I214="Orçamento","Aguardando aprovação",""))))</f>
        <v>0</v>
      </c>
      <c r="Z214" s="33">
        <f>IF(AND($I214="Entregue",$M214&lt;&gt;""),DATE(YEAR($M214),MONTH($M214),1),"")</f>
        <v>0</v>
      </c>
      <c r="AA214" s="34">
        <f>IF(AND($C214&lt;&gt;"",$C214=HistPlaca),COUNTIF($C$5:$C214,HistPlaca),"")</f>
        <v>0</v>
      </c>
    </row>
    <row r="215" spans="1:27">
      <c r="A215" s="17"/>
      <c r="B215" s="25"/>
      <c r="C215" s="13"/>
      <c r="D215" s="26">
        <f>IF($C215="","",IFERROR(INDEX(VeicCli,MATCH($C215,VeicPlaca,0)),"Placa não cadastrada"))</f>
        <v>0</v>
      </c>
      <c r="E215" s="26">
        <f>IF($C215="","",IFERROR(INDEX(VeicModelo,MATCH($C215,VeicPlaca,0)),""))</f>
        <v>0</v>
      </c>
      <c r="F215" s="28"/>
      <c r="G215" s="13"/>
      <c r="H215" s="13"/>
      <c r="I215" s="13"/>
      <c r="J215" s="29"/>
      <c r="K215" s="19"/>
      <c r="L215" s="19"/>
      <c r="M215" s="25"/>
      <c r="N215" s="13"/>
      <c r="O215" s="19"/>
      <c r="P215" s="27">
        <f>IF($A215="","",N($J215)*ValorHora)</f>
        <v>0</v>
      </c>
      <c r="Q215" s="27">
        <f>IF($A215="","",SUMIFS(ItTotal,ItOS,$A215))</f>
        <v>0</v>
      </c>
      <c r="R215" s="30">
        <f>IF($A215="","",$P215+$Q215+N($K215)-N($L215))</f>
        <v>0</v>
      </c>
      <c r="S215" s="27">
        <f>IF($A215="","",SUMIFS(ItCusto,ItOS,$A215))</f>
        <v>0</v>
      </c>
      <c r="T215" s="27">
        <f>IF($A215="","",$P215*ComMec)</f>
        <v>0</v>
      </c>
      <c r="U215" s="21">
        <f>IF($A215="","",$R215-$S215-$T215-N($K215))</f>
        <v>0</v>
      </c>
      <c r="V215" s="31">
        <f>IF(OR($A215="",N($R215)&lt;=0),"",$U215/$R215)</f>
        <v>0</v>
      </c>
      <c r="W215" s="27">
        <f>IF($A215="","",IF(OR($I215="Finalizado",$I215="Entregue"),MAX(0,$R215-N($O215)),0))</f>
        <v>0</v>
      </c>
      <c r="X215" s="32">
        <f>IF(OR($A215="",$B215=""),"",IF(OR($I215="Entregue",$I215="Cancelada"),"",Hoje-$B215))</f>
        <v>0</v>
      </c>
      <c r="Y215" s="24">
        <f>IF($A215="","",IF(AND(OR($I215="Aprovado",$I215="Em execução",$I215="Aguardando peça"),N($X215)&gt;PrazoMax),"ATRASADA",IF(AND(OR($I215="Finalizado",$I215="Entregue"),$W215&gt;0.005),"Cobrar",IF($I215="Orçamento","Aguardando aprovação",""))))</f>
        <v>0</v>
      </c>
      <c r="Z215" s="33">
        <f>IF(AND($I215="Entregue",$M215&lt;&gt;""),DATE(YEAR($M215),MONTH($M215),1),"")</f>
        <v>0</v>
      </c>
      <c r="AA215" s="34">
        <f>IF(AND($C215&lt;&gt;"",$C215=HistPlaca),COUNTIF($C$5:$C215,HistPlaca),"")</f>
        <v>0</v>
      </c>
    </row>
    <row r="216" spans="1:27">
      <c r="A216" s="17"/>
      <c r="B216" s="25"/>
      <c r="C216" s="13"/>
      <c r="D216" s="26">
        <f>IF($C216="","",IFERROR(INDEX(VeicCli,MATCH($C216,VeicPlaca,0)),"Placa não cadastrada"))</f>
        <v>0</v>
      </c>
      <c r="E216" s="26">
        <f>IF($C216="","",IFERROR(INDEX(VeicModelo,MATCH($C216,VeicPlaca,0)),""))</f>
        <v>0</v>
      </c>
      <c r="F216" s="28"/>
      <c r="G216" s="13"/>
      <c r="H216" s="13"/>
      <c r="I216" s="13"/>
      <c r="J216" s="29"/>
      <c r="K216" s="19"/>
      <c r="L216" s="19"/>
      <c r="M216" s="25"/>
      <c r="N216" s="13"/>
      <c r="O216" s="19"/>
      <c r="P216" s="27">
        <f>IF($A216="","",N($J216)*ValorHora)</f>
        <v>0</v>
      </c>
      <c r="Q216" s="27">
        <f>IF($A216="","",SUMIFS(ItTotal,ItOS,$A216))</f>
        <v>0</v>
      </c>
      <c r="R216" s="30">
        <f>IF($A216="","",$P216+$Q216+N($K216)-N($L216))</f>
        <v>0</v>
      </c>
      <c r="S216" s="27">
        <f>IF($A216="","",SUMIFS(ItCusto,ItOS,$A216))</f>
        <v>0</v>
      </c>
      <c r="T216" s="27">
        <f>IF($A216="","",$P216*ComMec)</f>
        <v>0</v>
      </c>
      <c r="U216" s="21">
        <f>IF($A216="","",$R216-$S216-$T216-N($K216))</f>
        <v>0</v>
      </c>
      <c r="V216" s="31">
        <f>IF(OR($A216="",N($R216)&lt;=0),"",$U216/$R216)</f>
        <v>0</v>
      </c>
      <c r="W216" s="27">
        <f>IF($A216="","",IF(OR($I216="Finalizado",$I216="Entregue"),MAX(0,$R216-N($O216)),0))</f>
        <v>0</v>
      </c>
      <c r="X216" s="32">
        <f>IF(OR($A216="",$B216=""),"",IF(OR($I216="Entregue",$I216="Cancelada"),"",Hoje-$B216))</f>
        <v>0</v>
      </c>
      <c r="Y216" s="24">
        <f>IF($A216="","",IF(AND(OR($I216="Aprovado",$I216="Em execução",$I216="Aguardando peça"),N($X216)&gt;PrazoMax),"ATRASADA",IF(AND(OR($I216="Finalizado",$I216="Entregue"),$W216&gt;0.005),"Cobrar",IF($I216="Orçamento","Aguardando aprovação",""))))</f>
        <v>0</v>
      </c>
      <c r="Z216" s="33">
        <f>IF(AND($I216="Entregue",$M216&lt;&gt;""),DATE(YEAR($M216),MONTH($M216),1),"")</f>
        <v>0</v>
      </c>
      <c r="AA216" s="34">
        <f>IF(AND($C216&lt;&gt;"",$C216=HistPlaca),COUNTIF($C$5:$C216,HistPlaca),"")</f>
        <v>0</v>
      </c>
    </row>
    <row r="217" spans="1:27">
      <c r="A217" s="17"/>
      <c r="B217" s="25"/>
      <c r="C217" s="13"/>
      <c r="D217" s="26">
        <f>IF($C217="","",IFERROR(INDEX(VeicCli,MATCH($C217,VeicPlaca,0)),"Placa não cadastrada"))</f>
        <v>0</v>
      </c>
      <c r="E217" s="26">
        <f>IF($C217="","",IFERROR(INDEX(VeicModelo,MATCH($C217,VeicPlaca,0)),""))</f>
        <v>0</v>
      </c>
      <c r="F217" s="28"/>
      <c r="G217" s="13"/>
      <c r="H217" s="13"/>
      <c r="I217" s="13"/>
      <c r="J217" s="29"/>
      <c r="K217" s="19"/>
      <c r="L217" s="19"/>
      <c r="M217" s="25"/>
      <c r="N217" s="13"/>
      <c r="O217" s="19"/>
      <c r="P217" s="27">
        <f>IF($A217="","",N($J217)*ValorHora)</f>
        <v>0</v>
      </c>
      <c r="Q217" s="27">
        <f>IF($A217="","",SUMIFS(ItTotal,ItOS,$A217))</f>
        <v>0</v>
      </c>
      <c r="R217" s="30">
        <f>IF($A217="","",$P217+$Q217+N($K217)-N($L217))</f>
        <v>0</v>
      </c>
      <c r="S217" s="27">
        <f>IF($A217="","",SUMIFS(ItCusto,ItOS,$A217))</f>
        <v>0</v>
      </c>
      <c r="T217" s="27">
        <f>IF($A217="","",$P217*ComMec)</f>
        <v>0</v>
      </c>
      <c r="U217" s="21">
        <f>IF($A217="","",$R217-$S217-$T217-N($K217))</f>
        <v>0</v>
      </c>
      <c r="V217" s="31">
        <f>IF(OR($A217="",N($R217)&lt;=0),"",$U217/$R217)</f>
        <v>0</v>
      </c>
      <c r="W217" s="27">
        <f>IF($A217="","",IF(OR($I217="Finalizado",$I217="Entregue"),MAX(0,$R217-N($O217)),0))</f>
        <v>0</v>
      </c>
      <c r="X217" s="32">
        <f>IF(OR($A217="",$B217=""),"",IF(OR($I217="Entregue",$I217="Cancelada"),"",Hoje-$B217))</f>
        <v>0</v>
      </c>
      <c r="Y217" s="24">
        <f>IF($A217="","",IF(AND(OR($I217="Aprovado",$I217="Em execução",$I217="Aguardando peça"),N($X217)&gt;PrazoMax),"ATRASADA",IF(AND(OR($I217="Finalizado",$I217="Entregue"),$W217&gt;0.005),"Cobrar",IF($I217="Orçamento","Aguardando aprovação",""))))</f>
        <v>0</v>
      </c>
      <c r="Z217" s="33">
        <f>IF(AND($I217="Entregue",$M217&lt;&gt;""),DATE(YEAR($M217),MONTH($M217),1),"")</f>
        <v>0</v>
      </c>
      <c r="AA217" s="34">
        <f>IF(AND($C217&lt;&gt;"",$C217=HistPlaca),COUNTIF($C$5:$C217,HistPlaca),"")</f>
        <v>0</v>
      </c>
    </row>
    <row r="218" spans="1:27">
      <c r="A218" s="17"/>
      <c r="B218" s="25"/>
      <c r="C218" s="13"/>
      <c r="D218" s="26">
        <f>IF($C218="","",IFERROR(INDEX(VeicCli,MATCH($C218,VeicPlaca,0)),"Placa não cadastrada"))</f>
        <v>0</v>
      </c>
      <c r="E218" s="26">
        <f>IF($C218="","",IFERROR(INDEX(VeicModelo,MATCH($C218,VeicPlaca,0)),""))</f>
        <v>0</v>
      </c>
      <c r="F218" s="28"/>
      <c r="G218" s="13"/>
      <c r="H218" s="13"/>
      <c r="I218" s="13"/>
      <c r="J218" s="29"/>
      <c r="K218" s="19"/>
      <c r="L218" s="19"/>
      <c r="M218" s="25"/>
      <c r="N218" s="13"/>
      <c r="O218" s="19"/>
      <c r="P218" s="27">
        <f>IF($A218="","",N($J218)*ValorHora)</f>
        <v>0</v>
      </c>
      <c r="Q218" s="27">
        <f>IF($A218="","",SUMIFS(ItTotal,ItOS,$A218))</f>
        <v>0</v>
      </c>
      <c r="R218" s="30">
        <f>IF($A218="","",$P218+$Q218+N($K218)-N($L218))</f>
        <v>0</v>
      </c>
      <c r="S218" s="27">
        <f>IF($A218="","",SUMIFS(ItCusto,ItOS,$A218))</f>
        <v>0</v>
      </c>
      <c r="T218" s="27">
        <f>IF($A218="","",$P218*ComMec)</f>
        <v>0</v>
      </c>
      <c r="U218" s="21">
        <f>IF($A218="","",$R218-$S218-$T218-N($K218))</f>
        <v>0</v>
      </c>
      <c r="V218" s="31">
        <f>IF(OR($A218="",N($R218)&lt;=0),"",$U218/$R218)</f>
        <v>0</v>
      </c>
      <c r="W218" s="27">
        <f>IF($A218="","",IF(OR($I218="Finalizado",$I218="Entregue"),MAX(0,$R218-N($O218)),0))</f>
        <v>0</v>
      </c>
      <c r="X218" s="32">
        <f>IF(OR($A218="",$B218=""),"",IF(OR($I218="Entregue",$I218="Cancelada"),"",Hoje-$B218))</f>
        <v>0</v>
      </c>
      <c r="Y218" s="24">
        <f>IF($A218="","",IF(AND(OR($I218="Aprovado",$I218="Em execução",$I218="Aguardando peça"),N($X218)&gt;PrazoMax),"ATRASADA",IF(AND(OR($I218="Finalizado",$I218="Entregue"),$W218&gt;0.005),"Cobrar",IF($I218="Orçamento","Aguardando aprovação",""))))</f>
        <v>0</v>
      </c>
      <c r="Z218" s="33">
        <f>IF(AND($I218="Entregue",$M218&lt;&gt;""),DATE(YEAR($M218),MONTH($M218),1),"")</f>
        <v>0</v>
      </c>
      <c r="AA218" s="34">
        <f>IF(AND($C218&lt;&gt;"",$C218=HistPlaca),COUNTIF($C$5:$C218,HistPlaca),"")</f>
        <v>0</v>
      </c>
    </row>
    <row r="219" spans="1:27">
      <c r="A219" s="17"/>
      <c r="B219" s="25"/>
      <c r="C219" s="13"/>
      <c r="D219" s="26">
        <f>IF($C219="","",IFERROR(INDEX(VeicCli,MATCH($C219,VeicPlaca,0)),"Placa não cadastrada"))</f>
        <v>0</v>
      </c>
      <c r="E219" s="26">
        <f>IF($C219="","",IFERROR(INDEX(VeicModelo,MATCH($C219,VeicPlaca,0)),""))</f>
        <v>0</v>
      </c>
      <c r="F219" s="28"/>
      <c r="G219" s="13"/>
      <c r="H219" s="13"/>
      <c r="I219" s="13"/>
      <c r="J219" s="29"/>
      <c r="K219" s="19"/>
      <c r="L219" s="19"/>
      <c r="M219" s="25"/>
      <c r="N219" s="13"/>
      <c r="O219" s="19"/>
      <c r="P219" s="27">
        <f>IF($A219="","",N($J219)*ValorHora)</f>
        <v>0</v>
      </c>
      <c r="Q219" s="27">
        <f>IF($A219="","",SUMIFS(ItTotal,ItOS,$A219))</f>
        <v>0</v>
      </c>
      <c r="R219" s="30">
        <f>IF($A219="","",$P219+$Q219+N($K219)-N($L219))</f>
        <v>0</v>
      </c>
      <c r="S219" s="27">
        <f>IF($A219="","",SUMIFS(ItCusto,ItOS,$A219))</f>
        <v>0</v>
      </c>
      <c r="T219" s="27">
        <f>IF($A219="","",$P219*ComMec)</f>
        <v>0</v>
      </c>
      <c r="U219" s="21">
        <f>IF($A219="","",$R219-$S219-$T219-N($K219))</f>
        <v>0</v>
      </c>
      <c r="V219" s="31">
        <f>IF(OR($A219="",N($R219)&lt;=0),"",$U219/$R219)</f>
        <v>0</v>
      </c>
      <c r="W219" s="27">
        <f>IF($A219="","",IF(OR($I219="Finalizado",$I219="Entregue"),MAX(0,$R219-N($O219)),0))</f>
        <v>0</v>
      </c>
      <c r="X219" s="32">
        <f>IF(OR($A219="",$B219=""),"",IF(OR($I219="Entregue",$I219="Cancelada"),"",Hoje-$B219))</f>
        <v>0</v>
      </c>
      <c r="Y219" s="24">
        <f>IF($A219="","",IF(AND(OR($I219="Aprovado",$I219="Em execução",$I219="Aguardando peça"),N($X219)&gt;PrazoMax),"ATRASADA",IF(AND(OR($I219="Finalizado",$I219="Entregue"),$W219&gt;0.005),"Cobrar",IF($I219="Orçamento","Aguardando aprovação",""))))</f>
        <v>0</v>
      </c>
      <c r="Z219" s="33">
        <f>IF(AND($I219="Entregue",$M219&lt;&gt;""),DATE(YEAR($M219),MONTH($M219),1),"")</f>
        <v>0</v>
      </c>
      <c r="AA219" s="34">
        <f>IF(AND($C219&lt;&gt;"",$C219=HistPlaca),COUNTIF($C$5:$C219,HistPlaca),"")</f>
        <v>0</v>
      </c>
    </row>
    <row r="220" spans="1:27">
      <c r="A220" s="17"/>
      <c r="B220" s="25"/>
      <c r="C220" s="13"/>
      <c r="D220" s="26">
        <f>IF($C220="","",IFERROR(INDEX(VeicCli,MATCH($C220,VeicPlaca,0)),"Placa não cadastrada"))</f>
        <v>0</v>
      </c>
      <c r="E220" s="26">
        <f>IF($C220="","",IFERROR(INDEX(VeicModelo,MATCH($C220,VeicPlaca,0)),""))</f>
        <v>0</v>
      </c>
      <c r="F220" s="28"/>
      <c r="G220" s="13"/>
      <c r="H220" s="13"/>
      <c r="I220" s="13"/>
      <c r="J220" s="29"/>
      <c r="K220" s="19"/>
      <c r="L220" s="19"/>
      <c r="M220" s="25"/>
      <c r="N220" s="13"/>
      <c r="O220" s="19"/>
      <c r="P220" s="27">
        <f>IF($A220="","",N($J220)*ValorHora)</f>
        <v>0</v>
      </c>
      <c r="Q220" s="27">
        <f>IF($A220="","",SUMIFS(ItTotal,ItOS,$A220))</f>
        <v>0</v>
      </c>
      <c r="R220" s="30">
        <f>IF($A220="","",$P220+$Q220+N($K220)-N($L220))</f>
        <v>0</v>
      </c>
      <c r="S220" s="27">
        <f>IF($A220="","",SUMIFS(ItCusto,ItOS,$A220))</f>
        <v>0</v>
      </c>
      <c r="T220" s="27">
        <f>IF($A220="","",$P220*ComMec)</f>
        <v>0</v>
      </c>
      <c r="U220" s="21">
        <f>IF($A220="","",$R220-$S220-$T220-N($K220))</f>
        <v>0</v>
      </c>
      <c r="V220" s="31">
        <f>IF(OR($A220="",N($R220)&lt;=0),"",$U220/$R220)</f>
        <v>0</v>
      </c>
      <c r="W220" s="27">
        <f>IF($A220="","",IF(OR($I220="Finalizado",$I220="Entregue"),MAX(0,$R220-N($O220)),0))</f>
        <v>0</v>
      </c>
      <c r="X220" s="32">
        <f>IF(OR($A220="",$B220=""),"",IF(OR($I220="Entregue",$I220="Cancelada"),"",Hoje-$B220))</f>
        <v>0</v>
      </c>
      <c r="Y220" s="24">
        <f>IF($A220="","",IF(AND(OR($I220="Aprovado",$I220="Em execução",$I220="Aguardando peça"),N($X220)&gt;PrazoMax),"ATRASADA",IF(AND(OR($I220="Finalizado",$I220="Entregue"),$W220&gt;0.005),"Cobrar",IF($I220="Orçamento","Aguardando aprovação",""))))</f>
        <v>0</v>
      </c>
      <c r="Z220" s="33">
        <f>IF(AND($I220="Entregue",$M220&lt;&gt;""),DATE(YEAR($M220),MONTH($M220),1),"")</f>
        <v>0</v>
      </c>
      <c r="AA220" s="34">
        <f>IF(AND($C220&lt;&gt;"",$C220=HistPlaca),COUNTIF($C$5:$C220,HistPlaca),"")</f>
        <v>0</v>
      </c>
    </row>
    <row r="221" spans="1:27">
      <c r="A221" s="17"/>
      <c r="B221" s="25"/>
      <c r="C221" s="13"/>
      <c r="D221" s="26">
        <f>IF($C221="","",IFERROR(INDEX(VeicCli,MATCH($C221,VeicPlaca,0)),"Placa não cadastrada"))</f>
        <v>0</v>
      </c>
      <c r="E221" s="26">
        <f>IF($C221="","",IFERROR(INDEX(VeicModelo,MATCH($C221,VeicPlaca,0)),""))</f>
        <v>0</v>
      </c>
      <c r="F221" s="28"/>
      <c r="G221" s="13"/>
      <c r="H221" s="13"/>
      <c r="I221" s="13"/>
      <c r="J221" s="29"/>
      <c r="K221" s="19"/>
      <c r="L221" s="19"/>
      <c r="M221" s="25"/>
      <c r="N221" s="13"/>
      <c r="O221" s="19"/>
      <c r="P221" s="27">
        <f>IF($A221="","",N($J221)*ValorHora)</f>
        <v>0</v>
      </c>
      <c r="Q221" s="27">
        <f>IF($A221="","",SUMIFS(ItTotal,ItOS,$A221))</f>
        <v>0</v>
      </c>
      <c r="R221" s="30">
        <f>IF($A221="","",$P221+$Q221+N($K221)-N($L221))</f>
        <v>0</v>
      </c>
      <c r="S221" s="27">
        <f>IF($A221="","",SUMIFS(ItCusto,ItOS,$A221))</f>
        <v>0</v>
      </c>
      <c r="T221" s="27">
        <f>IF($A221="","",$P221*ComMec)</f>
        <v>0</v>
      </c>
      <c r="U221" s="21">
        <f>IF($A221="","",$R221-$S221-$T221-N($K221))</f>
        <v>0</v>
      </c>
      <c r="V221" s="31">
        <f>IF(OR($A221="",N($R221)&lt;=0),"",$U221/$R221)</f>
        <v>0</v>
      </c>
      <c r="W221" s="27">
        <f>IF($A221="","",IF(OR($I221="Finalizado",$I221="Entregue"),MAX(0,$R221-N($O221)),0))</f>
        <v>0</v>
      </c>
      <c r="X221" s="32">
        <f>IF(OR($A221="",$B221=""),"",IF(OR($I221="Entregue",$I221="Cancelada"),"",Hoje-$B221))</f>
        <v>0</v>
      </c>
      <c r="Y221" s="24">
        <f>IF($A221="","",IF(AND(OR($I221="Aprovado",$I221="Em execução",$I221="Aguardando peça"),N($X221)&gt;PrazoMax),"ATRASADA",IF(AND(OR($I221="Finalizado",$I221="Entregue"),$W221&gt;0.005),"Cobrar",IF($I221="Orçamento","Aguardando aprovação",""))))</f>
        <v>0</v>
      </c>
      <c r="Z221" s="33">
        <f>IF(AND($I221="Entregue",$M221&lt;&gt;""),DATE(YEAR($M221),MONTH($M221),1),"")</f>
        <v>0</v>
      </c>
      <c r="AA221" s="34">
        <f>IF(AND($C221&lt;&gt;"",$C221=HistPlaca),COUNTIF($C$5:$C221,HistPlaca),"")</f>
        <v>0</v>
      </c>
    </row>
    <row r="222" spans="1:27">
      <c r="A222" s="17"/>
      <c r="B222" s="25"/>
      <c r="C222" s="13"/>
      <c r="D222" s="26">
        <f>IF($C222="","",IFERROR(INDEX(VeicCli,MATCH($C222,VeicPlaca,0)),"Placa não cadastrada"))</f>
        <v>0</v>
      </c>
      <c r="E222" s="26">
        <f>IF($C222="","",IFERROR(INDEX(VeicModelo,MATCH($C222,VeicPlaca,0)),""))</f>
        <v>0</v>
      </c>
      <c r="F222" s="28"/>
      <c r="G222" s="13"/>
      <c r="H222" s="13"/>
      <c r="I222" s="13"/>
      <c r="J222" s="29"/>
      <c r="K222" s="19"/>
      <c r="L222" s="19"/>
      <c r="M222" s="25"/>
      <c r="N222" s="13"/>
      <c r="O222" s="19"/>
      <c r="P222" s="27">
        <f>IF($A222="","",N($J222)*ValorHora)</f>
        <v>0</v>
      </c>
      <c r="Q222" s="27">
        <f>IF($A222="","",SUMIFS(ItTotal,ItOS,$A222))</f>
        <v>0</v>
      </c>
      <c r="R222" s="30">
        <f>IF($A222="","",$P222+$Q222+N($K222)-N($L222))</f>
        <v>0</v>
      </c>
      <c r="S222" s="27">
        <f>IF($A222="","",SUMIFS(ItCusto,ItOS,$A222))</f>
        <v>0</v>
      </c>
      <c r="T222" s="27">
        <f>IF($A222="","",$P222*ComMec)</f>
        <v>0</v>
      </c>
      <c r="U222" s="21">
        <f>IF($A222="","",$R222-$S222-$T222-N($K222))</f>
        <v>0</v>
      </c>
      <c r="V222" s="31">
        <f>IF(OR($A222="",N($R222)&lt;=0),"",$U222/$R222)</f>
        <v>0</v>
      </c>
      <c r="W222" s="27">
        <f>IF($A222="","",IF(OR($I222="Finalizado",$I222="Entregue"),MAX(0,$R222-N($O222)),0))</f>
        <v>0</v>
      </c>
      <c r="X222" s="32">
        <f>IF(OR($A222="",$B222=""),"",IF(OR($I222="Entregue",$I222="Cancelada"),"",Hoje-$B222))</f>
        <v>0</v>
      </c>
      <c r="Y222" s="24">
        <f>IF($A222="","",IF(AND(OR($I222="Aprovado",$I222="Em execução",$I222="Aguardando peça"),N($X222)&gt;PrazoMax),"ATRASADA",IF(AND(OR($I222="Finalizado",$I222="Entregue"),$W222&gt;0.005),"Cobrar",IF($I222="Orçamento","Aguardando aprovação",""))))</f>
        <v>0</v>
      </c>
      <c r="Z222" s="33">
        <f>IF(AND($I222="Entregue",$M222&lt;&gt;""),DATE(YEAR($M222),MONTH($M222),1),"")</f>
        <v>0</v>
      </c>
      <c r="AA222" s="34">
        <f>IF(AND($C222&lt;&gt;"",$C222=HistPlaca),COUNTIF($C$5:$C222,HistPlaca),"")</f>
        <v>0</v>
      </c>
    </row>
    <row r="223" spans="1:27">
      <c r="A223" s="17"/>
      <c r="B223" s="25"/>
      <c r="C223" s="13"/>
      <c r="D223" s="26">
        <f>IF($C223="","",IFERROR(INDEX(VeicCli,MATCH($C223,VeicPlaca,0)),"Placa não cadastrada"))</f>
        <v>0</v>
      </c>
      <c r="E223" s="26">
        <f>IF($C223="","",IFERROR(INDEX(VeicModelo,MATCH($C223,VeicPlaca,0)),""))</f>
        <v>0</v>
      </c>
      <c r="F223" s="28"/>
      <c r="G223" s="13"/>
      <c r="H223" s="13"/>
      <c r="I223" s="13"/>
      <c r="J223" s="29"/>
      <c r="K223" s="19"/>
      <c r="L223" s="19"/>
      <c r="M223" s="25"/>
      <c r="N223" s="13"/>
      <c r="O223" s="19"/>
      <c r="P223" s="27">
        <f>IF($A223="","",N($J223)*ValorHora)</f>
        <v>0</v>
      </c>
      <c r="Q223" s="27">
        <f>IF($A223="","",SUMIFS(ItTotal,ItOS,$A223))</f>
        <v>0</v>
      </c>
      <c r="R223" s="30">
        <f>IF($A223="","",$P223+$Q223+N($K223)-N($L223))</f>
        <v>0</v>
      </c>
      <c r="S223" s="27">
        <f>IF($A223="","",SUMIFS(ItCusto,ItOS,$A223))</f>
        <v>0</v>
      </c>
      <c r="T223" s="27">
        <f>IF($A223="","",$P223*ComMec)</f>
        <v>0</v>
      </c>
      <c r="U223" s="21">
        <f>IF($A223="","",$R223-$S223-$T223-N($K223))</f>
        <v>0</v>
      </c>
      <c r="V223" s="31">
        <f>IF(OR($A223="",N($R223)&lt;=0),"",$U223/$R223)</f>
        <v>0</v>
      </c>
      <c r="W223" s="27">
        <f>IF($A223="","",IF(OR($I223="Finalizado",$I223="Entregue"),MAX(0,$R223-N($O223)),0))</f>
        <v>0</v>
      </c>
      <c r="X223" s="32">
        <f>IF(OR($A223="",$B223=""),"",IF(OR($I223="Entregue",$I223="Cancelada"),"",Hoje-$B223))</f>
        <v>0</v>
      </c>
      <c r="Y223" s="24">
        <f>IF($A223="","",IF(AND(OR($I223="Aprovado",$I223="Em execução",$I223="Aguardando peça"),N($X223)&gt;PrazoMax),"ATRASADA",IF(AND(OR($I223="Finalizado",$I223="Entregue"),$W223&gt;0.005),"Cobrar",IF($I223="Orçamento","Aguardando aprovação",""))))</f>
        <v>0</v>
      </c>
      <c r="Z223" s="33">
        <f>IF(AND($I223="Entregue",$M223&lt;&gt;""),DATE(YEAR($M223),MONTH($M223),1),"")</f>
        <v>0</v>
      </c>
      <c r="AA223" s="34">
        <f>IF(AND($C223&lt;&gt;"",$C223=HistPlaca),COUNTIF($C$5:$C223,HistPlaca),"")</f>
        <v>0</v>
      </c>
    </row>
    <row r="224" spans="1:27">
      <c r="A224" s="17"/>
      <c r="B224" s="25"/>
      <c r="C224" s="13"/>
      <c r="D224" s="26">
        <f>IF($C224="","",IFERROR(INDEX(VeicCli,MATCH($C224,VeicPlaca,0)),"Placa não cadastrada"))</f>
        <v>0</v>
      </c>
      <c r="E224" s="26">
        <f>IF($C224="","",IFERROR(INDEX(VeicModelo,MATCH($C224,VeicPlaca,0)),""))</f>
        <v>0</v>
      </c>
      <c r="F224" s="28"/>
      <c r="G224" s="13"/>
      <c r="H224" s="13"/>
      <c r="I224" s="13"/>
      <c r="J224" s="29"/>
      <c r="K224" s="19"/>
      <c r="L224" s="19"/>
      <c r="M224" s="25"/>
      <c r="N224" s="13"/>
      <c r="O224" s="19"/>
      <c r="P224" s="27">
        <f>IF($A224="","",N($J224)*ValorHora)</f>
        <v>0</v>
      </c>
      <c r="Q224" s="27">
        <f>IF($A224="","",SUMIFS(ItTotal,ItOS,$A224))</f>
        <v>0</v>
      </c>
      <c r="R224" s="30">
        <f>IF($A224="","",$P224+$Q224+N($K224)-N($L224))</f>
        <v>0</v>
      </c>
      <c r="S224" s="27">
        <f>IF($A224="","",SUMIFS(ItCusto,ItOS,$A224))</f>
        <v>0</v>
      </c>
      <c r="T224" s="27">
        <f>IF($A224="","",$P224*ComMec)</f>
        <v>0</v>
      </c>
      <c r="U224" s="21">
        <f>IF($A224="","",$R224-$S224-$T224-N($K224))</f>
        <v>0</v>
      </c>
      <c r="V224" s="31">
        <f>IF(OR($A224="",N($R224)&lt;=0),"",$U224/$R224)</f>
        <v>0</v>
      </c>
      <c r="W224" s="27">
        <f>IF($A224="","",IF(OR($I224="Finalizado",$I224="Entregue"),MAX(0,$R224-N($O224)),0))</f>
        <v>0</v>
      </c>
      <c r="X224" s="32">
        <f>IF(OR($A224="",$B224=""),"",IF(OR($I224="Entregue",$I224="Cancelada"),"",Hoje-$B224))</f>
        <v>0</v>
      </c>
      <c r="Y224" s="24">
        <f>IF($A224="","",IF(AND(OR($I224="Aprovado",$I224="Em execução",$I224="Aguardando peça"),N($X224)&gt;PrazoMax),"ATRASADA",IF(AND(OR($I224="Finalizado",$I224="Entregue"),$W224&gt;0.005),"Cobrar",IF($I224="Orçamento","Aguardando aprovação",""))))</f>
        <v>0</v>
      </c>
      <c r="Z224" s="33">
        <f>IF(AND($I224="Entregue",$M224&lt;&gt;""),DATE(YEAR($M224),MONTH($M224),1),"")</f>
        <v>0</v>
      </c>
      <c r="AA224" s="34">
        <f>IF(AND($C224&lt;&gt;"",$C224=HistPlaca),COUNTIF($C$5:$C224,HistPlaca),"")</f>
        <v>0</v>
      </c>
    </row>
    <row r="225" spans="1:27">
      <c r="A225" s="17"/>
      <c r="B225" s="25"/>
      <c r="C225" s="13"/>
      <c r="D225" s="26">
        <f>IF($C225="","",IFERROR(INDEX(VeicCli,MATCH($C225,VeicPlaca,0)),"Placa não cadastrada"))</f>
        <v>0</v>
      </c>
      <c r="E225" s="26">
        <f>IF($C225="","",IFERROR(INDEX(VeicModelo,MATCH($C225,VeicPlaca,0)),""))</f>
        <v>0</v>
      </c>
      <c r="F225" s="28"/>
      <c r="G225" s="13"/>
      <c r="H225" s="13"/>
      <c r="I225" s="13"/>
      <c r="J225" s="29"/>
      <c r="K225" s="19"/>
      <c r="L225" s="19"/>
      <c r="M225" s="25"/>
      <c r="N225" s="13"/>
      <c r="O225" s="19"/>
      <c r="P225" s="27">
        <f>IF($A225="","",N($J225)*ValorHora)</f>
        <v>0</v>
      </c>
      <c r="Q225" s="27">
        <f>IF($A225="","",SUMIFS(ItTotal,ItOS,$A225))</f>
        <v>0</v>
      </c>
      <c r="R225" s="30">
        <f>IF($A225="","",$P225+$Q225+N($K225)-N($L225))</f>
        <v>0</v>
      </c>
      <c r="S225" s="27">
        <f>IF($A225="","",SUMIFS(ItCusto,ItOS,$A225))</f>
        <v>0</v>
      </c>
      <c r="T225" s="27">
        <f>IF($A225="","",$P225*ComMec)</f>
        <v>0</v>
      </c>
      <c r="U225" s="21">
        <f>IF($A225="","",$R225-$S225-$T225-N($K225))</f>
        <v>0</v>
      </c>
      <c r="V225" s="31">
        <f>IF(OR($A225="",N($R225)&lt;=0),"",$U225/$R225)</f>
        <v>0</v>
      </c>
      <c r="W225" s="27">
        <f>IF($A225="","",IF(OR($I225="Finalizado",$I225="Entregue"),MAX(0,$R225-N($O225)),0))</f>
        <v>0</v>
      </c>
      <c r="X225" s="32">
        <f>IF(OR($A225="",$B225=""),"",IF(OR($I225="Entregue",$I225="Cancelada"),"",Hoje-$B225))</f>
        <v>0</v>
      </c>
      <c r="Y225" s="24">
        <f>IF($A225="","",IF(AND(OR($I225="Aprovado",$I225="Em execução",$I225="Aguardando peça"),N($X225)&gt;PrazoMax),"ATRASADA",IF(AND(OR($I225="Finalizado",$I225="Entregue"),$W225&gt;0.005),"Cobrar",IF($I225="Orçamento","Aguardando aprovação",""))))</f>
        <v>0</v>
      </c>
      <c r="Z225" s="33">
        <f>IF(AND($I225="Entregue",$M225&lt;&gt;""),DATE(YEAR($M225),MONTH($M225),1),"")</f>
        <v>0</v>
      </c>
      <c r="AA225" s="34">
        <f>IF(AND($C225&lt;&gt;"",$C225=HistPlaca),COUNTIF($C$5:$C225,HistPlaca),"")</f>
        <v>0</v>
      </c>
    </row>
    <row r="226" spans="1:27">
      <c r="A226" s="17"/>
      <c r="B226" s="25"/>
      <c r="C226" s="13"/>
      <c r="D226" s="26">
        <f>IF($C226="","",IFERROR(INDEX(VeicCli,MATCH($C226,VeicPlaca,0)),"Placa não cadastrada"))</f>
        <v>0</v>
      </c>
      <c r="E226" s="26">
        <f>IF($C226="","",IFERROR(INDEX(VeicModelo,MATCH($C226,VeicPlaca,0)),""))</f>
        <v>0</v>
      </c>
      <c r="F226" s="28"/>
      <c r="G226" s="13"/>
      <c r="H226" s="13"/>
      <c r="I226" s="13"/>
      <c r="J226" s="29"/>
      <c r="K226" s="19"/>
      <c r="L226" s="19"/>
      <c r="M226" s="25"/>
      <c r="N226" s="13"/>
      <c r="O226" s="19"/>
      <c r="P226" s="27">
        <f>IF($A226="","",N($J226)*ValorHora)</f>
        <v>0</v>
      </c>
      <c r="Q226" s="27">
        <f>IF($A226="","",SUMIFS(ItTotal,ItOS,$A226))</f>
        <v>0</v>
      </c>
      <c r="R226" s="30">
        <f>IF($A226="","",$P226+$Q226+N($K226)-N($L226))</f>
        <v>0</v>
      </c>
      <c r="S226" s="27">
        <f>IF($A226="","",SUMIFS(ItCusto,ItOS,$A226))</f>
        <v>0</v>
      </c>
      <c r="T226" s="27">
        <f>IF($A226="","",$P226*ComMec)</f>
        <v>0</v>
      </c>
      <c r="U226" s="21">
        <f>IF($A226="","",$R226-$S226-$T226-N($K226))</f>
        <v>0</v>
      </c>
      <c r="V226" s="31">
        <f>IF(OR($A226="",N($R226)&lt;=0),"",$U226/$R226)</f>
        <v>0</v>
      </c>
      <c r="W226" s="27">
        <f>IF($A226="","",IF(OR($I226="Finalizado",$I226="Entregue"),MAX(0,$R226-N($O226)),0))</f>
        <v>0</v>
      </c>
      <c r="X226" s="32">
        <f>IF(OR($A226="",$B226=""),"",IF(OR($I226="Entregue",$I226="Cancelada"),"",Hoje-$B226))</f>
        <v>0</v>
      </c>
      <c r="Y226" s="24">
        <f>IF($A226="","",IF(AND(OR($I226="Aprovado",$I226="Em execução",$I226="Aguardando peça"),N($X226)&gt;PrazoMax),"ATRASADA",IF(AND(OR($I226="Finalizado",$I226="Entregue"),$W226&gt;0.005),"Cobrar",IF($I226="Orçamento","Aguardando aprovação",""))))</f>
        <v>0</v>
      </c>
      <c r="Z226" s="33">
        <f>IF(AND($I226="Entregue",$M226&lt;&gt;""),DATE(YEAR($M226),MONTH($M226),1),"")</f>
        <v>0</v>
      </c>
      <c r="AA226" s="34">
        <f>IF(AND($C226&lt;&gt;"",$C226=HistPlaca),COUNTIF($C$5:$C226,HistPlaca),"")</f>
        <v>0</v>
      </c>
    </row>
    <row r="227" spans="1:27">
      <c r="A227" s="17"/>
      <c r="B227" s="25"/>
      <c r="C227" s="13"/>
      <c r="D227" s="26">
        <f>IF($C227="","",IFERROR(INDEX(VeicCli,MATCH($C227,VeicPlaca,0)),"Placa não cadastrada"))</f>
        <v>0</v>
      </c>
      <c r="E227" s="26">
        <f>IF($C227="","",IFERROR(INDEX(VeicModelo,MATCH($C227,VeicPlaca,0)),""))</f>
        <v>0</v>
      </c>
      <c r="F227" s="28"/>
      <c r="G227" s="13"/>
      <c r="H227" s="13"/>
      <c r="I227" s="13"/>
      <c r="J227" s="29"/>
      <c r="K227" s="19"/>
      <c r="L227" s="19"/>
      <c r="M227" s="25"/>
      <c r="N227" s="13"/>
      <c r="O227" s="19"/>
      <c r="P227" s="27">
        <f>IF($A227="","",N($J227)*ValorHora)</f>
        <v>0</v>
      </c>
      <c r="Q227" s="27">
        <f>IF($A227="","",SUMIFS(ItTotal,ItOS,$A227))</f>
        <v>0</v>
      </c>
      <c r="R227" s="30">
        <f>IF($A227="","",$P227+$Q227+N($K227)-N($L227))</f>
        <v>0</v>
      </c>
      <c r="S227" s="27">
        <f>IF($A227="","",SUMIFS(ItCusto,ItOS,$A227))</f>
        <v>0</v>
      </c>
      <c r="T227" s="27">
        <f>IF($A227="","",$P227*ComMec)</f>
        <v>0</v>
      </c>
      <c r="U227" s="21">
        <f>IF($A227="","",$R227-$S227-$T227-N($K227))</f>
        <v>0</v>
      </c>
      <c r="V227" s="31">
        <f>IF(OR($A227="",N($R227)&lt;=0),"",$U227/$R227)</f>
        <v>0</v>
      </c>
      <c r="W227" s="27">
        <f>IF($A227="","",IF(OR($I227="Finalizado",$I227="Entregue"),MAX(0,$R227-N($O227)),0))</f>
        <v>0</v>
      </c>
      <c r="X227" s="32">
        <f>IF(OR($A227="",$B227=""),"",IF(OR($I227="Entregue",$I227="Cancelada"),"",Hoje-$B227))</f>
        <v>0</v>
      </c>
      <c r="Y227" s="24">
        <f>IF($A227="","",IF(AND(OR($I227="Aprovado",$I227="Em execução",$I227="Aguardando peça"),N($X227)&gt;PrazoMax),"ATRASADA",IF(AND(OR($I227="Finalizado",$I227="Entregue"),$W227&gt;0.005),"Cobrar",IF($I227="Orçamento","Aguardando aprovação",""))))</f>
        <v>0</v>
      </c>
      <c r="Z227" s="33">
        <f>IF(AND($I227="Entregue",$M227&lt;&gt;""),DATE(YEAR($M227),MONTH($M227),1),"")</f>
        <v>0</v>
      </c>
      <c r="AA227" s="34">
        <f>IF(AND($C227&lt;&gt;"",$C227=HistPlaca),COUNTIF($C$5:$C227,HistPlaca),"")</f>
        <v>0</v>
      </c>
    </row>
    <row r="228" spans="1:27">
      <c r="A228" s="17"/>
      <c r="B228" s="25"/>
      <c r="C228" s="13"/>
      <c r="D228" s="26">
        <f>IF($C228="","",IFERROR(INDEX(VeicCli,MATCH($C228,VeicPlaca,0)),"Placa não cadastrada"))</f>
        <v>0</v>
      </c>
      <c r="E228" s="26">
        <f>IF($C228="","",IFERROR(INDEX(VeicModelo,MATCH($C228,VeicPlaca,0)),""))</f>
        <v>0</v>
      </c>
      <c r="F228" s="28"/>
      <c r="G228" s="13"/>
      <c r="H228" s="13"/>
      <c r="I228" s="13"/>
      <c r="J228" s="29"/>
      <c r="K228" s="19"/>
      <c r="L228" s="19"/>
      <c r="M228" s="25"/>
      <c r="N228" s="13"/>
      <c r="O228" s="19"/>
      <c r="P228" s="27">
        <f>IF($A228="","",N($J228)*ValorHora)</f>
        <v>0</v>
      </c>
      <c r="Q228" s="27">
        <f>IF($A228="","",SUMIFS(ItTotal,ItOS,$A228))</f>
        <v>0</v>
      </c>
      <c r="R228" s="30">
        <f>IF($A228="","",$P228+$Q228+N($K228)-N($L228))</f>
        <v>0</v>
      </c>
      <c r="S228" s="27">
        <f>IF($A228="","",SUMIFS(ItCusto,ItOS,$A228))</f>
        <v>0</v>
      </c>
      <c r="T228" s="27">
        <f>IF($A228="","",$P228*ComMec)</f>
        <v>0</v>
      </c>
      <c r="U228" s="21">
        <f>IF($A228="","",$R228-$S228-$T228-N($K228))</f>
        <v>0</v>
      </c>
      <c r="V228" s="31">
        <f>IF(OR($A228="",N($R228)&lt;=0),"",$U228/$R228)</f>
        <v>0</v>
      </c>
      <c r="W228" s="27">
        <f>IF($A228="","",IF(OR($I228="Finalizado",$I228="Entregue"),MAX(0,$R228-N($O228)),0))</f>
        <v>0</v>
      </c>
      <c r="X228" s="32">
        <f>IF(OR($A228="",$B228=""),"",IF(OR($I228="Entregue",$I228="Cancelada"),"",Hoje-$B228))</f>
        <v>0</v>
      </c>
      <c r="Y228" s="24">
        <f>IF($A228="","",IF(AND(OR($I228="Aprovado",$I228="Em execução",$I228="Aguardando peça"),N($X228)&gt;PrazoMax),"ATRASADA",IF(AND(OR($I228="Finalizado",$I228="Entregue"),$W228&gt;0.005),"Cobrar",IF($I228="Orçamento","Aguardando aprovação",""))))</f>
        <v>0</v>
      </c>
      <c r="Z228" s="33">
        <f>IF(AND($I228="Entregue",$M228&lt;&gt;""),DATE(YEAR($M228),MONTH($M228),1),"")</f>
        <v>0</v>
      </c>
      <c r="AA228" s="34">
        <f>IF(AND($C228&lt;&gt;"",$C228=HistPlaca),COUNTIF($C$5:$C228,HistPlaca),"")</f>
        <v>0</v>
      </c>
    </row>
    <row r="229" spans="1:27">
      <c r="A229" s="17"/>
      <c r="B229" s="25"/>
      <c r="C229" s="13"/>
      <c r="D229" s="26">
        <f>IF($C229="","",IFERROR(INDEX(VeicCli,MATCH($C229,VeicPlaca,0)),"Placa não cadastrada"))</f>
        <v>0</v>
      </c>
      <c r="E229" s="26">
        <f>IF($C229="","",IFERROR(INDEX(VeicModelo,MATCH($C229,VeicPlaca,0)),""))</f>
        <v>0</v>
      </c>
      <c r="F229" s="28"/>
      <c r="G229" s="13"/>
      <c r="H229" s="13"/>
      <c r="I229" s="13"/>
      <c r="J229" s="29"/>
      <c r="K229" s="19"/>
      <c r="L229" s="19"/>
      <c r="M229" s="25"/>
      <c r="N229" s="13"/>
      <c r="O229" s="19"/>
      <c r="P229" s="27">
        <f>IF($A229="","",N($J229)*ValorHora)</f>
        <v>0</v>
      </c>
      <c r="Q229" s="27">
        <f>IF($A229="","",SUMIFS(ItTotal,ItOS,$A229))</f>
        <v>0</v>
      </c>
      <c r="R229" s="30">
        <f>IF($A229="","",$P229+$Q229+N($K229)-N($L229))</f>
        <v>0</v>
      </c>
      <c r="S229" s="27">
        <f>IF($A229="","",SUMIFS(ItCusto,ItOS,$A229))</f>
        <v>0</v>
      </c>
      <c r="T229" s="27">
        <f>IF($A229="","",$P229*ComMec)</f>
        <v>0</v>
      </c>
      <c r="U229" s="21">
        <f>IF($A229="","",$R229-$S229-$T229-N($K229))</f>
        <v>0</v>
      </c>
      <c r="V229" s="31">
        <f>IF(OR($A229="",N($R229)&lt;=0),"",$U229/$R229)</f>
        <v>0</v>
      </c>
      <c r="W229" s="27">
        <f>IF($A229="","",IF(OR($I229="Finalizado",$I229="Entregue"),MAX(0,$R229-N($O229)),0))</f>
        <v>0</v>
      </c>
      <c r="X229" s="32">
        <f>IF(OR($A229="",$B229=""),"",IF(OR($I229="Entregue",$I229="Cancelada"),"",Hoje-$B229))</f>
        <v>0</v>
      </c>
      <c r="Y229" s="24">
        <f>IF($A229="","",IF(AND(OR($I229="Aprovado",$I229="Em execução",$I229="Aguardando peça"),N($X229)&gt;PrazoMax),"ATRASADA",IF(AND(OR($I229="Finalizado",$I229="Entregue"),$W229&gt;0.005),"Cobrar",IF($I229="Orçamento","Aguardando aprovação",""))))</f>
        <v>0</v>
      </c>
      <c r="Z229" s="33">
        <f>IF(AND($I229="Entregue",$M229&lt;&gt;""),DATE(YEAR($M229),MONTH($M229),1),"")</f>
        <v>0</v>
      </c>
      <c r="AA229" s="34">
        <f>IF(AND($C229&lt;&gt;"",$C229=HistPlaca),COUNTIF($C$5:$C229,HistPlaca),"")</f>
        <v>0</v>
      </c>
    </row>
    <row r="230" spans="1:27">
      <c r="A230" s="17"/>
      <c r="B230" s="25"/>
      <c r="C230" s="13"/>
      <c r="D230" s="26">
        <f>IF($C230="","",IFERROR(INDEX(VeicCli,MATCH($C230,VeicPlaca,0)),"Placa não cadastrada"))</f>
        <v>0</v>
      </c>
      <c r="E230" s="26">
        <f>IF($C230="","",IFERROR(INDEX(VeicModelo,MATCH($C230,VeicPlaca,0)),""))</f>
        <v>0</v>
      </c>
      <c r="F230" s="28"/>
      <c r="G230" s="13"/>
      <c r="H230" s="13"/>
      <c r="I230" s="13"/>
      <c r="J230" s="29"/>
      <c r="K230" s="19"/>
      <c r="L230" s="19"/>
      <c r="M230" s="25"/>
      <c r="N230" s="13"/>
      <c r="O230" s="19"/>
      <c r="P230" s="27">
        <f>IF($A230="","",N($J230)*ValorHora)</f>
        <v>0</v>
      </c>
      <c r="Q230" s="27">
        <f>IF($A230="","",SUMIFS(ItTotal,ItOS,$A230))</f>
        <v>0</v>
      </c>
      <c r="R230" s="30">
        <f>IF($A230="","",$P230+$Q230+N($K230)-N($L230))</f>
        <v>0</v>
      </c>
      <c r="S230" s="27">
        <f>IF($A230="","",SUMIFS(ItCusto,ItOS,$A230))</f>
        <v>0</v>
      </c>
      <c r="T230" s="27">
        <f>IF($A230="","",$P230*ComMec)</f>
        <v>0</v>
      </c>
      <c r="U230" s="21">
        <f>IF($A230="","",$R230-$S230-$T230-N($K230))</f>
        <v>0</v>
      </c>
      <c r="V230" s="31">
        <f>IF(OR($A230="",N($R230)&lt;=0),"",$U230/$R230)</f>
        <v>0</v>
      </c>
      <c r="W230" s="27">
        <f>IF($A230="","",IF(OR($I230="Finalizado",$I230="Entregue"),MAX(0,$R230-N($O230)),0))</f>
        <v>0</v>
      </c>
      <c r="X230" s="32">
        <f>IF(OR($A230="",$B230=""),"",IF(OR($I230="Entregue",$I230="Cancelada"),"",Hoje-$B230))</f>
        <v>0</v>
      </c>
      <c r="Y230" s="24">
        <f>IF($A230="","",IF(AND(OR($I230="Aprovado",$I230="Em execução",$I230="Aguardando peça"),N($X230)&gt;PrazoMax),"ATRASADA",IF(AND(OR($I230="Finalizado",$I230="Entregue"),$W230&gt;0.005),"Cobrar",IF($I230="Orçamento","Aguardando aprovação",""))))</f>
        <v>0</v>
      </c>
      <c r="Z230" s="33">
        <f>IF(AND($I230="Entregue",$M230&lt;&gt;""),DATE(YEAR($M230),MONTH($M230),1),"")</f>
        <v>0</v>
      </c>
      <c r="AA230" s="34">
        <f>IF(AND($C230&lt;&gt;"",$C230=HistPlaca),COUNTIF($C$5:$C230,HistPlaca),"")</f>
        <v>0</v>
      </c>
    </row>
    <row r="231" spans="1:27">
      <c r="A231" s="17"/>
      <c r="B231" s="25"/>
      <c r="C231" s="13"/>
      <c r="D231" s="26">
        <f>IF($C231="","",IFERROR(INDEX(VeicCli,MATCH($C231,VeicPlaca,0)),"Placa não cadastrada"))</f>
        <v>0</v>
      </c>
      <c r="E231" s="26">
        <f>IF($C231="","",IFERROR(INDEX(VeicModelo,MATCH($C231,VeicPlaca,0)),""))</f>
        <v>0</v>
      </c>
      <c r="F231" s="28"/>
      <c r="G231" s="13"/>
      <c r="H231" s="13"/>
      <c r="I231" s="13"/>
      <c r="J231" s="29"/>
      <c r="K231" s="19"/>
      <c r="L231" s="19"/>
      <c r="M231" s="25"/>
      <c r="N231" s="13"/>
      <c r="O231" s="19"/>
      <c r="P231" s="27">
        <f>IF($A231="","",N($J231)*ValorHora)</f>
        <v>0</v>
      </c>
      <c r="Q231" s="27">
        <f>IF($A231="","",SUMIFS(ItTotal,ItOS,$A231))</f>
        <v>0</v>
      </c>
      <c r="R231" s="30">
        <f>IF($A231="","",$P231+$Q231+N($K231)-N($L231))</f>
        <v>0</v>
      </c>
      <c r="S231" s="27">
        <f>IF($A231="","",SUMIFS(ItCusto,ItOS,$A231))</f>
        <v>0</v>
      </c>
      <c r="T231" s="27">
        <f>IF($A231="","",$P231*ComMec)</f>
        <v>0</v>
      </c>
      <c r="U231" s="21">
        <f>IF($A231="","",$R231-$S231-$T231-N($K231))</f>
        <v>0</v>
      </c>
      <c r="V231" s="31">
        <f>IF(OR($A231="",N($R231)&lt;=0),"",$U231/$R231)</f>
        <v>0</v>
      </c>
      <c r="W231" s="27">
        <f>IF($A231="","",IF(OR($I231="Finalizado",$I231="Entregue"),MAX(0,$R231-N($O231)),0))</f>
        <v>0</v>
      </c>
      <c r="X231" s="32">
        <f>IF(OR($A231="",$B231=""),"",IF(OR($I231="Entregue",$I231="Cancelada"),"",Hoje-$B231))</f>
        <v>0</v>
      </c>
      <c r="Y231" s="24">
        <f>IF($A231="","",IF(AND(OR($I231="Aprovado",$I231="Em execução",$I231="Aguardando peça"),N($X231)&gt;PrazoMax),"ATRASADA",IF(AND(OR($I231="Finalizado",$I231="Entregue"),$W231&gt;0.005),"Cobrar",IF($I231="Orçamento","Aguardando aprovação",""))))</f>
        <v>0</v>
      </c>
      <c r="Z231" s="33">
        <f>IF(AND($I231="Entregue",$M231&lt;&gt;""),DATE(YEAR($M231),MONTH($M231),1),"")</f>
        <v>0</v>
      </c>
      <c r="AA231" s="34">
        <f>IF(AND($C231&lt;&gt;"",$C231=HistPlaca),COUNTIF($C$5:$C231,HistPlaca),"")</f>
        <v>0</v>
      </c>
    </row>
    <row r="232" spans="1:27">
      <c r="A232" s="17"/>
      <c r="B232" s="25"/>
      <c r="C232" s="13"/>
      <c r="D232" s="26">
        <f>IF($C232="","",IFERROR(INDEX(VeicCli,MATCH($C232,VeicPlaca,0)),"Placa não cadastrada"))</f>
        <v>0</v>
      </c>
      <c r="E232" s="26">
        <f>IF($C232="","",IFERROR(INDEX(VeicModelo,MATCH($C232,VeicPlaca,0)),""))</f>
        <v>0</v>
      </c>
      <c r="F232" s="28"/>
      <c r="G232" s="13"/>
      <c r="H232" s="13"/>
      <c r="I232" s="13"/>
      <c r="J232" s="29"/>
      <c r="K232" s="19"/>
      <c r="L232" s="19"/>
      <c r="M232" s="25"/>
      <c r="N232" s="13"/>
      <c r="O232" s="19"/>
      <c r="P232" s="27">
        <f>IF($A232="","",N($J232)*ValorHora)</f>
        <v>0</v>
      </c>
      <c r="Q232" s="27">
        <f>IF($A232="","",SUMIFS(ItTotal,ItOS,$A232))</f>
        <v>0</v>
      </c>
      <c r="R232" s="30">
        <f>IF($A232="","",$P232+$Q232+N($K232)-N($L232))</f>
        <v>0</v>
      </c>
      <c r="S232" s="27">
        <f>IF($A232="","",SUMIFS(ItCusto,ItOS,$A232))</f>
        <v>0</v>
      </c>
      <c r="T232" s="27">
        <f>IF($A232="","",$P232*ComMec)</f>
        <v>0</v>
      </c>
      <c r="U232" s="21">
        <f>IF($A232="","",$R232-$S232-$T232-N($K232))</f>
        <v>0</v>
      </c>
      <c r="V232" s="31">
        <f>IF(OR($A232="",N($R232)&lt;=0),"",$U232/$R232)</f>
        <v>0</v>
      </c>
      <c r="W232" s="27">
        <f>IF($A232="","",IF(OR($I232="Finalizado",$I232="Entregue"),MAX(0,$R232-N($O232)),0))</f>
        <v>0</v>
      </c>
      <c r="X232" s="32">
        <f>IF(OR($A232="",$B232=""),"",IF(OR($I232="Entregue",$I232="Cancelada"),"",Hoje-$B232))</f>
        <v>0</v>
      </c>
      <c r="Y232" s="24">
        <f>IF($A232="","",IF(AND(OR($I232="Aprovado",$I232="Em execução",$I232="Aguardando peça"),N($X232)&gt;PrazoMax),"ATRASADA",IF(AND(OR($I232="Finalizado",$I232="Entregue"),$W232&gt;0.005),"Cobrar",IF($I232="Orçamento","Aguardando aprovação",""))))</f>
        <v>0</v>
      </c>
      <c r="Z232" s="33">
        <f>IF(AND($I232="Entregue",$M232&lt;&gt;""),DATE(YEAR($M232),MONTH($M232),1),"")</f>
        <v>0</v>
      </c>
      <c r="AA232" s="34">
        <f>IF(AND($C232&lt;&gt;"",$C232=HistPlaca),COUNTIF($C$5:$C232,HistPlaca),"")</f>
        <v>0</v>
      </c>
    </row>
    <row r="233" spans="1:27">
      <c r="A233" s="17"/>
      <c r="B233" s="25"/>
      <c r="C233" s="13"/>
      <c r="D233" s="26">
        <f>IF($C233="","",IFERROR(INDEX(VeicCli,MATCH($C233,VeicPlaca,0)),"Placa não cadastrada"))</f>
        <v>0</v>
      </c>
      <c r="E233" s="26">
        <f>IF($C233="","",IFERROR(INDEX(VeicModelo,MATCH($C233,VeicPlaca,0)),""))</f>
        <v>0</v>
      </c>
      <c r="F233" s="28"/>
      <c r="G233" s="13"/>
      <c r="H233" s="13"/>
      <c r="I233" s="13"/>
      <c r="J233" s="29"/>
      <c r="K233" s="19"/>
      <c r="L233" s="19"/>
      <c r="M233" s="25"/>
      <c r="N233" s="13"/>
      <c r="O233" s="19"/>
      <c r="P233" s="27">
        <f>IF($A233="","",N($J233)*ValorHora)</f>
        <v>0</v>
      </c>
      <c r="Q233" s="27">
        <f>IF($A233="","",SUMIFS(ItTotal,ItOS,$A233))</f>
        <v>0</v>
      </c>
      <c r="R233" s="30">
        <f>IF($A233="","",$P233+$Q233+N($K233)-N($L233))</f>
        <v>0</v>
      </c>
      <c r="S233" s="27">
        <f>IF($A233="","",SUMIFS(ItCusto,ItOS,$A233))</f>
        <v>0</v>
      </c>
      <c r="T233" s="27">
        <f>IF($A233="","",$P233*ComMec)</f>
        <v>0</v>
      </c>
      <c r="U233" s="21">
        <f>IF($A233="","",$R233-$S233-$T233-N($K233))</f>
        <v>0</v>
      </c>
      <c r="V233" s="31">
        <f>IF(OR($A233="",N($R233)&lt;=0),"",$U233/$R233)</f>
        <v>0</v>
      </c>
      <c r="W233" s="27">
        <f>IF($A233="","",IF(OR($I233="Finalizado",$I233="Entregue"),MAX(0,$R233-N($O233)),0))</f>
        <v>0</v>
      </c>
      <c r="X233" s="32">
        <f>IF(OR($A233="",$B233=""),"",IF(OR($I233="Entregue",$I233="Cancelada"),"",Hoje-$B233))</f>
        <v>0</v>
      </c>
      <c r="Y233" s="24">
        <f>IF($A233="","",IF(AND(OR($I233="Aprovado",$I233="Em execução",$I233="Aguardando peça"),N($X233)&gt;PrazoMax),"ATRASADA",IF(AND(OR($I233="Finalizado",$I233="Entregue"),$W233&gt;0.005),"Cobrar",IF($I233="Orçamento","Aguardando aprovação",""))))</f>
        <v>0</v>
      </c>
      <c r="Z233" s="33">
        <f>IF(AND($I233="Entregue",$M233&lt;&gt;""),DATE(YEAR($M233),MONTH($M233),1),"")</f>
        <v>0</v>
      </c>
      <c r="AA233" s="34">
        <f>IF(AND($C233&lt;&gt;"",$C233=HistPlaca),COUNTIF($C$5:$C233,HistPlaca),"")</f>
        <v>0</v>
      </c>
    </row>
    <row r="234" spans="1:27">
      <c r="A234" s="17"/>
      <c r="B234" s="25"/>
      <c r="C234" s="13"/>
      <c r="D234" s="26">
        <f>IF($C234="","",IFERROR(INDEX(VeicCli,MATCH($C234,VeicPlaca,0)),"Placa não cadastrada"))</f>
        <v>0</v>
      </c>
      <c r="E234" s="26">
        <f>IF($C234="","",IFERROR(INDEX(VeicModelo,MATCH($C234,VeicPlaca,0)),""))</f>
        <v>0</v>
      </c>
      <c r="F234" s="28"/>
      <c r="G234" s="13"/>
      <c r="H234" s="13"/>
      <c r="I234" s="13"/>
      <c r="J234" s="29"/>
      <c r="K234" s="19"/>
      <c r="L234" s="19"/>
      <c r="M234" s="25"/>
      <c r="N234" s="13"/>
      <c r="O234" s="19"/>
      <c r="P234" s="27">
        <f>IF($A234="","",N($J234)*ValorHora)</f>
        <v>0</v>
      </c>
      <c r="Q234" s="27">
        <f>IF($A234="","",SUMIFS(ItTotal,ItOS,$A234))</f>
        <v>0</v>
      </c>
      <c r="R234" s="30">
        <f>IF($A234="","",$P234+$Q234+N($K234)-N($L234))</f>
        <v>0</v>
      </c>
      <c r="S234" s="27">
        <f>IF($A234="","",SUMIFS(ItCusto,ItOS,$A234))</f>
        <v>0</v>
      </c>
      <c r="T234" s="27">
        <f>IF($A234="","",$P234*ComMec)</f>
        <v>0</v>
      </c>
      <c r="U234" s="21">
        <f>IF($A234="","",$R234-$S234-$T234-N($K234))</f>
        <v>0</v>
      </c>
      <c r="V234" s="31">
        <f>IF(OR($A234="",N($R234)&lt;=0),"",$U234/$R234)</f>
        <v>0</v>
      </c>
      <c r="W234" s="27">
        <f>IF($A234="","",IF(OR($I234="Finalizado",$I234="Entregue"),MAX(0,$R234-N($O234)),0))</f>
        <v>0</v>
      </c>
      <c r="X234" s="32">
        <f>IF(OR($A234="",$B234=""),"",IF(OR($I234="Entregue",$I234="Cancelada"),"",Hoje-$B234))</f>
        <v>0</v>
      </c>
      <c r="Y234" s="24">
        <f>IF($A234="","",IF(AND(OR($I234="Aprovado",$I234="Em execução",$I234="Aguardando peça"),N($X234)&gt;PrazoMax),"ATRASADA",IF(AND(OR($I234="Finalizado",$I234="Entregue"),$W234&gt;0.005),"Cobrar",IF($I234="Orçamento","Aguardando aprovação",""))))</f>
        <v>0</v>
      </c>
      <c r="Z234" s="33">
        <f>IF(AND($I234="Entregue",$M234&lt;&gt;""),DATE(YEAR($M234),MONTH($M234),1),"")</f>
        <v>0</v>
      </c>
      <c r="AA234" s="34">
        <f>IF(AND($C234&lt;&gt;"",$C234=HistPlaca),COUNTIF($C$5:$C234,HistPlaca),"")</f>
        <v>0</v>
      </c>
    </row>
    <row r="235" spans="1:27">
      <c r="A235" s="17"/>
      <c r="B235" s="25"/>
      <c r="C235" s="13"/>
      <c r="D235" s="26">
        <f>IF($C235="","",IFERROR(INDEX(VeicCli,MATCH($C235,VeicPlaca,0)),"Placa não cadastrada"))</f>
        <v>0</v>
      </c>
      <c r="E235" s="26">
        <f>IF($C235="","",IFERROR(INDEX(VeicModelo,MATCH($C235,VeicPlaca,0)),""))</f>
        <v>0</v>
      </c>
      <c r="F235" s="28"/>
      <c r="G235" s="13"/>
      <c r="H235" s="13"/>
      <c r="I235" s="13"/>
      <c r="J235" s="29"/>
      <c r="K235" s="19"/>
      <c r="L235" s="19"/>
      <c r="M235" s="25"/>
      <c r="N235" s="13"/>
      <c r="O235" s="19"/>
      <c r="P235" s="27">
        <f>IF($A235="","",N($J235)*ValorHora)</f>
        <v>0</v>
      </c>
      <c r="Q235" s="27">
        <f>IF($A235="","",SUMIFS(ItTotal,ItOS,$A235))</f>
        <v>0</v>
      </c>
      <c r="R235" s="30">
        <f>IF($A235="","",$P235+$Q235+N($K235)-N($L235))</f>
        <v>0</v>
      </c>
      <c r="S235" s="27">
        <f>IF($A235="","",SUMIFS(ItCusto,ItOS,$A235))</f>
        <v>0</v>
      </c>
      <c r="T235" s="27">
        <f>IF($A235="","",$P235*ComMec)</f>
        <v>0</v>
      </c>
      <c r="U235" s="21">
        <f>IF($A235="","",$R235-$S235-$T235-N($K235))</f>
        <v>0</v>
      </c>
      <c r="V235" s="31">
        <f>IF(OR($A235="",N($R235)&lt;=0),"",$U235/$R235)</f>
        <v>0</v>
      </c>
      <c r="W235" s="27">
        <f>IF($A235="","",IF(OR($I235="Finalizado",$I235="Entregue"),MAX(0,$R235-N($O235)),0))</f>
        <v>0</v>
      </c>
      <c r="X235" s="32">
        <f>IF(OR($A235="",$B235=""),"",IF(OR($I235="Entregue",$I235="Cancelada"),"",Hoje-$B235))</f>
        <v>0</v>
      </c>
      <c r="Y235" s="24">
        <f>IF($A235="","",IF(AND(OR($I235="Aprovado",$I235="Em execução",$I235="Aguardando peça"),N($X235)&gt;PrazoMax),"ATRASADA",IF(AND(OR($I235="Finalizado",$I235="Entregue"),$W235&gt;0.005),"Cobrar",IF($I235="Orçamento","Aguardando aprovação",""))))</f>
        <v>0</v>
      </c>
      <c r="Z235" s="33">
        <f>IF(AND($I235="Entregue",$M235&lt;&gt;""),DATE(YEAR($M235),MONTH($M235),1),"")</f>
        <v>0</v>
      </c>
      <c r="AA235" s="34">
        <f>IF(AND($C235&lt;&gt;"",$C235=HistPlaca),COUNTIF($C$5:$C235,HistPlaca),"")</f>
        <v>0</v>
      </c>
    </row>
    <row r="236" spans="1:27">
      <c r="A236" s="17"/>
      <c r="B236" s="25"/>
      <c r="C236" s="13"/>
      <c r="D236" s="26">
        <f>IF($C236="","",IFERROR(INDEX(VeicCli,MATCH($C236,VeicPlaca,0)),"Placa não cadastrada"))</f>
        <v>0</v>
      </c>
      <c r="E236" s="26">
        <f>IF($C236="","",IFERROR(INDEX(VeicModelo,MATCH($C236,VeicPlaca,0)),""))</f>
        <v>0</v>
      </c>
      <c r="F236" s="28"/>
      <c r="G236" s="13"/>
      <c r="H236" s="13"/>
      <c r="I236" s="13"/>
      <c r="J236" s="29"/>
      <c r="K236" s="19"/>
      <c r="L236" s="19"/>
      <c r="M236" s="25"/>
      <c r="N236" s="13"/>
      <c r="O236" s="19"/>
      <c r="P236" s="27">
        <f>IF($A236="","",N($J236)*ValorHora)</f>
        <v>0</v>
      </c>
      <c r="Q236" s="27">
        <f>IF($A236="","",SUMIFS(ItTotal,ItOS,$A236))</f>
        <v>0</v>
      </c>
      <c r="R236" s="30">
        <f>IF($A236="","",$P236+$Q236+N($K236)-N($L236))</f>
        <v>0</v>
      </c>
      <c r="S236" s="27">
        <f>IF($A236="","",SUMIFS(ItCusto,ItOS,$A236))</f>
        <v>0</v>
      </c>
      <c r="T236" s="27">
        <f>IF($A236="","",$P236*ComMec)</f>
        <v>0</v>
      </c>
      <c r="U236" s="21">
        <f>IF($A236="","",$R236-$S236-$T236-N($K236))</f>
        <v>0</v>
      </c>
      <c r="V236" s="31">
        <f>IF(OR($A236="",N($R236)&lt;=0),"",$U236/$R236)</f>
        <v>0</v>
      </c>
      <c r="W236" s="27">
        <f>IF($A236="","",IF(OR($I236="Finalizado",$I236="Entregue"),MAX(0,$R236-N($O236)),0))</f>
        <v>0</v>
      </c>
      <c r="X236" s="32">
        <f>IF(OR($A236="",$B236=""),"",IF(OR($I236="Entregue",$I236="Cancelada"),"",Hoje-$B236))</f>
        <v>0</v>
      </c>
      <c r="Y236" s="24">
        <f>IF($A236="","",IF(AND(OR($I236="Aprovado",$I236="Em execução",$I236="Aguardando peça"),N($X236)&gt;PrazoMax),"ATRASADA",IF(AND(OR($I236="Finalizado",$I236="Entregue"),$W236&gt;0.005),"Cobrar",IF($I236="Orçamento","Aguardando aprovação",""))))</f>
        <v>0</v>
      </c>
      <c r="Z236" s="33">
        <f>IF(AND($I236="Entregue",$M236&lt;&gt;""),DATE(YEAR($M236),MONTH($M236),1),"")</f>
        <v>0</v>
      </c>
      <c r="AA236" s="34">
        <f>IF(AND($C236&lt;&gt;"",$C236=HistPlaca),COUNTIF($C$5:$C236,HistPlaca),"")</f>
        <v>0</v>
      </c>
    </row>
    <row r="237" spans="1:27">
      <c r="A237" s="17"/>
      <c r="B237" s="25"/>
      <c r="C237" s="13"/>
      <c r="D237" s="26">
        <f>IF($C237="","",IFERROR(INDEX(VeicCli,MATCH($C237,VeicPlaca,0)),"Placa não cadastrada"))</f>
        <v>0</v>
      </c>
      <c r="E237" s="26">
        <f>IF($C237="","",IFERROR(INDEX(VeicModelo,MATCH($C237,VeicPlaca,0)),""))</f>
        <v>0</v>
      </c>
      <c r="F237" s="28"/>
      <c r="G237" s="13"/>
      <c r="H237" s="13"/>
      <c r="I237" s="13"/>
      <c r="J237" s="29"/>
      <c r="K237" s="19"/>
      <c r="L237" s="19"/>
      <c r="M237" s="25"/>
      <c r="N237" s="13"/>
      <c r="O237" s="19"/>
      <c r="P237" s="27">
        <f>IF($A237="","",N($J237)*ValorHora)</f>
        <v>0</v>
      </c>
      <c r="Q237" s="27">
        <f>IF($A237="","",SUMIFS(ItTotal,ItOS,$A237))</f>
        <v>0</v>
      </c>
      <c r="R237" s="30">
        <f>IF($A237="","",$P237+$Q237+N($K237)-N($L237))</f>
        <v>0</v>
      </c>
      <c r="S237" s="27">
        <f>IF($A237="","",SUMIFS(ItCusto,ItOS,$A237))</f>
        <v>0</v>
      </c>
      <c r="T237" s="27">
        <f>IF($A237="","",$P237*ComMec)</f>
        <v>0</v>
      </c>
      <c r="U237" s="21">
        <f>IF($A237="","",$R237-$S237-$T237-N($K237))</f>
        <v>0</v>
      </c>
      <c r="V237" s="31">
        <f>IF(OR($A237="",N($R237)&lt;=0),"",$U237/$R237)</f>
        <v>0</v>
      </c>
      <c r="W237" s="27">
        <f>IF($A237="","",IF(OR($I237="Finalizado",$I237="Entregue"),MAX(0,$R237-N($O237)),0))</f>
        <v>0</v>
      </c>
      <c r="X237" s="32">
        <f>IF(OR($A237="",$B237=""),"",IF(OR($I237="Entregue",$I237="Cancelada"),"",Hoje-$B237))</f>
        <v>0</v>
      </c>
      <c r="Y237" s="24">
        <f>IF($A237="","",IF(AND(OR($I237="Aprovado",$I237="Em execução",$I237="Aguardando peça"),N($X237)&gt;PrazoMax),"ATRASADA",IF(AND(OR($I237="Finalizado",$I237="Entregue"),$W237&gt;0.005),"Cobrar",IF($I237="Orçamento","Aguardando aprovação",""))))</f>
        <v>0</v>
      </c>
      <c r="Z237" s="33">
        <f>IF(AND($I237="Entregue",$M237&lt;&gt;""),DATE(YEAR($M237),MONTH($M237),1),"")</f>
        <v>0</v>
      </c>
      <c r="AA237" s="34">
        <f>IF(AND($C237&lt;&gt;"",$C237=HistPlaca),COUNTIF($C$5:$C237,HistPlaca),"")</f>
        <v>0</v>
      </c>
    </row>
    <row r="238" spans="1:27">
      <c r="A238" s="17"/>
      <c r="B238" s="25"/>
      <c r="C238" s="13"/>
      <c r="D238" s="26">
        <f>IF($C238="","",IFERROR(INDEX(VeicCli,MATCH($C238,VeicPlaca,0)),"Placa não cadastrada"))</f>
        <v>0</v>
      </c>
      <c r="E238" s="26">
        <f>IF($C238="","",IFERROR(INDEX(VeicModelo,MATCH($C238,VeicPlaca,0)),""))</f>
        <v>0</v>
      </c>
      <c r="F238" s="28"/>
      <c r="G238" s="13"/>
      <c r="H238" s="13"/>
      <c r="I238" s="13"/>
      <c r="J238" s="29"/>
      <c r="K238" s="19"/>
      <c r="L238" s="19"/>
      <c r="M238" s="25"/>
      <c r="N238" s="13"/>
      <c r="O238" s="19"/>
      <c r="P238" s="27">
        <f>IF($A238="","",N($J238)*ValorHora)</f>
        <v>0</v>
      </c>
      <c r="Q238" s="27">
        <f>IF($A238="","",SUMIFS(ItTotal,ItOS,$A238))</f>
        <v>0</v>
      </c>
      <c r="R238" s="30">
        <f>IF($A238="","",$P238+$Q238+N($K238)-N($L238))</f>
        <v>0</v>
      </c>
      <c r="S238" s="27">
        <f>IF($A238="","",SUMIFS(ItCusto,ItOS,$A238))</f>
        <v>0</v>
      </c>
      <c r="T238" s="27">
        <f>IF($A238="","",$P238*ComMec)</f>
        <v>0</v>
      </c>
      <c r="U238" s="21">
        <f>IF($A238="","",$R238-$S238-$T238-N($K238))</f>
        <v>0</v>
      </c>
      <c r="V238" s="31">
        <f>IF(OR($A238="",N($R238)&lt;=0),"",$U238/$R238)</f>
        <v>0</v>
      </c>
      <c r="W238" s="27">
        <f>IF($A238="","",IF(OR($I238="Finalizado",$I238="Entregue"),MAX(0,$R238-N($O238)),0))</f>
        <v>0</v>
      </c>
      <c r="X238" s="32">
        <f>IF(OR($A238="",$B238=""),"",IF(OR($I238="Entregue",$I238="Cancelada"),"",Hoje-$B238))</f>
        <v>0</v>
      </c>
      <c r="Y238" s="24">
        <f>IF($A238="","",IF(AND(OR($I238="Aprovado",$I238="Em execução",$I238="Aguardando peça"),N($X238)&gt;PrazoMax),"ATRASADA",IF(AND(OR($I238="Finalizado",$I238="Entregue"),$W238&gt;0.005),"Cobrar",IF($I238="Orçamento","Aguardando aprovação",""))))</f>
        <v>0</v>
      </c>
      <c r="Z238" s="33">
        <f>IF(AND($I238="Entregue",$M238&lt;&gt;""),DATE(YEAR($M238),MONTH($M238),1),"")</f>
        <v>0</v>
      </c>
      <c r="AA238" s="34">
        <f>IF(AND($C238&lt;&gt;"",$C238=HistPlaca),COUNTIF($C$5:$C238,HistPlaca),"")</f>
        <v>0</v>
      </c>
    </row>
    <row r="239" spans="1:27">
      <c r="A239" s="17"/>
      <c r="B239" s="25"/>
      <c r="C239" s="13"/>
      <c r="D239" s="26">
        <f>IF($C239="","",IFERROR(INDEX(VeicCli,MATCH($C239,VeicPlaca,0)),"Placa não cadastrada"))</f>
        <v>0</v>
      </c>
      <c r="E239" s="26">
        <f>IF($C239="","",IFERROR(INDEX(VeicModelo,MATCH($C239,VeicPlaca,0)),""))</f>
        <v>0</v>
      </c>
      <c r="F239" s="28"/>
      <c r="G239" s="13"/>
      <c r="H239" s="13"/>
      <c r="I239" s="13"/>
      <c r="J239" s="29"/>
      <c r="K239" s="19"/>
      <c r="L239" s="19"/>
      <c r="M239" s="25"/>
      <c r="N239" s="13"/>
      <c r="O239" s="19"/>
      <c r="P239" s="27">
        <f>IF($A239="","",N($J239)*ValorHora)</f>
        <v>0</v>
      </c>
      <c r="Q239" s="27">
        <f>IF($A239="","",SUMIFS(ItTotal,ItOS,$A239))</f>
        <v>0</v>
      </c>
      <c r="R239" s="30">
        <f>IF($A239="","",$P239+$Q239+N($K239)-N($L239))</f>
        <v>0</v>
      </c>
      <c r="S239" s="27">
        <f>IF($A239="","",SUMIFS(ItCusto,ItOS,$A239))</f>
        <v>0</v>
      </c>
      <c r="T239" s="27">
        <f>IF($A239="","",$P239*ComMec)</f>
        <v>0</v>
      </c>
      <c r="U239" s="21">
        <f>IF($A239="","",$R239-$S239-$T239-N($K239))</f>
        <v>0</v>
      </c>
      <c r="V239" s="31">
        <f>IF(OR($A239="",N($R239)&lt;=0),"",$U239/$R239)</f>
        <v>0</v>
      </c>
      <c r="W239" s="27">
        <f>IF($A239="","",IF(OR($I239="Finalizado",$I239="Entregue"),MAX(0,$R239-N($O239)),0))</f>
        <v>0</v>
      </c>
      <c r="X239" s="32">
        <f>IF(OR($A239="",$B239=""),"",IF(OR($I239="Entregue",$I239="Cancelada"),"",Hoje-$B239))</f>
        <v>0</v>
      </c>
      <c r="Y239" s="24">
        <f>IF($A239="","",IF(AND(OR($I239="Aprovado",$I239="Em execução",$I239="Aguardando peça"),N($X239)&gt;PrazoMax),"ATRASADA",IF(AND(OR($I239="Finalizado",$I239="Entregue"),$W239&gt;0.005),"Cobrar",IF($I239="Orçamento","Aguardando aprovação",""))))</f>
        <v>0</v>
      </c>
      <c r="Z239" s="33">
        <f>IF(AND($I239="Entregue",$M239&lt;&gt;""),DATE(YEAR($M239),MONTH($M239),1),"")</f>
        <v>0</v>
      </c>
      <c r="AA239" s="34">
        <f>IF(AND($C239&lt;&gt;"",$C239=HistPlaca),COUNTIF($C$5:$C239,HistPlaca),"")</f>
        <v>0</v>
      </c>
    </row>
    <row r="240" spans="1:27">
      <c r="A240" s="17"/>
      <c r="B240" s="25"/>
      <c r="C240" s="13"/>
      <c r="D240" s="26">
        <f>IF($C240="","",IFERROR(INDEX(VeicCli,MATCH($C240,VeicPlaca,0)),"Placa não cadastrada"))</f>
        <v>0</v>
      </c>
      <c r="E240" s="26">
        <f>IF($C240="","",IFERROR(INDEX(VeicModelo,MATCH($C240,VeicPlaca,0)),""))</f>
        <v>0</v>
      </c>
      <c r="F240" s="28"/>
      <c r="G240" s="13"/>
      <c r="H240" s="13"/>
      <c r="I240" s="13"/>
      <c r="J240" s="29"/>
      <c r="K240" s="19"/>
      <c r="L240" s="19"/>
      <c r="M240" s="25"/>
      <c r="N240" s="13"/>
      <c r="O240" s="19"/>
      <c r="P240" s="27">
        <f>IF($A240="","",N($J240)*ValorHora)</f>
        <v>0</v>
      </c>
      <c r="Q240" s="27">
        <f>IF($A240="","",SUMIFS(ItTotal,ItOS,$A240))</f>
        <v>0</v>
      </c>
      <c r="R240" s="30">
        <f>IF($A240="","",$P240+$Q240+N($K240)-N($L240))</f>
        <v>0</v>
      </c>
      <c r="S240" s="27">
        <f>IF($A240="","",SUMIFS(ItCusto,ItOS,$A240))</f>
        <v>0</v>
      </c>
      <c r="T240" s="27">
        <f>IF($A240="","",$P240*ComMec)</f>
        <v>0</v>
      </c>
      <c r="U240" s="21">
        <f>IF($A240="","",$R240-$S240-$T240-N($K240))</f>
        <v>0</v>
      </c>
      <c r="V240" s="31">
        <f>IF(OR($A240="",N($R240)&lt;=0),"",$U240/$R240)</f>
        <v>0</v>
      </c>
      <c r="W240" s="27">
        <f>IF($A240="","",IF(OR($I240="Finalizado",$I240="Entregue"),MAX(0,$R240-N($O240)),0))</f>
        <v>0</v>
      </c>
      <c r="X240" s="32">
        <f>IF(OR($A240="",$B240=""),"",IF(OR($I240="Entregue",$I240="Cancelada"),"",Hoje-$B240))</f>
        <v>0</v>
      </c>
      <c r="Y240" s="24">
        <f>IF($A240="","",IF(AND(OR($I240="Aprovado",$I240="Em execução",$I240="Aguardando peça"),N($X240)&gt;PrazoMax),"ATRASADA",IF(AND(OR($I240="Finalizado",$I240="Entregue"),$W240&gt;0.005),"Cobrar",IF($I240="Orçamento","Aguardando aprovação",""))))</f>
        <v>0</v>
      </c>
      <c r="Z240" s="33">
        <f>IF(AND($I240="Entregue",$M240&lt;&gt;""),DATE(YEAR($M240),MONTH($M240),1),"")</f>
        <v>0</v>
      </c>
      <c r="AA240" s="34">
        <f>IF(AND($C240&lt;&gt;"",$C240=HistPlaca),COUNTIF($C$5:$C240,HistPlaca),"")</f>
        <v>0</v>
      </c>
    </row>
    <row r="241" spans="1:27">
      <c r="A241" s="17"/>
      <c r="B241" s="25"/>
      <c r="C241" s="13"/>
      <c r="D241" s="26">
        <f>IF($C241="","",IFERROR(INDEX(VeicCli,MATCH($C241,VeicPlaca,0)),"Placa não cadastrada"))</f>
        <v>0</v>
      </c>
      <c r="E241" s="26">
        <f>IF($C241="","",IFERROR(INDEX(VeicModelo,MATCH($C241,VeicPlaca,0)),""))</f>
        <v>0</v>
      </c>
      <c r="F241" s="28"/>
      <c r="G241" s="13"/>
      <c r="H241" s="13"/>
      <c r="I241" s="13"/>
      <c r="J241" s="29"/>
      <c r="K241" s="19"/>
      <c r="L241" s="19"/>
      <c r="M241" s="25"/>
      <c r="N241" s="13"/>
      <c r="O241" s="19"/>
      <c r="P241" s="27">
        <f>IF($A241="","",N($J241)*ValorHora)</f>
        <v>0</v>
      </c>
      <c r="Q241" s="27">
        <f>IF($A241="","",SUMIFS(ItTotal,ItOS,$A241))</f>
        <v>0</v>
      </c>
      <c r="R241" s="30">
        <f>IF($A241="","",$P241+$Q241+N($K241)-N($L241))</f>
        <v>0</v>
      </c>
      <c r="S241" s="27">
        <f>IF($A241="","",SUMIFS(ItCusto,ItOS,$A241))</f>
        <v>0</v>
      </c>
      <c r="T241" s="27">
        <f>IF($A241="","",$P241*ComMec)</f>
        <v>0</v>
      </c>
      <c r="U241" s="21">
        <f>IF($A241="","",$R241-$S241-$T241-N($K241))</f>
        <v>0</v>
      </c>
      <c r="V241" s="31">
        <f>IF(OR($A241="",N($R241)&lt;=0),"",$U241/$R241)</f>
        <v>0</v>
      </c>
      <c r="W241" s="27">
        <f>IF($A241="","",IF(OR($I241="Finalizado",$I241="Entregue"),MAX(0,$R241-N($O241)),0))</f>
        <v>0</v>
      </c>
      <c r="X241" s="32">
        <f>IF(OR($A241="",$B241=""),"",IF(OR($I241="Entregue",$I241="Cancelada"),"",Hoje-$B241))</f>
        <v>0</v>
      </c>
      <c r="Y241" s="24">
        <f>IF($A241="","",IF(AND(OR($I241="Aprovado",$I241="Em execução",$I241="Aguardando peça"),N($X241)&gt;PrazoMax),"ATRASADA",IF(AND(OR($I241="Finalizado",$I241="Entregue"),$W241&gt;0.005),"Cobrar",IF($I241="Orçamento","Aguardando aprovação",""))))</f>
        <v>0</v>
      </c>
      <c r="Z241" s="33">
        <f>IF(AND($I241="Entregue",$M241&lt;&gt;""),DATE(YEAR($M241),MONTH($M241),1),"")</f>
        <v>0</v>
      </c>
      <c r="AA241" s="34">
        <f>IF(AND($C241&lt;&gt;"",$C241=HistPlaca),COUNTIF($C$5:$C241,HistPlaca),"")</f>
        <v>0</v>
      </c>
    </row>
    <row r="242" spans="1:27">
      <c r="A242" s="17"/>
      <c r="B242" s="25"/>
      <c r="C242" s="13"/>
      <c r="D242" s="26">
        <f>IF($C242="","",IFERROR(INDEX(VeicCli,MATCH($C242,VeicPlaca,0)),"Placa não cadastrada"))</f>
        <v>0</v>
      </c>
      <c r="E242" s="26">
        <f>IF($C242="","",IFERROR(INDEX(VeicModelo,MATCH($C242,VeicPlaca,0)),""))</f>
        <v>0</v>
      </c>
      <c r="F242" s="28"/>
      <c r="G242" s="13"/>
      <c r="H242" s="13"/>
      <c r="I242" s="13"/>
      <c r="J242" s="29"/>
      <c r="K242" s="19"/>
      <c r="L242" s="19"/>
      <c r="M242" s="25"/>
      <c r="N242" s="13"/>
      <c r="O242" s="19"/>
      <c r="P242" s="27">
        <f>IF($A242="","",N($J242)*ValorHora)</f>
        <v>0</v>
      </c>
      <c r="Q242" s="27">
        <f>IF($A242="","",SUMIFS(ItTotal,ItOS,$A242))</f>
        <v>0</v>
      </c>
      <c r="R242" s="30">
        <f>IF($A242="","",$P242+$Q242+N($K242)-N($L242))</f>
        <v>0</v>
      </c>
      <c r="S242" s="27">
        <f>IF($A242="","",SUMIFS(ItCusto,ItOS,$A242))</f>
        <v>0</v>
      </c>
      <c r="T242" s="27">
        <f>IF($A242="","",$P242*ComMec)</f>
        <v>0</v>
      </c>
      <c r="U242" s="21">
        <f>IF($A242="","",$R242-$S242-$T242-N($K242))</f>
        <v>0</v>
      </c>
      <c r="V242" s="31">
        <f>IF(OR($A242="",N($R242)&lt;=0),"",$U242/$R242)</f>
        <v>0</v>
      </c>
      <c r="W242" s="27">
        <f>IF($A242="","",IF(OR($I242="Finalizado",$I242="Entregue"),MAX(0,$R242-N($O242)),0))</f>
        <v>0</v>
      </c>
      <c r="X242" s="32">
        <f>IF(OR($A242="",$B242=""),"",IF(OR($I242="Entregue",$I242="Cancelada"),"",Hoje-$B242))</f>
        <v>0</v>
      </c>
      <c r="Y242" s="24">
        <f>IF($A242="","",IF(AND(OR($I242="Aprovado",$I242="Em execução",$I242="Aguardando peça"),N($X242)&gt;PrazoMax),"ATRASADA",IF(AND(OR($I242="Finalizado",$I242="Entregue"),$W242&gt;0.005),"Cobrar",IF($I242="Orçamento","Aguardando aprovação",""))))</f>
        <v>0</v>
      </c>
      <c r="Z242" s="33">
        <f>IF(AND($I242="Entregue",$M242&lt;&gt;""),DATE(YEAR($M242),MONTH($M242),1),"")</f>
        <v>0</v>
      </c>
      <c r="AA242" s="34">
        <f>IF(AND($C242&lt;&gt;"",$C242=HistPlaca),COUNTIF($C$5:$C242,HistPlaca),"")</f>
        <v>0</v>
      </c>
    </row>
    <row r="243" spans="1:27">
      <c r="A243" s="17"/>
      <c r="B243" s="25"/>
      <c r="C243" s="13"/>
      <c r="D243" s="26">
        <f>IF($C243="","",IFERROR(INDEX(VeicCli,MATCH($C243,VeicPlaca,0)),"Placa não cadastrada"))</f>
        <v>0</v>
      </c>
      <c r="E243" s="26">
        <f>IF($C243="","",IFERROR(INDEX(VeicModelo,MATCH($C243,VeicPlaca,0)),""))</f>
        <v>0</v>
      </c>
      <c r="F243" s="28"/>
      <c r="G243" s="13"/>
      <c r="H243" s="13"/>
      <c r="I243" s="13"/>
      <c r="J243" s="29"/>
      <c r="K243" s="19"/>
      <c r="L243" s="19"/>
      <c r="M243" s="25"/>
      <c r="N243" s="13"/>
      <c r="O243" s="19"/>
      <c r="P243" s="27">
        <f>IF($A243="","",N($J243)*ValorHora)</f>
        <v>0</v>
      </c>
      <c r="Q243" s="27">
        <f>IF($A243="","",SUMIFS(ItTotal,ItOS,$A243))</f>
        <v>0</v>
      </c>
      <c r="R243" s="30">
        <f>IF($A243="","",$P243+$Q243+N($K243)-N($L243))</f>
        <v>0</v>
      </c>
      <c r="S243" s="27">
        <f>IF($A243="","",SUMIFS(ItCusto,ItOS,$A243))</f>
        <v>0</v>
      </c>
      <c r="T243" s="27">
        <f>IF($A243="","",$P243*ComMec)</f>
        <v>0</v>
      </c>
      <c r="U243" s="21">
        <f>IF($A243="","",$R243-$S243-$T243-N($K243))</f>
        <v>0</v>
      </c>
      <c r="V243" s="31">
        <f>IF(OR($A243="",N($R243)&lt;=0),"",$U243/$R243)</f>
        <v>0</v>
      </c>
      <c r="W243" s="27">
        <f>IF($A243="","",IF(OR($I243="Finalizado",$I243="Entregue"),MAX(0,$R243-N($O243)),0))</f>
        <v>0</v>
      </c>
      <c r="X243" s="32">
        <f>IF(OR($A243="",$B243=""),"",IF(OR($I243="Entregue",$I243="Cancelada"),"",Hoje-$B243))</f>
        <v>0</v>
      </c>
      <c r="Y243" s="24">
        <f>IF($A243="","",IF(AND(OR($I243="Aprovado",$I243="Em execução",$I243="Aguardando peça"),N($X243)&gt;PrazoMax),"ATRASADA",IF(AND(OR($I243="Finalizado",$I243="Entregue"),$W243&gt;0.005),"Cobrar",IF($I243="Orçamento","Aguardando aprovação",""))))</f>
        <v>0</v>
      </c>
      <c r="Z243" s="33">
        <f>IF(AND($I243="Entregue",$M243&lt;&gt;""),DATE(YEAR($M243),MONTH($M243),1),"")</f>
        <v>0</v>
      </c>
      <c r="AA243" s="34">
        <f>IF(AND($C243&lt;&gt;"",$C243=HistPlaca),COUNTIF($C$5:$C243,HistPlaca),"")</f>
        <v>0</v>
      </c>
    </row>
    <row r="244" spans="1:27">
      <c r="A244" s="17"/>
      <c r="B244" s="25"/>
      <c r="C244" s="13"/>
      <c r="D244" s="26">
        <f>IF($C244="","",IFERROR(INDEX(VeicCli,MATCH($C244,VeicPlaca,0)),"Placa não cadastrada"))</f>
        <v>0</v>
      </c>
      <c r="E244" s="26">
        <f>IF($C244="","",IFERROR(INDEX(VeicModelo,MATCH($C244,VeicPlaca,0)),""))</f>
        <v>0</v>
      </c>
      <c r="F244" s="28"/>
      <c r="G244" s="13"/>
      <c r="H244" s="13"/>
      <c r="I244" s="13"/>
      <c r="J244" s="29"/>
      <c r="K244" s="19"/>
      <c r="L244" s="19"/>
      <c r="M244" s="25"/>
      <c r="N244" s="13"/>
      <c r="O244" s="19"/>
      <c r="P244" s="27">
        <f>IF($A244="","",N($J244)*ValorHora)</f>
        <v>0</v>
      </c>
      <c r="Q244" s="27">
        <f>IF($A244="","",SUMIFS(ItTotal,ItOS,$A244))</f>
        <v>0</v>
      </c>
      <c r="R244" s="30">
        <f>IF($A244="","",$P244+$Q244+N($K244)-N($L244))</f>
        <v>0</v>
      </c>
      <c r="S244" s="27">
        <f>IF($A244="","",SUMIFS(ItCusto,ItOS,$A244))</f>
        <v>0</v>
      </c>
      <c r="T244" s="27">
        <f>IF($A244="","",$P244*ComMec)</f>
        <v>0</v>
      </c>
      <c r="U244" s="21">
        <f>IF($A244="","",$R244-$S244-$T244-N($K244))</f>
        <v>0</v>
      </c>
      <c r="V244" s="31">
        <f>IF(OR($A244="",N($R244)&lt;=0),"",$U244/$R244)</f>
        <v>0</v>
      </c>
      <c r="W244" s="27">
        <f>IF($A244="","",IF(OR($I244="Finalizado",$I244="Entregue"),MAX(0,$R244-N($O244)),0))</f>
        <v>0</v>
      </c>
      <c r="X244" s="32">
        <f>IF(OR($A244="",$B244=""),"",IF(OR($I244="Entregue",$I244="Cancelada"),"",Hoje-$B244))</f>
        <v>0</v>
      </c>
      <c r="Y244" s="24">
        <f>IF($A244="","",IF(AND(OR($I244="Aprovado",$I244="Em execução",$I244="Aguardando peça"),N($X244)&gt;PrazoMax),"ATRASADA",IF(AND(OR($I244="Finalizado",$I244="Entregue"),$W244&gt;0.005),"Cobrar",IF($I244="Orçamento","Aguardando aprovação",""))))</f>
        <v>0</v>
      </c>
      <c r="Z244" s="33">
        <f>IF(AND($I244="Entregue",$M244&lt;&gt;""),DATE(YEAR($M244),MONTH($M244),1),"")</f>
        <v>0</v>
      </c>
      <c r="AA244" s="34">
        <f>IF(AND($C244&lt;&gt;"",$C244=HistPlaca),COUNTIF($C$5:$C244,HistPlaca),"")</f>
        <v>0</v>
      </c>
    </row>
    <row r="245" spans="1:27">
      <c r="A245" s="17"/>
      <c r="B245" s="25"/>
      <c r="C245" s="13"/>
      <c r="D245" s="26">
        <f>IF($C245="","",IFERROR(INDEX(VeicCli,MATCH($C245,VeicPlaca,0)),"Placa não cadastrada"))</f>
        <v>0</v>
      </c>
      <c r="E245" s="26">
        <f>IF($C245="","",IFERROR(INDEX(VeicModelo,MATCH($C245,VeicPlaca,0)),""))</f>
        <v>0</v>
      </c>
      <c r="F245" s="28"/>
      <c r="G245" s="13"/>
      <c r="H245" s="13"/>
      <c r="I245" s="13"/>
      <c r="J245" s="29"/>
      <c r="K245" s="19"/>
      <c r="L245" s="19"/>
      <c r="M245" s="25"/>
      <c r="N245" s="13"/>
      <c r="O245" s="19"/>
      <c r="P245" s="27">
        <f>IF($A245="","",N($J245)*ValorHora)</f>
        <v>0</v>
      </c>
      <c r="Q245" s="27">
        <f>IF($A245="","",SUMIFS(ItTotal,ItOS,$A245))</f>
        <v>0</v>
      </c>
      <c r="R245" s="30">
        <f>IF($A245="","",$P245+$Q245+N($K245)-N($L245))</f>
        <v>0</v>
      </c>
      <c r="S245" s="27">
        <f>IF($A245="","",SUMIFS(ItCusto,ItOS,$A245))</f>
        <v>0</v>
      </c>
      <c r="T245" s="27">
        <f>IF($A245="","",$P245*ComMec)</f>
        <v>0</v>
      </c>
      <c r="U245" s="21">
        <f>IF($A245="","",$R245-$S245-$T245-N($K245))</f>
        <v>0</v>
      </c>
      <c r="V245" s="31">
        <f>IF(OR($A245="",N($R245)&lt;=0),"",$U245/$R245)</f>
        <v>0</v>
      </c>
      <c r="W245" s="27">
        <f>IF($A245="","",IF(OR($I245="Finalizado",$I245="Entregue"),MAX(0,$R245-N($O245)),0))</f>
        <v>0</v>
      </c>
      <c r="X245" s="32">
        <f>IF(OR($A245="",$B245=""),"",IF(OR($I245="Entregue",$I245="Cancelada"),"",Hoje-$B245))</f>
        <v>0</v>
      </c>
      <c r="Y245" s="24">
        <f>IF($A245="","",IF(AND(OR($I245="Aprovado",$I245="Em execução",$I245="Aguardando peça"),N($X245)&gt;PrazoMax),"ATRASADA",IF(AND(OR($I245="Finalizado",$I245="Entregue"),$W245&gt;0.005),"Cobrar",IF($I245="Orçamento","Aguardando aprovação",""))))</f>
        <v>0</v>
      </c>
      <c r="Z245" s="33">
        <f>IF(AND($I245="Entregue",$M245&lt;&gt;""),DATE(YEAR($M245),MONTH($M245),1),"")</f>
        <v>0</v>
      </c>
      <c r="AA245" s="34">
        <f>IF(AND($C245&lt;&gt;"",$C245=HistPlaca),COUNTIF($C$5:$C245,HistPlaca),"")</f>
        <v>0</v>
      </c>
    </row>
    <row r="246" spans="1:27">
      <c r="A246" s="17"/>
      <c r="B246" s="25"/>
      <c r="C246" s="13"/>
      <c r="D246" s="26">
        <f>IF($C246="","",IFERROR(INDEX(VeicCli,MATCH($C246,VeicPlaca,0)),"Placa não cadastrada"))</f>
        <v>0</v>
      </c>
      <c r="E246" s="26">
        <f>IF($C246="","",IFERROR(INDEX(VeicModelo,MATCH($C246,VeicPlaca,0)),""))</f>
        <v>0</v>
      </c>
      <c r="F246" s="28"/>
      <c r="G246" s="13"/>
      <c r="H246" s="13"/>
      <c r="I246" s="13"/>
      <c r="J246" s="29"/>
      <c r="K246" s="19"/>
      <c r="L246" s="19"/>
      <c r="M246" s="25"/>
      <c r="N246" s="13"/>
      <c r="O246" s="19"/>
      <c r="P246" s="27">
        <f>IF($A246="","",N($J246)*ValorHora)</f>
        <v>0</v>
      </c>
      <c r="Q246" s="27">
        <f>IF($A246="","",SUMIFS(ItTotal,ItOS,$A246))</f>
        <v>0</v>
      </c>
      <c r="R246" s="30">
        <f>IF($A246="","",$P246+$Q246+N($K246)-N($L246))</f>
        <v>0</v>
      </c>
      <c r="S246" s="27">
        <f>IF($A246="","",SUMIFS(ItCusto,ItOS,$A246))</f>
        <v>0</v>
      </c>
      <c r="T246" s="27">
        <f>IF($A246="","",$P246*ComMec)</f>
        <v>0</v>
      </c>
      <c r="U246" s="21">
        <f>IF($A246="","",$R246-$S246-$T246-N($K246))</f>
        <v>0</v>
      </c>
      <c r="V246" s="31">
        <f>IF(OR($A246="",N($R246)&lt;=0),"",$U246/$R246)</f>
        <v>0</v>
      </c>
      <c r="W246" s="27">
        <f>IF($A246="","",IF(OR($I246="Finalizado",$I246="Entregue"),MAX(0,$R246-N($O246)),0))</f>
        <v>0</v>
      </c>
      <c r="X246" s="32">
        <f>IF(OR($A246="",$B246=""),"",IF(OR($I246="Entregue",$I246="Cancelada"),"",Hoje-$B246))</f>
        <v>0</v>
      </c>
      <c r="Y246" s="24">
        <f>IF($A246="","",IF(AND(OR($I246="Aprovado",$I246="Em execução",$I246="Aguardando peça"),N($X246)&gt;PrazoMax),"ATRASADA",IF(AND(OR($I246="Finalizado",$I246="Entregue"),$W246&gt;0.005),"Cobrar",IF($I246="Orçamento","Aguardando aprovação",""))))</f>
        <v>0</v>
      </c>
      <c r="Z246" s="33">
        <f>IF(AND($I246="Entregue",$M246&lt;&gt;""),DATE(YEAR($M246),MONTH($M246),1),"")</f>
        <v>0</v>
      </c>
      <c r="AA246" s="34">
        <f>IF(AND($C246&lt;&gt;"",$C246=HistPlaca),COUNTIF($C$5:$C246,HistPlaca),"")</f>
        <v>0</v>
      </c>
    </row>
    <row r="247" spans="1:27">
      <c r="A247" s="17"/>
      <c r="B247" s="25"/>
      <c r="C247" s="13"/>
      <c r="D247" s="26">
        <f>IF($C247="","",IFERROR(INDEX(VeicCli,MATCH($C247,VeicPlaca,0)),"Placa não cadastrada"))</f>
        <v>0</v>
      </c>
      <c r="E247" s="26">
        <f>IF($C247="","",IFERROR(INDEX(VeicModelo,MATCH($C247,VeicPlaca,0)),""))</f>
        <v>0</v>
      </c>
      <c r="F247" s="28"/>
      <c r="G247" s="13"/>
      <c r="H247" s="13"/>
      <c r="I247" s="13"/>
      <c r="J247" s="29"/>
      <c r="K247" s="19"/>
      <c r="L247" s="19"/>
      <c r="M247" s="25"/>
      <c r="N247" s="13"/>
      <c r="O247" s="19"/>
      <c r="P247" s="27">
        <f>IF($A247="","",N($J247)*ValorHora)</f>
        <v>0</v>
      </c>
      <c r="Q247" s="27">
        <f>IF($A247="","",SUMIFS(ItTotal,ItOS,$A247))</f>
        <v>0</v>
      </c>
      <c r="R247" s="30">
        <f>IF($A247="","",$P247+$Q247+N($K247)-N($L247))</f>
        <v>0</v>
      </c>
      <c r="S247" s="27">
        <f>IF($A247="","",SUMIFS(ItCusto,ItOS,$A247))</f>
        <v>0</v>
      </c>
      <c r="T247" s="27">
        <f>IF($A247="","",$P247*ComMec)</f>
        <v>0</v>
      </c>
      <c r="U247" s="21">
        <f>IF($A247="","",$R247-$S247-$T247-N($K247))</f>
        <v>0</v>
      </c>
      <c r="V247" s="31">
        <f>IF(OR($A247="",N($R247)&lt;=0),"",$U247/$R247)</f>
        <v>0</v>
      </c>
      <c r="W247" s="27">
        <f>IF($A247="","",IF(OR($I247="Finalizado",$I247="Entregue"),MAX(0,$R247-N($O247)),0))</f>
        <v>0</v>
      </c>
      <c r="X247" s="32">
        <f>IF(OR($A247="",$B247=""),"",IF(OR($I247="Entregue",$I247="Cancelada"),"",Hoje-$B247))</f>
        <v>0</v>
      </c>
      <c r="Y247" s="24">
        <f>IF($A247="","",IF(AND(OR($I247="Aprovado",$I247="Em execução",$I247="Aguardando peça"),N($X247)&gt;PrazoMax),"ATRASADA",IF(AND(OR($I247="Finalizado",$I247="Entregue"),$W247&gt;0.005),"Cobrar",IF($I247="Orçamento","Aguardando aprovação",""))))</f>
        <v>0</v>
      </c>
      <c r="Z247" s="33">
        <f>IF(AND($I247="Entregue",$M247&lt;&gt;""),DATE(YEAR($M247),MONTH($M247),1),"")</f>
        <v>0</v>
      </c>
      <c r="AA247" s="34">
        <f>IF(AND($C247&lt;&gt;"",$C247=HistPlaca),COUNTIF($C$5:$C247,HistPlaca),"")</f>
        <v>0</v>
      </c>
    </row>
    <row r="248" spans="1:27">
      <c r="A248" s="17"/>
      <c r="B248" s="25"/>
      <c r="C248" s="13"/>
      <c r="D248" s="26">
        <f>IF($C248="","",IFERROR(INDEX(VeicCli,MATCH($C248,VeicPlaca,0)),"Placa não cadastrada"))</f>
        <v>0</v>
      </c>
      <c r="E248" s="26">
        <f>IF($C248="","",IFERROR(INDEX(VeicModelo,MATCH($C248,VeicPlaca,0)),""))</f>
        <v>0</v>
      </c>
      <c r="F248" s="28"/>
      <c r="G248" s="13"/>
      <c r="H248" s="13"/>
      <c r="I248" s="13"/>
      <c r="J248" s="29"/>
      <c r="K248" s="19"/>
      <c r="L248" s="19"/>
      <c r="M248" s="25"/>
      <c r="N248" s="13"/>
      <c r="O248" s="19"/>
      <c r="P248" s="27">
        <f>IF($A248="","",N($J248)*ValorHora)</f>
        <v>0</v>
      </c>
      <c r="Q248" s="27">
        <f>IF($A248="","",SUMIFS(ItTotal,ItOS,$A248))</f>
        <v>0</v>
      </c>
      <c r="R248" s="30">
        <f>IF($A248="","",$P248+$Q248+N($K248)-N($L248))</f>
        <v>0</v>
      </c>
      <c r="S248" s="27">
        <f>IF($A248="","",SUMIFS(ItCusto,ItOS,$A248))</f>
        <v>0</v>
      </c>
      <c r="T248" s="27">
        <f>IF($A248="","",$P248*ComMec)</f>
        <v>0</v>
      </c>
      <c r="U248" s="21">
        <f>IF($A248="","",$R248-$S248-$T248-N($K248))</f>
        <v>0</v>
      </c>
      <c r="V248" s="31">
        <f>IF(OR($A248="",N($R248)&lt;=0),"",$U248/$R248)</f>
        <v>0</v>
      </c>
      <c r="W248" s="27">
        <f>IF($A248="","",IF(OR($I248="Finalizado",$I248="Entregue"),MAX(0,$R248-N($O248)),0))</f>
        <v>0</v>
      </c>
      <c r="X248" s="32">
        <f>IF(OR($A248="",$B248=""),"",IF(OR($I248="Entregue",$I248="Cancelada"),"",Hoje-$B248))</f>
        <v>0</v>
      </c>
      <c r="Y248" s="24">
        <f>IF($A248="","",IF(AND(OR($I248="Aprovado",$I248="Em execução",$I248="Aguardando peça"),N($X248)&gt;PrazoMax),"ATRASADA",IF(AND(OR($I248="Finalizado",$I248="Entregue"),$W248&gt;0.005),"Cobrar",IF($I248="Orçamento","Aguardando aprovação",""))))</f>
        <v>0</v>
      </c>
      <c r="Z248" s="33">
        <f>IF(AND($I248="Entregue",$M248&lt;&gt;""),DATE(YEAR($M248),MONTH($M248),1),"")</f>
        <v>0</v>
      </c>
      <c r="AA248" s="34">
        <f>IF(AND($C248&lt;&gt;"",$C248=HistPlaca),COUNTIF($C$5:$C248,HistPlaca),"")</f>
        <v>0</v>
      </c>
    </row>
    <row r="249" spans="1:27">
      <c r="A249" s="17"/>
      <c r="B249" s="25"/>
      <c r="C249" s="13"/>
      <c r="D249" s="26">
        <f>IF($C249="","",IFERROR(INDEX(VeicCli,MATCH($C249,VeicPlaca,0)),"Placa não cadastrada"))</f>
        <v>0</v>
      </c>
      <c r="E249" s="26">
        <f>IF($C249="","",IFERROR(INDEX(VeicModelo,MATCH($C249,VeicPlaca,0)),""))</f>
        <v>0</v>
      </c>
      <c r="F249" s="28"/>
      <c r="G249" s="13"/>
      <c r="H249" s="13"/>
      <c r="I249" s="13"/>
      <c r="J249" s="29"/>
      <c r="K249" s="19"/>
      <c r="L249" s="19"/>
      <c r="M249" s="25"/>
      <c r="N249" s="13"/>
      <c r="O249" s="19"/>
      <c r="P249" s="27">
        <f>IF($A249="","",N($J249)*ValorHora)</f>
        <v>0</v>
      </c>
      <c r="Q249" s="27">
        <f>IF($A249="","",SUMIFS(ItTotal,ItOS,$A249))</f>
        <v>0</v>
      </c>
      <c r="R249" s="30">
        <f>IF($A249="","",$P249+$Q249+N($K249)-N($L249))</f>
        <v>0</v>
      </c>
      <c r="S249" s="27">
        <f>IF($A249="","",SUMIFS(ItCusto,ItOS,$A249))</f>
        <v>0</v>
      </c>
      <c r="T249" s="27">
        <f>IF($A249="","",$P249*ComMec)</f>
        <v>0</v>
      </c>
      <c r="U249" s="21">
        <f>IF($A249="","",$R249-$S249-$T249-N($K249))</f>
        <v>0</v>
      </c>
      <c r="V249" s="31">
        <f>IF(OR($A249="",N($R249)&lt;=0),"",$U249/$R249)</f>
        <v>0</v>
      </c>
      <c r="W249" s="27">
        <f>IF($A249="","",IF(OR($I249="Finalizado",$I249="Entregue"),MAX(0,$R249-N($O249)),0))</f>
        <v>0</v>
      </c>
      <c r="X249" s="32">
        <f>IF(OR($A249="",$B249=""),"",IF(OR($I249="Entregue",$I249="Cancelada"),"",Hoje-$B249))</f>
        <v>0</v>
      </c>
      <c r="Y249" s="24">
        <f>IF($A249="","",IF(AND(OR($I249="Aprovado",$I249="Em execução",$I249="Aguardando peça"),N($X249)&gt;PrazoMax),"ATRASADA",IF(AND(OR($I249="Finalizado",$I249="Entregue"),$W249&gt;0.005),"Cobrar",IF($I249="Orçamento","Aguardando aprovação",""))))</f>
        <v>0</v>
      </c>
      <c r="Z249" s="33">
        <f>IF(AND($I249="Entregue",$M249&lt;&gt;""),DATE(YEAR($M249),MONTH($M249),1),"")</f>
        <v>0</v>
      </c>
      <c r="AA249" s="34">
        <f>IF(AND($C249&lt;&gt;"",$C249=HistPlaca),COUNTIF($C$5:$C249,HistPlaca),"")</f>
        <v>0</v>
      </c>
    </row>
    <row r="250" spans="1:27">
      <c r="A250" s="17"/>
      <c r="B250" s="25"/>
      <c r="C250" s="13"/>
      <c r="D250" s="26">
        <f>IF($C250="","",IFERROR(INDEX(VeicCli,MATCH($C250,VeicPlaca,0)),"Placa não cadastrada"))</f>
        <v>0</v>
      </c>
      <c r="E250" s="26">
        <f>IF($C250="","",IFERROR(INDEX(VeicModelo,MATCH($C250,VeicPlaca,0)),""))</f>
        <v>0</v>
      </c>
      <c r="F250" s="28"/>
      <c r="G250" s="13"/>
      <c r="H250" s="13"/>
      <c r="I250" s="13"/>
      <c r="J250" s="29"/>
      <c r="K250" s="19"/>
      <c r="L250" s="19"/>
      <c r="M250" s="25"/>
      <c r="N250" s="13"/>
      <c r="O250" s="19"/>
      <c r="P250" s="27">
        <f>IF($A250="","",N($J250)*ValorHora)</f>
        <v>0</v>
      </c>
      <c r="Q250" s="27">
        <f>IF($A250="","",SUMIFS(ItTotal,ItOS,$A250))</f>
        <v>0</v>
      </c>
      <c r="R250" s="30">
        <f>IF($A250="","",$P250+$Q250+N($K250)-N($L250))</f>
        <v>0</v>
      </c>
      <c r="S250" s="27">
        <f>IF($A250="","",SUMIFS(ItCusto,ItOS,$A250))</f>
        <v>0</v>
      </c>
      <c r="T250" s="27">
        <f>IF($A250="","",$P250*ComMec)</f>
        <v>0</v>
      </c>
      <c r="U250" s="21">
        <f>IF($A250="","",$R250-$S250-$T250-N($K250))</f>
        <v>0</v>
      </c>
      <c r="V250" s="31">
        <f>IF(OR($A250="",N($R250)&lt;=0),"",$U250/$R250)</f>
        <v>0</v>
      </c>
      <c r="W250" s="27">
        <f>IF($A250="","",IF(OR($I250="Finalizado",$I250="Entregue"),MAX(0,$R250-N($O250)),0))</f>
        <v>0</v>
      </c>
      <c r="X250" s="32">
        <f>IF(OR($A250="",$B250=""),"",IF(OR($I250="Entregue",$I250="Cancelada"),"",Hoje-$B250))</f>
        <v>0</v>
      </c>
      <c r="Y250" s="24">
        <f>IF($A250="","",IF(AND(OR($I250="Aprovado",$I250="Em execução",$I250="Aguardando peça"),N($X250)&gt;PrazoMax),"ATRASADA",IF(AND(OR($I250="Finalizado",$I250="Entregue"),$W250&gt;0.005),"Cobrar",IF($I250="Orçamento","Aguardando aprovação",""))))</f>
        <v>0</v>
      </c>
      <c r="Z250" s="33">
        <f>IF(AND($I250="Entregue",$M250&lt;&gt;""),DATE(YEAR($M250),MONTH($M250),1),"")</f>
        <v>0</v>
      </c>
      <c r="AA250" s="34">
        <f>IF(AND($C250&lt;&gt;"",$C250=HistPlaca),COUNTIF($C$5:$C250,HistPlaca),"")</f>
        <v>0</v>
      </c>
    </row>
    <row r="251" spans="1:27">
      <c r="A251" s="17"/>
      <c r="B251" s="25"/>
      <c r="C251" s="13"/>
      <c r="D251" s="26">
        <f>IF($C251="","",IFERROR(INDEX(VeicCli,MATCH($C251,VeicPlaca,0)),"Placa não cadastrada"))</f>
        <v>0</v>
      </c>
      <c r="E251" s="26">
        <f>IF($C251="","",IFERROR(INDEX(VeicModelo,MATCH($C251,VeicPlaca,0)),""))</f>
        <v>0</v>
      </c>
      <c r="F251" s="28"/>
      <c r="G251" s="13"/>
      <c r="H251" s="13"/>
      <c r="I251" s="13"/>
      <c r="J251" s="29"/>
      <c r="K251" s="19"/>
      <c r="L251" s="19"/>
      <c r="M251" s="25"/>
      <c r="N251" s="13"/>
      <c r="O251" s="19"/>
      <c r="P251" s="27">
        <f>IF($A251="","",N($J251)*ValorHora)</f>
        <v>0</v>
      </c>
      <c r="Q251" s="27">
        <f>IF($A251="","",SUMIFS(ItTotal,ItOS,$A251))</f>
        <v>0</v>
      </c>
      <c r="R251" s="30">
        <f>IF($A251="","",$P251+$Q251+N($K251)-N($L251))</f>
        <v>0</v>
      </c>
      <c r="S251" s="27">
        <f>IF($A251="","",SUMIFS(ItCusto,ItOS,$A251))</f>
        <v>0</v>
      </c>
      <c r="T251" s="27">
        <f>IF($A251="","",$P251*ComMec)</f>
        <v>0</v>
      </c>
      <c r="U251" s="21">
        <f>IF($A251="","",$R251-$S251-$T251-N($K251))</f>
        <v>0</v>
      </c>
      <c r="V251" s="31">
        <f>IF(OR($A251="",N($R251)&lt;=0),"",$U251/$R251)</f>
        <v>0</v>
      </c>
      <c r="W251" s="27">
        <f>IF($A251="","",IF(OR($I251="Finalizado",$I251="Entregue"),MAX(0,$R251-N($O251)),0))</f>
        <v>0</v>
      </c>
      <c r="X251" s="32">
        <f>IF(OR($A251="",$B251=""),"",IF(OR($I251="Entregue",$I251="Cancelada"),"",Hoje-$B251))</f>
        <v>0</v>
      </c>
      <c r="Y251" s="24">
        <f>IF($A251="","",IF(AND(OR($I251="Aprovado",$I251="Em execução",$I251="Aguardando peça"),N($X251)&gt;PrazoMax),"ATRASADA",IF(AND(OR($I251="Finalizado",$I251="Entregue"),$W251&gt;0.005),"Cobrar",IF($I251="Orçamento","Aguardando aprovação",""))))</f>
        <v>0</v>
      </c>
      <c r="Z251" s="33">
        <f>IF(AND($I251="Entregue",$M251&lt;&gt;""),DATE(YEAR($M251),MONTH($M251),1),"")</f>
        <v>0</v>
      </c>
      <c r="AA251" s="34">
        <f>IF(AND($C251&lt;&gt;"",$C251=HistPlaca),COUNTIF($C$5:$C251,HistPlaca),"")</f>
        <v>0</v>
      </c>
    </row>
    <row r="252" spans="1:27">
      <c r="A252" s="17"/>
      <c r="B252" s="25"/>
      <c r="C252" s="13"/>
      <c r="D252" s="26">
        <f>IF($C252="","",IFERROR(INDEX(VeicCli,MATCH($C252,VeicPlaca,0)),"Placa não cadastrada"))</f>
        <v>0</v>
      </c>
      <c r="E252" s="26">
        <f>IF($C252="","",IFERROR(INDEX(VeicModelo,MATCH($C252,VeicPlaca,0)),""))</f>
        <v>0</v>
      </c>
      <c r="F252" s="28"/>
      <c r="G252" s="13"/>
      <c r="H252" s="13"/>
      <c r="I252" s="13"/>
      <c r="J252" s="29"/>
      <c r="K252" s="19"/>
      <c r="L252" s="19"/>
      <c r="M252" s="25"/>
      <c r="N252" s="13"/>
      <c r="O252" s="19"/>
      <c r="P252" s="27">
        <f>IF($A252="","",N($J252)*ValorHora)</f>
        <v>0</v>
      </c>
      <c r="Q252" s="27">
        <f>IF($A252="","",SUMIFS(ItTotal,ItOS,$A252))</f>
        <v>0</v>
      </c>
      <c r="R252" s="30">
        <f>IF($A252="","",$P252+$Q252+N($K252)-N($L252))</f>
        <v>0</v>
      </c>
      <c r="S252" s="27">
        <f>IF($A252="","",SUMIFS(ItCusto,ItOS,$A252))</f>
        <v>0</v>
      </c>
      <c r="T252" s="27">
        <f>IF($A252="","",$P252*ComMec)</f>
        <v>0</v>
      </c>
      <c r="U252" s="21">
        <f>IF($A252="","",$R252-$S252-$T252-N($K252))</f>
        <v>0</v>
      </c>
      <c r="V252" s="31">
        <f>IF(OR($A252="",N($R252)&lt;=0),"",$U252/$R252)</f>
        <v>0</v>
      </c>
      <c r="W252" s="27">
        <f>IF($A252="","",IF(OR($I252="Finalizado",$I252="Entregue"),MAX(0,$R252-N($O252)),0))</f>
        <v>0</v>
      </c>
      <c r="X252" s="32">
        <f>IF(OR($A252="",$B252=""),"",IF(OR($I252="Entregue",$I252="Cancelada"),"",Hoje-$B252))</f>
        <v>0</v>
      </c>
      <c r="Y252" s="24">
        <f>IF($A252="","",IF(AND(OR($I252="Aprovado",$I252="Em execução",$I252="Aguardando peça"),N($X252)&gt;PrazoMax),"ATRASADA",IF(AND(OR($I252="Finalizado",$I252="Entregue"),$W252&gt;0.005),"Cobrar",IF($I252="Orçamento","Aguardando aprovação",""))))</f>
        <v>0</v>
      </c>
      <c r="Z252" s="33">
        <f>IF(AND($I252="Entregue",$M252&lt;&gt;""),DATE(YEAR($M252),MONTH($M252),1),"")</f>
        <v>0</v>
      </c>
      <c r="AA252" s="34">
        <f>IF(AND($C252&lt;&gt;"",$C252=HistPlaca),COUNTIF($C$5:$C252,HistPlaca),"")</f>
        <v>0</v>
      </c>
    </row>
    <row r="253" spans="1:27">
      <c r="A253" s="17"/>
      <c r="B253" s="25"/>
      <c r="C253" s="13"/>
      <c r="D253" s="26">
        <f>IF($C253="","",IFERROR(INDEX(VeicCli,MATCH($C253,VeicPlaca,0)),"Placa não cadastrada"))</f>
        <v>0</v>
      </c>
      <c r="E253" s="26">
        <f>IF($C253="","",IFERROR(INDEX(VeicModelo,MATCH($C253,VeicPlaca,0)),""))</f>
        <v>0</v>
      </c>
      <c r="F253" s="28"/>
      <c r="G253" s="13"/>
      <c r="H253" s="13"/>
      <c r="I253" s="13"/>
      <c r="J253" s="29"/>
      <c r="K253" s="19"/>
      <c r="L253" s="19"/>
      <c r="M253" s="25"/>
      <c r="N253" s="13"/>
      <c r="O253" s="19"/>
      <c r="P253" s="27">
        <f>IF($A253="","",N($J253)*ValorHora)</f>
        <v>0</v>
      </c>
      <c r="Q253" s="27">
        <f>IF($A253="","",SUMIFS(ItTotal,ItOS,$A253))</f>
        <v>0</v>
      </c>
      <c r="R253" s="30">
        <f>IF($A253="","",$P253+$Q253+N($K253)-N($L253))</f>
        <v>0</v>
      </c>
      <c r="S253" s="27">
        <f>IF($A253="","",SUMIFS(ItCusto,ItOS,$A253))</f>
        <v>0</v>
      </c>
      <c r="T253" s="27">
        <f>IF($A253="","",$P253*ComMec)</f>
        <v>0</v>
      </c>
      <c r="U253" s="21">
        <f>IF($A253="","",$R253-$S253-$T253-N($K253))</f>
        <v>0</v>
      </c>
      <c r="V253" s="31">
        <f>IF(OR($A253="",N($R253)&lt;=0),"",$U253/$R253)</f>
        <v>0</v>
      </c>
      <c r="W253" s="27">
        <f>IF($A253="","",IF(OR($I253="Finalizado",$I253="Entregue"),MAX(0,$R253-N($O253)),0))</f>
        <v>0</v>
      </c>
      <c r="X253" s="32">
        <f>IF(OR($A253="",$B253=""),"",IF(OR($I253="Entregue",$I253="Cancelada"),"",Hoje-$B253))</f>
        <v>0</v>
      </c>
      <c r="Y253" s="24">
        <f>IF($A253="","",IF(AND(OR($I253="Aprovado",$I253="Em execução",$I253="Aguardando peça"),N($X253)&gt;PrazoMax),"ATRASADA",IF(AND(OR($I253="Finalizado",$I253="Entregue"),$W253&gt;0.005),"Cobrar",IF($I253="Orçamento","Aguardando aprovação",""))))</f>
        <v>0</v>
      </c>
      <c r="Z253" s="33">
        <f>IF(AND($I253="Entregue",$M253&lt;&gt;""),DATE(YEAR($M253),MONTH($M253),1),"")</f>
        <v>0</v>
      </c>
      <c r="AA253" s="34">
        <f>IF(AND($C253&lt;&gt;"",$C253=HistPlaca),COUNTIF($C$5:$C253,HistPlaca),"")</f>
        <v>0</v>
      </c>
    </row>
    <row r="254" spans="1:27">
      <c r="A254" s="17"/>
      <c r="B254" s="25"/>
      <c r="C254" s="13"/>
      <c r="D254" s="26">
        <f>IF($C254="","",IFERROR(INDEX(VeicCli,MATCH($C254,VeicPlaca,0)),"Placa não cadastrada"))</f>
        <v>0</v>
      </c>
      <c r="E254" s="26">
        <f>IF($C254="","",IFERROR(INDEX(VeicModelo,MATCH($C254,VeicPlaca,0)),""))</f>
        <v>0</v>
      </c>
      <c r="F254" s="28"/>
      <c r="G254" s="13"/>
      <c r="H254" s="13"/>
      <c r="I254" s="13"/>
      <c r="J254" s="29"/>
      <c r="K254" s="19"/>
      <c r="L254" s="19"/>
      <c r="M254" s="25"/>
      <c r="N254" s="13"/>
      <c r="O254" s="19"/>
      <c r="P254" s="27">
        <f>IF($A254="","",N($J254)*ValorHora)</f>
        <v>0</v>
      </c>
      <c r="Q254" s="27">
        <f>IF($A254="","",SUMIFS(ItTotal,ItOS,$A254))</f>
        <v>0</v>
      </c>
      <c r="R254" s="30">
        <f>IF($A254="","",$P254+$Q254+N($K254)-N($L254))</f>
        <v>0</v>
      </c>
      <c r="S254" s="27">
        <f>IF($A254="","",SUMIFS(ItCusto,ItOS,$A254))</f>
        <v>0</v>
      </c>
      <c r="T254" s="27">
        <f>IF($A254="","",$P254*ComMec)</f>
        <v>0</v>
      </c>
      <c r="U254" s="21">
        <f>IF($A254="","",$R254-$S254-$T254-N($K254))</f>
        <v>0</v>
      </c>
      <c r="V254" s="31">
        <f>IF(OR($A254="",N($R254)&lt;=0),"",$U254/$R254)</f>
        <v>0</v>
      </c>
      <c r="W254" s="27">
        <f>IF($A254="","",IF(OR($I254="Finalizado",$I254="Entregue"),MAX(0,$R254-N($O254)),0))</f>
        <v>0</v>
      </c>
      <c r="X254" s="32">
        <f>IF(OR($A254="",$B254=""),"",IF(OR($I254="Entregue",$I254="Cancelada"),"",Hoje-$B254))</f>
        <v>0</v>
      </c>
      <c r="Y254" s="24">
        <f>IF($A254="","",IF(AND(OR($I254="Aprovado",$I254="Em execução",$I254="Aguardando peça"),N($X254)&gt;PrazoMax),"ATRASADA",IF(AND(OR($I254="Finalizado",$I254="Entregue"),$W254&gt;0.005),"Cobrar",IF($I254="Orçamento","Aguardando aprovação",""))))</f>
        <v>0</v>
      </c>
      <c r="Z254" s="33">
        <f>IF(AND($I254="Entregue",$M254&lt;&gt;""),DATE(YEAR($M254),MONTH($M254),1),"")</f>
        <v>0</v>
      </c>
      <c r="AA254" s="34">
        <f>IF(AND($C254&lt;&gt;"",$C254=HistPlaca),COUNTIF($C$5:$C254,HistPlaca),"")</f>
        <v>0</v>
      </c>
    </row>
    <row r="255" spans="1:27">
      <c r="A255" s="17"/>
      <c r="B255" s="25"/>
      <c r="C255" s="13"/>
      <c r="D255" s="26">
        <f>IF($C255="","",IFERROR(INDEX(VeicCli,MATCH($C255,VeicPlaca,0)),"Placa não cadastrada"))</f>
        <v>0</v>
      </c>
      <c r="E255" s="26">
        <f>IF($C255="","",IFERROR(INDEX(VeicModelo,MATCH($C255,VeicPlaca,0)),""))</f>
        <v>0</v>
      </c>
      <c r="F255" s="28"/>
      <c r="G255" s="13"/>
      <c r="H255" s="13"/>
      <c r="I255" s="13"/>
      <c r="J255" s="29"/>
      <c r="K255" s="19"/>
      <c r="L255" s="19"/>
      <c r="M255" s="25"/>
      <c r="N255" s="13"/>
      <c r="O255" s="19"/>
      <c r="P255" s="27">
        <f>IF($A255="","",N($J255)*ValorHora)</f>
        <v>0</v>
      </c>
      <c r="Q255" s="27">
        <f>IF($A255="","",SUMIFS(ItTotal,ItOS,$A255))</f>
        <v>0</v>
      </c>
      <c r="R255" s="30">
        <f>IF($A255="","",$P255+$Q255+N($K255)-N($L255))</f>
        <v>0</v>
      </c>
      <c r="S255" s="27">
        <f>IF($A255="","",SUMIFS(ItCusto,ItOS,$A255))</f>
        <v>0</v>
      </c>
      <c r="T255" s="27">
        <f>IF($A255="","",$P255*ComMec)</f>
        <v>0</v>
      </c>
      <c r="U255" s="21">
        <f>IF($A255="","",$R255-$S255-$T255-N($K255))</f>
        <v>0</v>
      </c>
      <c r="V255" s="31">
        <f>IF(OR($A255="",N($R255)&lt;=0),"",$U255/$R255)</f>
        <v>0</v>
      </c>
      <c r="W255" s="27">
        <f>IF($A255="","",IF(OR($I255="Finalizado",$I255="Entregue"),MAX(0,$R255-N($O255)),0))</f>
        <v>0</v>
      </c>
      <c r="X255" s="32">
        <f>IF(OR($A255="",$B255=""),"",IF(OR($I255="Entregue",$I255="Cancelada"),"",Hoje-$B255))</f>
        <v>0</v>
      </c>
      <c r="Y255" s="24">
        <f>IF($A255="","",IF(AND(OR($I255="Aprovado",$I255="Em execução",$I255="Aguardando peça"),N($X255)&gt;PrazoMax),"ATRASADA",IF(AND(OR($I255="Finalizado",$I255="Entregue"),$W255&gt;0.005),"Cobrar",IF($I255="Orçamento","Aguardando aprovação",""))))</f>
        <v>0</v>
      </c>
      <c r="Z255" s="33">
        <f>IF(AND($I255="Entregue",$M255&lt;&gt;""),DATE(YEAR($M255),MONTH($M255),1),"")</f>
        <v>0</v>
      </c>
      <c r="AA255" s="34">
        <f>IF(AND($C255&lt;&gt;"",$C255=HistPlaca),COUNTIF($C$5:$C255,HistPlaca),"")</f>
        <v>0</v>
      </c>
    </row>
    <row r="256" spans="1:27">
      <c r="A256" s="17"/>
      <c r="B256" s="25"/>
      <c r="C256" s="13"/>
      <c r="D256" s="26">
        <f>IF($C256="","",IFERROR(INDEX(VeicCli,MATCH($C256,VeicPlaca,0)),"Placa não cadastrada"))</f>
        <v>0</v>
      </c>
      <c r="E256" s="26">
        <f>IF($C256="","",IFERROR(INDEX(VeicModelo,MATCH($C256,VeicPlaca,0)),""))</f>
        <v>0</v>
      </c>
      <c r="F256" s="28"/>
      <c r="G256" s="13"/>
      <c r="H256" s="13"/>
      <c r="I256" s="13"/>
      <c r="J256" s="29"/>
      <c r="K256" s="19"/>
      <c r="L256" s="19"/>
      <c r="M256" s="25"/>
      <c r="N256" s="13"/>
      <c r="O256" s="19"/>
      <c r="P256" s="27">
        <f>IF($A256="","",N($J256)*ValorHora)</f>
        <v>0</v>
      </c>
      <c r="Q256" s="27">
        <f>IF($A256="","",SUMIFS(ItTotal,ItOS,$A256))</f>
        <v>0</v>
      </c>
      <c r="R256" s="30">
        <f>IF($A256="","",$P256+$Q256+N($K256)-N($L256))</f>
        <v>0</v>
      </c>
      <c r="S256" s="27">
        <f>IF($A256="","",SUMIFS(ItCusto,ItOS,$A256))</f>
        <v>0</v>
      </c>
      <c r="T256" s="27">
        <f>IF($A256="","",$P256*ComMec)</f>
        <v>0</v>
      </c>
      <c r="U256" s="21">
        <f>IF($A256="","",$R256-$S256-$T256-N($K256))</f>
        <v>0</v>
      </c>
      <c r="V256" s="31">
        <f>IF(OR($A256="",N($R256)&lt;=0),"",$U256/$R256)</f>
        <v>0</v>
      </c>
      <c r="W256" s="27">
        <f>IF($A256="","",IF(OR($I256="Finalizado",$I256="Entregue"),MAX(0,$R256-N($O256)),0))</f>
        <v>0</v>
      </c>
      <c r="X256" s="32">
        <f>IF(OR($A256="",$B256=""),"",IF(OR($I256="Entregue",$I256="Cancelada"),"",Hoje-$B256))</f>
        <v>0</v>
      </c>
      <c r="Y256" s="24">
        <f>IF($A256="","",IF(AND(OR($I256="Aprovado",$I256="Em execução",$I256="Aguardando peça"),N($X256)&gt;PrazoMax),"ATRASADA",IF(AND(OR($I256="Finalizado",$I256="Entregue"),$W256&gt;0.005),"Cobrar",IF($I256="Orçamento","Aguardando aprovação",""))))</f>
        <v>0</v>
      </c>
      <c r="Z256" s="33">
        <f>IF(AND($I256="Entregue",$M256&lt;&gt;""),DATE(YEAR($M256),MONTH($M256),1),"")</f>
        <v>0</v>
      </c>
      <c r="AA256" s="34">
        <f>IF(AND($C256&lt;&gt;"",$C256=HistPlaca),COUNTIF($C$5:$C256,HistPlaca),"")</f>
        <v>0</v>
      </c>
    </row>
    <row r="257" spans="1:27">
      <c r="A257" s="17"/>
      <c r="B257" s="25"/>
      <c r="C257" s="13"/>
      <c r="D257" s="26">
        <f>IF($C257="","",IFERROR(INDEX(VeicCli,MATCH($C257,VeicPlaca,0)),"Placa não cadastrada"))</f>
        <v>0</v>
      </c>
      <c r="E257" s="26">
        <f>IF($C257="","",IFERROR(INDEX(VeicModelo,MATCH($C257,VeicPlaca,0)),""))</f>
        <v>0</v>
      </c>
      <c r="F257" s="28"/>
      <c r="G257" s="13"/>
      <c r="H257" s="13"/>
      <c r="I257" s="13"/>
      <c r="J257" s="29"/>
      <c r="K257" s="19"/>
      <c r="L257" s="19"/>
      <c r="M257" s="25"/>
      <c r="N257" s="13"/>
      <c r="O257" s="19"/>
      <c r="P257" s="27">
        <f>IF($A257="","",N($J257)*ValorHora)</f>
        <v>0</v>
      </c>
      <c r="Q257" s="27">
        <f>IF($A257="","",SUMIFS(ItTotal,ItOS,$A257))</f>
        <v>0</v>
      </c>
      <c r="R257" s="30">
        <f>IF($A257="","",$P257+$Q257+N($K257)-N($L257))</f>
        <v>0</v>
      </c>
      <c r="S257" s="27">
        <f>IF($A257="","",SUMIFS(ItCusto,ItOS,$A257))</f>
        <v>0</v>
      </c>
      <c r="T257" s="27">
        <f>IF($A257="","",$P257*ComMec)</f>
        <v>0</v>
      </c>
      <c r="U257" s="21">
        <f>IF($A257="","",$R257-$S257-$T257-N($K257))</f>
        <v>0</v>
      </c>
      <c r="V257" s="31">
        <f>IF(OR($A257="",N($R257)&lt;=0),"",$U257/$R257)</f>
        <v>0</v>
      </c>
      <c r="W257" s="27">
        <f>IF($A257="","",IF(OR($I257="Finalizado",$I257="Entregue"),MAX(0,$R257-N($O257)),0))</f>
        <v>0</v>
      </c>
      <c r="X257" s="32">
        <f>IF(OR($A257="",$B257=""),"",IF(OR($I257="Entregue",$I257="Cancelada"),"",Hoje-$B257))</f>
        <v>0</v>
      </c>
      <c r="Y257" s="24">
        <f>IF($A257="","",IF(AND(OR($I257="Aprovado",$I257="Em execução",$I257="Aguardando peça"),N($X257)&gt;PrazoMax),"ATRASADA",IF(AND(OR($I257="Finalizado",$I257="Entregue"),$W257&gt;0.005),"Cobrar",IF($I257="Orçamento","Aguardando aprovação",""))))</f>
        <v>0</v>
      </c>
      <c r="Z257" s="33">
        <f>IF(AND($I257="Entregue",$M257&lt;&gt;""),DATE(YEAR($M257),MONTH($M257),1),"")</f>
        <v>0</v>
      </c>
      <c r="AA257" s="34">
        <f>IF(AND($C257&lt;&gt;"",$C257=HistPlaca),COUNTIF($C$5:$C257,HistPlaca),"")</f>
        <v>0</v>
      </c>
    </row>
    <row r="258" spans="1:27">
      <c r="A258" s="17"/>
      <c r="B258" s="25"/>
      <c r="C258" s="13"/>
      <c r="D258" s="26">
        <f>IF($C258="","",IFERROR(INDEX(VeicCli,MATCH($C258,VeicPlaca,0)),"Placa não cadastrada"))</f>
        <v>0</v>
      </c>
      <c r="E258" s="26">
        <f>IF($C258="","",IFERROR(INDEX(VeicModelo,MATCH($C258,VeicPlaca,0)),""))</f>
        <v>0</v>
      </c>
      <c r="F258" s="28"/>
      <c r="G258" s="13"/>
      <c r="H258" s="13"/>
      <c r="I258" s="13"/>
      <c r="J258" s="29"/>
      <c r="K258" s="19"/>
      <c r="L258" s="19"/>
      <c r="M258" s="25"/>
      <c r="N258" s="13"/>
      <c r="O258" s="19"/>
      <c r="P258" s="27">
        <f>IF($A258="","",N($J258)*ValorHora)</f>
        <v>0</v>
      </c>
      <c r="Q258" s="27">
        <f>IF($A258="","",SUMIFS(ItTotal,ItOS,$A258))</f>
        <v>0</v>
      </c>
      <c r="R258" s="30">
        <f>IF($A258="","",$P258+$Q258+N($K258)-N($L258))</f>
        <v>0</v>
      </c>
      <c r="S258" s="27">
        <f>IF($A258="","",SUMIFS(ItCusto,ItOS,$A258))</f>
        <v>0</v>
      </c>
      <c r="T258" s="27">
        <f>IF($A258="","",$P258*ComMec)</f>
        <v>0</v>
      </c>
      <c r="U258" s="21">
        <f>IF($A258="","",$R258-$S258-$T258-N($K258))</f>
        <v>0</v>
      </c>
      <c r="V258" s="31">
        <f>IF(OR($A258="",N($R258)&lt;=0),"",$U258/$R258)</f>
        <v>0</v>
      </c>
      <c r="W258" s="27">
        <f>IF($A258="","",IF(OR($I258="Finalizado",$I258="Entregue"),MAX(0,$R258-N($O258)),0))</f>
        <v>0</v>
      </c>
      <c r="X258" s="32">
        <f>IF(OR($A258="",$B258=""),"",IF(OR($I258="Entregue",$I258="Cancelada"),"",Hoje-$B258))</f>
        <v>0</v>
      </c>
      <c r="Y258" s="24">
        <f>IF($A258="","",IF(AND(OR($I258="Aprovado",$I258="Em execução",$I258="Aguardando peça"),N($X258)&gt;PrazoMax),"ATRASADA",IF(AND(OR($I258="Finalizado",$I258="Entregue"),$W258&gt;0.005),"Cobrar",IF($I258="Orçamento","Aguardando aprovação",""))))</f>
        <v>0</v>
      </c>
      <c r="Z258" s="33">
        <f>IF(AND($I258="Entregue",$M258&lt;&gt;""),DATE(YEAR($M258),MONTH($M258),1),"")</f>
        <v>0</v>
      </c>
      <c r="AA258" s="34">
        <f>IF(AND($C258&lt;&gt;"",$C258=HistPlaca),COUNTIF($C$5:$C258,HistPlaca),"")</f>
        <v>0</v>
      </c>
    </row>
    <row r="259" spans="1:27">
      <c r="A259" s="17"/>
      <c r="B259" s="25"/>
      <c r="C259" s="13"/>
      <c r="D259" s="26">
        <f>IF($C259="","",IFERROR(INDEX(VeicCli,MATCH($C259,VeicPlaca,0)),"Placa não cadastrada"))</f>
        <v>0</v>
      </c>
      <c r="E259" s="26">
        <f>IF($C259="","",IFERROR(INDEX(VeicModelo,MATCH($C259,VeicPlaca,0)),""))</f>
        <v>0</v>
      </c>
      <c r="F259" s="28"/>
      <c r="G259" s="13"/>
      <c r="H259" s="13"/>
      <c r="I259" s="13"/>
      <c r="J259" s="29"/>
      <c r="K259" s="19"/>
      <c r="L259" s="19"/>
      <c r="M259" s="25"/>
      <c r="N259" s="13"/>
      <c r="O259" s="19"/>
      <c r="P259" s="27">
        <f>IF($A259="","",N($J259)*ValorHora)</f>
        <v>0</v>
      </c>
      <c r="Q259" s="27">
        <f>IF($A259="","",SUMIFS(ItTotal,ItOS,$A259))</f>
        <v>0</v>
      </c>
      <c r="R259" s="30">
        <f>IF($A259="","",$P259+$Q259+N($K259)-N($L259))</f>
        <v>0</v>
      </c>
      <c r="S259" s="27">
        <f>IF($A259="","",SUMIFS(ItCusto,ItOS,$A259))</f>
        <v>0</v>
      </c>
      <c r="T259" s="27">
        <f>IF($A259="","",$P259*ComMec)</f>
        <v>0</v>
      </c>
      <c r="U259" s="21">
        <f>IF($A259="","",$R259-$S259-$T259-N($K259))</f>
        <v>0</v>
      </c>
      <c r="V259" s="31">
        <f>IF(OR($A259="",N($R259)&lt;=0),"",$U259/$R259)</f>
        <v>0</v>
      </c>
      <c r="W259" s="27">
        <f>IF($A259="","",IF(OR($I259="Finalizado",$I259="Entregue"),MAX(0,$R259-N($O259)),0))</f>
        <v>0</v>
      </c>
      <c r="X259" s="32">
        <f>IF(OR($A259="",$B259=""),"",IF(OR($I259="Entregue",$I259="Cancelada"),"",Hoje-$B259))</f>
        <v>0</v>
      </c>
      <c r="Y259" s="24">
        <f>IF($A259="","",IF(AND(OR($I259="Aprovado",$I259="Em execução",$I259="Aguardando peça"),N($X259)&gt;PrazoMax),"ATRASADA",IF(AND(OR($I259="Finalizado",$I259="Entregue"),$W259&gt;0.005),"Cobrar",IF($I259="Orçamento","Aguardando aprovação",""))))</f>
        <v>0</v>
      </c>
      <c r="Z259" s="33">
        <f>IF(AND($I259="Entregue",$M259&lt;&gt;""),DATE(YEAR($M259),MONTH($M259),1),"")</f>
        <v>0</v>
      </c>
      <c r="AA259" s="34">
        <f>IF(AND($C259&lt;&gt;"",$C259=HistPlaca),COUNTIF($C$5:$C259,HistPlaca),"")</f>
        <v>0</v>
      </c>
    </row>
    <row r="260" spans="1:27">
      <c r="A260" s="17"/>
      <c r="B260" s="25"/>
      <c r="C260" s="13"/>
      <c r="D260" s="26">
        <f>IF($C260="","",IFERROR(INDEX(VeicCli,MATCH($C260,VeicPlaca,0)),"Placa não cadastrada"))</f>
        <v>0</v>
      </c>
      <c r="E260" s="26">
        <f>IF($C260="","",IFERROR(INDEX(VeicModelo,MATCH($C260,VeicPlaca,0)),""))</f>
        <v>0</v>
      </c>
      <c r="F260" s="28"/>
      <c r="G260" s="13"/>
      <c r="H260" s="13"/>
      <c r="I260" s="13"/>
      <c r="J260" s="29"/>
      <c r="K260" s="19"/>
      <c r="L260" s="19"/>
      <c r="M260" s="25"/>
      <c r="N260" s="13"/>
      <c r="O260" s="19"/>
      <c r="P260" s="27">
        <f>IF($A260="","",N($J260)*ValorHora)</f>
        <v>0</v>
      </c>
      <c r="Q260" s="27">
        <f>IF($A260="","",SUMIFS(ItTotal,ItOS,$A260))</f>
        <v>0</v>
      </c>
      <c r="R260" s="30">
        <f>IF($A260="","",$P260+$Q260+N($K260)-N($L260))</f>
        <v>0</v>
      </c>
      <c r="S260" s="27">
        <f>IF($A260="","",SUMIFS(ItCusto,ItOS,$A260))</f>
        <v>0</v>
      </c>
      <c r="T260" s="27">
        <f>IF($A260="","",$P260*ComMec)</f>
        <v>0</v>
      </c>
      <c r="U260" s="21">
        <f>IF($A260="","",$R260-$S260-$T260-N($K260))</f>
        <v>0</v>
      </c>
      <c r="V260" s="31">
        <f>IF(OR($A260="",N($R260)&lt;=0),"",$U260/$R260)</f>
        <v>0</v>
      </c>
      <c r="W260" s="27">
        <f>IF($A260="","",IF(OR($I260="Finalizado",$I260="Entregue"),MAX(0,$R260-N($O260)),0))</f>
        <v>0</v>
      </c>
      <c r="X260" s="32">
        <f>IF(OR($A260="",$B260=""),"",IF(OR($I260="Entregue",$I260="Cancelada"),"",Hoje-$B260))</f>
        <v>0</v>
      </c>
      <c r="Y260" s="24">
        <f>IF($A260="","",IF(AND(OR($I260="Aprovado",$I260="Em execução",$I260="Aguardando peça"),N($X260)&gt;PrazoMax),"ATRASADA",IF(AND(OR($I260="Finalizado",$I260="Entregue"),$W260&gt;0.005),"Cobrar",IF($I260="Orçamento","Aguardando aprovação",""))))</f>
        <v>0</v>
      </c>
      <c r="Z260" s="33">
        <f>IF(AND($I260="Entregue",$M260&lt;&gt;""),DATE(YEAR($M260),MONTH($M260),1),"")</f>
        <v>0</v>
      </c>
      <c r="AA260" s="34">
        <f>IF(AND($C260&lt;&gt;"",$C260=HistPlaca),COUNTIF($C$5:$C260,HistPlaca),"")</f>
        <v>0</v>
      </c>
    </row>
    <row r="261" spans="1:27">
      <c r="A261" s="17"/>
      <c r="B261" s="25"/>
      <c r="C261" s="13"/>
      <c r="D261" s="26">
        <f>IF($C261="","",IFERROR(INDEX(VeicCli,MATCH($C261,VeicPlaca,0)),"Placa não cadastrada"))</f>
        <v>0</v>
      </c>
      <c r="E261" s="26">
        <f>IF($C261="","",IFERROR(INDEX(VeicModelo,MATCH($C261,VeicPlaca,0)),""))</f>
        <v>0</v>
      </c>
      <c r="F261" s="28"/>
      <c r="G261" s="13"/>
      <c r="H261" s="13"/>
      <c r="I261" s="13"/>
      <c r="J261" s="29"/>
      <c r="K261" s="19"/>
      <c r="L261" s="19"/>
      <c r="M261" s="25"/>
      <c r="N261" s="13"/>
      <c r="O261" s="19"/>
      <c r="P261" s="27">
        <f>IF($A261="","",N($J261)*ValorHora)</f>
        <v>0</v>
      </c>
      <c r="Q261" s="27">
        <f>IF($A261="","",SUMIFS(ItTotal,ItOS,$A261))</f>
        <v>0</v>
      </c>
      <c r="R261" s="30">
        <f>IF($A261="","",$P261+$Q261+N($K261)-N($L261))</f>
        <v>0</v>
      </c>
      <c r="S261" s="27">
        <f>IF($A261="","",SUMIFS(ItCusto,ItOS,$A261))</f>
        <v>0</v>
      </c>
      <c r="T261" s="27">
        <f>IF($A261="","",$P261*ComMec)</f>
        <v>0</v>
      </c>
      <c r="U261" s="21">
        <f>IF($A261="","",$R261-$S261-$T261-N($K261))</f>
        <v>0</v>
      </c>
      <c r="V261" s="31">
        <f>IF(OR($A261="",N($R261)&lt;=0),"",$U261/$R261)</f>
        <v>0</v>
      </c>
      <c r="W261" s="27">
        <f>IF($A261="","",IF(OR($I261="Finalizado",$I261="Entregue"),MAX(0,$R261-N($O261)),0))</f>
        <v>0</v>
      </c>
      <c r="X261" s="32">
        <f>IF(OR($A261="",$B261=""),"",IF(OR($I261="Entregue",$I261="Cancelada"),"",Hoje-$B261))</f>
        <v>0</v>
      </c>
      <c r="Y261" s="24">
        <f>IF($A261="","",IF(AND(OR($I261="Aprovado",$I261="Em execução",$I261="Aguardando peça"),N($X261)&gt;PrazoMax),"ATRASADA",IF(AND(OR($I261="Finalizado",$I261="Entregue"),$W261&gt;0.005),"Cobrar",IF($I261="Orçamento","Aguardando aprovação",""))))</f>
        <v>0</v>
      </c>
      <c r="Z261" s="33">
        <f>IF(AND($I261="Entregue",$M261&lt;&gt;""),DATE(YEAR($M261),MONTH($M261),1),"")</f>
        <v>0</v>
      </c>
      <c r="AA261" s="34">
        <f>IF(AND($C261&lt;&gt;"",$C261=HistPlaca),COUNTIF($C$5:$C261,HistPlaca),"")</f>
        <v>0</v>
      </c>
    </row>
    <row r="262" spans="1:27">
      <c r="A262" s="17"/>
      <c r="B262" s="25"/>
      <c r="C262" s="13"/>
      <c r="D262" s="26">
        <f>IF($C262="","",IFERROR(INDEX(VeicCli,MATCH($C262,VeicPlaca,0)),"Placa não cadastrada"))</f>
        <v>0</v>
      </c>
      <c r="E262" s="26">
        <f>IF($C262="","",IFERROR(INDEX(VeicModelo,MATCH($C262,VeicPlaca,0)),""))</f>
        <v>0</v>
      </c>
      <c r="F262" s="28"/>
      <c r="G262" s="13"/>
      <c r="H262" s="13"/>
      <c r="I262" s="13"/>
      <c r="J262" s="29"/>
      <c r="K262" s="19"/>
      <c r="L262" s="19"/>
      <c r="M262" s="25"/>
      <c r="N262" s="13"/>
      <c r="O262" s="19"/>
      <c r="P262" s="27">
        <f>IF($A262="","",N($J262)*ValorHora)</f>
        <v>0</v>
      </c>
      <c r="Q262" s="27">
        <f>IF($A262="","",SUMIFS(ItTotal,ItOS,$A262))</f>
        <v>0</v>
      </c>
      <c r="R262" s="30">
        <f>IF($A262="","",$P262+$Q262+N($K262)-N($L262))</f>
        <v>0</v>
      </c>
      <c r="S262" s="27">
        <f>IF($A262="","",SUMIFS(ItCusto,ItOS,$A262))</f>
        <v>0</v>
      </c>
      <c r="T262" s="27">
        <f>IF($A262="","",$P262*ComMec)</f>
        <v>0</v>
      </c>
      <c r="U262" s="21">
        <f>IF($A262="","",$R262-$S262-$T262-N($K262))</f>
        <v>0</v>
      </c>
      <c r="V262" s="31">
        <f>IF(OR($A262="",N($R262)&lt;=0),"",$U262/$R262)</f>
        <v>0</v>
      </c>
      <c r="W262" s="27">
        <f>IF($A262="","",IF(OR($I262="Finalizado",$I262="Entregue"),MAX(0,$R262-N($O262)),0))</f>
        <v>0</v>
      </c>
      <c r="X262" s="32">
        <f>IF(OR($A262="",$B262=""),"",IF(OR($I262="Entregue",$I262="Cancelada"),"",Hoje-$B262))</f>
        <v>0</v>
      </c>
      <c r="Y262" s="24">
        <f>IF($A262="","",IF(AND(OR($I262="Aprovado",$I262="Em execução",$I262="Aguardando peça"),N($X262)&gt;PrazoMax),"ATRASADA",IF(AND(OR($I262="Finalizado",$I262="Entregue"),$W262&gt;0.005),"Cobrar",IF($I262="Orçamento","Aguardando aprovação",""))))</f>
        <v>0</v>
      </c>
      <c r="Z262" s="33">
        <f>IF(AND($I262="Entregue",$M262&lt;&gt;""),DATE(YEAR($M262),MONTH($M262),1),"")</f>
        <v>0</v>
      </c>
      <c r="AA262" s="34">
        <f>IF(AND($C262&lt;&gt;"",$C262=HistPlaca),COUNTIF($C$5:$C262,HistPlaca),"")</f>
        <v>0</v>
      </c>
    </row>
    <row r="263" spans="1:27">
      <c r="A263" s="17"/>
      <c r="B263" s="25"/>
      <c r="C263" s="13"/>
      <c r="D263" s="26">
        <f>IF($C263="","",IFERROR(INDEX(VeicCli,MATCH($C263,VeicPlaca,0)),"Placa não cadastrada"))</f>
        <v>0</v>
      </c>
      <c r="E263" s="26">
        <f>IF($C263="","",IFERROR(INDEX(VeicModelo,MATCH($C263,VeicPlaca,0)),""))</f>
        <v>0</v>
      </c>
      <c r="F263" s="28"/>
      <c r="G263" s="13"/>
      <c r="H263" s="13"/>
      <c r="I263" s="13"/>
      <c r="J263" s="29"/>
      <c r="K263" s="19"/>
      <c r="L263" s="19"/>
      <c r="M263" s="25"/>
      <c r="N263" s="13"/>
      <c r="O263" s="19"/>
      <c r="P263" s="27">
        <f>IF($A263="","",N($J263)*ValorHora)</f>
        <v>0</v>
      </c>
      <c r="Q263" s="27">
        <f>IF($A263="","",SUMIFS(ItTotal,ItOS,$A263))</f>
        <v>0</v>
      </c>
      <c r="R263" s="30">
        <f>IF($A263="","",$P263+$Q263+N($K263)-N($L263))</f>
        <v>0</v>
      </c>
      <c r="S263" s="27">
        <f>IF($A263="","",SUMIFS(ItCusto,ItOS,$A263))</f>
        <v>0</v>
      </c>
      <c r="T263" s="27">
        <f>IF($A263="","",$P263*ComMec)</f>
        <v>0</v>
      </c>
      <c r="U263" s="21">
        <f>IF($A263="","",$R263-$S263-$T263-N($K263))</f>
        <v>0</v>
      </c>
      <c r="V263" s="31">
        <f>IF(OR($A263="",N($R263)&lt;=0),"",$U263/$R263)</f>
        <v>0</v>
      </c>
      <c r="W263" s="27">
        <f>IF($A263="","",IF(OR($I263="Finalizado",$I263="Entregue"),MAX(0,$R263-N($O263)),0))</f>
        <v>0</v>
      </c>
      <c r="X263" s="32">
        <f>IF(OR($A263="",$B263=""),"",IF(OR($I263="Entregue",$I263="Cancelada"),"",Hoje-$B263))</f>
        <v>0</v>
      </c>
      <c r="Y263" s="24">
        <f>IF($A263="","",IF(AND(OR($I263="Aprovado",$I263="Em execução",$I263="Aguardando peça"),N($X263)&gt;PrazoMax),"ATRASADA",IF(AND(OR($I263="Finalizado",$I263="Entregue"),$W263&gt;0.005),"Cobrar",IF($I263="Orçamento","Aguardando aprovação",""))))</f>
        <v>0</v>
      </c>
      <c r="Z263" s="33">
        <f>IF(AND($I263="Entregue",$M263&lt;&gt;""),DATE(YEAR($M263),MONTH($M263),1),"")</f>
        <v>0</v>
      </c>
      <c r="AA263" s="34">
        <f>IF(AND($C263&lt;&gt;"",$C263=HistPlaca),COUNTIF($C$5:$C263,HistPlaca),"")</f>
        <v>0</v>
      </c>
    </row>
    <row r="264" spans="1:27">
      <c r="A264" s="17"/>
      <c r="B264" s="25"/>
      <c r="C264" s="13"/>
      <c r="D264" s="26">
        <f>IF($C264="","",IFERROR(INDEX(VeicCli,MATCH($C264,VeicPlaca,0)),"Placa não cadastrada"))</f>
        <v>0</v>
      </c>
      <c r="E264" s="26">
        <f>IF($C264="","",IFERROR(INDEX(VeicModelo,MATCH($C264,VeicPlaca,0)),""))</f>
        <v>0</v>
      </c>
      <c r="F264" s="28"/>
      <c r="G264" s="13"/>
      <c r="H264" s="13"/>
      <c r="I264" s="13"/>
      <c r="J264" s="29"/>
      <c r="K264" s="19"/>
      <c r="L264" s="19"/>
      <c r="M264" s="25"/>
      <c r="N264" s="13"/>
      <c r="O264" s="19"/>
      <c r="P264" s="27">
        <f>IF($A264="","",N($J264)*ValorHora)</f>
        <v>0</v>
      </c>
      <c r="Q264" s="27">
        <f>IF($A264="","",SUMIFS(ItTotal,ItOS,$A264))</f>
        <v>0</v>
      </c>
      <c r="R264" s="30">
        <f>IF($A264="","",$P264+$Q264+N($K264)-N($L264))</f>
        <v>0</v>
      </c>
      <c r="S264" s="27">
        <f>IF($A264="","",SUMIFS(ItCusto,ItOS,$A264))</f>
        <v>0</v>
      </c>
      <c r="T264" s="27">
        <f>IF($A264="","",$P264*ComMec)</f>
        <v>0</v>
      </c>
      <c r="U264" s="21">
        <f>IF($A264="","",$R264-$S264-$T264-N($K264))</f>
        <v>0</v>
      </c>
      <c r="V264" s="31">
        <f>IF(OR($A264="",N($R264)&lt;=0),"",$U264/$R264)</f>
        <v>0</v>
      </c>
      <c r="W264" s="27">
        <f>IF($A264="","",IF(OR($I264="Finalizado",$I264="Entregue"),MAX(0,$R264-N($O264)),0))</f>
        <v>0</v>
      </c>
      <c r="X264" s="32">
        <f>IF(OR($A264="",$B264=""),"",IF(OR($I264="Entregue",$I264="Cancelada"),"",Hoje-$B264))</f>
        <v>0</v>
      </c>
      <c r="Y264" s="24">
        <f>IF($A264="","",IF(AND(OR($I264="Aprovado",$I264="Em execução",$I264="Aguardando peça"),N($X264)&gt;PrazoMax),"ATRASADA",IF(AND(OR($I264="Finalizado",$I264="Entregue"),$W264&gt;0.005),"Cobrar",IF($I264="Orçamento","Aguardando aprovação",""))))</f>
        <v>0</v>
      </c>
      <c r="Z264" s="33">
        <f>IF(AND($I264="Entregue",$M264&lt;&gt;""),DATE(YEAR($M264),MONTH($M264),1),"")</f>
        <v>0</v>
      </c>
      <c r="AA264" s="34">
        <f>IF(AND($C264&lt;&gt;"",$C264=HistPlaca),COUNTIF($C$5:$C264,HistPlaca),"")</f>
        <v>0</v>
      </c>
    </row>
    <row r="265" spans="1:27">
      <c r="A265" s="17"/>
      <c r="B265" s="25"/>
      <c r="C265" s="13"/>
      <c r="D265" s="26">
        <f>IF($C265="","",IFERROR(INDEX(VeicCli,MATCH($C265,VeicPlaca,0)),"Placa não cadastrada"))</f>
        <v>0</v>
      </c>
      <c r="E265" s="26">
        <f>IF($C265="","",IFERROR(INDEX(VeicModelo,MATCH($C265,VeicPlaca,0)),""))</f>
        <v>0</v>
      </c>
      <c r="F265" s="28"/>
      <c r="G265" s="13"/>
      <c r="H265" s="13"/>
      <c r="I265" s="13"/>
      <c r="J265" s="29"/>
      <c r="K265" s="19"/>
      <c r="L265" s="19"/>
      <c r="M265" s="25"/>
      <c r="N265" s="13"/>
      <c r="O265" s="19"/>
      <c r="P265" s="27">
        <f>IF($A265="","",N($J265)*ValorHora)</f>
        <v>0</v>
      </c>
      <c r="Q265" s="27">
        <f>IF($A265="","",SUMIFS(ItTotal,ItOS,$A265))</f>
        <v>0</v>
      </c>
      <c r="R265" s="30">
        <f>IF($A265="","",$P265+$Q265+N($K265)-N($L265))</f>
        <v>0</v>
      </c>
      <c r="S265" s="27">
        <f>IF($A265="","",SUMIFS(ItCusto,ItOS,$A265))</f>
        <v>0</v>
      </c>
      <c r="T265" s="27">
        <f>IF($A265="","",$P265*ComMec)</f>
        <v>0</v>
      </c>
      <c r="U265" s="21">
        <f>IF($A265="","",$R265-$S265-$T265-N($K265))</f>
        <v>0</v>
      </c>
      <c r="V265" s="31">
        <f>IF(OR($A265="",N($R265)&lt;=0),"",$U265/$R265)</f>
        <v>0</v>
      </c>
      <c r="W265" s="27">
        <f>IF($A265="","",IF(OR($I265="Finalizado",$I265="Entregue"),MAX(0,$R265-N($O265)),0))</f>
        <v>0</v>
      </c>
      <c r="X265" s="32">
        <f>IF(OR($A265="",$B265=""),"",IF(OR($I265="Entregue",$I265="Cancelada"),"",Hoje-$B265))</f>
        <v>0</v>
      </c>
      <c r="Y265" s="24">
        <f>IF($A265="","",IF(AND(OR($I265="Aprovado",$I265="Em execução",$I265="Aguardando peça"),N($X265)&gt;PrazoMax),"ATRASADA",IF(AND(OR($I265="Finalizado",$I265="Entregue"),$W265&gt;0.005),"Cobrar",IF($I265="Orçamento","Aguardando aprovação",""))))</f>
        <v>0</v>
      </c>
      <c r="Z265" s="33">
        <f>IF(AND($I265="Entregue",$M265&lt;&gt;""),DATE(YEAR($M265),MONTH($M265),1),"")</f>
        <v>0</v>
      </c>
      <c r="AA265" s="34">
        <f>IF(AND($C265&lt;&gt;"",$C265=HistPlaca),COUNTIF($C$5:$C265,HistPlaca),"")</f>
        <v>0</v>
      </c>
    </row>
    <row r="266" spans="1:27">
      <c r="A266" s="17"/>
      <c r="B266" s="25"/>
      <c r="C266" s="13"/>
      <c r="D266" s="26">
        <f>IF($C266="","",IFERROR(INDEX(VeicCli,MATCH($C266,VeicPlaca,0)),"Placa não cadastrada"))</f>
        <v>0</v>
      </c>
      <c r="E266" s="26">
        <f>IF($C266="","",IFERROR(INDEX(VeicModelo,MATCH($C266,VeicPlaca,0)),""))</f>
        <v>0</v>
      </c>
      <c r="F266" s="28"/>
      <c r="G266" s="13"/>
      <c r="H266" s="13"/>
      <c r="I266" s="13"/>
      <c r="J266" s="29"/>
      <c r="K266" s="19"/>
      <c r="L266" s="19"/>
      <c r="M266" s="25"/>
      <c r="N266" s="13"/>
      <c r="O266" s="19"/>
      <c r="P266" s="27">
        <f>IF($A266="","",N($J266)*ValorHora)</f>
        <v>0</v>
      </c>
      <c r="Q266" s="27">
        <f>IF($A266="","",SUMIFS(ItTotal,ItOS,$A266))</f>
        <v>0</v>
      </c>
      <c r="R266" s="30">
        <f>IF($A266="","",$P266+$Q266+N($K266)-N($L266))</f>
        <v>0</v>
      </c>
      <c r="S266" s="27">
        <f>IF($A266="","",SUMIFS(ItCusto,ItOS,$A266))</f>
        <v>0</v>
      </c>
      <c r="T266" s="27">
        <f>IF($A266="","",$P266*ComMec)</f>
        <v>0</v>
      </c>
      <c r="U266" s="21">
        <f>IF($A266="","",$R266-$S266-$T266-N($K266))</f>
        <v>0</v>
      </c>
      <c r="V266" s="31">
        <f>IF(OR($A266="",N($R266)&lt;=0),"",$U266/$R266)</f>
        <v>0</v>
      </c>
      <c r="W266" s="27">
        <f>IF($A266="","",IF(OR($I266="Finalizado",$I266="Entregue"),MAX(0,$R266-N($O266)),0))</f>
        <v>0</v>
      </c>
      <c r="X266" s="32">
        <f>IF(OR($A266="",$B266=""),"",IF(OR($I266="Entregue",$I266="Cancelada"),"",Hoje-$B266))</f>
        <v>0</v>
      </c>
      <c r="Y266" s="24">
        <f>IF($A266="","",IF(AND(OR($I266="Aprovado",$I266="Em execução",$I266="Aguardando peça"),N($X266)&gt;PrazoMax),"ATRASADA",IF(AND(OR($I266="Finalizado",$I266="Entregue"),$W266&gt;0.005),"Cobrar",IF($I266="Orçamento","Aguardando aprovação",""))))</f>
        <v>0</v>
      </c>
      <c r="Z266" s="33">
        <f>IF(AND($I266="Entregue",$M266&lt;&gt;""),DATE(YEAR($M266),MONTH($M266),1),"")</f>
        <v>0</v>
      </c>
      <c r="AA266" s="34">
        <f>IF(AND($C266&lt;&gt;"",$C266=HistPlaca),COUNTIF($C$5:$C266,HistPlaca),"")</f>
        <v>0</v>
      </c>
    </row>
    <row r="267" spans="1:27">
      <c r="A267" s="17"/>
      <c r="B267" s="25"/>
      <c r="C267" s="13"/>
      <c r="D267" s="26">
        <f>IF($C267="","",IFERROR(INDEX(VeicCli,MATCH($C267,VeicPlaca,0)),"Placa não cadastrada"))</f>
        <v>0</v>
      </c>
      <c r="E267" s="26">
        <f>IF($C267="","",IFERROR(INDEX(VeicModelo,MATCH($C267,VeicPlaca,0)),""))</f>
        <v>0</v>
      </c>
      <c r="F267" s="28"/>
      <c r="G267" s="13"/>
      <c r="H267" s="13"/>
      <c r="I267" s="13"/>
      <c r="J267" s="29"/>
      <c r="K267" s="19"/>
      <c r="L267" s="19"/>
      <c r="M267" s="25"/>
      <c r="N267" s="13"/>
      <c r="O267" s="19"/>
      <c r="P267" s="27">
        <f>IF($A267="","",N($J267)*ValorHora)</f>
        <v>0</v>
      </c>
      <c r="Q267" s="27">
        <f>IF($A267="","",SUMIFS(ItTotal,ItOS,$A267))</f>
        <v>0</v>
      </c>
      <c r="R267" s="30">
        <f>IF($A267="","",$P267+$Q267+N($K267)-N($L267))</f>
        <v>0</v>
      </c>
      <c r="S267" s="27">
        <f>IF($A267="","",SUMIFS(ItCusto,ItOS,$A267))</f>
        <v>0</v>
      </c>
      <c r="T267" s="27">
        <f>IF($A267="","",$P267*ComMec)</f>
        <v>0</v>
      </c>
      <c r="U267" s="21">
        <f>IF($A267="","",$R267-$S267-$T267-N($K267))</f>
        <v>0</v>
      </c>
      <c r="V267" s="31">
        <f>IF(OR($A267="",N($R267)&lt;=0),"",$U267/$R267)</f>
        <v>0</v>
      </c>
      <c r="W267" s="27">
        <f>IF($A267="","",IF(OR($I267="Finalizado",$I267="Entregue"),MAX(0,$R267-N($O267)),0))</f>
        <v>0</v>
      </c>
      <c r="X267" s="32">
        <f>IF(OR($A267="",$B267=""),"",IF(OR($I267="Entregue",$I267="Cancelada"),"",Hoje-$B267))</f>
        <v>0</v>
      </c>
      <c r="Y267" s="24">
        <f>IF($A267="","",IF(AND(OR($I267="Aprovado",$I267="Em execução",$I267="Aguardando peça"),N($X267)&gt;PrazoMax),"ATRASADA",IF(AND(OR($I267="Finalizado",$I267="Entregue"),$W267&gt;0.005),"Cobrar",IF($I267="Orçamento","Aguardando aprovação",""))))</f>
        <v>0</v>
      </c>
      <c r="Z267" s="33">
        <f>IF(AND($I267="Entregue",$M267&lt;&gt;""),DATE(YEAR($M267),MONTH($M267),1),"")</f>
        <v>0</v>
      </c>
      <c r="AA267" s="34">
        <f>IF(AND($C267&lt;&gt;"",$C267=HistPlaca),COUNTIF($C$5:$C267,HistPlaca),"")</f>
        <v>0</v>
      </c>
    </row>
    <row r="268" spans="1:27">
      <c r="A268" s="17"/>
      <c r="B268" s="25"/>
      <c r="C268" s="13"/>
      <c r="D268" s="26">
        <f>IF($C268="","",IFERROR(INDEX(VeicCli,MATCH($C268,VeicPlaca,0)),"Placa não cadastrada"))</f>
        <v>0</v>
      </c>
      <c r="E268" s="26">
        <f>IF($C268="","",IFERROR(INDEX(VeicModelo,MATCH($C268,VeicPlaca,0)),""))</f>
        <v>0</v>
      </c>
      <c r="F268" s="28"/>
      <c r="G268" s="13"/>
      <c r="H268" s="13"/>
      <c r="I268" s="13"/>
      <c r="J268" s="29"/>
      <c r="K268" s="19"/>
      <c r="L268" s="19"/>
      <c r="M268" s="25"/>
      <c r="N268" s="13"/>
      <c r="O268" s="19"/>
      <c r="P268" s="27">
        <f>IF($A268="","",N($J268)*ValorHora)</f>
        <v>0</v>
      </c>
      <c r="Q268" s="27">
        <f>IF($A268="","",SUMIFS(ItTotal,ItOS,$A268))</f>
        <v>0</v>
      </c>
      <c r="R268" s="30">
        <f>IF($A268="","",$P268+$Q268+N($K268)-N($L268))</f>
        <v>0</v>
      </c>
      <c r="S268" s="27">
        <f>IF($A268="","",SUMIFS(ItCusto,ItOS,$A268))</f>
        <v>0</v>
      </c>
      <c r="T268" s="27">
        <f>IF($A268="","",$P268*ComMec)</f>
        <v>0</v>
      </c>
      <c r="U268" s="21">
        <f>IF($A268="","",$R268-$S268-$T268-N($K268))</f>
        <v>0</v>
      </c>
      <c r="V268" s="31">
        <f>IF(OR($A268="",N($R268)&lt;=0),"",$U268/$R268)</f>
        <v>0</v>
      </c>
      <c r="W268" s="27">
        <f>IF($A268="","",IF(OR($I268="Finalizado",$I268="Entregue"),MAX(0,$R268-N($O268)),0))</f>
        <v>0</v>
      </c>
      <c r="X268" s="32">
        <f>IF(OR($A268="",$B268=""),"",IF(OR($I268="Entregue",$I268="Cancelada"),"",Hoje-$B268))</f>
        <v>0</v>
      </c>
      <c r="Y268" s="24">
        <f>IF($A268="","",IF(AND(OR($I268="Aprovado",$I268="Em execução",$I268="Aguardando peça"),N($X268)&gt;PrazoMax),"ATRASADA",IF(AND(OR($I268="Finalizado",$I268="Entregue"),$W268&gt;0.005),"Cobrar",IF($I268="Orçamento","Aguardando aprovação",""))))</f>
        <v>0</v>
      </c>
      <c r="Z268" s="33">
        <f>IF(AND($I268="Entregue",$M268&lt;&gt;""),DATE(YEAR($M268),MONTH($M268),1),"")</f>
        <v>0</v>
      </c>
      <c r="AA268" s="34">
        <f>IF(AND($C268&lt;&gt;"",$C268=HistPlaca),COUNTIF($C$5:$C268,HistPlaca),"")</f>
        <v>0</v>
      </c>
    </row>
    <row r="269" spans="1:27">
      <c r="A269" s="17"/>
      <c r="B269" s="25"/>
      <c r="C269" s="13"/>
      <c r="D269" s="26">
        <f>IF($C269="","",IFERROR(INDEX(VeicCli,MATCH($C269,VeicPlaca,0)),"Placa não cadastrada"))</f>
        <v>0</v>
      </c>
      <c r="E269" s="26">
        <f>IF($C269="","",IFERROR(INDEX(VeicModelo,MATCH($C269,VeicPlaca,0)),""))</f>
        <v>0</v>
      </c>
      <c r="F269" s="28"/>
      <c r="G269" s="13"/>
      <c r="H269" s="13"/>
      <c r="I269" s="13"/>
      <c r="J269" s="29"/>
      <c r="K269" s="19"/>
      <c r="L269" s="19"/>
      <c r="M269" s="25"/>
      <c r="N269" s="13"/>
      <c r="O269" s="19"/>
      <c r="P269" s="27">
        <f>IF($A269="","",N($J269)*ValorHora)</f>
        <v>0</v>
      </c>
      <c r="Q269" s="27">
        <f>IF($A269="","",SUMIFS(ItTotal,ItOS,$A269))</f>
        <v>0</v>
      </c>
      <c r="R269" s="30">
        <f>IF($A269="","",$P269+$Q269+N($K269)-N($L269))</f>
        <v>0</v>
      </c>
      <c r="S269" s="27">
        <f>IF($A269="","",SUMIFS(ItCusto,ItOS,$A269))</f>
        <v>0</v>
      </c>
      <c r="T269" s="27">
        <f>IF($A269="","",$P269*ComMec)</f>
        <v>0</v>
      </c>
      <c r="U269" s="21">
        <f>IF($A269="","",$R269-$S269-$T269-N($K269))</f>
        <v>0</v>
      </c>
      <c r="V269" s="31">
        <f>IF(OR($A269="",N($R269)&lt;=0),"",$U269/$R269)</f>
        <v>0</v>
      </c>
      <c r="W269" s="27">
        <f>IF($A269="","",IF(OR($I269="Finalizado",$I269="Entregue"),MAX(0,$R269-N($O269)),0))</f>
        <v>0</v>
      </c>
      <c r="X269" s="32">
        <f>IF(OR($A269="",$B269=""),"",IF(OR($I269="Entregue",$I269="Cancelada"),"",Hoje-$B269))</f>
        <v>0</v>
      </c>
      <c r="Y269" s="24">
        <f>IF($A269="","",IF(AND(OR($I269="Aprovado",$I269="Em execução",$I269="Aguardando peça"),N($X269)&gt;PrazoMax),"ATRASADA",IF(AND(OR($I269="Finalizado",$I269="Entregue"),$W269&gt;0.005),"Cobrar",IF($I269="Orçamento","Aguardando aprovação",""))))</f>
        <v>0</v>
      </c>
      <c r="Z269" s="33">
        <f>IF(AND($I269="Entregue",$M269&lt;&gt;""),DATE(YEAR($M269),MONTH($M269),1),"")</f>
        <v>0</v>
      </c>
      <c r="AA269" s="34">
        <f>IF(AND($C269&lt;&gt;"",$C269=HistPlaca),COUNTIF($C$5:$C269,HistPlaca),"")</f>
        <v>0</v>
      </c>
    </row>
    <row r="270" spans="1:27">
      <c r="A270" s="17"/>
      <c r="B270" s="25"/>
      <c r="C270" s="13"/>
      <c r="D270" s="26">
        <f>IF($C270="","",IFERROR(INDEX(VeicCli,MATCH($C270,VeicPlaca,0)),"Placa não cadastrada"))</f>
        <v>0</v>
      </c>
      <c r="E270" s="26">
        <f>IF($C270="","",IFERROR(INDEX(VeicModelo,MATCH($C270,VeicPlaca,0)),""))</f>
        <v>0</v>
      </c>
      <c r="F270" s="28"/>
      <c r="G270" s="13"/>
      <c r="H270" s="13"/>
      <c r="I270" s="13"/>
      <c r="J270" s="29"/>
      <c r="K270" s="19"/>
      <c r="L270" s="19"/>
      <c r="M270" s="25"/>
      <c r="N270" s="13"/>
      <c r="O270" s="19"/>
      <c r="P270" s="27">
        <f>IF($A270="","",N($J270)*ValorHora)</f>
        <v>0</v>
      </c>
      <c r="Q270" s="27">
        <f>IF($A270="","",SUMIFS(ItTotal,ItOS,$A270))</f>
        <v>0</v>
      </c>
      <c r="R270" s="30">
        <f>IF($A270="","",$P270+$Q270+N($K270)-N($L270))</f>
        <v>0</v>
      </c>
      <c r="S270" s="27">
        <f>IF($A270="","",SUMIFS(ItCusto,ItOS,$A270))</f>
        <v>0</v>
      </c>
      <c r="T270" s="27">
        <f>IF($A270="","",$P270*ComMec)</f>
        <v>0</v>
      </c>
      <c r="U270" s="21">
        <f>IF($A270="","",$R270-$S270-$T270-N($K270))</f>
        <v>0</v>
      </c>
      <c r="V270" s="31">
        <f>IF(OR($A270="",N($R270)&lt;=0),"",$U270/$R270)</f>
        <v>0</v>
      </c>
      <c r="W270" s="27">
        <f>IF($A270="","",IF(OR($I270="Finalizado",$I270="Entregue"),MAX(0,$R270-N($O270)),0))</f>
        <v>0</v>
      </c>
      <c r="X270" s="32">
        <f>IF(OR($A270="",$B270=""),"",IF(OR($I270="Entregue",$I270="Cancelada"),"",Hoje-$B270))</f>
        <v>0</v>
      </c>
      <c r="Y270" s="24">
        <f>IF($A270="","",IF(AND(OR($I270="Aprovado",$I270="Em execução",$I270="Aguardando peça"),N($X270)&gt;PrazoMax),"ATRASADA",IF(AND(OR($I270="Finalizado",$I270="Entregue"),$W270&gt;0.005),"Cobrar",IF($I270="Orçamento","Aguardando aprovação",""))))</f>
        <v>0</v>
      </c>
      <c r="Z270" s="33">
        <f>IF(AND($I270="Entregue",$M270&lt;&gt;""),DATE(YEAR($M270),MONTH($M270),1),"")</f>
        <v>0</v>
      </c>
      <c r="AA270" s="34">
        <f>IF(AND($C270&lt;&gt;"",$C270=HistPlaca),COUNTIF($C$5:$C270,HistPlaca),"")</f>
        <v>0</v>
      </c>
    </row>
    <row r="271" spans="1:27">
      <c r="A271" s="17"/>
      <c r="B271" s="25"/>
      <c r="C271" s="13"/>
      <c r="D271" s="26">
        <f>IF($C271="","",IFERROR(INDEX(VeicCli,MATCH($C271,VeicPlaca,0)),"Placa não cadastrada"))</f>
        <v>0</v>
      </c>
      <c r="E271" s="26">
        <f>IF($C271="","",IFERROR(INDEX(VeicModelo,MATCH($C271,VeicPlaca,0)),""))</f>
        <v>0</v>
      </c>
      <c r="F271" s="28"/>
      <c r="G271" s="13"/>
      <c r="H271" s="13"/>
      <c r="I271" s="13"/>
      <c r="J271" s="29"/>
      <c r="K271" s="19"/>
      <c r="L271" s="19"/>
      <c r="M271" s="25"/>
      <c r="N271" s="13"/>
      <c r="O271" s="19"/>
      <c r="P271" s="27">
        <f>IF($A271="","",N($J271)*ValorHora)</f>
        <v>0</v>
      </c>
      <c r="Q271" s="27">
        <f>IF($A271="","",SUMIFS(ItTotal,ItOS,$A271))</f>
        <v>0</v>
      </c>
      <c r="R271" s="30">
        <f>IF($A271="","",$P271+$Q271+N($K271)-N($L271))</f>
        <v>0</v>
      </c>
      <c r="S271" s="27">
        <f>IF($A271="","",SUMIFS(ItCusto,ItOS,$A271))</f>
        <v>0</v>
      </c>
      <c r="T271" s="27">
        <f>IF($A271="","",$P271*ComMec)</f>
        <v>0</v>
      </c>
      <c r="U271" s="21">
        <f>IF($A271="","",$R271-$S271-$T271-N($K271))</f>
        <v>0</v>
      </c>
      <c r="V271" s="31">
        <f>IF(OR($A271="",N($R271)&lt;=0),"",$U271/$R271)</f>
        <v>0</v>
      </c>
      <c r="W271" s="27">
        <f>IF($A271="","",IF(OR($I271="Finalizado",$I271="Entregue"),MAX(0,$R271-N($O271)),0))</f>
        <v>0</v>
      </c>
      <c r="X271" s="32">
        <f>IF(OR($A271="",$B271=""),"",IF(OR($I271="Entregue",$I271="Cancelada"),"",Hoje-$B271))</f>
        <v>0</v>
      </c>
      <c r="Y271" s="24">
        <f>IF($A271="","",IF(AND(OR($I271="Aprovado",$I271="Em execução",$I271="Aguardando peça"),N($X271)&gt;PrazoMax),"ATRASADA",IF(AND(OR($I271="Finalizado",$I271="Entregue"),$W271&gt;0.005),"Cobrar",IF($I271="Orçamento","Aguardando aprovação",""))))</f>
        <v>0</v>
      </c>
      <c r="Z271" s="33">
        <f>IF(AND($I271="Entregue",$M271&lt;&gt;""),DATE(YEAR($M271),MONTH($M271),1),"")</f>
        <v>0</v>
      </c>
      <c r="AA271" s="34">
        <f>IF(AND($C271&lt;&gt;"",$C271=HistPlaca),COUNTIF($C$5:$C271,HistPlaca),"")</f>
        <v>0</v>
      </c>
    </row>
    <row r="272" spans="1:27">
      <c r="A272" s="17"/>
      <c r="B272" s="25"/>
      <c r="C272" s="13"/>
      <c r="D272" s="26">
        <f>IF($C272="","",IFERROR(INDEX(VeicCli,MATCH($C272,VeicPlaca,0)),"Placa não cadastrada"))</f>
        <v>0</v>
      </c>
      <c r="E272" s="26">
        <f>IF($C272="","",IFERROR(INDEX(VeicModelo,MATCH($C272,VeicPlaca,0)),""))</f>
        <v>0</v>
      </c>
      <c r="F272" s="28"/>
      <c r="G272" s="13"/>
      <c r="H272" s="13"/>
      <c r="I272" s="13"/>
      <c r="J272" s="29"/>
      <c r="K272" s="19"/>
      <c r="L272" s="19"/>
      <c r="M272" s="25"/>
      <c r="N272" s="13"/>
      <c r="O272" s="19"/>
      <c r="P272" s="27">
        <f>IF($A272="","",N($J272)*ValorHora)</f>
        <v>0</v>
      </c>
      <c r="Q272" s="27">
        <f>IF($A272="","",SUMIFS(ItTotal,ItOS,$A272))</f>
        <v>0</v>
      </c>
      <c r="R272" s="30">
        <f>IF($A272="","",$P272+$Q272+N($K272)-N($L272))</f>
        <v>0</v>
      </c>
      <c r="S272" s="27">
        <f>IF($A272="","",SUMIFS(ItCusto,ItOS,$A272))</f>
        <v>0</v>
      </c>
      <c r="T272" s="27">
        <f>IF($A272="","",$P272*ComMec)</f>
        <v>0</v>
      </c>
      <c r="U272" s="21">
        <f>IF($A272="","",$R272-$S272-$T272-N($K272))</f>
        <v>0</v>
      </c>
      <c r="V272" s="31">
        <f>IF(OR($A272="",N($R272)&lt;=0),"",$U272/$R272)</f>
        <v>0</v>
      </c>
      <c r="W272" s="27">
        <f>IF($A272="","",IF(OR($I272="Finalizado",$I272="Entregue"),MAX(0,$R272-N($O272)),0))</f>
        <v>0</v>
      </c>
      <c r="X272" s="32">
        <f>IF(OR($A272="",$B272=""),"",IF(OR($I272="Entregue",$I272="Cancelada"),"",Hoje-$B272))</f>
        <v>0</v>
      </c>
      <c r="Y272" s="24">
        <f>IF($A272="","",IF(AND(OR($I272="Aprovado",$I272="Em execução",$I272="Aguardando peça"),N($X272)&gt;PrazoMax),"ATRASADA",IF(AND(OR($I272="Finalizado",$I272="Entregue"),$W272&gt;0.005),"Cobrar",IF($I272="Orçamento","Aguardando aprovação",""))))</f>
        <v>0</v>
      </c>
      <c r="Z272" s="33">
        <f>IF(AND($I272="Entregue",$M272&lt;&gt;""),DATE(YEAR($M272),MONTH($M272),1),"")</f>
        <v>0</v>
      </c>
      <c r="AA272" s="34">
        <f>IF(AND($C272&lt;&gt;"",$C272=HistPlaca),COUNTIF($C$5:$C272,HistPlaca),"")</f>
        <v>0</v>
      </c>
    </row>
    <row r="273" spans="1:27">
      <c r="A273" s="17"/>
      <c r="B273" s="25"/>
      <c r="C273" s="13"/>
      <c r="D273" s="26">
        <f>IF($C273="","",IFERROR(INDEX(VeicCli,MATCH($C273,VeicPlaca,0)),"Placa não cadastrada"))</f>
        <v>0</v>
      </c>
      <c r="E273" s="26">
        <f>IF($C273="","",IFERROR(INDEX(VeicModelo,MATCH($C273,VeicPlaca,0)),""))</f>
        <v>0</v>
      </c>
      <c r="F273" s="28"/>
      <c r="G273" s="13"/>
      <c r="H273" s="13"/>
      <c r="I273" s="13"/>
      <c r="J273" s="29"/>
      <c r="K273" s="19"/>
      <c r="L273" s="19"/>
      <c r="M273" s="25"/>
      <c r="N273" s="13"/>
      <c r="O273" s="19"/>
      <c r="P273" s="27">
        <f>IF($A273="","",N($J273)*ValorHora)</f>
        <v>0</v>
      </c>
      <c r="Q273" s="27">
        <f>IF($A273="","",SUMIFS(ItTotal,ItOS,$A273))</f>
        <v>0</v>
      </c>
      <c r="R273" s="30">
        <f>IF($A273="","",$P273+$Q273+N($K273)-N($L273))</f>
        <v>0</v>
      </c>
      <c r="S273" s="27">
        <f>IF($A273="","",SUMIFS(ItCusto,ItOS,$A273))</f>
        <v>0</v>
      </c>
      <c r="T273" s="27">
        <f>IF($A273="","",$P273*ComMec)</f>
        <v>0</v>
      </c>
      <c r="U273" s="21">
        <f>IF($A273="","",$R273-$S273-$T273-N($K273))</f>
        <v>0</v>
      </c>
      <c r="V273" s="31">
        <f>IF(OR($A273="",N($R273)&lt;=0),"",$U273/$R273)</f>
        <v>0</v>
      </c>
      <c r="W273" s="27">
        <f>IF($A273="","",IF(OR($I273="Finalizado",$I273="Entregue"),MAX(0,$R273-N($O273)),0))</f>
        <v>0</v>
      </c>
      <c r="X273" s="32">
        <f>IF(OR($A273="",$B273=""),"",IF(OR($I273="Entregue",$I273="Cancelada"),"",Hoje-$B273))</f>
        <v>0</v>
      </c>
      <c r="Y273" s="24">
        <f>IF($A273="","",IF(AND(OR($I273="Aprovado",$I273="Em execução",$I273="Aguardando peça"),N($X273)&gt;PrazoMax),"ATRASADA",IF(AND(OR($I273="Finalizado",$I273="Entregue"),$W273&gt;0.005),"Cobrar",IF($I273="Orçamento","Aguardando aprovação",""))))</f>
        <v>0</v>
      </c>
      <c r="Z273" s="33">
        <f>IF(AND($I273="Entregue",$M273&lt;&gt;""),DATE(YEAR($M273),MONTH($M273),1),"")</f>
        <v>0</v>
      </c>
      <c r="AA273" s="34">
        <f>IF(AND($C273&lt;&gt;"",$C273=HistPlaca),COUNTIF($C$5:$C273,HistPlaca),"")</f>
        <v>0</v>
      </c>
    </row>
    <row r="274" spans="1:27">
      <c r="A274" s="17"/>
      <c r="B274" s="25"/>
      <c r="C274" s="13"/>
      <c r="D274" s="26">
        <f>IF($C274="","",IFERROR(INDEX(VeicCli,MATCH($C274,VeicPlaca,0)),"Placa não cadastrada"))</f>
        <v>0</v>
      </c>
      <c r="E274" s="26">
        <f>IF($C274="","",IFERROR(INDEX(VeicModelo,MATCH($C274,VeicPlaca,0)),""))</f>
        <v>0</v>
      </c>
      <c r="F274" s="28"/>
      <c r="G274" s="13"/>
      <c r="H274" s="13"/>
      <c r="I274" s="13"/>
      <c r="J274" s="29"/>
      <c r="K274" s="19"/>
      <c r="L274" s="19"/>
      <c r="M274" s="25"/>
      <c r="N274" s="13"/>
      <c r="O274" s="19"/>
      <c r="P274" s="27">
        <f>IF($A274="","",N($J274)*ValorHora)</f>
        <v>0</v>
      </c>
      <c r="Q274" s="27">
        <f>IF($A274="","",SUMIFS(ItTotal,ItOS,$A274))</f>
        <v>0</v>
      </c>
      <c r="R274" s="30">
        <f>IF($A274="","",$P274+$Q274+N($K274)-N($L274))</f>
        <v>0</v>
      </c>
      <c r="S274" s="27">
        <f>IF($A274="","",SUMIFS(ItCusto,ItOS,$A274))</f>
        <v>0</v>
      </c>
      <c r="T274" s="27">
        <f>IF($A274="","",$P274*ComMec)</f>
        <v>0</v>
      </c>
      <c r="U274" s="21">
        <f>IF($A274="","",$R274-$S274-$T274-N($K274))</f>
        <v>0</v>
      </c>
      <c r="V274" s="31">
        <f>IF(OR($A274="",N($R274)&lt;=0),"",$U274/$R274)</f>
        <v>0</v>
      </c>
      <c r="W274" s="27">
        <f>IF($A274="","",IF(OR($I274="Finalizado",$I274="Entregue"),MAX(0,$R274-N($O274)),0))</f>
        <v>0</v>
      </c>
      <c r="X274" s="32">
        <f>IF(OR($A274="",$B274=""),"",IF(OR($I274="Entregue",$I274="Cancelada"),"",Hoje-$B274))</f>
        <v>0</v>
      </c>
      <c r="Y274" s="24">
        <f>IF($A274="","",IF(AND(OR($I274="Aprovado",$I274="Em execução",$I274="Aguardando peça"),N($X274)&gt;PrazoMax),"ATRASADA",IF(AND(OR($I274="Finalizado",$I274="Entregue"),$W274&gt;0.005),"Cobrar",IF($I274="Orçamento","Aguardando aprovação",""))))</f>
        <v>0</v>
      </c>
      <c r="Z274" s="33">
        <f>IF(AND($I274="Entregue",$M274&lt;&gt;""),DATE(YEAR($M274),MONTH($M274),1),"")</f>
        <v>0</v>
      </c>
      <c r="AA274" s="34">
        <f>IF(AND($C274&lt;&gt;"",$C274=HistPlaca),COUNTIF($C$5:$C274,HistPlaca),"")</f>
        <v>0</v>
      </c>
    </row>
    <row r="275" spans="1:27">
      <c r="A275" s="17"/>
      <c r="B275" s="25"/>
      <c r="C275" s="13"/>
      <c r="D275" s="26">
        <f>IF($C275="","",IFERROR(INDEX(VeicCli,MATCH($C275,VeicPlaca,0)),"Placa não cadastrada"))</f>
        <v>0</v>
      </c>
      <c r="E275" s="26">
        <f>IF($C275="","",IFERROR(INDEX(VeicModelo,MATCH($C275,VeicPlaca,0)),""))</f>
        <v>0</v>
      </c>
      <c r="F275" s="28"/>
      <c r="G275" s="13"/>
      <c r="H275" s="13"/>
      <c r="I275" s="13"/>
      <c r="J275" s="29"/>
      <c r="K275" s="19"/>
      <c r="L275" s="19"/>
      <c r="M275" s="25"/>
      <c r="N275" s="13"/>
      <c r="O275" s="19"/>
      <c r="P275" s="27">
        <f>IF($A275="","",N($J275)*ValorHora)</f>
        <v>0</v>
      </c>
      <c r="Q275" s="27">
        <f>IF($A275="","",SUMIFS(ItTotal,ItOS,$A275))</f>
        <v>0</v>
      </c>
      <c r="R275" s="30">
        <f>IF($A275="","",$P275+$Q275+N($K275)-N($L275))</f>
        <v>0</v>
      </c>
      <c r="S275" s="27">
        <f>IF($A275="","",SUMIFS(ItCusto,ItOS,$A275))</f>
        <v>0</v>
      </c>
      <c r="T275" s="27">
        <f>IF($A275="","",$P275*ComMec)</f>
        <v>0</v>
      </c>
      <c r="U275" s="21">
        <f>IF($A275="","",$R275-$S275-$T275-N($K275))</f>
        <v>0</v>
      </c>
      <c r="V275" s="31">
        <f>IF(OR($A275="",N($R275)&lt;=0),"",$U275/$R275)</f>
        <v>0</v>
      </c>
      <c r="W275" s="27">
        <f>IF($A275="","",IF(OR($I275="Finalizado",$I275="Entregue"),MAX(0,$R275-N($O275)),0))</f>
        <v>0</v>
      </c>
      <c r="X275" s="32">
        <f>IF(OR($A275="",$B275=""),"",IF(OR($I275="Entregue",$I275="Cancelada"),"",Hoje-$B275))</f>
        <v>0</v>
      </c>
      <c r="Y275" s="24">
        <f>IF($A275="","",IF(AND(OR($I275="Aprovado",$I275="Em execução",$I275="Aguardando peça"),N($X275)&gt;PrazoMax),"ATRASADA",IF(AND(OR($I275="Finalizado",$I275="Entregue"),$W275&gt;0.005),"Cobrar",IF($I275="Orçamento","Aguardando aprovação",""))))</f>
        <v>0</v>
      </c>
      <c r="Z275" s="33">
        <f>IF(AND($I275="Entregue",$M275&lt;&gt;""),DATE(YEAR($M275),MONTH($M275),1),"")</f>
        <v>0</v>
      </c>
      <c r="AA275" s="34">
        <f>IF(AND($C275&lt;&gt;"",$C275=HistPlaca),COUNTIF($C$5:$C275,HistPlaca),"")</f>
        <v>0</v>
      </c>
    </row>
    <row r="276" spans="1:27">
      <c r="A276" s="17"/>
      <c r="B276" s="25"/>
      <c r="C276" s="13"/>
      <c r="D276" s="26">
        <f>IF($C276="","",IFERROR(INDEX(VeicCli,MATCH($C276,VeicPlaca,0)),"Placa não cadastrada"))</f>
        <v>0</v>
      </c>
      <c r="E276" s="26">
        <f>IF($C276="","",IFERROR(INDEX(VeicModelo,MATCH($C276,VeicPlaca,0)),""))</f>
        <v>0</v>
      </c>
      <c r="F276" s="28"/>
      <c r="G276" s="13"/>
      <c r="H276" s="13"/>
      <c r="I276" s="13"/>
      <c r="J276" s="29"/>
      <c r="K276" s="19"/>
      <c r="L276" s="19"/>
      <c r="M276" s="25"/>
      <c r="N276" s="13"/>
      <c r="O276" s="19"/>
      <c r="P276" s="27">
        <f>IF($A276="","",N($J276)*ValorHora)</f>
        <v>0</v>
      </c>
      <c r="Q276" s="27">
        <f>IF($A276="","",SUMIFS(ItTotal,ItOS,$A276))</f>
        <v>0</v>
      </c>
      <c r="R276" s="30">
        <f>IF($A276="","",$P276+$Q276+N($K276)-N($L276))</f>
        <v>0</v>
      </c>
      <c r="S276" s="27">
        <f>IF($A276="","",SUMIFS(ItCusto,ItOS,$A276))</f>
        <v>0</v>
      </c>
      <c r="T276" s="27">
        <f>IF($A276="","",$P276*ComMec)</f>
        <v>0</v>
      </c>
      <c r="U276" s="21">
        <f>IF($A276="","",$R276-$S276-$T276-N($K276))</f>
        <v>0</v>
      </c>
      <c r="V276" s="31">
        <f>IF(OR($A276="",N($R276)&lt;=0),"",$U276/$R276)</f>
        <v>0</v>
      </c>
      <c r="W276" s="27">
        <f>IF($A276="","",IF(OR($I276="Finalizado",$I276="Entregue"),MAX(0,$R276-N($O276)),0))</f>
        <v>0</v>
      </c>
      <c r="X276" s="32">
        <f>IF(OR($A276="",$B276=""),"",IF(OR($I276="Entregue",$I276="Cancelada"),"",Hoje-$B276))</f>
        <v>0</v>
      </c>
      <c r="Y276" s="24">
        <f>IF($A276="","",IF(AND(OR($I276="Aprovado",$I276="Em execução",$I276="Aguardando peça"),N($X276)&gt;PrazoMax),"ATRASADA",IF(AND(OR($I276="Finalizado",$I276="Entregue"),$W276&gt;0.005),"Cobrar",IF($I276="Orçamento","Aguardando aprovação",""))))</f>
        <v>0</v>
      </c>
      <c r="Z276" s="33">
        <f>IF(AND($I276="Entregue",$M276&lt;&gt;""),DATE(YEAR($M276),MONTH($M276),1),"")</f>
        <v>0</v>
      </c>
      <c r="AA276" s="34">
        <f>IF(AND($C276&lt;&gt;"",$C276=HistPlaca),COUNTIF($C$5:$C276,HistPlaca),"")</f>
        <v>0</v>
      </c>
    </row>
    <row r="277" spans="1:27">
      <c r="A277" s="17"/>
      <c r="B277" s="25"/>
      <c r="C277" s="13"/>
      <c r="D277" s="26">
        <f>IF($C277="","",IFERROR(INDEX(VeicCli,MATCH($C277,VeicPlaca,0)),"Placa não cadastrada"))</f>
        <v>0</v>
      </c>
      <c r="E277" s="26">
        <f>IF($C277="","",IFERROR(INDEX(VeicModelo,MATCH($C277,VeicPlaca,0)),""))</f>
        <v>0</v>
      </c>
      <c r="F277" s="28"/>
      <c r="G277" s="13"/>
      <c r="H277" s="13"/>
      <c r="I277" s="13"/>
      <c r="J277" s="29"/>
      <c r="K277" s="19"/>
      <c r="L277" s="19"/>
      <c r="M277" s="25"/>
      <c r="N277" s="13"/>
      <c r="O277" s="19"/>
      <c r="P277" s="27">
        <f>IF($A277="","",N($J277)*ValorHora)</f>
        <v>0</v>
      </c>
      <c r="Q277" s="27">
        <f>IF($A277="","",SUMIFS(ItTotal,ItOS,$A277))</f>
        <v>0</v>
      </c>
      <c r="R277" s="30">
        <f>IF($A277="","",$P277+$Q277+N($K277)-N($L277))</f>
        <v>0</v>
      </c>
      <c r="S277" s="27">
        <f>IF($A277="","",SUMIFS(ItCusto,ItOS,$A277))</f>
        <v>0</v>
      </c>
      <c r="T277" s="27">
        <f>IF($A277="","",$P277*ComMec)</f>
        <v>0</v>
      </c>
      <c r="U277" s="21">
        <f>IF($A277="","",$R277-$S277-$T277-N($K277))</f>
        <v>0</v>
      </c>
      <c r="V277" s="31">
        <f>IF(OR($A277="",N($R277)&lt;=0),"",$U277/$R277)</f>
        <v>0</v>
      </c>
      <c r="W277" s="27">
        <f>IF($A277="","",IF(OR($I277="Finalizado",$I277="Entregue"),MAX(0,$R277-N($O277)),0))</f>
        <v>0</v>
      </c>
      <c r="X277" s="32">
        <f>IF(OR($A277="",$B277=""),"",IF(OR($I277="Entregue",$I277="Cancelada"),"",Hoje-$B277))</f>
        <v>0</v>
      </c>
      <c r="Y277" s="24">
        <f>IF($A277="","",IF(AND(OR($I277="Aprovado",$I277="Em execução",$I277="Aguardando peça"),N($X277)&gt;PrazoMax),"ATRASADA",IF(AND(OR($I277="Finalizado",$I277="Entregue"),$W277&gt;0.005),"Cobrar",IF($I277="Orçamento","Aguardando aprovação",""))))</f>
        <v>0</v>
      </c>
      <c r="Z277" s="33">
        <f>IF(AND($I277="Entregue",$M277&lt;&gt;""),DATE(YEAR($M277),MONTH($M277),1),"")</f>
        <v>0</v>
      </c>
      <c r="AA277" s="34">
        <f>IF(AND($C277&lt;&gt;"",$C277=HistPlaca),COUNTIF($C$5:$C277,HistPlaca),"")</f>
        <v>0</v>
      </c>
    </row>
    <row r="278" spans="1:27">
      <c r="A278" s="17"/>
      <c r="B278" s="25"/>
      <c r="C278" s="13"/>
      <c r="D278" s="26">
        <f>IF($C278="","",IFERROR(INDEX(VeicCli,MATCH($C278,VeicPlaca,0)),"Placa não cadastrada"))</f>
        <v>0</v>
      </c>
      <c r="E278" s="26">
        <f>IF($C278="","",IFERROR(INDEX(VeicModelo,MATCH($C278,VeicPlaca,0)),""))</f>
        <v>0</v>
      </c>
      <c r="F278" s="28"/>
      <c r="G278" s="13"/>
      <c r="H278" s="13"/>
      <c r="I278" s="13"/>
      <c r="J278" s="29"/>
      <c r="K278" s="19"/>
      <c r="L278" s="19"/>
      <c r="M278" s="25"/>
      <c r="N278" s="13"/>
      <c r="O278" s="19"/>
      <c r="P278" s="27">
        <f>IF($A278="","",N($J278)*ValorHora)</f>
        <v>0</v>
      </c>
      <c r="Q278" s="27">
        <f>IF($A278="","",SUMIFS(ItTotal,ItOS,$A278))</f>
        <v>0</v>
      </c>
      <c r="R278" s="30">
        <f>IF($A278="","",$P278+$Q278+N($K278)-N($L278))</f>
        <v>0</v>
      </c>
      <c r="S278" s="27">
        <f>IF($A278="","",SUMIFS(ItCusto,ItOS,$A278))</f>
        <v>0</v>
      </c>
      <c r="T278" s="27">
        <f>IF($A278="","",$P278*ComMec)</f>
        <v>0</v>
      </c>
      <c r="U278" s="21">
        <f>IF($A278="","",$R278-$S278-$T278-N($K278))</f>
        <v>0</v>
      </c>
      <c r="V278" s="31">
        <f>IF(OR($A278="",N($R278)&lt;=0),"",$U278/$R278)</f>
        <v>0</v>
      </c>
      <c r="W278" s="27">
        <f>IF($A278="","",IF(OR($I278="Finalizado",$I278="Entregue"),MAX(0,$R278-N($O278)),0))</f>
        <v>0</v>
      </c>
      <c r="X278" s="32">
        <f>IF(OR($A278="",$B278=""),"",IF(OR($I278="Entregue",$I278="Cancelada"),"",Hoje-$B278))</f>
        <v>0</v>
      </c>
      <c r="Y278" s="24">
        <f>IF($A278="","",IF(AND(OR($I278="Aprovado",$I278="Em execução",$I278="Aguardando peça"),N($X278)&gt;PrazoMax),"ATRASADA",IF(AND(OR($I278="Finalizado",$I278="Entregue"),$W278&gt;0.005),"Cobrar",IF($I278="Orçamento","Aguardando aprovação",""))))</f>
        <v>0</v>
      </c>
      <c r="Z278" s="33">
        <f>IF(AND($I278="Entregue",$M278&lt;&gt;""),DATE(YEAR($M278),MONTH($M278),1),"")</f>
        <v>0</v>
      </c>
      <c r="AA278" s="34">
        <f>IF(AND($C278&lt;&gt;"",$C278=HistPlaca),COUNTIF($C$5:$C278,HistPlaca),"")</f>
        <v>0</v>
      </c>
    </row>
    <row r="279" spans="1:27">
      <c r="A279" s="17"/>
      <c r="B279" s="25"/>
      <c r="C279" s="13"/>
      <c r="D279" s="26">
        <f>IF($C279="","",IFERROR(INDEX(VeicCli,MATCH($C279,VeicPlaca,0)),"Placa não cadastrada"))</f>
        <v>0</v>
      </c>
      <c r="E279" s="26">
        <f>IF($C279="","",IFERROR(INDEX(VeicModelo,MATCH($C279,VeicPlaca,0)),""))</f>
        <v>0</v>
      </c>
      <c r="F279" s="28"/>
      <c r="G279" s="13"/>
      <c r="H279" s="13"/>
      <c r="I279" s="13"/>
      <c r="J279" s="29"/>
      <c r="K279" s="19"/>
      <c r="L279" s="19"/>
      <c r="M279" s="25"/>
      <c r="N279" s="13"/>
      <c r="O279" s="19"/>
      <c r="P279" s="27">
        <f>IF($A279="","",N($J279)*ValorHora)</f>
        <v>0</v>
      </c>
      <c r="Q279" s="27">
        <f>IF($A279="","",SUMIFS(ItTotal,ItOS,$A279))</f>
        <v>0</v>
      </c>
      <c r="R279" s="30">
        <f>IF($A279="","",$P279+$Q279+N($K279)-N($L279))</f>
        <v>0</v>
      </c>
      <c r="S279" s="27">
        <f>IF($A279="","",SUMIFS(ItCusto,ItOS,$A279))</f>
        <v>0</v>
      </c>
      <c r="T279" s="27">
        <f>IF($A279="","",$P279*ComMec)</f>
        <v>0</v>
      </c>
      <c r="U279" s="21">
        <f>IF($A279="","",$R279-$S279-$T279-N($K279))</f>
        <v>0</v>
      </c>
      <c r="V279" s="31">
        <f>IF(OR($A279="",N($R279)&lt;=0),"",$U279/$R279)</f>
        <v>0</v>
      </c>
      <c r="W279" s="27">
        <f>IF($A279="","",IF(OR($I279="Finalizado",$I279="Entregue"),MAX(0,$R279-N($O279)),0))</f>
        <v>0</v>
      </c>
      <c r="X279" s="32">
        <f>IF(OR($A279="",$B279=""),"",IF(OR($I279="Entregue",$I279="Cancelada"),"",Hoje-$B279))</f>
        <v>0</v>
      </c>
      <c r="Y279" s="24">
        <f>IF($A279="","",IF(AND(OR($I279="Aprovado",$I279="Em execução",$I279="Aguardando peça"),N($X279)&gt;PrazoMax),"ATRASADA",IF(AND(OR($I279="Finalizado",$I279="Entregue"),$W279&gt;0.005),"Cobrar",IF($I279="Orçamento","Aguardando aprovação",""))))</f>
        <v>0</v>
      </c>
      <c r="Z279" s="33">
        <f>IF(AND($I279="Entregue",$M279&lt;&gt;""),DATE(YEAR($M279),MONTH($M279),1),"")</f>
        <v>0</v>
      </c>
      <c r="AA279" s="34">
        <f>IF(AND($C279&lt;&gt;"",$C279=HistPlaca),COUNTIF($C$5:$C279,HistPlaca),"")</f>
        <v>0</v>
      </c>
    </row>
    <row r="280" spans="1:27">
      <c r="A280" s="17"/>
      <c r="B280" s="25"/>
      <c r="C280" s="13"/>
      <c r="D280" s="26">
        <f>IF($C280="","",IFERROR(INDEX(VeicCli,MATCH($C280,VeicPlaca,0)),"Placa não cadastrada"))</f>
        <v>0</v>
      </c>
      <c r="E280" s="26">
        <f>IF($C280="","",IFERROR(INDEX(VeicModelo,MATCH($C280,VeicPlaca,0)),""))</f>
        <v>0</v>
      </c>
      <c r="F280" s="28"/>
      <c r="G280" s="13"/>
      <c r="H280" s="13"/>
      <c r="I280" s="13"/>
      <c r="J280" s="29"/>
      <c r="K280" s="19"/>
      <c r="L280" s="19"/>
      <c r="M280" s="25"/>
      <c r="N280" s="13"/>
      <c r="O280" s="19"/>
      <c r="P280" s="27">
        <f>IF($A280="","",N($J280)*ValorHora)</f>
        <v>0</v>
      </c>
      <c r="Q280" s="27">
        <f>IF($A280="","",SUMIFS(ItTotal,ItOS,$A280))</f>
        <v>0</v>
      </c>
      <c r="R280" s="30">
        <f>IF($A280="","",$P280+$Q280+N($K280)-N($L280))</f>
        <v>0</v>
      </c>
      <c r="S280" s="27">
        <f>IF($A280="","",SUMIFS(ItCusto,ItOS,$A280))</f>
        <v>0</v>
      </c>
      <c r="T280" s="27">
        <f>IF($A280="","",$P280*ComMec)</f>
        <v>0</v>
      </c>
      <c r="U280" s="21">
        <f>IF($A280="","",$R280-$S280-$T280-N($K280))</f>
        <v>0</v>
      </c>
      <c r="V280" s="31">
        <f>IF(OR($A280="",N($R280)&lt;=0),"",$U280/$R280)</f>
        <v>0</v>
      </c>
      <c r="W280" s="27">
        <f>IF($A280="","",IF(OR($I280="Finalizado",$I280="Entregue"),MAX(0,$R280-N($O280)),0))</f>
        <v>0</v>
      </c>
      <c r="X280" s="32">
        <f>IF(OR($A280="",$B280=""),"",IF(OR($I280="Entregue",$I280="Cancelada"),"",Hoje-$B280))</f>
        <v>0</v>
      </c>
      <c r="Y280" s="24">
        <f>IF($A280="","",IF(AND(OR($I280="Aprovado",$I280="Em execução",$I280="Aguardando peça"),N($X280)&gt;PrazoMax),"ATRASADA",IF(AND(OR($I280="Finalizado",$I280="Entregue"),$W280&gt;0.005),"Cobrar",IF($I280="Orçamento","Aguardando aprovação",""))))</f>
        <v>0</v>
      </c>
      <c r="Z280" s="33">
        <f>IF(AND($I280="Entregue",$M280&lt;&gt;""),DATE(YEAR($M280),MONTH($M280),1),"")</f>
        <v>0</v>
      </c>
      <c r="AA280" s="34">
        <f>IF(AND($C280&lt;&gt;"",$C280=HistPlaca),COUNTIF($C$5:$C280,HistPlaca),"")</f>
        <v>0</v>
      </c>
    </row>
    <row r="281" spans="1:27">
      <c r="A281" s="17"/>
      <c r="B281" s="25"/>
      <c r="C281" s="13"/>
      <c r="D281" s="26">
        <f>IF($C281="","",IFERROR(INDEX(VeicCli,MATCH($C281,VeicPlaca,0)),"Placa não cadastrada"))</f>
        <v>0</v>
      </c>
      <c r="E281" s="26">
        <f>IF($C281="","",IFERROR(INDEX(VeicModelo,MATCH($C281,VeicPlaca,0)),""))</f>
        <v>0</v>
      </c>
      <c r="F281" s="28"/>
      <c r="G281" s="13"/>
      <c r="H281" s="13"/>
      <c r="I281" s="13"/>
      <c r="J281" s="29"/>
      <c r="K281" s="19"/>
      <c r="L281" s="19"/>
      <c r="M281" s="25"/>
      <c r="N281" s="13"/>
      <c r="O281" s="19"/>
      <c r="P281" s="27">
        <f>IF($A281="","",N($J281)*ValorHora)</f>
        <v>0</v>
      </c>
      <c r="Q281" s="27">
        <f>IF($A281="","",SUMIFS(ItTotal,ItOS,$A281))</f>
        <v>0</v>
      </c>
      <c r="R281" s="30">
        <f>IF($A281="","",$P281+$Q281+N($K281)-N($L281))</f>
        <v>0</v>
      </c>
      <c r="S281" s="27">
        <f>IF($A281="","",SUMIFS(ItCusto,ItOS,$A281))</f>
        <v>0</v>
      </c>
      <c r="T281" s="27">
        <f>IF($A281="","",$P281*ComMec)</f>
        <v>0</v>
      </c>
      <c r="U281" s="21">
        <f>IF($A281="","",$R281-$S281-$T281-N($K281))</f>
        <v>0</v>
      </c>
      <c r="V281" s="31">
        <f>IF(OR($A281="",N($R281)&lt;=0),"",$U281/$R281)</f>
        <v>0</v>
      </c>
      <c r="W281" s="27">
        <f>IF($A281="","",IF(OR($I281="Finalizado",$I281="Entregue"),MAX(0,$R281-N($O281)),0))</f>
        <v>0</v>
      </c>
      <c r="X281" s="32">
        <f>IF(OR($A281="",$B281=""),"",IF(OR($I281="Entregue",$I281="Cancelada"),"",Hoje-$B281))</f>
        <v>0</v>
      </c>
      <c r="Y281" s="24">
        <f>IF($A281="","",IF(AND(OR($I281="Aprovado",$I281="Em execução",$I281="Aguardando peça"),N($X281)&gt;PrazoMax),"ATRASADA",IF(AND(OR($I281="Finalizado",$I281="Entregue"),$W281&gt;0.005),"Cobrar",IF($I281="Orçamento","Aguardando aprovação",""))))</f>
        <v>0</v>
      </c>
      <c r="Z281" s="33">
        <f>IF(AND($I281="Entregue",$M281&lt;&gt;""),DATE(YEAR($M281),MONTH($M281),1),"")</f>
        <v>0</v>
      </c>
      <c r="AA281" s="34">
        <f>IF(AND($C281&lt;&gt;"",$C281=HistPlaca),COUNTIF($C$5:$C281,HistPlaca),"")</f>
        <v>0</v>
      </c>
    </row>
    <row r="282" spans="1:27">
      <c r="A282" s="17"/>
      <c r="B282" s="25"/>
      <c r="C282" s="13"/>
      <c r="D282" s="26">
        <f>IF($C282="","",IFERROR(INDEX(VeicCli,MATCH($C282,VeicPlaca,0)),"Placa não cadastrada"))</f>
        <v>0</v>
      </c>
      <c r="E282" s="26">
        <f>IF($C282="","",IFERROR(INDEX(VeicModelo,MATCH($C282,VeicPlaca,0)),""))</f>
        <v>0</v>
      </c>
      <c r="F282" s="28"/>
      <c r="G282" s="13"/>
      <c r="H282" s="13"/>
      <c r="I282" s="13"/>
      <c r="J282" s="29"/>
      <c r="K282" s="19"/>
      <c r="L282" s="19"/>
      <c r="M282" s="25"/>
      <c r="N282" s="13"/>
      <c r="O282" s="19"/>
      <c r="P282" s="27">
        <f>IF($A282="","",N($J282)*ValorHora)</f>
        <v>0</v>
      </c>
      <c r="Q282" s="27">
        <f>IF($A282="","",SUMIFS(ItTotal,ItOS,$A282))</f>
        <v>0</v>
      </c>
      <c r="R282" s="30">
        <f>IF($A282="","",$P282+$Q282+N($K282)-N($L282))</f>
        <v>0</v>
      </c>
      <c r="S282" s="27">
        <f>IF($A282="","",SUMIFS(ItCusto,ItOS,$A282))</f>
        <v>0</v>
      </c>
      <c r="T282" s="27">
        <f>IF($A282="","",$P282*ComMec)</f>
        <v>0</v>
      </c>
      <c r="U282" s="21">
        <f>IF($A282="","",$R282-$S282-$T282-N($K282))</f>
        <v>0</v>
      </c>
      <c r="V282" s="31">
        <f>IF(OR($A282="",N($R282)&lt;=0),"",$U282/$R282)</f>
        <v>0</v>
      </c>
      <c r="W282" s="27">
        <f>IF($A282="","",IF(OR($I282="Finalizado",$I282="Entregue"),MAX(0,$R282-N($O282)),0))</f>
        <v>0</v>
      </c>
      <c r="X282" s="32">
        <f>IF(OR($A282="",$B282=""),"",IF(OR($I282="Entregue",$I282="Cancelada"),"",Hoje-$B282))</f>
        <v>0</v>
      </c>
      <c r="Y282" s="24">
        <f>IF($A282="","",IF(AND(OR($I282="Aprovado",$I282="Em execução",$I282="Aguardando peça"),N($X282)&gt;PrazoMax),"ATRASADA",IF(AND(OR($I282="Finalizado",$I282="Entregue"),$W282&gt;0.005),"Cobrar",IF($I282="Orçamento","Aguardando aprovação",""))))</f>
        <v>0</v>
      </c>
      <c r="Z282" s="33">
        <f>IF(AND($I282="Entregue",$M282&lt;&gt;""),DATE(YEAR($M282),MONTH($M282),1),"")</f>
        <v>0</v>
      </c>
      <c r="AA282" s="34">
        <f>IF(AND($C282&lt;&gt;"",$C282=HistPlaca),COUNTIF($C$5:$C282,HistPlaca),"")</f>
        <v>0</v>
      </c>
    </row>
    <row r="283" spans="1:27">
      <c r="A283" s="17"/>
      <c r="B283" s="25"/>
      <c r="C283" s="13"/>
      <c r="D283" s="26">
        <f>IF($C283="","",IFERROR(INDEX(VeicCli,MATCH($C283,VeicPlaca,0)),"Placa não cadastrada"))</f>
        <v>0</v>
      </c>
      <c r="E283" s="26">
        <f>IF($C283="","",IFERROR(INDEX(VeicModelo,MATCH($C283,VeicPlaca,0)),""))</f>
        <v>0</v>
      </c>
      <c r="F283" s="28"/>
      <c r="G283" s="13"/>
      <c r="H283" s="13"/>
      <c r="I283" s="13"/>
      <c r="J283" s="29"/>
      <c r="K283" s="19"/>
      <c r="L283" s="19"/>
      <c r="M283" s="25"/>
      <c r="N283" s="13"/>
      <c r="O283" s="19"/>
      <c r="P283" s="27">
        <f>IF($A283="","",N($J283)*ValorHora)</f>
        <v>0</v>
      </c>
      <c r="Q283" s="27">
        <f>IF($A283="","",SUMIFS(ItTotal,ItOS,$A283))</f>
        <v>0</v>
      </c>
      <c r="R283" s="30">
        <f>IF($A283="","",$P283+$Q283+N($K283)-N($L283))</f>
        <v>0</v>
      </c>
      <c r="S283" s="27">
        <f>IF($A283="","",SUMIFS(ItCusto,ItOS,$A283))</f>
        <v>0</v>
      </c>
      <c r="T283" s="27">
        <f>IF($A283="","",$P283*ComMec)</f>
        <v>0</v>
      </c>
      <c r="U283" s="21">
        <f>IF($A283="","",$R283-$S283-$T283-N($K283))</f>
        <v>0</v>
      </c>
      <c r="V283" s="31">
        <f>IF(OR($A283="",N($R283)&lt;=0),"",$U283/$R283)</f>
        <v>0</v>
      </c>
      <c r="W283" s="27">
        <f>IF($A283="","",IF(OR($I283="Finalizado",$I283="Entregue"),MAX(0,$R283-N($O283)),0))</f>
        <v>0</v>
      </c>
      <c r="X283" s="32">
        <f>IF(OR($A283="",$B283=""),"",IF(OR($I283="Entregue",$I283="Cancelada"),"",Hoje-$B283))</f>
        <v>0</v>
      </c>
      <c r="Y283" s="24">
        <f>IF($A283="","",IF(AND(OR($I283="Aprovado",$I283="Em execução",$I283="Aguardando peça"),N($X283)&gt;PrazoMax),"ATRASADA",IF(AND(OR($I283="Finalizado",$I283="Entregue"),$W283&gt;0.005),"Cobrar",IF($I283="Orçamento","Aguardando aprovação",""))))</f>
        <v>0</v>
      </c>
      <c r="Z283" s="33">
        <f>IF(AND($I283="Entregue",$M283&lt;&gt;""),DATE(YEAR($M283),MONTH($M283),1),"")</f>
        <v>0</v>
      </c>
      <c r="AA283" s="34">
        <f>IF(AND($C283&lt;&gt;"",$C283=HistPlaca),COUNTIF($C$5:$C283,HistPlaca),"")</f>
        <v>0</v>
      </c>
    </row>
    <row r="284" spans="1:27">
      <c r="A284" s="17"/>
      <c r="B284" s="25"/>
      <c r="C284" s="13"/>
      <c r="D284" s="26">
        <f>IF($C284="","",IFERROR(INDEX(VeicCli,MATCH($C284,VeicPlaca,0)),"Placa não cadastrada"))</f>
        <v>0</v>
      </c>
      <c r="E284" s="26">
        <f>IF($C284="","",IFERROR(INDEX(VeicModelo,MATCH($C284,VeicPlaca,0)),""))</f>
        <v>0</v>
      </c>
      <c r="F284" s="28"/>
      <c r="G284" s="13"/>
      <c r="H284" s="13"/>
      <c r="I284" s="13"/>
      <c r="J284" s="29"/>
      <c r="K284" s="19"/>
      <c r="L284" s="19"/>
      <c r="M284" s="25"/>
      <c r="N284" s="13"/>
      <c r="O284" s="19"/>
      <c r="P284" s="27">
        <f>IF($A284="","",N($J284)*ValorHora)</f>
        <v>0</v>
      </c>
      <c r="Q284" s="27">
        <f>IF($A284="","",SUMIFS(ItTotal,ItOS,$A284))</f>
        <v>0</v>
      </c>
      <c r="R284" s="30">
        <f>IF($A284="","",$P284+$Q284+N($K284)-N($L284))</f>
        <v>0</v>
      </c>
      <c r="S284" s="27">
        <f>IF($A284="","",SUMIFS(ItCusto,ItOS,$A284))</f>
        <v>0</v>
      </c>
      <c r="T284" s="27">
        <f>IF($A284="","",$P284*ComMec)</f>
        <v>0</v>
      </c>
      <c r="U284" s="21">
        <f>IF($A284="","",$R284-$S284-$T284-N($K284))</f>
        <v>0</v>
      </c>
      <c r="V284" s="31">
        <f>IF(OR($A284="",N($R284)&lt;=0),"",$U284/$R284)</f>
        <v>0</v>
      </c>
      <c r="W284" s="27">
        <f>IF($A284="","",IF(OR($I284="Finalizado",$I284="Entregue"),MAX(0,$R284-N($O284)),0))</f>
        <v>0</v>
      </c>
      <c r="X284" s="32">
        <f>IF(OR($A284="",$B284=""),"",IF(OR($I284="Entregue",$I284="Cancelada"),"",Hoje-$B284))</f>
        <v>0</v>
      </c>
      <c r="Y284" s="24">
        <f>IF($A284="","",IF(AND(OR($I284="Aprovado",$I284="Em execução",$I284="Aguardando peça"),N($X284)&gt;PrazoMax),"ATRASADA",IF(AND(OR($I284="Finalizado",$I284="Entregue"),$W284&gt;0.005),"Cobrar",IF($I284="Orçamento","Aguardando aprovação",""))))</f>
        <v>0</v>
      </c>
      <c r="Z284" s="33">
        <f>IF(AND($I284="Entregue",$M284&lt;&gt;""),DATE(YEAR($M284),MONTH($M284),1),"")</f>
        <v>0</v>
      </c>
      <c r="AA284" s="34">
        <f>IF(AND($C284&lt;&gt;"",$C284=HistPlaca),COUNTIF($C$5:$C284,HistPlaca),"")</f>
        <v>0</v>
      </c>
    </row>
    <row r="285" spans="1:27">
      <c r="A285" s="17"/>
      <c r="B285" s="25"/>
      <c r="C285" s="13"/>
      <c r="D285" s="26">
        <f>IF($C285="","",IFERROR(INDEX(VeicCli,MATCH($C285,VeicPlaca,0)),"Placa não cadastrada"))</f>
        <v>0</v>
      </c>
      <c r="E285" s="26">
        <f>IF($C285="","",IFERROR(INDEX(VeicModelo,MATCH($C285,VeicPlaca,0)),""))</f>
        <v>0</v>
      </c>
      <c r="F285" s="28"/>
      <c r="G285" s="13"/>
      <c r="H285" s="13"/>
      <c r="I285" s="13"/>
      <c r="J285" s="29"/>
      <c r="K285" s="19"/>
      <c r="L285" s="19"/>
      <c r="M285" s="25"/>
      <c r="N285" s="13"/>
      <c r="O285" s="19"/>
      <c r="P285" s="27">
        <f>IF($A285="","",N($J285)*ValorHora)</f>
        <v>0</v>
      </c>
      <c r="Q285" s="27">
        <f>IF($A285="","",SUMIFS(ItTotal,ItOS,$A285))</f>
        <v>0</v>
      </c>
      <c r="R285" s="30">
        <f>IF($A285="","",$P285+$Q285+N($K285)-N($L285))</f>
        <v>0</v>
      </c>
      <c r="S285" s="27">
        <f>IF($A285="","",SUMIFS(ItCusto,ItOS,$A285))</f>
        <v>0</v>
      </c>
      <c r="T285" s="27">
        <f>IF($A285="","",$P285*ComMec)</f>
        <v>0</v>
      </c>
      <c r="U285" s="21">
        <f>IF($A285="","",$R285-$S285-$T285-N($K285))</f>
        <v>0</v>
      </c>
      <c r="V285" s="31">
        <f>IF(OR($A285="",N($R285)&lt;=0),"",$U285/$R285)</f>
        <v>0</v>
      </c>
      <c r="W285" s="27">
        <f>IF($A285="","",IF(OR($I285="Finalizado",$I285="Entregue"),MAX(0,$R285-N($O285)),0))</f>
        <v>0</v>
      </c>
      <c r="X285" s="32">
        <f>IF(OR($A285="",$B285=""),"",IF(OR($I285="Entregue",$I285="Cancelada"),"",Hoje-$B285))</f>
        <v>0</v>
      </c>
      <c r="Y285" s="24">
        <f>IF($A285="","",IF(AND(OR($I285="Aprovado",$I285="Em execução",$I285="Aguardando peça"),N($X285)&gt;PrazoMax),"ATRASADA",IF(AND(OR($I285="Finalizado",$I285="Entregue"),$W285&gt;0.005),"Cobrar",IF($I285="Orçamento","Aguardando aprovação",""))))</f>
        <v>0</v>
      </c>
      <c r="Z285" s="33">
        <f>IF(AND($I285="Entregue",$M285&lt;&gt;""),DATE(YEAR($M285),MONTH($M285),1),"")</f>
        <v>0</v>
      </c>
      <c r="AA285" s="34">
        <f>IF(AND($C285&lt;&gt;"",$C285=HistPlaca),COUNTIF($C$5:$C285,HistPlaca),"")</f>
        <v>0</v>
      </c>
    </row>
    <row r="286" spans="1:27">
      <c r="A286" s="17"/>
      <c r="B286" s="25"/>
      <c r="C286" s="13"/>
      <c r="D286" s="26">
        <f>IF($C286="","",IFERROR(INDEX(VeicCli,MATCH($C286,VeicPlaca,0)),"Placa não cadastrada"))</f>
        <v>0</v>
      </c>
      <c r="E286" s="26">
        <f>IF($C286="","",IFERROR(INDEX(VeicModelo,MATCH($C286,VeicPlaca,0)),""))</f>
        <v>0</v>
      </c>
      <c r="F286" s="28"/>
      <c r="G286" s="13"/>
      <c r="H286" s="13"/>
      <c r="I286" s="13"/>
      <c r="J286" s="29"/>
      <c r="K286" s="19"/>
      <c r="L286" s="19"/>
      <c r="M286" s="25"/>
      <c r="N286" s="13"/>
      <c r="O286" s="19"/>
      <c r="P286" s="27">
        <f>IF($A286="","",N($J286)*ValorHora)</f>
        <v>0</v>
      </c>
      <c r="Q286" s="27">
        <f>IF($A286="","",SUMIFS(ItTotal,ItOS,$A286))</f>
        <v>0</v>
      </c>
      <c r="R286" s="30">
        <f>IF($A286="","",$P286+$Q286+N($K286)-N($L286))</f>
        <v>0</v>
      </c>
      <c r="S286" s="27">
        <f>IF($A286="","",SUMIFS(ItCusto,ItOS,$A286))</f>
        <v>0</v>
      </c>
      <c r="T286" s="27">
        <f>IF($A286="","",$P286*ComMec)</f>
        <v>0</v>
      </c>
      <c r="U286" s="21">
        <f>IF($A286="","",$R286-$S286-$T286-N($K286))</f>
        <v>0</v>
      </c>
      <c r="V286" s="31">
        <f>IF(OR($A286="",N($R286)&lt;=0),"",$U286/$R286)</f>
        <v>0</v>
      </c>
      <c r="W286" s="27">
        <f>IF($A286="","",IF(OR($I286="Finalizado",$I286="Entregue"),MAX(0,$R286-N($O286)),0))</f>
        <v>0</v>
      </c>
      <c r="X286" s="32">
        <f>IF(OR($A286="",$B286=""),"",IF(OR($I286="Entregue",$I286="Cancelada"),"",Hoje-$B286))</f>
        <v>0</v>
      </c>
      <c r="Y286" s="24">
        <f>IF($A286="","",IF(AND(OR($I286="Aprovado",$I286="Em execução",$I286="Aguardando peça"),N($X286)&gt;PrazoMax),"ATRASADA",IF(AND(OR($I286="Finalizado",$I286="Entregue"),$W286&gt;0.005),"Cobrar",IF($I286="Orçamento","Aguardando aprovação",""))))</f>
        <v>0</v>
      </c>
      <c r="Z286" s="33">
        <f>IF(AND($I286="Entregue",$M286&lt;&gt;""),DATE(YEAR($M286),MONTH($M286),1),"")</f>
        <v>0</v>
      </c>
      <c r="AA286" s="34">
        <f>IF(AND($C286&lt;&gt;"",$C286=HistPlaca),COUNTIF($C$5:$C286,HistPlaca),"")</f>
        <v>0</v>
      </c>
    </row>
    <row r="287" spans="1:27">
      <c r="A287" s="17"/>
      <c r="B287" s="25"/>
      <c r="C287" s="13"/>
      <c r="D287" s="26">
        <f>IF($C287="","",IFERROR(INDEX(VeicCli,MATCH($C287,VeicPlaca,0)),"Placa não cadastrada"))</f>
        <v>0</v>
      </c>
      <c r="E287" s="26">
        <f>IF($C287="","",IFERROR(INDEX(VeicModelo,MATCH($C287,VeicPlaca,0)),""))</f>
        <v>0</v>
      </c>
      <c r="F287" s="28"/>
      <c r="G287" s="13"/>
      <c r="H287" s="13"/>
      <c r="I287" s="13"/>
      <c r="J287" s="29"/>
      <c r="K287" s="19"/>
      <c r="L287" s="19"/>
      <c r="M287" s="25"/>
      <c r="N287" s="13"/>
      <c r="O287" s="19"/>
      <c r="P287" s="27">
        <f>IF($A287="","",N($J287)*ValorHora)</f>
        <v>0</v>
      </c>
      <c r="Q287" s="27">
        <f>IF($A287="","",SUMIFS(ItTotal,ItOS,$A287))</f>
        <v>0</v>
      </c>
      <c r="R287" s="30">
        <f>IF($A287="","",$P287+$Q287+N($K287)-N($L287))</f>
        <v>0</v>
      </c>
      <c r="S287" s="27">
        <f>IF($A287="","",SUMIFS(ItCusto,ItOS,$A287))</f>
        <v>0</v>
      </c>
      <c r="T287" s="27">
        <f>IF($A287="","",$P287*ComMec)</f>
        <v>0</v>
      </c>
      <c r="U287" s="21">
        <f>IF($A287="","",$R287-$S287-$T287-N($K287))</f>
        <v>0</v>
      </c>
      <c r="V287" s="31">
        <f>IF(OR($A287="",N($R287)&lt;=0),"",$U287/$R287)</f>
        <v>0</v>
      </c>
      <c r="W287" s="27">
        <f>IF($A287="","",IF(OR($I287="Finalizado",$I287="Entregue"),MAX(0,$R287-N($O287)),0))</f>
        <v>0</v>
      </c>
      <c r="X287" s="32">
        <f>IF(OR($A287="",$B287=""),"",IF(OR($I287="Entregue",$I287="Cancelada"),"",Hoje-$B287))</f>
        <v>0</v>
      </c>
      <c r="Y287" s="24">
        <f>IF($A287="","",IF(AND(OR($I287="Aprovado",$I287="Em execução",$I287="Aguardando peça"),N($X287)&gt;PrazoMax),"ATRASADA",IF(AND(OR($I287="Finalizado",$I287="Entregue"),$W287&gt;0.005),"Cobrar",IF($I287="Orçamento","Aguardando aprovação",""))))</f>
        <v>0</v>
      </c>
      <c r="Z287" s="33">
        <f>IF(AND($I287="Entregue",$M287&lt;&gt;""),DATE(YEAR($M287),MONTH($M287),1),"")</f>
        <v>0</v>
      </c>
      <c r="AA287" s="34">
        <f>IF(AND($C287&lt;&gt;"",$C287=HistPlaca),COUNTIF($C$5:$C287,HistPlaca),"")</f>
        <v>0</v>
      </c>
    </row>
    <row r="288" spans="1:27">
      <c r="A288" s="17"/>
      <c r="B288" s="25"/>
      <c r="C288" s="13"/>
      <c r="D288" s="26">
        <f>IF($C288="","",IFERROR(INDEX(VeicCli,MATCH($C288,VeicPlaca,0)),"Placa não cadastrada"))</f>
        <v>0</v>
      </c>
      <c r="E288" s="26">
        <f>IF($C288="","",IFERROR(INDEX(VeicModelo,MATCH($C288,VeicPlaca,0)),""))</f>
        <v>0</v>
      </c>
      <c r="F288" s="28"/>
      <c r="G288" s="13"/>
      <c r="H288" s="13"/>
      <c r="I288" s="13"/>
      <c r="J288" s="29"/>
      <c r="K288" s="19"/>
      <c r="L288" s="19"/>
      <c r="M288" s="25"/>
      <c r="N288" s="13"/>
      <c r="O288" s="19"/>
      <c r="P288" s="27">
        <f>IF($A288="","",N($J288)*ValorHora)</f>
        <v>0</v>
      </c>
      <c r="Q288" s="27">
        <f>IF($A288="","",SUMIFS(ItTotal,ItOS,$A288))</f>
        <v>0</v>
      </c>
      <c r="R288" s="30">
        <f>IF($A288="","",$P288+$Q288+N($K288)-N($L288))</f>
        <v>0</v>
      </c>
      <c r="S288" s="27">
        <f>IF($A288="","",SUMIFS(ItCusto,ItOS,$A288))</f>
        <v>0</v>
      </c>
      <c r="T288" s="27">
        <f>IF($A288="","",$P288*ComMec)</f>
        <v>0</v>
      </c>
      <c r="U288" s="21">
        <f>IF($A288="","",$R288-$S288-$T288-N($K288))</f>
        <v>0</v>
      </c>
      <c r="V288" s="31">
        <f>IF(OR($A288="",N($R288)&lt;=0),"",$U288/$R288)</f>
        <v>0</v>
      </c>
      <c r="W288" s="27">
        <f>IF($A288="","",IF(OR($I288="Finalizado",$I288="Entregue"),MAX(0,$R288-N($O288)),0))</f>
        <v>0</v>
      </c>
      <c r="X288" s="32">
        <f>IF(OR($A288="",$B288=""),"",IF(OR($I288="Entregue",$I288="Cancelada"),"",Hoje-$B288))</f>
        <v>0</v>
      </c>
      <c r="Y288" s="24">
        <f>IF($A288="","",IF(AND(OR($I288="Aprovado",$I288="Em execução",$I288="Aguardando peça"),N($X288)&gt;PrazoMax),"ATRASADA",IF(AND(OR($I288="Finalizado",$I288="Entregue"),$W288&gt;0.005),"Cobrar",IF($I288="Orçamento","Aguardando aprovação",""))))</f>
        <v>0</v>
      </c>
      <c r="Z288" s="33">
        <f>IF(AND($I288="Entregue",$M288&lt;&gt;""),DATE(YEAR($M288),MONTH($M288),1),"")</f>
        <v>0</v>
      </c>
      <c r="AA288" s="34">
        <f>IF(AND($C288&lt;&gt;"",$C288=HistPlaca),COUNTIF($C$5:$C288,HistPlaca),"")</f>
        <v>0</v>
      </c>
    </row>
    <row r="289" spans="1:27">
      <c r="A289" s="17"/>
      <c r="B289" s="25"/>
      <c r="C289" s="13"/>
      <c r="D289" s="26">
        <f>IF($C289="","",IFERROR(INDEX(VeicCli,MATCH($C289,VeicPlaca,0)),"Placa não cadastrada"))</f>
        <v>0</v>
      </c>
      <c r="E289" s="26">
        <f>IF($C289="","",IFERROR(INDEX(VeicModelo,MATCH($C289,VeicPlaca,0)),""))</f>
        <v>0</v>
      </c>
      <c r="F289" s="28"/>
      <c r="G289" s="13"/>
      <c r="H289" s="13"/>
      <c r="I289" s="13"/>
      <c r="J289" s="29"/>
      <c r="K289" s="19"/>
      <c r="L289" s="19"/>
      <c r="M289" s="25"/>
      <c r="N289" s="13"/>
      <c r="O289" s="19"/>
      <c r="P289" s="27">
        <f>IF($A289="","",N($J289)*ValorHora)</f>
        <v>0</v>
      </c>
      <c r="Q289" s="27">
        <f>IF($A289="","",SUMIFS(ItTotal,ItOS,$A289))</f>
        <v>0</v>
      </c>
      <c r="R289" s="30">
        <f>IF($A289="","",$P289+$Q289+N($K289)-N($L289))</f>
        <v>0</v>
      </c>
      <c r="S289" s="27">
        <f>IF($A289="","",SUMIFS(ItCusto,ItOS,$A289))</f>
        <v>0</v>
      </c>
      <c r="T289" s="27">
        <f>IF($A289="","",$P289*ComMec)</f>
        <v>0</v>
      </c>
      <c r="U289" s="21">
        <f>IF($A289="","",$R289-$S289-$T289-N($K289))</f>
        <v>0</v>
      </c>
      <c r="V289" s="31">
        <f>IF(OR($A289="",N($R289)&lt;=0),"",$U289/$R289)</f>
        <v>0</v>
      </c>
      <c r="W289" s="27">
        <f>IF($A289="","",IF(OR($I289="Finalizado",$I289="Entregue"),MAX(0,$R289-N($O289)),0))</f>
        <v>0</v>
      </c>
      <c r="X289" s="32">
        <f>IF(OR($A289="",$B289=""),"",IF(OR($I289="Entregue",$I289="Cancelada"),"",Hoje-$B289))</f>
        <v>0</v>
      </c>
      <c r="Y289" s="24">
        <f>IF($A289="","",IF(AND(OR($I289="Aprovado",$I289="Em execução",$I289="Aguardando peça"),N($X289)&gt;PrazoMax),"ATRASADA",IF(AND(OR($I289="Finalizado",$I289="Entregue"),$W289&gt;0.005),"Cobrar",IF($I289="Orçamento","Aguardando aprovação",""))))</f>
        <v>0</v>
      </c>
      <c r="Z289" s="33">
        <f>IF(AND($I289="Entregue",$M289&lt;&gt;""),DATE(YEAR($M289),MONTH($M289),1),"")</f>
        <v>0</v>
      </c>
      <c r="AA289" s="34">
        <f>IF(AND($C289&lt;&gt;"",$C289=HistPlaca),COUNTIF($C$5:$C289,HistPlaca),"")</f>
        <v>0</v>
      </c>
    </row>
    <row r="290" spans="1:27">
      <c r="A290" s="17"/>
      <c r="B290" s="25"/>
      <c r="C290" s="13"/>
      <c r="D290" s="26">
        <f>IF($C290="","",IFERROR(INDEX(VeicCli,MATCH($C290,VeicPlaca,0)),"Placa não cadastrada"))</f>
        <v>0</v>
      </c>
      <c r="E290" s="26">
        <f>IF($C290="","",IFERROR(INDEX(VeicModelo,MATCH($C290,VeicPlaca,0)),""))</f>
        <v>0</v>
      </c>
      <c r="F290" s="28"/>
      <c r="G290" s="13"/>
      <c r="H290" s="13"/>
      <c r="I290" s="13"/>
      <c r="J290" s="29"/>
      <c r="K290" s="19"/>
      <c r="L290" s="19"/>
      <c r="M290" s="25"/>
      <c r="N290" s="13"/>
      <c r="O290" s="19"/>
      <c r="P290" s="27">
        <f>IF($A290="","",N($J290)*ValorHora)</f>
        <v>0</v>
      </c>
      <c r="Q290" s="27">
        <f>IF($A290="","",SUMIFS(ItTotal,ItOS,$A290))</f>
        <v>0</v>
      </c>
      <c r="R290" s="30">
        <f>IF($A290="","",$P290+$Q290+N($K290)-N($L290))</f>
        <v>0</v>
      </c>
      <c r="S290" s="27">
        <f>IF($A290="","",SUMIFS(ItCusto,ItOS,$A290))</f>
        <v>0</v>
      </c>
      <c r="T290" s="27">
        <f>IF($A290="","",$P290*ComMec)</f>
        <v>0</v>
      </c>
      <c r="U290" s="21">
        <f>IF($A290="","",$R290-$S290-$T290-N($K290))</f>
        <v>0</v>
      </c>
      <c r="V290" s="31">
        <f>IF(OR($A290="",N($R290)&lt;=0),"",$U290/$R290)</f>
        <v>0</v>
      </c>
      <c r="W290" s="27">
        <f>IF($A290="","",IF(OR($I290="Finalizado",$I290="Entregue"),MAX(0,$R290-N($O290)),0))</f>
        <v>0</v>
      </c>
      <c r="X290" s="32">
        <f>IF(OR($A290="",$B290=""),"",IF(OR($I290="Entregue",$I290="Cancelada"),"",Hoje-$B290))</f>
        <v>0</v>
      </c>
      <c r="Y290" s="24">
        <f>IF($A290="","",IF(AND(OR($I290="Aprovado",$I290="Em execução",$I290="Aguardando peça"),N($X290)&gt;PrazoMax),"ATRASADA",IF(AND(OR($I290="Finalizado",$I290="Entregue"),$W290&gt;0.005),"Cobrar",IF($I290="Orçamento","Aguardando aprovação",""))))</f>
        <v>0</v>
      </c>
      <c r="Z290" s="33">
        <f>IF(AND($I290="Entregue",$M290&lt;&gt;""),DATE(YEAR($M290),MONTH($M290),1),"")</f>
        <v>0</v>
      </c>
      <c r="AA290" s="34">
        <f>IF(AND($C290&lt;&gt;"",$C290=HistPlaca),COUNTIF($C$5:$C290,HistPlaca),"")</f>
        <v>0</v>
      </c>
    </row>
    <row r="291" spans="1:27">
      <c r="A291" s="17"/>
      <c r="B291" s="25"/>
      <c r="C291" s="13"/>
      <c r="D291" s="26">
        <f>IF($C291="","",IFERROR(INDEX(VeicCli,MATCH($C291,VeicPlaca,0)),"Placa não cadastrada"))</f>
        <v>0</v>
      </c>
      <c r="E291" s="26">
        <f>IF($C291="","",IFERROR(INDEX(VeicModelo,MATCH($C291,VeicPlaca,0)),""))</f>
        <v>0</v>
      </c>
      <c r="F291" s="28"/>
      <c r="G291" s="13"/>
      <c r="H291" s="13"/>
      <c r="I291" s="13"/>
      <c r="J291" s="29"/>
      <c r="K291" s="19"/>
      <c r="L291" s="19"/>
      <c r="M291" s="25"/>
      <c r="N291" s="13"/>
      <c r="O291" s="19"/>
      <c r="P291" s="27">
        <f>IF($A291="","",N($J291)*ValorHora)</f>
        <v>0</v>
      </c>
      <c r="Q291" s="27">
        <f>IF($A291="","",SUMIFS(ItTotal,ItOS,$A291))</f>
        <v>0</v>
      </c>
      <c r="R291" s="30">
        <f>IF($A291="","",$P291+$Q291+N($K291)-N($L291))</f>
        <v>0</v>
      </c>
      <c r="S291" s="27">
        <f>IF($A291="","",SUMIFS(ItCusto,ItOS,$A291))</f>
        <v>0</v>
      </c>
      <c r="T291" s="27">
        <f>IF($A291="","",$P291*ComMec)</f>
        <v>0</v>
      </c>
      <c r="U291" s="21">
        <f>IF($A291="","",$R291-$S291-$T291-N($K291))</f>
        <v>0</v>
      </c>
      <c r="V291" s="31">
        <f>IF(OR($A291="",N($R291)&lt;=0),"",$U291/$R291)</f>
        <v>0</v>
      </c>
      <c r="W291" s="27">
        <f>IF($A291="","",IF(OR($I291="Finalizado",$I291="Entregue"),MAX(0,$R291-N($O291)),0))</f>
        <v>0</v>
      </c>
      <c r="X291" s="32">
        <f>IF(OR($A291="",$B291=""),"",IF(OR($I291="Entregue",$I291="Cancelada"),"",Hoje-$B291))</f>
        <v>0</v>
      </c>
      <c r="Y291" s="24">
        <f>IF($A291="","",IF(AND(OR($I291="Aprovado",$I291="Em execução",$I291="Aguardando peça"),N($X291)&gt;PrazoMax),"ATRASADA",IF(AND(OR($I291="Finalizado",$I291="Entregue"),$W291&gt;0.005),"Cobrar",IF($I291="Orçamento","Aguardando aprovação",""))))</f>
        <v>0</v>
      </c>
      <c r="Z291" s="33">
        <f>IF(AND($I291="Entregue",$M291&lt;&gt;""),DATE(YEAR($M291),MONTH($M291),1),"")</f>
        <v>0</v>
      </c>
      <c r="AA291" s="34">
        <f>IF(AND($C291&lt;&gt;"",$C291=HistPlaca),COUNTIF($C$5:$C291,HistPlaca),"")</f>
        <v>0</v>
      </c>
    </row>
    <row r="292" spans="1:27">
      <c r="A292" s="17"/>
      <c r="B292" s="25"/>
      <c r="C292" s="13"/>
      <c r="D292" s="26">
        <f>IF($C292="","",IFERROR(INDEX(VeicCli,MATCH($C292,VeicPlaca,0)),"Placa não cadastrada"))</f>
        <v>0</v>
      </c>
      <c r="E292" s="26">
        <f>IF($C292="","",IFERROR(INDEX(VeicModelo,MATCH($C292,VeicPlaca,0)),""))</f>
        <v>0</v>
      </c>
      <c r="F292" s="28"/>
      <c r="G292" s="13"/>
      <c r="H292" s="13"/>
      <c r="I292" s="13"/>
      <c r="J292" s="29"/>
      <c r="K292" s="19"/>
      <c r="L292" s="19"/>
      <c r="M292" s="25"/>
      <c r="N292" s="13"/>
      <c r="O292" s="19"/>
      <c r="P292" s="27">
        <f>IF($A292="","",N($J292)*ValorHora)</f>
        <v>0</v>
      </c>
      <c r="Q292" s="27">
        <f>IF($A292="","",SUMIFS(ItTotal,ItOS,$A292))</f>
        <v>0</v>
      </c>
      <c r="R292" s="30">
        <f>IF($A292="","",$P292+$Q292+N($K292)-N($L292))</f>
        <v>0</v>
      </c>
      <c r="S292" s="27">
        <f>IF($A292="","",SUMIFS(ItCusto,ItOS,$A292))</f>
        <v>0</v>
      </c>
      <c r="T292" s="27">
        <f>IF($A292="","",$P292*ComMec)</f>
        <v>0</v>
      </c>
      <c r="U292" s="21">
        <f>IF($A292="","",$R292-$S292-$T292-N($K292))</f>
        <v>0</v>
      </c>
      <c r="V292" s="31">
        <f>IF(OR($A292="",N($R292)&lt;=0),"",$U292/$R292)</f>
        <v>0</v>
      </c>
      <c r="W292" s="27">
        <f>IF($A292="","",IF(OR($I292="Finalizado",$I292="Entregue"),MAX(0,$R292-N($O292)),0))</f>
        <v>0</v>
      </c>
      <c r="X292" s="32">
        <f>IF(OR($A292="",$B292=""),"",IF(OR($I292="Entregue",$I292="Cancelada"),"",Hoje-$B292))</f>
        <v>0</v>
      </c>
      <c r="Y292" s="24">
        <f>IF($A292="","",IF(AND(OR($I292="Aprovado",$I292="Em execução",$I292="Aguardando peça"),N($X292)&gt;PrazoMax),"ATRASADA",IF(AND(OR($I292="Finalizado",$I292="Entregue"),$W292&gt;0.005),"Cobrar",IF($I292="Orçamento","Aguardando aprovação",""))))</f>
        <v>0</v>
      </c>
      <c r="Z292" s="33">
        <f>IF(AND($I292="Entregue",$M292&lt;&gt;""),DATE(YEAR($M292),MONTH($M292),1),"")</f>
        <v>0</v>
      </c>
      <c r="AA292" s="34">
        <f>IF(AND($C292&lt;&gt;"",$C292=HistPlaca),COUNTIF($C$5:$C292,HistPlaca),"")</f>
        <v>0</v>
      </c>
    </row>
    <row r="293" spans="1:27">
      <c r="A293" s="17"/>
      <c r="B293" s="25"/>
      <c r="C293" s="13"/>
      <c r="D293" s="26">
        <f>IF($C293="","",IFERROR(INDEX(VeicCli,MATCH($C293,VeicPlaca,0)),"Placa não cadastrada"))</f>
        <v>0</v>
      </c>
      <c r="E293" s="26">
        <f>IF($C293="","",IFERROR(INDEX(VeicModelo,MATCH($C293,VeicPlaca,0)),""))</f>
        <v>0</v>
      </c>
      <c r="F293" s="28"/>
      <c r="G293" s="13"/>
      <c r="H293" s="13"/>
      <c r="I293" s="13"/>
      <c r="J293" s="29"/>
      <c r="K293" s="19"/>
      <c r="L293" s="19"/>
      <c r="M293" s="25"/>
      <c r="N293" s="13"/>
      <c r="O293" s="19"/>
      <c r="P293" s="27">
        <f>IF($A293="","",N($J293)*ValorHora)</f>
        <v>0</v>
      </c>
      <c r="Q293" s="27">
        <f>IF($A293="","",SUMIFS(ItTotal,ItOS,$A293))</f>
        <v>0</v>
      </c>
      <c r="R293" s="30">
        <f>IF($A293="","",$P293+$Q293+N($K293)-N($L293))</f>
        <v>0</v>
      </c>
      <c r="S293" s="27">
        <f>IF($A293="","",SUMIFS(ItCusto,ItOS,$A293))</f>
        <v>0</v>
      </c>
      <c r="T293" s="27">
        <f>IF($A293="","",$P293*ComMec)</f>
        <v>0</v>
      </c>
      <c r="U293" s="21">
        <f>IF($A293="","",$R293-$S293-$T293-N($K293))</f>
        <v>0</v>
      </c>
      <c r="V293" s="31">
        <f>IF(OR($A293="",N($R293)&lt;=0),"",$U293/$R293)</f>
        <v>0</v>
      </c>
      <c r="W293" s="27">
        <f>IF($A293="","",IF(OR($I293="Finalizado",$I293="Entregue"),MAX(0,$R293-N($O293)),0))</f>
        <v>0</v>
      </c>
      <c r="X293" s="32">
        <f>IF(OR($A293="",$B293=""),"",IF(OR($I293="Entregue",$I293="Cancelada"),"",Hoje-$B293))</f>
        <v>0</v>
      </c>
      <c r="Y293" s="24">
        <f>IF($A293="","",IF(AND(OR($I293="Aprovado",$I293="Em execução",$I293="Aguardando peça"),N($X293)&gt;PrazoMax),"ATRASADA",IF(AND(OR($I293="Finalizado",$I293="Entregue"),$W293&gt;0.005),"Cobrar",IF($I293="Orçamento","Aguardando aprovação",""))))</f>
        <v>0</v>
      </c>
      <c r="Z293" s="33">
        <f>IF(AND($I293="Entregue",$M293&lt;&gt;""),DATE(YEAR($M293),MONTH($M293),1),"")</f>
        <v>0</v>
      </c>
      <c r="AA293" s="34">
        <f>IF(AND($C293&lt;&gt;"",$C293=HistPlaca),COUNTIF($C$5:$C293,HistPlaca),"")</f>
        <v>0</v>
      </c>
    </row>
    <row r="294" spans="1:27">
      <c r="A294" s="17"/>
      <c r="B294" s="25"/>
      <c r="C294" s="13"/>
      <c r="D294" s="26">
        <f>IF($C294="","",IFERROR(INDEX(VeicCli,MATCH($C294,VeicPlaca,0)),"Placa não cadastrada"))</f>
        <v>0</v>
      </c>
      <c r="E294" s="26">
        <f>IF($C294="","",IFERROR(INDEX(VeicModelo,MATCH($C294,VeicPlaca,0)),""))</f>
        <v>0</v>
      </c>
      <c r="F294" s="28"/>
      <c r="G294" s="13"/>
      <c r="H294" s="13"/>
      <c r="I294" s="13"/>
      <c r="J294" s="29"/>
      <c r="K294" s="19"/>
      <c r="L294" s="19"/>
      <c r="M294" s="25"/>
      <c r="N294" s="13"/>
      <c r="O294" s="19"/>
      <c r="P294" s="27">
        <f>IF($A294="","",N($J294)*ValorHora)</f>
        <v>0</v>
      </c>
      <c r="Q294" s="27">
        <f>IF($A294="","",SUMIFS(ItTotal,ItOS,$A294))</f>
        <v>0</v>
      </c>
      <c r="R294" s="30">
        <f>IF($A294="","",$P294+$Q294+N($K294)-N($L294))</f>
        <v>0</v>
      </c>
      <c r="S294" s="27">
        <f>IF($A294="","",SUMIFS(ItCusto,ItOS,$A294))</f>
        <v>0</v>
      </c>
      <c r="T294" s="27">
        <f>IF($A294="","",$P294*ComMec)</f>
        <v>0</v>
      </c>
      <c r="U294" s="21">
        <f>IF($A294="","",$R294-$S294-$T294-N($K294))</f>
        <v>0</v>
      </c>
      <c r="V294" s="31">
        <f>IF(OR($A294="",N($R294)&lt;=0),"",$U294/$R294)</f>
        <v>0</v>
      </c>
      <c r="W294" s="27">
        <f>IF($A294="","",IF(OR($I294="Finalizado",$I294="Entregue"),MAX(0,$R294-N($O294)),0))</f>
        <v>0</v>
      </c>
      <c r="X294" s="32">
        <f>IF(OR($A294="",$B294=""),"",IF(OR($I294="Entregue",$I294="Cancelada"),"",Hoje-$B294))</f>
        <v>0</v>
      </c>
      <c r="Y294" s="24">
        <f>IF($A294="","",IF(AND(OR($I294="Aprovado",$I294="Em execução",$I294="Aguardando peça"),N($X294)&gt;PrazoMax),"ATRASADA",IF(AND(OR($I294="Finalizado",$I294="Entregue"),$W294&gt;0.005),"Cobrar",IF($I294="Orçamento","Aguardando aprovação",""))))</f>
        <v>0</v>
      </c>
      <c r="Z294" s="33">
        <f>IF(AND($I294="Entregue",$M294&lt;&gt;""),DATE(YEAR($M294),MONTH($M294),1),"")</f>
        <v>0</v>
      </c>
      <c r="AA294" s="34">
        <f>IF(AND($C294&lt;&gt;"",$C294=HistPlaca),COUNTIF($C$5:$C294,HistPlaca),"")</f>
        <v>0</v>
      </c>
    </row>
    <row r="295" spans="1:27">
      <c r="A295" s="17"/>
      <c r="B295" s="25"/>
      <c r="C295" s="13"/>
      <c r="D295" s="26">
        <f>IF($C295="","",IFERROR(INDEX(VeicCli,MATCH($C295,VeicPlaca,0)),"Placa não cadastrada"))</f>
        <v>0</v>
      </c>
      <c r="E295" s="26">
        <f>IF($C295="","",IFERROR(INDEX(VeicModelo,MATCH($C295,VeicPlaca,0)),""))</f>
        <v>0</v>
      </c>
      <c r="F295" s="28"/>
      <c r="G295" s="13"/>
      <c r="H295" s="13"/>
      <c r="I295" s="13"/>
      <c r="J295" s="29"/>
      <c r="K295" s="19"/>
      <c r="L295" s="19"/>
      <c r="M295" s="25"/>
      <c r="N295" s="13"/>
      <c r="O295" s="19"/>
      <c r="P295" s="27">
        <f>IF($A295="","",N($J295)*ValorHora)</f>
        <v>0</v>
      </c>
      <c r="Q295" s="27">
        <f>IF($A295="","",SUMIFS(ItTotal,ItOS,$A295))</f>
        <v>0</v>
      </c>
      <c r="R295" s="30">
        <f>IF($A295="","",$P295+$Q295+N($K295)-N($L295))</f>
        <v>0</v>
      </c>
      <c r="S295" s="27">
        <f>IF($A295="","",SUMIFS(ItCusto,ItOS,$A295))</f>
        <v>0</v>
      </c>
      <c r="T295" s="27">
        <f>IF($A295="","",$P295*ComMec)</f>
        <v>0</v>
      </c>
      <c r="U295" s="21">
        <f>IF($A295="","",$R295-$S295-$T295-N($K295))</f>
        <v>0</v>
      </c>
      <c r="V295" s="31">
        <f>IF(OR($A295="",N($R295)&lt;=0),"",$U295/$R295)</f>
        <v>0</v>
      </c>
      <c r="W295" s="27">
        <f>IF($A295="","",IF(OR($I295="Finalizado",$I295="Entregue"),MAX(0,$R295-N($O295)),0))</f>
        <v>0</v>
      </c>
      <c r="X295" s="32">
        <f>IF(OR($A295="",$B295=""),"",IF(OR($I295="Entregue",$I295="Cancelada"),"",Hoje-$B295))</f>
        <v>0</v>
      </c>
      <c r="Y295" s="24">
        <f>IF($A295="","",IF(AND(OR($I295="Aprovado",$I295="Em execução",$I295="Aguardando peça"),N($X295)&gt;PrazoMax),"ATRASADA",IF(AND(OR($I295="Finalizado",$I295="Entregue"),$W295&gt;0.005),"Cobrar",IF($I295="Orçamento","Aguardando aprovação",""))))</f>
        <v>0</v>
      </c>
      <c r="Z295" s="33">
        <f>IF(AND($I295="Entregue",$M295&lt;&gt;""),DATE(YEAR($M295),MONTH($M295),1),"")</f>
        <v>0</v>
      </c>
      <c r="AA295" s="34">
        <f>IF(AND($C295&lt;&gt;"",$C295=HistPlaca),COUNTIF($C$5:$C295,HistPlaca),"")</f>
        <v>0</v>
      </c>
    </row>
    <row r="296" spans="1:27">
      <c r="A296" s="17"/>
      <c r="B296" s="25"/>
      <c r="C296" s="13"/>
      <c r="D296" s="26">
        <f>IF($C296="","",IFERROR(INDEX(VeicCli,MATCH($C296,VeicPlaca,0)),"Placa não cadastrada"))</f>
        <v>0</v>
      </c>
      <c r="E296" s="26">
        <f>IF($C296="","",IFERROR(INDEX(VeicModelo,MATCH($C296,VeicPlaca,0)),""))</f>
        <v>0</v>
      </c>
      <c r="F296" s="28"/>
      <c r="G296" s="13"/>
      <c r="H296" s="13"/>
      <c r="I296" s="13"/>
      <c r="J296" s="29"/>
      <c r="K296" s="19"/>
      <c r="L296" s="19"/>
      <c r="M296" s="25"/>
      <c r="N296" s="13"/>
      <c r="O296" s="19"/>
      <c r="P296" s="27">
        <f>IF($A296="","",N($J296)*ValorHora)</f>
        <v>0</v>
      </c>
      <c r="Q296" s="27">
        <f>IF($A296="","",SUMIFS(ItTotal,ItOS,$A296))</f>
        <v>0</v>
      </c>
      <c r="R296" s="30">
        <f>IF($A296="","",$P296+$Q296+N($K296)-N($L296))</f>
        <v>0</v>
      </c>
      <c r="S296" s="27">
        <f>IF($A296="","",SUMIFS(ItCusto,ItOS,$A296))</f>
        <v>0</v>
      </c>
      <c r="T296" s="27">
        <f>IF($A296="","",$P296*ComMec)</f>
        <v>0</v>
      </c>
      <c r="U296" s="21">
        <f>IF($A296="","",$R296-$S296-$T296-N($K296))</f>
        <v>0</v>
      </c>
      <c r="V296" s="31">
        <f>IF(OR($A296="",N($R296)&lt;=0),"",$U296/$R296)</f>
        <v>0</v>
      </c>
      <c r="W296" s="27">
        <f>IF($A296="","",IF(OR($I296="Finalizado",$I296="Entregue"),MAX(0,$R296-N($O296)),0))</f>
        <v>0</v>
      </c>
      <c r="X296" s="32">
        <f>IF(OR($A296="",$B296=""),"",IF(OR($I296="Entregue",$I296="Cancelada"),"",Hoje-$B296))</f>
        <v>0</v>
      </c>
      <c r="Y296" s="24">
        <f>IF($A296="","",IF(AND(OR($I296="Aprovado",$I296="Em execução",$I296="Aguardando peça"),N($X296)&gt;PrazoMax),"ATRASADA",IF(AND(OR($I296="Finalizado",$I296="Entregue"),$W296&gt;0.005),"Cobrar",IF($I296="Orçamento","Aguardando aprovação",""))))</f>
        <v>0</v>
      </c>
      <c r="Z296" s="33">
        <f>IF(AND($I296="Entregue",$M296&lt;&gt;""),DATE(YEAR($M296),MONTH($M296),1),"")</f>
        <v>0</v>
      </c>
      <c r="AA296" s="34">
        <f>IF(AND($C296&lt;&gt;"",$C296=HistPlaca),COUNTIF($C$5:$C296,HistPlaca),"")</f>
        <v>0</v>
      </c>
    </row>
    <row r="297" spans="1:27">
      <c r="A297" s="17"/>
      <c r="B297" s="25"/>
      <c r="C297" s="13"/>
      <c r="D297" s="26">
        <f>IF($C297="","",IFERROR(INDEX(VeicCli,MATCH($C297,VeicPlaca,0)),"Placa não cadastrada"))</f>
        <v>0</v>
      </c>
      <c r="E297" s="26">
        <f>IF($C297="","",IFERROR(INDEX(VeicModelo,MATCH($C297,VeicPlaca,0)),""))</f>
        <v>0</v>
      </c>
      <c r="F297" s="28"/>
      <c r="G297" s="13"/>
      <c r="H297" s="13"/>
      <c r="I297" s="13"/>
      <c r="J297" s="29"/>
      <c r="K297" s="19"/>
      <c r="L297" s="19"/>
      <c r="M297" s="25"/>
      <c r="N297" s="13"/>
      <c r="O297" s="19"/>
      <c r="P297" s="27">
        <f>IF($A297="","",N($J297)*ValorHora)</f>
        <v>0</v>
      </c>
      <c r="Q297" s="27">
        <f>IF($A297="","",SUMIFS(ItTotal,ItOS,$A297))</f>
        <v>0</v>
      </c>
      <c r="R297" s="30">
        <f>IF($A297="","",$P297+$Q297+N($K297)-N($L297))</f>
        <v>0</v>
      </c>
      <c r="S297" s="27">
        <f>IF($A297="","",SUMIFS(ItCusto,ItOS,$A297))</f>
        <v>0</v>
      </c>
      <c r="T297" s="27">
        <f>IF($A297="","",$P297*ComMec)</f>
        <v>0</v>
      </c>
      <c r="U297" s="21">
        <f>IF($A297="","",$R297-$S297-$T297-N($K297))</f>
        <v>0</v>
      </c>
      <c r="V297" s="31">
        <f>IF(OR($A297="",N($R297)&lt;=0),"",$U297/$R297)</f>
        <v>0</v>
      </c>
      <c r="W297" s="27">
        <f>IF($A297="","",IF(OR($I297="Finalizado",$I297="Entregue"),MAX(0,$R297-N($O297)),0))</f>
        <v>0</v>
      </c>
      <c r="X297" s="32">
        <f>IF(OR($A297="",$B297=""),"",IF(OR($I297="Entregue",$I297="Cancelada"),"",Hoje-$B297))</f>
        <v>0</v>
      </c>
      <c r="Y297" s="24">
        <f>IF($A297="","",IF(AND(OR($I297="Aprovado",$I297="Em execução",$I297="Aguardando peça"),N($X297)&gt;PrazoMax),"ATRASADA",IF(AND(OR($I297="Finalizado",$I297="Entregue"),$W297&gt;0.005),"Cobrar",IF($I297="Orçamento","Aguardando aprovação",""))))</f>
        <v>0</v>
      </c>
      <c r="Z297" s="33">
        <f>IF(AND($I297="Entregue",$M297&lt;&gt;""),DATE(YEAR($M297),MONTH($M297),1),"")</f>
        <v>0</v>
      </c>
      <c r="AA297" s="34">
        <f>IF(AND($C297&lt;&gt;"",$C297=HistPlaca),COUNTIF($C$5:$C297,HistPlaca),"")</f>
        <v>0</v>
      </c>
    </row>
    <row r="298" spans="1:27">
      <c r="A298" s="17"/>
      <c r="B298" s="25"/>
      <c r="C298" s="13"/>
      <c r="D298" s="26">
        <f>IF($C298="","",IFERROR(INDEX(VeicCli,MATCH($C298,VeicPlaca,0)),"Placa não cadastrada"))</f>
        <v>0</v>
      </c>
      <c r="E298" s="26">
        <f>IF($C298="","",IFERROR(INDEX(VeicModelo,MATCH($C298,VeicPlaca,0)),""))</f>
        <v>0</v>
      </c>
      <c r="F298" s="28"/>
      <c r="G298" s="13"/>
      <c r="H298" s="13"/>
      <c r="I298" s="13"/>
      <c r="J298" s="29"/>
      <c r="K298" s="19"/>
      <c r="L298" s="19"/>
      <c r="M298" s="25"/>
      <c r="N298" s="13"/>
      <c r="O298" s="19"/>
      <c r="P298" s="27">
        <f>IF($A298="","",N($J298)*ValorHora)</f>
        <v>0</v>
      </c>
      <c r="Q298" s="27">
        <f>IF($A298="","",SUMIFS(ItTotal,ItOS,$A298))</f>
        <v>0</v>
      </c>
      <c r="R298" s="30">
        <f>IF($A298="","",$P298+$Q298+N($K298)-N($L298))</f>
        <v>0</v>
      </c>
      <c r="S298" s="27">
        <f>IF($A298="","",SUMIFS(ItCusto,ItOS,$A298))</f>
        <v>0</v>
      </c>
      <c r="T298" s="27">
        <f>IF($A298="","",$P298*ComMec)</f>
        <v>0</v>
      </c>
      <c r="U298" s="21">
        <f>IF($A298="","",$R298-$S298-$T298-N($K298))</f>
        <v>0</v>
      </c>
      <c r="V298" s="31">
        <f>IF(OR($A298="",N($R298)&lt;=0),"",$U298/$R298)</f>
        <v>0</v>
      </c>
      <c r="W298" s="27">
        <f>IF($A298="","",IF(OR($I298="Finalizado",$I298="Entregue"),MAX(0,$R298-N($O298)),0))</f>
        <v>0</v>
      </c>
      <c r="X298" s="32">
        <f>IF(OR($A298="",$B298=""),"",IF(OR($I298="Entregue",$I298="Cancelada"),"",Hoje-$B298))</f>
        <v>0</v>
      </c>
      <c r="Y298" s="24">
        <f>IF($A298="","",IF(AND(OR($I298="Aprovado",$I298="Em execução",$I298="Aguardando peça"),N($X298)&gt;PrazoMax),"ATRASADA",IF(AND(OR($I298="Finalizado",$I298="Entregue"),$W298&gt;0.005),"Cobrar",IF($I298="Orçamento","Aguardando aprovação",""))))</f>
        <v>0</v>
      </c>
      <c r="Z298" s="33">
        <f>IF(AND($I298="Entregue",$M298&lt;&gt;""),DATE(YEAR($M298),MONTH($M298),1),"")</f>
        <v>0</v>
      </c>
      <c r="AA298" s="34">
        <f>IF(AND($C298&lt;&gt;"",$C298=HistPlaca),COUNTIF($C$5:$C298,HistPlaca),"")</f>
        <v>0</v>
      </c>
    </row>
    <row r="299" spans="1:27">
      <c r="A299" s="17"/>
      <c r="B299" s="25"/>
      <c r="C299" s="13"/>
      <c r="D299" s="26">
        <f>IF($C299="","",IFERROR(INDEX(VeicCli,MATCH($C299,VeicPlaca,0)),"Placa não cadastrada"))</f>
        <v>0</v>
      </c>
      <c r="E299" s="26">
        <f>IF($C299="","",IFERROR(INDEX(VeicModelo,MATCH($C299,VeicPlaca,0)),""))</f>
        <v>0</v>
      </c>
      <c r="F299" s="28"/>
      <c r="G299" s="13"/>
      <c r="H299" s="13"/>
      <c r="I299" s="13"/>
      <c r="J299" s="29"/>
      <c r="K299" s="19"/>
      <c r="L299" s="19"/>
      <c r="M299" s="25"/>
      <c r="N299" s="13"/>
      <c r="O299" s="19"/>
      <c r="P299" s="27">
        <f>IF($A299="","",N($J299)*ValorHora)</f>
        <v>0</v>
      </c>
      <c r="Q299" s="27">
        <f>IF($A299="","",SUMIFS(ItTotal,ItOS,$A299))</f>
        <v>0</v>
      </c>
      <c r="R299" s="30">
        <f>IF($A299="","",$P299+$Q299+N($K299)-N($L299))</f>
        <v>0</v>
      </c>
      <c r="S299" s="27">
        <f>IF($A299="","",SUMIFS(ItCusto,ItOS,$A299))</f>
        <v>0</v>
      </c>
      <c r="T299" s="27">
        <f>IF($A299="","",$P299*ComMec)</f>
        <v>0</v>
      </c>
      <c r="U299" s="21">
        <f>IF($A299="","",$R299-$S299-$T299-N($K299))</f>
        <v>0</v>
      </c>
      <c r="V299" s="31">
        <f>IF(OR($A299="",N($R299)&lt;=0),"",$U299/$R299)</f>
        <v>0</v>
      </c>
      <c r="W299" s="27">
        <f>IF($A299="","",IF(OR($I299="Finalizado",$I299="Entregue"),MAX(0,$R299-N($O299)),0))</f>
        <v>0</v>
      </c>
      <c r="X299" s="32">
        <f>IF(OR($A299="",$B299=""),"",IF(OR($I299="Entregue",$I299="Cancelada"),"",Hoje-$B299))</f>
        <v>0</v>
      </c>
      <c r="Y299" s="24">
        <f>IF($A299="","",IF(AND(OR($I299="Aprovado",$I299="Em execução",$I299="Aguardando peça"),N($X299)&gt;PrazoMax),"ATRASADA",IF(AND(OR($I299="Finalizado",$I299="Entregue"),$W299&gt;0.005),"Cobrar",IF($I299="Orçamento","Aguardando aprovação",""))))</f>
        <v>0</v>
      </c>
      <c r="Z299" s="33">
        <f>IF(AND($I299="Entregue",$M299&lt;&gt;""),DATE(YEAR($M299),MONTH($M299),1),"")</f>
        <v>0</v>
      </c>
      <c r="AA299" s="34">
        <f>IF(AND($C299&lt;&gt;"",$C299=HistPlaca),COUNTIF($C$5:$C299,HistPlaca),"")</f>
        <v>0</v>
      </c>
    </row>
    <row r="300" spans="1:27">
      <c r="A300" s="17"/>
      <c r="B300" s="25"/>
      <c r="C300" s="13"/>
      <c r="D300" s="26">
        <f>IF($C300="","",IFERROR(INDEX(VeicCli,MATCH($C300,VeicPlaca,0)),"Placa não cadastrada"))</f>
        <v>0</v>
      </c>
      <c r="E300" s="26">
        <f>IF($C300="","",IFERROR(INDEX(VeicModelo,MATCH($C300,VeicPlaca,0)),""))</f>
        <v>0</v>
      </c>
      <c r="F300" s="28"/>
      <c r="G300" s="13"/>
      <c r="H300" s="13"/>
      <c r="I300" s="13"/>
      <c r="J300" s="29"/>
      <c r="K300" s="19"/>
      <c r="L300" s="19"/>
      <c r="M300" s="25"/>
      <c r="N300" s="13"/>
      <c r="O300" s="19"/>
      <c r="P300" s="27">
        <f>IF($A300="","",N($J300)*ValorHora)</f>
        <v>0</v>
      </c>
      <c r="Q300" s="27">
        <f>IF($A300="","",SUMIFS(ItTotal,ItOS,$A300))</f>
        <v>0</v>
      </c>
      <c r="R300" s="30">
        <f>IF($A300="","",$P300+$Q300+N($K300)-N($L300))</f>
        <v>0</v>
      </c>
      <c r="S300" s="27">
        <f>IF($A300="","",SUMIFS(ItCusto,ItOS,$A300))</f>
        <v>0</v>
      </c>
      <c r="T300" s="27">
        <f>IF($A300="","",$P300*ComMec)</f>
        <v>0</v>
      </c>
      <c r="U300" s="21">
        <f>IF($A300="","",$R300-$S300-$T300-N($K300))</f>
        <v>0</v>
      </c>
      <c r="V300" s="31">
        <f>IF(OR($A300="",N($R300)&lt;=0),"",$U300/$R300)</f>
        <v>0</v>
      </c>
      <c r="W300" s="27">
        <f>IF($A300="","",IF(OR($I300="Finalizado",$I300="Entregue"),MAX(0,$R300-N($O300)),0))</f>
        <v>0</v>
      </c>
      <c r="X300" s="32">
        <f>IF(OR($A300="",$B300=""),"",IF(OR($I300="Entregue",$I300="Cancelada"),"",Hoje-$B300))</f>
        <v>0</v>
      </c>
      <c r="Y300" s="24">
        <f>IF($A300="","",IF(AND(OR($I300="Aprovado",$I300="Em execução",$I300="Aguardando peça"),N($X300)&gt;PrazoMax),"ATRASADA",IF(AND(OR($I300="Finalizado",$I300="Entregue"),$W300&gt;0.005),"Cobrar",IF($I300="Orçamento","Aguardando aprovação",""))))</f>
        <v>0</v>
      </c>
      <c r="Z300" s="33">
        <f>IF(AND($I300="Entregue",$M300&lt;&gt;""),DATE(YEAR($M300),MONTH($M300),1),"")</f>
        <v>0</v>
      </c>
      <c r="AA300" s="34">
        <f>IF(AND($C300&lt;&gt;"",$C300=HistPlaca),COUNTIF($C$5:$C300,HistPlaca),"")</f>
        <v>0</v>
      </c>
    </row>
    <row r="301" spans="1:27">
      <c r="A301" s="17"/>
      <c r="B301" s="25"/>
      <c r="C301" s="13"/>
      <c r="D301" s="26">
        <f>IF($C301="","",IFERROR(INDEX(VeicCli,MATCH($C301,VeicPlaca,0)),"Placa não cadastrada"))</f>
        <v>0</v>
      </c>
      <c r="E301" s="26">
        <f>IF($C301="","",IFERROR(INDEX(VeicModelo,MATCH($C301,VeicPlaca,0)),""))</f>
        <v>0</v>
      </c>
      <c r="F301" s="28"/>
      <c r="G301" s="13"/>
      <c r="H301" s="13"/>
      <c r="I301" s="13"/>
      <c r="J301" s="29"/>
      <c r="K301" s="19"/>
      <c r="L301" s="19"/>
      <c r="M301" s="25"/>
      <c r="N301" s="13"/>
      <c r="O301" s="19"/>
      <c r="P301" s="27">
        <f>IF($A301="","",N($J301)*ValorHora)</f>
        <v>0</v>
      </c>
      <c r="Q301" s="27">
        <f>IF($A301="","",SUMIFS(ItTotal,ItOS,$A301))</f>
        <v>0</v>
      </c>
      <c r="R301" s="30">
        <f>IF($A301="","",$P301+$Q301+N($K301)-N($L301))</f>
        <v>0</v>
      </c>
      <c r="S301" s="27">
        <f>IF($A301="","",SUMIFS(ItCusto,ItOS,$A301))</f>
        <v>0</v>
      </c>
      <c r="T301" s="27">
        <f>IF($A301="","",$P301*ComMec)</f>
        <v>0</v>
      </c>
      <c r="U301" s="21">
        <f>IF($A301="","",$R301-$S301-$T301-N($K301))</f>
        <v>0</v>
      </c>
      <c r="V301" s="31">
        <f>IF(OR($A301="",N($R301)&lt;=0),"",$U301/$R301)</f>
        <v>0</v>
      </c>
      <c r="W301" s="27">
        <f>IF($A301="","",IF(OR($I301="Finalizado",$I301="Entregue"),MAX(0,$R301-N($O301)),0))</f>
        <v>0</v>
      </c>
      <c r="X301" s="32">
        <f>IF(OR($A301="",$B301=""),"",IF(OR($I301="Entregue",$I301="Cancelada"),"",Hoje-$B301))</f>
        <v>0</v>
      </c>
      <c r="Y301" s="24">
        <f>IF($A301="","",IF(AND(OR($I301="Aprovado",$I301="Em execução",$I301="Aguardando peça"),N($X301)&gt;PrazoMax),"ATRASADA",IF(AND(OR($I301="Finalizado",$I301="Entregue"),$W301&gt;0.005),"Cobrar",IF($I301="Orçamento","Aguardando aprovação",""))))</f>
        <v>0</v>
      </c>
      <c r="Z301" s="33">
        <f>IF(AND($I301="Entregue",$M301&lt;&gt;""),DATE(YEAR($M301),MONTH($M301),1),"")</f>
        <v>0</v>
      </c>
      <c r="AA301" s="34">
        <f>IF(AND($C301&lt;&gt;"",$C301=HistPlaca),COUNTIF($C$5:$C301,HistPlaca),"")</f>
        <v>0</v>
      </c>
    </row>
    <row r="302" spans="1:27">
      <c r="A302" s="17"/>
      <c r="B302" s="25"/>
      <c r="C302" s="13"/>
      <c r="D302" s="26">
        <f>IF($C302="","",IFERROR(INDEX(VeicCli,MATCH($C302,VeicPlaca,0)),"Placa não cadastrada"))</f>
        <v>0</v>
      </c>
      <c r="E302" s="26">
        <f>IF($C302="","",IFERROR(INDEX(VeicModelo,MATCH($C302,VeicPlaca,0)),""))</f>
        <v>0</v>
      </c>
      <c r="F302" s="28"/>
      <c r="G302" s="13"/>
      <c r="H302" s="13"/>
      <c r="I302" s="13"/>
      <c r="J302" s="29"/>
      <c r="K302" s="19"/>
      <c r="L302" s="19"/>
      <c r="M302" s="25"/>
      <c r="N302" s="13"/>
      <c r="O302" s="19"/>
      <c r="P302" s="27">
        <f>IF($A302="","",N($J302)*ValorHora)</f>
        <v>0</v>
      </c>
      <c r="Q302" s="27">
        <f>IF($A302="","",SUMIFS(ItTotal,ItOS,$A302))</f>
        <v>0</v>
      </c>
      <c r="R302" s="30">
        <f>IF($A302="","",$P302+$Q302+N($K302)-N($L302))</f>
        <v>0</v>
      </c>
      <c r="S302" s="27">
        <f>IF($A302="","",SUMIFS(ItCusto,ItOS,$A302))</f>
        <v>0</v>
      </c>
      <c r="T302" s="27">
        <f>IF($A302="","",$P302*ComMec)</f>
        <v>0</v>
      </c>
      <c r="U302" s="21">
        <f>IF($A302="","",$R302-$S302-$T302-N($K302))</f>
        <v>0</v>
      </c>
      <c r="V302" s="31">
        <f>IF(OR($A302="",N($R302)&lt;=0),"",$U302/$R302)</f>
        <v>0</v>
      </c>
      <c r="W302" s="27">
        <f>IF($A302="","",IF(OR($I302="Finalizado",$I302="Entregue"),MAX(0,$R302-N($O302)),0))</f>
        <v>0</v>
      </c>
      <c r="X302" s="32">
        <f>IF(OR($A302="",$B302=""),"",IF(OR($I302="Entregue",$I302="Cancelada"),"",Hoje-$B302))</f>
        <v>0</v>
      </c>
      <c r="Y302" s="24">
        <f>IF($A302="","",IF(AND(OR($I302="Aprovado",$I302="Em execução",$I302="Aguardando peça"),N($X302)&gt;PrazoMax),"ATRASADA",IF(AND(OR($I302="Finalizado",$I302="Entregue"),$W302&gt;0.005),"Cobrar",IF($I302="Orçamento","Aguardando aprovação",""))))</f>
        <v>0</v>
      </c>
      <c r="Z302" s="33">
        <f>IF(AND($I302="Entregue",$M302&lt;&gt;""),DATE(YEAR($M302),MONTH($M302),1),"")</f>
        <v>0</v>
      </c>
      <c r="AA302" s="34">
        <f>IF(AND($C302&lt;&gt;"",$C302=HistPlaca),COUNTIF($C$5:$C302,HistPlaca),"")</f>
        <v>0</v>
      </c>
    </row>
    <row r="303" spans="1:27">
      <c r="A303" s="17"/>
      <c r="B303" s="25"/>
      <c r="C303" s="13"/>
      <c r="D303" s="26">
        <f>IF($C303="","",IFERROR(INDEX(VeicCli,MATCH($C303,VeicPlaca,0)),"Placa não cadastrada"))</f>
        <v>0</v>
      </c>
      <c r="E303" s="26">
        <f>IF($C303="","",IFERROR(INDEX(VeicModelo,MATCH($C303,VeicPlaca,0)),""))</f>
        <v>0</v>
      </c>
      <c r="F303" s="28"/>
      <c r="G303" s="13"/>
      <c r="H303" s="13"/>
      <c r="I303" s="13"/>
      <c r="J303" s="29"/>
      <c r="K303" s="19"/>
      <c r="L303" s="19"/>
      <c r="M303" s="25"/>
      <c r="N303" s="13"/>
      <c r="O303" s="19"/>
      <c r="P303" s="27">
        <f>IF($A303="","",N($J303)*ValorHora)</f>
        <v>0</v>
      </c>
      <c r="Q303" s="27">
        <f>IF($A303="","",SUMIFS(ItTotal,ItOS,$A303))</f>
        <v>0</v>
      </c>
      <c r="R303" s="30">
        <f>IF($A303="","",$P303+$Q303+N($K303)-N($L303))</f>
        <v>0</v>
      </c>
      <c r="S303" s="27">
        <f>IF($A303="","",SUMIFS(ItCusto,ItOS,$A303))</f>
        <v>0</v>
      </c>
      <c r="T303" s="27">
        <f>IF($A303="","",$P303*ComMec)</f>
        <v>0</v>
      </c>
      <c r="U303" s="21">
        <f>IF($A303="","",$R303-$S303-$T303-N($K303))</f>
        <v>0</v>
      </c>
      <c r="V303" s="31">
        <f>IF(OR($A303="",N($R303)&lt;=0),"",$U303/$R303)</f>
        <v>0</v>
      </c>
      <c r="W303" s="27">
        <f>IF($A303="","",IF(OR($I303="Finalizado",$I303="Entregue"),MAX(0,$R303-N($O303)),0))</f>
        <v>0</v>
      </c>
      <c r="X303" s="32">
        <f>IF(OR($A303="",$B303=""),"",IF(OR($I303="Entregue",$I303="Cancelada"),"",Hoje-$B303))</f>
        <v>0</v>
      </c>
      <c r="Y303" s="24">
        <f>IF($A303="","",IF(AND(OR($I303="Aprovado",$I303="Em execução",$I303="Aguardando peça"),N($X303)&gt;PrazoMax),"ATRASADA",IF(AND(OR($I303="Finalizado",$I303="Entregue"),$W303&gt;0.005),"Cobrar",IF($I303="Orçamento","Aguardando aprovação",""))))</f>
        <v>0</v>
      </c>
      <c r="Z303" s="33">
        <f>IF(AND($I303="Entregue",$M303&lt;&gt;""),DATE(YEAR($M303),MONTH($M303),1),"")</f>
        <v>0</v>
      </c>
      <c r="AA303" s="34">
        <f>IF(AND($C303&lt;&gt;"",$C303=HistPlaca),COUNTIF($C$5:$C303,HistPlaca),"")</f>
        <v>0</v>
      </c>
    </row>
    <row r="304" spans="1:27">
      <c r="A304" s="17"/>
      <c r="B304" s="25"/>
      <c r="C304" s="13"/>
      <c r="D304" s="26">
        <f>IF($C304="","",IFERROR(INDEX(VeicCli,MATCH($C304,VeicPlaca,0)),"Placa não cadastrada"))</f>
        <v>0</v>
      </c>
      <c r="E304" s="26">
        <f>IF($C304="","",IFERROR(INDEX(VeicModelo,MATCH($C304,VeicPlaca,0)),""))</f>
        <v>0</v>
      </c>
      <c r="F304" s="28"/>
      <c r="G304" s="13"/>
      <c r="H304" s="13"/>
      <c r="I304" s="13"/>
      <c r="J304" s="29"/>
      <c r="K304" s="19"/>
      <c r="L304" s="19"/>
      <c r="M304" s="25"/>
      <c r="N304" s="13"/>
      <c r="O304" s="19"/>
      <c r="P304" s="27">
        <f>IF($A304="","",N($J304)*ValorHora)</f>
        <v>0</v>
      </c>
      <c r="Q304" s="27">
        <f>IF($A304="","",SUMIFS(ItTotal,ItOS,$A304))</f>
        <v>0</v>
      </c>
      <c r="R304" s="30">
        <f>IF($A304="","",$P304+$Q304+N($K304)-N($L304))</f>
        <v>0</v>
      </c>
      <c r="S304" s="27">
        <f>IF($A304="","",SUMIFS(ItCusto,ItOS,$A304))</f>
        <v>0</v>
      </c>
      <c r="T304" s="27">
        <f>IF($A304="","",$P304*ComMec)</f>
        <v>0</v>
      </c>
      <c r="U304" s="21">
        <f>IF($A304="","",$R304-$S304-$T304-N($K304))</f>
        <v>0</v>
      </c>
      <c r="V304" s="31">
        <f>IF(OR($A304="",N($R304)&lt;=0),"",$U304/$R304)</f>
        <v>0</v>
      </c>
      <c r="W304" s="27">
        <f>IF($A304="","",IF(OR($I304="Finalizado",$I304="Entregue"),MAX(0,$R304-N($O304)),0))</f>
        <v>0</v>
      </c>
      <c r="X304" s="32">
        <f>IF(OR($A304="",$B304=""),"",IF(OR($I304="Entregue",$I304="Cancelada"),"",Hoje-$B304))</f>
        <v>0</v>
      </c>
      <c r="Y304" s="24">
        <f>IF($A304="","",IF(AND(OR($I304="Aprovado",$I304="Em execução",$I304="Aguardando peça"),N($X304)&gt;PrazoMax),"ATRASADA",IF(AND(OR($I304="Finalizado",$I304="Entregue"),$W304&gt;0.005),"Cobrar",IF($I304="Orçamento","Aguardando aprovação",""))))</f>
        <v>0</v>
      </c>
      <c r="Z304" s="33">
        <f>IF(AND($I304="Entregue",$M304&lt;&gt;""),DATE(YEAR($M304),MONTH($M304),1),"")</f>
        <v>0</v>
      </c>
      <c r="AA304" s="34">
        <f>IF(AND($C304&lt;&gt;"",$C304=HistPlaca),COUNTIF($C$5:$C304,HistPlaca),"")</f>
        <v>0</v>
      </c>
    </row>
    <row r="305" spans="1:27">
      <c r="A305" s="17"/>
      <c r="B305" s="25"/>
      <c r="C305" s="13"/>
      <c r="D305" s="26">
        <f>IF($C305="","",IFERROR(INDEX(VeicCli,MATCH($C305,VeicPlaca,0)),"Placa não cadastrada"))</f>
        <v>0</v>
      </c>
      <c r="E305" s="26">
        <f>IF($C305="","",IFERROR(INDEX(VeicModelo,MATCH($C305,VeicPlaca,0)),""))</f>
        <v>0</v>
      </c>
      <c r="F305" s="28"/>
      <c r="G305" s="13"/>
      <c r="H305" s="13"/>
      <c r="I305" s="13"/>
      <c r="J305" s="29"/>
      <c r="K305" s="19"/>
      <c r="L305" s="19"/>
      <c r="M305" s="25"/>
      <c r="N305" s="13"/>
      <c r="O305" s="19"/>
      <c r="P305" s="27">
        <f>IF($A305="","",N($J305)*ValorHora)</f>
        <v>0</v>
      </c>
      <c r="Q305" s="27">
        <f>IF($A305="","",SUMIFS(ItTotal,ItOS,$A305))</f>
        <v>0</v>
      </c>
      <c r="R305" s="30">
        <f>IF($A305="","",$P305+$Q305+N($K305)-N($L305))</f>
        <v>0</v>
      </c>
      <c r="S305" s="27">
        <f>IF($A305="","",SUMIFS(ItCusto,ItOS,$A305))</f>
        <v>0</v>
      </c>
      <c r="T305" s="27">
        <f>IF($A305="","",$P305*ComMec)</f>
        <v>0</v>
      </c>
      <c r="U305" s="21">
        <f>IF($A305="","",$R305-$S305-$T305-N($K305))</f>
        <v>0</v>
      </c>
      <c r="V305" s="31">
        <f>IF(OR($A305="",N($R305)&lt;=0),"",$U305/$R305)</f>
        <v>0</v>
      </c>
      <c r="W305" s="27">
        <f>IF($A305="","",IF(OR($I305="Finalizado",$I305="Entregue"),MAX(0,$R305-N($O305)),0))</f>
        <v>0</v>
      </c>
      <c r="X305" s="32">
        <f>IF(OR($A305="",$B305=""),"",IF(OR($I305="Entregue",$I305="Cancelada"),"",Hoje-$B305))</f>
        <v>0</v>
      </c>
      <c r="Y305" s="24">
        <f>IF($A305="","",IF(AND(OR($I305="Aprovado",$I305="Em execução",$I305="Aguardando peça"),N($X305)&gt;PrazoMax),"ATRASADA",IF(AND(OR($I305="Finalizado",$I305="Entregue"),$W305&gt;0.005),"Cobrar",IF($I305="Orçamento","Aguardando aprovação",""))))</f>
        <v>0</v>
      </c>
      <c r="Z305" s="33">
        <f>IF(AND($I305="Entregue",$M305&lt;&gt;""),DATE(YEAR($M305),MONTH($M305),1),"")</f>
        <v>0</v>
      </c>
      <c r="AA305" s="34">
        <f>IF(AND($C305&lt;&gt;"",$C305=HistPlaca),COUNTIF($C$5:$C305,HistPlaca),"")</f>
        <v>0</v>
      </c>
    </row>
    <row r="306" spans="1:27">
      <c r="A306" s="17"/>
      <c r="B306" s="25"/>
      <c r="C306" s="13"/>
      <c r="D306" s="26">
        <f>IF($C306="","",IFERROR(INDEX(VeicCli,MATCH($C306,VeicPlaca,0)),"Placa não cadastrada"))</f>
        <v>0</v>
      </c>
      <c r="E306" s="26">
        <f>IF($C306="","",IFERROR(INDEX(VeicModelo,MATCH($C306,VeicPlaca,0)),""))</f>
        <v>0</v>
      </c>
      <c r="F306" s="28"/>
      <c r="G306" s="13"/>
      <c r="H306" s="13"/>
      <c r="I306" s="13"/>
      <c r="J306" s="29"/>
      <c r="K306" s="19"/>
      <c r="L306" s="19"/>
      <c r="M306" s="25"/>
      <c r="N306" s="13"/>
      <c r="O306" s="19"/>
      <c r="P306" s="27">
        <f>IF($A306="","",N($J306)*ValorHora)</f>
        <v>0</v>
      </c>
      <c r="Q306" s="27">
        <f>IF($A306="","",SUMIFS(ItTotal,ItOS,$A306))</f>
        <v>0</v>
      </c>
      <c r="R306" s="30">
        <f>IF($A306="","",$P306+$Q306+N($K306)-N($L306))</f>
        <v>0</v>
      </c>
      <c r="S306" s="27">
        <f>IF($A306="","",SUMIFS(ItCusto,ItOS,$A306))</f>
        <v>0</v>
      </c>
      <c r="T306" s="27">
        <f>IF($A306="","",$P306*ComMec)</f>
        <v>0</v>
      </c>
      <c r="U306" s="21">
        <f>IF($A306="","",$R306-$S306-$T306-N($K306))</f>
        <v>0</v>
      </c>
      <c r="V306" s="31">
        <f>IF(OR($A306="",N($R306)&lt;=0),"",$U306/$R306)</f>
        <v>0</v>
      </c>
      <c r="W306" s="27">
        <f>IF($A306="","",IF(OR($I306="Finalizado",$I306="Entregue"),MAX(0,$R306-N($O306)),0))</f>
        <v>0</v>
      </c>
      <c r="X306" s="32">
        <f>IF(OR($A306="",$B306=""),"",IF(OR($I306="Entregue",$I306="Cancelada"),"",Hoje-$B306))</f>
        <v>0</v>
      </c>
      <c r="Y306" s="24">
        <f>IF($A306="","",IF(AND(OR($I306="Aprovado",$I306="Em execução",$I306="Aguardando peça"),N($X306)&gt;PrazoMax),"ATRASADA",IF(AND(OR($I306="Finalizado",$I306="Entregue"),$W306&gt;0.005),"Cobrar",IF($I306="Orçamento","Aguardando aprovação",""))))</f>
        <v>0</v>
      </c>
      <c r="Z306" s="33">
        <f>IF(AND($I306="Entregue",$M306&lt;&gt;""),DATE(YEAR($M306),MONTH($M306),1),"")</f>
        <v>0</v>
      </c>
      <c r="AA306" s="34">
        <f>IF(AND($C306&lt;&gt;"",$C306=HistPlaca),COUNTIF($C$5:$C306,HistPlaca),"")</f>
        <v>0</v>
      </c>
    </row>
    <row r="307" spans="1:27">
      <c r="A307" s="17"/>
      <c r="B307" s="25"/>
      <c r="C307" s="13"/>
      <c r="D307" s="26">
        <f>IF($C307="","",IFERROR(INDEX(VeicCli,MATCH($C307,VeicPlaca,0)),"Placa não cadastrada"))</f>
        <v>0</v>
      </c>
      <c r="E307" s="26">
        <f>IF($C307="","",IFERROR(INDEX(VeicModelo,MATCH($C307,VeicPlaca,0)),""))</f>
        <v>0</v>
      </c>
      <c r="F307" s="28"/>
      <c r="G307" s="13"/>
      <c r="H307" s="13"/>
      <c r="I307" s="13"/>
      <c r="J307" s="29"/>
      <c r="K307" s="19"/>
      <c r="L307" s="19"/>
      <c r="M307" s="25"/>
      <c r="N307" s="13"/>
      <c r="O307" s="19"/>
      <c r="P307" s="27">
        <f>IF($A307="","",N($J307)*ValorHora)</f>
        <v>0</v>
      </c>
      <c r="Q307" s="27">
        <f>IF($A307="","",SUMIFS(ItTotal,ItOS,$A307))</f>
        <v>0</v>
      </c>
      <c r="R307" s="30">
        <f>IF($A307="","",$P307+$Q307+N($K307)-N($L307))</f>
        <v>0</v>
      </c>
      <c r="S307" s="27">
        <f>IF($A307="","",SUMIFS(ItCusto,ItOS,$A307))</f>
        <v>0</v>
      </c>
      <c r="T307" s="27">
        <f>IF($A307="","",$P307*ComMec)</f>
        <v>0</v>
      </c>
      <c r="U307" s="21">
        <f>IF($A307="","",$R307-$S307-$T307-N($K307))</f>
        <v>0</v>
      </c>
      <c r="V307" s="31">
        <f>IF(OR($A307="",N($R307)&lt;=0),"",$U307/$R307)</f>
        <v>0</v>
      </c>
      <c r="W307" s="27">
        <f>IF($A307="","",IF(OR($I307="Finalizado",$I307="Entregue"),MAX(0,$R307-N($O307)),0))</f>
        <v>0</v>
      </c>
      <c r="X307" s="32">
        <f>IF(OR($A307="",$B307=""),"",IF(OR($I307="Entregue",$I307="Cancelada"),"",Hoje-$B307))</f>
        <v>0</v>
      </c>
      <c r="Y307" s="24">
        <f>IF($A307="","",IF(AND(OR($I307="Aprovado",$I307="Em execução",$I307="Aguardando peça"),N($X307)&gt;PrazoMax),"ATRASADA",IF(AND(OR($I307="Finalizado",$I307="Entregue"),$W307&gt;0.005),"Cobrar",IF($I307="Orçamento","Aguardando aprovação",""))))</f>
        <v>0</v>
      </c>
      <c r="Z307" s="33">
        <f>IF(AND($I307="Entregue",$M307&lt;&gt;""),DATE(YEAR($M307),MONTH($M307),1),"")</f>
        <v>0</v>
      </c>
      <c r="AA307" s="34">
        <f>IF(AND($C307&lt;&gt;"",$C307=HistPlaca),COUNTIF($C$5:$C307,HistPlaca),"")</f>
        <v>0</v>
      </c>
    </row>
    <row r="308" spans="1:27">
      <c r="A308" s="17"/>
      <c r="B308" s="25"/>
      <c r="C308" s="13"/>
      <c r="D308" s="26">
        <f>IF($C308="","",IFERROR(INDEX(VeicCli,MATCH($C308,VeicPlaca,0)),"Placa não cadastrada"))</f>
        <v>0</v>
      </c>
      <c r="E308" s="26">
        <f>IF($C308="","",IFERROR(INDEX(VeicModelo,MATCH($C308,VeicPlaca,0)),""))</f>
        <v>0</v>
      </c>
      <c r="F308" s="28"/>
      <c r="G308" s="13"/>
      <c r="H308" s="13"/>
      <c r="I308" s="13"/>
      <c r="J308" s="29"/>
      <c r="K308" s="19"/>
      <c r="L308" s="19"/>
      <c r="M308" s="25"/>
      <c r="N308" s="13"/>
      <c r="O308" s="19"/>
      <c r="P308" s="27">
        <f>IF($A308="","",N($J308)*ValorHora)</f>
        <v>0</v>
      </c>
      <c r="Q308" s="27">
        <f>IF($A308="","",SUMIFS(ItTotal,ItOS,$A308))</f>
        <v>0</v>
      </c>
      <c r="R308" s="30">
        <f>IF($A308="","",$P308+$Q308+N($K308)-N($L308))</f>
        <v>0</v>
      </c>
      <c r="S308" s="27">
        <f>IF($A308="","",SUMIFS(ItCusto,ItOS,$A308))</f>
        <v>0</v>
      </c>
      <c r="T308" s="27">
        <f>IF($A308="","",$P308*ComMec)</f>
        <v>0</v>
      </c>
      <c r="U308" s="21">
        <f>IF($A308="","",$R308-$S308-$T308-N($K308))</f>
        <v>0</v>
      </c>
      <c r="V308" s="31">
        <f>IF(OR($A308="",N($R308)&lt;=0),"",$U308/$R308)</f>
        <v>0</v>
      </c>
      <c r="W308" s="27">
        <f>IF($A308="","",IF(OR($I308="Finalizado",$I308="Entregue"),MAX(0,$R308-N($O308)),0))</f>
        <v>0</v>
      </c>
      <c r="X308" s="32">
        <f>IF(OR($A308="",$B308=""),"",IF(OR($I308="Entregue",$I308="Cancelada"),"",Hoje-$B308))</f>
        <v>0</v>
      </c>
      <c r="Y308" s="24">
        <f>IF($A308="","",IF(AND(OR($I308="Aprovado",$I308="Em execução",$I308="Aguardando peça"),N($X308)&gt;PrazoMax),"ATRASADA",IF(AND(OR($I308="Finalizado",$I308="Entregue"),$W308&gt;0.005),"Cobrar",IF($I308="Orçamento","Aguardando aprovação",""))))</f>
        <v>0</v>
      </c>
      <c r="Z308" s="33">
        <f>IF(AND($I308="Entregue",$M308&lt;&gt;""),DATE(YEAR($M308),MONTH($M308),1),"")</f>
        <v>0</v>
      </c>
      <c r="AA308" s="34">
        <f>IF(AND($C308&lt;&gt;"",$C308=HistPlaca),COUNTIF($C$5:$C308,HistPlaca),"")</f>
        <v>0</v>
      </c>
    </row>
    <row r="309" spans="1:27">
      <c r="A309" s="17"/>
      <c r="B309" s="25"/>
      <c r="C309" s="13"/>
      <c r="D309" s="26">
        <f>IF($C309="","",IFERROR(INDEX(VeicCli,MATCH($C309,VeicPlaca,0)),"Placa não cadastrada"))</f>
        <v>0</v>
      </c>
      <c r="E309" s="26">
        <f>IF($C309="","",IFERROR(INDEX(VeicModelo,MATCH($C309,VeicPlaca,0)),""))</f>
        <v>0</v>
      </c>
      <c r="F309" s="28"/>
      <c r="G309" s="13"/>
      <c r="H309" s="13"/>
      <c r="I309" s="13"/>
      <c r="J309" s="29"/>
      <c r="K309" s="19"/>
      <c r="L309" s="19"/>
      <c r="M309" s="25"/>
      <c r="N309" s="13"/>
      <c r="O309" s="19"/>
      <c r="P309" s="27">
        <f>IF($A309="","",N($J309)*ValorHora)</f>
        <v>0</v>
      </c>
      <c r="Q309" s="27">
        <f>IF($A309="","",SUMIFS(ItTotal,ItOS,$A309))</f>
        <v>0</v>
      </c>
      <c r="R309" s="30">
        <f>IF($A309="","",$P309+$Q309+N($K309)-N($L309))</f>
        <v>0</v>
      </c>
      <c r="S309" s="27">
        <f>IF($A309="","",SUMIFS(ItCusto,ItOS,$A309))</f>
        <v>0</v>
      </c>
      <c r="T309" s="27">
        <f>IF($A309="","",$P309*ComMec)</f>
        <v>0</v>
      </c>
      <c r="U309" s="21">
        <f>IF($A309="","",$R309-$S309-$T309-N($K309))</f>
        <v>0</v>
      </c>
      <c r="V309" s="31">
        <f>IF(OR($A309="",N($R309)&lt;=0),"",$U309/$R309)</f>
        <v>0</v>
      </c>
      <c r="W309" s="27">
        <f>IF($A309="","",IF(OR($I309="Finalizado",$I309="Entregue"),MAX(0,$R309-N($O309)),0))</f>
        <v>0</v>
      </c>
      <c r="X309" s="32">
        <f>IF(OR($A309="",$B309=""),"",IF(OR($I309="Entregue",$I309="Cancelada"),"",Hoje-$B309))</f>
        <v>0</v>
      </c>
      <c r="Y309" s="24">
        <f>IF($A309="","",IF(AND(OR($I309="Aprovado",$I309="Em execução",$I309="Aguardando peça"),N($X309)&gt;PrazoMax),"ATRASADA",IF(AND(OR($I309="Finalizado",$I309="Entregue"),$W309&gt;0.005),"Cobrar",IF($I309="Orçamento","Aguardando aprovação",""))))</f>
        <v>0</v>
      </c>
      <c r="Z309" s="33">
        <f>IF(AND($I309="Entregue",$M309&lt;&gt;""),DATE(YEAR($M309),MONTH($M309),1),"")</f>
        <v>0</v>
      </c>
      <c r="AA309" s="34">
        <f>IF(AND($C309&lt;&gt;"",$C309=HistPlaca),COUNTIF($C$5:$C309,HistPlaca),"")</f>
        <v>0</v>
      </c>
    </row>
    <row r="310" spans="1:27">
      <c r="A310" s="17"/>
      <c r="B310" s="25"/>
      <c r="C310" s="13"/>
      <c r="D310" s="26">
        <f>IF($C310="","",IFERROR(INDEX(VeicCli,MATCH($C310,VeicPlaca,0)),"Placa não cadastrada"))</f>
        <v>0</v>
      </c>
      <c r="E310" s="26">
        <f>IF($C310="","",IFERROR(INDEX(VeicModelo,MATCH($C310,VeicPlaca,0)),""))</f>
        <v>0</v>
      </c>
      <c r="F310" s="28"/>
      <c r="G310" s="13"/>
      <c r="H310" s="13"/>
      <c r="I310" s="13"/>
      <c r="J310" s="29"/>
      <c r="K310" s="19"/>
      <c r="L310" s="19"/>
      <c r="M310" s="25"/>
      <c r="N310" s="13"/>
      <c r="O310" s="19"/>
      <c r="P310" s="27">
        <f>IF($A310="","",N($J310)*ValorHora)</f>
        <v>0</v>
      </c>
      <c r="Q310" s="27">
        <f>IF($A310="","",SUMIFS(ItTotal,ItOS,$A310))</f>
        <v>0</v>
      </c>
      <c r="R310" s="30">
        <f>IF($A310="","",$P310+$Q310+N($K310)-N($L310))</f>
        <v>0</v>
      </c>
      <c r="S310" s="27">
        <f>IF($A310="","",SUMIFS(ItCusto,ItOS,$A310))</f>
        <v>0</v>
      </c>
      <c r="T310" s="27">
        <f>IF($A310="","",$P310*ComMec)</f>
        <v>0</v>
      </c>
      <c r="U310" s="21">
        <f>IF($A310="","",$R310-$S310-$T310-N($K310))</f>
        <v>0</v>
      </c>
      <c r="V310" s="31">
        <f>IF(OR($A310="",N($R310)&lt;=0),"",$U310/$R310)</f>
        <v>0</v>
      </c>
      <c r="W310" s="27">
        <f>IF($A310="","",IF(OR($I310="Finalizado",$I310="Entregue"),MAX(0,$R310-N($O310)),0))</f>
        <v>0</v>
      </c>
      <c r="X310" s="32">
        <f>IF(OR($A310="",$B310=""),"",IF(OR($I310="Entregue",$I310="Cancelada"),"",Hoje-$B310))</f>
        <v>0</v>
      </c>
      <c r="Y310" s="24">
        <f>IF($A310="","",IF(AND(OR($I310="Aprovado",$I310="Em execução",$I310="Aguardando peça"),N($X310)&gt;PrazoMax),"ATRASADA",IF(AND(OR($I310="Finalizado",$I310="Entregue"),$W310&gt;0.005),"Cobrar",IF($I310="Orçamento","Aguardando aprovação",""))))</f>
        <v>0</v>
      </c>
      <c r="Z310" s="33">
        <f>IF(AND($I310="Entregue",$M310&lt;&gt;""),DATE(YEAR($M310),MONTH($M310),1),"")</f>
        <v>0</v>
      </c>
      <c r="AA310" s="34">
        <f>IF(AND($C310&lt;&gt;"",$C310=HistPlaca),COUNTIF($C$5:$C310,HistPlaca),"")</f>
        <v>0</v>
      </c>
    </row>
    <row r="311" spans="1:27">
      <c r="A311" s="17"/>
      <c r="B311" s="25"/>
      <c r="C311" s="13"/>
      <c r="D311" s="26">
        <f>IF($C311="","",IFERROR(INDEX(VeicCli,MATCH($C311,VeicPlaca,0)),"Placa não cadastrada"))</f>
        <v>0</v>
      </c>
      <c r="E311" s="26">
        <f>IF($C311="","",IFERROR(INDEX(VeicModelo,MATCH($C311,VeicPlaca,0)),""))</f>
        <v>0</v>
      </c>
      <c r="F311" s="28"/>
      <c r="G311" s="13"/>
      <c r="H311" s="13"/>
      <c r="I311" s="13"/>
      <c r="J311" s="29"/>
      <c r="K311" s="19"/>
      <c r="L311" s="19"/>
      <c r="M311" s="25"/>
      <c r="N311" s="13"/>
      <c r="O311" s="19"/>
      <c r="P311" s="27">
        <f>IF($A311="","",N($J311)*ValorHora)</f>
        <v>0</v>
      </c>
      <c r="Q311" s="27">
        <f>IF($A311="","",SUMIFS(ItTotal,ItOS,$A311))</f>
        <v>0</v>
      </c>
      <c r="R311" s="30">
        <f>IF($A311="","",$P311+$Q311+N($K311)-N($L311))</f>
        <v>0</v>
      </c>
      <c r="S311" s="27">
        <f>IF($A311="","",SUMIFS(ItCusto,ItOS,$A311))</f>
        <v>0</v>
      </c>
      <c r="T311" s="27">
        <f>IF($A311="","",$P311*ComMec)</f>
        <v>0</v>
      </c>
      <c r="U311" s="21">
        <f>IF($A311="","",$R311-$S311-$T311-N($K311))</f>
        <v>0</v>
      </c>
      <c r="V311" s="31">
        <f>IF(OR($A311="",N($R311)&lt;=0),"",$U311/$R311)</f>
        <v>0</v>
      </c>
      <c r="W311" s="27">
        <f>IF($A311="","",IF(OR($I311="Finalizado",$I311="Entregue"),MAX(0,$R311-N($O311)),0))</f>
        <v>0</v>
      </c>
      <c r="X311" s="32">
        <f>IF(OR($A311="",$B311=""),"",IF(OR($I311="Entregue",$I311="Cancelada"),"",Hoje-$B311))</f>
        <v>0</v>
      </c>
      <c r="Y311" s="24">
        <f>IF($A311="","",IF(AND(OR($I311="Aprovado",$I311="Em execução",$I311="Aguardando peça"),N($X311)&gt;PrazoMax),"ATRASADA",IF(AND(OR($I311="Finalizado",$I311="Entregue"),$W311&gt;0.005),"Cobrar",IF($I311="Orçamento","Aguardando aprovação",""))))</f>
        <v>0</v>
      </c>
      <c r="Z311" s="33">
        <f>IF(AND($I311="Entregue",$M311&lt;&gt;""),DATE(YEAR($M311),MONTH($M311),1),"")</f>
        <v>0</v>
      </c>
      <c r="AA311" s="34">
        <f>IF(AND($C311&lt;&gt;"",$C311=HistPlaca),COUNTIF($C$5:$C311,HistPlaca),"")</f>
        <v>0</v>
      </c>
    </row>
    <row r="312" spans="1:27">
      <c r="A312" s="17"/>
      <c r="B312" s="25"/>
      <c r="C312" s="13"/>
      <c r="D312" s="26">
        <f>IF($C312="","",IFERROR(INDEX(VeicCli,MATCH($C312,VeicPlaca,0)),"Placa não cadastrada"))</f>
        <v>0</v>
      </c>
      <c r="E312" s="26">
        <f>IF($C312="","",IFERROR(INDEX(VeicModelo,MATCH($C312,VeicPlaca,0)),""))</f>
        <v>0</v>
      </c>
      <c r="F312" s="28"/>
      <c r="G312" s="13"/>
      <c r="H312" s="13"/>
      <c r="I312" s="13"/>
      <c r="J312" s="29"/>
      <c r="K312" s="19"/>
      <c r="L312" s="19"/>
      <c r="M312" s="25"/>
      <c r="N312" s="13"/>
      <c r="O312" s="19"/>
      <c r="P312" s="27">
        <f>IF($A312="","",N($J312)*ValorHora)</f>
        <v>0</v>
      </c>
      <c r="Q312" s="27">
        <f>IF($A312="","",SUMIFS(ItTotal,ItOS,$A312))</f>
        <v>0</v>
      </c>
      <c r="R312" s="30">
        <f>IF($A312="","",$P312+$Q312+N($K312)-N($L312))</f>
        <v>0</v>
      </c>
      <c r="S312" s="27">
        <f>IF($A312="","",SUMIFS(ItCusto,ItOS,$A312))</f>
        <v>0</v>
      </c>
      <c r="T312" s="27">
        <f>IF($A312="","",$P312*ComMec)</f>
        <v>0</v>
      </c>
      <c r="U312" s="21">
        <f>IF($A312="","",$R312-$S312-$T312-N($K312))</f>
        <v>0</v>
      </c>
      <c r="V312" s="31">
        <f>IF(OR($A312="",N($R312)&lt;=0),"",$U312/$R312)</f>
        <v>0</v>
      </c>
      <c r="W312" s="27">
        <f>IF($A312="","",IF(OR($I312="Finalizado",$I312="Entregue"),MAX(0,$R312-N($O312)),0))</f>
        <v>0</v>
      </c>
      <c r="X312" s="32">
        <f>IF(OR($A312="",$B312=""),"",IF(OR($I312="Entregue",$I312="Cancelada"),"",Hoje-$B312))</f>
        <v>0</v>
      </c>
      <c r="Y312" s="24">
        <f>IF($A312="","",IF(AND(OR($I312="Aprovado",$I312="Em execução",$I312="Aguardando peça"),N($X312)&gt;PrazoMax),"ATRASADA",IF(AND(OR($I312="Finalizado",$I312="Entregue"),$W312&gt;0.005),"Cobrar",IF($I312="Orçamento","Aguardando aprovação",""))))</f>
        <v>0</v>
      </c>
      <c r="Z312" s="33">
        <f>IF(AND($I312="Entregue",$M312&lt;&gt;""),DATE(YEAR($M312),MONTH($M312),1),"")</f>
        <v>0</v>
      </c>
      <c r="AA312" s="34">
        <f>IF(AND($C312&lt;&gt;"",$C312=HistPlaca),COUNTIF($C$5:$C312,HistPlaca),"")</f>
        <v>0</v>
      </c>
    </row>
    <row r="313" spans="1:27">
      <c r="A313" s="17"/>
      <c r="B313" s="25"/>
      <c r="C313" s="13"/>
      <c r="D313" s="26">
        <f>IF($C313="","",IFERROR(INDEX(VeicCli,MATCH($C313,VeicPlaca,0)),"Placa não cadastrada"))</f>
        <v>0</v>
      </c>
      <c r="E313" s="26">
        <f>IF($C313="","",IFERROR(INDEX(VeicModelo,MATCH($C313,VeicPlaca,0)),""))</f>
        <v>0</v>
      </c>
      <c r="F313" s="28"/>
      <c r="G313" s="13"/>
      <c r="H313" s="13"/>
      <c r="I313" s="13"/>
      <c r="J313" s="29"/>
      <c r="K313" s="19"/>
      <c r="L313" s="19"/>
      <c r="M313" s="25"/>
      <c r="N313" s="13"/>
      <c r="O313" s="19"/>
      <c r="P313" s="27">
        <f>IF($A313="","",N($J313)*ValorHora)</f>
        <v>0</v>
      </c>
      <c r="Q313" s="27">
        <f>IF($A313="","",SUMIFS(ItTotal,ItOS,$A313))</f>
        <v>0</v>
      </c>
      <c r="R313" s="30">
        <f>IF($A313="","",$P313+$Q313+N($K313)-N($L313))</f>
        <v>0</v>
      </c>
      <c r="S313" s="27">
        <f>IF($A313="","",SUMIFS(ItCusto,ItOS,$A313))</f>
        <v>0</v>
      </c>
      <c r="T313" s="27">
        <f>IF($A313="","",$P313*ComMec)</f>
        <v>0</v>
      </c>
      <c r="U313" s="21">
        <f>IF($A313="","",$R313-$S313-$T313-N($K313))</f>
        <v>0</v>
      </c>
      <c r="V313" s="31">
        <f>IF(OR($A313="",N($R313)&lt;=0),"",$U313/$R313)</f>
        <v>0</v>
      </c>
      <c r="W313" s="27">
        <f>IF($A313="","",IF(OR($I313="Finalizado",$I313="Entregue"),MAX(0,$R313-N($O313)),0))</f>
        <v>0</v>
      </c>
      <c r="X313" s="32">
        <f>IF(OR($A313="",$B313=""),"",IF(OR($I313="Entregue",$I313="Cancelada"),"",Hoje-$B313))</f>
        <v>0</v>
      </c>
      <c r="Y313" s="24">
        <f>IF($A313="","",IF(AND(OR($I313="Aprovado",$I313="Em execução",$I313="Aguardando peça"),N($X313)&gt;PrazoMax),"ATRASADA",IF(AND(OR($I313="Finalizado",$I313="Entregue"),$W313&gt;0.005),"Cobrar",IF($I313="Orçamento","Aguardando aprovação",""))))</f>
        <v>0</v>
      </c>
      <c r="Z313" s="33">
        <f>IF(AND($I313="Entregue",$M313&lt;&gt;""),DATE(YEAR($M313),MONTH($M313),1),"")</f>
        <v>0</v>
      </c>
      <c r="AA313" s="34">
        <f>IF(AND($C313&lt;&gt;"",$C313=HistPlaca),COUNTIF($C$5:$C313,HistPlaca),"")</f>
        <v>0</v>
      </c>
    </row>
    <row r="314" spans="1:27">
      <c r="A314" s="17"/>
      <c r="B314" s="25"/>
      <c r="C314" s="13"/>
      <c r="D314" s="26">
        <f>IF($C314="","",IFERROR(INDEX(VeicCli,MATCH($C314,VeicPlaca,0)),"Placa não cadastrada"))</f>
        <v>0</v>
      </c>
      <c r="E314" s="26">
        <f>IF($C314="","",IFERROR(INDEX(VeicModelo,MATCH($C314,VeicPlaca,0)),""))</f>
        <v>0</v>
      </c>
      <c r="F314" s="28"/>
      <c r="G314" s="13"/>
      <c r="H314" s="13"/>
      <c r="I314" s="13"/>
      <c r="J314" s="29"/>
      <c r="K314" s="19"/>
      <c r="L314" s="19"/>
      <c r="M314" s="25"/>
      <c r="N314" s="13"/>
      <c r="O314" s="19"/>
      <c r="P314" s="27">
        <f>IF($A314="","",N($J314)*ValorHora)</f>
        <v>0</v>
      </c>
      <c r="Q314" s="27">
        <f>IF($A314="","",SUMIFS(ItTotal,ItOS,$A314))</f>
        <v>0</v>
      </c>
      <c r="R314" s="30">
        <f>IF($A314="","",$P314+$Q314+N($K314)-N($L314))</f>
        <v>0</v>
      </c>
      <c r="S314" s="27">
        <f>IF($A314="","",SUMIFS(ItCusto,ItOS,$A314))</f>
        <v>0</v>
      </c>
      <c r="T314" s="27">
        <f>IF($A314="","",$P314*ComMec)</f>
        <v>0</v>
      </c>
      <c r="U314" s="21">
        <f>IF($A314="","",$R314-$S314-$T314-N($K314))</f>
        <v>0</v>
      </c>
      <c r="V314" s="31">
        <f>IF(OR($A314="",N($R314)&lt;=0),"",$U314/$R314)</f>
        <v>0</v>
      </c>
      <c r="W314" s="27">
        <f>IF($A314="","",IF(OR($I314="Finalizado",$I314="Entregue"),MAX(0,$R314-N($O314)),0))</f>
        <v>0</v>
      </c>
      <c r="X314" s="32">
        <f>IF(OR($A314="",$B314=""),"",IF(OR($I314="Entregue",$I314="Cancelada"),"",Hoje-$B314))</f>
        <v>0</v>
      </c>
      <c r="Y314" s="24">
        <f>IF($A314="","",IF(AND(OR($I314="Aprovado",$I314="Em execução",$I314="Aguardando peça"),N($X314)&gt;PrazoMax),"ATRASADA",IF(AND(OR($I314="Finalizado",$I314="Entregue"),$W314&gt;0.005),"Cobrar",IF($I314="Orçamento","Aguardando aprovação",""))))</f>
        <v>0</v>
      </c>
      <c r="Z314" s="33">
        <f>IF(AND($I314="Entregue",$M314&lt;&gt;""),DATE(YEAR($M314),MONTH($M314),1),"")</f>
        <v>0</v>
      </c>
      <c r="AA314" s="34">
        <f>IF(AND($C314&lt;&gt;"",$C314=HistPlaca),COUNTIF($C$5:$C314,HistPlaca),"")</f>
        <v>0</v>
      </c>
    </row>
    <row r="315" spans="1:27">
      <c r="A315" s="17"/>
      <c r="B315" s="25"/>
      <c r="C315" s="13"/>
      <c r="D315" s="26">
        <f>IF($C315="","",IFERROR(INDEX(VeicCli,MATCH($C315,VeicPlaca,0)),"Placa não cadastrada"))</f>
        <v>0</v>
      </c>
      <c r="E315" s="26">
        <f>IF($C315="","",IFERROR(INDEX(VeicModelo,MATCH($C315,VeicPlaca,0)),""))</f>
        <v>0</v>
      </c>
      <c r="F315" s="28"/>
      <c r="G315" s="13"/>
      <c r="H315" s="13"/>
      <c r="I315" s="13"/>
      <c r="J315" s="29"/>
      <c r="K315" s="19"/>
      <c r="L315" s="19"/>
      <c r="M315" s="25"/>
      <c r="N315" s="13"/>
      <c r="O315" s="19"/>
      <c r="P315" s="27">
        <f>IF($A315="","",N($J315)*ValorHora)</f>
        <v>0</v>
      </c>
      <c r="Q315" s="27">
        <f>IF($A315="","",SUMIFS(ItTotal,ItOS,$A315))</f>
        <v>0</v>
      </c>
      <c r="R315" s="30">
        <f>IF($A315="","",$P315+$Q315+N($K315)-N($L315))</f>
        <v>0</v>
      </c>
      <c r="S315" s="27">
        <f>IF($A315="","",SUMIFS(ItCusto,ItOS,$A315))</f>
        <v>0</v>
      </c>
      <c r="T315" s="27">
        <f>IF($A315="","",$P315*ComMec)</f>
        <v>0</v>
      </c>
      <c r="U315" s="21">
        <f>IF($A315="","",$R315-$S315-$T315-N($K315))</f>
        <v>0</v>
      </c>
      <c r="V315" s="31">
        <f>IF(OR($A315="",N($R315)&lt;=0),"",$U315/$R315)</f>
        <v>0</v>
      </c>
      <c r="W315" s="27">
        <f>IF($A315="","",IF(OR($I315="Finalizado",$I315="Entregue"),MAX(0,$R315-N($O315)),0))</f>
        <v>0</v>
      </c>
      <c r="X315" s="32">
        <f>IF(OR($A315="",$B315=""),"",IF(OR($I315="Entregue",$I315="Cancelada"),"",Hoje-$B315))</f>
        <v>0</v>
      </c>
      <c r="Y315" s="24">
        <f>IF($A315="","",IF(AND(OR($I315="Aprovado",$I315="Em execução",$I315="Aguardando peça"),N($X315)&gt;PrazoMax),"ATRASADA",IF(AND(OR($I315="Finalizado",$I315="Entregue"),$W315&gt;0.005),"Cobrar",IF($I315="Orçamento","Aguardando aprovação",""))))</f>
        <v>0</v>
      </c>
      <c r="Z315" s="33">
        <f>IF(AND($I315="Entregue",$M315&lt;&gt;""),DATE(YEAR($M315),MONTH($M315),1),"")</f>
        <v>0</v>
      </c>
      <c r="AA315" s="34">
        <f>IF(AND($C315&lt;&gt;"",$C315=HistPlaca),COUNTIF($C$5:$C315,HistPlaca),"")</f>
        <v>0</v>
      </c>
    </row>
    <row r="316" spans="1:27">
      <c r="A316" s="17"/>
      <c r="B316" s="25"/>
      <c r="C316" s="13"/>
      <c r="D316" s="26">
        <f>IF($C316="","",IFERROR(INDEX(VeicCli,MATCH($C316,VeicPlaca,0)),"Placa não cadastrada"))</f>
        <v>0</v>
      </c>
      <c r="E316" s="26">
        <f>IF($C316="","",IFERROR(INDEX(VeicModelo,MATCH($C316,VeicPlaca,0)),""))</f>
        <v>0</v>
      </c>
      <c r="F316" s="28"/>
      <c r="G316" s="13"/>
      <c r="H316" s="13"/>
      <c r="I316" s="13"/>
      <c r="J316" s="29"/>
      <c r="K316" s="19"/>
      <c r="L316" s="19"/>
      <c r="M316" s="25"/>
      <c r="N316" s="13"/>
      <c r="O316" s="19"/>
      <c r="P316" s="27">
        <f>IF($A316="","",N($J316)*ValorHora)</f>
        <v>0</v>
      </c>
      <c r="Q316" s="27">
        <f>IF($A316="","",SUMIFS(ItTotal,ItOS,$A316))</f>
        <v>0</v>
      </c>
      <c r="R316" s="30">
        <f>IF($A316="","",$P316+$Q316+N($K316)-N($L316))</f>
        <v>0</v>
      </c>
      <c r="S316" s="27">
        <f>IF($A316="","",SUMIFS(ItCusto,ItOS,$A316))</f>
        <v>0</v>
      </c>
      <c r="T316" s="27">
        <f>IF($A316="","",$P316*ComMec)</f>
        <v>0</v>
      </c>
      <c r="U316" s="21">
        <f>IF($A316="","",$R316-$S316-$T316-N($K316))</f>
        <v>0</v>
      </c>
      <c r="V316" s="31">
        <f>IF(OR($A316="",N($R316)&lt;=0),"",$U316/$R316)</f>
        <v>0</v>
      </c>
      <c r="W316" s="27">
        <f>IF($A316="","",IF(OR($I316="Finalizado",$I316="Entregue"),MAX(0,$R316-N($O316)),0))</f>
        <v>0</v>
      </c>
      <c r="X316" s="32">
        <f>IF(OR($A316="",$B316=""),"",IF(OR($I316="Entregue",$I316="Cancelada"),"",Hoje-$B316))</f>
        <v>0</v>
      </c>
      <c r="Y316" s="24">
        <f>IF($A316="","",IF(AND(OR($I316="Aprovado",$I316="Em execução",$I316="Aguardando peça"),N($X316)&gt;PrazoMax),"ATRASADA",IF(AND(OR($I316="Finalizado",$I316="Entregue"),$W316&gt;0.005),"Cobrar",IF($I316="Orçamento","Aguardando aprovação",""))))</f>
        <v>0</v>
      </c>
      <c r="Z316" s="33">
        <f>IF(AND($I316="Entregue",$M316&lt;&gt;""),DATE(YEAR($M316),MONTH($M316),1),"")</f>
        <v>0</v>
      </c>
      <c r="AA316" s="34">
        <f>IF(AND($C316&lt;&gt;"",$C316=HistPlaca),COUNTIF($C$5:$C316,HistPlaca),"")</f>
        <v>0</v>
      </c>
    </row>
    <row r="317" spans="1:27">
      <c r="A317" s="17"/>
      <c r="B317" s="25"/>
      <c r="C317" s="13"/>
      <c r="D317" s="26">
        <f>IF($C317="","",IFERROR(INDEX(VeicCli,MATCH($C317,VeicPlaca,0)),"Placa não cadastrada"))</f>
        <v>0</v>
      </c>
      <c r="E317" s="26">
        <f>IF($C317="","",IFERROR(INDEX(VeicModelo,MATCH($C317,VeicPlaca,0)),""))</f>
        <v>0</v>
      </c>
      <c r="F317" s="28"/>
      <c r="G317" s="13"/>
      <c r="H317" s="13"/>
      <c r="I317" s="13"/>
      <c r="J317" s="29"/>
      <c r="K317" s="19"/>
      <c r="L317" s="19"/>
      <c r="M317" s="25"/>
      <c r="N317" s="13"/>
      <c r="O317" s="19"/>
      <c r="P317" s="27">
        <f>IF($A317="","",N($J317)*ValorHora)</f>
        <v>0</v>
      </c>
      <c r="Q317" s="27">
        <f>IF($A317="","",SUMIFS(ItTotal,ItOS,$A317))</f>
        <v>0</v>
      </c>
      <c r="R317" s="30">
        <f>IF($A317="","",$P317+$Q317+N($K317)-N($L317))</f>
        <v>0</v>
      </c>
      <c r="S317" s="27">
        <f>IF($A317="","",SUMIFS(ItCusto,ItOS,$A317))</f>
        <v>0</v>
      </c>
      <c r="T317" s="27">
        <f>IF($A317="","",$P317*ComMec)</f>
        <v>0</v>
      </c>
      <c r="U317" s="21">
        <f>IF($A317="","",$R317-$S317-$T317-N($K317))</f>
        <v>0</v>
      </c>
      <c r="V317" s="31">
        <f>IF(OR($A317="",N($R317)&lt;=0),"",$U317/$R317)</f>
        <v>0</v>
      </c>
      <c r="W317" s="27">
        <f>IF($A317="","",IF(OR($I317="Finalizado",$I317="Entregue"),MAX(0,$R317-N($O317)),0))</f>
        <v>0</v>
      </c>
      <c r="X317" s="32">
        <f>IF(OR($A317="",$B317=""),"",IF(OR($I317="Entregue",$I317="Cancelada"),"",Hoje-$B317))</f>
        <v>0</v>
      </c>
      <c r="Y317" s="24">
        <f>IF($A317="","",IF(AND(OR($I317="Aprovado",$I317="Em execução",$I317="Aguardando peça"),N($X317)&gt;PrazoMax),"ATRASADA",IF(AND(OR($I317="Finalizado",$I317="Entregue"),$W317&gt;0.005),"Cobrar",IF($I317="Orçamento","Aguardando aprovação",""))))</f>
        <v>0</v>
      </c>
      <c r="Z317" s="33">
        <f>IF(AND($I317="Entregue",$M317&lt;&gt;""),DATE(YEAR($M317),MONTH($M317),1),"")</f>
        <v>0</v>
      </c>
      <c r="AA317" s="34">
        <f>IF(AND($C317&lt;&gt;"",$C317=HistPlaca),COUNTIF($C$5:$C317,HistPlaca),"")</f>
        <v>0</v>
      </c>
    </row>
    <row r="318" spans="1:27">
      <c r="A318" s="17"/>
      <c r="B318" s="25"/>
      <c r="C318" s="13"/>
      <c r="D318" s="26">
        <f>IF($C318="","",IFERROR(INDEX(VeicCli,MATCH($C318,VeicPlaca,0)),"Placa não cadastrada"))</f>
        <v>0</v>
      </c>
      <c r="E318" s="26">
        <f>IF($C318="","",IFERROR(INDEX(VeicModelo,MATCH($C318,VeicPlaca,0)),""))</f>
        <v>0</v>
      </c>
      <c r="F318" s="28"/>
      <c r="G318" s="13"/>
      <c r="H318" s="13"/>
      <c r="I318" s="13"/>
      <c r="J318" s="29"/>
      <c r="K318" s="19"/>
      <c r="L318" s="19"/>
      <c r="M318" s="25"/>
      <c r="N318" s="13"/>
      <c r="O318" s="19"/>
      <c r="P318" s="27">
        <f>IF($A318="","",N($J318)*ValorHora)</f>
        <v>0</v>
      </c>
      <c r="Q318" s="27">
        <f>IF($A318="","",SUMIFS(ItTotal,ItOS,$A318))</f>
        <v>0</v>
      </c>
      <c r="R318" s="30">
        <f>IF($A318="","",$P318+$Q318+N($K318)-N($L318))</f>
        <v>0</v>
      </c>
      <c r="S318" s="27">
        <f>IF($A318="","",SUMIFS(ItCusto,ItOS,$A318))</f>
        <v>0</v>
      </c>
      <c r="T318" s="27">
        <f>IF($A318="","",$P318*ComMec)</f>
        <v>0</v>
      </c>
      <c r="U318" s="21">
        <f>IF($A318="","",$R318-$S318-$T318-N($K318))</f>
        <v>0</v>
      </c>
      <c r="V318" s="31">
        <f>IF(OR($A318="",N($R318)&lt;=0),"",$U318/$R318)</f>
        <v>0</v>
      </c>
      <c r="W318" s="27">
        <f>IF($A318="","",IF(OR($I318="Finalizado",$I318="Entregue"),MAX(0,$R318-N($O318)),0))</f>
        <v>0</v>
      </c>
      <c r="X318" s="32">
        <f>IF(OR($A318="",$B318=""),"",IF(OR($I318="Entregue",$I318="Cancelada"),"",Hoje-$B318))</f>
        <v>0</v>
      </c>
      <c r="Y318" s="24">
        <f>IF($A318="","",IF(AND(OR($I318="Aprovado",$I318="Em execução",$I318="Aguardando peça"),N($X318)&gt;PrazoMax),"ATRASADA",IF(AND(OR($I318="Finalizado",$I318="Entregue"),$W318&gt;0.005),"Cobrar",IF($I318="Orçamento","Aguardando aprovação",""))))</f>
        <v>0</v>
      </c>
      <c r="Z318" s="33">
        <f>IF(AND($I318="Entregue",$M318&lt;&gt;""),DATE(YEAR($M318),MONTH($M318),1),"")</f>
        <v>0</v>
      </c>
      <c r="AA318" s="34">
        <f>IF(AND($C318&lt;&gt;"",$C318=HistPlaca),COUNTIF($C$5:$C318,HistPlaca),"")</f>
        <v>0</v>
      </c>
    </row>
    <row r="319" spans="1:27">
      <c r="A319" s="17"/>
      <c r="B319" s="25"/>
      <c r="C319" s="13"/>
      <c r="D319" s="26">
        <f>IF($C319="","",IFERROR(INDEX(VeicCli,MATCH($C319,VeicPlaca,0)),"Placa não cadastrada"))</f>
        <v>0</v>
      </c>
      <c r="E319" s="26">
        <f>IF($C319="","",IFERROR(INDEX(VeicModelo,MATCH($C319,VeicPlaca,0)),""))</f>
        <v>0</v>
      </c>
      <c r="F319" s="28"/>
      <c r="G319" s="13"/>
      <c r="H319" s="13"/>
      <c r="I319" s="13"/>
      <c r="J319" s="29"/>
      <c r="K319" s="19"/>
      <c r="L319" s="19"/>
      <c r="M319" s="25"/>
      <c r="N319" s="13"/>
      <c r="O319" s="19"/>
      <c r="P319" s="27">
        <f>IF($A319="","",N($J319)*ValorHora)</f>
        <v>0</v>
      </c>
      <c r="Q319" s="27">
        <f>IF($A319="","",SUMIFS(ItTotal,ItOS,$A319))</f>
        <v>0</v>
      </c>
      <c r="R319" s="30">
        <f>IF($A319="","",$P319+$Q319+N($K319)-N($L319))</f>
        <v>0</v>
      </c>
      <c r="S319" s="27">
        <f>IF($A319="","",SUMIFS(ItCusto,ItOS,$A319))</f>
        <v>0</v>
      </c>
      <c r="T319" s="27">
        <f>IF($A319="","",$P319*ComMec)</f>
        <v>0</v>
      </c>
      <c r="U319" s="21">
        <f>IF($A319="","",$R319-$S319-$T319-N($K319))</f>
        <v>0</v>
      </c>
      <c r="V319" s="31">
        <f>IF(OR($A319="",N($R319)&lt;=0),"",$U319/$R319)</f>
        <v>0</v>
      </c>
      <c r="W319" s="27">
        <f>IF($A319="","",IF(OR($I319="Finalizado",$I319="Entregue"),MAX(0,$R319-N($O319)),0))</f>
        <v>0</v>
      </c>
      <c r="X319" s="32">
        <f>IF(OR($A319="",$B319=""),"",IF(OR($I319="Entregue",$I319="Cancelada"),"",Hoje-$B319))</f>
        <v>0</v>
      </c>
      <c r="Y319" s="24">
        <f>IF($A319="","",IF(AND(OR($I319="Aprovado",$I319="Em execução",$I319="Aguardando peça"),N($X319)&gt;PrazoMax),"ATRASADA",IF(AND(OR($I319="Finalizado",$I319="Entregue"),$W319&gt;0.005),"Cobrar",IF($I319="Orçamento","Aguardando aprovação",""))))</f>
        <v>0</v>
      </c>
      <c r="Z319" s="33">
        <f>IF(AND($I319="Entregue",$M319&lt;&gt;""),DATE(YEAR($M319),MONTH($M319),1),"")</f>
        <v>0</v>
      </c>
      <c r="AA319" s="34">
        <f>IF(AND($C319&lt;&gt;"",$C319=HistPlaca),COUNTIF($C$5:$C319,HistPlaca),"")</f>
        <v>0</v>
      </c>
    </row>
    <row r="320" spans="1:27">
      <c r="A320" s="17"/>
      <c r="B320" s="25"/>
      <c r="C320" s="13"/>
      <c r="D320" s="26">
        <f>IF($C320="","",IFERROR(INDEX(VeicCli,MATCH($C320,VeicPlaca,0)),"Placa não cadastrada"))</f>
        <v>0</v>
      </c>
      <c r="E320" s="26">
        <f>IF($C320="","",IFERROR(INDEX(VeicModelo,MATCH($C320,VeicPlaca,0)),""))</f>
        <v>0</v>
      </c>
      <c r="F320" s="28"/>
      <c r="G320" s="13"/>
      <c r="H320" s="13"/>
      <c r="I320" s="13"/>
      <c r="J320" s="29"/>
      <c r="K320" s="19"/>
      <c r="L320" s="19"/>
      <c r="M320" s="25"/>
      <c r="N320" s="13"/>
      <c r="O320" s="19"/>
      <c r="P320" s="27">
        <f>IF($A320="","",N($J320)*ValorHora)</f>
        <v>0</v>
      </c>
      <c r="Q320" s="27">
        <f>IF($A320="","",SUMIFS(ItTotal,ItOS,$A320))</f>
        <v>0</v>
      </c>
      <c r="R320" s="30">
        <f>IF($A320="","",$P320+$Q320+N($K320)-N($L320))</f>
        <v>0</v>
      </c>
      <c r="S320" s="27">
        <f>IF($A320="","",SUMIFS(ItCusto,ItOS,$A320))</f>
        <v>0</v>
      </c>
      <c r="T320" s="27">
        <f>IF($A320="","",$P320*ComMec)</f>
        <v>0</v>
      </c>
      <c r="U320" s="21">
        <f>IF($A320="","",$R320-$S320-$T320-N($K320))</f>
        <v>0</v>
      </c>
      <c r="V320" s="31">
        <f>IF(OR($A320="",N($R320)&lt;=0),"",$U320/$R320)</f>
        <v>0</v>
      </c>
      <c r="W320" s="27">
        <f>IF($A320="","",IF(OR($I320="Finalizado",$I320="Entregue"),MAX(0,$R320-N($O320)),0))</f>
        <v>0</v>
      </c>
      <c r="X320" s="32">
        <f>IF(OR($A320="",$B320=""),"",IF(OR($I320="Entregue",$I320="Cancelada"),"",Hoje-$B320))</f>
        <v>0</v>
      </c>
      <c r="Y320" s="24">
        <f>IF($A320="","",IF(AND(OR($I320="Aprovado",$I320="Em execução",$I320="Aguardando peça"),N($X320)&gt;PrazoMax),"ATRASADA",IF(AND(OR($I320="Finalizado",$I320="Entregue"),$W320&gt;0.005),"Cobrar",IF($I320="Orçamento","Aguardando aprovação",""))))</f>
        <v>0</v>
      </c>
      <c r="Z320" s="33">
        <f>IF(AND($I320="Entregue",$M320&lt;&gt;""),DATE(YEAR($M320),MONTH($M320),1),"")</f>
        <v>0</v>
      </c>
      <c r="AA320" s="34">
        <f>IF(AND($C320&lt;&gt;"",$C320=HistPlaca),COUNTIF($C$5:$C320,HistPlaca),"")</f>
        <v>0</v>
      </c>
    </row>
    <row r="321" spans="1:27">
      <c r="A321" s="17"/>
      <c r="B321" s="25"/>
      <c r="C321" s="13"/>
      <c r="D321" s="26">
        <f>IF($C321="","",IFERROR(INDEX(VeicCli,MATCH($C321,VeicPlaca,0)),"Placa não cadastrada"))</f>
        <v>0</v>
      </c>
      <c r="E321" s="26">
        <f>IF($C321="","",IFERROR(INDEX(VeicModelo,MATCH($C321,VeicPlaca,0)),""))</f>
        <v>0</v>
      </c>
      <c r="F321" s="28"/>
      <c r="G321" s="13"/>
      <c r="H321" s="13"/>
      <c r="I321" s="13"/>
      <c r="J321" s="29"/>
      <c r="K321" s="19"/>
      <c r="L321" s="19"/>
      <c r="M321" s="25"/>
      <c r="N321" s="13"/>
      <c r="O321" s="19"/>
      <c r="P321" s="27">
        <f>IF($A321="","",N($J321)*ValorHora)</f>
        <v>0</v>
      </c>
      <c r="Q321" s="27">
        <f>IF($A321="","",SUMIFS(ItTotal,ItOS,$A321))</f>
        <v>0</v>
      </c>
      <c r="R321" s="30">
        <f>IF($A321="","",$P321+$Q321+N($K321)-N($L321))</f>
        <v>0</v>
      </c>
      <c r="S321" s="27">
        <f>IF($A321="","",SUMIFS(ItCusto,ItOS,$A321))</f>
        <v>0</v>
      </c>
      <c r="T321" s="27">
        <f>IF($A321="","",$P321*ComMec)</f>
        <v>0</v>
      </c>
      <c r="U321" s="21">
        <f>IF($A321="","",$R321-$S321-$T321-N($K321))</f>
        <v>0</v>
      </c>
      <c r="V321" s="31">
        <f>IF(OR($A321="",N($R321)&lt;=0),"",$U321/$R321)</f>
        <v>0</v>
      </c>
      <c r="W321" s="27">
        <f>IF($A321="","",IF(OR($I321="Finalizado",$I321="Entregue"),MAX(0,$R321-N($O321)),0))</f>
        <v>0</v>
      </c>
      <c r="X321" s="32">
        <f>IF(OR($A321="",$B321=""),"",IF(OR($I321="Entregue",$I321="Cancelada"),"",Hoje-$B321))</f>
        <v>0</v>
      </c>
      <c r="Y321" s="24">
        <f>IF($A321="","",IF(AND(OR($I321="Aprovado",$I321="Em execução",$I321="Aguardando peça"),N($X321)&gt;PrazoMax),"ATRASADA",IF(AND(OR($I321="Finalizado",$I321="Entregue"),$W321&gt;0.005),"Cobrar",IF($I321="Orçamento","Aguardando aprovação",""))))</f>
        <v>0</v>
      </c>
      <c r="Z321" s="33">
        <f>IF(AND($I321="Entregue",$M321&lt;&gt;""),DATE(YEAR($M321),MONTH($M321),1),"")</f>
        <v>0</v>
      </c>
      <c r="AA321" s="34">
        <f>IF(AND($C321&lt;&gt;"",$C321=HistPlaca),COUNTIF($C$5:$C321,HistPlaca),"")</f>
        <v>0</v>
      </c>
    </row>
    <row r="322" spans="1:27">
      <c r="A322" s="17"/>
      <c r="B322" s="25"/>
      <c r="C322" s="13"/>
      <c r="D322" s="26">
        <f>IF($C322="","",IFERROR(INDEX(VeicCli,MATCH($C322,VeicPlaca,0)),"Placa não cadastrada"))</f>
        <v>0</v>
      </c>
      <c r="E322" s="26">
        <f>IF($C322="","",IFERROR(INDEX(VeicModelo,MATCH($C322,VeicPlaca,0)),""))</f>
        <v>0</v>
      </c>
      <c r="F322" s="28"/>
      <c r="G322" s="13"/>
      <c r="H322" s="13"/>
      <c r="I322" s="13"/>
      <c r="J322" s="29"/>
      <c r="K322" s="19"/>
      <c r="L322" s="19"/>
      <c r="M322" s="25"/>
      <c r="N322" s="13"/>
      <c r="O322" s="19"/>
      <c r="P322" s="27">
        <f>IF($A322="","",N($J322)*ValorHora)</f>
        <v>0</v>
      </c>
      <c r="Q322" s="27">
        <f>IF($A322="","",SUMIFS(ItTotal,ItOS,$A322))</f>
        <v>0</v>
      </c>
      <c r="R322" s="30">
        <f>IF($A322="","",$P322+$Q322+N($K322)-N($L322))</f>
        <v>0</v>
      </c>
      <c r="S322" s="27">
        <f>IF($A322="","",SUMIFS(ItCusto,ItOS,$A322))</f>
        <v>0</v>
      </c>
      <c r="T322" s="27">
        <f>IF($A322="","",$P322*ComMec)</f>
        <v>0</v>
      </c>
      <c r="U322" s="21">
        <f>IF($A322="","",$R322-$S322-$T322-N($K322))</f>
        <v>0</v>
      </c>
      <c r="V322" s="31">
        <f>IF(OR($A322="",N($R322)&lt;=0),"",$U322/$R322)</f>
        <v>0</v>
      </c>
      <c r="W322" s="27">
        <f>IF($A322="","",IF(OR($I322="Finalizado",$I322="Entregue"),MAX(0,$R322-N($O322)),0))</f>
        <v>0</v>
      </c>
      <c r="X322" s="32">
        <f>IF(OR($A322="",$B322=""),"",IF(OR($I322="Entregue",$I322="Cancelada"),"",Hoje-$B322))</f>
        <v>0</v>
      </c>
      <c r="Y322" s="24">
        <f>IF($A322="","",IF(AND(OR($I322="Aprovado",$I322="Em execução",$I322="Aguardando peça"),N($X322)&gt;PrazoMax),"ATRASADA",IF(AND(OR($I322="Finalizado",$I322="Entregue"),$W322&gt;0.005),"Cobrar",IF($I322="Orçamento","Aguardando aprovação",""))))</f>
        <v>0</v>
      </c>
      <c r="Z322" s="33">
        <f>IF(AND($I322="Entregue",$M322&lt;&gt;""),DATE(YEAR($M322),MONTH($M322),1),"")</f>
        <v>0</v>
      </c>
      <c r="AA322" s="34">
        <f>IF(AND($C322&lt;&gt;"",$C322=HistPlaca),COUNTIF($C$5:$C322,HistPlaca),"")</f>
        <v>0</v>
      </c>
    </row>
    <row r="323" spans="1:27">
      <c r="A323" s="17"/>
      <c r="B323" s="25"/>
      <c r="C323" s="13"/>
      <c r="D323" s="26">
        <f>IF($C323="","",IFERROR(INDEX(VeicCli,MATCH($C323,VeicPlaca,0)),"Placa não cadastrada"))</f>
        <v>0</v>
      </c>
      <c r="E323" s="26">
        <f>IF($C323="","",IFERROR(INDEX(VeicModelo,MATCH($C323,VeicPlaca,0)),""))</f>
        <v>0</v>
      </c>
      <c r="F323" s="28"/>
      <c r="G323" s="13"/>
      <c r="H323" s="13"/>
      <c r="I323" s="13"/>
      <c r="J323" s="29"/>
      <c r="K323" s="19"/>
      <c r="L323" s="19"/>
      <c r="M323" s="25"/>
      <c r="N323" s="13"/>
      <c r="O323" s="19"/>
      <c r="P323" s="27">
        <f>IF($A323="","",N($J323)*ValorHora)</f>
        <v>0</v>
      </c>
      <c r="Q323" s="27">
        <f>IF($A323="","",SUMIFS(ItTotal,ItOS,$A323))</f>
        <v>0</v>
      </c>
      <c r="R323" s="30">
        <f>IF($A323="","",$P323+$Q323+N($K323)-N($L323))</f>
        <v>0</v>
      </c>
      <c r="S323" s="27">
        <f>IF($A323="","",SUMIFS(ItCusto,ItOS,$A323))</f>
        <v>0</v>
      </c>
      <c r="T323" s="27">
        <f>IF($A323="","",$P323*ComMec)</f>
        <v>0</v>
      </c>
      <c r="U323" s="21">
        <f>IF($A323="","",$R323-$S323-$T323-N($K323))</f>
        <v>0</v>
      </c>
      <c r="V323" s="31">
        <f>IF(OR($A323="",N($R323)&lt;=0),"",$U323/$R323)</f>
        <v>0</v>
      </c>
      <c r="W323" s="27">
        <f>IF($A323="","",IF(OR($I323="Finalizado",$I323="Entregue"),MAX(0,$R323-N($O323)),0))</f>
        <v>0</v>
      </c>
      <c r="X323" s="32">
        <f>IF(OR($A323="",$B323=""),"",IF(OR($I323="Entregue",$I323="Cancelada"),"",Hoje-$B323))</f>
        <v>0</v>
      </c>
      <c r="Y323" s="24">
        <f>IF($A323="","",IF(AND(OR($I323="Aprovado",$I323="Em execução",$I323="Aguardando peça"),N($X323)&gt;PrazoMax),"ATRASADA",IF(AND(OR($I323="Finalizado",$I323="Entregue"),$W323&gt;0.005),"Cobrar",IF($I323="Orçamento","Aguardando aprovação",""))))</f>
        <v>0</v>
      </c>
      <c r="Z323" s="33">
        <f>IF(AND($I323="Entregue",$M323&lt;&gt;""),DATE(YEAR($M323),MONTH($M323),1),"")</f>
        <v>0</v>
      </c>
      <c r="AA323" s="34">
        <f>IF(AND($C323&lt;&gt;"",$C323=HistPlaca),COUNTIF($C$5:$C323,HistPlaca),"")</f>
        <v>0</v>
      </c>
    </row>
    <row r="324" spans="1:27">
      <c r="A324" s="17"/>
      <c r="B324" s="25"/>
      <c r="C324" s="13"/>
      <c r="D324" s="26">
        <f>IF($C324="","",IFERROR(INDEX(VeicCli,MATCH($C324,VeicPlaca,0)),"Placa não cadastrada"))</f>
        <v>0</v>
      </c>
      <c r="E324" s="26">
        <f>IF($C324="","",IFERROR(INDEX(VeicModelo,MATCH($C324,VeicPlaca,0)),""))</f>
        <v>0</v>
      </c>
      <c r="F324" s="28"/>
      <c r="G324" s="13"/>
      <c r="H324" s="13"/>
      <c r="I324" s="13"/>
      <c r="J324" s="29"/>
      <c r="K324" s="19"/>
      <c r="L324" s="19"/>
      <c r="M324" s="25"/>
      <c r="N324" s="13"/>
      <c r="O324" s="19"/>
      <c r="P324" s="27">
        <f>IF($A324="","",N($J324)*ValorHora)</f>
        <v>0</v>
      </c>
      <c r="Q324" s="27">
        <f>IF($A324="","",SUMIFS(ItTotal,ItOS,$A324))</f>
        <v>0</v>
      </c>
      <c r="R324" s="30">
        <f>IF($A324="","",$P324+$Q324+N($K324)-N($L324))</f>
        <v>0</v>
      </c>
      <c r="S324" s="27">
        <f>IF($A324="","",SUMIFS(ItCusto,ItOS,$A324))</f>
        <v>0</v>
      </c>
      <c r="T324" s="27">
        <f>IF($A324="","",$P324*ComMec)</f>
        <v>0</v>
      </c>
      <c r="U324" s="21">
        <f>IF($A324="","",$R324-$S324-$T324-N($K324))</f>
        <v>0</v>
      </c>
      <c r="V324" s="31">
        <f>IF(OR($A324="",N($R324)&lt;=0),"",$U324/$R324)</f>
        <v>0</v>
      </c>
      <c r="W324" s="27">
        <f>IF($A324="","",IF(OR($I324="Finalizado",$I324="Entregue"),MAX(0,$R324-N($O324)),0))</f>
        <v>0</v>
      </c>
      <c r="X324" s="32">
        <f>IF(OR($A324="",$B324=""),"",IF(OR($I324="Entregue",$I324="Cancelada"),"",Hoje-$B324))</f>
        <v>0</v>
      </c>
      <c r="Y324" s="24">
        <f>IF($A324="","",IF(AND(OR($I324="Aprovado",$I324="Em execução",$I324="Aguardando peça"),N($X324)&gt;PrazoMax),"ATRASADA",IF(AND(OR($I324="Finalizado",$I324="Entregue"),$W324&gt;0.005),"Cobrar",IF($I324="Orçamento","Aguardando aprovação",""))))</f>
        <v>0</v>
      </c>
      <c r="Z324" s="33">
        <f>IF(AND($I324="Entregue",$M324&lt;&gt;""),DATE(YEAR($M324),MONTH($M324),1),"")</f>
        <v>0</v>
      </c>
      <c r="AA324" s="34">
        <f>IF(AND($C324&lt;&gt;"",$C324=HistPlaca),COUNTIF($C$5:$C324,HistPlaca),"")</f>
        <v>0</v>
      </c>
    </row>
    <row r="325" spans="1:27">
      <c r="A325" s="17"/>
      <c r="B325" s="25"/>
      <c r="C325" s="13"/>
      <c r="D325" s="26">
        <f>IF($C325="","",IFERROR(INDEX(VeicCli,MATCH($C325,VeicPlaca,0)),"Placa não cadastrada"))</f>
        <v>0</v>
      </c>
      <c r="E325" s="26">
        <f>IF($C325="","",IFERROR(INDEX(VeicModelo,MATCH($C325,VeicPlaca,0)),""))</f>
        <v>0</v>
      </c>
      <c r="F325" s="28"/>
      <c r="G325" s="13"/>
      <c r="H325" s="13"/>
      <c r="I325" s="13"/>
      <c r="J325" s="29"/>
      <c r="K325" s="19"/>
      <c r="L325" s="19"/>
      <c r="M325" s="25"/>
      <c r="N325" s="13"/>
      <c r="O325" s="19"/>
      <c r="P325" s="27">
        <f>IF($A325="","",N($J325)*ValorHora)</f>
        <v>0</v>
      </c>
      <c r="Q325" s="27">
        <f>IF($A325="","",SUMIFS(ItTotal,ItOS,$A325))</f>
        <v>0</v>
      </c>
      <c r="R325" s="30">
        <f>IF($A325="","",$P325+$Q325+N($K325)-N($L325))</f>
        <v>0</v>
      </c>
      <c r="S325" s="27">
        <f>IF($A325="","",SUMIFS(ItCusto,ItOS,$A325))</f>
        <v>0</v>
      </c>
      <c r="T325" s="27">
        <f>IF($A325="","",$P325*ComMec)</f>
        <v>0</v>
      </c>
      <c r="U325" s="21">
        <f>IF($A325="","",$R325-$S325-$T325-N($K325))</f>
        <v>0</v>
      </c>
      <c r="V325" s="31">
        <f>IF(OR($A325="",N($R325)&lt;=0),"",$U325/$R325)</f>
        <v>0</v>
      </c>
      <c r="W325" s="27">
        <f>IF($A325="","",IF(OR($I325="Finalizado",$I325="Entregue"),MAX(0,$R325-N($O325)),0))</f>
        <v>0</v>
      </c>
      <c r="X325" s="32">
        <f>IF(OR($A325="",$B325=""),"",IF(OR($I325="Entregue",$I325="Cancelada"),"",Hoje-$B325))</f>
        <v>0</v>
      </c>
      <c r="Y325" s="24">
        <f>IF($A325="","",IF(AND(OR($I325="Aprovado",$I325="Em execução",$I325="Aguardando peça"),N($X325)&gt;PrazoMax),"ATRASADA",IF(AND(OR($I325="Finalizado",$I325="Entregue"),$W325&gt;0.005),"Cobrar",IF($I325="Orçamento","Aguardando aprovação",""))))</f>
        <v>0</v>
      </c>
      <c r="Z325" s="33">
        <f>IF(AND($I325="Entregue",$M325&lt;&gt;""),DATE(YEAR($M325),MONTH($M325),1),"")</f>
        <v>0</v>
      </c>
      <c r="AA325" s="34">
        <f>IF(AND($C325&lt;&gt;"",$C325=HistPlaca),COUNTIF($C$5:$C325,HistPlaca),"")</f>
        <v>0</v>
      </c>
    </row>
    <row r="326" spans="1:27">
      <c r="A326" s="17"/>
      <c r="B326" s="25"/>
      <c r="C326" s="13"/>
      <c r="D326" s="26">
        <f>IF($C326="","",IFERROR(INDEX(VeicCli,MATCH($C326,VeicPlaca,0)),"Placa não cadastrada"))</f>
        <v>0</v>
      </c>
      <c r="E326" s="26">
        <f>IF($C326="","",IFERROR(INDEX(VeicModelo,MATCH($C326,VeicPlaca,0)),""))</f>
        <v>0</v>
      </c>
      <c r="F326" s="28"/>
      <c r="G326" s="13"/>
      <c r="H326" s="13"/>
      <c r="I326" s="13"/>
      <c r="J326" s="29"/>
      <c r="K326" s="19"/>
      <c r="L326" s="19"/>
      <c r="M326" s="25"/>
      <c r="N326" s="13"/>
      <c r="O326" s="19"/>
      <c r="P326" s="27">
        <f>IF($A326="","",N($J326)*ValorHora)</f>
        <v>0</v>
      </c>
      <c r="Q326" s="27">
        <f>IF($A326="","",SUMIFS(ItTotal,ItOS,$A326))</f>
        <v>0</v>
      </c>
      <c r="R326" s="30">
        <f>IF($A326="","",$P326+$Q326+N($K326)-N($L326))</f>
        <v>0</v>
      </c>
      <c r="S326" s="27">
        <f>IF($A326="","",SUMIFS(ItCusto,ItOS,$A326))</f>
        <v>0</v>
      </c>
      <c r="T326" s="27">
        <f>IF($A326="","",$P326*ComMec)</f>
        <v>0</v>
      </c>
      <c r="U326" s="21">
        <f>IF($A326="","",$R326-$S326-$T326-N($K326))</f>
        <v>0</v>
      </c>
      <c r="V326" s="31">
        <f>IF(OR($A326="",N($R326)&lt;=0),"",$U326/$R326)</f>
        <v>0</v>
      </c>
      <c r="W326" s="27">
        <f>IF($A326="","",IF(OR($I326="Finalizado",$I326="Entregue"),MAX(0,$R326-N($O326)),0))</f>
        <v>0</v>
      </c>
      <c r="X326" s="32">
        <f>IF(OR($A326="",$B326=""),"",IF(OR($I326="Entregue",$I326="Cancelada"),"",Hoje-$B326))</f>
        <v>0</v>
      </c>
      <c r="Y326" s="24">
        <f>IF($A326="","",IF(AND(OR($I326="Aprovado",$I326="Em execução",$I326="Aguardando peça"),N($X326)&gt;PrazoMax),"ATRASADA",IF(AND(OR($I326="Finalizado",$I326="Entregue"),$W326&gt;0.005),"Cobrar",IF($I326="Orçamento","Aguardando aprovação",""))))</f>
        <v>0</v>
      </c>
      <c r="Z326" s="33">
        <f>IF(AND($I326="Entregue",$M326&lt;&gt;""),DATE(YEAR($M326),MONTH($M326),1),"")</f>
        <v>0</v>
      </c>
      <c r="AA326" s="34">
        <f>IF(AND($C326&lt;&gt;"",$C326=HistPlaca),COUNTIF($C$5:$C326,HistPlaca),"")</f>
        <v>0</v>
      </c>
    </row>
    <row r="327" spans="1:27">
      <c r="A327" s="17"/>
      <c r="B327" s="25"/>
      <c r="C327" s="13"/>
      <c r="D327" s="26">
        <f>IF($C327="","",IFERROR(INDEX(VeicCli,MATCH($C327,VeicPlaca,0)),"Placa não cadastrada"))</f>
        <v>0</v>
      </c>
      <c r="E327" s="26">
        <f>IF($C327="","",IFERROR(INDEX(VeicModelo,MATCH($C327,VeicPlaca,0)),""))</f>
        <v>0</v>
      </c>
      <c r="F327" s="28"/>
      <c r="G327" s="13"/>
      <c r="H327" s="13"/>
      <c r="I327" s="13"/>
      <c r="J327" s="29"/>
      <c r="K327" s="19"/>
      <c r="L327" s="19"/>
      <c r="M327" s="25"/>
      <c r="N327" s="13"/>
      <c r="O327" s="19"/>
      <c r="P327" s="27">
        <f>IF($A327="","",N($J327)*ValorHora)</f>
        <v>0</v>
      </c>
      <c r="Q327" s="27">
        <f>IF($A327="","",SUMIFS(ItTotal,ItOS,$A327))</f>
        <v>0</v>
      </c>
      <c r="R327" s="30">
        <f>IF($A327="","",$P327+$Q327+N($K327)-N($L327))</f>
        <v>0</v>
      </c>
      <c r="S327" s="27">
        <f>IF($A327="","",SUMIFS(ItCusto,ItOS,$A327))</f>
        <v>0</v>
      </c>
      <c r="T327" s="27">
        <f>IF($A327="","",$P327*ComMec)</f>
        <v>0</v>
      </c>
      <c r="U327" s="21">
        <f>IF($A327="","",$R327-$S327-$T327-N($K327))</f>
        <v>0</v>
      </c>
      <c r="V327" s="31">
        <f>IF(OR($A327="",N($R327)&lt;=0),"",$U327/$R327)</f>
        <v>0</v>
      </c>
      <c r="W327" s="27">
        <f>IF($A327="","",IF(OR($I327="Finalizado",$I327="Entregue"),MAX(0,$R327-N($O327)),0))</f>
        <v>0</v>
      </c>
      <c r="X327" s="32">
        <f>IF(OR($A327="",$B327=""),"",IF(OR($I327="Entregue",$I327="Cancelada"),"",Hoje-$B327))</f>
        <v>0</v>
      </c>
      <c r="Y327" s="24">
        <f>IF($A327="","",IF(AND(OR($I327="Aprovado",$I327="Em execução",$I327="Aguardando peça"),N($X327)&gt;PrazoMax),"ATRASADA",IF(AND(OR($I327="Finalizado",$I327="Entregue"),$W327&gt;0.005),"Cobrar",IF($I327="Orçamento","Aguardando aprovação",""))))</f>
        <v>0</v>
      </c>
      <c r="Z327" s="33">
        <f>IF(AND($I327="Entregue",$M327&lt;&gt;""),DATE(YEAR($M327),MONTH($M327),1),"")</f>
        <v>0</v>
      </c>
      <c r="AA327" s="34">
        <f>IF(AND($C327&lt;&gt;"",$C327=HistPlaca),COUNTIF($C$5:$C327,HistPlaca),"")</f>
        <v>0</v>
      </c>
    </row>
    <row r="328" spans="1:27">
      <c r="A328" s="17"/>
      <c r="B328" s="25"/>
      <c r="C328" s="13"/>
      <c r="D328" s="26">
        <f>IF($C328="","",IFERROR(INDEX(VeicCli,MATCH($C328,VeicPlaca,0)),"Placa não cadastrada"))</f>
        <v>0</v>
      </c>
      <c r="E328" s="26">
        <f>IF($C328="","",IFERROR(INDEX(VeicModelo,MATCH($C328,VeicPlaca,0)),""))</f>
        <v>0</v>
      </c>
      <c r="F328" s="28"/>
      <c r="G328" s="13"/>
      <c r="H328" s="13"/>
      <c r="I328" s="13"/>
      <c r="J328" s="29"/>
      <c r="K328" s="19"/>
      <c r="L328" s="19"/>
      <c r="M328" s="25"/>
      <c r="N328" s="13"/>
      <c r="O328" s="19"/>
      <c r="P328" s="27">
        <f>IF($A328="","",N($J328)*ValorHora)</f>
        <v>0</v>
      </c>
      <c r="Q328" s="27">
        <f>IF($A328="","",SUMIFS(ItTotal,ItOS,$A328))</f>
        <v>0</v>
      </c>
      <c r="R328" s="30">
        <f>IF($A328="","",$P328+$Q328+N($K328)-N($L328))</f>
        <v>0</v>
      </c>
      <c r="S328" s="27">
        <f>IF($A328="","",SUMIFS(ItCusto,ItOS,$A328))</f>
        <v>0</v>
      </c>
      <c r="T328" s="27">
        <f>IF($A328="","",$P328*ComMec)</f>
        <v>0</v>
      </c>
      <c r="U328" s="21">
        <f>IF($A328="","",$R328-$S328-$T328-N($K328))</f>
        <v>0</v>
      </c>
      <c r="V328" s="31">
        <f>IF(OR($A328="",N($R328)&lt;=0),"",$U328/$R328)</f>
        <v>0</v>
      </c>
      <c r="W328" s="27">
        <f>IF($A328="","",IF(OR($I328="Finalizado",$I328="Entregue"),MAX(0,$R328-N($O328)),0))</f>
        <v>0</v>
      </c>
      <c r="X328" s="32">
        <f>IF(OR($A328="",$B328=""),"",IF(OR($I328="Entregue",$I328="Cancelada"),"",Hoje-$B328))</f>
        <v>0</v>
      </c>
      <c r="Y328" s="24">
        <f>IF($A328="","",IF(AND(OR($I328="Aprovado",$I328="Em execução",$I328="Aguardando peça"),N($X328)&gt;PrazoMax),"ATRASADA",IF(AND(OR($I328="Finalizado",$I328="Entregue"),$W328&gt;0.005),"Cobrar",IF($I328="Orçamento","Aguardando aprovação",""))))</f>
        <v>0</v>
      </c>
      <c r="Z328" s="33">
        <f>IF(AND($I328="Entregue",$M328&lt;&gt;""),DATE(YEAR($M328),MONTH($M328),1),"")</f>
        <v>0</v>
      </c>
      <c r="AA328" s="34">
        <f>IF(AND($C328&lt;&gt;"",$C328=HistPlaca),COUNTIF($C$5:$C328,HistPlaca),"")</f>
        <v>0</v>
      </c>
    </row>
    <row r="329" spans="1:27">
      <c r="A329" s="17"/>
      <c r="B329" s="25"/>
      <c r="C329" s="13"/>
      <c r="D329" s="26">
        <f>IF($C329="","",IFERROR(INDEX(VeicCli,MATCH($C329,VeicPlaca,0)),"Placa não cadastrada"))</f>
        <v>0</v>
      </c>
      <c r="E329" s="26">
        <f>IF($C329="","",IFERROR(INDEX(VeicModelo,MATCH($C329,VeicPlaca,0)),""))</f>
        <v>0</v>
      </c>
      <c r="F329" s="28"/>
      <c r="G329" s="13"/>
      <c r="H329" s="13"/>
      <c r="I329" s="13"/>
      <c r="J329" s="29"/>
      <c r="K329" s="19"/>
      <c r="L329" s="19"/>
      <c r="M329" s="25"/>
      <c r="N329" s="13"/>
      <c r="O329" s="19"/>
      <c r="P329" s="27">
        <f>IF($A329="","",N($J329)*ValorHora)</f>
        <v>0</v>
      </c>
      <c r="Q329" s="27">
        <f>IF($A329="","",SUMIFS(ItTotal,ItOS,$A329))</f>
        <v>0</v>
      </c>
      <c r="R329" s="30">
        <f>IF($A329="","",$P329+$Q329+N($K329)-N($L329))</f>
        <v>0</v>
      </c>
      <c r="S329" s="27">
        <f>IF($A329="","",SUMIFS(ItCusto,ItOS,$A329))</f>
        <v>0</v>
      </c>
      <c r="T329" s="27">
        <f>IF($A329="","",$P329*ComMec)</f>
        <v>0</v>
      </c>
      <c r="U329" s="21">
        <f>IF($A329="","",$R329-$S329-$T329-N($K329))</f>
        <v>0</v>
      </c>
      <c r="V329" s="31">
        <f>IF(OR($A329="",N($R329)&lt;=0),"",$U329/$R329)</f>
        <v>0</v>
      </c>
      <c r="W329" s="27">
        <f>IF($A329="","",IF(OR($I329="Finalizado",$I329="Entregue"),MAX(0,$R329-N($O329)),0))</f>
        <v>0</v>
      </c>
      <c r="X329" s="32">
        <f>IF(OR($A329="",$B329=""),"",IF(OR($I329="Entregue",$I329="Cancelada"),"",Hoje-$B329))</f>
        <v>0</v>
      </c>
      <c r="Y329" s="24">
        <f>IF($A329="","",IF(AND(OR($I329="Aprovado",$I329="Em execução",$I329="Aguardando peça"),N($X329)&gt;PrazoMax),"ATRASADA",IF(AND(OR($I329="Finalizado",$I329="Entregue"),$W329&gt;0.005),"Cobrar",IF($I329="Orçamento","Aguardando aprovação",""))))</f>
        <v>0</v>
      </c>
      <c r="Z329" s="33">
        <f>IF(AND($I329="Entregue",$M329&lt;&gt;""),DATE(YEAR($M329),MONTH($M329),1),"")</f>
        <v>0</v>
      </c>
      <c r="AA329" s="34">
        <f>IF(AND($C329&lt;&gt;"",$C329=HistPlaca),COUNTIF($C$5:$C329,HistPlaca),"")</f>
        <v>0</v>
      </c>
    </row>
    <row r="330" spans="1:27">
      <c r="A330" s="17"/>
      <c r="B330" s="25"/>
      <c r="C330" s="13"/>
      <c r="D330" s="26">
        <f>IF($C330="","",IFERROR(INDEX(VeicCli,MATCH($C330,VeicPlaca,0)),"Placa não cadastrada"))</f>
        <v>0</v>
      </c>
      <c r="E330" s="26">
        <f>IF($C330="","",IFERROR(INDEX(VeicModelo,MATCH($C330,VeicPlaca,0)),""))</f>
        <v>0</v>
      </c>
      <c r="F330" s="28"/>
      <c r="G330" s="13"/>
      <c r="H330" s="13"/>
      <c r="I330" s="13"/>
      <c r="J330" s="29"/>
      <c r="K330" s="19"/>
      <c r="L330" s="19"/>
      <c r="M330" s="25"/>
      <c r="N330" s="13"/>
      <c r="O330" s="19"/>
      <c r="P330" s="27">
        <f>IF($A330="","",N($J330)*ValorHora)</f>
        <v>0</v>
      </c>
      <c r="Q330" s="27">
        <f>IF($A330="","",SUMIFS(ItTotal,ItOS,$A330))</f>
        <v>0</v>
      </c>
      <c r="R330" s="30">
        <f>IF($A330="","",$P330+$Q330+N($K330)-N($L330))</f>
        <v>0</v>
      </c>
      <c r="S330" s="27">
        <f>IF($A330="","",SUMIFS(ItCusto,ItOS,$A330))</f>
        <v>0</v>
      </c>
      <c r="T330" s="27">
        <f>IF($A330="","",$P330*ComMec)</f>
        <v>0</v>
      </c>
      <c r="U330" s="21">
        <f>IF($A330="","",$R330-$S330-$T330-N($K330))</f>
        <v>0</v>
      </c>
      <c r="V330" s="31">
        <f>IF(OR($A330="",N($R330)&lt;=0),"",$U330/$R330)</f>
        <v>0</v>
      </c>
      <c r="W330" s="27">
        <f>IF($A330="","",IF(OR($I330="Finalizado",$I330="Entregue"),MAX(0,$R330-N($O330)),0))</f>
        <v>0</v>
      </c>
      <c r="X330" s="32">
        <f>IF(OR($A330="",$B330=""),"",IF(OR($I330="Entregue",$I330="Cancelada"),"",Hoje-$B330))</f>
        <v>0</v>
      </c>
      <c r="Y330" s="24">
        <f>IF($A330="","",IF(AND(OR($I330="Aprovado",$I330="Em execução",$I330="Aguardando peça"),N($X330)&gt;PrazoMax),"ATRASADA",IF(AND(OR($I330="Finalizado",$I330="Entregue"),$W330&gt;0.005),"Cobrar",IF($I330="Orçamento","Aguardando aprovação",""))))</f>
        <v>0</v>
      </c>
      <c r="Z330" s="33">
        <f>IF(AND($I330="Entregue",$M330&lt;&gt;""),DATE(YEAR($M330),MONTH($M330),1),"")</f>
        <v>0</v>
      </c>
      <c r="AA330" s="34">
        <f>IF(AND($C330&lt;&gt;"",$C330=HistPlaca),COUNTIF($C$5:$C330,HistPlaca),"")</f>
        <v>0</v>
      </c>
    </row>
    <row r="331" spans="1:27">
      <c r="A331" s="17"/>
      <c r="B331" s="25"/>
      <c r="C331" s="13"/>
      <c r="D331" s="26">
        <f>IF($C331="","",IFERROR(INDEX(VeicCli,MATCH($C331,VeicPlaca,0)),"Placa não cadastrada"))</f>
        <v>0</v>
      </c>
      <c r="E331" s="26">
        <f>IF($C331="","",IFERROR(INDEX(VeicModelo,MATCH($C331,VeicPlaca,0)),""))</f>
        <v>0</v>
      </c>
      <c r="F331" s="28"/>
      <c r="G331" s="13"/>
      <c r="H331" s="13"/>
      <c r="I331" s="13"/>
      <c r="J331" s="29"/>
      <c r="K331" s="19"/>
      <c r="L331" s="19"/>
      <c r="M331" s="25"/>
      <c r="N331" s="13"/>
      <c r="O331" s="19"/>
      <c r="P331" s="27">
        <f>IF($A331="","",N($J331)*ValorHora)</f>
        <v>0</v>
      </c>
      <c r="Q331" s="27">
        <f>IF($A331="","",SUMIFS(ItTotal,ItOS,$A331))</f>
        <v>0</v>
      </c>
      <c r="R331" s="30">
        <f>IF($A331="","",$P331+$Q331+N($K331)-N($L331))</f>
        <v>0</v>
      </c>
      <c r="S331" s="27">
        <f>IF($A331="","",SUMIFS(ItCusto,ItOS,$A331))</f>
        <v>0</v>
      </c>
      <c r="T331" s="27">
        <f>IF($A331="","",$P331*ComMec)</f>
        <v>0</v>
      </c>
      <c r="U331" s="21">
        <f>IF($A331="","",$R331-$S331-$T331-N($K331))</f>
        <v>0</v>
      </c>
      <c r="V331" s="31">
        <f>IF(OR($A331="",N($R331)&lt;=0),"",$U331/$R331)</f>
        <v>0</v>
      </c>
      <c r="W331" s="27">
        <f>IF($A331="","",IF(OR($I331="Finalizado",$I331="Entregue"),MAX(0,$R331-N($O331)),0))</f>
        <v>0</v>
      </c>
      <c r="X331" s="32">
        <f>IF(OR($A331="",$B331=""),"",IF(OR($I331="Entregue",$I331="Cancelada"),"",Hoje-$B331))</f>
        <v>0</v>
      </c>
      <c r="Y331" s="24">
        <f>IF($A331="","",IF(AND(OR($I331="Aprovado",$I331="Em execução",$I331="Aguardando peça"),N($X331)&gt;PrazoMax),"ATRASADA",IF(AND(OR($I331="Finalizado",$I331="Entregue"),$W331&gt;0.005),"Cobrar",IF($I331="Orçamento","Aguardando aprovação",""))))</f>
        <v>0</v>
      </c>
      <c r="Z331" s="33">
        <f>IF(AND($I331="Entregue",$M331&lt;&gt;""),DATE(YEAR($M331),MONTH($M331),1),"")</f>
        <v>0</v>
      </c>
      <c r="AA331" s="34">
        <f>IF(AND($C331&lt;&gt;"",$C331=HistPlaca),COUNTIF($C$5:$C331,HistPlaca),"")</f>
        <v>0</v>
      </c>
    </row>
    <row r="332" spans="1:27">
      <c r="A332" s="17"/>
      <c r="B332" s="25"/>
      <c r="C332" s="13"/>
      <c r="D332" s="26">
        <f>IF($C332="","",IFERROR(INDEX(VeicCli,MATCH($C332,VeicPlaca,0)),"Placa não cadastrada"))</f>
        <v>0</v>
      </c>
      <c r="E332" s="26">
        <f>IF($C332="","",IFERROR(INDEX(VeicModelo,MATCH($C332,VeicPlaca,0)),""))</f>
        <v>0</v>
      </c>
      <c r="F332" s="28"/>
      <c r="G332" s="13"/>
      <c r="H332" s="13"/>
      <c r="I332" s="13"/>
      <c r="J332" s="29"/>
      <c r="K332" s="19"/>
      <c r="L332" s="19"/>
      <c r="M332" s="25"/>
      <c r="N332" s="13"/>
      <c r="O332" s="19"/>
      <c r="P332" s="27">
        <f>IF($A332="","",N($J332)*ValorHora)</f>
        <v>0</v>
      </c>
      <c r="Q332" s="27">
        <f>IF($A332="","",SUMIFS(ItTotal,ItOS,$A332))</f>
        <v>0</v>
      </c>
      <c r="R332" s="30">
        <f>IF($A332="","",$P332+$Q332+N($K332)-N($L332))</f>
        <v>0</v>
      </c>
      <c r="S332" s="27">
        <f>IF($A332="","",SUMIFS(ItCusto,ItOS,$A332))</f>
        <v>0</v>
      </c>
      <c r="T332" s="27">
        <f>IF($A332="","",$P332*ComMec)</f>
        <v>0</v>
      </c>
      <c r="U332" s="21">
        <f>IF($A332="","",$R332-$S332-$T332-N($K332))</f>
        <v>0</v>
      </c>
      <c r="V332" s="31">
        <f>IF(OR($A332="",N($R332)&lt;=0),"",$U332/$R332)</f>
        <v>0</v>
      </c>
      <c r="W332" s="27">
        <f>IF($A332="","",IF(OR($I332="Finalizado",$I332="Entregue"),MAX(0,$R332-N($O332)),0))</f>
        <v>0</v>
      </c>
      <c r="X332" s="32">
        <f>IF(OR($A332="",$B332=""),"",IF(OR($I332="Entregue",$I332="Cancelada"),"",Hoje-$B332))</f>
        <v>0</v>
      </c>
      <c r="Y332" s="24">
        <f>IF($A332="","",IF(AND(OR($I332="Aprovado",$I332="Em execução",$I332="Aguardando peça"),N($X332)&gt;PrazoMax),"ATRASADA",IF(AND(OR($I332="Finalizado",$I332="Entregue"),$W332&gt;0.005),"Cobrar",IF($I332="Orçamento","Aguardando aprovação",""))))</f>
        <v>0</v>
      </c>
      <c r="Z332" s="33">
        <f>IF(AND($I332="Entregue",$M332&lt;&gt;""),DATE(YEAR($M332),MONTH($M332),1),"")</f>
        <v>0</v>
      </c>
      <c r="AA332" s="34">
        <f>IF(AND($C332&lt;&gt;"",$C332=HistPlaca),COUNTIF($C$5:$C332,HistPlaca),"")</f>
        <v>0</v>
      </c>
    </row>
    <row r="333" spans="1:27">
      <c r="A333" s="17"/>
      <c r="B333" s="25"/>
      <c r="C333" s="13"/>
      <c r="D333" s="26">
        <f>IF($C333="","",IFERROR(INDEX(VeicCli,MATCH($C333,VeicPlaca,0)),"Placa não cadastrada"))</f>
        <v>0</v>
      </c>
      <c r="E333" s="26">
        <f>IF($C333="","",IFERROR(INDEX(VeicModelo,MATCH($C333,VeicPlaca,0)),""))</f>
        <v>0</v>
      </c>
      <c r="F333" s="28"/>
      <c r="G333" s="13"/>
      <c r="H333" s="13"/>
      <c r="I333" s="13"/>
      <c r="J333" s="29"/>
      <c r="K333" s="19"/>
      <c r="L333" s="19"/>
      <c r="M333" s="25"/>
      <c r="N333" s="13"/>
      <c r="O333" s="19"/>
      <c r="P333" s="27">
        <f>IF($A333="","",N($J333)*ValorHora)</f>
        <v>0</v>
      </c>
      <c r="Q333" s="27">
        <f>IF($A333="","",SUMIFS(ItTotal,ItOS,$A333))</f>
        <v>0</v>
      </c>
      <c r="R333" s="30">
        <f>IF($A333="","",$P333+$Q333+N($K333)-N($L333))</f>
        <v>0</v>
      </c>
      <c r="S333" s="27">
        <f>IF($A333="","",SUMIFS(ItCusto,ItOS,$A333))</f>
        <v>0</v>
      </c>
      <c r="T333" s="27">
        <f>IF($A333="","",$P333*ComMec)</f>
        <v>0</v>
      </c>
      <c r="U333" s="21">
        <f>IF($A333="","",$R333-$S333-$T333-N($K333))</f>
        <v>0</v>
      </c>
      <c r="V333" s="31">
        <f>IF(OR($A333="",N($R333)&lt;=0),"",$U333/$R333)</f>
        <v>0</v>
      </c>
      <c r="W333" s="27">
        <f>IF($A333="","",IF(OR($I333="Finalizado",$I333="Entregue"),MAX(0,$R333-N($O333)),0))</f>
        <v>0</v>
      </c>
      <c r="X333" s="32">
        <f>IF(OR($A333="",$B333=""),"",IF(OR($I333="Entregue",$I333="Cancelada"),"",Hoje-$B333))</f>
        <v>0</v>
      </c>
      <c r="Y333" s="24">
        <f>IF($A333="","",IF(AND(OR($I333="Aprovado",$I333="Em execução",$I333="Aguardando peça"),N($X333)&gt;PrazoMax),"ATRASADA",IF(AND(OR($I333="Finalizado",$I333="Entregue"),$W333&gt;0.005),"Cobrar",IF($I333="Orçamento","Aguardando aprovação",""))))</f>
        <v>0</v>
      </c>
      <c r="Z333" s="33">
        <f>IF(AND($I333="Entregue",$M333&lt;&gt;""),DATE(YEAR($M333),MONTH($M333),1),"")</f>
        <v>0</v>
      </c>
      <c r="AA333" s="34">
        <f>IF(AND($C333&lt;&gt;"",$C333=HistPlaca),COUNTIF($C$5:$C333,HistPlaca),"")</f>
        <v>0</v>
      </c>
    </row>
    <row r="334" spans="1:27">
      <c r="A334" s="17"/>
      <c r="B334" s="25"/>
      <c r="C334" s="13"/>
      <c r="D334" s="26">
        <f>IF($C334="","",IFERROR(INDEX(VeicCli,MATCH($C334,VeicPlaca,0)),"Placa não cadastrada"))</f>
        <v>0</v>
      </c>
      <c r="E334" s="26">
        <f>IF($C334="","",IFERROR(INDEX(VeicModelo,MATCH($C334,VeicPlaca,0)),""))</f>
        <v>0</v>
      </c>
      <c r="F334" s="28"/>
      <c r="G334" s="13"/>
      <c r="H334" s="13"/>
      <c r="I334" s="13"/>
      <c r="J334" s="29"/>
      <c r="K334" s="19"/>
      <c r="L334" s="19"/>
      <c r="M334" s="25"/>
      <c r="N334" s="13"/>
      <c r="O334" s="19"/>
      <c r="P334" s="27">
        <f>IF($A334="","",N($J334)*ValorHora)</f>
        <v>0</v>
      </c>
      <c r="Q334" s="27">
        <f>IF($A334="","",SUMIFS(ItTotal,ItOS,$A334))</f>
        <v>0</v>
      </c>
      <c r="R334" s="30">
        <f>IF($A334="","",$P334+$Q334+N($K334)-N($L334))</f>
        <v>0</v>
      </c>
      <c r="S334" s="27">
        <f>IF($A334="","",SUMIFS(ItCusto,ItOS,$A334))</f>
        <v>0</v>
      </c>
      <c r="T334" s="27">
        <f>IF($A334="","",$P334*ComMec)</f>
        <v>0</v>
      </c>
      <c r="U334" s="21">
        <f>IF($A334="","",$R334-$S334-$T334-N($K334))</f>
        <v>0</v>
      </c>
      <c r="V334" s="31">
        <f>IF(OR($A334="",N($R334)&lt;=0),"",$U334/$R334)</f>
        <v>0</v>
      </c>
      <c r="W334" s="27">
        <f>IF($A334="","",IF(OR($I334="Finalizado",$I334="Entregue"),MAX(0,$R334-N($O334)),0))</f>
        <v>0</v>
      </c>
      <c r="X334" s="32">
        <f>IF(OR($A334="",$B334=""),"",IF(OR($I334="Entregue",$I334="Cancelada"),"",Hoje-$B334))</f>
        <v>0</v>
      </c>
      <c r="Y334" s="24">
        <f>IF($A334="","",IF(AND(OR($I334="Aprovado",$I334="Em execução",$I334="Aguardando peça"),N($X334)&gt;PrazoMax),"ATRASADA",IF(AND(OR($I334="Finalizado",$I334="Entregue"),$W334&gt;0.005),"Cobrar",IF($I334="Orçamento","Aguardando aprovação",""))))</f>
        <v>0</v>
      </c>
      <c r="Z334" s="33">
        <f>IF(AND($I334="Entregue",$M334&lt;&gt;""),DATE(YEAR($M334),MONTH($M334),1),"")</f>
        <v>0</v>
      </c>
      <c r="AA334" s="34">
        <f>IF(AND($C334&lt;&gt;"",$C334=HistPlaca),COUNTIF($C$5:$C334,HistPlaca),"")</f>
        <v>0</v>
      </c>
    </row>
    <row r="335" spans="1:27">
      <c r="A335" s="17"/>
      <c r="B335" s="25"/>
      <c r="C335" s="13"/>
      <c r="D335" s="26">
        <f>IF($C335="","",IFERROR(INDEX(VeicCli,MATCH($C335,VeicPlaca,0)),"Placa não cadastrada"))</f>
        <v>0</v>
      </c>
      <c r="E335" s="26">
        <f>IF($C335="","",IFERROR(INDEX(VeicModelo,MATCH($C335,VeicPlaca,0)),""))</f>
        <v>0</v>
      </c>
      <c r="F335" s="28"/>
      <c r="G335" s="13"/>
      <c r="H335" s="13"/>
      <c r="I335" s="13"/>
      <c r="J335" s="29"/>
      <c r="K335" s="19"/>
      <c r="L335" s="19"/>
      <c r="M335" s="25"/>
      <c r="N335" s="13"/>
      <c r="O335" s="19"/>
      <c r="P335" s="27">
        <f>IF($A335="","",N($J335)*ValorHora)</f>
        <v>0</v>
      </c>
      <c r="Q335" s="27">
        <f>IF($A335="","",SUMIFS(ItTotal,ItOS,$A335))</f>
        <v>0</v>
      </c>
      <c r="R335" s="30">
        <f>IF($A335="","",$P335+$Q335+N($K335)-N($L335))</f>
        <v>0</v>
      </c>
      <c r="S335" s="27">
        <f>IF($A335="","",SUMIFS(ItCusto,ItOS,$A335))</f>
        <v>0</v>
      </c>
      <c r="T335" s="27">
        <f>IF($A335="","",$P335*ComMec)</f>
        <v>0</v>
      </c>
      <c r="U335" s="21">
        <f>IF($A335="","",$R335-$S335-$T335-N($K335))</f>
        <v>0</v>
      </c>
      <c r="V335" s="31">
        <f>IF(OR($A335="",N($R335)&lt;=0),"",$U335/$R335)</f>
        <v>0</v>
      </c>
      <c r="W335" s="27">
        <f>IF($A335="","",IF(OR($I335="Finalizado",$I335="Entregue"),MAX(0,$R335-N($O335)),0))</f>
        <v>0</v>
      </c>
      <c r="X335" s="32">
        <f>IF(OR($A335="",$B335=""),"",IF(OR($I335="Entregue",$I335="Cancelada"),"",Hoje-$B335))</f>
        <v>0</v>
      </c>
      <c r="Y335" s="24">
        <f>IF($A335="","",IF(AND(OR($I335="Aprovado",$I335="Em execução",$I335="Aguardando peça"),N($X335)&gt;PrazoMax),"ATRASADA",IF(AND(OR($I335="Finalizado",$I335="Entregue"),$W335&gt;0.005),"Cobrar",IF($I335="Orçamento","Aguardando aprovação",""))))</f>
        <v>0</v>
      </c>
      <c r="Z335" s="33">
        <f>IF(AND($I335="Entregue",$M335&lt;&gt;""),DATE(YEAR($M335),MONTH($M335),1),"")</f>
        <v>0</v>
      </c>
      <c r="AA335" s="34">
        <f>IF(AND($C335&lt;&gt;"",$C335=HistPlaca),COUNTIF($C$5:$C335,HistPlaca),"")</f>
        <v>0</v>
      </c>
    </row>
    <row r="336" spans="1:27">
      <c r="A336" s="17"/>
      <c r="B336" s="25"/>
      <c r="C336" s="13"/>
      <c r="D336" s="26">
        <f>IF($C336="","",IFERROR(INDEX(VeicCli,MATCH($C336,VeicPlaca,0)),"Placa não cadastrada"))</f>
        <v>0</v>
      </c>
      <c r="E336" s="26">
        <f>IF($C336="","",IFERROR(INDEX(VeicModelo,MATCH($C336,VeicPlaca,0)),""))</f>
        <v>0</v>
      </c>
      <c r="F336" s="28"/>
      <c r="G336" s="13"/>
      <c r="H336" s="13"/>
      <c r="I336" s="13"/>
      <c r="J336" s="29"/>
      <c r="K336" s="19"/>
      <c r="L336" s="19"/>
      <c r="M336" s="25"/>
      <c r="N336" s="13"/>
      <c r="O336" s="19"/>
      <c r="P336" s="27">
        <f>IF($A336="","",N($J336)*ValorHora)</f>
        <v>0</v>
      </c>
      <c r="Q336" s="27">
        <f>IF($A336="","",SUMIFS(ItTotal,ItOS,$A336))</f>
        <v>0</v>
      </c>
      <c r="R336" s="30">
        <f>IF($A336="","",$P336+$Q336+N($K336)-N($L336))</f>
        <v>0</v>
      </c>
      <c r="S336" s="27">
        <f>IF($A336="","",SUMIFS(ItCusto,ItOS,$A336))</f>
        <v>0</v>
      </c>
      <c r="T336" s="27">
        <f>IF($A336="","",$P336*ComMec)</f>
        <v>0</v>
      </c>
      <c r="U336" s="21">
        <f>IF($A336="","",$R336-$S336-$T336-N($K336))</f>
        <v>0</v>
      </c>
      <c r="V336" s="31">
        <f>IF(OR($A336="",N($R336)&lt;=0),"",$U336/$R336)</f>
        <v>0</v>
      </c>
      <c r="W336" s="27">
        <f>IF($A336="","",IF(OR($I336="Finalizado",$I336="Entregue"),MAX(0,$R336-N($O336)),0))</f>
        <v>0</v>
      </c>
      <c r="X336" s="32">
        <f>IF(OR($A336="",$B336=""),"",IF(OR($I336="Entregue",$I336="Cancelada"),"",Hoje-$B336))</f>
        <v>0</v>
      </c>
      <c r="Y336" s="24">
        <f>IF($A336="","",IF(AND(OR($I336="Aprovado",$I336="Em execução",$I336="Aguardando peça"),N($X336)&gt;PrazoMax),"ATRASADA",IF(AND(OR($I336="Finalizado",$I336="Entregue"),$W336&gt;0.005),"Cobrar",IF($I336="Orçamento","Aguardando aprovação",""))))</f>
        <v>0</v>
      </c>
      <c r="Z336" s="33">
        <f>IF(AND($I336="Entregue",$M336&lt;&gt;""),DATE(YEAR($M336),MONTH($M336),1),"")</f>
        <v>0</v>
      </c>
      <c r="AA336" s="34">
        <f>IF(AND($C336&lt;&gt;"",$C336=HistPlaca),COUNTIF($C$5:$C336,HistPlaca),"")</f>
        <v>0</v>
      </c>
    </row>
    <row r="337" spans="1:27">
      <c r="A337" s="17"/>
      <c r="B337" s="25"/>
      <c r="C337" s="13"/>
      <c r="D337" s="26">
        <f>IF($C337="","",IFERROR(INDEX(VeicCli,MATCH($C337,VeicPlaca,0)),"Placa não cadastrada"))</f>
        <v>0</v>
      </c>
      <c r="E337" s="26">
        <f>IF($C337="","",IFERROR(INDEX(VeicModelo,MATCH($C337,VeicPlaca,0)),""))</f>
        <v>0</v>
      </c>
      <c r="F337" s="28"/>
      <c r="G337" s="13"/>
      <c r="H337" s="13"/>
      <c r="I337" s="13"/>
      <c r="J337" s="29"/>
      <c r="K337" s="19"/>
      <c r="L337" s="19"/>
      <c r="M337" s="25"/>
      <c r="N337" s="13"/>
      <c r="O337" s="19"/>
      <c r="P337" s="27">
        <f>IF($A337="","",N($J337)*ValorHora)</f>
        <v>0</v>
      </c>
      <c r="Q337" s="27">
        <f>IF($A337="","",SUMIFS(ItTotal,ItOS,$A337))</f>
        <v>0</v>
      </c>
      <c r="R337" s="30">
        <f>IF($A337="","",$P337+$Q337+N($K337)-N($L337))</f>
        <v>0</v>
      </c>
      <c r="S337" s="27">
        <f>IF($A337="","",SUMIFS(ItCusto,ItOS,$A337))</f>
        <v>0</v>
      </c>
      <c r="T337" s="27">
        <f>IF($A337="","",$P337*ComMec)</f>
        <v>0</v>
      </c>
      <c r="U337" s="21">
        <f>IF($A337="","",$R337-$S337-$T337-N($K337))</f>
        <v>0</v>
      </c>
      <c r="V337" s="31">
        <f>IF(OR($A337="",N($R337)&lt;=0),"",$U337/$R337)</f>
        <v>0</v>
      </c>
      <c r="W337" s="27">
        <f>IF($A337="","",IF(OR($I337="Finalizado",$I337="Entregue"),MAX(0,$R337-N($O337)),0))</f>
        <v>0</v>
      </c>
      <c r="X337" s="32">
        <f>IF(OR($A337="",$B337=""),"",IF(OR($I337="Entregue",$I337="Cancelada"),"",Hoje-$B337))</f>
        <v>0</v>
      </c>
      <c r="Y337" s="24">
        <f>IF($A337="","",IF(AND(OR($I337="Aprovado",$I337="Em execução",$I337="Aguardando peça"),N($X337)&gt;PrazoMax),"ATRASADA",IF(AND(OR($I337="Finalizado",$I337="Entregue"),$W337&gt;0.005),"Cobrar",IF($I337="Orçamento","Aguardando aprovação",""))))</f>
        <v>0</v>
      </c>
      <c r="Z337" s="33">
        <f>IF(AND($I337="Entregue",$M337&lt;&gt;""),DATE(YEAR($M337),MONTH($M337),1),"")</f>
        <v>0</v>
      </c>
      <c r="AA337" s="34">
        <f>IF(AND($C337&lt;&gt;"",$C337=HistPlaca),COUNTIF($C$5:$C337,HistPlaca),"")</f>
        <v>0</v>
      </c>
    </row>
    <row r="338" spans="1:27">
      <c r="A338" s="17"/>
      <c r="B338" s="25"/>
      <c r="C338" s="13"/>
      <c r="D338" s="26">
        <f>IF($C338="","",IFERROR(INDEX(VeicCli,MATCH($C338,VeicPlaca,0)),"Placa não cadastrada"))</f>
        <v>0</v>
      </c>
      <c r="E338" s="26">
        <f>IF($C338="","",IFERROR(INDEX(VeicModelo,MATCH($C338,VeicPlaca,0)),""))</f>
        <v>0</v>
      </c>
      <c r="F338" s="28"/>
      <c r="G338" s="13"/>
      <c r="H338" s="13"/>
      <c r="I338" s="13"/>
      <c r="J338" s="29"/>
      <c r="K338" s="19"/>
      <c r="L338" s="19"/>
      <c r="M338" s="25"/>
      <c r="N338" s="13"/>
      <c r="O338" s="19"/>
      <c r="P338" s="27">
        <f>IF($A338="","",N($J338)*ValorHora)</f>
        <v>0</v>
      </c>
      <c r="Q338" s="27">
        <f>IF($A338="","",SUMIFS(ItTotal,ItOS,$A338))</f>
        <v>0</v>
      </c>
      <c r="R338" s="30">
        <f>IF($A338="","",$P338+$Q338+N($K338)-N($L338))</f>
        <v>0</v>
      </c>
      <c r="S338" s="27">
        <f>IF($A338="","",SUMIFS(ItCusto,ItOS,$A338))</f>
        <v>0</v>
      </c>
      <c r="T338" s="27">
        <f>IF($A338="","",$P338*ComMec)</f>
        <v>0</v>
      </c>
      <c r="U338" s="21">
        <f>IF($A338="","",$R338-$S338-$T338-N($K338))</f>
        <v>0</v>
      </c>
      <c r="V338" s="31">
        <f>IF(OR($A338="",N($R338)&lt;=0),"",$U338/$R338)</f>
        <v>0</v>
      </c>
      <c r="W338" s="27">
        <f>IF($A338="","",IF(OR($I338="Finalizado",$I338="Entregue"),MAX(0,$R338-N($O338)),0))</f>
        <v>0</v>
      </c>
      <c r="X338" s="32">
        <f>IF(OR($A338="",$B338=""),"",IF(OR($I338="Entregue",$I338="Cancelada"),"",Hoje-$B338))</f>
        <v>0</v>
      </c>
      <c r="Y338" s="24">
        <f>IF($A338="","",IF(AND(OR($I338="Aprovado",$I338="Em execução",$I338="Aguardando peça"),N($X338)&gt;PrazoMax),"ATRASADA",IF(AND(OR($I338="Finalizado",$I338="Entregue"),$W338&gt;0.005),"Cobrar",IF($I338="Orçamento","Aguardando aprovação",""))))</f>
        <v>0</v>
      </c>
      <c r="Z338" s="33">
        <f>IF(AND($I338="Entregue",$M338&lt;&gt;""),DATE(YEAR($M338),MONTH($M338),1),"")</f>
        <v>0</v>
      </c>
      <c r="AA338" s="34">
        <f>IF(AND($C338&lt;&gt;"",$C338=HistPlaca),COUNTIF($C$5:$C338,HistPlaca),"")</f>
        <v>0</v>
      </c>
    </row>
    <row r="339" spans="1:27">
      <c r="A339" s="17"/>
      <c r="B339" s="25"/>
      <c r="C339" s="13"/>
      <c r="D339" s="26">
        <f>IF($C339="","",IFERROR(INDEX(VeicCli,MATCH($C339,VeicPlaca,0)),"Placa não cadastrada"))</f>
        <v>0</v>
      </c>
      <c r="E339" s="26">
        <f>IF($C339="","",IFERROR(INDEX(VeicModelo,MATCH($C339,VeicPlaca,0)),""))</f>
        <v>0</v>
      </c>
      <c r="F339" s="28"/>
      <c r="G339" s="13"/>
      <c r="H339" s="13"/>
      <c r="I339" s="13"/>
      <c r="J339" s="29"/>
      <c r="K339" s="19"/>
      <c r="L339" s="19"/>
      <c r="M339" s="25"/>
      <c r="N339" s="13"/>
      <c r="O339" s="19"/>
      <c r="P339" s="27">
        <f>IF($A339="","",N($J339)*ValorHora)</f>
        <v>0</v>
      </c>
      <c r="Q339" s="27">
        <f>IF($A339="","",SUMIFS(ItTotal,ItOS,$A339))</f>
        <v>0</v>
      </c>
      <c r="R339" s="30">
        <f>IF($A339="","",$P339+$Q339+N($K339)-N($L339))</f>
        <v>0</v>
      </c>
      <c r="S339" s="27">
        <f>IF($A339="","",SUMIFS(ItCusto,ItOS,$A339))</f>
        <v>0</v>
      </c>
      <c r="T339" s="27">
        <f>IF($A339="","",$P339*ComMec)</f>
        <v>0</v>
      </c>
      <c r="U339" s="21">
        <f>IF($A339="","",$R339-$S339-$T339-N($K339))</f>
        <v>0</v>
      </c>
      <c r="V339" s="31">
        <f>IF(OR($A339="",N($R339)&lt;=0),"",$U339/$R339)</f>
        <v>0</v>
      </c>
      <c r="W339" s="27">
        <f>IF($A339="","",IF(OR($I339="Finalizado",$I339="Entregue"),MAX(0,$R339-N($O339)),0))</f>
        <v>0</v>
      </c>
      <c r="X339" s="32">
        <f>IF(OR($A339="",$B339=""),"",IF(OR($I339="Entregue",$I339="Cancelada"),"",Hoje-$B339))</f>
        <v>0</v>
      </c>
      <c r="Y339" s="24">
        <f>IF($A339="","",IF(AND(OR($I339="Aprovado",$I339="Em execução",$I339="Aguardando peça"),N($X339)&gt;PrazoMax),"ATRASADA",IF(AND(OR($I339="Finalizado",$I339="Entregue"),$W339&gt;0.005),"Cobrar",IF($I339="Orçamento","Aguardando aprovação",""))))</f>
        <v>0</v>
      </c>
      <c r="Z339" s="33">
        <f>IF(AND($I339="Entregue",$M339&lt;&gt;""),DATE(YEAR($M339),MONTH($M339),1),"")</f>
        <v>0</v>
      </c>
      <c r="AA339" s="34">
        <f>IF(AND($C339&lt;&gt;"",$C339=HistPlaca),COUNTIF($C$5:$C339,HistPlaca),"")</f>
        <v>0</v>
      </c>
    </row>
    <row r="340" spans="1:27">
      <c r="A340" s="17"/>
      <c r="B340" s="25"/>
      <c r="C340" s="13"/>
      <c r="D340" s="26">
        <f>IF($C340="","",IFERROR(INDEX(VeicCli,MATCH($C340,VeicPlaca,0)),"Placa não cadastrada"))</f>
        <v>0</v>
      </c>
      <c r="E340" s="26">
        <f>IF($C340="","",IFERROR(INDEX(VeicModelo,MATCH($C340,VeicPlaca,0)),""))</f>
        <v>0</v>
      </c>
      <c r="F340" s="28"/>
      <c r="G340" s="13"/>
      <c r="H340" s="13"/>
      <c r="I340" s="13"/>
      <c r="J340" s="29"/>
      <c r="K340" s="19"/>
      <c r="L340" s="19"/>
      <c r="M340" s="25"/>
      <c r="N340" s="13"/>
      <c r="O340" s="19"/>
      <c r="P340" s="27">
        <f>IF($A340="","",N($J340)*ValorHora)</f>
        <v>0</v>
      </c>
      <c r="Q340" s="27">
        <f>IF($A340="","",SUMIFS(ItTotal,ItOS,$A340))</f>
        <v>0</v>
      </c>
      <c r="R340" s="30">
        <f>IF($A340="","",$P340+$Q340+N($K340)-N($L340))</f>
        <v>0</v>
      </c>
      <c r="S340" s="27">
        <f>IF($A340="","",SUMIFS(ItCusto,ItOS,$A340))</f>
        <v>0</v>
      </c>
      <c r="T340" s="27">
        <f>IF($A340="","",$P340*ComMec)</f>
        <v>0</v>
      </c>
      <c r="U340" s="21">
        <f>IF($A340="","",$R340-$S340-$T340-N($K340))</f>
        <v>0</v>
      </c>
      <c r="V340" s="31">
        <f>IF(OR($A340="",N($R340)&lt;=0),"",$U340/$R340)</f>
        <v>0</v>
      </c>
      <c r="W340" s="27">
        <f>IF($A340="","",IF(OR($I340="Finalizado",$I340="Entregue"),MAX(0,$R340-N($O340)),0))</f>
        <v>0</v>
      </c>
      <c r="X340" s="32">
        <f>IF(OR($A340="",$B340=""),"",IF(OR($I340="Entregue",$I340="Cancelada"),"",Hoje-$B340))</f>
        <v>0</v>
      </c>
      <c r="Y340" s="24">
        <f>IF($A340="","",IF(AND(OR($I340="Aprovado",$I340="Em execução",$I340="Aguardando peça"),N($X340)&gt;PrazoMax),"ATRASADA",IF(AND(OR($I340="Finalizado",$I340="Entregue"),$W340&gt;0.005),"Cobrar",IF($I340="Orçamento","Aguardando aprovação",""))))</f>
        <v>0</v>
      </c>
      <c r="Z340" s="33">
        <f>IF(AND($I340="Entregue",$M340&lt;&gt;""),DATE(YEAR($M340),MONTH($M340),1),"")</f>
        <v>0</v>
      </c>
      <c r="AA340" s="34">
        <f>IF(AND($C340&lt;&gt;"",$C340=HistPlaca),COUNTIF($C$5:$C340,HistPlaca),"")</f>
        <v>0</v>
      </c>
    </row>
    <row r="341" spans="1:27">
      <c r="A341" s="17"/>
      <c r="B341" s="25"/>
      <c r="C341" s="13"/>
      <c r="D341" s="26">
        <f>IF($C341="","",IFERROR(INDEX(VeicCli,MATCH($C341,VeicPlaca,0)),"Placa não cadastrada"))</f>
        <v>0</v>
      </c>
      <c r="E341" s="26">
        <f>IF($C341="","",IFERROR(INDEX(VeicModelo,MATCH($C341,VeicPlaca,0)),""))</f>
        <v>0</v>
      </c>
      <c r="F341" s="28"/>
      <c r="G341" s="13"/>
      <c r="H341" s="13"/>
      <c r="I341" s="13"/>
      <c r="J341" s="29"/>
      <c r="K341" s="19"/>
      <c r="L341" s="19"/>
      <c r="M341" s="25"/>
      <c r="N341" s="13"/>
      <c r="O341" s="19"/>
      <c r="P341" s="27">
        <f>IF($A341="","",N($J341)*ValorHora)</f>
        <v>0</v>
      </c>
      <c r="Q341" s="27">
        <f>IF($A341="","",SUMIFS(ItTotal,ItOS,$A341))</f>
        <v>0</v>
      </c>
      <c r="R341" s="30">
        <f>IF($A341="","",$P341+$Q341+N($K341)-N($L341))</f>
        <v>0</v>
      </c>
      <c r="S341" s="27">
        <f>IF($A341="","",SUMIFS(ItCusto,ItOS,$A341))</f>
        <v>0</v>
      </c>
      <c r="T341" s="27">
        <f>IF($A341="","",$P341*ComMec)</f>
        <v>0</v>
      </c>
      <c r="U341" s="21">
        <f>IF($A341="","",$R341-$S341-$T341-N($K341))</f>
        <v>0</v>
      </c>
      <c r="V341" s="31">
        <f>IF(OR($A341="",N($R341)&lt;=0),"",$U341/$R341)</f>
        <v>0</v>
      </c>
      <c r="W341" s="27">
        <f>IF($A341="","",IF(OR($I341="Finalizado",$I341="Entregue"),MAX(0,$R341-N($O341)),0))</f>
        <v>0</v>
      </c>
      <c r="X341" s="32">
        <f>IF(OR($A341="",$B341=""),"",IF(OR($I341="Entregue",$I341="Cancelada"),"",Hoje-$B341))</f>
        <v>0</v>
      </c>
      <c r="Y341" s="24">
        <f>IF($A341="","",IF(AND(OR($I341="Aprovado",$I341="Em execução",$I341="Aguardando peça"),N($X341)&gt;PrazoMax),"ATRASADA",IF(AND(OR($I341="Finalizado",$I341="Entregue"),$W341&gt;0.005),"Cobrar",IF($I341="Orçamento","Aguardando aprovação",""))))</f>
        <v>0</v>
      </c>
      <c r="Z341" s="33">
        <f>IF(AND($I341="Entregue",$M341&lt;&gt;""),DATE(YEAR($M341),MONTH($M341),1),"")</f>
        <v>0</v>
      </c>
      <c r="AA341" s="34">
        <f>IF(AND($C341&lt;&gt;"",$C341=HistPlaca),COUNTIF($C$5:$C341,HistPlaca),"")</f>
        <v>0</v>
      </c>
    </row>
    <row r="342" spans="1:27">
      <c r="A342" s="17"/>
      <c r="B342" s="25"/>
      <c r="C342" s="13"/>
      <c r="D342" s="26">
        <f>IF($C342="","",IFERROR(INDEX(VeicCli,MATCH($C342,VeicPlaca,0)),"Placa não cadastrada"))</f>
        <v>0</v>
      </c>
      <c r="E342" s="26">
        <f>IF($C342="","",IFERROR(INDEX(VeicModelo,MATCH($C342,VeicPlaca,0)),""))</f>
        <v>0</v>
      </c>
      <c r="F342" s="28"/>
      <c r="G342" s="13"/>
      <c r="H342" s="13"/>
      <c r="I342" s="13"/>
      <c r="J342" s="29"/>
      <c r="K342" s="19"/>
      <c r="L342" s="19"/>
      <c r="M342" s="25"/>
      <c r="N342" s="13"/>
      <c r="O342" s="19"/>
      <c r="P342" s="27">
        <f>IF($A342="","",N($J342)*ValorHora)</f>
        <v>0</v>
      </c>
      <c r="Q342" s="27">
        <f>IF($A342="","",SUMIFS(ItTotal,ItOS,$A342))</f>
        <v>0</v>
      </c>
      <c r="R342" s="30">
        <f>IF($A342="","",$P342+$Q342+N($K342)-N($L342))</f>
        <v>0</v>
      </c>
      <c r="S342" s="27">
        <f>IF($A342="","",SUMIFS(ItCusto,ItOS,$A342))</f>
        <v>0</v>
      </c>
      <c r="T342" s="27">
        <f>IF($A342="","",$P342*ComMec)</f>
        <v>0</v>
      </c>
      <c r="U342" s="21">
        <f>IF($A342="","",$R342-$S342-$T342-N($K342))</f>
        <v>0</v>
      </c>
      <c r="V342" s="31">
        <f>IF(OR($A342="",N($R342)&lt;=0),"",$U342/$R342)</f>
        <v>0</v>
      </c>
      <c r="W342" s="27">
        <f>IF($A342="","",IF(OR($I342="Finalizado",$I342="Entregue"),MAX(0,$R342-N($O342)),0))</f>
        <v>0</v>
      </c>
      <c r="X342" s="32">
        <f>IF(OR($A342="",$B342=""),"",IF(OR($I342="Entregue",$I342="Cancelada"),"",Hoje-$B342))</f>
        <v>0</v>
      </c>
      <c r="Y342" s="24">
        <f>IF($A342="","",IF(AND(OR($I342="Aprovado",$I342="Em execução",$I342="Aguardando peça"),N($X342)&gt;PrazoMax),"ATRASADA",IF(AND(OR($I342="Finalizado",$I342="Entregue"),$W342&gt;0.005),"Cobrar",IF($I342="Orçamento","Aguardando aprovação",""))))</f>
        <v>0</v>
      </c>
      <c r="Z342" s="33">
        <f>IF(AND($I342="Entregue",$M342&lt;&gt;""),DATE(YEAR($M342),MONTH($M342),1),"")</f>
        <v>0</v>
      </c>
      <c r="AA342" s="34">
        <f>IF(AND($C342&lt;&gt;"",$C342=HistPlaca),COUNTIF($C$5:$C342,HistPlaca),"")</f>
        <v>0</v>
      </c>
    </row>
    <row r="343" spans="1:27">
      <c r="A343" s="17"/>
      <c r="B343" s="25"/>
      <c r="C343" s="13"/>
      <c r="D343" s="26">
        <f>IF($C343="","",IFERROR(INDEX(VeicCli,MATCH($C343,VeicPlaca,0)),"Placa não cadastrada"))</f>
        <v>0</v>
      </c>
      <c r="E343" s="26">
        <f>IF($C343="","",IFERROR(INDEX(VeicModelo,MATCH($C343,VeicPlaca,0)),""))</f>
        <v>0</v>
      </c>
      <c r="F343" s="28"/>
      <c r="G343" s="13"/>
      <c r="H343" s="13"/>
      <c r="I343" s="13"/>
      <c r="J343" s="29"/>
      <c r="K343" s="19"/>
      <c r="L343" s="19"/>
      <c r="M343" s="25"/>
      <c r="N343" s="13"/>
      <c r="O343" s="19"/>
      <c r="P343" s="27">
        <f>IF($A343="","",N($J343)*ValorHora)</f>
        <v>0</v>
      </c>
      <c r="Q343" s="27">
        <f>IF($A343="","",SUMIFS(ItTotal,ItOS,$A343))</f>
        <v>0</v>
      </c>
      <c r="R343" s="30">
        <f>IF($A343="","",$P343+$Q343+N($K343)-N($L343))</f>
        <v>0</v>
      </c>
      <c r="S343" s="27">
        <f>IF($A343="","",SUMIFS(ItCusto,ItOS,$A343))</f>
        <v>0</v>
      </c>
      <c r="T343" s="27">
        <f>IF($A343="","",$P343*ComMec)</f>
        <v>0</v>
      </c>
      <c r="U343" s="21">
        <f>IF($A343="","",$R343-$S343-$T343-N($K343))</f>
        <v>0</v>
      </c>
      <c r="V343" s="31">
        <f>IF(OR($A343="",N($R343)&lt;=0),"",$U343/$R343)</f>
        <v>0</v>
      </c>
      <c r="W343" s="27">
        <f>IF($A343="","",IF(OR($I343="Finalizado",$I343="Entregue"),MAX(0,$R343-N($O343)),0))</f>
        <v>0</v>
      </c>
      <c r="X343" s="32">
        <f>IF(OR($A343="",$B343=""),"",IF(OR($I343="Entregue",$I343="Cancelada"),"",Hoje-$B343))</f>
        <v>0</v>
      </c>
      <c r="Y343" s="24">
        <f>IF($A343="","",IF(AND(OR($I343="Aprovado",$I343="Em execução",$I343="Aguardando peça"),N($X343)&gt;PrazoMax),"ATRASADA",IF(AND(OR($I343="Finalizado",$I343="Entregue"),$W343&gt;0.005),"Cobrar",IF($I343="Orçamento","Aguardando aprovação",""))))</f>
        <v>0</v>
      </c>
      <c r="Z343" s="33">
        <f>IF(AND($I343="Entregue",$M343&lt;&gt;""),DATE(YEAR($M343),MONTH($M343),1),"")</f>
        <v>0</v>
      </c>
      <c r="AA343" s="34">
        <f>IF(AND($C343&lt;&gt;"",$C343=HistPlaca),COUNTIF($C$5:$C343,HistPlaca),"")</f>
        <v>0</v>
      </c>
    </row>
    <row r="344" spans="1:27">
      <c r="A344" s="17"/>
      <c r="B344" s="25"/>
      <c r="C344" s="13"/>
      <c r="D344" s="26">
        <f>IF($C344="","",IFERROR(INDEX(VeicCli,MATCH($C344,VeicPlaca,0)),"Placa não cadastrada"))</f>
        <v>0</v>
      </c>
      <c r="E344" s="26">
        <f>IF($C344="","",IFERROR(INDEX(VeicModelo,MATCH($C344,VeicPlaca,0)),""))</f>
        <v>0</v>
      </c>
      <c r="F344" s="28"/>
      <c r="G344" s="13"/>
      <c r="H344" s="13"/>
      <c r="I344" s="13"/>
      <c r="J344" s="29"/>
      <c r="K344" s="19"/>
      <c r="L344" s="19"/>
      <c r="M344" s="25"/>
      <c r="N344" s="13"/>
      <c r="O344" s="19"/>
      <c r="P344" s="27">
        <f>IF($A344="","",N($J344)*ValorHora)</f>
        <v>0</v>
      </c>
      <c r="Q344" s="27">
        <f>IF($A344="","",SUMIFS(ItTotal,ItOS,$A344))</f>
        <v>0</v>
      </c>
      <c r="R344" s="30">
        <f>IF($A344="","",$P344+$Q344+N($K344)-N($L344))</f>
        <v>0</v>
      </c>
      <c r="S344" s="27">
        <f>IF($A344="","",SUMIFS(ItCusto,ItOS,$A344))</f>
        <v>0</v>
      </c>
      <c r="T344" s="27">
        <f>IF($A344="","",$P344*ComMec)</f>
        <v>0</v>
      </c>
      <c r="U344" s="21">
        <f>IF($A344="","",$R344-$S344-$T344-N($K344))</f>
        <v>0</v>
      </c>
      <c r="V344" s="31">
        <f>IF(OR($A344="",N($R344)&lt;=0),"",$U344/$R344)</f>
        <v>0</v>
      </c>
      <c r="W344" s="27">
        <f>IF($A344="","",IF(OR($I344="Finalizado",$I344="Entregue"),MAX(0,$R344-N($O344)),0))</f>
        <v>0</v>
      </c>
      <c r="X344" s="32">
        <f>IF(OR($A344="",$B344=""),"",IF(OR($I344="Entregue",$I344="Cancelada"),"",Hoje-$B344))</f>
        <v>0</v>
      </c>
      <c r="Y344" s="24">
        <f>IF($A344="","",IF(AND(OR($I344="Aprovado",$I344="Em execução",$I344="Aguardando peça"),N($X344)&gt;PrazoMax),"ATRASADA",IF(AND(OR($I344="Finalizado",$I344="Entregue"),$W344&gt;0.005),"Cobrar",IF($I344="Orçamento","Aguardando aprovação",""))))</f>
        <v>0</v>
      </c>
      <c r="Z344" s="33">
        <f>IF(AND($I344="Entregue",$M344&lt;&gt;""),DATE(YEAR($M344),MONTH($M344),1),"")</f>
        <v>0</v>
      </c>
      <c r="AA344" s="34">
        <f>IF(AND($C344&lt;&gt;"",$C344=HistPlaca),COUNTIF($C$5:$C344,HistPlaca),"")</f>
        <v>0</v>
      </c>
    </row>
    <row r="345" spans="1:27">
      <c r="A345" s="17"/>
      <c r="B345" s="25"/>
      <c r="C345" s="13"/>
      <c r="D345" s="26">
        <f>IF($C345="","",IFERROR(INDEX(VeicCli,MATCH($C345,VeicPlaca,0)),"Placa não cadastrada"))</f>
        <v>0</v>
      </c>
      <c r="E345" s="26">
        <f>IF($C345="","",IFERROR(INDEX(VeicModelo,MATCH($C345,VeicPlaca,0)),""))</f>
        <v>0</v>
      </c>
      <c r="F345" s="28"/>
      <c r="G345" s="13"/>
      <c r="H345" s="13"/>
      <c r="I345" s="13"/>
      <c r="J345" s="29"/>
      <c r="K345" s="19"/>
      <c r="L345" s="19"/>
      <c r="M345" s="25"/>
      <c r="N345" s="13"/>
      <c r="O345" s="19"/>
      <c r="P345" s="27">
        <f>IF($A345="","",N($J345)*ValorHora)</f>
        <v>0</v>
      </c>
      <c r="Q345" s="27">
        <f>IF($A345="","",SUMIFS(ItTotal,ItOS,$A345))</f>
        <v>0</v>
      </c>
      <c r="R345" s="30">
        <f>IF($A345="","",$P345+$Q345+N($K345)-N($L345))</f>
        <v>0</v>
      </c>
      <c r="S345" s="27">
        <f>IF($A345="","",SUMIFS(ItCusto,ItOS,$A345))</f>
        <v>0</v>
      </c>
      <c r="T345" s="27">
        <f>IF($A345="","",$P345*ComMec)</f>
        <v>0</v>
      </c>
      <c r="U345" s="21">
        <f>IF($A345="","",$R345-$S345-$T345-N($K345))</f>
        <v>0</v>
      </c>
      <c r="V345" s="31">
        <f>IF(OR($A345="",N($R345)&lt;=0),"",$U345/$R345)</f>
        <v>0</v>
      </c>
      <c r="W345" s="27">
        <f>IF($A345="","",IF(OR($I345="Finalizado",$I345="Entregue"),MAX(0,$R345-N($O345)),0))</f>
        <v>0</v>
      </c>
      <c r="X345" s="32">
        <f>IF(OR($A345="",$B345=""),"",IF(OR($I345="Entregue",$I345="Cancelada"),"",Hoje-$B345))</f>
        <v>0</v>
      </c>
      <c r="Y345" s="24">
        <f>IF($A345="","",IF(AND(OR($I345="Aprovado",$I345="Em execução",$I345="Aguardando peça"),N($X345)&gt;PrazoMax),"ATRASADA",IF(AND(OR($I345="Finalizado",$I345="Entregue"),$W345&gt;0.005),"Cobrar",IF($I345="Orçamento","Aguardando aprovação",""))))</f>
        <v>0</v>
      </c>
      <c r="Z345" s="33">
        <f>IF(AND($I345="Entregue",$M345&lt;&gt;""),DATE(YEAR($M345),MONTH($M345),1),"")</f>
        <v>0</v>
      </c>
      <c r="AA345" s="34">
        <f>IF(AND($C345&lt;&gt;"",$C345=HistPlaca),COUNTIF($C$5:$C345,HistPlaca),"")</f>
        <v>0</v>
      </c>
    </row>
    <row r="346" spans="1:27">
      <c r="A346" s="17"/>
      <c r="B346" s="25"/>
      <c r="C346" s="13"/>
      <c r="D346" s="26">
        <f>IF($C346="","",IFERROR(INDEX(VeicCli,MATCH($C346,VeicPlaca,0)),"Placa não cadastrada"))</f>
        <v>0</v>
      </c>
      <c r="E346" s="26">
        <f>IF($C346="","",IFERROR(INDEX(VeicModelo,MATCH($C346,VeicPlaca,0)),""))</f>
        <v>0</v>
      </c>
      <c r="F346" s="28"/>
      <c r="G346" s="13"/>
      <c r="H346" s="13"/>
      <c r="I346" s="13"/>
      <c r="J346" s="29"/>
      <c r="K346" s="19"/>
      <c r="L346" s="19"/>
      <c r="M346" s="25"/>
      <c r="N346" s="13"/>
      <c r="O346" s="19"/>
      <c r="P346" s="27">
        <f>IF($A346="","",N($J346)*ValorHora)</f>
        <v>0</v>
      </c>
      <c r="Q346" s="27">
        <f>IF($A346="","",SUMIFS(ItTotal,ItOS,$A346))</f>
        <v>0</v>
      </c>
      <c r="R346" s="30">
        <f>IF($A346="","",$P346+$Q346+N($K346)-N($L346))</f>
        <v>0</v>
      </c>
      <c r="S346" s="27">
        <f>IF($A346="","",SUMIFS(ItCusto,ItOS,$A346))</f>
        <v>0</v>
      </c>
      <c r="T346" s="27">
        <f>IF($A346="","",$P346*ComMec)</f>
        <v>0</v>
      </c>
      <c r="U346" s="21">
        <f>IF($A346="","",$R346-$S346-$T346-N($K346))</f>
        <v>0</v>
      </c>
      <c r="V346" s="31">
        <f>IF(OR($A346="",N($R346)&lt;=0),"",$U346/$R346)</f>
        <v>0</v>
      </c>
      <c r="W346" s="27">
        <f>IF($A346="","",IF(OR($I346="Finalizado",$I346="Entregue"),MAX(0,$R346-N($O346)),0))</f>
        <v>0</v>
      </c>
      <c r="X346" s="32">
        <f>IF(OR($A346="",$B346=""),"",IF(OR($I346="Entregue",$I346="Cancelada"),"",Hoje-$B346))</f>
        <v>0</v>
      </c>
      <c r="Y346" s="24">
        <f>IF($A346="","",IF(AND(OR($I346="Aprovado",$I346="Em execução",$I346="Aguardando peça"),N($X346)&gt;PrazoMax),"ATRASADA",IF(AND(OR($I346="Finalizado",$I346="Entregue"),$W346&gt;0.005),"Cobrar",IF($I346="Orçamento","Aguardando aprovação",""))))</f>
        <v>0</v>
      </c>
      <c r="Z346" s="33">
        <f>IF(AND($I346="Entregue",$M346&lt;&gt;""),DATE(YEAR($M346),MONTH($M346),1),"")</f>
        <v>0</v>
      </c>
      <c r="AA346" s="34">
        <f>IF(AND($C346&lt;&gt;"",$C346=HistPlaca),COUNTIF($C$5:$C346,HistPlaca),"")</f>
        <v>0</v>
      </c>
    </row>
    <row r="347" spans="1:27">
      <c r="A347" s="17"/>
      <c r="B347" s="25"/>
      <c r="C347" s="13"/>
      <c r="D347" s="26">
        <f>IF($C347="","",IFERROR(INDEX(VeicCli,MATCH($C347,VeicPlaca,0)),"Placa não cadastrada"))</f>
        <v>0</v>
      </c>
      <c r="E347" s="26">
        <f>IF($C347="","",IFERROR(INDEX(VeicModelo,MATCH($C347,VeicPlaca,0)),""))</f>
        <v>0</v>
      </c>
      <c r="F347" s="28"/>
      <c r="G347" s="13"/>
      <c r="H347" s="13"/>
      <c r="I347" s="13"/>
      <c r="J347" s="29"/>
      <c r="K347" s="19"/>
      <c r="L347" s="19"/>
      <c r="M347" s="25"/>
      <c r="N347" s="13"/>
      <c r="O347" s="19"/>
      <c r="P347" s="27">
        <f>IF($A347="","",N($J347)*ValorHora)</f>
        <v>0</v>
      </c>
      <c r="Q347" s="27">
        <f>IF($A347="","",SUMIFS(ItTotal,ItOS,$A347))</f>
        <v>0</v>
      </c>
      <c r="R347" s="30">
        <f>IF($A347="","",$P347+$Q347+N($K347)-N($L347))</f>
        <v>0</v>
      </c>
      <c r="S347" s="27">
        <f>IF($A347="","",SUMIFS(ItCusto,ItOS,$A347))</f>
        <v>0</v>
      </c>
      <c r="T347" s="27">
        <f>IF($A347="","",$P347*ComMec)</f>
        <v>0</v>
      </c>
      <c r="U347" s="21">
        <f>IF($A347="","",$R347-$S347-$T347-N($K347))</f>
        <v>0</v>
      </c>
      <c r="V347" s="31">
        <f>IF(OR($A347="",N($R347)&lt;=0),"",$U347/$R347)</f>
        <v>0</v>
      </c>
      <c r="W347" s="27">
        <f>IF($A347="","",IF(OR($I347="Finalizado",$I347="Entregue"),MAX(0,$R347-N($O347)),0))</f>
        <v>0</v>
      </c>
      <c r="X347" s="32">
        <f>IF(OR($A347="",$B347=""),"",IF(OR($I347="Entregue",$I347="Cancelada"),"",Hoje-$B347))</f>
        <v>0</v>
      </c>
      <c r="Y347" s="24">
        <f>IF($A347="","",IF(AND(OR($I347="Aprovado",$I347="Em execução",$I347="Aguardando peça"),N($X347)&gt;PrazoMax),"ATRASADA",IF(AND(OR($I347="Finalizado",$I347="Entregue"),$W347&gt;0.005),"Cobrar",IF($I347="Orçamento","Aguardando aprovação",""))))</f>
        <v>0</v>
      </c>
      <c r="Z347" s="33">
        <f>IF(AND($I347="Entregue",$M347&lt;&gt;""),DATE(YEAR($M347),MONTH($M347),1),"")</f>
        <v>0</v>
      </c>
      <c r="AA347" s="34">
        <f>IF(AND($C347&lt;&gt;"",$C347=HistPlaca),COUNTIF($C$5:$C347,HistPlaca),"")</f>
        <v>0</v>
      </c>
    </row>
    <row r="348" spans="1:27">
      <c r="A348" s="17"/>
      <c r="B348" s="25"/>
      <c r="C348" s="13"/>
      <c r="D348" s="26">
        <f>IF($C348="","",IFERROR(INDEX(VeicCli,MATCH($C348,VeicPlaca,0)),"Placa não cadastrada"))</f>
        <v>0</v>
      </c>
      <c r="E348" s="26">
        <f>IF($C348="","",IFERROR(INDEX(VeicModelo,MATCH($C348,VeicPlaca,0)),""))</f>
        <v>0</v>
      </c>
      <c r="F348" s="28"/>
      <c r="G348" s="13"/>
      <c r="H348" s="13"/>
      <c r="I348" s="13"/>
      <c r="J348" s="29"/>
      <c r="K348" s="19"/>
      <c r="L348" s="19"/>
      <c r="M348" s="25"/>
      <c r="N348" s="13"/>
      <c r="O348" s="19"/>
      <c r="P348" s="27">
        <f>IF($A348="","",N($J348)*ValorHora)</f>
        <v>0</v>
      </c>
      <c r="Q348" s="27">
        <f>IF($A348="","",SUMIFS(ItTotal,ItOS,$A348))</f>
        <v>0</v>
      </c>
      <c r="R348" s="30">
        <f>IF($A348="","",$P348+$Q348+N($K348)-N($L348))</f>
        <v>0</v>
      </c>
      <c r="S348" s="27">
        <f>IF($A348="","",SUMIFS(ItCusto,ItOS,$A348))</f>
        <v>0</v>
      </c>
      <c r="T348" s="27">
        <f>IF($A348="","",$P348*ComMec)</f>
        <v>0</v>
      </c>
      <c r="U348" s="21">
        <f>IF($A348="","",$R348-$S348-$T348-N($K348))</f>
        <v>0</v>
      </c>
      <c r="V348" s="31">
        <f>IF(OR($A348="",N($R348)&lt;=0),"",$U348/$R348)</f>
        <v>0</v>
      </c>
      <c r="W348" s="27">
        <f>IF($A348="","",IF(OR($I348="Finalizado",$I348="Entregue"),MAX(0,$R348-N($O348)),0))</f>
        <v>0</v>
      </c>
      <c r="X348" s="32">
        <f>IF(OR($A348="",$B348=""),"",IF(OR($I348="Entregue",$I348="Cancelada"),"",Hoje-$B348))</f>
        <v>0</v>
      </c>
      <c r="Y348" s="24">
        <f>IF($A348="","",IF(AND(OR($I348="Aprovado",$I348="Em execução",$I348="Aguardando peça"),N($X348)&gt;PrazoMax),"ATRASADA",IF(AND(OR($I348="Finalizado",$I348="Entregue"),$W348&gt;0.005),"Cobrar",IF($I348="Orçamento","Aguardando aprovação",""))))</f>
        <v>0</v>
      </c>
      <c r="Z348" s="33">
        <f>IF(AND($I348="Entregue",$M348&lt;&gt;""),DATE(YEAR($M348),MONTH($M348),1),"")</f>
        <v>0</v>
      </c>
      <c r="AA348" s="34">
        <f>IF(AND($C348&lt;&gt;"",$C348=HistPlaca),COUNTIF($C$5:$C348,HistPlaca),"")</f>
        <v>0</v>
      </c>
    </row>
    <row r="349" spans="1:27">
      <c r="A349" s="17"/>
      <c r="B349" s="25"/>
      <c r="C349" s="13"/>
      <c r="D349" s="26">
        <f>IF($C349="","",IFERROR(INDEX(VeicCli,MATCH($C349,VeicPlaca,0)),"Placa não cadastrada"))</f>
        <v>0</v>
      </c>
      <c r="E349" s="26">
        <f>IF($C349="","",IFERROR(INDEX(VeicModelo,MATCH($C349,VeicPlaca,0)),""))</f>
        <v>0</v>
      </c>
      <c r="F349" s="28"/>
      <c r="G349" s="13"/>
      <c r="H349" s="13"/>
      <c r="I349" s="13"/>
      <c r="J349" s="29"/>
      <c r="K349" s="19"/>
      <c r="L349" s="19"/>
      <c r="M349" s="25"/>
      <c r="N349" s="13"/>
      <c r="O349" s="19"/>
      <c r="P349" s="27">
        <f>IF($A349="","",N($J349)*ValorHora)</f>
        <v>0</v>
      </c>
      <c r="Q349" s="27">
        <f>IF($A349="","",SUMIFS(ItTotal,ItOS,$A349))</f>
        <v>0</v>
      </c>
      <c r="R349" s="30">
        <f>IF($A349="","",$P349+$Q349+N($K349)-N($L349))</f>
        <v>0</v>
      </c>
      <c r="S349" s="27">
        <f>IF($A349="","",SUMIFS(ItCusto,ItOS,$A349))</f>
        <v>0</v>
      </c>
      <c r="T349" s="27">
        <f>IF($A349="","",$P349*ComMec)</f>
        <v>0</v>
      </c>
      <c r="U349" s="21">
        <f>IF($A349="","",$R349-$S349-$T349-N($K349))</f>
        <v>0</v>
      </c>
      <c r="V349" s="31">
        <f>IF(OR($A349="",N($R349)&lt;=0),"",$U349/$R349)</f>
        <v>0</v>
      </c>
      <c r="W349" s="27">
        <f>IF($A349="","",IF(OR($I349="Finalizado",$I349="Entregue"),MAX(0,$R349-N($O349)),0))</f>
        <v>0</v>
      </c>
      <c r="X349" s="32">
        <f>IF(OR($A349="",$B349=""),"",IF(OR($I349="Entregue",$I349="Cancelada"),"",Hoje-$B349))</f>
        <v>0</v>
      </c>
      <c r="Y349" s="24">
        <f>IF($A349="","",IF(AND(OR($I349="Aprovado",$I349="Em execução",$I349="Aguardando peça"),N($X349)&gt;PrazoMax),"ATRASADA",IF(AND(OR($I349="Finalizado",$I349="Entregue"),$W349&gt;0.005),"Cobrar",IF($I349="Orçamento","Aguardando aprovação",""))))</f>
        <v>0</v>
      </c>
      <c r="Z349" s="33">
        <f>IF(AND($I349="Entregue",$M349&lt;&gt;""),DATE(YEAR($M349),MONTH($M349),1),"")</f>
        <v>0</v>
      </c>
      <c r="AA349" s="34">
        <f>IF(AND($C349&lt;&gt;"",$C349=HistPlaca),COUNTIF($C$5:$C349,HistPlaca),"")</f>
        <v>0</v>
      </c>
    </row>
    <row r="350" spans="1:27">
      <c r="A350" s="17"/>
      <c r="B350" s="25"/>
      <c r="C350" s="13"/>
      <c r="D350" s="26">
        <f>IF($C350="","",IFERROR(INDEX(VeicCli,MATCH($C350,VeicPlaca,0)),"Placa não cadastrada"))</f>
        <v>0</v>
      </c>
      <c r="E350" s="26">
        <f>IF($C350="","",IFERROR(INDEX(VeicModelo,MATCH($C350,VeicPlaca,0)),""))</f>
        <v>0</v>
      </c>
      <c r="F350" s="28"/>
      <c r="G350" s="13"/>
      <c r="H350" s="13"/>
      <c r="I350" s="13"/>
      <c r="J350" s="29"/>
      <c r="K350" s="19"/>
      <c r="L350" s="19"/>
      <c r="M350" s="25"/>
      <c r="N350" s="13"/>
      <c r="O350" s="19"/>
      <c r="P350" s="27">
        <f>IF($A350="","",N($J350)*ValorHora)</f>
        <v>0</v>
      </c>
      <c r="Q350" s="27">
        <f>IF($A350="","",SUMIFS(ItTotal,ItOS,$A350))</f>
        <v>0</v>
      </c>
      <c r="R350" s="30">
        <f>IF($A350="","",$P350+$Q350+N($K350)-N($L350))</f>
        <v>0</v>
      </c>
      <c r="S350" s="27">
        <f>IF($A350="","",SUMIFS(ItCusto,ItOS,$A350))</f>
        <v>0</v>
      </c>
      <c r="T350" s="27">
        <f>IF($A350="","",$P350*ComMec)</f>
        <v>0</v>
      </c>
      <c r="U350" s="21">
        <f>IF($A350="","",$R350-$S350-$T350-N($K350))</f>
        <v>0</v>
      </c>
      <c r="V350" s="31">
        <f>IF(OR($A350="",N($R350)&lt;=0),"",$U350/$R350)</f>
        <v>0</v>
      </c>
      <c r="W350" s="27">
        <f>IF($A350="","",IF(OR($I350="Finalizado",$I350="Entregue"),MAX(0,$R350-N($O350)),0))</f>
        <v>0</v>
      </c>
      <c r="X350" s="32">
        <f>IF(OR($A350="",$B350=""),"",IF(OR($I350="Entregue",$I350="Cancelada"),"",Hoje-$B350))</f>
        <v>0</v>
      </c>
      <c r="Y350" s="24">
        <f>IF($A350="","",IF(AND(OR($I350="Aprovado",$I350="Em execução",$I350="Aguardando peça"),N($X350)&gt;PrazoMax),"ATRASADA",IF(AND(OR($I350="Finalizado",$I350="Entregue"),$W350&gt;0.005),"Cobrar",IF($I350="Orçamento","Aguardando aprovação",""))))</f>
        <v>0</v>
      </c>
      <c r="Z350" s="33">
        <f>IF(AND($I350="Entregue",$M350&lt;&gt;""),DATE(YEAR($M350),MONTH($M350),1),"")</f>
        <v>0</v>
      </c>
      <c r="AA350" s="34">
        <f>IF(AND($C350&lt;&gt;"",$C350=HistPlaca),COUNTIF($C$5:$C350,HistPlaca),"")</f>
        <v>0</v>
      </c>
    </row>
    <row r="351" spans="1:27">
      <c r="A351" s="17"/>
      <c r="B351" s="25"/>
      <c r="C351" s="13"/>
      <c r="D351" s="26">
        <f>IF($C351="","",IFERROR(INDEX(VeicCli,MATCH($C351,VeicPlaca,0)),"Placa não cadastrada"))</f>
        <v>0</v>
      </c>
      <c r="E351" s="26">
        <f>IF($C351="","",IFERROR(INDEX(VeicModelo,MATCH($C351,VeicPlaca,0)),""))</f>
        <v>0</v>
      </c>
      <c r="F351" s="28"/>
      <c r="G351" s="13"/>
      <c r="H351" s="13"/>
      <c r="I351" s="13"/>
      <c r="J351" s="29"/>
      <c r="K351" s="19"/>
      <c r="L351" s="19"/>
      <c r="M351" s="25"/>
      <c r="N351" s="13"/>
      <c r="O351" s="19"/>
      <c r="P351" s="27">
        <f>IF($A351="","",N($J351)*ValorHora)</f>
        <v>0</v>
      </c>
      <c r="Q351" s="27">
        <f>IF($A351="","",SUMIFS(ItTotal,ItOS,$A351))</f>
        <v>0</v>
      </c>
      <c r="R351" s="30">
        <f>IF($A351="","",$P351+$Q351+N($K351)-N($L351))</f>
        <v>0</v>
      </c>
      <c r="S351" s="27">
        <f>IF($A351="","",SUMIFS(ItCusto,ItOS,$A351))</f>
        <v>0</v>
      </c>
      <c r="T351" s="27">
        <f>IF($A351="","",$P351*ComMec)</f>
        <v>0</v>
      </c>
      <c r="U351" s="21">
        <f>IF($A351="","",$R351-$S351-$T351-N($K351))</f>
        <v>0</v>
      </c>
      <c r="V351" s="31">
        <f>IF(OR($A351="",N($R351)&lt;=0),"",$U351/$R351)</f>
        <v>0</v>
      </c>
      <c r="W351" s="27">
        <f>IF($A351="","",IF(OR($I351="Finalizado",$I351="Entregue"),MAX(0,$R351-N($O351)),0))</f>
        <v>0</v>
      </c>
      <c r="X351" s="32">
        <f>IF(OR($A351="",$B351=""),"",IF(OR($I351="Entregue",$I351="Cancelada"),"",Hoje-$B351))</f>
        <v>0</v>
      </c>
      <c r="Y351" s="24">
        <f>IF($A351="","",IF(AND(OR($I351="Aprovado",$I351="Em execução",$I351="Aguardando peça"),N($X351)&gt;PrazoMax),"ATRASADA",IF(AND(OR($I351="Finalizado",$I351="Entregue"),$W351&gt;0.005),"Cobrar",IF($I351="Orçamento","Aguardando aprovação",""))))</f>
        <v>0</v>
      </c>
      <c r="Z351" s="33">
        <f>IF(AND($I351="Entregue",$M351&lt;&gt;""),DATE(YEAR($M351),MONTH($M351),1),"")</f>
        <v>0</v>
      </c>
      <c r="AA351" s="34">
        <f>IF(AND($C351&lt;&gt;"",$C351=HistPlaca),COUNTIF($C$5:$C351,HistPlaca),"")</f>
        <v>0</v>
      </c>
    </row>
    <row r="352" spans="1:27">
      <c r="A352" s="17"/>
      <c r="B352" s="25"/>
      <c r="C352" s="13"/>
      <c r="D352" s="26">
        <f>IF($C352="","",IFERROR(INDEX(VeicCli,MATCH($C352,VeicPlaca,0)),"Placa não cadastrada"))</f>
        <v>0</v>
      </c>
      <c r="E352" s="26">
        <f>IF($C352="","",IFERROR(INDEX(VeicModelo,MATCH($C352,VeicPlaca,0)),""))</f>
        <v>0</v>
      </c>
      <c r="F352" s="28"/>
      <c r="G352" s="13"/>
      <c r="H352" s="13"/>
      <c r="I352" s="13"/>
      <c r="J352" s="29"/>
      <c r="K352" s="19"/>
      <c r="L352" s="19"/>
      <c r="M352" s="25"/>
      <c r="N352" s="13"/>
      <c r="O352" s="19"/>
      <c r="P352" s="27">
        <f>IF($A352="","",N($J352)*ValorHora)</f>
        <v>0</v>
      </c>
      <c r="Q352" s="27">
        <f>IF($A352="","",SUMIFS(ItTotal,ItOS,$A352))</f>
        <v>0</v>
      </c>
      <c r="R352" s="30">
        <f>IF($A352="","",$P352+$Q352+N($K352)-N($L352))</f>
        <v>0</v>
      </c>
      <c r="S352" s="27">
        <f>IF($A352="","",SUMIFS(ItCusto,ItOS,$A352))</f>
        <v>0</v>
      </c>
      <c r="T352" s="27">
        <f>IF($A352="","",$P352*ComMec)</f>
        <v>0</v>
      </c>
      <c r="U352" s="21">
        <f>IF($A352="","",$R352-$S352-$T352-N($K352))</f>
        <v>0</v>
      </c>
      <c r="V352" s="31">
        <f>IF(OR($A352="",N($R352)&lt;=0),"",$U352/$R352)</f>
        <v>0</v>
      </c>
      <c r="W352" s="27">
        <f>IF($A352="","",IF(OR($I352="Finalizado",$I352="Entregue"),MAX(0,$R352-N($O352)),0))</f>
        <v>0</v>
      </c>
      <c r="X352" s="32">
        <f>IF(OR($A352="",$B352=""),"",IF(OR($I352="Entregue",$I352="Cancelada"),"",Hoje-$B352))</f>
        <v>0</v>
      </c>
      <c r="Y352" s="24">
        <f>IF($A352="","",IF(AND(OR($I352="Aprovado",$I352="Em execução",$I352="Aguardando peça"),N($X352)&gt;PrazoMax),"ATRASADA",IF(AND(OR($I352="Finalizado",$I352="Entregue"),$W352&gt;0.005),"Cobrar",IF($I352="Orçamento","Aguardando aprovação",""))))</f>
        <v>0</v>
      </c>
      <c r="Z352" s="33">
        <f>IF(AND($I352="Entregue",$M352&lt;&gt;""),DATE(YEAR($M352),MONTH($M352),1),"")</f>
        <v>0</v>
      </c>
      <c r="AA352" s="34">
        <f>IF(AND($C352&lt;&gt;"",$C352=HistPlaca),COUNTIF($C$5:$C352,HistPlaca),"")</f>
        <v>0</v>
      </c>
    </row>
    <row r="353" spans="1:27">
      <c r="A353" s="17"/>
      <c r="B353" s="25"/>
      <c r="C353" s="13"/>
      <c r="D353" s="26">
        <f>IF($C353="","",IFERROR(INDEX(VeicCli,MATCH($C353,VeicPlaca,0)),"Placa não cadastrada"))</f>
        <v>0</v>
      </c>
      <c r="E353" s="26">
        <f>IF($C353="","",IFERROR(INDEX(VeicModelo,MATCH($C353,VeicPlaca,0)),""))</f>
        <v>0</v>
      </c>
      <c r="F353" s="28"/>
      <c r="G353" s="13"/>
      <c r="H353" s="13"/>
      <c r="I353" s="13"/>
      <c r="J353" s="29"/>
      <c r="K353" s="19"/>
      <c r="L353" s="19"/>
      <c r="M353" s="25"/>
      <c r="N353" s="13"/>
      <c r="O353" s="19"/>
      <c r="P353" s="27">
        <f>IF($A353="","",N($J353)*ValorHora)</f>
        <v>0</v>
      </c>
      <c r="Q353" s="27">
        <f>IF($A353="","",SUMIFS(ItTotal,ItOS,$A353))</f>
        <v>0</v>
      </c>
      <c r="R353" s="30">
        <f>IF($A353="","",$P353+$Q353+N($K353)-N($L353))</f>
        <v>0</v>
      </c>
      <c r="S353" s="27">
        <f>IF($A353="","",SUMIFS(ItCusto,ItOS,$A353))</f>
        <v>0</v>
      </c>
      <c r="T353" s="27">
        <f>IF($A353="","",$P353*ComMec)</f>
        <v>0</v>
      </c>
      <c r="U353" s="21">
        <f>IF($A353="","",$R353-$S353-$T353-N($K353))</f>
        <v>0</v>
      </c>
      <c r="V353" s="31">
        <f>IF(OR($A353="",N($R353)&lt;=0),"",$U353/$R353)</f>
        <v>0</v>
      </c>
      <c r="W353" s="27">
        <f>IF($A353="","",IF(OR($I353="Finalizado",$I353="Entregue"),MAX(0,$R353-N($O353)),0))</f>
        <v>0</v>
      </c>
      <c r="X353" s="32">
        <f>IF(OR($A353="",$B353=""),"",IF(OR($I353="Entregue",$I353="Cancelada"),"",Hoje-$B353))</f>
        <v>0</v>
      </c>
      <c r="Y353" s="24">
        <f>IF($A353="","",IF(AND(OR($I353="Aprovado",$I353="Em execução",$I353="Aguardando peça"),N($X353)&gt;PrazoMax),"ATRASADA",IF(AND(OR($I353="Finalizado",$I353="Entregue"),$W353&gt;0.005),"Cobrar",IF($I353="Orçamento","Aguardando aprovação",""))))</f>
        <v>0</v>
      </c>
      <c r="Z353" s="33">
        <f>IF(AND($I353="Entregue",$M353&lt;&gt;""),DATE(YEAR($M353),MONTH($M353),1),"")</f>
        <v>0</v>
      </c>
      <c r="AA353" s="34">
        <f>IF(AND($C353&lt;&gt;"",$C353=HistPlaca),COUNTIF($C$5:$C353,HistPlaca),"")</f>
        <v>0</v>
      </c>
    </row>
    <row r="354" spans="1:27">
      <c r="A354" s="17"/>
      <c r="B354" s="25"/>
      <c r="C354" s="13"/>
      <c r="D354" s="26">
        <f>IF($C354="","",IFERROR(INDEX(VeicCli,MATCH($C354,VeicPlaca,0)),"Placa não cadastrada"))</f>
        <v>0</v>
      </c>
      <c r="E354" s="26">
        <f>IF($C354="","",IFERROR(INDEX(VeicModelo,MATCH($C354,VeicPlaca,0)),""))</f>
        <v>0</v>
      </c>
      <c r="F354" s="28"/>
      <c r="G354" s="13"/>
      <c r="H354" s="13"/>
      <c r="I354" s="13"/>
      <c r="J354" s="29"/>
      <c r="K354" s="19"/>
      <c r="L354" s="19"/>
      <c r="M354" s="25"/>
      <c r="N354" s="13"/>
      <c r="O354" s="19"/>
      <c r="P354" s="27">
        <f>IF($A354="","",N($J354)*ValorHora)</f>
        <v>0</v>
      </c>
      <c r="Q354" s="27">
        <f>IF($A354="","",SUMIFS(ItTotal,ItOS,$A354))</f>
        <v>0</v>
      </c>
      <c r="R354" s="30">
        <f>IF($A354="","",$P354+$Q354+N($K354)-N($L354))</f>
        <v>0</v>
      </c>
      <c r="S354" s="27">
        <f>IF($A354="","",SUMIFS(ItCusto,ItOS,$A354))</f>
        <v>0</v>
      </c>
      <c r="T354" s="27">
        <f>IF($A354="","",$P354*ComMec)</f>
        <v>0</v>
      </c>
      <c r="U354" s="21">
        <f>IF($A354="","",$R354-$S354-$T354-N($K354))</f>
        <v>0</v>
      </c>
      <c r="V354" s="31">
        <f>IF(OR($A354="",N($R354)&lt;=0),"",$U354/$R354)</f>
        <v>0</v>
      </c>
      <c r="W354" s="27">
        <f>IF($A354="","",IF(OR($I354="Finalizado",$I354="Entregue"),MAX(0,$R354-N($O354)),0))</f>
        <v>0</v>
      </c>
      <c r="X354" s="32">
        <f>IF(OR($A354="",$B354=""),"",IF(OR($I354="Entregue",$I354="Cancelada"),"",Hoje-$B354))</f>
        <v>0</v>
      </c>
      <c r="Y354" s="24">
        <f>IF($A354="","",IF(AND(OR($I354="Aprovado",$I354="Em execução",$I354="Aguardando peça"),N($X354)&gt;PrazoMax),"ATRASADA",IF(AND(OR($I354="Finalizado",$I354="Entregue"),$W354&gt;0.005),"Cobrar",IF($I354="Orçamento","Aguardando aprovação",""))))</f>
        <v>0</v>
      </c>
      <c r="Z354" s="33">
        <f>IF(AND($I354="Entregue",$M354&lt;&gt;""),DATE(YEAR($M354),MONTH($M354),1),"")</f>
        <v>0</v>
      </c>
      <c r="AA354" s="34">
        <f>IF(AND($C354&lt;&gt;"",$C354=HistPlaca),COUNTIF($C$5:$C354,HistPlaca),"")</f>
        <v>0</v>
      </c>
    </row>
    <row r="355" spans="1:27">
      <c r="A355" s="17"/>
      <c r="B355" s="25"/>
      <c r="C355" s="13"/>
      <c r="D355" s="26">
        <f>IF($C355="","",IFERROR(INDEX(VeicCli,MATCH($C355,VeicPlaca,0)),"Placa não cadastrada"))</f>
        <v>0</v>
      </c>
      <c r="E355" s="26">
        <f>IF($C355="","",IFERROR(INDEX(VeicModelo,MATCH($C355,VeicPlaca,0)),""))</f>
        <v>0</v>
      </c>
      <c r="F355" s="28"/>
      <c r="G355" s="13"/>
      <c r="H355" s="13"/>
      <c r="I355" s="13"/>
      <c r="J355" s="29"/>
      <c r="K355" s="19"/>
      <c r="L355" s="19"/>
      <c r="M355" s="25"/>
      <c r="N355" s="13"/>
      <c r="O355" s="19"/>
      <c r="P355" s="27">
        <f>IF($A355="","",N($J355)*ValorHora)</f>
        <v>0</v>
      </c>
      <c r="Q355" s="27">
        <f>IF($A355="","",SUMIFS(ItTotal,ItOS,$A355))</f>
        <v>0</v>
      </c>
      <c r="R355" s="30">
        <f>IF($A355="","",$P355+$Q355+N($K355)-N($L355))</f>
        <v>0</v>
      </c>
      <c r="S355" s="27">
        <f>IF($A355="","",SUMIFS(ItCusto,ItOS,$A355))</f>
        <v>0</v>
      </c>
      <c r="T355" s="27">
        <f>IF($A355="","",$P355*ComMec)</f>
        <v>0</v>
      </c>
      <c r="U355" s="21">
        <f>IF($A355="","",$R355-$S355-$T355-N($K355))</f>
        <v>0</v>
      </c>
      <c r="V355" s="31">
        <f>IF(OR($A355="",N($R355)&lt;=0),"",$U355/$R355)</f>
        <v>0</v>
      </c>
      <c r="W355" s="27">
        <f>IF($A355="","",IF(OR($I355="Finalizado",$I355="Entregue"),MAX(0,$R355-N($O355)),0))</f>
        <v>0</v>
      </c>
      <c r="X355" s="32">
        <f>IF(OR($A355="",$B355=""),"",IF(OR($I355="Entregue",$I355="Cancelada"),"",Hoje-$B355))</f>
        <v>0</v>
      </c>
      <c r="Y355" s="24">
        <f>IF($A355="","",IF(AND(OR($I355="Aprovado",$I355="Em execução",$I355="Aguardando peça"),N($X355)&gt;PrazoMax),"ATRASADA",IF(AND(OR($I355="Finalizado",$I355="Entregue"),$W355&gt;0.005),"Cobrar",IF($I355="Orçamento","Aguardando aprovação",""))))</f>
        <v>0</v>
      </c>
      <c r="Z355" s="33">
        <f>IF(AND($I355="Entregue",$M355&lt;&gt;""),DATE(YEAR($M355),MONTH($M355),1),"")</f>
        <v>0</v>
      </c>
      <c r="AA355" s="34">
        <f>IF(AND($C355&lt;&gt;"",$C355=HistPlaca),COUNTIF($C$5:$C355,HistPlaca),"")</f>
        <v>0</v>
      </c>
    </row>
    <row r="356" spans="1:27">
      <c r="A356" s="17"/>
      <c r="B356" s="25"/>
      <c r="C356" s="13"/>
      <c r="D356" s="26">
        <f>IF($C356="","",IFERROR(INDEX(VeicCli,MATCH($C356,VeicPlaca,0)),"Placa não cadastrada"))</f>
        <v>0</v>
      </c>
      <c r="E356" s="26">
        <f>IF($C356="","",IFERROR(INDEX(VeicModelo,MATCH($C356,VeicPlaca,0)),""))</f>
        <v>0</v>
      </c>
      <c r="F356" s="28"/>
      <c r="G356" s="13"/>
      <c r="H356" s="13"/>
      <c r="I356" s="13"/>
      <c r="J356" s="29"/>
      <c r="K356" s="19"/>
      <c r="L356" s="19"/>
      <c r="M356" s="25"/>
      <c r="N356" s="13"/>
      <c r="O356" s="19"/>
      <c r="P356" s="27">
        <f>IF($A356="","",N($J356)*ValorHora)</f>
        <v>0</v>
      </c>
      <c r="Q356" s="27">
        <f>IF($A356="","",SUMIFS(ItTotal,ItOS,$A356))</f>
        <v>0</v>
      </c>
      <c r="R356" s="30">
        <f>IF($A356="","",$P356+$Q356+N($K356)-N($L356))</f>
        <v>0</v>
      </c>
      <c r="S356" s="27">
        <f>IF($A356="","",SUMIFS(ItCusto,ItOS,$A356))</f>
        <v>0</v>
      </c>
      <c r="T356" s="27">
        <f>IF($A356="","",$P356*ComMec)</f>
        <v>0</v>
      </c>
      <c r="U356" s="21">
        <f>IF($A356="","",$R356-$S356-$T356-N($K356))</f>
        <v>0</v>
      </c>
      <c r="V356" s="31">
        <f>IF(OR($A356="",N($R356)&lt;=0),"",$U356/$R356)</f>
        <v>0</v>
      </c>
      <c r="W356" s="27">
        <f>IF($A356="","",IF(OR($I356="Finalizado",$I356="Entregue"),MAX(0,$R356-N($O356)),0))</f>
        <v>0</v>
      </c>
      <c r="X356" s="32">
        <f>IF(OR($A356="",$B356=""),"",IF(OR($I356="Entregue",$I356="Cancelada"),"",Hoje-$B356))</f>
        <v>0</v>
      </c>
      <c r="Y356" s="24">
        <f>IF($A356="","",IF(AND(OR($I356="Aprovado",$I356="Em execução",$I356="Aguardando peça"),N($X356)&gt;PrazoMax),"ATRASADA",IF(AND(OR($I356="Finalizado",$I356="Entregue"),$W356&gt;0.005),"Cobrar",IF($I356="Orçamento","Aguardando aprovação",""))))</f>
        <v>0</v>
      </c>
      <c r="Z356" s="33">
        <f>IF(AND($I356="Entregue",$M356&lt;&gt;""),DATE(YEAR($M356),MONTH($M356),1),"")</f>
        <v>0</v>
      </c>
      <c r="AA356" s="34">
        <f>IF(AND($C356&lt;&gt;"",$C356=HistPlaca),COUNTIF($C$5:$C356,HistPlaca),"")</f>
        <v>0</v>
      </c>
    </row>
    <row r="357" spans="1:27">
      <c r="A357" s="17"/>
      <c r="B357" s="25"/>
      <c r="C357" s="13"/>
      <c r="D357" s="26">
        <f>IF($C357="","",IFERROR(INDEX(VeicCli,MATCH($C357,VeicPlaca,0)),"Placa não cadastrada"))</f>
        <v>0</v>
      </c>
      <c r="E357" s="26">
        <f>IF($C357="","",IFERROR(INDEX(VeicModelo,MATCH($C357,VeicPlaca,0)),""))</f>
        <v>0</v>
      </c>
      <c r="F357" s="28"/>
      <c r="G357" s="13"/>
      <c r="H357" s="13"/>
      <c r="I357" s="13"/>
      <c r="J357" s="29"/>
      <c r="K357" s="19"/>
      <c r="L357" s="19"/>
      <c r="M357" s="25"/>
      <c r="N357" s="13"/>
      <c r="O357" s="19"/>
      <c r="P357" s="27">
        <f>IF($A357="","",N($J357)*ValorHora)</f>
        <v>0</v>
      </c>
      <c r="Q357" s="27">
        <f>IF($A357="","",SUMIFS(ItTotal,ItOS,$A357))</f>
        <v>0</v>
      </c>
      <c r="R357" s="30">
        <f>IF($A357="","",$P357+$Q357+N($K357)-N($L357))</f>
        <v>0</v>
      </c>
      <c r="S357" s="27">
        <f>IF($A357="","",SUMIFS(ItCusto,ItOS,$A357))</f>
        <v>0</v>
      </c>
      <c r="T357" s="27">
        <f>IF($A357="","",$P357*ComMec)</f>
        <v>0</v>
      </c>
      <c r="U357" s="21">
        <f>IF($A357="","",$R357-$S357-$T357-N($K357))</f>
        <v>0</v>
      </c>
      <c r="V357" s="31">
        <f>IF(OR($A357="",N($R357)&lt;=0),"",$U357/$R357)</f>
        <v>0</v>
      </c>
      <c r="W357" s="27">
        <f>IF($A357="","",IF(OR($I357="Finalizado",$I357="Entregue"),MAX(0,$R357-N($O357)),0))</f>
        <v>0</v>
      </c>
      <c r="X357" s="32">
        <f>IF(OR($A357="",$B357=""),"",IF(OR($I357="Entregue",$I357="Cancelada"),"",Hoje-$B357))</f>
        <v>0</v>
      </c>
      <c r="Y357" s="24">
        <f>IF($A357="","",IF(AND(OR($I357="Aprovado",$I357="Em execução",$I357="Aguardando peça"),N($X357)&gt;PrazoMax),"ATRASADA",IF(AND(OR($I357="Finalizado",$I357="Entregue"),$W357&gt;0.005),"Cobrar",IF($I357="Orçamento","Aguardando aprovação",""))))</f>
        <v>0</v>
      </c>
      <c r="Z357" s="33">
        <f>IF(AND($I357="Entregue",$M357&lt;&gt;""),DATE(YEAR($M357),MONTH($M357),1),"")</f>
        <v>0</v>
      </c>
      <c r="AA357" s="34">
        <f>IF(AND($C357&lt;&gt;"",$C357=HistPlaca),COUNTIF($C$5:$C357,HistPlaca),"")</f>
        <v>0</v>
      </c>
    </row>
    <row r="358" spans="1:27">
      <c r="A358" s="17"/>
      <c r="B358" s="25"/>
      <c r="C358" s="13"/>
      <c r="D358" s="26">
        <f>IF($C358="","",IFERROR(INDEX(VeicCli,MATCH($C358,VeicPlaca,0)),"Placa não cadastrada"))</f>
        <v>0</v>
      </c>
      <c r="E358" s="26">
        <f>IF($C358="","",IFERROR(INDEX(VeicModelo,MATCH($C358,VeicPlaca,0)),""))</f>
        <v>0</v>
      </c>
      <c r="F358" s="28"/>
      <c r="G358" s="13"/>
      <c r="H358" s="13"/>
      <c r="I358" s="13"/>
      <c r="J358" s="29"/>
      <c r="K358" s="19"/>
      <c r="L358" s="19"/>
      <c r="M358" s="25"/>
      <c r="N358" s="13"/>
      <c r="O358" s="19"/>
      <c r="P358" s="27">
        <f>IF($A358="","",N($J358)*ValorHora)</f>
        <v>0</v>
      </c>
      <c r="Q358" s="27">
        <f>IF($A358="","",SUMIFS(ItTotal,ItOS,$A358))</f>
        <v>0</v>
      </c>
      <c r="R358" s="30">
        <f>IF($A358="","",$P358+$Q358+N($K358)-N($L358))</f>
        <v>0</v>
      </c>
      <c r="S358" s="27">
        <f>IF($A358="","",SUMIFS(ItCusto,ItOS,$A358))</f>
        <v>0</v>
      </c>
      <c r="T358" s="27">
        <f>IF($A358="","",$P358*ComMec)</f>
        <v>0</v>
      </c>
      <c r="U358" s="21">
        <f>IF($A358="","",$R358-$S358-$T358-N($K358))</f>
        <v>0</v>
      </c>
      <c r="V358" s="31">
        <f>IF(OR($A358="",N($R358)&lt;=0),"",$U358/$R358)</f>
        <v>0</v>
      </c>
      <c r="W358" s="27">
        <f>IF($A358="","",IF(OR($I358="Finalizado",$I358="Entregue"),MAX(0,$R358-N($O358)),0))</f>
        <v>0</v>
      </c>
      <c r="X358" s="32">
        <f>IF(OR($A358="",$B358=""),"",IF(OR($I358="Entregue",$I358="Cancelada"),"",Hoje-$B358))</f>
        <v>0</v>
      </c>
      <c r="Y358" s="24">
        <f>IF($A358="","",IF(AND(OR($I358="Aprovado",$I358="Em execução",$I358="Aguardando peça"),N($X358)&gt;PrazoMax),"ATRASADA",IF(AND(OR($I358="Finalizado",$I358="Entregue"),$W358&gt;0.005),"Cobrar",IF($I358="Orçamento","Aguardando aprovação",""))))</f>
        <v>0</v>
      </c>
      <c r="Z358" s="33">
        <f>IF(AND($I358="Entregue",$M358&lt;&gt;""),DATE(YEAR($M358),MONTH($M358),1),"")</f>
        <v>0</v>
      </c>
      <c r="AA358" s="34">
        <f>IF(AND($C358&lt;&gt;"",$C358=HistPlaca),COUNTIF($C$5:$C358,HistPlaca),"")</f>
        <v>0</v>
      </c>
    </row>
    <row r="359" spans="1:27">
      <c r="A359" s="17"/>
      <c r="B359" s="25"/>
      <c r="C359" s="13"/>
      <c r="D359" s="26">
        <f>IF($C359="","",IFERROR(INDEX(VeicCli,MATCH($C359,VeicPlaca,0)),"Placa não cadastrada"))</f>
        <v>0</v>
      </c>
      <c r="E359" s="26">
        <f>IF($C359="","",IFERROR(INDEX(VeicModelo,MATCH($C359,VeicPlaca,0)),""))</f>
        <v>0</v>
      </c>
      <c r="F359" s="28"/>
      <c r="G359" s="13"/>
      <c r="H359" s="13"/>
      <c r="I359" s="13"/>
      <c r="J359" s="29"/>
      <c r="K359" s="19"/>
      <c r="L359" s="19"/>
      <c r="M359" s="25"/>
      <c r="N359" s="13"/>
      <c r="O359" s="19"/>
      <c r="P359" s="27">
        <f>IF($A359="","",N($J359)*ValorHora)</f>
        <v>0</v>
      </c>
      <c r="Q359" s="27">
        <f>IF($A359="","",SUMIFS(ItTotal,ItOS,$A359))</f>
        <v>0</v>
      </c>
      <c r="R359" s="30">
        <f>IF($A359="","",$P359+$Q359+N($K359)-N($L359))</f>
        <v>0</v>
      </c>
      <c r="S359" s="27">
        <f>IF($A359="","",SUMIFS(ItCusto,ItOS,$A359))</f>
        <v>0</v>
      </c>
      <c r="T359" s="27">
        <f>IF($A359="","",$P359*ComMec)</f>
        <v>0</v>
      </c>
      <c r="U359" s="21">
        <f>IF($A359="","",$R359-$S359-$T359-N($K359))</f>
        <v>0</v>
      </c>
      <c r="V359" s="31">
        <f>IF(OR($A359="",N($R359)&lt;=0),"",$U359/$R359)</f>
        <v>0</v>
      </c>
      <c r="W359" s="27">
        <f>IF($A359="","",IF(OR($I359="Finalizado",$I359="Entregue"),MAX(0,$R359-N($O359)),0))</f>
        <v>0</v>
      </c>
      <c r="X359" s="32">
        <f>IF(OR($A359="",$B359=""),"",IF(OR($I359="Entregue",$I359="Cancelada"),"",Hoje-$B359))</f>
        <v>0</v>
      </c>
      <c r="Y359" s="24">
        <f>IF($A359="","",IF(AND(OR($I359="Aprovado",$I359="Em execução",$I359="Aguardando peça"),N($X359)&gt;PrazoMax),"ATRASADA",IF(AND(OR($I359="Finalizado",$I359="Entregue"),$W359&gt;0.005),"Cobrar",IF($I359="Orçamento","Aguardando aprovação",""))))</f>
        <v>0</v>
      </c>
      <c r="Z359" s="33">
        <f>IF(AND($I359="Entregue",$M359&lt;&gt;""),DATE(YEAR($M359),MONTH($M359),1),"")</f>
        <v>0</v>
      </c>
      <c r="AA359" s="34">
        <f>IF(AND($C359&lt;&gt;"",$C359=HistPlaca),COUNTIF($C$5:$C359,HistPlaca),"")</f>
        <v>0</v>
      </c>
    </row>
    <row r="360" spans="1:27">
      <c r="A360" s="17"/>
      <c r="B360" s="25"/>
      <c r="C360" s="13"/>
      <c r="D360" s="26">
        <f>IF($C360="","",IFERROR(INDEX(VeicCli,MATCH($C360,VeicPlaca,0)),"Placa não cadastrada"))</f>
        <v>0</v>
      </c>
      <c r="E360" s="26">
        <f>IF($C360="","",IFERROR(INDEX(VeicModelo,MATCH($C360,VeicPlaca,0)),""))</f>
        <v>0</v>
      </c>
      <c r="F360" s="28"/>
      <c r="G360" s="13"/>
      <c r="H360" s="13"/>
      <c r="I360" s="13"/>
      <c r="J360" s="29"/>
      <c r="K360" s="19"/>
      <c r="L360" s="19"/>
      <c r="M360" s="25"/>
      <c r="N360" s="13"/>
      <c r="O360" s="19"/>
      <c r="P360" s="27">
        <f>IF($A360="","",N($J360)*ValorHora)</f>
        <v>0</v>
      </c>
      <c r="Q360" s="27">
        <f>IF($A360="","",SUMIFS(ItTotal,ItOS,$A360))</f>
        <v>0</v>
      </c>
      <c r="R360" s="30">
        <f>IF($A360="","",$P360+$Q360+N($K360)-N($L360))</f>
        <v>0</v>
      </c>
      <c r="S360" s="27">
        <f>IF($A360="","",SUMIFS(ItCusto,ItOS,$A360))</f>
        <v>0</v>
      </c>
      <c r="T360" s="27">
        <f>IF($A360="","",$P360*ComMec)</f>
        <v>0</v>
      </c>
      <c r="U360" s="21">
        <f>IF($A360="","",$R360-$S360-$T360-N($K360))</f>
        <v>0</v>
      </c>
      <c r="V360" s="31">
        <f>IF(OR($A360="",N($R360)&lt;=0),"",$U360/$R360)</f>
        <v>0</v>
      </c>
      <c r="W360" s="27">
        <f>IF($A360="","",IF(OR($I360="Finalizado",$I360="Entregue"),MAX(0,$R360-N($O360)),0))</f>
        <v>0</v>
      </c>
      <c r="X360" s="32">
        <f>IF(OR($A360="",$B360=""),"",IF(OR($I360="Entregue",$I360="Cancelada"),"",Hoje-$B360))</f>
        <v>0</v>
      </c>
      <c r="Y360" s="24">
        <f>IF($A360="","",IF(AND(OR($I360="Aprovado",$I360="Em execução",$I360="Aguardando peça"),N($X360)&gt;PrazoMax),"ATRASADA",IF(AND(OR($I360="Finalizado",$I360="Entregue"),$W360&gt;0.005),"Cobrar",IF($I360="Orçamento","Aguardando aprovação",""))))</f>
        <v>0</v>
      </c>
      <c r="Z360" s="33">
        <f>IF(AND($I360="Entregue",$M360&lt;&gt;""),DATE(YEAR($M360),MONTH($M360),1),"")</f>
        <v>0</v>
      </c>
      <c r="AA360" s="34">
        <f>IF(AND($C360&lt;&gt;"",$C360=HistPlaca),COUNTIF($C$5:$C360,HistPlaca),"")</f>
        <v>0</v>
      </c>
    </row>
    <row r="361" spans="1:27">
      <c r="A361" s="17"/>
      <c r="B361" s="25"/>
      <c r="C361" s="13"/>
      <c r="D361" s="26">
        <f>IF($C361="","",IFERROR(INDEX(VeicCli,MATCH($C361,VeicPlaca,0)),"Placa não cadastrada"))</f>
        <v>0</v>
      </c>
      <c r="E361" s="26">
        <f>IF($C361="","",IFERROR(INDEX(VeicModelo,MATCH($C361,VeicPlaca,0)),""))</f>
        <v>0</v>
      </c>
      <c r="F361" s="28"/>
      <c r="G361" s="13"/>
      <c r="H361" s="13"/>
      <c r="I361" s="13"/>
      <c r="J361" s="29"/>
      <c r="K361" s="19"/>
      <c r="L361" s="19"/>
      <c r="M361" s="25"/>
      <c r="N361" s="13"/>
      <c r="O361" s="19"/>
      <c r="P361" s="27">
        <f>IF($A361="","",N($J361)*ValorHora)</f>
        <v>0</v>
      </c>
      <c r="Q361" s="27">
        <f>IF($A361="","",SUMIFS(ItTotal,ItOS,$A361))</f>
        <v>0</v>
      </c>
      <c r="R361" s="30">
        <f>IF($A361="","",$P361+$Q361+N($K361)-N($L361))</f>
        <v>0</v>
      </c>
      <c r="S361" s="27">
        <f>IF($A361="","",SUMIFS(ItCusto,ItOS,$A361))</f>
        <v>0</v>
      </c>
      <c r="T361" s="27">
        <f>IF($A361="","",$P361*ComMec)</f>
        <v>0</v>
      </c>
      <c r="U361" s="21">
        <f>IF($A361="","",$R361-$S361-$T361-N($K361))</f>
        <v>0</v>
      </c>
      <c r="V361" s="31">
        <f>IF(OR($A361="",N($R361)&lt;=0),"",$U361/$R361)</f>
        <v>0</v>
      </c>
      <c r="W361" s="27">
        <f>IF($A361="","",IF(OR($I361="Finalizado",$I361="Entregue"),MAX(0,$R361-N($O361)),0))</f>
        <v>0</v>
      </c>
      <c r="X361" s="32">
        <f>IF(OR($A361="",$B361=""),"",IF(OR($I361="Entregue",$I361="Cancelada"),"",Hoje-$B361))</f>
        <v>0</v>
      </c>
      <c r="Y361" s="24">
        <f>IF($A361="","",IF(AND(OR($I361="Aprovado",$I361="Em execução",$I361="Aguardando peça"),N($X361)&gt;PrazoMax),"ATRASADA",IF(AND(OR($I361="Finalizado",$I361="Entregue"),$W361&gt;0.005),"Cobrar",IF($I361="Orçamento","Aguardando aprovação",""))))</f>
        <v>0</v>
      </c>
      <c r="Z361" s="33">
        <f>IF(AND($I361="Entregue",$M361&lt;&gt;""),DATE(YEAR($M361),MONTH($M361),1),"")</f>
        <v>0</v>
      </c>
      <c r="AA361" s="34">
        <f>IF(AND($C361&lt;&gt;"",$C361=HistPlaca),COUNTIF($C$5:$C361,HistPlaca),"")</f>
        <v>0</v>
      </c>
    </row>
    <row r="362" spans="1:27">
      <c r="A362" s="17"/>
      <c r="B362" s="25"/>
      <c r="C362" s="13"/>
      <c r="D362" s="26">
        <f>IF($C362="","",IFERROR(INDEX(VeicCli,MATCH($C362,VeicPlaca,0)),"Placa não cadastrada"))</f>
        <v>0</v>
      </c>
      <c r="E362" s="26">
        <f>IF($C362="","",IFERROR(INDEX(VeicModelo,MATCH($C362,VeicPlaca,0)),""))</f>
        <v>0</v>
      </c>
      <c r="F362" s="28"/>
      <c r="G362" s="13"/>
      <c r="H362" s="13"/>
      <c r="I362" s="13"/>
      <c r="J362" s="29"/>
      <c r="K362" s="19"/>
      <c r="L362" s="19"/>
      <c r="M362" s="25"/>
      <c r="N362" s="13"/>
      <c r="O362" s="19"/>
      <c r="P362" s="27">
        <f>IF($A362="","",N($J362)*ValorHora)</f>
        <v>0</v>
      </c>
      <c r="Q362" s="27">
        <f>IF($A362="","",SUMIFS(ItTotal,ItOS,$A362))</f>
        <v>0</v>
      </c>
      <c r="R362" s="30">
        <f>IF($A362="","",$P362+$Q362+N($K362)-N($L362))</f>
        <v>0</v>
      </c>
      <c r="S362" s="27">
        <f>IF($A362="","",SUMIFS(ItCusto,ItOS,$A362))</f>
        <v>0</v>
      </c>
      <c r="T362" s="27">
        <f>IF($A362="","",$P362*ComMec)</f>
        <v>0</v>
      </c>
      <c r="U362" s="21">
        <f>IF($A362="","",$R362-$S362-$T362-N($K362))</f>
        <v>0</v>
      </c>
      <c r="V362" s="31">
        <f>IF(OR($A362="",N($R362)&lt;=0),"",$U362/$R362)</f>
        <v>0</v>
      </c>
      <c r="W362" s="27">
        <f>IF($A362="","",IF(OR($I362="Finalizado",$I362="Entregue"),MAX(0,$R362-N($O362)),0))</f>
        <v>0</v>
      </c>
      <c r="X362" s="32">
        <f>IF(OR($A362="",$B362=""),"",IF(OR($I362="Entregue",$I362="Cancelada"),"",Hoje-$B362))</f>
        <v>0</v>
      </c>
      <c r="Y362" s="24">
        <f>IF($A362="","",IF(AND(OR($I362="Aprovado",$I362="Em execução",$I362="Aguardando peça"),N($X362)&gt;PrazoMax),"ATRASADA",IF(AND(OR($I362="Finalizado",$I362="Entregue"),$W362&gt;0.005),"Cobrar",IF($I362="Orçamento","Aguardando aprovação",""))))</f>
        <v>0</v>
      </c>
      <c r="Z362" s="33">
        <f>IF(AND($I362="Entregue",$M362&lt;&gt;""),DATE(YEAR($M362),MONTH($M362),1),"")</f>
        <v>0</v>
      </c>
      <c r="AA362" s="34">
        <f>IF(AND($C362&lt;&gt;"",$C362=HistPlaca),COUNTIF($C$5:$C362,HistPlaca),"")</f>
        <v>0</v>
      </c>
    </row>
    <row r="363" spans="1:27">
      <c r="A363" s="17"/>
      <c r="B363" s="25"/>
      <c r="C363" s="13"/>
      <c r="D363" s="26">
        <f>IF($C363="","",IFERROR(INDEX(VeicCli,MATCH($C363,VeicPlaca,0)),"Placa não cadastrada"))</f>
        <v>0</v>
      </c>
      <c r="E363" s="26">
        <f>IF($C363="","",IFERROR(INDEX(VeicModelo,MATCH($C363,VeicPlaca,0)),""))</f>
        <v>0</v>
      </c>
      <c r="F363" s="28"/>
      <c r="G363" s="13"/>
      <c r="H363" s="13"/>
      <c r="I363" s="13"/>
      <c r="J363" s="29"/>
      <c r="K363" s="19"/>
      <c r="L363" s="19"/>
      <c r="M363" s="25"/>
      <c r="N363" s="13"/>
      <c r="O363" s="19"/>
      <c r="P363" s="27">
        <f>IF($A363="","",N($J363)*ValorHora)</f>
        <v>0</v>
      </c>
      <c r="Q363" s="27">
        <f>IF($A363="","",SUMIFS(ItTotal,ItOS,$A363))</f>
        <v>0</v>
      </c>
      <c r="R363" s="30">
        <f>IF($A363="","",$P363+$Q363+N($K363)-N($L363))</f>
        <v>0</v>
      </c>
      <c r="S363" s="27">
        <f>IF($A363="","",SUMIFS(ItCusto,ItOS,$A363))</f>
        <v>0</v>
      </c>
      <c r="T363" s="27">
        <f>IF($A363="","",$P363*ComMec)</f>
        <v>0</v>
      </c>
      <c r="U363" s="21">
        <f>IF($A363="","",$R363-$S363-$T363-N($K363))</f>
        <v>0</v>
      </c>
      <c r="V363" s="31">
        <f>IF(OR($A363="",N($R363)&lt;=0),"",$U363/$R363)</f>
        <v>0</v>
      </c>
      <c r="W363" s="27">
        <f>IF($A363="","",IF(OR($I363="Finalizado",$I363="Entregue"),MAX(0,$R363-N($O363)),0))</f>
        <v>0</v>
      </c>
      <c r="X363" s="32">
        <f>IF(OR($A363="",$B363=""),"",IF(OR($I363="Entregue",$I363="Cancelada"),"",Hoje-$B363))</f>
        <v>0</v>
      </c>
      <c r="Y363" s="24">
        <f>IF($A363="","",IF(AND(OR($I363="Aprovado",$I363="Em execução",$I363="Aguardando peça"),N($X363)&gt;PrazoMax),"ATRASADA",IF(AND(OR($I363="Finalizado",$I363="Entregue"),$W363&gt;0.005),"Cobrar",IF($I363="Orçamento","Aguardando aprovação",""))))</f>
        <v>0</v>
      </c>
      <c r="Z363" s="33">
        <f>IF(AND($I363="Entregue",$M363&lt;&gt;""),DATE(YEAR($M363),MONTH($M363),1),"")</f>
        <v>0</v>
      </c>
      <c r="AA363" s="34">
        <f>IF(AND($C363&lt;&gt;"",$C363=HistPlaca),COUNTIF($C$5:$C363,HistPlaca),"")</f>
        <v>0</v>
      </c>
    </row>
    <row r="364" spans="1:27">
      <c r="A364" s="17"/>
      <c r="B364" s="25"/>
      <c r="C364" s="13"/>
      <c r="D364" s="26">
        <f>IF($C364="","",IFERROR(INDEX(VeicCli,MATCH($C364,VeicPlaca,0)),"Placa não cadastrada"))</f>
        <v>0</v>
      </c>
      <c r="E364" s="26">
        <f>IF($C364="","",IFERROR(INDEX(VeicModelo,MATCH($C364,VeicPlaca,0)),""))</f>
        <v>0</v>
      </c>
      <c r="F364" s="28"/>
      <c r="G364" s="13"/>
      <c r="H364" s="13"/>
      <c r="I364" s="13"/>
      <c r="J364" s="29"/>
      <c r="K364" s="19"/>
      <c r="L364" s="19"/>
      <c r="M364" s="25"/>
      <c r="N364" s="13"/>
      <c r="O364" s="19"/>
      <c r="P364" s="27">
        <f>IF($A364="","",N($J364)*ValorHora)</f>
        <v>0</v>
      </c>
      <c r="Q364" s="27">
        <f>IF($A364="","",SUMIFS(ItTotal,ItOS,$A364))</f>
        <v>0</v>
      </c>
      <c r="R364" s="30">
        <f>IF($A364="","",$P364+$Q364+N($K364)-N($L364))</f>
        <v>0</v>
      </c>
      <c r="S364" s="27">
        <f>IF($A364="","",SUMIFS(ItCusto,ItOS,$A364))</f>
        <v>0</v>
      </c>
      <c r="T364" s="27">
        <f>IF($A364="","",$P364*ComMec)</f>
        <v>0</v>
      </c>
      <c r="U364" s="21">
        <f>IF($A364="","",$R364-$S364-$T364-N($K364))</f>
        <v>0</v>
      </c>
      <c r="V364" s="31">
        <f>IF(OR($A364="",N($R364)&lt;=0),"",$U364/$R364)</f>
        <v>0</v>
      </c>
      <c r="W364" s="27">
        <f>IF($A364="","",IF(OR($I364="Finalizado",$I364="Entregue"),MAX(0,$R364-N($O364)),0))</f>
        <v>0</v>
      </c>
      <c r="X364" s="32">
        <f>IF(OR($A364="",$B364=""),"",IF(OR($I364="Entregue",$I364="Cancelada"),"",Hoje-$B364))</f>
        <v>0</v>
      </c>
      <c r="Y364" s="24">
        <f>IF($A364="","",IF(AND(OR($I364="Aprovado",$I364="Em execução",$I364="Aguardando peça"),N($X364)&gt;PrazoMax),"ATRASADA",IF(AND(OR($I364="Finalizado",$I364="Entregue"),$W364&gt;0.005),"Cobrar",IF($I364="Orçamento","Aguardando aprovação",""))))</f>
        <v>0</v>
      </c>
      <c r="Z364" s="33">
        <f>IF(AND($I364="Entregue",$M364&lt;&gt;""),DATE(YEAR($M364),MONTH($M364),1),"")</f>
        <v>0</v>
      </c>
      <c r="AA364" s="34">
        <f>IF(AND($C364&lt;&gt;"",$C364=HistPlaca),COUNTIF($C$5:$C364,HistPlaca),"")</f>
        <v>0</v>
      </c>
    </row>
    <row r="365" spans="1:27">
      <c r="A365" s="17"/>
      <c r="B365" s="25"/>
      <c r="C365" s="13"/>
      <c r="D365" s="26">
        <f>IF($C365="","",IFERROR(INDEX(VeicCli,MATCH($C365,VeicPlaca,0)),"Placa não cadastrada"))</f>
        <v>0</v>
      </c>
      <c r="E365" s="26">
        <f>IF($C365="","",IFERROR(INDEX(VeicModelo,MATCH($C365,VeicPlaca,0)),""))</f>
        <v>0</v>
      </c>
      <c r="F365" s="28"/>
      <c r="G365" s="13"/>
      <c r="H365" s="13"/>
      <c r="I365" s="13"/>
      <c r="J365" s="29"/>
      <c r="K365" s="19"/>
      <c r="L365" s="19"/>
      <c r="M365" s="25"/>
      <c r="N365" s="13"/>
      <c r="O365" s="19"/>
      <c r="P365" s="27">
        <f>IF($A365="","",N($J365)*ValorHora)</f>
        <v>0</v>
      </c>
      <c r="Q365" s="27">
        <f>IF($A365="","",SUMIFS(ItTotal,ItOS,$A365))</f>
        <v>0</v>
      </c>
      <c r="R365" s="30">
        <f>IF($A365="","",$P365+$Q365+N($K365)-N($L365))</f>
        <v>0</v>
      </c>
      <c r="S365" s="27">
        <f>IF($A365="","",SUMIFS(ItCusto,ItOS,$A365))</f>
        <v>0</v>
      </c>
      <c r="T365" s="27">
        <f>IF($A365="","",$P365*ComMec)</f>
        <v>0</v>
      </c>
      <c r="U365" s="21">
        <f>IF($A365="","",$R365-$S365-$T365-N($K365))</f>
        <v>0</v>
      </c>
      <c r="V365" s="31">
        <f>IF(OR($A365="",N($R365)&lt;=0),"",$U365/$R365)</f>
        <v>0</v>
      </c>
      <c r="W365" s="27">
        <f>IF($A365="","",IF(OR($I365="Finalizado",$I365="Entregue"),MAX(0,$R365-N($O365)),0))</f>
        <v>0</v>
      </c>
      <c r="X365" s="32">
        <f>IF(OR($A365="",$B365=""),"",IF(OR($I365="Entregue",$I365="Cancelada"),"",Hoje-$B365))</f>
        <v>0</v>
      </c>
      <c r="Y365" s="24">
        <f>IF($A365="","",IF(AND(OR($I365="Aprovado",$I365="Em execução",$I365="Aguardando peça"),N($X365)&gt;PrazoMax),"ATRASADA",IF(AND(OR($I365="Finalizado",$I365="Entregue"),$W365&gt;0.005),"Cobrar",IF($I365="Orçamento","Aguardando aprovação",""))))</f>
        <v>0</v>
      </c>
      <c r="Z365" s="33">
        <f>IF(AND($I365="Entregue",$M365&lt;&gt;""),DATE(YEAR($M365),MONTH($M365),1),"")</f>
        <v>0</v>
      </c>
      <c r="AA365" s="34">
        <f>IF(AND($C365&lt;&gt;"",$C365=HistPlaca),COUNTIF($C$5:$C365,HistPlaca),"")</f>
        <v>0</v>
      </c>
    </row>
    <row r="366" spans="1:27">
      <c r="A366" s="17"/>
      <c r="B366" s="25"/>
      <c r="C366" s="13"/>
      <c r="D366" s="26">
        <f>IF($C366="","",IFERROR(INDEX(VeicCli,MATCH($C366,VeicPlaca,0)),"Placa não cadastrada"))</f>
        <v>0</v>
      </c>
      <c r="E366" s="26">
        <f>IF($C366="","",IFERROR(INDEX(VeicModelo,MATCH($C366,VeicPlaca,0)),""))</f>
        <v>0</v>
      </c>
      <c r="F366" s="28"/>
      <c r="G366" s="13"/>
      <c r="H366" s="13"/>
      <c r="I366" s="13"/>
      <c r="J366" s="29"/>
      <c r="K366" s="19"/>
      <c r="L366" s="19"/>
      <c r="M366" s="25"/>
      <c r="N366" s="13"/>
      <c r="O366" s="19"/>
      <c r="P366" s="27">
        <f>IF($A366="","",N($J366)*ValorHora)</f>
        <v>0</v>
      </c>
      <c r="Q366" s="27">
        <f>IF($A366="","",SUMIFS(ItTotal,ItOS,$A366))</f>
        <v>0</v>
      </c>
      <c r="R366" s="30">
        <f>IF($A366="","",$P366+$Q366+N($K366)-N($L366))</f>
        <v>0</v>
      </c>
      <c r="S366" s="27">
        <f>IF($A366="","",SUMIFS(ItCusto,ItOS,$A366))</f>
        <v>0</v>
      </c>
      <c r="T366" s="27">
        <f>IF($A366="","",$P366*ComMec)</f>
        <v>0</v>
      </c>
      <c r="U366" s="21">
        <f>IF($A366="","",$R366-$S366-$T366-N($K366))</f>
        <v>0</v>
      </c>
      <c r="V366" s="31">
        <f>IF(OR($A366="",N($R366)&lt;=0),"",$U366/$R366)</f>
        <v>0</v>
      </c>
      <c r="W366" s="27">
        <f>IF($A366="","",IF(OR($I366="Finalizado",$I366="Entregue"),MAX(0,$R366-N($O366)),0))</f>
        <v>0</v>
      </c>
      <c r="X366" s="32">
        <f>IF(OR($A366="",$B366=""),"",IF(OR($I366="Entregue",$I366="Cancelada"),"",Hoje-$B366))</f>
        <v>0</v>
      </c>
      <c r="Y366" s="24">
        <f>IF($A366="","",IF(AND(OR($I366="Aprovado",$I366="Em execução",$I366="Aguardando peça"),N($X366)&gt;PrazoMax),"ATRASADA",IF(AND(OR($I366="Finalizado",$I366="Entregue"),$W366&gt;0.005),"Cobrar",IF($I366="Orçamento","Aguardando aprovação",""))))</f>
        <v>0</v>
      </c>
      <c r="Z366" s="33">
        <f>IF(AND($I366="Entregue",$M366&lt;&gt;""),DATE(YEAR($M366),MONTH($M366),1),"")</f>
        <v>0</v>
      </c>
      <c r="AA366" s="34">
        <f>IF(AND($C366&lt;&gt;"",$C366=HistPlaca),COUNTIF($C$5:$C366,HistPlaca),"")</f>
        <v>0</v>
      </c>
    </row>
    <row r="367" spans="1:27">
      <c r="A367" s="17"/>
      <c r="B367" s="25"/>
      <c r="C367" s="13"/>
      <c r="D367" s="26">
        <f>IF($C367="","",IFERROR(INDEX(VeicCli,MATCH($C367,VeicPlaca,0)),"Placa não cadastrada"))</f>
        <v>0</v>
      </c>
      <c r="E367" s="26">
        <f>IF($C367="","",IFERROR(INDEX(VeicModelo,MATCH($C367,VeicPlaca,0)),""))</f>
        <v>0</v>
      </c>
      <c r="F367" s="28"/>
      <c r="G367" s="13"/>
      <c r="H367" s="13"/>
      <c r="I367" s="13"/>
      <c r="J367" s="29"/>
      <c r="K367" s="19"/>
      <c r="L367" s="19"/>
      <c r="M367" s="25"/>
      <c r="N367" s="13"/>
      <c r="O367" s="19"/>
      <c r="P367" s="27">
        <f>IF($A367="","",N($J367)*ValorHora)</f>
        <v>0</v>
      </c>
      <c r="Q367" s="27">
        <f>IF($A367="","",SUMIFS(ItTotal,ItOS,$A367))</f>
        <v>0</v>
      </c>
      <c r="R367" s="30">
        <f>IF($A367="","",$P367+$Q367+N($K367)-N($L367))</f>
        <v>0</v>
      </c>
      <c r="S367" s="27">
        <f>IF($A367="","",SUMIFS(ItCusto,ItOS,$A367))</f>
        <v>0</v>
      </c>
      <c r="T367" s="27">
        <f>IF($A367="","",$P367*ComMec)</f>
        <v>0</v>
      </c>
      <c r="U367" s="21">
        <f>IF($A367="","",$R367-$S367-$T367-N($K367))</f>
        <v>0</v>
      </c>
      <c r="V367" s="31">
        <f>IF(OR($A367="",N($R367)&lt;=0),"",$U367/$R367)</f>
        <v>0</v>
      </c>
      <c r="W367" s="27">
        <f>IF($A367="","",IF(OR($I367="Finalizado",$I367="Entregue"),MAX(0,$R367-N($O367)),0))</f>
        <v>0</v>
      </c>
      <c r="X367" s="32">
        <f>IF(OR($A367="",$B367=""),"",IF(OR($I367="Entregue",$I367="Cancelada"),"",Hoje-$B367))</f>
        <v>0</v>
      </c>
      <c r="Y367" s="24">
        <f>IF($A367="","",IF(AND(OR($I367="Aprovado",$I367="Em execução",$I367="Aguardando peça"),N($X367)&gt;PrazoMax),"ATRASADA",IF(AND(OR($I367="Finalizado",$I367="Entregue"),$W367&gt;0.005),"Cobrar",IF($I367="Orçamento","Aguardando aprovação",""))))</f>
        <v>0</v>
      </c>
      <c r="Z367" s="33">
        <f>IF(AND($I367="Entregue",$M367&lt;&gt;""),DATE(YEAR($M367),MONTH($M367),1),"")</f>
        <v>0</v>
      </c>
      <c r="AA367" s="34">
        <f>IF(AND($C367&lt;&gt;"",$C367=HistPlaca),COUNTIF($C$5:$C367,HistPlaca),"")</f>
        <v>0</v>
      </c>
    </row>
    <row r="368" spans="1:27">
      <c r="A368" s="17"/>
      <c r="B368" s="25"/>
      <c r="C368" s="13"/>
      <c r="D368" s="26">
        <f>IF($C368="","",IFERROR(INDEX(VeicCli,MATCH($C368,VeicPlaca,0)),"Placa não cadastrada"))</f>
        <v>0</v>
      </c>
      <c r="E368" s="26">
        <f>IF($C368="","",IFERROR(INDEX(VeicModelo,MATCH($C368,VeicPlaca,0)),""))</f>
        <v>0</v>
      </c>
      <c r="F368" s="28"/>
      <c r="G368" s="13"/>
      <c r="H368" s="13"/>
      <c r="I368" s="13"/>
      <c r="J368" s="29"/>
      <c r="K368" s="19"/>
      <c r="L368" s="19"/>
      <c r="M368" s="25"/>
      <c r="N368" s="13"/>
      <c r="O368" s="19"/>
      <c r="P368" s="27">
        <f>IF($A368="","",N($J368)*ValorHora)</f>
        <v>0</v>
      </c>
      <c r="Q368" s="27">
        <f>IF($A368="","",SUMIFS(ItTotal,ItOS,$A368))</f>
        <v>0</v>
      </c>
      <c r="R368" s="30">
        <f>IF($A368="","",$P368+$Q368+N($K368)-N($L368))</f>
        <v>0</v>
      </c>
      <c r="S368" s="27">
        <f>IF($A368="","",SUMIFS(ItCusto,ItOS,$A368))</f>
        <v>0</v>
      </c>
      <c r="T368" s="27">
        <f>IF($A368="","",$P368*ComMec)</f>
        <v>0</v>
      </c>
      <c r="U368" s="21">
        <f>IF($A368="","",$R368-$S368-$T368-N($K368))</f>
        <v>0</v>
      </c>
      <c r="V368" s="31">
        <f>IF(OR($A368="",N($R368)&lt;=0),"",$U368/$R368)</f>
        <v>0</v>
      </c>
      <c r="W368" s="27">
        <f>IF($A368="","",IF(OR($I368="Finalizado",$I368="Entregue"),MAX(0,$R368-N($O368)),0))</f>
        <v>0</v>
      </c>
      <c r="X368" s="32">
        <f>IF(OR($A368="",$B368=""),"",IF(OR($I368="Entregue",$I368="Cancelada"),"",Hoje-$B368))</f>
        <v>0</v>
      </c>
      <c r="Y368" s="24">
        <f>IF($A368="","",IF(AND(OR($I368="Aprovado",$I368="Em execução",$I368="Aguardando peça"),N($X368)&gt;PrazoMax),"ATRASADA",IF(AND(OR($I368="Finalizado",$I368="Entregue"),$W368&gt;0.005),"Cobrar",IF($I368="Orçamento","Aguardando aprovação",""))))</f>
        <v>0</v>
      </c>
      <c r="Z368" s="33">
        <f>IF(AND($I368="Entregue",$M368&lt;&gt;""),DATE(YEAR($M368),MONTH($M368),1),"")</f>
        <v>0</v>
      </c>
      <c r="AA368" s="34">
        <f>IF(AND($C368&lt;&gt;"",$C368=HistPlaca),COUNTIF($C$5:$C368,HistPlaca),"")</f>
        <v>0</v>
      </c>
    </row>
    <row r="369" spans="1:27">
      <c r="A369" s="17"/>
      <c r="B369" s="25"/>
      <c r="C369" s="13"/>
      <c r="D369" s="26">
        <f>IF($C369="","",IFERROR(INDEX(VeicCli,MATCH($C369,VeicPlaca,0)),"Placa não cadastrada"))</f>
        <v>0</v>
      </c>
      <c r="E369" s="26">
        <f>IF($C369="","",IFERROR(INDEX(VeicModelo,MATCH($C369,VeicPlaca,0)),""))</f>
        <v>0</v>
      </c>
      <c r="F369" s="28"/>
      <c r="G369" s="13"/>
      <c r="H369" s="13"/>
      <c r="I369" s="13"/>
      <c r="J369" s="29"/>
      <c r="K369" s="19"/>
      <c r="L369" s="19"/>
      <c r="M369" s="25"/>
      <c r="N369" s="13"/>
      <c r="O369" s="19"/>
      <c r="P369" s="27">
        <f>IF($A369="","",N($J369)*ValorHora)</f>
        <v>0</v>
      </c>
      <c r="Q369" s="27">
        <f>IF($A369="","",SUMIFS(ItTotal,ItOS,$A369))</f>
        <v>0</v>
      </c>
      <c r="R369" s="30">
        <f>IF($A369="","",$P369+$Q369+N($K369)-N($L369))</f>
        <v>0</v>
      </c>
      <c r="S369" s="27">
        <f>IF($A369="","",SUMIFS(ItCusto,ItOS,$A369))</f>
        <v>0</v>
      </c>
      <c r="T369" s="27">
        <f>IF($A369="","",$P369*ComMec)</f>
        <v>0</v>
      </c>
      <c r="U369" s="21">
        <f>IF($A369="","",$R369-$S369-$T369-N($K369))</f>
        <v>0</v>
      </c>
      <c r="V369" s="31">
        <f>IF(OR($A369="",N($R369)&lt;=0),"",$U369/$R369)</f>
        <v>0</v>
      </c>
      <c r="W369" s="27">
        <f>IF($A369="","",IF(OR($I369="Finalizado",$I369="Entregue"),MAX(0,$R369-N($O369)),0))</f>
        <v>0</v>
      </c>
      <c r="X369" s="32">
        <f>IF(OR($A369="",$B369=""),"",IF(OR($I369="Entregue",$I369="Cancelada"),"",Hoje-$B369))</f>
        <v>0</v>
      </c>
      <c r="Y369" s="24">
        <f>IF($A369="","",IF(AND(OR($I369="Aprovado",$I369="Em execução",$I369="Aguardando peça"),N($X369)&gt;PrazoMax),"ATRASADA",IF(AND(OR($I369="Finalizado",$I369="Entregue"),$W369&gt;0.005),"Cobrar",IF($I369="Orçamento","Aguardando aprovação",""))))</f>
        <v>0</v>
      </c>
      <c r="Z369" s="33">
        <f>IF(AND($I369="Entregue",$M369&lt;&gt;""),DATE(YEAR($M369),MONTH($M369),1),"")</f>
        <v>0</v>
      </c>
      <c r="AA369" s="34">
        <f>IF(AND($C369&lt;&gt;"",$C369=HistPlaca),COUNTIF($C$5:$C369,HistPlaca),"")</f>
        <v>0</v>
      </c>
    </row>
    <row r="370" spans="1:27">
      <c r="A370" s="17"/>
      <c r="B370" s="25"/>
      <c r="C370" s="13"/>
      <c r="D370" s="26">
        <f>IF($C370="","",IFERROR(INDEX(VeicCli,MATCH($C370,VeicPlaca,0)),"Placa não cadastrada"))</f>
        <v>0</v>
      </c>
      <c r="E370" s="26">
        <f>IF($C370="","",IFERROR(INDEX(VeicModelo,MATCH($C370,VeicPlaca,0)),""))</f>
        <v>0</v>
      </c>
      <c r="F370" s="28"/>
      <c r="G370" s="13"/>
      <c r="H370" s="13"/>
      <c r="I370" s="13"/>
      <c r="J370" s="29"/>
      <c r="K370" s="19"/>
      <c r="L370" s="19"/>
      <c r="M370" s="25"/>
      <c r="N370" s="13"/>
      <c r="O370" s="19"/>
      <c r="P370" s="27">
        <f>IF($A370="","",N($J370)*ValorHora)</f>
        <v>0</v>
      </c>
      <c r="Q370" s="27">
        <f>IF($A370="","",SUMIFS(ItTotal,ItOS,$A370))</f>
        <v>0</v>
      </c>
      <c r="R370" s="30">
        <f>IF($A370="","",$P370+$Q370+N($K370)-N($L370))</f>
        <v>0</v>
      </c>
      <c r="S370" s="27">
        <f>IF($A370="","",SUMIFS(ItCusto,ItOS,$A370))</f>
        <v>0</v>
      </c>
      <c r="T370" s="27">
        <f>IF($A370="","",$P370*ComMec)</f>
        <v>0</v>
      </c>
      <c r="U370" s="21">
        <f>IF($A370="","",$R370-$S370-$T370-N($K370))</f>
        <v>0</v>
      </c>
      <c r="V370" s="31">
        <f>IF(OR($A370="",N($R370)&lt;=0),"",$U370/$R370)</f>
        <v>0</v>
      </c>
      <c r="W370" s="27">
        <f>IF($A370="","",IF(OR($I370="Finalizado",$I370="Entregue"),MAX(0,$R370-N($O370)),0))</f>
        <v>0</v>
      </c>
      <c r="X370" s="32">
        <f>IF(OR($A370="",$B370=""),"",IF(OR($I370="Entregue",$I370="Cancelada"),"",Hoje-$B370))</f>
        <v>0</v>
      </c>
      <c r="Y370" s="24">
        <f>IF($A370="","",IF(AND(OR($I370="Aprovado",$I370="Em execução",$I370="Aguardando peça"),N($X370)&gt;PrazoMax),"ATRASADA",IF(AND(OR($I370="Finalizado",$I370="Entregue"),$W370&gt;0.005),"Cobrar",IF($I370="Orçamento","Aguardando aprovação",""))))</f>
        <v>0</v>
      </c>
      <c r="Z370" s="33">
        <f>IF(AND($I370="Entregue",$M370&lt;&gt;""),DATE(YEAR($M370),MONTH($M370),1),"")</f>
        <v>0</v>
      </c>
      <c r="AA370" s="34">
        <f>IF(AND($C370&lt;&gt;"",$C370=HistPlaca),COUNTIF($C$5:$C370,HistPlaca),"")</f>
        <v>0</v>
      </c>
    </row>
    <row r="371" spans="1:27">
      <c r="A371" s="17"/>
      <c r="B371" s="25"/>
      <c r="C371" s="13"/>
      <c r="D371" s="26">
        <f>IF($C371="","",IFERROR(INDEX(VeicCli,MATCH($C371,VeicPlaca,0)),"Placa não cadastrada"))</f>
        <v>0</v>
      </c>
      <c r="E371" s="26">
        <f>IF($C371="","",IFERROR(INDEX(VeicModelo,MATCH($C371,VeicPlaca,0)),""))</f>
        <v>0</v>
      </c>
      <c r="F371" s="28"/>
      <c r="G371" s="13"/>
      <c r="H371" s="13"/>
      <c r="I371" s="13"/>
      <c r="J371" s="29"/>
      <c r="K371" s="19"/>
      <c r="L371" s="19"/>
      <c r="M371" s="25"/>
      <c r="N371" s="13"/>
      <c r="O371" s="19"/>
      <c r="P371" s="27">
        <f>IF($A371="","",N($J371)*ValorHora)</f>
        <v>0</v>
      </c>
      <c r="Q371" s="27">
        <f>IF($A371="","",SUMIFS(ItTotal,ItOS,$A371))</f>
        <v>0</v>
      </c>
      <c r="R371" s="30">
        <f>IF($A371="","",$P371+$Q371+N($K371)-N($L371))</f>
        <v>0</v>
      </c>
      <c r="S371" s="27">
        <f>IF($A371="","",SUMIFS(ItCusto,ItOS,$A371))</f>
        <v>0</v>
      </c>
      <c r="T371" s="27">
        <f>IF($A371="","",$P371*ComMec)</f>
        <v>0</v>
      </c>
      <c r="U371" s="21">
        <f>IF($A371="","",$R371-$S371-$T371-N($K371))</f>
        <v>0</v>
      </c>
      <c r="V371" s="31">
        <f>IF(OR($A371="",N($R371)&lt;=0),"",$U371/$R371)</f>
        <v>0</v>
      </c>
      <c r="W371" s="27">
        <f>IF($A371="","",IF(OR($I371="Finalizado",$I371="Entregue"),MAX(0,$R371-N($O371)),0))</f>
        <v>0</v>
      </c>
      <c r="X371" s="32">
        <f>IF(OR($A371="",$B371=""),"",IF(OR($I371="Entregue",$I371="Cancelada"),"",Hoje-$B371))</f>
        <v>0</v>
      </c>
      <c r="Y371" s="24">
        <f>IF($A371="","",IF(AND(OR($I371="Aprovado",$I371="Em execução",$I371="Aguardando peça"),N($X371)&gt;PrazoMax),"ATRASADA",IF(AND(OR($I371="Finalizado",$I371="Entregue"),$W371&gt;0.005),"Cobrar",IF($I371="Orçamento","Aguardando aprovação",""))))</f>
        <v>0</v>
      </c>
      <c r="Z371" s="33">
        <f>IF(AND($I371="Entregue",$M371&lt;&gt;""),DATE(YEAR($M371),MONTH($M371),1),"")</f>
        <v>0</v>
      </c>
      <c r="AA371" s="34">
        <f>IF(AND($C371&lt;&gt;"",$C371=HistPlaca),COUNTIF($C$5:$C371,HistPlaca),"")</f>
        <v>0</v>
      </c>
    </row>
    <row r="372" spans="1:27">
      <c r="A372" s="17"/>
      <c r="B372" s="25"/>
      <c r="C372" s="13"/>
      <c r="D372" s="26">
        <f>IF($C372="","",IFERROR(INDEX(VeicCli,MATCH($C372,VeicPlaca,0)),"Placa não cadastrada"))</f>
        <v>0</v>
      </c>
      <c r="E372" s="26">
        <f>IF($C372="","",IFERROR(INDEX(VeicModelo,MATCH($C372,VeicPlaca,0)),""))</f>
        <v>0</v>
      </c>
      <c r="F372" s="28"/>
      <c r="G372" s="13"/>
      <c r="H372" s="13"/>
      <c r="I372" s="13"/>
      <c r="J372" s="29"/>
      <c r="K372" s="19"/>
      <c r="L372" s="19"/>
      <c r="M372" s="25"/>
      <c r="N372" s="13"/>
      <c r="O372" s="19"/>
      <c r="P372" s="27">
        <f>IF($A372="","",N($J372)*ValorHora)</f>
        <v>0</v>
      </c>
      <c r="Q372" s="27">
        <f>IF($A372="","",SUMIFS(ItTotal,ItOS,$A372))</f>
        <v>0</v>
      </c>
      <c r="R372" s="30">
        <f>IF($A372="","",$P372+$Q372+N($K372)-N($L372))</f>
        <v>0</v>
      </c>
      <c r="S372" s="27">
        <f>IF($A372="","",SUMIFS(ItCusto,ItOS,$A372))</f>
        <v>0</v>
      </c>
      <c r="T372" s="27">
        <f>IF($A372="","",$P372*ComMec)</f>
        <v>0</v>
      </c>
      <c r="U372" s="21">
        <f>IF($A372="","",$R372-$S372-$T372-N($K372))</f>
        <v>0</v>
      </c>
      <c r="V372" s="31">
        <f>IF(OR($A372="",N($R372)&lt;=0),"",$U372/$R372)</f>
        <v>0</v>
      </c>
      <c r="W372" s="27">
        <f>IF($A372="","",IF(OR($I372="Finalizado",$I372="Entregue"),MAX(0,$R372-N($O372)),0))</f>
        <v>0</v>
      </c>
      <c r="X372" s="32">
        <f>IF(OR($A372="",$B372=""),"",IF(OR($I372="Entregue",$I372="Cancelada"),"",Hoje-$B372))</f>
        <v>0</v>
      </c>
      <c r="Y372" s="24">
        <f>IF($A372="","",IF(AND(OR($I372="Aprovado",$I372="Em execução",$I372="Aguardando peça"),N($X372)&gt;PrazoMax),"ATRASADA",IF(AND(OR($I372="Finalizado",$I372="Entregue"),$W372&gt;0.005),"Cobrar",IF($I372="Orçamento","Aguardando aprovação",""))))</f>
        <v>0</v>
      </c>
      <c r="Z372" s="33">
        <f>IF(AND($I372="Entregue",$M372&lt;&gt;""),DATE(YEAR($M372),MONTH($M372),1),"")</f>
        <v>0</v>
      </c>
      <c r="AA372" s="34">
        <f>IF(AND($C372&lt;&gt;"",$C372=HistPlaca),COUNTIF($C$5:$C372,HistPlaca),"")</f>
        <v>0</v>
      </c>
    </row>
    <row r="373" spans="1:27">
      <c r="A373" s="17"/>
      <c r="B373" s="25"/>
      <c r="C373" s="13"/>
      <c r="D373" s="26">
        <f>IF($C373="","",IFERROR(INDEX(VeicCli,MATCH($C373,VeicPlaca,0)),"Placa não cadastrada"))</f>
        <v>0</v>
      </c>
      <c r="E373" s="26">
        <f>IF($C373="","",IFERROR(INDEX(VeicModelo,MATCH($C373,VeicPlaca,0)),""))</f>
        <v>0</v>
      </c>
      <c r="F373" s="28"/>
      <c r="G373" s="13"/>
      <c r="H373" s="13"/>
      <c r="I373" s="13"/>
      <c r="J373" s="29"/>
      <c r="K373" s="19"/>
      <c r="L373" s="19"/>
      <c r="M373" s="25"/>
      <c r="N373" s="13"/>
      <c r="O373" s="19"/>
      <c r="P373" s="27">
        <f>IF($A373="","",N($J373)*ValorHora)</f>
        <v>0</v>
      </c>
      <c r="Q373" s="27">
        <f>IF($A373="","",SUMIFS(ItTotal,ItOS,$A373))</f>
        <v>0</v>
      </c>
      <c r="R373" s="30">
        <f>IF($A373="","",$P373+$Q373+N($K373)-N($L373))</f>
        <v>0</v>
      </c>
      <c r="S373" s="27">
        <f>IF($A373="","",SUMIFS(ItCusto,ItOS,$A373))</f>
        <v>0</v>
      </c>
      <c r="T373" s="27">
        <f>IF($A373="","",$P373*ComMec)</f>
        <v>0</v>
      </c>
      <c r="U373" s="21">
        <f>IF($A373="","",$R373-$S373-$T373-N($K373))</f>
        <v>0</v>
      </c>
      <c r="V373" s="31">
        <f>IF(OR($A373="",N($R373)&lt;=0),"",$U373/$R373)</f>
        <v>0</v>
      </c>
      <c r="W373" s="27">
        <f>IF($A373="","",IF(OR($I373="Finalizado",$I373="Entregue"),MAX(0,$R373-N($O373)),0))</f>
        <v>0</v>
      </c>
      <c r="X373" s="32">
        <f>IF(OR($A373="",$B373=""),"",IF(OR($I373="Entregue",$I373="Cancelada"),"",Hoje-$B373))</f>
        <v>0</v>
      </c>
      <c r="Y373" s="24">
        <f>IF($A373="","",IF(AND(OR($I373="Aprovado",$I373="Em execução",$I373="Aguardando peça"),N($X373)&gt;PrazoMax),"ATRASADA",IF(AND(OR($I373="Finalizado",$I373="Entregue"),$W373&gt;0.005),"Cobrar",IF($I373="Orçamento","Aguardando aprovação",""))))</f>
        <v>0</v>
      </c>
      <c r="Z373" s="33">
        <f>IF(AND($I373="Entregue",$M373&lt;&gt;""),DATE(YEAR($M373),MONTH($M373),1),"")</f>
        <v>0</v>
      </c>
      <c r="AA373" s="34">
        <f>IF(AND($C373&lt;&gt;"",$C373=HistPlaca),COUNTIF($C$5:$C373,HistPlaca),"")</f>
        <v>0</v>
      </c>
    </row>
    <row r="374" spans="1:27">
      <c r="A374" s="17"/>
      <c r="B374" s="25"/>
      <c r="C374" s="13"/>
      <c r="D374" s="26">
        <f>IF($C374="","",IFERROR(INDEX(VeicCli,MATCH($C374,VeicPlaca,0)),"Placa não cadastrada"))</f>
        <v>0</v>
      </c>
      <c r="E374" s="26">
        <f>IF($C374="","",IFERROR(INDEX(VeicModelo,MATCH($C374,VeicPlaca,0)),""))</f>
        <v>0</v>
      </c>
      <c r="F374" s="28"/>
      <c r="G374" s="13"/>
      <c r="H374" s="13"/>
      <c r="I374" s="13"/>
      <c r="J374" s="29"/>
      <c r="K374" s="19"/>
      <c r="L374" s="19"/>
      <c r="M374" s="25"/>
      <c r="N374" s="13"/>
      <c r="O374" s="19"/>
      <c r="P374" s="27">
        <f>IF($A374="","",N($J374)*ValorHora)</f>
        <v>0</v>
      </c>
      <c r="Q374" s="27">
        <f>IF($A374="","",SUMIFS(ItTotal,ItOS,$A374))</f>
        <v>0</v>
      </c>
      <c r="R374" s="30">
        <f>IF($A374="","",$P374+$Q374+N($K374)-N($L374))</f>
        <v>0</v>
      </c>
      <c r="S374" s="27">
        <f>IF($A374="","",SUMIFS(ItCusto,ItOS,$A374))</f>
        <v>0</v>
      </c>
      <c r="T374" s="27">
        <f>IF($A374="","",$P374*ComMec)</f>
        <v>0</v>
      </c>
      <c r="U374" s="21">
        <f>IF($A374="","",$R374-$S374-$T374-N($K374))</f>
        <v>0</v>
      </c>
      <c r="V374" s="31">
        <f>IF(OR($A374="",N($R374)&lt;=0),"",$U374/$R374)</f>
        <v>0</v>
      </c>
      <c r="W374" s="27">
        <f>IF($A374="","",IF(OR($I374="Finalizado",$I374="Entregue"),MAX(0,$R374-N($O374)),0))</f>
        <v>0</v>
      </c>
      <c r="X374" s="32">
        <f>IF(OR($A374="",$B374=""),"",IF(OR($I374="Entregue",$I374="Cancelada"),"",Hoje-$B374))</f>
        <v>0</v>
      </c>
      <c r="Y374" s="24">
        <f>IF($A374="","",IF(AND(OR($I374="Aprovado",$I374="Em execução",$I374="Aguardando peça"),N($X374)&gt;PrazoMax),"ATRASADA",IF(AND(OR($I374="Finalizado",$I374="Entregue"),$W374&gt;0.005),"Cobrar",IF($I374="Orçamento","Aguardando aprovação",""))))</f>
        <v>0</v>
      </c>
      <c r="Z374" s="33">
        <f>IF(AND($I374="Entregue",$M374&lt;&gt;""),DATE(YEAR($M374),MONTH($M374),1),"")</f>
        <v>0</v>
      </c>
      <c r="AA374" s="34">
        <f>IF(AND($C374&lt;&gt;"",$C374=HistPlaca),COUNTIF($C$5:$C374,HistPlaca),"")</f>
        <v>0</v>
      </c>
    </row>
    <row r="375" spans="1:27">
      <c r="A375" s="17"/>
      <c r="B375" s="25"/>
      <c r="C375" s="13"/>
      <c r="D375" s="26">
        <f>IF($C375="","",IFERROR(INDEX(VeicCli,MATCH($C375,VeicPlaca,0)),"Placa não cadastrada"))</f>
        <v>0</v>
      </c>
      <c r="E375" s="26">
        <f>IF($C375="","",IFERROR(INDEX(VeicModelo,MATCH($C375,VeicPlaca,0)),""))</f>
        <v>0</v>
      </c>
      <c r="F375" s="28"/>
      <c r="G375" s="13"/>
      <c r="H375" s="13"/>
      <c r="I375" s="13"/>
      <c r="J375" s="29"/>
      <c r="K375" s="19"/>
      <c r="L375" s="19"/>
      <c r="M375" s="25"/>
      <c r="N375" s="13"/>
      <c r="O375" s="19"/>
      <c r="P375" s="27">
        <f>IF($A375="","",N($J375)*ValorHora)</f>
        <v>0</v>
      </c>
      <c r="Q375" s="27">
        <f>IF($A375="","",SUMIFS(ItTotal,ItOS,$A375))</f>
        <v>0</v>
      </c>
      <c r="R375" s="30">
        <f>IF($A375="","",$P375+$Q375+N($K375)-N($L375))</f>
        <v>0</v>
      </c>
      <c r="S375" s="27">
        <f>IF($A375="","",SUMIFS(ItCusto,ItOS,$A375))</f>
        <v>0</v>
      </c>
      <c r="T375" s="27">
        <f>IF($A375="","",$P375*ComMec)</f>
        <v>0</v>
      </c>
      <c r="U375" s="21">
        <f>IF($A375="","",$R375-$S375-$T375-N($K375))</f>
        <v>0</v>
      </c>
      <c r="V375" s="31">
        <f>IF(OR($A375="",N($R375)&lt;=0),"",$U375/$R375)</f>
        <v>0</v>
      </c>
      <c r="W375" s="27">
        <f>IF($A375="","",IF(OR($I375="Finalizado",$I375="Entregue"),MAX(0,$R375-N($O375)),0))</f>
        <v>0</v>
      </c>
      <c r="X375" s="32">
        <f>IF(OR($A375="",$B375=""),"",IF(OR($I375="Entregue",$I375="Cancelada"),"",Hoje-$B375))</f>
        <v>0</v>
      </c>
      <c r="Y375" s="24">
        <f>IF($A375="","",IF(AND(OR($I375="Aprovado",$I375="Em execução",$I375="Aguardando peça"),N($X375)&gt;PrazoMax),"ATRASADA",IF(AND(OR($I375="Finalizado",$I375="Entregue"),$W375&gt;0.005),"Cobrar",IF($I375="Orçamento","Aguardando aprovação",""))))</f>
        <v>0</v>
      </c>
      <c r="Z375" s="33">
        <f>IF(AND($I375="Entregue",$M375&lt;&gt;""),DATE(YEAR($M375),MONTH($M375),1),"")</f>
        <v>0</v>
      </c>
      <c r="AA375" s="34">
        <f>IF(AND($C375&lt;&gt;"",$C375=HistPlaca),COUNTIF($C$5:$C375,HistPlaca),"")</f>
        <v>0</v>
      </c>
    </row>
    <row r="376" spans="1:27">
      <c r="A376" s="17"/>
      <c r="B376" s="25"/>
      <c r="C376" s="13"/>
      <c r="D376" s="26">
        <f>IF($C376="","",IFERROR(INDEX(VeicCli,MATCH($C376,VeicPlaca,0)),"Placa não cadastrada"))</f>
        <v>0</v>
      </c>
      <c r="E376" s="26">
        <f>IF($C376="","",IFERROR(INDEX(VeicModelo,MATCH($C376,VeicPlaca,0)),""))</f>
        <v>0</v>
      </c>
      <c r="F376" s="28"/>
      <c r="G376" s="13"/>
      <c r="H376" s="13"/>
      <c r="I376" s="13"/>
      <c r="J376" s="29"/>
      <c r="K376" s="19"/>
      <c r="L376" s="19"/>
      <c r="M376" s="25"/>
      <c r="N376" s="13"/>
      <c r="O376" s="19"/>
      <c r="P376" s="27">
        <f>IF($A376="","",N($J376)*ValorHora)</f>
        <v>0</v>
      </c>
      <c r="Q376" s="27">
        <f>IF($A376="","",SUMIFS(ItTotal,ItOS,$A376))</f>
        <v>0</v>
      </c>
      <c r="R376" s="30">
        <f>IF($A376="","",$P376+$Q376+N($K376)-N($L376))</f>
        <v>0</v>
      </c>
      <c r="S376" s="27">
        <f>IF($A376="","",SUMIFS(ItCusto,ItOS,$A376))</f>
        <v>0</v>
      </c>
      <c r="T376" s="27">
        <f>IF($A376="","",$P376*ComMec)</f>
        <v>0</v>
      </c>
      <c r="U376" s="21">
        <f>IF($A376="","",$R376-$S376-$T376-N($K376))</f>
        <v>0</v>
      </c>
      <c r="V376" s="31">
        <f>IF(OR($A376="",N($R376)&lt;=0),"",$U376/$R376)</f>
        <v>0</v>
      </c>
      <c r="W376" s="27">
        <f>IF($A376="","",IF(OR($I376="Finalizado",$I376="Entregue"),MAX(0,$R376-N($O376)),0))</f>
        <v>0</v>
      </c>
      <c r="X376" s="32">
        <f>IF(OR($A376="",$B376=""),"",IF(OR($I376="Entregue",$I376="Cancelada"),"",Hoje-$B376))</f>
        <v>0</v>
      </c>
      <c r="Y376" s="24">
        <f>IF($A376="","",IF(AND(OR($I376="Aprovado",$I376="Em execução",$I376="Aguardando peça"),N($X376)&gt;PrazoMax),"ATRASADA",IF(AND(OR($I376="Finalizado",$I376="Entregue"),$W376&gt;0.005),"Cobrar",IF($I376="Orçamento","Aguardando aprovação",""))))</f>
        <v>0</v>
      </c>
      <c r="Z376" s="33">
        <f>IF(AND($I376="Entregue",$M376&lt;&gt;""),DATE(YEAR($M376),MONTH($M376),1),"")</f>
        <v>0</v>
      </c>
      <c r="AA376" s="34">
        <f>IF(AND($C376&lt;&gt;"",$C376=HistPlaca),COUNTIF($C$5:$C376,HistPlaca),"")</f>
        <v>0</v>
      </c>
    </row>
    <row r="377" spans="1:27">
      <c r="A377" s="17"/>
      <c r="B377" s="25"/>
      <c r="C377" s="13"/>
      <c r="D377" s="26">
        <f>IF($C377="","",IFERROR(INDEX(VeicCli,MATCH($C377,VeicPlaca,0)),"Placa não cadastrada"))</f>
        <v>0</v>
      </c>
      <c r="E377" s="26">
        <f>IF($C377="","",IFERROR(INDEX(VeicModelo,MATCH($C377,VeicPlaca,0)),""))</f>
        <v>0</v>
      </c>
      <c r="F377" s="28"/>
      <c r="G377" s="13"/>
      <c r="H377" s="13"/>
      <c r="I377" s="13"/>
      <c r="J377" s="29"/>
      <c r="K377" s="19"/>
      <c r="L377" s="19"/>
      <c r="M377" s="25"/>
      <c r="N377" s="13"/>
      <c r="O377" s="19"/>
      <c r="P377" s="27">
        <f>IF($A377="","",N($J377)*ValorHora)</f>
        <v>0</v>
      </c>
      <c r="Q377" s="27">
        <f>IF($A377="","",SUMIFS(ItTotal,ItOS,$A377))</f>
        <v>0</v>
      </c>
      <c r="R377" s="30">
        <f>IF($A377="","",$P377+$Q377+N($K377)-N($L377))</f>
        <v>0</v>
      </c>
      <c r="S377" s="27">
        <f>IF($A377="","",SUMIFS(ItCusto,ItOS,$A377))</f>
        <v>0</v>
      </c>
      <c r="T377" s="27">
        <f>IF($A377="","",$P377*ComMec)</f>
        <v>0</v>
      </c>
      <c r="U377" s="21">
        <f>IF($A377="","",$R377-$S377-$T377-N($K377))</f>
        <v>0</v>
      </c>
      <c r="V377" s="31">
        <f>IF(OR($A377="",N($R377)&lt;=0),"",$U377/$R377)</f>
        <v>0</v>
      </c>
      <c r="W377" s="27">
        <f>IF($A377="","",IF(OR($I377="Finalizado",$I377="Entregue"),MAX(0,$R377-N($O377)),0))</f>
        <v>0</v>
      </c>
      <c r="X377" s="32">
        <f>IF(OR($A377="",$B377=""),"",IF(OR($I377="Entregue",$I377="Cancelada"),"",Hoje-$B377))</f>
        <v>0</v>
      </c>
      <c r="Y377" s="24">
        <f>IF($A377="","",IF(AND(OR($I377="Aprovado",$I377="Em execução",$I377="Aguardando peça"),N($X377)&gt;PrazoMax),"ATRASADA",IF(AND(OR($I377="Finalizado",$I377="Entregue"),$W377&gt;0.005),"Cobrar",IF($I377="Orçamento","Aguardando aprovação",""))))</f>
        <v>0</v>
      </c>
      <c r="Z377" s="33">
        <f>IF(AND($I377="Entregue",$M377&lt;&gt;""),DATE(YEAR($M377),MONTH($M377),1),"")</f>
        <v>0</v>
      </c>
      <c r="AA377" s="34">
        <f>IF(AND($C377&lt;&gt;"",$C377=HistPlaca),COUNTIF($C$5:$C377,HistPlaca),"")</f>
        <v>0</v>
      </c>
    </row>
    <row r="378" spans="1:27">
      <c r="A378" s="17"/>
      <c r="B378" s="25"/>
      <c r="C378" s="13"/>
      <c r="D378" s="26">
        <f>IF($C378="","",IFERROR(INDEX(VeicCli,MATCH($C378,VeicPlaca,0)),"Placa não cadastrada"))</f>
        <v>0</v>
      </c>
      <c r="E378" s="26">
        <f>IF($C378="","",IFERROR(INDEX(VeicModelo,MATCH($C378,VeicPlaca,0)),""))</f>
        <v>0</v>
      </c>
      <c r="F378" s="28"/>
      <c r="G378" s="13"/>
      <c r="H378" s="13"/>
      <c r="I378" s="13"/>
      <c r="J378" s="29"/>
      <c r="K378" s="19"/>
      <c r="L378" s="19"/>
      <c r="M378" s="25"/>
      <c r="N378" s="13"/>
      <c r="O378" s="19"/>
      <c r="P378" s="27">
        <f>IF($A378="","",N($J378)*ValorHora)</f>
        <v>0</v>
      </c>
      <c r="Q378" s="27">
        <f>IF($A378="","",SUMIFS(ItTotal,ItOS,$A378))</f>
        <v>0</v>
      </c>
      <c r="R378" s="30">
        <f>IF($A378="","",$P378+$Q378+N($K378)-N($L378))</f>
        <v>0</v>
      </c>
      <c r="S378" s="27">
        <f>IF($A378="","",SUMIFS(ItCusto,ItOS,$A378))</f>
        <v>0</v>
      </c>
      <c r="T378" s="27">
        <f>IF($A378="","",$P378*ComMec)</f>
        <v>0</v>
      </c>
      <c r="U378" s="21">
        <f>IF($A378="","",$R378-$S378-$T378-N($K378))</f>
        <v>0</v>
      </c>
      <c r="V378" s="31">
        <f>IF(OR($A378="",N($R378)&lt;=0),"",$U378/$R378)</f>
        <v>0</v>
      </c>
      <c r="W378" s="27">
        <f>IF($A378="","",IF(OR($I378="Finalizado",$I378="Entregue"),MAX(0,$R378-N($O378)),0))</f>
        <v>0</v>
      </c>
      <c r="X378" s="32">
        <f>IF(OR($A378="",$B378=""),"",IF(OR($I378="Entregue",$I378="Cancelada"),"",Hoje-$B378))</f>
        <v>0</v>
      </c>
      <c r="Y378" s="24">
        <f>IF($A378="","",IF(AND(OR($I378="Aprovado",$I378="Em execução",$I378="Aguardando peça"),N($X378)&gt;PrazoMax),"ATRASADA",IF(AND(OR($I378="Finalizado",$I378="Entregue"),$W378&gt;0.005),"Cobrar",IF($I378="Orçamento","Aguardando aprovação",""))))</f>
        <v>0</v>
      </c>
      <c r="Z378" s="33">
        <f>IF(AND($I378="Entregue",$M378&lt;&gt;""),DATE(YEAR($M378),MONTH($M378),1),"")</f>
        <v>0</v>
      </c>
      <c r="AA378" s="34">
        <f>IF(AND($C378&lt;&gt;"",$C378=HistPlaca),COUNTIF($C$5:$C378,HistPlaca),"")</f>
        <v>0</v>
      </c>
    </row>
    <row r="379" spans="1:27">
      <c r="A379" s="17"/>
      <c r="B379" s="25"/>
      <c r="C379" s="13"/>
      <c r="D379" s="26">
        <f>IF($C379="","",IFERROR(INDEX(VeicCli,MATCH($C379,VeicPlaca,0)),"Placa não cadastrada"))</f>
        <v>0</v>
      </c>
      <c r="E379" s="26">
        <f>IF($C379="","",IFERROR(INDEX(VeicModelo,MATCH($C379,VeicPlaca,0)),""))</f>
        <v>0</v>
      </c>
      <c r="F379" s="28"/>
      <c r="G379" s="13"/>
      <c r="H379" s="13"/>
      <c r="I379" s="13"/>
      <c r="J379" s="29"/>
      <c r="K379" s="19"/>
      <c r="L379" s="19"/>
      <c r="M379" s="25"/>
      <c r="N379" s="13"/>
      <c r="O379" s="19"/>
      <c r="P379" s="27">
        <f>IF($A379="","",N($J379)*ValorHora)</f>
        <v>0</v>
      </c>
      <c r="Q379" s="27">
        <f>IF($A379="","",SUMIFS(ItTotal,ItOS,$A379))</f>
        <v>0</v>
      </c>
      <c r="R379" s="30">
        <f>IF($A379="","",$P379+$Q379+N($K379)-N($L379))</f>
        <v>0</v>
      </c>
      <c r="S379" s="27">
        <f>IF($A379="","",SUMIFS(ItCusto,ItOS,$A379))</f>
        <v>0</v>
      </c>
      <c r="T379" s="27">
        <f>IF($A379="","",$P379*ComMec)</f>
        <v>0</v>
      </c>
      <c r="U379" s="21">
        <f>IF($A379="","",$R379-$S379-$T379-N($K379))</f>
        <v>0</v>
      </c>
      <c r="V379" s="31">
        <f>IF(OR($A379="",N($R379)&lt;=0),"",$U379/$R379)</f>
        <v>0</v>
      </c>
      <c r="W379" s="27">
        <f>IF($A379="","",IF(OR($I379="Finalizado",$I379="Entregue"),MAX(0,$R379-N($O379)),0))</f>
        <v>0</v>
      </c>
      <c r="X379" s="32">
        <f>IF(OR($A379="",$B379=""),"",IF(OR($I379="Entregue",$I379="Cancelada"),"",Hoje-$B379))</f>
        <v>0</v>
      </c>
      <c r="Y379" s="24">
        <f>IF($A379="","",IF(AND(OR($I379="Aprovado",$I379="Em execução",$I379="Aguardando peça"),N($X379)&gt;PrazoMax),"ATRASADA",IF(AND(OR($I379="Finalizado",$I379="Entregue"),$W379&gt;0.005),"Cobrar",IF($I379="Orçamento","Aguardando aprovação",""))))</f>
        <v>0</v>
      </c>
      <c r="Z379" s="33">
        <f>IF(AND($I379="Entregue",$M379&lt;&gt;""),DATE(YEAR($M379),MONTH($M379),1),"")</f>
        <v>0</v>
      </c>
      <c r="AA379" s="34">
        <f>IF(AND($C379&lt;&gt;"",$C379=HistPlaca),COUNTIF($C$5:$C379,HistPlaca),"")</f>
        <v>0</v>
      </c>
    </row>
    <row r="380" spans="1:27">
      <c r="A380" s="17"/>
      <c r="B380" s="25"/>
      <c r="C380" s="13"/>
      <c r="D380" s="26">
        <f>IF($C380="","",IFERROR(INDEX(VeicCli,MATCH($C380,VeicPlaca,0)),"Placa não cadastrada"))</f>
        <v>0</v>
      </c>
      <c r="E380" s="26">
        <f>IF($C380="","",IFERROR(INDEX(VeicModelo,MATCH($C380,VeicPlaca,0)),""))</f>
        <v>0</v>
      </c>
      <c r="F380" s="28"/>
      <c r="G380" s="13"/>
      <c r="H380" s="13"/>
      <c r="I380" s="13"/>
      <c r="J380" s="29"/>
      <c r="K380" s="19"/>
      <c r="L380" s="19"/>
      <c r="M380" s="25"/>
      <c r="N380" s="13"/>
      <c r="O380" s="19"/>
      <c r="P380" s="27">
        <f>IF($A380="","",N($J380)*ValorHora)</f>
        <v>0</v>
      </c>
      <c r="Q380" s="27">
        <f>IF($A380="","",SUMIFS(ItTotal,ItOS,$A380))</f>
        <v>0</v>
      </c>
      <c r="R380" s="30">
        <f>IF($A380="","",$P380+$Q380+N($K380)-N($L380))</f>
        <v>0</v>
      </c>
      <c r="S380" s="27">
        <f>IF($A380="","",SUMIFS(ItCusto,ItOS,$A380))</f>
        <v>0</v>
      </c>
      <c r="T380" s="27">
        <f>IF($A380="","",$P380*ComMec)</f>
        <v>0</v>
      </c>
      <c r="U380" s="21">
        <f>IF($A380="","",$R380-$S380-$T380-N($K380))</f>
        <v>0</v>
      </c>
      <c r="V380" s="31">
        <f>IF(OR($A380="",N($R380)&lt;=0),"",$U380/$R380)</f>
        <v>0</v>
      </c>
      <c r="W380" s="27">
        <f>IF($A380="","",IF(OR($I380="Finalizado",$I380="Entregue"),MAX(0,$R380-N($O380)),0))</f>
        <v>0</v>
      </c>
      <c r="X380" s="32">
        <f>IF(OR($A380="",$B380=""),"",IF(OR($I380="Entregue",$I380="Cancelada"),"",Hoje-$B380))</f>
        <v>0</v>
      </c>
      <c r="Y380" s="24">
        <f>IF($A380="","",IF(AND(OR($I380="Aprovado",$I380="Em execução",$I380="Aguardando peça"),N($X380)&gt;PrazoMax),"ATRASADA",IF(AND(OR($I380="Finalizado",$I380="Entregue"),$W380&gt;0.005),"Cobrar",IF($I380="Orçamento","Aguardando aprovação",""))))</f>
        <v>0</v>
      </c>
      <c r="Z380" s="33">
        <f>IF(AND($I380="Entregue",$M380&lt;&gt;""),DATE(YEAR($M380),MONTH($M380),1),"")</f>
        <v>0</v>
      </c>
      <c r="AA380" s="34">
        <f>IF(AND($C380&lt;&gt;"",$C380=HistPlaca),COUNTIF($C$5:$C380,HistPlaca),"")</f>
        <v>0</v>
      </c>
    </row>
    <row r="381" spans="1:27">
      <c r="A381" s="17"/>
      <c r="B381" s="25"/>
      <c r="C381" s="13"/>
      <c r="D381" s="26">
        <f>IF($C381="","",IFERROR(INDEX(VeicCli,MATCH($C381,VeicPlaca,0)),"Placa não cadastrada"))</f>
        <v>0</v>
      </c>
      <c r="E381" s="26">
        <f>IF($C381="","",IFERROR(INDEX(VeicModelo,MATCH($C381,VeicPlaca,0)),""))</f>
        <v>0</v>
      </c>
      <c r="F381" s="28"/>
      <c r="G381" s="13"/>
      <c r="H381" s="13"/>
      <c r="I381" s="13"/>
      <c r="J381" s="29"/>
      <c r="K381" s="19"/>
      <c r="L381" s="19"/>
      <c r="M381" s="25"/>
      <c r="N381" s="13"/>
      <c r="O381" s="19"/>
      <c r="P381" s="27">
        <f>IF($A381="","",N($J381)*ValorHora)</f>
        <v>0</v>
      </c>
      <c r="Q381" s="27">
        <f>IF($A381="","",SUMIFS(ItTotal,ItOS,$A381))</f>
        <v>0</v>
      </c>
      <c r="R381" s="30">
        <f>IF($A381="","",$P381+$Q381+N($K381)-N($L381))</f>
        <v>0</v>
      </c>
      <c r="S381" s="27">
        <f>IF($A381="","",SUMIFS(ItCusto,ItOS,$A381))</f>
        <v>0</v>
      </c>
      <c r="T381" s="27">
        <f>IF($A381="","",$P381*ComMec)</f>
        <v>0</v>
      </c>
      <c r="U381" s="21">
        <f>IF($A381="","",$R381-$S381-$T381-N($K381))</f>
        <v>0</v>
      </c>
      <c r="V381" s="31">
        <f>IF(OR($A381="",N($R381)&lt;=0),"",$U381/$R381)</f>
        <v>0</v>
      </c>
      <c r="W381" s="27">
        <f>IF($A381="","",IF(OR($I381="Finalizado",$I381="Entregue"),MAX(0,$R381-N($O381)),0))</f>
        <v>0</v>
      </c>
      <c r="X381" s="32">
        <f>IF(OR($A381="",$B381=""),"",IF(OR($I381="Entregue",$I381="Cancelada"),"",Hoje-$B381))</f>
        <v>0</v>
      </c>
      <c r="Y381" s="24">
        <f>IF($A381="","",IF(AND(OR($I381="Aprovado",$I381="Em execução",$I381="Aguardando peça"),N($X381)&gt;PrazoMax),"ATRASADA",IF(AND(OR($I381="Finalizado",$I381="Entregue"),$W381&gt;0.005),"Cobrar",IF($I381="Orçamento","Aguardando aprovação",""))))</f>
        <v>0</v>
      </c>
      <c r="Z381" s="33">
        <f>IF(AND($I381="Entregue",$M381&lt;&gt;""),DATE(YEAR($M381),MONTH($M381),1),"")</f>
        <v>0</v>
      </c>
      <c r="AA381" s="34">
        <f>IF(AND($C381&lt;&gt;"",$C381=HistPlaca),COUNTIF($C$5:$C381,HistPlaca),"")</f>
        <v>0</v>
      </c>
    </row>
    <row r="382" spans="1:27">
      <c r="A382" s="17"/>
      <c r="B382" s="25"/>
      <c r="C382" s="13"/>
      <c r="D382" s="26">
        <f>IF($C382="","",IFERROR(INDEX(VeicCli,MATCH($C382,VeicPlaca,0)),"Placa não cadastrada"))</f>
        <v>0</v>
      </c>
      <c r="E382" s="26">
        <f>IF($C382="","",IFERROR(INDEX(VeicModelo,MATCH($C382,VeicPlaca,0)),""))</f>
        <v>0</v>
      </c>
      <c r="F382" s="28"/>
      <c r="G382" s="13"/>
      <c r="H382" s="13"/>
      <c r="I382" s="13"/>
      <c r="J382" s="29"/>
      <c r="K382" s="19"/>
      <c r="L382" s="19"/>
      <c r="M382" s="25"/>
      <c r="N382" s="13"/>
      <c r="O382" s="19"/>
      <c r="P382" s="27">
        <f>IF($A382="","",N($J382)*ValorHora)</f>
        <v>0</v>
      </c>
      <c r="Q382" s="27">
        <f>IF($A382="","",SUMIFS(ItTotal,ItOS,$A382))</f>
        <v>0</v>
      </c>
      <c r="R382" s="30">
        <f>IF($A382="","",$P382+$Q382+N($K382)-N($L382))</f>
        <v>0</v>
      </c>
      <c r="S382" s="27">
        <f>IF($A382="","",SUMIFS(ItCusto,ItOS,$A382))</f>
        <v>0</v>
      </c>
      <c r="T382" s="27">
        <f>IF($A382="","",$P382*ComMec)</f>
        <v>0</v>
      </c>
      <c r="U382" s="21">
        <f>IF($A382="","",$R382-$S382-$T382-N($K382))</f>
        <v>0</v>
      </c>
      <c r="V382" s="31">
        <f>IF(OR($A382="",N($R382)&lt;=0),"",$U382/$R382)</f>
        <v>0</v>
      </c>
      <c r="W382" s="27">
        <f>IF($A382="","",IF(OR($I382="Finalizado",$I382="Entregue"),MAX(0,$R382-N($O382)),0))</f>
        <v>0</v>
      </c>
      <c r="X382" s="32">
        <f>IF(OR($A382="",$B382=""),"",IF(OR($I382="Entregue",$I382="Cancelada"),"",Hoje-$B382))</f>
        <v>0</v>
      </c>
      <c r="Y382" s="24">
        <f>IF($A382="","",IF(AND(OR($I382="Aprovado",$I382="Em execução",$I382="Aguardando peça"),N($X382)&gt;PrazoMax),"ATRASADA",IF(AND(OR($I382="Finalizado",$I382="Entregue"),$W382&gt;0.005),"Cobrar",IF($I382="Orçamento","Aguardando aprovação",""))))</f>
        <v>0</v>
      </c>
      <c r="Z382" s="33">
        <f>IF(AND($I382="Entregue",$M382&lt;&gt;""),DATE(YEAR($M382),MONTH($M382),1),"")</f>
        <v>0</v>
      </c>
      <c r="AA382" s="34">
        <f>IF(AND($C382&lt;&gt;"",$C382=HistPlaca),COUNTIF($C$5:$C382,HistPlaca),"")</f>
        <v>0</v>
      </c>
    </row>
    <row r="383" spans="1:27">
      <c r="A383" s="17"/>
      <c r="B383" s="25"/>
      <c r="C383" s="13"/>
      <c r="D383" s="26">
        <f>IF($C383="","",IFERROR(INDEX(VeicCli,MATCH($C383,VeicPlaca,0)),"Placa não cadastrada"))</f>
        <v>0</v>
      </c>
      <c r="E383" s="26">
        <f>IF($C383="","",IFERROR(INDEX(VeicModelo,MATCH($C383,VeicPlaca,0)),""))</f>
        <v>0</v>
      </c>
      <c r="F383" s="28"/>
      <c r="G383" s="13"/>
      <c r="H383" s="13"/>
      <c r="I383" s="13"/>
      <c r="J383" s="29"/>
      <c r="K383" s="19"/>
      <c r="L383" s="19"/>
      <c r="M383" s="25"/>
      <c r="N383" s="13"/>
      <c r="O383" s="19"/>
      <c r="P383" s="27">
        <f>IF($A383="","",N($J383)*ValorHora)</f>
        <v>0</v>
      </c>
      <c r="Q383" s="27">
        <f>IF($A383="","",SUMIFS(ItTotal,ItOS,$A383))</f>
        <v>0</v>
      </c>
      <c r="R383" s="30">
        <f>IF($A383="","",$P383+$Q383+N($K383)-N($L383))</f>
        <v>0</v>
      </c>
      <c r="S383" s="27">
        <f>IF($A383="","",SUMIFS(ItCusto,ItOS,$A383))</f>
        <v>0</v>
      </c>
      <c r="T383" s="27">
        <f>IF($A383="","",$P383*ComMec)</f>
        <v>0</v>
      </c>
      <c r="U383" s="21">
        <f>IF($A383="","",$R383-$S383-$T383-N($K383))</f>
        <v>0</v>
      </c>
      <c r="V383" s="31">
        <f>IF(OR($A383="",N($R383)&lt;=0),"",$U383/$R383)</f>
        <v>0</v>
      </c>
      <c r="W383" s="27">
        <f>IF($A383="","",IF(OR($I383="Finalizado",$I383="Entregue"),MAX(0,$R383-N($O383)),0))</f>
        <v>0</v>
      </c>
      <c r="X383" s="32">
        <f>IF(OR($A383="",$B383=""),"",IF(OR($I383="Entregue",$I383="Cancelada"),"",Hoje-$B383))</f>
        <v>0</v>
      </c>
      <c r="Y383" s="24">
        <f>IF($A383="","",IF(AND(OR($I383="Aprovado",$I383="Em execução",$I383="Aguardando peça"),N($X383)&gt;PrazoMax),"ATRASADA",IF(AND(OR($I383="Finalizado",$I383="Entregue"),$W383&gt;0.005),"Cobrar",IF($I383="Orçamento","Aguardando aprovação",""))))</f>
        <v>0</v>
      </c>
      <c r="Z383" s="33">
        <f>IF(AND($I383="Entregue",$M383&lt;&gt;""),DATE(YEAR($M383),MONTH($M383),1),"")</f>
        <v>0</v>
      </c>
      <c r="AA383" s="34">
        <f>IF(AND($C383&lt;&gt;"",$C383=HistPlaca),COUNTIF($C$5:$C383,HistPlaca),"")</f>
        <v>0</v>
      </c>
    </row>
    <row r="384" spans="1:27">
      <c r="A384" s="17"/>
      <c r="B384" s="25"/>
      <c r="C384" s="13"/>
      <c r="D384" s="26">
        <f>IF($C384="","",IFERROR(INDEX(VeicCli,MATCH($C384,VeicPlaca,0)),"Placa não cadastrada"))</f>
        <v>0</v>
      </c>
      <c r="E384" s="26">
        <f>IF($C384="","",IFERROR(INDEX(VeicModelo,MATCH($C384,VeicPlaca,0)),""))</f>
        <v>0</v>
      </c>
      <c r="F384" s="28"/>
      <c r="G384" s="13"/>
      <c r="H384" s="13"/>
      <c r="I384" s="13"/>
      <c r="J384" s="29"/>
      <c r="K384" s="19"/>
      <c r="L384" s="19"/>
      <c r="M384" s="25"/>
      <c r="N384" s="13"/>
      <c r="O384" s="19"/>
      <c r="P384" s="27">
        <f>IF($A384="","",N($J384)*ValorHora)</f>
        <v>0</v>
      </c>
      <c r="Q384" s="27">
        <f>IF($A384="","",SUMIFS(ItTotal,ItOS,$A384))</f>
        <v>0</v>
      </c>
      <c r="R384" s="30">
        <f>IF($A384="","",$P384+$Q384+N($K384)-N($L384))</f>
        <v>0</v>
      </c>
      <c r="S384" s="27">
        <f>IF($A384="","",SUMIFS(ItCusto,ItOS,$A384))</f>
        <v>0</v>
      </c>
      <c r="T384" s="27">
        <f>IF($A384="","",$P384*ComMec)</f>
        <v>0</v>
      </c>
      <c r="U384" s="21">
        <f>IF($A384="","",$R384-$S384-$T384-N($K384))</f>
        <v>0</v>
      </c>
      <c r="V384" s="31">
        <f>IF(OR($A384="",N($R384)&lt;=0),"",$U384/$R384)</f>
        <v>0</v>
      </c>
      <c r="W384" s="27">
        <f>IF($A384="","",IF(OR($I384="Finalizado",$I384="Entregue"),MAX(0,$R384-N($O384)),0))</f>
        <v>0</v>
      </c>
      <c r="X384" s="32">
        <f>IF(OR($A384="",$B384=""),"",IF(OR($I384="Entregue",$I384="Cancelada"),"",Hoje-$B384))</f>
        <v>0</v>
      </c>
      <c r="Y384" s="24">
        <f>IF($A384="","",IF(AND(OR($I384="Aprovado",$I384="Em execução",$I384="Aguardando peça"),N($X384)&gt;PrazoMax),"ATRASADA",IF(AND(OR($I384="Finalizado",$I384="Entregue"),$W384&gt;0.005),"Cobrar",IF($I384="Orçamento","Aguardando aprovação",""))))</f>
        <v>0</v>
      </c>
      <c r="Z384" s="33">
        <f>IF(AND($I384="Entregue",$M384&lt;&gt;""),DATE(YEAR($M384),MONTH($M384),1),"")</f>
        <v>0</v>
      </c>
      <c r="AA384" s="34">
        <f>IF(AND($C384&lt;&gt;"",$C384=HistPlaca),COUNTIF($C$5:$C384,HistPlaca),"")</f>
        <v>0</v>
      </c>
    </row>
    <row r="385" spans="1:27">
      <c r="A385" s="17"/>
      <c r="B385" s="25"/>
      <c r="C385" s="13"/>
      <c r="D385" s="26">
        <f>IF($C385="","",IFERROR(INDEX(VeicCli,MATCH($C385,VeicPlaca,0)),"Placa não cadastrada"))</f>
        <v>0</v>
      </c>
      <c r="E385" s="26">
        <f>IF($C385="","",IFERROR(INDEX(VeicModelo,MATCH($C385,VeicPlaca,0)),""))</f>
        <v>0</v>
      </c>
      <c r="F385" s="28"/>
      <c r="G385" s="13"/>
      <c r="H385" s="13"/>
      <c r="I385" s="13"/>
      <c r="J385" s="29"/>
      <c r="K385" s="19"/>
      <c r="L385" s="19"/>
      <c r="M385" s="25"/>
      <c r="N385" s="13"/>
      <c r="O385" s="19"/>
      <c r="P385" s="27">
        <f>IF($A385="","",N($J385)*ValorHora)</f>
        <v>0</v>
      </c>
      <c r="Q385" s="27">
        <f>IF($A385="","",SUMIFS(ItTotal,ItOS,$A385))</f>
        <v>0</v>
      </c>
      <c r="R385" s="30">
        <f>IF($A385="","",$P385+$Q385+N($K385)-N($L385))</f>
        <v>0</v>
      </c>
      <c r="S385" s="27">
        <f>IF($A385="","",SUMIFS(ItCusto,ItOS,$A385))</f>
        <v>0</v>
      </c>
      <c r="T385" s="27">
        <f>IF($A385="","",$P385*ComMec)</f>
        <v>0</v>
      </c>
      <c r="U385" s="21">
        <f>IF($A385="","",$R385-$S385-$T385-N($K385))</f>
        <v>0</v>
      </c>
      <c r="V385" s="31">
        <f>IF(OR($A385="",N($R385)&lt;=0),"",$U385/$R385)</f>
        <v>0</v>
      </c>
      <c r="W385" s="27">
        <f>IF($A385="","",IF(OR($I385="Finalizado",$I385="Entregue"),MAX(0,$R385-N($O385)),0))</f>
        <v>0</v>
      </c>
      <c r="X385" s="32">
        <f>IF(OR($A385="",$B385=""),"",IF(OR($I385="Entregue",$I385="Cancelada"),"",Hoje-$B385))</f>
        <v>0</v>
      </c>
      <c r="Y385" s="24">
        <f>IF($A385="","",IF(AND(OR($I385="Aprovado",$I385="Em execução",$I385="Aguardando peça"),N($X385)&gt;PrazoMax),"ATRASADA",IF(AND(OR($I385="Finalizado",$I385="Entregue"),$W385&gt;0.005),"Cobrar",IF($I385="Orçamento","Aguardando aprovação",""))))</f>
        <v>0</v>
      </c>
      <c r="Z385" s="33">
        <f>IF(AND($I385="Entregue",$M385&lt;&gt;""),DATE(YEAR($M385),MONTH($M385),1),"")</f>
        <v>0</v>
      </c>
      <c r="AA385" s="34">
        <f>IF(AND($C385&lt;&gt;"",$C385=HistPlaca),COUNTIF($C$5:$C385,HistPlaca),"")</f>
        <v>0</v>
      </c>
    </row>
    <row r="386" spans="1:27">
      <c r="A386" s="17"/>
      <c r="B386" s="25"/>
      <c r="C386" s="13"/>
      <c r="D386" s="26">
        <f>IF($C386="","",IFERROR(INDEX(VeicCli,MATCH($C386,VeicPlaca,0)),"Placa não cadastrada"))</f>
        <v>0</v>
      </c>
      <c r="E386" s="26">
        <f>IF($C386="","",IFERROR(INDEX(VeicModelo,MATCH($C386,VeicPlaca,0)),""))</f>
        <v>0</v>
      </c>
      <c r="F386" s="28"/>
      <c r="G386" s="13"/>
      <c r="H386" s="13"/>
      <c r="I386" s="13"/>
      <c r="J386" s="29"/>
      <c r="K386" s="19"/>
      <c r="L386" s="19"/>
      <c r="M386" s="25"/>
      <c r="N386" s="13"/>
      <c r="O386" s="19"/>
      <c r="P386" s="27">
        <f>IF($A386="","",N($J386)*ValorHora)</f>
        <v>0</v>
      </c>
      <c r="Q386" s="27">
        <f>IF($A386="","",SUMIFS(ItTotal,ItOS,$A386))</f>
        <v>0</v>
      </c>
      <c r="R386" s="30">
        <f>IF($A386="","",$P386+$Q386+N($K386)-N($L386))</f>
        <v>0</v>
      </c>
      <c r="S386" s="27">
        <f>IF($A386="","",SUMIFS(ItCusto,ItOS,$A386))</f>
        <v>0</v>
      </c>
      <c r="T386" s="27">
        <f>IF($A386="","",$P386*ComMec)</f>
        <v>0</v>
      </c>
      <c r="U386" s="21">
        <f>IF($A386="","",$R386-$S386-$T386-N($K386))</f>
        <v>0</v>
      </c>
      <c r="V386" s="31">
        <f>IF(OR($A386="",N($R386)&lt;=0),"",$U386/$R386)</f>
        <v>0</v>
      </c>
      <c r="W386" s="27">
        <f>IF($A386="","",IF(OR($I386="Finalizado",$I386="Entregue"),MAX(0,$R386-N($O386)),0))</f>
        <v>0</v>
      </c>
      <c r="X386" s="32">
        <f>IF(OR($A386="",$B386=""),"",IF(OR($I386="Entregue",$I386="Cancelada"),"",Hoje-$B386))</f>
        <v>0</v>
      </c>
      <c r="Y386" s="24">
        <f>IF($A386="","",IF(AND(OR($I386="Aprovado",$I386="Em execução",$I386="Aguardando peça"),N($X386)&gt;PrazoMax),"ATRASADA",IF(AND(OR($I386="Finalizado",$I386="Entregue"),$W386&gt;0.005),"Cobrar",IF($I386="Orçamento","Aguardando aprovação",""))))</f>
        <v>0</v>
      </c>
      <c r="Z386" s="33">
        <f>IF(AND($I386="Entregue",$M386&lt;&gt;""),DATE(YEAR($M386),MONTH($M386),1),"")</f>
        <v>0</v>
      </c>
      <c r="AA386" s="34">
        <f>IF(AND($C386&lt;&gt;"",$C386=HistPlaca),COUNTIF($C$5:$C386,HistPlaca),"")</f>
        <v>0</v>
      </c>
    </row>
    <row r="387" spans="1:27">
      <c r="A387" s="17"/>
      <c r="B387" s="25"/>
      <c r="C387" s="13"/>
      <c r="D387" s="26">
        <f>IF($C387="","",IFERROR(INDEX(VeicCli,MATCH($C387,VeicPlaca,0)),"Placa não cadastrada"))</f>
        <v>0</v>
      </c>
      <c r="E387" s="26">
        <f>IF($C387="","",IFERROR(INDEX(VeicModelo,MATCH($C387,VeicPlaca,0)),""))</f>
        <v>0</v>
      </c>
      <c r="F387" s="28"/>
      <c r="G387" s="13"/>
      <c r="H387" s="13"/>
      <c r="I387" s="13"/>
      <c r="J387" s="29"/>
      <c r="K387" s="19"/>
      <c r="L387" s="19"/>
      <c r="M387" s="25"/>
      <c r="N387" s="13"/>
      <c r="O387" s="19"/>
      <c r="P387" s="27">
        <f>IF($A387="","",N($J387)*ValorHora)</f>
        <v>0</v>
      </c>
      <c r="Q387" s="27">
        <f>IF($A387="","",SUMIFS(ItTotal,ItOS,$A387))</f>
        <v>0</v>
      </c>
      <c r="R387" s="30">
        <f>IF($A387="","",$P387+$Q387+N($K387)-N($L387))</f>
        <v>0</v>
      </c>
      <c r="S387" s="27">
        <f>IF($A387="","",SUMIFS(ItCusto,ItOS,$A387))</f>
        <v>0</v>
      </c>
      <c r="T387" s="27">
        <f>IF($A387="","",$P387*ComMec)</f>
        <v>0</v>
      </c>
      <c r="U387" s="21">
        <f>IF($A387="","",$R387-$S387-$T387-N($K387))</f>
        <v>0</v>
      </c>
      <c r="V387" s="31">
        <f>IF(OR($A387="",N($R387)&lt;=0),"",$U387/$R387)</f>
        <v>0</v>
      </c>
      <c r="W387" s="27">
        <f>IF($A387="","",IF(OR($I387="Finalizado",$I387="Entregue"),MAX(0,$R387-N($O387)),0))</f>
        <v>0</v>
      </c>
      <c r="X387" s="32">
        <f>IF(OR($A387="",$B387=""),"",IF(OR($I387="Entregue",$I387="Cancelada"),"",Hoje-$B387))</f>
        <v>0</v>
      </c>
      <c r="Y387" s="24">
        <f>IF($A387="","",IF(AND(OR($I387="Aprovado",$I387="Em execução",$I387="Aguardando peça"),N($X387)&gt;PrazoMax),"ATRASADA",IF(AND(OR($I387="Finalizado",$I387="Entregue"),$W387&gt;0.005),"Cobrar",IF($I387="Orçamento","Aguardando aprovação",""))))</f>
        <v>0</v>
      </c>
      <c r="Z387" s="33">
        <f>IF(AND($I387="Entregue",$M387&lt;&gt;""),DATE(YEAR($M387),MONTH($M387),1),"")</f>
        <v>0</v>
      </c>
      <c r="AA387" s="34">
        <f>IF(AND($C387&lt;&gt;"",$C387=HistPlaca),COUNTIF($C$5:$C387,HistPlaca),"")</f>
        <v>0</v>
      </c>
    </row>
    <row r="388" spans="1:27">
      <c r="A388" s="17"/>
      <c r="B388" s="25"/>
      <c r="C388" s="13"/>
      <c r="D388" s="26">
        <f>IF($C388="","",IFERROR(INDEX(VeicCli,MATCH($C388,VeicPlaca,0)),"Placa não cadastrada"))</f>
        <v>0</v>
      </c>
      <c r="E388" s="26">
        <f>IF($C388="","",IFERROR(INDEX(VeicModelo,MATCH($C388,VeicPlaca,0)),""))</f>
        <v>0</v>
      </c>
      <c r="F388" s="28"/>
      <c r="G388" s="13"/>
      <c r="H388" s="13"/>
      <c r="I388" s="13"/>
      <c r="J388" s="29"/>
      <c r="K388" s="19"/>
      <c r="L388" s="19"/>
      <c r="M388" s="25"/>
      <c r="N388" s="13"/>
      <c r="O388" s="19"/>
      <c r="P388" s="27">
        <f>IF($A388="","",N($J388)*ValorHora)</f>
        <v>0</v>
      </c>
      <c r="Q388" s="27">
        <f>IF($A388="","",SUMIFS(ItTotal,ItOS,$A388))</f>
        <v>0</v>
      </c>
      <c r="R388" s="30">
        <f>IF($A388="","",$P388+$Q388+N($K388)-N($L388))</f>
        <v>0</v>
      </c>
      <c r="S388" s="27">
        <f>IF($A388="","",SUMIFS(ItCusto,ItOS,$A388))</f>
        <v>0</v>
      </c>
      <c r="T388" s="27">
        <f>IF($A388="","",$P388*ComMec)</f>
        <v>0</v>
      </c>
      <c r="U388" s="21">
        <f>IF($A388="","",$R388-$S388-$T388-N($K388))</f>
        <v>0</v>
      </c>
      <c r="V388" s="31">
        <f>IF(OR($A388="",N($R388)&lt;=0),"",$U388/$R388)</f>
        <v>0</v>
      </c>
      <c r="W388" s="27">
        <f>IF($A388="","",IF(OR($I388="Finalizado",$I388="Entregue"),MAX(0,$R388-N($O388)),0))</f>
        <v>0</v>
      </c>
      <c r="X388" s="32">
        <f>IF(OR($A388="",$B388=""),"",IF(OR($I388="Entregue",$I388="Cancelada"),"",Hoje-$B388))</f>
        <v>0</v>
      </c>
      <c r="Y388" s="24">
        <f>IF($A388="","",IF(AND(OR($I388="Aprovado",$I388="Em execução",$I388="Aguardando peça"),N($X388)&gt;PrazoMax),"ATRASADA",IF(AND(OR($I388="Finalizado",$I388="Entregue"),$W388&gt;0.005),"Cobrar",IF($I388="Orçamento","Aguardando aprovação",""))))</f>
        <v>0</v>
      </c>
      <c r="Z388" s="33">
        <f>IF(AND($I388="Entregue",$M388&lt;&gt;""),DATE(YEAR($M388),MONTH($M388),1),"")</f>
        <v>0</v>
      </c>
      <c r="AA388" s="34">
        <f>IF(AND($C388&lt;&gt;"",$C388=HistPlaca),COUNTIF($C$5:$C388,HistPlaca),"")</f>
        <v>0</v>
      </c>
    </row>
    <row r="389" spans="1:27">
      <c r="A389" s="17"/>
      <c r="B389" s="25"/>
      <c r="C389" s="13"/>
      <c r="D389" s="26">
        <f>IF($C389="","",IFERROR(INDEX(VeicCli,MATCH($C389,VeicPlaca,0)),"Placa não cadastrada"))</f>
        <v>0</v>
      </c>
      <c r="E389" s="26">
        <f>IF($C389="","",IFERROR(INDEX(VeicModelo,MATCH($C389,VeicPlaca,0)),""))</f>
        <v>0</v>
      </c>
      <c r="F389" s="28"/>
      <c r="G389" s="13"/>
      <c r="H389" s="13"/>
      <c r="I389" s="13"/>
      <c r="J389" s="29"/>
      <c r="K389" s="19"/>
      <c r="L389" s="19"/>
      <c r="M389" s="25"/>
      <c r="N389" s="13"/>
      <c r="O389" s="19"/>
      <c r="P389" s="27">
        <f>IF($A389="","",N($J389)*ValorHora)</f>
        <v>0</v>
      </c>
      <c r="Q389" s="27">
        <f>IF($A389="","",SUMIFS(ItTotal,ItOS,$A389))</f>
        <v>0</v>
      </c>
      <c r="R389" s="30">
        <f>IF($A389="","",$P389+$Q389+N($K389)-N($L389))</f>
        <v>0</v>
      </c>
      <c r="S389" s="27">
        <f>IF($A389="","",SUMIFS(ItCusto,ItOS,$A389))</f>
        <v>0</v>
      </c>
      <c r="T389" s="27">
        <f>IF($A389="","",$P389*ComMec)</f>
        <v>0</v>
      </c>
      <c r="U389" s="21">
        <f>IF($A389="","",$R389-$S389-$T389-N($K389))</f>
        <v>0</v>
      </c>
      <c r="V389" s="31">
        <f>IF(OR($A389="",N($R389)&lt;=0),"",$U389/$R389)</f>
        <v>0</v>
      </c>
      <c r="W389" s="27">
        <f>IF($A389="","",IF(OR($I389="Finalizado",$I389="Entregue"),MAX(0,$R389-N($O389)),0))</f>
        <v>0</v>
      </c>
      <c r="X389" s="32">
        <f>IF(OR($A389="",$B389=""),"",IF(OR($I389="Entregue",$I389="Cancelada"),"",Hoje-$B389))</f>
        <v>0</v>
      </c>
      <c r="Y389" s="24">
        <f>IF($A389="","",IF(AND(OR($I389="Aprovado",$I389="Em execução",$I389="Aguardando peça"),N($X389)&gt;PrazoMax),"ATRASADA",IF(AND(OR($I389="Finalizado",$I389="Entregue"),$W389&gt;0.005),"Cobrar",IF($I389="Orçamento","Aguardando aprovação",""))))</f>
        <v>0</v>
      </c>
      <c r="Z389" s="33">
        <f>IF(AND($I389="Entregue",$M389&lt;&gt;""),DATE(YEAR($M389),MONTH($M389),1),"")</f>
        <v>0</v>
      </c>
      <c r="AA389" s="34">
        <f>IF(AND($C389&lt;&gt;"",$C389=HistPlaca),COUNTIF($C$5:$C389,HistPlaca),"")</f>
        <v>0</v>
      </c>
    </row>
    <row r="390" spans="1:27">
      <c r="A390" s="17"/>
      <c r="B390" s="25"/>
      <c r="C390" s="13"/>
      <c r="D390" s="26">
        <f>IF($C390="","",IFERROR(INDEX(VeicCli,MATCH($C390,VeicPlaca,0)),"Placa não cadastrada"))</f>
        <v>0</v>
      </c>
      <c r="E390" s="26">
        <f>IF($C390="","",IFERROR(INDEX(VeicModelo,MATCH($C390,VeicPlaca,0)),""))</f>
        <v>0</v>
      </c>
      <c r="F390" s="28"/>
      <c r="G390" s="13"/>
      <c r="H390" s="13"/>
      <c r="I390" s="13"/>
      <c r="J390" s="29"/>
      <c r="K390" s="19"/>
      <c r="L390" s="19"/>
      <c r="M390" s="25"/>
      <c r="N390" s="13"/>
      <c r="O390" s="19"/>
      <c r="P390" s="27">
        <f>IF($A390="","",N($J390)*ValorHora)</f>
        <v>0</v>
      </c>
      <c r="Q390" s="27">
        <f>IF($A390="","",SUMIFS(ItTotal,ItOS,$A390))</f>
        <v>0</v>
      </c>
      <c r="R390" s="30">
        <f>IF($A390="","",$P390+$Q390+N($K390)-N($L390))</f>
        <v>0</v>
      </c>
      <c r="S390" s="27">
        <f>IF($A390="","",SUMIFS(ItCusto,ItOS,$A390))</f>
        <v>0</v>
      </c>
      <c r="T390" s="27">
        <f>IF($A390="","",$P390*ComMec)</f>
        <v>0</v>
      </c>
      <c r="U390" s="21">
        <f>IF($A390="","",$R390-$S390-$T390-N($K390))</f>
        <v>0</v>
      </c>
      <c r="V390" s="31">
        <f>IF(OR($A390="",N($R390)&lt;=0),"",$U390/$R390)</f>
        <v>0</v>
      </c>
      <c r="W390" s="27">
        <f>IF($A390="","",IF(OR($I390="Finalizado",$I390="Entregue"),MAX(0,$R390-N($O390)),0))</f>
        <v>0</v>
      </c>
      <c r="X390" s="32">
        <f>IF(OR($A390="",$B390=""),"",IF(OR($I390="Entregue",$I390="Cancelada"),"",Hoje-$B390))</f>
        <v>0</v>
      </c>
      <c r="Y390" s="24">
        <f>IF($A390="","",IF(AND(OR($I390="Aprovado",$I390="Em execução",$I390="Aguardando peça"),N($X390)&gt;PrazoMax),"ATRASADA",IF(AND(OR($I390="Finalizado",$I390="Entregue"),$W390&gt;0.005),"Cobrar",IF($I390="Orçamento","Aguardando aprovação",""))))</f>
        <v>0</v>
      </c>
      <c r="Z390" s="33">
        <f>IF(AND($I390="Entregue",$M390&lt;&gt;""),DATE(YEAR($M390),MONTH($M390),1),"")</f>
        <v>0</v>
      </c>
      <c r="AA390" s="34">
        <f>IF(AND($C390&lt;&gt;"",$C390=HistPlaca),COUNTIF($C$5:$C390,HistPlaca),"")</f>
        <v>0</v>
      </c>
    </row>
    <row r="391" spans="1:27">
      <c r="A391" s="17"/>
      <c r="B391" s="25"/>
      <c r="C391" s="13"/>
      <c r="D391" s="26">
        <f>IF($C391="","",IFERROR(INDEX(VeicCli,MATCH($C391,VeicPlaca,0)),"Placa não cadastrada"))</f>
        <v>0</v>
      </c>
      <c r="E391" s="26">
        <f>IF($C391="","",IFERROR(INDEX(VeicModelo,MATCH($C391,VeicPlaca,0)),""))</f>
        <v>0</v>
      </c>
      <c r="F391" s="28"/>
      <c r="G391" s="13"/>
      <c r="H391" s="13"/>
      <c r="I391" s="13"/>
      <c r="J391" s="29"/>
      <c r="K391" s="19"/>
      <c r="L391" s="19"/>
      <c r="M391" s="25"/>
      <c r="N391" s="13"/>
      <c r="O391" s="19"/>
      <c r="P391" s="27">
        <f>IF($A391="","",N($J391)*ValorHora)</f>
        <v>0</v>
      </c>
      <c r="Q391" s="27">
        <f>IF($A391="","",SUMIFS(ItTotal,ItOS,$A391))</f>
        <v>0</v>
      </c>
      <c r="R391" s="30">
        <f>IF($A391="","",$P391+$Q391+N($K391)-N($L391))</f>
        <v>0</v>
      </c>
      <c r="S391" s="27">
        <f>IF($A391="","",SUMIFS(ItCusto,ItOS,$A391))</f>
        <v>0</v>
      </c>
      <c r="T391" s="27">
        <f>IF($A391="","",$P391*ComMec)</f>
        <v>0</v>
      </c>
      <c r="U391" s="21">
        <f>IF($A391="","",$R391-$S391-$T391-N($K391))</f>
        <v>0</v>
      </c>
      <c r="V391" s="31">
        <f>IF(OR($A391="",N($R391)&lt;=0),"",$U391/$R391)</f>
        <v>0</v>
      </c>
      <c r="W391" s="27">
        <f>IF($A391="","",IF(OR($I391="Finalizado",$I391="Entregue"),MAX(0,$R391-N($O391)),0))</f>
        <v>0</v>
      </c>
      <c r="X391" s="32">
        <f>IF(OR($A391="",$B391=""),"",IF(OR($I391="Entregue",$I391="Cancelada"),"",Hoje-$B391))</f>
        <v>0</v>
      </c>
      <c r="Y391" s="24">
        <f>IF($A391="","",IF(AND(OR($I391="Aprovado",$I391="Em execução",$I391="Aguardando peça"),N($X391)&gt;PrazoMax),"ATRASADA",IF(AND(OR($I391="Finalizado",$I391="Entregue"),$W391&gt;0.005),"Cobrar",IF($I391="Orçamento","Aguardando aprovação",""))))</f>
        <v>0</v>
      </c>
      <c r="Z391" s="33">
        <f>IF(AND($I391="Entregue",$M391&lt;&gt;""),DATE(YEAR($M391),MONTH($M391),1),"")</f>
        <v>0</v>
      </c>
      <c r="AA391" s="34">
        <f>IF(AND($C391&lt;&gt;"",$C391=HistPlaca),COUNTIF($C$5:$C391,HistPlaca),"")</f>
        <v>0</v>
      </c>
    </row>
    <row r="392" spans="1:27">
      <c r="A392" s="17"/>
      <c r="B392" s="25"/>
      <c r="C392" s="13"/>
      <c r="D392" s="26">
        <f>IF($C392="","",IFERROR(INDEX(VeicCli,MATCH($C392,VeicPlaca,0)),"Placa não cadastrada"))</f>
        <v>0</v>
      </c>
      <c r="E392" s="26">
        <f>IF($C392="","",IFERROR(INDEX(VeicModelo,MATCH($C392,VeicPlaca,0)),""))</f>
        <v>0</v>
      </c>
      <c r="F392" s="28"/>
      <c r="G392" s="13"/>
      <c r="H392" s="13"/>
      <c r="I392" s="13"/>
      <c r="J392" s="29"/>
      <c r="K392" s="19"/>
      <c r="L392" s="19"/>
      <c r="M392" s="25"/>
      <c r="N392" s="13"/>
      <c r="O392" s="19"/>
      <c r="P392" s="27">
        <f>IF($A392="","",N($J392)*ValorHora)</f>
        <v>0</v>
      </c>
      <c r="Q392" s="27">
        <f>IF($A392="","",SUMIFS(ItTotal,ItOS,$A392))</f>
        <v>0</v>
      </c>
      <c r="R392" s="30">
        <f>IF($A392="","",$P392+$Q392+N($K392)-N($L392))</f>
        <v>0</v>
      </c>
      <c r="S392" s="27">
        <f>IF($A392="","",SUMIFS(ItCusto,ItOS,$A392))</f>
        <v>0</v>
      </c>
      <c r="T392" s="27">
        <f>IF($A392="","",$P392*ComMec)</f>
        <v>0</v>
      </c>
      <c r="U392" s="21">
        <f>IF($A392="","",$R392-$S392-$T392-N($K392))</f>
        <v>0</v>
      </c>
      <c r="V392" s="31">
        <f>IF(OR($A392="",N($R392)&lt;=0),"",$U392/$R392)</f>
        <v>0</v>
      </c>
      <c r="W392" s="27">
        <f>IF($A392="","",IF(OR($I392="Finalizado",$I392="Entregue"),MAX(0,$R392-N($O392)),0))</f>
        <v>0</v>
      </c>
      <c r="X392" s="32">
        <f>IF(OR($A392="",$B392=""),"",IF(OR($I392="Entregue",$I392="Cancelada"),"",Hoje-$B392))</f>
        <v>0</v>
      </c>
      <c r="Y392" s="24">
        <f>IF($A392="","",IF(AND(OR($I392="Aprovado",$I392="Em execução",$I392="Aguardando peça"),N($X392)&gt;PrazoMax),"ATRASADA",IF(AND(OR($I392="Finalizado",$I392="Entregue"),$W392&gt;0.005),"Cobrar",IF($I392="Orçamento","Aguardando aprovação",""))))</f>
        <v>0</v>
      </c>
      <c r="Z392" s="33">
        <f>IF(AND($I392="Entregue",$M392&lt;&gt;""),DATE(YEAR($M392),MONTH($M392),1),"")</f>
        <v>0</v>
      </c>
      <c r="AA392" s="34">
        <f>IF(AND($C392&lt;&gt;"",$C392=HistPlaca),COUNTIF($C$5:$C392,HistPlaca),"")</f>
        <v>0</v>
      </c>
    </row>
    <row r="393" spans="1:27">
      <c r="A393" s="17"/>
      <c r="B393" s="25"/>
      <c r="C393" s="13"/>
      <c r="D393" s="26">
        <f>IF($C393="","",IFERROR(INDEX(VeicCli,MATCH($C393,VeicPlaca,0)),"Placa não cadastrada"))</f>
        <v>0</v>
      </c>
      <c r="E393" s="26">
        <f>IF($C393="","",IFERROR(INDEX(VeicModelo,MATCH($C393,VeicPlaca,0)),""))</f>
        <v>0</v>
      </c>
      <c r="F393" s="28"/>
      <c r="G393" s="13"/>
      <c r="H393" s="13"/>
      <c r="I393" s="13"/>
      <c r="J393" s="29"/>
      <c r="K393" s="19"/>
      <c r="L393" s="19"/>
      <c r="M393" s="25"/>
      <c r="N393" s="13"/>
      <c r="O393" s="19"/>
      <c r="P393" s="27">
        <f>IF($A393="","",N($J393)*ValorHora)</f>
        <v>0</v>
      </c>
      <c r="Q393" s="27">
        <f>IF($A393="","",SUMIFS(ItTotal,ItOS,$A393))</f>
        <v>0</v>
      </c>
      <c r="R393" s="30">
        <f>IF($A393="","",$P393+$Q393+N($K393)-N($L393))</f>
        <v>0</v>
      </c>
      <c r="S393" s="27">
        <f>IF($A393="","",SUMIFS(ItCusto,ItOS,$A393))</f>
        <v>0</v>
      </c>
      <c r="T393" s="27">
        <f>IF($A393="","",$P393*ComMec)</f>
        <v>0</v>
      </c>
      <c r="U393" s="21">
        <f>IF($A393="","",$R393-$S393-$T393-N($K393))</f>
        <v>0</v>
      </c>
      <c r="V393" s="31">
        <f>IF(OR($A393="",N($R393)&lt;=0),"",$U393/$R393)</f>
        <v>0</v>
      </c>
      <c r="W393" s="27">
        <f>IF($A393="","",IF(OR($I393="Finalizado",$I393="Entregue"),MAX(0,$R393-N($O393)),0))</f>
        <v>0</v>
      </c>
      <c r="X393" s="32">
        <f>IF(OR($A393="",$B393=""),"",IF(OR($I393="Entregue",$I393="Cancelada"),"",Hoje-$B393))</f>
        <v>0</v>
      </c>
      <c r="Y393" s="24">
        <f>IF($A393="","",IF(AND(OR($I393="Aprovado",$I393="Em execução",$I393="Aguardando peça"),N($X393)&gt;PrazoMax),"ATRASADA",IF(AND(OR($I393="Finalizado",$I393="Entregue"),$W393&gt;0.005),"Cobrar",IF($I393="Orçamento","Aguardando aprovação",""))))</f>
        <v>0</v>
      </c>
      <c r="Z393" s="33">
        <f>IF(AND($I393="Entregue",$M393&lt;&gt;""),DATE(YEAR($M393),MONTH($M393),1),"")</f>
        <v>0</v>
      </c>
      <c r="AA393" s="34">
        <f>IF(AND($C393&lt;&gt;"",$C393=HistPlaca),COUNTIF($C$5:$C393,HistPlaca),"")</f>
        <v>0</v>
      </c>
    </row>
    <row r="394" spans="1:27">
      <c r="A394" s="17"/>
      <c r="B394" s="25"/>
      <c r="C394" s="13"/>
      <c r="D394" s="26">
        <f>IF($C394="","",IFERROR(INDEX(VeicCli,MATCH($C394,VeicPlaca,0)),"Placa não cadastrada"))</f>
        <v>0</v>
      </c>
      <c r="E394" s="26">
        <f>IF($C394="","",IFERROR(INDEX(VeicModelo,MATCH($C394,VeicPlaca,0)),""))</f>
        <v>0</v>
      </c>
      <c r="F394" s="28"/>
      <c r="G394" s="13"/>
      <c r="H394" s="13"/>
      <c r="I394" s="13"/>
      <c r="J394" s="29"/>
      <c r="K394" s="19"/>
      <c r="L394" s="19"/>
      <c r="M394" s="25"/>
      <c r="N394" s="13"/>
      <c r="O394" s="19"/>
      <c r="P394" s="27">
        <f>IF($A394="","",N($J394)*ValorHora)</f>
        <v>0</v>
      </c>
      <c r="Q394" s="27">
        <f>IF($A394="","",SUMIFS(ItTotal,ItOS,$A394))</f>
        <v>0</v>
      </c>
      <c r="R394" s="30">
        <f>IF($A394="","",$P394+$Q394+N($K394)-N($L394))</f>
        <v>0</v>
      </c>
      <c r="S394" s="27">
        <f>IF($A394="","",SUMIFS(ItCusto,ItOS,$A394))</f>
        <v>0</v>
      </c>
      <c r="T394" s="27">
        <f>IF($A394="","",$P394*ComMec)</f>
        <v>0</v>
      </c>
      <c r="U394" s="21">
        <f>IF($A394="","",$R394-$S394-$T394-N($K394))</f>
        <v>0</v>
      </c>
      <c r="V394" s="31">
        <f>IF(OR($A394="",N($R394)&lt;=0),"",$U394/$R394)</f>
        <v>0</v>
      </c>
      <c r="W394" s="27">
        <f>IF($A394="","",IF(OR($I394="Finalizado",$I394="Entregue"),MAX(0,$R394-N($O394)),0))</f>
        <v>0</v>
      </c>
      <c r="X394" s="32">
        <f>IF(OR($A394="",$B394=""),"",IF(OR($I394="Entregue",$I394="Cancelada"),"",Hoje-$B394))</f>
        <v>0</v>
      </c>
      <c r="Y394" s="24">
        <f>IF($A394="","",IF(AND(OR($I394="Aprovado",$I394="Em execução",$I394="Aguardando peça"),N($X394)&gt;PrazoMax),"ATRASADA",IF(AND(OR($I394="Finalizado",$I394="Entregue"),$W394&gt;0.005),"Cobrar",IF($I394="Orçamento","Aguardando aprovação",""))))</f>
        <v>0</v>
      </c>
      <c r="Z394" s="33">
        <f>IF(AND($I394="Entregue",$M394&lt;&gt;""),DATE(YEAR($M394),MONTH($M394),1),"")</f>
        <v>0</v>
      </c>
      <c r="AA394" s="34">
        <f>IF(AND($C394&lt;&gt;"",$C394=HistPlaca),COUNTIF($C$5:$C394,HistPlaca),"")</f>
        <v>0</v>
      </c>
    </row>
    <row r="395" spans="1:27">
      <c r="A395" s="17"/>
      <c r="B395" s="25"/>
      <c r="C395" s="13"/>
      <c r="D395" s="26">
        <f>IF($C395="","",IFERROR(INDEX(VeicCli,MATCH($C395,VeicPlaca,0)),"Placa não cadastrada"))</f>
        <v>0</v>
      </c>
      <c r="E395" s="26">
        <f>IF($C395="","",IFERROR(INDEX(VeicModelo,MATCH($C395,VeicPlaca,0)),""))</f>
        <v>0</v>
      </c>
      <c r="F395" s="28"/>
      <c r="G395" s="13"/>
      <c r="H395" s="13"/>
      <c r="I395" s="13"/>
      <c r="J395" s="29"/>
      <c r="K395" s="19"/>
      <c r="L395" s="19"/>
      <c r="M395" s="25"/>
      <c r="N395" s="13"/>
      <c r="O395" s="19"/>
      <c r="P395" s="27">
        <f>IF($A395="","",N($J395)*ValorHora)</f>
        <v>0</v>
      </c>
      <c r="Q395" s="27">
        <f>IF($A395="","",SUMIFS(ItTotal,ItOS,$A395))</f>
        <v>0</v>
      </c>
      <c r="R395" s="30">
        <f>IF($A395="","",$P395+$Q395+N($K395)-N($L395))</f>
        <v>0</v>
      </c>
      <c r="S395" s="27">
        <f>IF($A395="","",SUMIFS(ItCusto,ItOS,$A395))</f>
        <v>0</v>
      </c>
      <c r="T395" s="27">
        <f>IF($A395="","",$P395*ComMec)</f>
        <v>0</v>
      </c>
      <c r="U395" s="21">
        <f>IF($A395="","",$R395-$S395-$T395-N($K395))</f>
        <v>0</v>
      </c>
      <c r="V395" s="31">
        <f>IF(OR($A395="",N($R395)&lt;=0),"",$U395/$R395)</f>
        <v>0</v>
      </c>
      <c r="W395" s="27">
        <f>IF($A395="","",IF(OR($I395="Finalizado",$I395="Entregue"),MAX(0,$R395-N($O395)),0))</f>
        <v>0</v>
      </c>
      <c r="X395" s="32">
        <f>IF(OR($A395="",$B395=""),"",IF(OR($I395="Entregue",$I395="Cancelada"),"",Hoje-$B395))</f>
        <v>0</v>
      </c>
      <c r="Y395" s="24">
        <f>IF($A395="","",IF(AND(OR($I395="Aprovado",$I395="Em execução",$I395="Aguardando peça"),N($X395)&gt;PrazoMax),"ATRASADA",IF(AND(OR($I395="Finalizado",$I395="Entregue"),$W395&gt;0.005),"Cobrar",IF($I395="Orçamento","Aguardando aprovação",""))))</f>
        <v>0</v>
      </c>
      <c r="Z395" s="33">
        <f>IF(AND($I395="Entregue",$M395&lt;&gt;""),DATE(YEAR($M395),MONTH($M395),1),"")</f>
        <v>0</v>
      </c>
      <c r="AA395" s="34">
        <f>IF(AND($C395&lt;&gt;"",$C395=HistPlaca),COUNTIF($C$5:$C395,HistPlaca),"")</f>
        <v>0</v>
      </c>
    </row>
    <row r="396" spans="1:27">
      <c r="A396" s="17"/>
      <c r="B396" s="25"/>
      <c r="C396" s="13"/>
      <c r="D396" s="26">
        <f>IF($C396="","",IFERROR(INDEX(VeicCli,MATCH($C396,VeicPlaca,0)),"Placa não cadastrada"))</f>
        <v>0</v>
      </c>
      <c r="E396" s="26">
        <f>IF($C396="","",IFERROR(INDEX(VeicModelo,MATCH($C396,VeicPlaca,0)),""))</f>
        <v>0</v>
      </c>
      <c r="F396" s="28"/>
      <c r="G396" s="13"/>
      <c r="H396" s="13"/>
      <c r="I396" s="13"/>
      <c r="J396" s="29"/>
      <c r="K396" s="19"/>
      <c r="L396" s="19"/>
      <c r="M396" s="25"/>
      <c r="N396" s="13"/>
      <c r="O396" s="19"/>
      <c r="P396" s="27">
        <f>IF($A396="","",N($J396)*ValorHora)</f>
        <v>0</v>
      </c>
      <c r="Q396" s="27">
        <f>IF($A396="","",SUMIFS(ItTotal,ItOS,$A396))</f>
        <v>0</v>
      </c>
      <c r="R396" s="30">
        <f>IF($A396="","",$P396+$Q396+N($K396)-N($L396))</f>
        <v>0</v>
      </c>
      <c r="S396" s="27">
        <f>IF($A396="","",SUMIFS(ItCusto,ItOS,$A396))</f>
        <v>0</v>
      </c>
      <c r="T396" s="27">
        <f>IF($A396="","",$P396*ComMec)</f>
        <v>0</v>
      </c>
      <c r="U396" s="21">
        <f>IF($A396="","",$R396-$S396-$T396-N($K396))</f>
        <v>0</v>
      </c>
      <c r="V396" s="31">
        <f>IF(OR($A396="",N($R396)&lt;=0),"",$U396/$R396)</f>
        <v>0</v>
      </c>
      <c r="W396" s="27">
        <f>IF($A396="","",IF(OR($I396="Finalizado",$I396="Entregue"),MAX(0,$R396-N($O396)),0))</f>
        <v>0</v>
      </c>
      <c r="X396" s="32">
        <f>IF(OR($A396="",$B396=""),"",IF(OR($I396="Entregue",$I396="Cancelada"),"",Hoje-$B396))</f>
        <v>0</v>
      </c>
      <c r="Y396" s="24">
        <f>IF($A396="","",IF(AND(OR($I396="Aprovado",$I396="Em execução",$I396="Aguardando peça"),N($X396)&gt;PrazoMax),"ATRASADA",IF(AND(OR($I396="Finalizado",$I396="Entregue"),$W396&gt;0.005),"Cobrar",IF($I396="Orçamento","Aguardando aprovação",""))))</f>
        <v>0</v>
      </c>
      <c r="Z396" s="33">
        <f>IF(AND($I396="Entregue",$M396&lt;&gt;""),DATE(YEAR($M396),MONTH($M396),1),"")</f>
        <v>0</v>
      </c>
      <c r="AA396" s="34">
        <f>IF(AND($C396&lt;&gt;"",$C396=HistPlaca),COUNTIF($C$5:$C396,HistPlaca),"")</f>
        <v>0</v>
      </c>
    </row>
    <row r="397" spans="1:27">
      <c r="A397" s="17"/>
      <c r="B397" s="25"/>
      <c r="C397" s="13"/>
      <c r="D397" s="26">
        <f>IF($C397="","",IFERROR(INDEX(VeicCli,MATCH($C397,VeicPlaca,0)),"Placa não cadastrada"))</f>
        <v>0</v>
      </c>
      <c r="E397" s="26">
        <f>IF($C397="","",IFERROR(INDEX(VeicModelo,MATCH($C397,VeicPlaca,0)),""))</f>
        <v>0</v>
      </c>
      <c r="F397" s="28"/>
      <c r="G397" s="13"/>
      <c r="H397" s="13"/>
      <c r="I397" s="13"/>
      <c r="J397" s="29"/>
      <c r="K397" s="19"/>
      <c r="L397" s="19"/>
      <c r="M397" s="25"/>
      <c r="N397" s="13"/>
      <c r="O397" s="19"/>
      <c r="P397" s="27">
        <f>IF($A397="","",N($J397)*ValorHora)</f>
        <v>0</v>
      </c>
      <c r="Q397" s="27">
        <f>IF($A397="","",SUMIFS(ItTotal,ItOS,$A397))</f>
        <v>0</v>
      </c>
      <c r="R397" s="30">
        <f>IF($A397="","",$P397+$Q397+N($K397)-N($L397))</f>
        <v>0</v>
      </c>
      <c r="S397" s="27">
        <f>IF($A397="","",SUMIFS(ItCusto,ItOS,$A397))</f>
        <v>0</v>
      </c>
      <c r="T397" s="27">
        <f>IF($A397="","",$P397*ComMec)</f>
        <v>0</v>
      </c>
      <c r="U397" s="21">
        <f>IF($A397="","",$R397-$S397-$T397-N($K397))</f>
        <v>0</v>
      </c>
      <c r="V397" s="31">
        <f>IF(OR($A397="",N($R397)&lt;=0),"",$U397/$R397)</f>
        <v>0</v>
      </c>
      <c r="W397" s="27">
        <f>IF($A397="","",IF(OR($I397="Finalizado",$I397="Entregue"),MAX(0,$R397-N($O397)),0))</f>
        <v>0</v>
      </c>
      <c r="X397" s="32">
        <f>IF(OR($A397="",$B397=""),"",IF(OR($I397="Entregue",$I397="Cancelada"),"",Hoje-$B397))</f>
        <v>0</v>
      </c>
      <c r="Y397" s="24">
        <f>IF($A397="","",IF(AND(OR($I397="Aprovado",$I397="Em execução",$I397="Aguardando peça"),N($X397)&gt;PrazoMax),"ATRASADA",IF(AND(OR($I397="Finalizado",$I397="Entregue"),$W397&gt;0.005),"Cobrar",IF($I397="Orçamento","Aguardando aprovação",""))))</f>
        <v>0</v>
      </c>
      <c r="Z397" s="33">
        <f>IF(AND($I397="Entregue",$M397&lt;&gt;""),DATE(YEAR($M397),MONTH($M397),1),"")</f>
        <v>0</v>
      </c>
      <c r="AA397" s="34">
        <f>IF(AND($C397&lt;&gt;"",$C397=HistPlaca),COUNTIF($C$5:$C397,HistPlaca),"")</f>
        <v>0</v>
      </c>
    </row>
    <row r="398" spans="1:27">
      <c r="A398" s="17"/>
      <c r="B398" s="25"/>
      <c r="C398" s="13"/>
      <c r="D398" s="26">
        <f>IF($C398="","",IFERROR(INDEX(VeicCli,MATCH($C398,VeicPlaca,0)),"Placa não cadastrada"))</f>
        <v>0</v>
      </c>
      <c r="E398" s="26">
        <f>IF($C398="","",IFERROR(INDEX(VeicModelo,MATCH($C398,VeicPlaca,0)),""))</f>
        <v>0</v>
      </c>
      <c r="F398" s="28"/>
      <c r="G398" s="13"/>
      <c r="H398" s="13"/>
      <c r="I398" s="13"/>
      <c r="J398" s="29"/>
      <c r="K398" s="19"/>
      <c r="L398" s="19"/>
      <c r="M398" s="25"/>
      <c r="N398" s="13"/>
      <c r="O398" s="19"/>
      <c r="P398" s="27">
        <f>IF($A398="","",N($J398)*ValorHora)</f>
        <v>0</v>
      </c>
      <c r="Q398" s="27">
        <f>IF($A398="","",SUMIFS(ItTotal,ItOS,$A398))</f>
        <v>0</v>
      </c>
      <c r="R398" s="30">
        <f>IF($A398="","",$P398+$Q398+N($K398)-N($L398))</f>
        <v>0</v>
      </c>
      <c r="S398" s="27">
        <f>IF($A398="","",SUMIFS(ItCusto,ItOS,$A398))</f>
        <v>0</v>
      </c>
      <c r="T398" s="27">
        <f>IF($A398="","",$P398*ComMec)</f>
        <v>0</v>
      </c>
      <c r="U398" s="21">
        <f>IF($A398="","",$R398-$S398-$T398-N($K398))</f>
        <v>0</v>
      </c>
      <c r="V398" s="31">
        <f>IF(OR($A398="",N($R398)&lt;=0),"",$U398/$R398)</f>
        <v>0</v>
      </c>
      <c r="W398" s="27">
        <f>IF($A398="","",IF(OR($I398="Finalizado",$I398="Entregue"),MAX(0,$R398-N($O398)),0))</f>
        <v>0</v>
      </c>
      <c r="X398" s="32">
        <f>IF(OR($A398="",$B398=""),"",IF(OR($I398="Entregue",$I398="Cancelada"),"",Hoje-$B398))</f>
        <v>0</v>
      </c>
      <c r="Y398" s="24">
        <f>IF($A398="","",IF(AND(OR($I398="Aprovado",$I398="Em execução",$I398="Aguardando peça"),N($X398)&gt;PrazoMax),"ATRASADA",IF(AND(OR($I398="Finalizado",$I398="Entregue"),$W398&gt;0.005),"Cobrar",IF($I398="Orçamento","Aguardando aprovação",""))))</f>
        <v>0</v>
      </c>
      <c r="Z398" s="33">
        <f>IF(AND($I398="Entregue",$M398&lt;&gt;""),DATE(YEAR($M398),MONTH($M398),1),"")</f>
        <v>0</v>
      </c>
      <c r="AA398" s="34">
        <f>IF(AND($C398&lt;&gt;"",$C398=HistPlaca),COUNTIF($C$5:$C398,HistPlaca),"")</f>
        <v>0</v>
      </c>
    </row>
    <row r="399" spans="1:27">
      <c r="A399" s="17"/>
      <c r="B399" s="25"/>
      <c r="C399" s="13"/>
      <c r="D399" s="26">
        <f>IF($C399="","",IFERROR(INDEX(VeicCli,MATCH($C399,VeicPlaca,0)),"Placa não cadastrada"))</f>
        <v>0</v>
      </c>
      <c r="E399" s="26">
        <f>IF($C399="","",IFERROR(INDEX(VeicModelo,MATCH($C399,VeicPlaca,0)),""))</f>
        <v>0</v>
      </c>
      <c r="F399" s="28"/>
      <c r="G399" s="13"/>
      <c r="H399" s="13"/>
      <c r="I399" s="13"/>
      <c r="J399" s="29"/>
      <c r="K399" s="19"/>
      <c r="L399" s="19"/>
      <c r="M399" s="25"/>
      <c r="N399" s="13"/>
      <c r="O399" s="19"/>
      <c r="P399" s="27">
        <f>IF($A399="","",N($J399)*ValorHora)</f>
        <v>0</v>
      </c>
      <c r="Q399" s="27">
        <f>IF($A399="","",SUMIFS(ItTotal,ItOS,$A399))</f>
        <v>0</v>
      </c>
      <c r="R399" s="30">
        <f>IF($A399="","",$P399+$Q399+N($K399)-N($L399))</f>
        <v>0</v>
      </c>
      <c r="S399" s="27">
        <f>IF($A399="","",SUMIFS(ItCusto,ItOS,$A399))</f>
        <v>0</v>
      </c>
      <c r="T399" s="27">
        <f>IF($A399="","",$P399*ComMec)</f>
        <v>0</v>
      </c>
      <c r="U399" s="21">
        <f>IF($A399="","",$R399-$S399-$T399-N($K399))</f>
        <v>0</v>
      </c>
      <c r="V399" s="31">
        <f>IF(OR($A399="",N($R399)&lt;=0),"",$U399/$R399)</f>
        <v>0</v>
      </c>
      <c r="W399" s="27">
        <f>IF($A399="","",IF(OR($I399="Finalizado",$I399="Entregue"),MAX(0,$R399-N($O399)),0))</f>
        <v>0</v>
      </c>
      <c r="X399" s="32">
        <f>IF(OR($A399="",$B399=""),"",IF(OR($I399="Entregue",$I399="Cancelada"),"",Hoje-$B399))</f>
        <v>0</v>
      </c>
      <c r="Y399" s="24">
        <f>IF($A399="","",IF(AND(OR($I399="Aprovado",$I399="Em execução",$I399="Aguardando peça"),N($X399)&gt;PrazoMax),"ATRASADA",IF(AND(OR($I399="Finalizado",$I399="Entregue"),$W399&gt;0.005),"Cobrar",IF($I399="Orçamento","Aguardando aprovação",""))))</f>
        <v>0</v>
      </c>
      <c r="Z399" s="33">
        <f>IF(AND($I399="Entregue",$M399&lt;&gt;""),DATE(YEAR($M399),MONTH($M399),1),"")</f>
        <v>0</v>
      </c>
      <c r="AA399" s="34">
        <f>IF(AND($C399&lt;&gt;"",$C399=HistPlaca),COUNTIF($C$5:$C399,HistPlaca),"")</f>
        <v>0</v>
      </c>
    </row>
    <row r="400" spans="1:27">
      <c r="A400" s="17"/>
      <c r="B400" s="25"/>
      <c r="C400" s="13"/>
      <c r="D400" s="26">
        <f>IF($C400="","",IFERROR(INDEX(VeicCli,MATCH($C400,VeicPlaca,0)),"Placa não cadastrada"))</f>
        <v>0</v>
      </c>
      <c r="E400" s="26">
        <f>IF($C400="","",IFERROR(INDEX(VeicModelo,MATCH($C400,VeicPlaca,0)),""))</f>
        <v>0</v>
      </c>
      <c r="F400" s="28"/>
      <c r="G400" s="13"/>
      <c r="H400" s="13"/>
      <c r="I400" s="13"/>
      <c r="J400" s="29"/>
      <c r="K400" s="19"/>
      <c r="L400" s="19"/>
      <c r="M400" s="25"/>
      <c r="N400" s="13"/>
      <c r="O400" s="19"/>
      <c r="P400" s="27">
        <f>IF($A400="","",N($J400)*ValorHora)</f>
        <v>0</v>
      </c>
      <c r="Q400" s="27">
        <f>IF($A400="","",SUMIFS(ItTotal,ItOS,$A400))</f>
        <v>0</v>
      </c>
      <c r="R400" s="30">
        <f>IF($A400="","",$P400+$Q400+N($K400)-N($L400))</f>
        <v>0</v>
      </c>
      <c r="S400" s="27">
        <f>IF($A400="","",SUMIFS(ItCusto,ItOS,$A400))</f>
        <v>0</v>
      </c>
      <c r="T400" s="27">
        <f>IF($A400="","",$P400*ComMec)</f>
        <v>0</v>
      </c>
      <c r="U400" s="21">
        <f>IF($A400="","",$R400-$S400-$T400-N($K400))</f>
        <v>0</v>
      </c>
      <c r="V400" s="31">
        <f>IF(OR($A400="",N($R400)&lt;=0),"",$U400/$R400)</f>
        <v>0</v>
      </c>
      <c r="W400" s="27">
        <f>IF($A400="","",IF(OR($I400="Finalizado",$I400="Entregue"),MAX(0,$R400-N($O400)),0))</f>
        <v>0</v>
      </c>
      <c r="X400" s="32">
        <f>IF(OR($A400="",$B400=""),"",IF(OR($I400="Entregue",$I400="Cancelada"),"",Hoje-$B400))</f>
        <v>0</v>
      </c>
      <c r="Y400" s="24">
        <f>IF($A400="","",IF(AND(OR($I400="Aprovado",$I400="Em execução",$I400="Aguardando peça"),N($X400)&gt;PrazoMax),"ATRASADA",IF(AND(OR($I400="Finalizado",$I400="Entregue"),$W400&gt;0.005),"Cobrar",IF($I400="Orçamento","Aguardando aprovação",""))))</f>
        <v>0</v>
      </c>
      <c r="Z400" s="33">
        <f>IF(AND($I400="Entregue",$M400&lt;&gt;""),DATE(YEAR($M400),MONTH($M400),1),"")</f>
        <v>0</v>
      </c>
      <c r="AA400" s="34">
        <f>IF(AND($C400&lt;&gt;"",$C400=HistPlaca),COUNTIF($C$5:$C400,HistPlaca),"")</f>
        <v>0</v>
      </c>
    </row>
    <row r="401" spans="1:27">
      <c r="A401" s="17"/>
      <c r="B401" s="25"/>
      <c r="C401" s="13"/>
      <c r="D401" s="26">
        <f>IF($C401="","",IFERROR(INDEX(VeicCli,MATCH($C401,VeicPlaca,0)),"Placa não cadastrada"))</f>
        <v>0</v>
      </c>
      <c r="E401" s="26">
        <f>IF($C401="","",IFERROR(INDEX(VeicModelo,MATCH($C401,VeicPlaca,0)),""))</f>
        <v>0</v>
      </c>
      <c r="F401" s="28"/>
      <c r="G401" s="13"/>
      <c r="H401" s="13"/>
      <c r="I401" s="13"/>
      <c r="J401" s="29"/>
      <c r="K401" s="19"/>
      <c r="L401" s="19"/>
      <c r="M401" s="25"/>
      <c r="N401" s="13"/>
      <c r="O401" s="19"/>
      <c r="P401" s="27">
        <f>IF($A401="","",N($J401)*ValorHora)</f>
        <v>0</v>
      </c>
      <c r="Q401" s="27">
        <f>IF($A401="","",SUMIFS(ItTotal,ItOS,$A401))</f>
        <v>0</v>
      </c>
      <c r="R401" s="30">
        <f>IF($A401="","",$P401+$Q401+N($K401)-N($L401))</f>
        <v>0</v>
      </c>
      <c r="S401" s="27">
        <f>IF($A401="","",SUMIFS(ItCusto,ItOS,$A401))</f>
        <v>0</v>
      </c>
      <c r="T401" s="27">
        <f>IF($A401="","",$P401*ComMec)</f>
        <v>0</v>
      </c>
      <c r="U401" s="21">
        <f>IF($A401="","",$R401-$S401-$T401-N($K401))</f>
        <v>0</v>
      </c>
      <c r="V401" s="31">
        <f>IF(OR($A401="",N($R401)&lt;=0),"",$U401/$R401)</f>
        <v>0</v>
      </c>
      <c r="W401" s="27">
        <f>IF($A401="","",IF(OR($I401="Finalizado",$I401="Entregue"),MAX(0,$R401-N($O401)),0))</f>
        <v>0</v>
      </c>
      <c r="X401" s="32">
        <f>IF(OR($A401="",$B401=""),"",IF(OR($I401="Entregue",$I401="Cancelada"),"",Hoje-$B401))</f>
        <v>0</v>
      </c>
      <c r="Y401" s="24">
        <f>IF($A401="","",IF(AND(OR($I401="Aprovado",$I401="Em execução",$I401="Aguardando peça"),N($X401)&gt;PrazoMax),"ATRASADA",IF(AND(OR($I401="Finalizado",$I401="Entregue"),$W401&gt;0.005),"Cobrar",IF($I401="Orçamento","Aguardando aprovação",""))))</f>
        <v>0</v>
      </c>
      <c r="Z401" s="33">
        <f>IF(AND($I401="Entregue",$M401&lt;&gt;""),DATE(YEAR($M401),MONTH($M401),1),"")</f>
        <v>0</v>
      </c>
      <c r="AA401" s="34">
        <f>IF(AND($C401&lt;&gt;"",$C401=HistPlaca),COUNTIF($C$5:$C401,HistPlaca),"")</f>
        <v>0</v>
      </c>
    </row>
    <row r="402" spans="1:27">
      <c r="A402" s="17"/>
      <c r="B402" s="25"/>
      <c r="C402" s="13"/>
      <c r="D402" s="26">
        <f>IF($C402="","",IFERROR(INDEX(VeicCli,MATCH($C402,VeicPlaca,0)),"Placa não cadastrada"))</f>
        <v>0</v>
      </c>
      <c r="E402" s="26">
        <f>IF($C402="","",IFERROR(INDEX(VeicModelo,MATCH($C402,VeicPlaca,0)),""))</f>
        <v>0</v>
      </c>
      <c r="F402" s="28"/>
      <c r="G402" s="13"/>
      <c r="H402" s="13"/>
      <c r="I402" s="13"/>
      <c r="J402" s="29"/>
      <c r="K402" s="19"/>
      <c r="L402" s="19"/>
      <c r="M402" s="25"/>
      <c r="N402" s="13"/>
      <c r="O402" s="19"/>
      <c r="P402" s="27">
        <f>IF($A402="","",N($J402)*ValorHora)</f>
        <v>0</v>
      </c>
      <c r="Q402" s="27">
        <f>IF($A402="","",SUMIFS(ItTotal,ItOS,$A402))</f>
        <v>0</v>
      </c>
      <c r="R402" s="30">
        <f>IF($A402="","",$P402+$Q402+N($K402)-N($L402))</f>
        <v>0</v>
      </c>
      <c r="S402" s="27">
        <f>IF($A402="","",SUMIFS(ItCusto,ItOS,$A402))</f>
        <v>0</v>
      </c>
      <c r="T402" s="27">
        <f>IF($A402="","",$P402*ComMec)</f>
        <v>0</v>
      </c>
      <c r="U402" s="21">
        <f>IF($A402="","",$R402-$S402-$T402-N($K402))</f>
        <v>0</v>
      </c>
      <c r="V402" s="31">
        <f>IF(OR($A402="",N($R402)&lt;=0),"",$U402/$R402)</f>
        <v>0</v>
      </c>
      <c r="W402" s="27">
        <f>IF($A402="","",IF(OR($I402="Finalizado",$I402="Entregue"),MAX(0,$R402-N($O402)),0))</f>
        <v>0</v>
      </c>
      <c r="X402" s="32">
        <f>IF(OR($A402="",$B402=""),"",IF(OR($I402="Entregue",$I402="Cancelada"),"",Hoje-$B402))</f>
        <v>0</v>
      </c>
      <c r="Y402" s="24">
        <f>IF($A402="","",IF(AND(OR($I402="Aprovado",$I402="Em execução",$I402="Aguardando peça"),N($X402)&gt;PrazoMax),"ATRASADA",IF(AND(OR($I402="Finalizado",$I402="Entregue"),$W402&gt;0.005),"Cobrar",IF($I402="Orçamento","Aguardando aprovação",""))))</f>
        <v>0</v>
      </c>
      <c r="Z402" s="33">
        <f>IF(AND($I402="Entregue",$M402&lt;&gt;""),DATE(YEAR($M402),MONTH($M402),1),"")</f>
        <v>0</v>
      </c>
      <c r="AA402" s="34">
        <f>IF(AND($C402&lt;&gt;"",$C402=HistPlaca),COUNTIF($C$5:$C402,HistPlaca),"")</f>
        <v>0</v>
      </c>
    </row>
    <row r="403" spans="1:27">
      <c r="A403" s="17"/>
      <c r="B403" s="25"/>
      <c r="C403" s="13"/>
      <c r="D403" s="26">
        <f>IF($C403="","",IFERROR(INDEX(VeicCli,MATCH($C403,VeicPlaca,0)),"Placa não cadastrada"))</f>
        <v>0</v>
      </c>
      <c r="E403" s="26">
        <f>IF($C403="","",IFERROR(INDEX(VeicModelo,MATCH($C403,VeicPlaca,0)),""))</f>
        <v>0</v>
      </c>
      <c r="F403" s="28"/>
      <c r="G403" s="13"/>
      <c r="H403" s="13"/>
      <c r="I403" s="13"/>
      <c r="J403" s="29"/>
      <c r="K403" s="19"/>
      <c r="L403" s="19"/>
      <c r="M403" s="25"/>
      <c r="N403" s="13"/>
      <c r="O403" s="19"/>
      <c r="P403" s="27">
        <f>IF($A403="","",N($J403)*ValorHora)</f>
        <v>0</v>
      </c>
      <c r="Q403" s="27">
        <f>IF($A403="","",SUMIFS(ItTotal,ItOS,$A403))</f>
        <v>0</v>
      </c>
      <c r="R403" s="30">
        <f>IF($A403="","",$P403+$Q403+N($K403)-N($L403))</f>
        <v>0</v>
      </c>
      <c r="S403" s="27">
        <f>IF($A403="","",SUMIFS(ItCusto,ItOS,$A403))</f>
        <v>0</v>
      </c>
      <c r="T403" s="27">
        <f>IF($A403="","",$P403*ComMec)</f>
        <v>0</v>
      </c>
      <c r="U403" s="21">
        <f>IF($A403="","",$R403-$S403-$T403-N($K403))</f>
        <v>0</v>
      </c>
      <c r="V403" s="31">
        <f>IF(OR($A403="",N($R403)&lt;=0),"",$U403/$R403)</f>
        <v>0</v>
      </c>
      <c r="W403" s="27">
        <f>IF($A403="","",IF(OR($I403="Finalizado",$I403="Entregue"),MAX(0,$R403-N($O403)),0))</f>
        <v>0</v>
      </c>
      <c r="X403" s="32">
        <f>IF(OR($A403="",$B403=""),"",IF(OR($I403="Entregue",$I403="Cancelada"),"",Hoje-$B403))</f>
        <v>0</v>
      </c>
      <c r="Y403" s="24">
        <f>IF($A403="","",IF(AND(OR($I403="Aprovado",$I403="Em execução",$I403="Aguardando peça"),N($X403)&gt;PrazoMax),"ATRASADA",IF(AND(OR($I403="Finalizado",$I403="Entregue"),$W403&gt;0.005),"Cobrar",IF($I403="Orçamento","Aguardando aprovação",""))))</f>
        <v>0</v>
      </c>
      <c r="Z403" s="33">
        <f>IF(AND($I403="Entregue",$M403&lt;&gt;""),DATE(YEAR($M403),MONTH($M403),1),"")</f>
        <v>0</v>
      </c>
      <c r="AA403" s="34">
        <f>IF(AND($C403&lt;&gt;"",$C403=HistPlaca),COUNTIF($C$5:$C403,HistPlaca),"")</f>
        <v>0</v>
      </c>
    </row>
    <row r="404" spans="1:27">
      <c r="A404" s="17"/>
      <c r="B404" s="25"/>
      <c r="C404" s="13"/>
      <c r="D404" s="26">
        <f>IF($C404="","",IFERROR(INDEX(VeicCli,MATCH($C404,VeicPlaca,0)),"Placa não cadastrada"))</f>
        <v>0</v>
      </c>
      <c r="E404" s="26">
        <f>IF($C404="","",IFERROR(INDEX(VeicModelo,MATCH($C404,VeicPlaca,0)),""))</f>
        <v>0</v>
      </c>
      <c r="F404" s="28"/>
      <c r="G404" s="13"/>
      <c r="H404" s="13"/>
      <c r="I404" s="13"/>
      <c r="J404" s="29"/>
      <c r="K404" s="19"/>
      <c r="L404" s="19"/>
      <c r="M404" s="25"/>
      <c r="N404" s="13"/>
      <c r="O404" s="19"/>
      <c r="P404" s="27">
        <f>IF($A404="","",N($J404)*ValorHora)</f>
        <v>0</v>
      </c>
      <c r="Q404" s="27">
        <f>IF($A404="","",SUMIFS(ItTotal,ItOS,$A404))</f>
        <v>0</v>
      </c>
      <c r="R404" s="30">
        <f>IF($A404="","",$P404+$Q404+N($K404)-N($L404))</f>
        <v>0</v>
      </c>
      <c r="S404" s="27">
        <f>IF($A404="","",SUMIFS(ItCusto,ItOS,$A404))</f>
        <v>0</v>
      </c>
      <c r="T404" s="27">
        <f>IF($A404="","",$P404*ComMec)</f>
        <v>0</v>
      </c>
      <c r="U404" s="21">
        <f>IF($A404="","",$R404-$S404-$T404-N($K404))</f>
        <v>0</v>
      </c>
      <c r="V404" s="31">
        <f>IF(OR($A404="",N($R404)&lt;=0),"",$U404/$R404)</f>
        <v>0</v>
      </c>
      <c r="W404" s="27">
        <f>IF($A404="","",IF(OR($I404="Finalizado",$I404="Entregue"),MAX(0,$R404-N($O404)),0))</f>
        <v>0</v>
      </c>
      <c r="X404" s="32">
        <f>IF(OR($A404="",$B404=""),"",IF(OR($I404="Entregue",$I404="Cancelada"),"",Hoje-$B404))</f>
        <v>0</v>
      </c>
      <c r="Y404" s="24">
        <f>IF($A404="","",IF(AND(OR($I404="Aprovado",$I404="Em execução",$I404="Aguardando peça"),N($X404)&gt;PrazoMax),"ATRASADA",IF(AND(OR($I404="Finalizado",$I404="Entregue"),$W404&gt;0.005),"Cobrar",IF($I404="Orçamento","Aguardando aprovação",""))))</f>
        <v>0</v>
      </c>
      <c r="Z404" s="33">
        <f>IF(AND($I404="Entregue",$M404&lt;&gt;""),DATE(YEAR($M404),MONTH($M404),1),"")</f>
        <v>0</v>
      </c>
      <c r="AA404" s="34">
        <f>IF(AND($C404&lt;&gt;"",$C404=HistPlaca),COUNTIF($C$5:$C404,HistPlaca),"")</f>
        <v>0</v>
      </c>
    </row>
    <row r="405" spans="1:27">
      <c r="A405" s="17"/>
      <c r="B405" s="25"/>
      <c r="C405" s="13"/>
      <c r="D405" s="26">
        <f>IF($C405="","",IFERROR(INDEX(VeicCli,MATCH($C405,VeicPlaca,0)),"Placa não cadastrada"))</f>
        <v>0</v>
      </c>
      <c r="E405" s="26">
        <f>IF($C405="","",IFERROR(INDEX(VeicModelo,MATCH($C405,VeicPlaca,0)),""))</f>
        <v>0</v>
      </c>
      <c r="F405" s="28"/>
      <c r="G405" s="13"/>
      <c r="H405" s="13"/>
      <c r="I405" s="13"/>
      <c r="J405" s="29"/>
      <c r="K405" s="19"/>
      <c r="L405" s="19"/>
      <c r="M405" s="25"/>
      <c r="N405" s="13"/>
      <c r="O405" s="19"/>
      <c r="P405" s="27">
        <f>IF($A405="","",N($J405)*ValorHora)</f>
        <v>0</v>
      </c>
      <c r="Q405" s="27">
        <f>IF($A405="","",SUMIFS(ItTotal,ItOS,$A405))</f>
        <v>0</v>
      </c>
      <c r="R405" s="30">
        <f>IF($A405="","",$P405+$Q405+N($K405)-N($L405))</f>
        <v>0</v>
      </c>
      <c r="S405" s="27">
        <f>IF($A405="","",SUMIFS(ItCusto,ItOS,$A405))</f>
        <v>0</v>
      </c>
      <c r="T405" s="27">
        <f>IF($A405="","",$P405*ComMec)</f>
        <v>0</v>
      </c>
      <c r="U405" s="21">
        <f>IF($A405="","",$R405-$S405-$T405-N($K405))</f>
        <v>0</v>
      </c>
      <c r="V405" s="31">
        <f>IF(OR($A405="",N($R405)&lt;=0),"",$U405/$R405)</f>
        <v>0</v>
      </c>
      <c r="W405" s="27">
        <f>IF($A405="","",IF(OR($I405="Finalizado",$I405="Entregue"),MAX(0,$R405-N($O405)),0))</f>
        <v>0</v>
      </c>
      <c r="X405" s="32">
        <f>IF(OR($A405="",$B405=""),"",IF(OR($I405="Entregue",$I405="Cancelada"),"",Hoje-$B405))</f>
        <v>0</v>
      </c>
      <c r="Y405" s="24">
        <f>IF($A405="","",IF(AND(OR($I405="Aprovado",$I405="Em execução",$I405="Aguardando peça"),N($X405)&gt;PrazoMax),"ATRASADA",IF(AND(OR($I405="Finalizado",$I405="Entregue"),$W405&gt;0.005),"Cobrar",IF($I405="Orçamento","Aguardando aprovação",""))))</f>
        <v>0</v>
      </c>
      <c r="Z405" s="33">
        <f>IF(AND($I405="Entregue",$M405&lt;&gt;""),DATE(YEAR($M405),MONTH($M405),1),"")</f>
        <v>0</v>
      </c>
      <c r="AA405" s="34">
        <f>IF(AND($C405&lt;&gt;"",$C405=HistPlaca),COUNTIF($C$5:$C405,HistPlaca),"")</f>
        <v>0</v>
      </c>
    </row>
    <row r="406" spans="1:27">
      <c r="A406" s="17"/>
      <c r="B406" s="25"/>
      <c r="C406" s="13"/>
      <c r="D406" s="26">
        <f>IF($C406="","",IFERROR(INDEX(VeicCli,MATCH($C406,VeicPlaca,0)),"Placa não cadastrada"))</f>
        <v>0</v>
      </c>
      <c r="E406" s="26">
        <f>IF($C406="","",IFERROR(INDEX(VeicModelo,MATCH($C406,VeicPlaca,0)),""))</f>
        <v>0</v>
      </c>
      <c r="F406" s="28"/>
      <c r="G406" s="13"/>
      <c r="H406" s="13"/>
      <c r="I406" s="13"/>
      <c r="J406" s="29"/>
      <c r="K406" s="19"/>
      <c r="L406" s="19"/>
      <c r="M406" s="25"/>
      <c r="N406" s="13"/>
      <c r="O406" s="19"/>
      <c r="P406" s="27">
        <f>IF($A406="","",N($J406)*ValorHora)</f>
        <v>0</v>
      </c>
      <c r="Q406" s="27">
        <f>IF($A406="","",SUMIFS(ItTotal,ItOS,$A406))</f>
        <v>0</v>
      </c>
      <c r="R406" s="30">
        <f>IF($A406="","",$P406+$Q406+N($K406)-N($L406))</f>
        <v>0</v>
      </c>
      <c r="S406" s="27">
        <f>IF($A406="","",SUMIFS(ItCusto,ItOS,$A406))</f>
        <v>0</v>
      </c>
      <c r="T406" s="27">
        <f>IF($A406="","",$P406*ComMec)</f>
        <v>0</v>
      </c>
      <c r="U406" s="21">
        <f>IF($A406="","",$R406-$S406-$T406-N($K406))</f>
        <v>0</v>
      </c>
      <c r="V406" s="31">
        <f>IF(OR($A406="",N($R406)&lt;=0),"",$U406/$R406)</f>
        <v>0</v>
      </c>
      <c r="W406" s="27">
        <f>IF($A406="","",IF(OR($I406="Finalizado",$I406="Entregue"),MAX(0,$R406-N($O406)),0))</f>
        <v>0</v>
      </c>
      <c r="X406" s="32">
        <f>IF(OR($A406="",$B406=""),"",IF(OR($I406="Entregue",$I406="Cancelada"),"",Hoje-$B406))</f>
        <v>0</v>
      </c>
      <c r="Y406" s="24">
        <f>IF($A406="","",IF(AND(OR($I406="Aprovado",$I406="Em execução",$I406="Aguardando peça"),N($X406)&gt;PrazoMax),"ATRASADA",IF(AND(OR($I406="Finalizado",$I406="Entregue"),$W406&gt;0.005),"Cobrar",IF($I406="Orçamento","Aguardando aprovação",""))))</f>
        <v>0</v>
      </c>
      <c r="Z406" s="33">
        <f>IF(AND($I406="Entregue",$M406&lt;&gt;""),DATE(YEAR($M406),MONTH($M406),1),"")</f>
        <v>0</v>
      </c>
      <c r="AA406" s="34">
        <f>IF(AND($C406&lt;&gt;"",$C406=HistPlaca),COUNTIF($C$5:$C406,HistPlaca),"")</f>
        <v>0</v>
      </c>
    </row>
    <row r="407" spans="1:27">
      <c r="A407" s="17"/>
      <c r="B407" s="25"/>
      <c r="C407" s="13"/>
      <c r="D407" s="26">
        <f>IF($C407="","",IFERROR(INDEX(VeicCli,MATCH($C407,VeicPlaca,0)),"Placa não cadastrada"))</f>
        <v>0</v>
      </c>
      <c r="E407" s="26">
        <f>IF($C407="","",IFERROR(INDEX(VeicModelo,MATCH($C407,VeicPlaca,0)),""))</f>
        <v>0</v>
      </c>
      <c r="F407" s="28"/>
      <c r="G407" s="13"/>
      <c r="H407" s="13"/>
      <c r="I407" s="13"/>
      <c r="J407" s="29"/>
      <c r="K407" s="19"/>
      <c r="L407" s="19"/>
      <c r="M407" s="25"/>
      <c r="N407" s="13"/>
      <c r="O407" s="19"/>
      <c r="P407" s="27">
        <f>IF($A407="","",N($J407)*ValorHora)</f>
        <v>0</v>
      </c>
      <c r="Q407" s="27">
        <f>IF($A407="","",SUMIFS(ItTotal,ItOS,$A407))</f>
        <v>0</v>
      </c>
      <c r="R407" s="30">
        <f>IF($A407="","",$P407+$Q407+N($K407)-N($L407))</f>
        <v>0</v>
      </c>
      <c r="S407" s="27">
        <f>IF($A407="","",SUMIFS(ItCusto,ItOS,$A407))</f>
        <v>0</v>
      </c>
      <c r="T407" s="27">
        <f>IF($A407="","",$P407*ComMec)</f>
        <v>0</v>
      </c>
      <c r="U407" s="21">
        <f>IF($A407="","",$R407-$S407-$T407-N($K407))</f>
        <v>0</v>
      </c>
      <c r="V407" s="31">
        <f>IF(OR($A407="",N($R407)&lt;=0),"",$U407/$R407)</f>
        <v>0</v>
      </c>
      <c r="W407" s="27">
        <f>IF($A407="","",IF(OR($I407="Finalizado",$I407="Entregue"),MAX(0,$R407-N($O407)),0))</f>
        <v>0</v>
      </c>
      <c r="X407" s="32">
        <f>IF(OR($A407="",$B407=""),"",IF(OR($I407="Entregue",$I407="Cancelada"),"",Hoje-$B407))</f>
        <v>0</v>
      </c>
      <c r="Y407" s="24">
        <f>IF($A407="","",IF(AND(OR($I407="Aprovado",$I407="Em execução",$I407="Aguardando peça"),N($X407)&gt;PrazoMax),"ATRASADA",IF(AND(OR($I407="Finalizado",$I407="Entregue"),$W407&gt;0.005),"Cobrar",IF($I407="Orçamento","Aguardando aprovação",""))))</f>
        <v>0</v>
      </c>
      <c r="Z407" s="33">
        <f>IF(AND($I407="Entregue",$M407&lt;&gt;""),DATE(YEAR($M407),MONTH($M407),1),"")</f>
        <v>0</v>
      </c>
      <c r="AA407" s="34">
        <f>IF(AND($C407&lt;&gt;"",$C407=HistPlaca),COUNTIF($C$5:$C407,HistPlaca),"")</f>
        <v>0</v>
      </c>
    </row>
    <row r="408" spans="1:27">
      <c r="A408" s="17"/>
      <c r="B408" s="25"/>
      <c r="C408" s="13"/>
      <c r="D408" s="26">
        <f>IF($C408="","",IFERROR(INDEX(VeicCli,MATCH($C408,VeicPlaca,0)),"Placa não cadastrada"))</f>
        <v>0</v>
      </c>
      <c r="E408" s="26">
        <f>IF($C408="","",IFERROR(INDEX(VeicModelo,MATCH($C408,VeicPlaca,0)),""))</f>
        <v>0</v>
      </c>
      <c r="F408" s="28"/>
      <c r="G408" s="13"/>
      <c r="H408" s="13"/>
      <c r="I408" s="13"/>
      <c r="J408" s="29"/>
      <c r="K408" s="19"/>
      <c r="L408" s="19"/>
      <c r="M408" s="25"/>
      <c r="N408" s="13"/>
      <c r="O408" s="19"/>
      <c r="P408" s="27">
        <f>IF($A408="","",N($J408)*ValorHora)</f>
        <v>0</v>
      </c>
      <c r="Q408" s="27">
        <f>IF($A408="","",SUMIFS(ItTotal,ItOS,$A408))</f>
        <v>0</v>
      </c>
      <c r="R408" s="30">
        <f>IF($A408="","",$P408+$Q408+N($K408)-N($L408))</f>
        <v>0</v>
      </c>
      <c r="S408" s="27">
        <f>IF($A408="","",SUMIFS(ItCusto,ItOS,$A408))</f>
        <v>0</v>
      </c>
      <c r="T408" s="27">
        <f>IF($A408="","",$P408*ComMec)</f>
        <v>0</v>
      </c>
      <c r="U408" s="21">
        <f>IF($A408="","",$R408-$S408-$T408-N($K408))</f>
        <v>0</v>
      </c>
      <c r="V408" s="31">
        <f>IF(OR($A408="",N($R408)&lt;=0),"",$U408/$R408)</f>
        <v>0</v>
      </c>
      <c r="W408" s="27">
        <f>IF($A408="","",IF(OR($I408="Finalizado",$I408="Entregue"),MAX(0,$R408-N($O408)),0))</f>
        <v>0</v>
      </c>
      <c r="X408" s="32">
        <f>IF(OR($A408="",$B408=""),"",IF(OR($I408="Entregue",$I408="Cancelada"),"",Hoje-$B408))</f>
        <v>0</v>
      </c>
      <c r="Y408" s="24">
        <f>IF($A408="","",IF(AND(OR($I408="Aprovado",$I408="Em execução",$I408="Aguardando peça"),N($X408)&gt;PrazoMax),"ATRASADA",IF(AND(OR($I408="Finalizado",$I408="Entregue"),$W408&gt;0.005),"Cobrar",IF($I408="Orçamento","Aguardando aprovação",""))))</f>
        <v>0</v>
      </c>
      <c r="Z408" s="33">
        <f>IF(AND($I408="Entregue",$M408&lt;&gt;""),DATE(YEAR($M408),MONTH($M408),1),"")</f>
        <v>0</v>
      </c>
      <c r="AA408" s="34">
        <f>IF(AND($C408&lt;&gt;"",$C408=HistPlaca),COUNTIF($C$5:$C408,HistPlaca),"")</f>
        <v>0</v>
      </c>
    </row>
    <row r="409" spans="1:27">
      <c r="A409" s="17"/>
      <c r="B409" s="25"/>
      <c r="C409" s="13"/>
      <c r="D409" s="26">
        <f>IF($C409="","",IFERROR(INDEX(VeicCli,MATCH($C409,VeicPlaca,0)),"Placa não cadastrada"))</f>
        <v>0</v>
      </c>
      <c r="E409" s="26">
        <f>IF($C409="","",IFERROR(INDEX(VeicModelo,MATCH($C409,VeicPlaca,0)),""))</f>
        <v>0</v>
      </c>
      <c r="F409" s="28"/>
      <c r="G409" s="13"/>
      <c r="H409" s="13"/>
      <c r="I409" s="13"/>
      <c r="J409" s="29"/>
      <c r="K409" s="19"/>
      <c r="L409" s="19"/>
      <c r="M409" s="25"/>
      <c r="N409" s="13"/>
      <c r="O409" s="19"/>
      <c r="P409" s="27">
        <f>IF($A409="","",N($J409)*ValorHora)</f>
        <v>0</v>
      </c>
      <c r="Q409" s="27">
        <f>IF($A409="","",SUMIFS(ItTotal,ItOS,$A409))</f>
        <v>0</v>
      </c>
      <c r="R409" s="30">
        <f>IF($A409="","",$P409+$Q409+N($K409)-N($L409))</f>
        <v>0</v>
      </c>
      <c r="S409" s="27">
        <f>IF($A409="","",SUMIFS(ItCusto,ItOS,$A409))</f>
        <v>0</v>
      </c>
      <c r="T409" s="27">
        <f>IF($A409="","",$P409*ComMec)</f>
        <v>0</v>
      </c>
      <c r="U409" s="21">
        <f>IF($A409="","",$R409-$S409-$T409-N($K409))</f>
        <v>0</v>
      </c>
      <c r="V409" s="31">
        <f>IF(OR($A409="",N($R409)&lt;=0),"",$U409/$R409)</f>
        <v>0</v>
      </c>
      <c r="W409" s="27">
        <f>IF($A409="","",IF(OR($I409="Finalizado",$I409="Entregue"),MAX(0,$R409-N($O409)),0))</f>
        <v>0</v>
      </c>
      <c r="X409" s="32">
        <f>IF(OR($A409="",$B409=""),"",IF(OR($I409="Entregue",$I409="Cancelada"),"",Hoje-$B409))</f>
        <v>0</v>
      </c>
      <c r="Y409" s="24">
        <f>IF($A409="","",IF(AND(OR($I409="Aprovado",$I409="Em execução",$I409="Aguardando peça"),N($X409)&gt;PrazoMax),"ATRASADA",IF(AND(OR($I409="Finalizado",$I409="Entregue"),$W409&gt;0.005),"Cobrar",IF($I409="Orçamento","Aguardando aprovação",""))))</f>
        <v>0</v>
      </c>
      <c r="Z409" s="33">
        <f>IF(AND($I409="Entregue",$M409&lt;&gt;""),DATE(YEAR($M409),MONTH($M409),1),"")</f>
        <v>0</v>
      </c>
      <c r="AA409" s="34">
        <f>IF(AND($C409&lt;&gt;"",$C409=HistPlaca),COUNTIF($C$5:$C409,HistPlaca),"")</f>
        <v>0</v>
      </c>
    </row>
    <row r="410" spans="1:27">
      <c r="A410" s="17"/>
      <c r="B410" s="25"/>
      <c r="C410" s="13"/>
      <c r="D410" s="26">
        <f>IF($C410="","",IFERROR(INDEX(VeicCli,MATCH($C410,VeicPlaca,0)),"Placa não cadastrada"))</f>
        <v>0</v>
      </c>
      <c r="E410" s="26">
        <f>IF($C410="","",IFERROR(INDEX(VeicModelo,MATCH($C410,VeicPlaca,0)),""))</f>
        <v>0</v>
      </c>
      <c r="F410" s="28"/>
      <c r="G410" s="13"/>
      <c r="H410" s="13"/>
      <c r="I410" s="13"/>
      <c r="J410" s="29"/>
      <c r="K410" s="19"/>
      <c r="L410" s="19"/>
      <c r="M410" s="25"/>
      <c r="N410" s="13"/>
      <c r="O410" s="19"/>
      <c r="P410" s="27">
        <f>IF($A410="","",N($J410)*ValorHora)</f>
        <v>0</v>
      </c>
      <c r="Q410" s="27">
        <f>IF($A410="","",SUMIFS(ItTotal,ItOS,$A410))</f>
        <v>0</v>
      </c>
      <c r="R410" s="30">
        <f>IF($A410="","",$P410+$Q410+N($K410)-N($L410))</f>
        <v>0</v>
      </c>
      <c r="S410" s="27">
        <f>IF($A410="","",SUMIFS(ItCusto,ItOS,$A410))</f>
        <v>0</v>
      </c>
      <c r="T410" s="27">
        <f>IF($A410="","",$P410*ComMec)</f>
        <v>0</v>
      </c>
      <c r="U410" s="21">
        <f>IF($A410="","",$R410-$S410-$T410-N($K410))</f>
        <v>0</v>
      </c>
      <c r="V410" s="31">
        <f>IF(OR($A410="",N($R410)&lt;=0),"",$U410/$R410)</f>
        <v>0</v>
      </c>
      <c r="W410" s="27">
        <f>IF($A410="","",IF(OR($I410="Finalizado",$I410="Entregue"),MAX(0,$R410-N($O410)),0))</f>
        <v>0</v>
      </c>
      <c r="X410" s="32">
        <f>IF(OR($A410="",$B410=""),"",IF(OR($I410="Entregue",$I410="Cancelada"),"",Hoje-$B410))</f>
        <v>0</v>
      </c>
      <c r="Y410" s="24">
        <f>IF($A410="","",IF(AND(OR($I410="Aprovado",$I410="Em execução",$I410="Aguardando peça"),N($X410)&gt;PrazoMax),"ATRASADA",IF(AND(OR($I410="Finalizado",$I410="Entregue"),$W410&gt;0.005),"Cobrar",IF($I410="Orçamento","Aguardando aprovação",""))))</f>
        <v>0</v>
      </c>
      <c r="Z410" s="33">
        <f>IF(AND($I410="Entregue",$M410&lt;&gt;""),DATE(YEAR($M410),MONTH($M410),1),"")</f>
        <v>0</v>
      </c>
      <c r="AA410" s="34">
        <f>IF(AND($C410&lt;&gt;"",$C410=HistPlaca),COUNTIF($C$5:$C410,HistPlaca),"")</f>
        <v>0</v>
      </c>
    </row>
    <row r="411" spans="1:27">
      <c r="A411" s="17"/>
      <c r="B411" s="25"/>
      <c r="C411" s="13"/>
      <c r="D411" s="26">
        <f>IF($C411="","",IFERROR(INDEX(VeicCli,MATCH($C411,VeicPlaca,0)),"Placa não cadastrada"))</f>
        <v>0</v>
      </c>
      <c r="E411" s="26">
        <f>IF($C411="","",IFERROR(INDEX(VeicModelo,MATCH($C411,VeicPlaca,0)),""))</f>
        <v>0</v>
      </c>
      <c r="F411" s="28"/>
      <c r="G411" s="13"/>
      <c r="H411" s="13"/>
      <c r="I411" s="13"/>
      <c r="J411" s="29"/>
      <c r="K411" s="19"/>
      <c r="L411" s="19"/>
      <c r="M411" s="25"/>
      <c r="N411" s="13"/>
      <c r="O411" s="19"/>
      <c r="P411" s="27">
        <f>IF($A411="","",N($J411)*ValorHora)</f>
        <v>0</v>
      </c>
      <c r="Q411" s="27">
        <f>IF($A411="","",SUMIFS(ItTotal,ItOS,$A411))</f>
        <v>0</v>
      </c>
      <c r="R411" s="30">
        <f>IF($A411="","",$P411+$Q411+N($K411)-N($L411))</f>
        <v>0</v>
      </c>
      <c r="S411" s="27">
        <f>IF($A411="","",SUMIFS(ItCusto,ItOS,$A411))</f>
        <v>0</v>
      </c>
      <c r="T411" s="27">
        <f>IF($A411="","",$P411*ComMec)</f>
        <v>0</v>
      </c>
      <c r="U411" s="21">
        <f>IF($A411="","",$R411-$S411-$T411-N($K411))</f>
        <v>0</v>
      </c>
      <c r="V411" s="31">
        <f>IF(OR($A411="",N($R411)&lt;=0),"",$U411/$R411)</f>
        <v>0</v>
      </c>
      <c r="W411" s="27">
        <f>IF($A411="","",IF(OR($I411="Finalizado",$I411="Entregue"),MAX(0,$R411-N($O411)),0))</f>
        <v>0</v>
      </c>
      <c r="X411" s="32">
        <f>IF(OR($A411="",$B411=""),"",IF(OR($I411="Entregue",$I411="Cancelada"),"",Hoje-$B411))</f>
        <v>0</v>
      </c>
      <c r="Y411" s="24">
        <f>IF($A411="","",IF(AND(OR($I411="Aprovado",$I411="Em execução",$I411="Aguardando peça"),N($X411)&gt;PrazoMax),"ATRASADA",IF(AND(OR($I411="Finalizado",$I411="Entregue"),$W411&gt;0.005),"Cobrar",IF($I411="Orçamento","Aguardando aprovação",""))))</f>
        <v>0</v>
      </c>
      <c r="Z411" s="33">
        <f>IF(AND($I411="Entregue",$M411&lt;&gt;""),DATE(YEAR($M411),MONTH($M411),1),"")</f>
        <v>0</v>
      </c>
      <c r="AA411" s="34">
        <f>IF(AND($C411&lt;&gt;"",$C411=HistPlaca),COUNTIF($C$5:$C411,HistPlaca),"")</f>
        <v>0</v>
      </c>
    </row>
    <row r="412" spans="1:27">
      <c r="A412" s="17"/>
      <c r="B412" s="25"/>
      <c r="C412" s="13"/>
      <c r="D412" s="26">
        <f>IF($C412="","",IFERROR(INDEX(VeicCli,MATCH($C412,VeicPlaca,0)),"Placa não cadastrada"))</f>
        <v>0</v>
      </c>
      <c r="E412" s="26">
        <f>IF($C412="","",IFERROR(INDEX(VeicModelo,MATCH($C412,VeicPlaca,0)),""))</f>
        <v>0</v>
      </c>
      <c r="F412" s="28"/>
      <c r="G412" s="13"/>
      <c r="H412" s="13"/>
      <c r="I412" s="13"/>
      <c r="J412" s="29"/>
      <c r="K412" s="19"/>
      <c r="L412" s="19"/>
      <c r="M412" s="25"/>
      <c r="N412" s="13"/>
      <c r="O412" s="19"/>
      <c r="P412" s="27">
        <f>IF($A412="","",N($J412)*ValorHora)</f>
        <v>0</v>
      </c>
      <c r="Q412" s="27">
        <f>IF($A412="","",SUMIFS(ItTotal,ItOS,$A412))</f>
        <v>0</v>
      </c>
      <c r="R412" s="30">
        <f>IF($A412="","",$P412+$Q412+N($K412)-N($L412))</f>
        <v>0</v>
      </c>
      <c r="S412" s="27">
        <f>IF($A412="","",SUMIFS(ItCusto,ItOS,$A412))</f>
        <v>0</v>
      </c>
      <c r="T412" s="27">
        <f>IF($A412="","",$P412*ComMec)</f>
        <v>0</v>
      </c>
      <c r="U412" s="21">
        <f>IF($A412="","",$R412-$S412-$T412-N($K412))</f>
        <v>0</v>
      </c>
      <c r="V412" s="31">
        <f>IF(OR($A412="",N($R412)&lt;=0),"",$U412/$R412)</f>
        <v>0</v>
      </c>
      <c r="W412" s="27">
        <f>IF($A412="","",IF(OR($I412="Finalizado",$I412="Entregue"),MAX(0,$R412-N($O412)),0))</f>
        <v>0</v>
      </c>
      <c r="X412" s="32">
        <f>IF(OR($A412="",$B412=""),"",IF(OR($I412="Entregue",$I412="Cancelada"),"",Hoje-$B412))</f>
        <v>0</v>
      </c>
      <c r="Y412" s="24">
        <f>IF($A412="","",IF(AND(OR($I412="Aprovado",$I412="Em execução",$I412="Aguardando peça"),N($X412)&gt;PrazoMax),"ATRASADA",IF(AND(OR($I412="Finalizado",$I412="Entregue"),$W412&gt;0.005),"Cobrar",IF($I412="Orçamento","Aguardando aprovação",""))))</f>
        <v>0</v>
      </c>
      <c r="Z412" s="33">
        <f>IF(AND($I412="Entregue",$M412&lt;&gt;""),DATE(YEAR($M412),MONTH($M412),1),"")</f>
        <v>0</v>
      </c>
      <c r="AA412" s="34">
        <f>IF(AND($C412&lt;&gt;"",$C412=HistPlaca),COUNTIF($C$5:$C412,HistPlaca),"")</f>
        <v>0</v>
      </c>
    </row>
    <row r="413" spans="1:27">
      <c r="A413" s="17"/>
      <c r="B413" s="25"/>
      <c r="C413" s="13"/>
      <c r="D413" s="26">
        <f>IF($C413="","",IFERROR(INDEX(VeicCli,MATCH($C413,VeicPlaca,0)),"Placa não cadastrada"))</f>
        <v>0</v>
      </c>
      <c r="E413" s="26">
        <f>IF($C413="","",IFERROR(INDEX(VeicModelo,MATCH($C413,VeicPlaca,0)),""))</f>
        <v>0</v>
      </c>
      <c r="F413" s="28"/>
      <c r="G413" s="13"/>
      <c r="H413" s="13"/>
      <c r="I413" s="13"/>
      <c r="J413" s="29"/>
      <c r="K413" s="19"/>
      <c r="L413" s="19"/>
      <c r="M413" s="25"/>
      <c r="N413" s="13"/>
      <c r="O413" s="19"/>
      <c r="P413" s="27">
        <f>IF($A413="","",N($J413)*ValorHora)</f>
        <v>0</v>
      </c>
      <c r="Q413" s="27">
        <f>IF($A413="","",SUMIFS(ItTotal,ItOS,$A413))</f>
        <v>0</v>
      </c>
      <c r="R413" s="30">
        <f>IF($A413="","",$P413+$Q413+N($K413)-N($L413))</f>
        <v>0</v>
      </c>
      <c r="S413" s="27">
        <f>IF($A413="","",SUMIFS(ItCusto,ItOS,$A413))</f>
        <v>0</v>
      </c>
      <c r="T413" s="27">
        <f>IF($A413="","",$P413*ComMec)</f>
        <v>0</v>
      </c>
      <c r="U413" s="21">
        <f>IF($A413="","",$R413-$S413-$T413-N($K413))</f>
        <v>0</v>
      </c>
      <c r="V413" s="31">
        <f>IF(OR($A413="",N($R413)&lt;=0),"",$U413/$R413)</f>
        <v>0</v>
      </c>
      <c r="W413" s="27">
        <f>IF($A413="","",IF(OR($I413="Finalizado",$I413="Entregue"),MAX(0,$R413-N($O413)),0))</f>
        <v>0</v>
      </c>
      <c r="X413" s="32">
        <f>IF(OR($A413="",$B413=""),"",IF(OR($I413="Entregue",$I413="Cancelada"),"",Hoje-$B413))</f>
        <v>0</v>
      </c>
      <c r="Y413" s="24">
        <f>IF($A413="","",IF(AND(OR($I413="Aprovado",$I413="Em execução",$I413="Aguardando peça"),N($X413)&gt;PrazoMax),"ATRASADA",IF(AND(OR($I413="Finalizado",$I413="Entregue"),$W413&gt;0.005),"Cobrar",IF($I413="Orçamento","Aguardando aprovação",""))))</f>
        <v>0</v>
      </c>
      <c r="Z413" s="33">
        <f>IF(AND($I413="Entregue",$M413&lt;&gt;""),DATE(YEAR($M413),MONTH($M413),1),"")</f>
        <v>0</v>
      </c>
      <c r="AA413" s="34">
        <f>IF(AND($C413&lt;&gt;"",$C413=HistPlaca),COUNTIF($C$5:$C413,HistPlaca),"")</f>
        <v>0</v>
      </c>
    </row>
    <row r="414" spans="1:27">
      <c r="A414" s="17"/>
      <c r="B414" s="25"/>
      <c r="C414" s="13"/>
      <c r="D414" s="26">
        <f>IF($C414="","",IFERROR(INDEX(VeicCli,MATCH($C414,VeicPlaca,0)),"Placa não cadastrada"))</f>
        <v>0</v>
      </c>
      <c r="E414" s="26">
        <f>IF($C414="","",IFERROR(INDEX(VeicModelo,MATCH($C414,VeicPlaca,0)),""))</f>
        <v>0</v>
      </c>
      <c r="F414" s="28"/>
      <c r="G414" s="13"/>
      <c r="H414" s="13"/>
      <c r="I414" s="13"/>
      <c r="J414" s="29"/>
      <c r="K414" s="19"/>
      <c r="L414" s="19"/>
      <c r="M414" s="25"/>
      <c r="N414" s="13"/>
      <c r="O414" s="19"/>
      <c r="P414" s="27">
        <f>IF($A414="","",N($J414)*ValorHora)</f>
        <v>0</v>
      </c>
      <c r="Q414" s="27">
        <f>IF($A414="","",SUMIFS(ItTotal,ItOS,$A414))</f>
        <v>0</v>
      </c>
      <c r="R414" s="30">
        <f>IF($A414="","",$P414+$Q414+N($K414)-N($L414))</f>
        <v>0</v>
      </c>
      <c r="S414" s="27">
        <f>IF($A414="","",SUMIFS(ItCusto,ItOS,$A414))</f>
        <v>0</v>
      </c>
      <c r="T414" s="27">
        <f>IF($A414="","",$P414*ComMec)</f>
        <v>0</v>
      </c>
      <c r="U414" s="21">
        <f>IF($A414="","",$R414-$S414-$T414-N($K414))</f>
        <v>0</v>
      </c>
      <c r="V414" s="31">
        <f>IF(OR($A414="",N($R414)&lt;=0),"",$U414/$R414)</f>
        <v>0</v>
      </c>
      <c r="W414" s="27">
        <f>IF($A414="","",IF(OR($I414="Finalizado",$I414="Entregue"),MAX(0,$R414-N($O414)),0))</f>
        <v>0</v>
      </c>
      <c r="X414" s="32">
        <f>IF(OR($A414="",$B414=""),"",IF(OR($I414="Entregue",$I414="Cancelada"),"",Hoje-$B414))</f>
        <v>0</v>
      </c>
      <c r="Y414" s="24">
        <f>IF($A414="","",IF(AND(OR($I414="Aprovado",$I414="Em execução",$I414="Aguardando peça"),N($X414)&gt;PrazoMax),"ATRASADA",IF(AND(OR($I414="Finalizado",$I414="Entregue"),$W414&gt;0.005),"Cobrar",IF($I414="Orçamento","Aguardando aprovação",""))))</f>
        <v>0</v>
      </c>
      <c r="Z414" s="33">
        <f>IF(AND($I414="Entregue",$M414&lt;&gt;""),DATE(YEAR($M414),MONTH($M414),1),"")</f>
        <v>0</v>
      </c>
      <c r="AA414" s="34">
        <f>IF(AND($C414&lt;&gt;"",$C414=HistPlaca),COUNTIF($C$5:$C414,HistPlaca),"")</f>
        <v>0</v>
      </c>
    </row>
    <row r="415" spans="1:27">
      <c r="A415" s="17"/>
      <c r="B415" s="25"/>
      <c r="C415" s="13"/>
      <c r="D415" s="26">
        <f>IF($C415="","",IFERROR(INDEX(VeicCli,MATCH($C415,VeicPlaca,0)),"Placa não cadastrada"))</f>
        <v>0</v>
      </c>
      <c r="E415" s="26">
        <f>IF($C415="","",IFERROR(INDEX(VeicModelo,MATCH($C415,VeicPlaca,0)),""))</f>
        <v>0</v>
      </c>
      <c r="F415" s="28"/>
      <c r="G415" s="13"/>
      <c r="H415" s="13"/>
      <c r="I415" s="13"/>
      <c r="J415" s="29"/>
      <c r="K415" s="19"/>
      <c r="L415" s="19"/>
      <c r="M415" s="25"/>
      <c r="N415" s="13"/>
      <c r="O415" s="19"/>
      <c r="P415" s="27">
        <f>IF($A415="","",N($J415)*ValorHora)</f>
        <v>0</v>
      </c>
      <c r="Q415" s="27">
        <f>IF($A415="","",SUMIFS(ItTotal,ItOS,$A415))</f>
        <v>0</v>
      </c>
      <c r="R415" s="30">
        <f>IF($A415="","",$P415+$Q415+N($K415)-N($L415))</f>
        <v>0</v>
      </c>
      <c r="S415" s="27">
        <f>IF($A415="","",SUMIFS(ItCusto,ItOS,$A415))</f>
        <v>0</v>
      </c>
      <c r="T415" s="27">
        <f>IF($A415="","",$P415*ComMec)</f>
        <v>0</v>
      </c>
      <c r="U415" s="21">
        <f>IF($A415="","",$R415-$S415-$T415-N($K415))</f>
        <v>0</v>
      </c>
      <c r="V415" s="31">
        <f>IF(OR($A415="",N($R415)&lt;=0),"",$U415/$R415)</f>
        <v>0</v>
      </c>
      <c r="W415" s="27">
        <f>IF($A415="","",IF(OR($I415="Finalizado",$I415="Entregue"),MAX(0,$R415-N($O415)),0))</f>
        <v>0</v>
      </c>
      <c r="X415" s="32">
        <f>IF(OR($A415="",$B415=""),"",IF(OR($I415="Entregue",$I415="Cancelada"),"",Hoje-$B415))</f>
        <v>0</v>
      </c>
      <c r="Y415" s="24">
        <f>IF($A415="","",IF(AND(OR($I415="Aprovado",$I415="Em execução",$I415="Aguardando peça"),N($X415)&gt;PrazoMax),"ATRASADA",IF(AND(OR($I415="Finalizado",$I415="Entregue"),$W415&gt;0.005),"Cobrar",IF($I415="Orçamento","Aguardando aprovação",""))))</f>
        <v>0</v>
      </c>
      <c r="Z415" s="33">
        <f>IF(AND($I415="Entregue",$M415&lt;&gt;""),DATE(YEAR($M415),MONTH($M415),1),"")</f>
        <v>0</v>
      </c>
      <c r="AA415" s="34">
        <f>IF(AND($C415&lt;&gt;"",$C415=HistPlaca),COUNTIF($C$5:$C415,HistPlaca),"")</f>
        <v>0</v>
      </c>
    </row>
    <row r="416" spans="1:27">
      <c r="A416" s="17"/>
      <c r="B416" s="25"/>
      <c r="C416" s="13"/>
      <c r="D416" s="26">
        <f>IF($C416="","",IFERROR(INDEX(VeicCli,MATCH($C416,VeicPlaca,0)),"Placa não cadastrada"))</f>
        <v>0</v>
      </c>
      <c r="E416" s="26">
        <f>IF($C416="","",IFERROR(INDEX(VeicModelo,MATCH($C416,VeicPlaca,0)),""))</f>
        <v>0</v>
      </c>
      <c r="F416" s="28"/>
      <c r="G416" s="13"/>
      <c r="H416" s="13"/>
      <c r="I416" s="13"/>
      <c r="J416" s="29"/>
      <c r="K416" s="19"/>
      <c r="L416" s="19"/>
      <c r="M416" s="25"/>
      <c r="N416" s="13"/>
      <c r="O416" s="19"/>
      <c r="P416" s="27">
        <f>IF($A416="","",N($J416)*ValorHora)</f>
        <v>0</v>
      </c>
      <c r="Q416" s="27">
        <f>IF($A416="","",SUMIFS(ItTotal,ItOS,$A416))</f>
        <v>0</v>
      </c>
      <c r="R416" s="30">
        <f>IF($A416="","",$P416+$Q416+N($K416)-N($L416))</f>
        <v>0</v>
      </c>
      <c r="S416" s="27">
        <f>IF($A416="","",SUMIFS(ItCusto,ItOS,$A416))</f>
        <v>0</v>
      </c>
      <c r="T416" s="27">
        <f>IF($A416="","",$P416*ComMec)</f>
        <v>0</v>
      </c>
      <c r="U416" s="21">
        <f>IF($A416="","",$R416-$S416-$T416-N($K416))</f>
        <v>0</v>
      </c>
      <c r="V416" s="31">
        <f>IF(OR($A416="",N($R416)&lt;=0),"",$U416/$R416)</f>
        <v>0</v>
      </c>
      <c r="W416" s="27">
        <f>IF($A416="","",IF(OR($I416="Finalizado",$I416="Entregue"),MAX(0,$R416-N($O416)),0))</f>
        <v>0</v>
      </c>
      <c r="X416" s="32">
        <f>IF(OR($A416="",$B416=""),"",IF(OR($I416="Entregue",$I416="Cancelada"),"",Hoje-$B416))</f>
        <v>0</v>
      </c>
      <c r="Y416" s="24">
        <f>IF($A416="","",IF(AND(OR($I416="Aprovado",$I416="Em execução",$I416="Aguardando peça"),N($X416)&gt;PrazoMax),"ATRASADA",IF(AND(OR($I416="Finalizado",$I416="Entregue"),$W416&gt;0.005),"Cobrar",IF($I416="Orçamento","Aguardando aprovação",""))))</f>
        <v>0</v>
      </c>
      <c r="Z416" s="33">
        <f>IF(AND($I416="Entregue",$M416&lt;&gt;""),DATE(YEAR($M416),MONTH($M416),1),"")</f>
        <v>0</v>
      </c>
      <c r="AA416" s="34">
        <f>IF(AND($C416&lt;&gt;"",$C416=HistPlaca),COUNTIF($C$5:$C416,HistPlaca),"")</f>
        <v>0</v>
      </c>
    </row>
    <row r="417" spans="1:27">
      <c r="A417" s="17"/>
      <c r="B417" s="25"/>
      <c r="C417" s="13"/>
      <c r="D417" s="26">
        <f>IF($C417="","",IFERROR(INDEX(VeicCli,MATCH($C417,VeicPlaca,0)),"Placa não cadastrada"))</f>
        <v>0</v>
      </c>
      <c r="E417" s="26">
        <f>IF($C417="","",IFERROR(INDEX(VeicModelo,MATCH($C417,VeicPlaca,0)),""))</f>
        <v>0</v>
      </c>
      <c r="F417" s="28"/>
      <c r="G417" s="13"/>
      <c r="H417" s="13"/>
      <c r="I417" s="13"/>
      <c r="J417" s="29"/>
      <c r="K417" s="19"/>
      <c r="L417" s="19"/>
      <c r="M417" s="25"/>
      <c r="N417" s="13"/>
      <c r="O417" s="19"/>
      <c r="P417" s="27">
        <f>IF($A417="","",N($J417)*ValorHora)</f>
        <v>0</v>
      </c>
      <c r="Q417" s="27">
        <f>IF($A417="","",SUMIFS(ItTotal,ItOS,$A417))</f>
        <v>0</v>
      </c>
      <c r="R417" s="30">
        <f>IF($A417="","",$P417+$Q417+N($K417)-N($L417))</f>
        <v>0</v>
      </c>
      <c r="S417" s="27">
        <f>IF($A417="","",SUMIFS(ItCusto,ItOS,$A417))</f>
        <v>0</v>
      </c>
      <c r="T417" s="27">
        <f>IF($A417="","",$P417*ComMec)</f>
        <v>0</v>
      </c>
      <c r="U417" s="21">
        <f>IF($A417="","",$R417-$S417-$T417-N($K417))</f>
        <v>0</v>
      </c>
      <c r="V417" s="31">
        <f>IF(OR($A417="",N($R417)&lt;=0),"",$U417/$R417)</f>
        <v>0</v>
      </c>
      <c r="W417" s="27">
        <f>IF($A417="","",IF(OR($I417="Finalizado",$I417="Entregue"),MAX(0,$R417-N($O417)),0))</f>
        <v>0</v>
      </c>
      <c r="X417" s="32">
        <f>IF(OR($A417="",$B417=""),"",IF(OR($I417="Entregue",$I417="Cancelada"),"",Hoje-$B417))</f>
        <v>0</v>
      </c>
      <c r="Y417" s="24">
        <f>IF($A417="","",IF(AND(OR($I417="Aprovado",$I417="Em execução",$I417="Aguardando peça"),N($X417)&gt;PrazoMax),"ATRASADA",IF(AND(OR($I417="Finalizado",$I417="Entregue"),$W417&gt;0.005),"Cobrar",IF($I417="Orçamento","Aguardando aprovação",""))))</f>
        <v>0</v>
      </c>
      <c r="Z417" s="33">
        <f>IF(AND($I417="Entregue",$M417&lt;&gt;""),DATE(YEAR($M417),MONTH($M417),1),"")</f>
        <v>0</v>
      </c>
      <c r="AA417" s="34">
        <f>IF(AND($C417&lt;&gt;"",$C417=HistPlaca),COUNTIF($C$5:$C417,HistPlaca),"")</f>
        <v>0</v>
      </c>
    </row>
    <row r="418" spans="1:27">
      <c r="A418" s="17"/>
      <c r="B418" s="25"/>
      <c r="C418" s="13"/>
      <c r="D418" s="26">
        <f>IF($C418="","",IFERROR(INDEX(VeicCli,MATCH($C418,VeicPlaca,0)),"Placa não cadastrada"))</f>
        <v>0</v>
      </c>
      <c r="E418" s="26">
        <f>IF($C418="","",IFERROR(INDEX(VeicModelo,MATCH($C418,VeicPlaca,0)),""))</f>
        <v>0</v>
      </c>
      <c r="F418" s="28"/>
      <c r="G418" s="13"/>
      <c r="H418" s="13"/>
      <c r="I418" s="13"/>
      <c r="J418" s="29"/>
      <c r="K418" s="19"/>
      <c r="L418" s="19"/>
      <c r="M418" s="25"/>
      <c r="N418" s="13"/>
      <c r="O418" s="19"/>
      <c r="P418" s="27">
        <f>IF($A418="","",N($J418)*ValorHora)</f>
        <v>0</v>
      </c>
      <c r="Q418" s="27">
        <f>IF($A418="","",SUMIFS(ItTotal,ItOS,$A418))</f>
        <v>0</v>
      </c>
      <c r="R418" s="30">
        <f>IF($A418="","",$P418+$Q418+N($K418)-N($L418))</f>
        <v>0</v>
      </c>
      <c r="S418" s="27">
        <f>IF($A418="","",SUMIFS(ItCusto,ItOS,$A418))</f>
        <v>0</v>
      </c>
      <c r="T418" s="27">
        <f>IF($A418="","",$P418*ComMec)</f>
        <v>0</v>
      </c>
      <c r="U418" s="21">
        <f>IF($A418="","",$R418-$S418-$T418-N($K418))</f>
        <v>0</v>
      </c>
      <c r="V418" s="31">
        <f>IF(OR($A418="",N($R418)&lt;=0),"",$U418/$R418)</f>
        <v>0</v>
      </c>
      <c r="W418" s="27">
        <f>IF($A418="","",IF(OR($I418="Finalizado",$I418="Entregue"),MAX(0,$R418-N($O418)),0))</f>
        <v>0</v>
      </c>
      <c r="X418" s="32">
        <f>IF(OR($A418="",$B418=""),"",IF(OR($I418="Entregue",$I418="Cancelada"),"",Hoje-$B418))</f>
        <v>0</v>
      </c>
      <c r="Y418" s="24">
        <f>IF($A418="","",IF(AND(OR($I418="Aprovado",$I418="Em execução",$I418="Aguardando peça"),N($X418)&gt;PrazoMax),"ATRASADA",IF(AND(OR($I418="Finalizado",$I418="Entregue"),$W418&gt;0.005),"Cobrar",IF($I418="Orçamento","Aguardando aprovação",""))))</f>
        <v>0</v>
      </c>
      <c r="Z418" s="33">
        <f>IF(AND($I418="Entregue",$M418&lt;&gt;""),DATE(YEAR($M418),MONTH($M418),1),"")</f>
        <v>0</v>
      </c>
      <c r="AA418" s="34">
        <f>IF(AND($C418&lt;&gt;"",$C418=HistPlaca),COUNTIF($C$5:$C418,HistPlaca),"")</f>
        <v>0</v>
      </c>
    </row>
    <row r="419" spans="1:27">
      <c r="A419" s="17"/>
      <c r="B419" s="25"/>
      <c r="C419" s="13"/>
      <c r="D419" s="26">
        <f>IF($C419="","",IFERROR(INDEX(VeicCli,MATCH($C419,VeicPlaca,0)),"Placa não cadastrada"))</f>
        <v>0</v>
      </c>
      <c r="E419" s="26">
        <f>IF($C419="","",IFERROR(INDEX(VeicModelo,MATCH($C419,VeicPlaca,0)),""))</f>
        <v>0</v>
      </c>
      <c r="F419" s="28"/>
      <c r="G419" s="13"/>
      <c r="H419" s="13"/>
      <c r="I419" s="13"/>
      <c r="J419" s="29"/>
      <c r="K419" s="19"/>
      <c r="L419" s="19"/>
      <c r="M419" s="25"/>
      <c r="N419" s="13"/>
      <c r="O419" s="19"/>
      <c r="P419" s="27">
        <f>IF($A419="","",N($J419)*ValorHora)</f>
        <v>0</v>
      </c>
      <c r="Q419" s="27">
        <f>IF($A419="","",SUMIFS(ItTotal,ItOS,$A419))</f>
        <v>0</v>
      </c>
      <c r="R419" s="30">
        <f>IF($A419="","",$P419+$Q419+N($K419)-N($L419))</f>
        <v>0</v>
      </c>
      <c r="S419" s="27">
        <f>IF($A419="","",SUMIFS(ItCusto,ItOS,$A419))</f>
        <v>0</v>
      </c>
      <c r="T419" s="27">
        <f>IF($A419="","",$P419*ComMec)</f>
        <v>0</v>
      </c>
      <c r="U419" s="21">
        <f>IF($A419="","",$R419-$S419-$T419-N($K419))</f>
        <v>0</v>
      </c>
      <c r="V419" s="31">
        <f>IF(OR($A419="",N($R419)&lt;=0),"",$U419/$R419)</f>
        <v>0</v>
      </c>
      <c r="W419" s="27">
        <f>IF($A419="","",IF(OR($I419="Finalizado",$I419="Entregue"),MAX(0,$R419-N($O419)),0))</f>
        <v>0</v>
      </c>
      <c r="X419" s="32">
        <f>IF(OR($A419="",$B419=""),"",IF(OR($I419="Entregue",$I419="Cancelada"),"",Hoje-$B419))</f>
        <v>0</v>
      </c>
      <c r="Y419" s="24">
        <f>IF($A419="","",IF(AND(OR($I419="Aprovado",$I419="Em execução",$I419="Aguardando peça"),N($X419)&gt;PrazoMax),"ATRASADA",IF(AND(OR($I419="Finalizado",$I419="Entregue"),$W419&gt;0.005),"Cobrar",IF($I419="Orçamento","Aguardando aprovação",""))))</f>
        <v>0</v>
      </c>
      <c r="Z419" s="33">
        <f>IF(AND($I419="Entregue",$M419&lt;&gt;""),DATE(YEAR($M419),MONTH($M419),1),"")</f>
        <v>0</v>
      </c>
      <c r="AA419" s="34">
        <f>IF(AND($C419&lt;&gt;"",$C419=HistPlaca),COUNTIF($C$5:$C419,HistPlaca),"")</f>
        <v>0</v>
      </c>
    </row>
    <row r="420" spans="1:27">
      <c r="A420" s="17"/>
      <c r="B420" s="25"/>
      <c r="C420" s="13"/>
      <c r="D420" s="26">
        <f>IF($C420="","",IFERROR(INDEX(VeicCli,MATCH($C420,VeicPlaca,0)),"Placa não cadastrada"))</f>
        <v>0</v>
      </c>
      <c r="E420" s="26">
        <f>IF($C420="","",IFERROR(INDEX(VeicModelo,MATCH($C420,VeicPlaca,0)),""))</f>
        <v>0</v>
      </c>
      <c r="F420" s="28"/>
      <c r="G420" s="13"/>
      <c r="H420" s="13"/>
      <c r="I420" s="13"/>
      <c r="J420" s="29"/>
      <c r="K420" s="19"/>
      <c r="L420" s="19"/>
      <c r="M420" s="25"/>
      <c r="N420" s="13"/>
      <c r="O420" s="19"/>
      <c r="P420" s="27">
        <f>IF($A420="","",N($J420)*ValorHora)</f>
        <v>0</v>
      </c>
      <c r="Q420" s="27">
        <f>IF($A420="","",SUMIFS(ItTotal,ItOS,$A420))</f>
        <v>0</v>
      </c>
      <c r="R420" s="30">
        <f>IF($A420="","",$P420+$Q420+N($K420)-N($L420))</f>
        <v>0</v>
      </c>
      <c r="S420" s="27">
        <f>IF($A420="","",SUMIFS(ItCusto,ItOS,$A420))</f>
        <v>0</v>
      </c>
      <c r="T420" s="27">
        <f>IF($A420="","",$P420*ComMec)</f>
        <v>0</v>
      </c>
      <c r="U420" s="21">
        <f>IF($A420="","",$R420-$S420-$T420-N($K420))</f>
        <v>0</v>
      </c>
      <c r="V420" s="31">
        <f>IF(OR($A420="",N($R420)&lt;=0),"",$U420/$R420)</f>
        <v>0</v>
      </c>
      <c r="W420" s="27">
        <f>IF($A420="","",IF(OR($I420="Finalizado",$I420="Entregue"),MAX(0,$R420-N($O420)),0))</f>
        <v>0</v>
      </c>
      <c r="X420" s="32">
        <f>IF(OR($A420="",$B420=""),"",IF(OR($I420="Entregue",$I420="Cancelada"),"",Hoje-$B420))</f>
        <v>0</v>
      </c>
      <c r="Y420" s="24">
        <f>IF($A420="","",IF(AND(OR($I420="Aprovado",$I420="Em execução",$I420="Aguardando peça"),N($X420)&gt;PrazoMax),"ATRASADA",IF(AND(OR($I420="Finalizado",$I420="Entregue"),$W420&gt;0.005),"Cobrar",IF($I420="Orçamento","Aguardando aprovação",""))))</f>
        <v>0</v>
      </c>
      <c r="Z420" s="33">
        <f>IF(AND($I420="Entregue",$M420&lt;&gt;""),DATE(YEAR($M420),MONTH($M420),1),"")</f>
        <v>0</v>
      </c>
      <c r="AA420" s="34">
        <f>IF(AND($C420&lt;&gt;"",$C420=HistPlaca),COUNTIF($C$5:$C420,HistPlaca),"")</f>
        <v>0</v>
      </c>
    </row>
    <row r="421" spans="1:27">
      <c r="A421" s="17"/>
      <c r="B421" s="25"/>
      <c r="C421" s="13"/>
      <c r="D421" s="26">
        <f>IF($C421="","",IFERROR(INDEX(VeicCli,MATCH($C421,VeicPlaca,0)),"Placa não cadastrada"))</f>
        <v>0</v>
      </c>
      <c r="E421" s="26">
        <f>IF($C421="","",IFERROR(INDEX(VeicModelo,MATCH($C421,VeicPlaca,0)),""))</f>
        <v>0</v>
      </c>
      <c r="F421" s="28"/>
      <c r="G421" s="13"/>
      <c r="H421" s="13"/>
      <c r="I421" s="13"/>
      <c r="J421" s="29"/>
      <c r="K421" s="19"/>
      <c r="L421" s="19"/>
      <c r="M421" s="25"/>
      <c r="N421" s="13"/>
      <c r="O421" s="19"/>
      <c r="P421" s="27">
        <f>IF($A421="","",N($J421)*ValorHora)</f>
        <v>0</v>
      </c>
      <c r="Q421" s="27">
        <f>IF($A421="","",SUMIFS(ItTotal,ItOS,$A421))</f>
        <v>0</v>
      </c>
      <c r="R421" s="30">
        <f>IF($A421="","",$P421+$Q421+N($K421)-N($L421))</f>
        <v>0</v>
      </c>
      <c r="S421" s="27">
        <f>IF($A421="","",SUMIFS(ItCusto,ItOS,$A421))</f>
        <v>0</v>
      </c>
      <c r="T421" s="27">
        <f>IF($A421="","",$P421*ComMec)</f>
        <v>0</v>
      </c>
      <c r="U421" s="21">
        <f>IF($A421="","",$R421-$S421-$T421-N($K421))</f>
        <v>0</v>
      </c>
      <c r="V421" s="31">
        <f>IF(OR($A421="",N($R421)&lt;=0),"",$U421/$R421)</f>
        <v>0</v>
      </c>
      <c r="W421" s="27">
        <f>IF($A421="","",IF(OR($I421="Finalizado",$I421="Entregue"),MAX(0,$R421-N($O421)),0))</f>
        <v>0</v>
      </c>
      <c r="X421" s="32">
        <f>IF(OR($A421="",$B421=""),"",IF(OR($I421="Entregue",$I421="Cancelada"),"",Hoje-$B421))</f>
        <v>0</v>
      </c>
      <c r="Y421" s="24">
        <f>IF($A421="","",IF(AND(OR($I421="Aprovado",$I421="Em execução",$I421="Aguardando peça"),N($X421)&gt;PrazoMax),"ATRASADA",IF(AND(OR($I421="Finalizado",$I421="Entregue"),$W421&gt;0.005),"Cobrar",IF($I421="Orçamento","Aguardando aprovação",""))))</f>
        <v>0</v>
      </c>
      <c r="Z421" s="33">
        <f>IF(AND($I421="Entregue",$M421&lt;&gt;""),DATE(YEAR($M421),MONTH($M421),1),"")</f>
        <v>0</v>
      </c>
      <c r="AA421" s="34">
        <f>IF(AND($C421&lt;&gt;"",$C421=HistPlaca),COUNTIF($C$5:$C421,HistPlaca),"")</f>
        <v>0</v>
      </c>
    </row>
    <row r="422" spans="1:27">
      <c r="A422" s="17"/>
      <c r="B422" s="25"/>
      <c r="C422" s="13"/>
      <c r="D422" s="26">
        <f>IF($C422="","",IFERROR(INDEX(VeicCli,MATCH($C422,VeicPlaca,0)),"Placa não cadastrada"))</f>
        <v>0</v>
      </c>
      <c r="E422" s="26">
        <f>IF($C422="","",IFERROR(INDEX(VeicModelo,MATCH($C422,VeicPlaca,0)),""))</f>
        <v>0</v>
      </c>
      <c r="F422" s="28"/>
      <c r="G422" s="13"/>
      <c r="H422" s="13"/>
      <c r="I422" s="13"/>
      <c r="J422" s="29"/>
      <c r="K422" s="19"/>
      <c r="L422" s="19"/>
      <c r="M422" s="25"/>
      <c r="N422" s="13"/>
      <c r="O422" s="19"/>
      <c r="P422" s="27">
        <f>IF($A422="","",N($J422)*ValorHora)</f>
        <v>0</v>
      </c>
      <c r="Q422" s="27">
        <f>IF($A422="","",SUMIFS(ItTotal,ItOS,$A422))</f>
        <v>0</v>
      </c>
      <c r="R422" s="30">
        <f>IF($A422="","",$P422+$Q422+N($K422)-N($L422))</f>
        <v>0</v>
      </c>
      <c r="S422" s="27">
        <f>IF($A422="","",SUMIFS(ItCusto,ItOS,$A422))</f>
        <v>0</v>
      </c>
      <c r="T422" s="27">
        <f>IF($A422="","",$P422*ComMec)</f>
        <v>0</v>
      </c>
      <c r="U422" s="21">
        <f>IF($A422="","",$R422-$S422-$T422-N($K422))</f>
        <v>0</v>
      </c>
      <c r="V422" s="31">
        <f>IF(OR($A422="",N($R422)&lt;=0),"",$U422/$R422)</f>
        <v>0</v>
      </c>
      <c r="W422" s="27">
        <f>IF($A422="","",IF(OR($I422="Finalizado",$I422="Entregue"),MAX(0,$R422-N($O422)),0))</f>
        <v>0</v>
      </c>
      <c r="X422" s="32">
        <f>IF(OR($A422="",$B422=""),"",IF(OR($I422="Entregue",$I422="Cancelada"),"",Hoje-$B422))</f>
        <v>0</v>
      </c>
      <c r="Y422" s="24">
        <f>IF($A422="","",IF(AND(OR($I422="Aprovado",$I422="Em execução",$I422="Aguardando peça"),N($X422)&gt;PrazoMax),"ATRASADA",IF(AND(OR($I422="Finalizado",$I422="Entregue"),$W422&gt;0.005),"Cobrar",IF($I422="Orçamento","Aguardando aprovação",""))))</f>
        <v>0</v>
      </c>
      <c r="Z422" s="33">
        <f>IF(AND($I422="Entregue",$M422&lt;&gt;""),DATE(YEAR($M422),MONTH($M422),1),"")</f>
        <v>0</v>
      </c>
      <c r="AA422" s="34">
        <f>IF(AND($C422&lt;&gt;"",$C422=HistPlaca),COUNTIF($C$5:$C422,HistPlaca),"")</f>
        <v>0</v>
      </c>
    </row>
    <row r="423" spans="1:27">
      <c r="A423" s="17"/>
      <c r="B423" s="25"/>
      <c r="C423" s="13"/>
      <c r="D423" s="26">
        <f>IF($C423="","",IFERROR(INDEX(VeicCli,MATCH($C423,VeicPlaca,0)),"Placa não cadastrada"))</f>
        <v>0</v>
      </c>
      <c r="E423" s="26">
        <f>IF($C423="","",IFERROR(INDEX(VeicModelo,MATCH($C423,VeicPlaca,0)),""))</f>
        <v>0</v>
      </c>
      <c r="F423" s="28"/>
      <c r="G423" s="13"/>
      <c r="H423" s="13"/>
      <c r="I423" s="13"/>
      <c r="J423" s="29"/>
      <c r="K423" s="19"/>
      <c r="L423" s="19"/>
      <c r="M423" s="25"/>
      <c r="N423" s="13"/>
      <c r="O423" s="19"/>
      <c r="P423" s="27">
        <f>IF($A423="","",N($J423)*ValorHora)</f>
        <v>0</v>
      </c>
      <c r="Q423" s="27">
        <f>IF($A423="","",SUMIFS(ItTotal,ItOS,$A423))</f>
        <v>0</v>
      </c>
      <c r="R423" s="30">
        <f>IF($A423="","",$P423+$Q423+N($K423)-N($L423))</f>
        <v>0</v>
      </c>
      <c r="S423" s="27">
        <f>IF($A423="","",SUMIFS(ItCusto,ItOS,$A423))</f>
        <v>0</v>
      </c>
      <c r="T423" s="27">
        <f>IF($A423="","",$P423*ComMec)</f>
        <v>0</v>
      </c>
      <c r="U423" s="21">
        <f>IF($A423="","",$R423-$S423-$T423-N($K423))</f>
        <v>0</v>
      </c>
      <c r="V423" s="31">
        <f>IF(OR($A423="",N($R423)&lt;=0),"",$U423/$R423)</f>
        <v>0</v>
      </c>
      <c r="W423" s="27">
        <f>IF($A423="","",IF(OR($I423="Finalizado",$I423="Entregue"),MAX(0,$R423-N($O423)),0))</f>
        <v>0</v>
      </c>
      <c r="X423" s="32">
        <f>IF(OR($A423="",$B423=""),"",IF(OR($I423="Entregue",$I423="Cancelada"),"",Hoje-$B423))</f>
        <v>0</v>
      </c>
      <c r="Y423" s="24">
        <f>IF($A423="","",IF(AND(OR($I423="Aprovado",$I423="Em execução",$I423="Aguardando peça"),N($X423)&gt;PrazoMax),"ATRASADA",IF(AND(OR($I423="Finalizado",$I423="Entregue"),$W423&gt;0.005),"Cobrar",IF($I423="Orçamento","Aguardando aprovação",""))))</f>
        <v>0</v>
      </c>
      <c r="Z423" s="33">
        <f>IF(AND($I423="Entregue",$M423&lt;&gt;""),DATE(YEAR($M423),MONTH($M423),1),"")</f>
        <v>0</v>
      </c>
      <c r="AA423" s="34">
        <f>IF(AND($C423&lt;&gt;"",$C423=HistPlaca),COUNTIF($C$5:$C423,HistPlaca),"")</f>
        <v>0</v>
      </c>
    </row>
    <row r="424" spans="1:27">
      <c r="A424" s="17"/>
      <c r="B424" s="25"/>
      <c r="C424" s="13"/>
      <c r="D424" s="26">
        <f>IF($C424="","",IFERROR(INDEX(VeicCli,MATCH($C424,VeicPlaca,0)),"Placa não cadastrada"))</f>
        <v>0</v>
      </c>
      <c r="E424" s="26">
        <f>IF($C424="","",IFERROR(INDEX(VeicModelo,MATCH($C424,VeicPlaca,0)),""))</f>
        <v>0</v>
      </c>
      <c r="F424" s="28"/>
      <c r="G424" s="13"/>
      <c r="H424" s="13"/>
      <c r="I424" s="13"/>
      <c r="J424" s="29"/>
      <c r="K424" s="19"/>
      <c r="L424" s="19"/>
      <c r="M424" s="25"/>
      <c r="N424" s="13"/>
      <c r="O424" s="19"/>
      <c r="P424" s="27">
        <f>IF($A424="","",N($J424)*ValorHora)</f>
        <v>0</v>
      </c>
      <c r="Q424" s="27">
        <f>IF($A424="","",SUMIFS(ItTotal,ItOS,$A424))</f>
        <v>0</v>
      </c>
      <c r="R424" s="30">
        <f>IF($A424="","",$P424+$Q424+N($K424)-N($L424))</f>
        <v>0</v>
      </c>
      <c r="S424" s="27">
        <f>IF($A424="","",SUMIFS(ItCusto,ItOS,$A424))</f>
        <v>0</v>
      </c>
      <c r="T424" s="27">
        <f>IF($A424="","",$P424*ComMec)</f>
        <v>0</v>
      </c>
      <c r="U424" s="21">
        <f>IF($A424="","",$R424-$S424-$T424-N($K424))</f>
        <v>0</v>
      </c>
      <c r="V424" s="31">
        <f>IF(OR($A424="",N($R424)&lt;=0),"",$U424/$R424)</f>
        <v>0</v>
      </c>
      <c r="W424" s="27">
        <f>IF($A424="","",IF(OR($I424="Finalizado",$I424="Entregue"),MAX(0,$R424-N($O424)),0))</f>
        <v>0</v>
      </c>
      <c r="X424" s="32">
        <f>IF(OR($A424="",$B424=""),"",IF(OR($I424="Entregue",$I424="Cancelada"),"",Hoje-$B424))</f>
        <v>0</v>
      </c>
      <c r="Y424" s="24">
        <f>IF($A424="","",IF(AND(OR($I424="Aprovado",$I424="Em execução",$I424="Aguardando peça"),N($X424)&gt;PrazoMax),"ATRASADA",IF(AND(OR($I424="Finalizado",$I424="Entregue"),$W424&gt;0.005),"Cobrar",IF($I424="Orçamento","Aguardando aprovação",""))))</f>
        <v>0</v>
      </c>
      <c r="Z424" s="33">
        <f>IF(AND($I424="Entregue",$M424&lt;&gt;""),DATE(YEAR($M424),MONTH($M424),1),"")</f>
        <v>0</v>
      </c>
      <c r="AA424" s="34">
        <f>IF(AND($C424&lt;&gt;"",$C424=HistPlaca),COUNTIF($C$5:$C424,HistPlaca),"")</f>
        <v>0</v>
      </c>
    </row>
    <row r="425" spans="1:27">
      <c r="A425" s="17"/>
      <c r="B425" s="25"/>
      <c r="C425" s="13"/>
      <c r="D425" s="26">
        <f>IF($C425="","",IFERROR(INDEX(VeicCli,MATCH($C425,VeicPlaca,0)),"Placa não cadastrada"))</f>
        <v>0</v>
      </c>
      <c r="E425" s="26">
        <f>IF($C425="","",IFERROR(INDEX(VeicModelo,MATCH($C425,VeicPlaca,0)),""))</f>
        <v>0</v>
      </c>
      <c r="F425" s="28"/>
      <c r="G425" s="13"/>
      <c r="H425" s="13"/>
      <c r="I425" s="13"/>
      <c r="J425" s="29"/>
      <c r="K425" s="19"/>
      <c r="L425" s="19"/>
      <c r="M425" s="25"/>
      <c r="N425" s="13"/>
      <c r="O425" s="19"/>
      <c r="P425" s="27">
        <f>IF($A425="","",N($J425)*ValorHora)</f>
        <v>0</v>
      </c>
      <c r="Q425" s="27">
        <f>IF($A425="","",SUMIFS(ItTotal,ItOS,$A425))</f>
        <v>0</v>
      </c>
      <c r="R425" s="30">
        <f>IF($A425="","",$P425+$Q425+N($K425)-N($L425))</f>
        <v>0</v>
      </c>
      <c r="S425" s="27">
        <f>IF($A425="","",SUMIFS(ItCusto,ItOS,$A425))</f>
        <v>0</v>
      </c>
      <c r="T425" s="27">
        <f>IF($A425="","",$P425*ComMec)</f>
        <v>0</v>
      </c>
      <c r="U425" s="21">
        <f>IF($A425="","",$R425-$S425-$T425-N($K425))</f>
        <v>0</v>
      </c>
      <c r="V425" s="31">
        <f>IF(OR($A425="",N($R425)&lt;=0),"",$U425/$R425)</f>
        <v>0</v>
      </c>
      <c r="W425" s="27">
        <f>IF($A425="","",IF(OR($I425="Finalizado",$I425="Entregue"),MAX(0,$R425-N($O425)),0))</f>
        <v>0</v>
      </c>
      <c r="X425" s="32">
        <f>IF(OR($A425="",$B425=""),"",IF(OR($I425="Entregue",$I425="Cancelada"),"",Hoje-$B425))</f>
        <v>0</v>
      </c>
      <c r="Y425" s="24">
        <f>IF($A425="","",IF(AND(OR($I425="Aprovado",$I425="Em execução",$I425="Aguardando peça"),N($X425)&gt;PrazoMax),"ATRASADA",IF(AND(OR($I425="Finalizado",$I425="Entregue"),$W425&gt;0.005),"Cobrar",IF($I425="Orçamento","Aguardando aprovação",""))))</f>
        <v>0</v>
      </c>
      <c r="Z425" s="33">
        <f>IF(AND($I425="Entregue",$M425&lt;&gt;""),DATE(YEAR($M425),MONTH($M425),1),"")</f>
        <v>0</v>
      </c>
      <c r="AA425" s="34">
        <f>IF(AND($C425&lt;&gt;"",$C425=HistPlaca),COUNTIF($C$5:$C425,HistPlaca),"")</f>
        <v>0</v>
      </c>
    </row>
    <row r="426" spans="1:27">
      <c r="A426" s="17"/>
      <c r="B426" s="25"/>
      <c r="C426" s="13"/>
      <c r="D426" s="26">
        <f>IF($C426="","",IFERROR(INDEX(VeicCli,MATCH($C426,VeicPlaca,0)),"Placa não cadastrada"))</f>
        <v>0</v>
      </c>
      <c r="E426" s="26">
        <f>IF($C426="","",IFERROR(INDEX(VeicModelo,MATCH($C426,VeicPlaca,0)),""))</f>
        <v>0</v>
      </c>
      <c r="F426" s="28"/>
      <c r="G426" s="13"/>
      <c r="H426" s="13"/>
      <c r="I426" s="13"/>
      <c r="J426" s="29"/>
      <c r="K426" s="19"/>
      <c r="L426" s="19"/>
      <c r="M426" s="25"/>
      <c r="N426" s="13"/>
      <c r="O426" s="19"/>
      <c r="P426" s="27">
        <f>IF($A426="","",N($J426)*ValorHora)</f>
        <v>0</v>
      </c>
      <c r="Q426" s="27">
        <f>IF($A426="","",SUMIFS(ItTotal,ItOS,$A426))</f>
        <v>0</v>
      </c>
      <c r="R426" s="30">
        <f>IF($A426="","",$P426+$Q426+N($K426)-N($L426))</f>
        <v>0</v>
      </c>
      <c r="S426" s="27">
        <f>IF($A426="","",SUMIFS(ItCusto,ItOS,$A426))</f>
        <v>0</v>
      </c>
      <c r="T426" s="27">
        <f>IF($A426="","",$P426*ComMec)</f>
        <v>0</v>
      </c>
      <c r="U426" s="21">
        <f>IF($A426="","",$R426-$S426-$T426-N($K426))</f>
        <v>0</v>
      </c>
      <c r="V426" s="31">
        <f>IF(OR($A426="",N($R426)&lt;=0),"",$U426/$R426)</f>
        <v>0</v>
      </c>
      <c r="W426" s="27">
        <f>IF($A426="","",IF(OR($I426="Finalizado",$I426="Entregue"),MAX(0,$R426-N($O426)),0))</f>
        <v>0</v>
      </c>
      <c r="X426" s="32">
        <f>IF(OR($A426="",$B426=""),"",IF(OR($I426="Entregue",$I426="Cancelada"),"",Hoje-$B426))</f>
        <v>0</v>
      </c>
      <c r="Y426" s="24">
        <f>IF($A426="","",IF(AND(OR($I426="Aprovado",$I426="Em execução",$I426="Aguardando peça"),N($X426)&gt;PrazoMax),"ATRASADA",IF(AND(OR($I426="Finalizado",$I426="Entregue"),$W426&gt;0.005),"Cobrar",IF($I426="Orçamento","Aguardando aprovação",""))))</f>
        <v>0</v>
      </c>
      <c r="Z426" s="33">
        <f>IF(AND($I426="Entregue",$M426&lt;&gt;""),DATE(YEAR($M426),MONTH($M426),1),"")</f>
        <v>0</v>
      </c>
      <c r="AA426" s="34">
        <f>IF(AND($C426&lt;&gt;"",$C426=HistPlaca),COUNTIF($C$5:$C426,HistPlaca),"")</f>
        <v>0</v>
      </c>
    </row>
    <row r="427" spans="1:27">
      <c r="A427" s="17"/>
      <c r="B427" s="25"/>
      <c r="C427" s="13"/>
      <c r="D427" s="26">
        <f>IF($C427="","",IFERROR(INDEX(VeicCli,MATCH($C427,VeicPlaca,0)),"Placa não cadastrada"))</f>
        <v>0</v>
      </c>
      <c r="E427" s="26">
        <f>IF($C427="","",IFERROR(INDEX(VeicModelo,MATCH($C427,VeicPlaca,0)),""))</f>
        <v>0</v>
      </c>
      <c r="F427" s="28"/>
      <c r="G427" s="13"/>
      <c r="H427" s="13"/>
      <c r="I427" s="13"/>
      <c r="J427" s="29"/>
      <c r="K427" s="19"/>
      <c r="L427" s="19"/>
      <c r="M427" s="25"/>
      <c r="N427" s="13"/>
      <c r="O427" s="19"/>
      <c r="P427" s="27">
        <f>IF($A427="","",N($J427)*ValorHora)</f>
        <v>0</v>
      </c>
      <c r="Q427" s="27">
        <f>IF($A427="","",SUMIFS(ItTotal,ItOS,$A427))</f>
        <v>0</v>
      </c>
      <c r="R427" s="30">
        <f>IF($A427="","",$P427+$Q427+N($K427)-N($L427))</f>
        <v>0</v>
      </c>
      <c r="S427" s="27">
        <f>IF($A427="","",SUMIFS(ItCusto,ItOS,$A427))</f>
        <v>0</v>
      </c>
      <c r="T427" s="27">
        <f>IF($A427="","",$P427*ComMec)</f>
        <v>0</v>
      </c>
      <c r="U427" s="21">
        <f>IF($A427="","",$R427-$S427-$T427-N($K427))</f>
        <v>0</v>
      </c>
      <c r="V427" s="31">
        <f>IF(OR($A427="",N($R427)&lt;=0),"",$U427/$R427)</f>
        <v>0</v>
      </c>
      <c r="W427" s="27">
        <f>IF($A427="","",IF(OR($I427="Finalizado",$I427="Entregue"),MAX(0,$R427-N($O427)),0))</f>
        <v>0</v>
      </c>
      <c r="X427" s="32">
        <f>IF(OR($A427="",$B427=""),"",IF(OR($I427="Entregue",$I427="Cancelada"),"",Hoje-$B427))</f>
        <v>0</v>
      </c>
      <c r="Y427" s="24">
        <f>IF($A427="","",IF(AND(OR($I427="Aprovado",$I427="Em execução",$I427="Aguardando peça"),N($X427)&gt;PrazoMax),"ATRASADA",IF(AND(OR($I427="Finalizado",$I427="Entregue"),$W427&gt;0.005),"Cobrar",IF($I427="Orçamento","Aguardando aprovação",""))))</f>
        <v>0</v>
      </c>
      <c r="Z427" s="33">
        <f>IF(AND($I427="Entregue",$M427&lt;&gt;""),DATE(YEAR($M427),MONTH($M427),1),"")</f>
        <v>0</v>
      </c>
      <c r="AA427" s="34">
        <f>IF(AND($C427&lt;&gt;"",$C427=HistPlaca),COUNTIF($C$5:$C427,HistPlaca),"")</f>
        <v>0</v>
      </c>
    </row>
    <row r="428" spans="1:27">
      <c r="A428" s="17"/>
      <c r="B428" s="25"/>
      <c r="C428" s="13"/>
      <c r="D428" s="26">
        <f>IF($C428="","",IFERROR(INDEX(VeicCli,MATCH($C428,VeicPlaca,0)),"Placa não cadastrada"))</f>
        <v>0</v>
      </c>
      <c r="E428" s="26">
        <f>IF($C428="","",IFERROR(INDEX(VeicModelo,MATCH($C428,VeicPlaca,0)),""))</f>
        <v>0</v>
      </c>
      <c r="F428" s="28"/>
      <c r="G428" s="13"/>
      <c r="H428" s="13"/>
      <c r="I428" s="13"/>
      <c r="J428" s="29"/>
      <c r="K428" s="19"/>
      <c r="L428" s="19"/>
      <c r="M428" s="25"/>
      <c r="N428" s="13"/>
      <c r="O428" s="19"/>
      <c r="P428" s="27">
        <f>IF($A428="","",N($J428)*ValorHora)</f>
        <v>0</v>
      </c>
      <c r="Q428" s="27">
        <f>IF($A428="","",SUMIFS(ItTotal,ItOS,$A428))</f>
        <v>0</v>
      </c>
      <c r="R428" s="30">
        <f>IF($A428="","",$P428+$Q428+N($K428)-N($L428))</f>
        <v>0</v>
      </c>
      <c r="S428" s="27">
        <f>IF($A428="","",SUMIFS(ItCusto,ItOS,$A428))</f>
        <v>0</v>
      </c>
      <c r="T428" s="27">
        <f>IF($A428="","",$P428*ComMec)</f>
        <v>0</v>
      </c>
      <c r="U428" s="21">
        <f>IF($A428="","",$R428-$S428-$T428-N($K428))</f>
        <v>0</v>
      </c>
      <c r="V428" s="31">
        <f>IF(OR($A428="",N($R428)&lt;=0),"",$U428/$R428)</f>
        <v>0</v>
      </c>
      <c r="W428" s="27">
        <f>IF($A428="","",IF(OR($I428="Finalizado",$I428="Entregue"),MAX(0,$R428-N($O428)),0))</f>
        <v>0</v>
      </c>
      <c r="X428" s="32">
        <f>IF(OR($A428="",$B428=""),"",IF(OR($I428="Entregue",$I428="Cancelada"),"",Hoje-$B428))</f>
        <v>0</v>
      </c>
      <c r="Y428" s="24">
        <f>IF($A428="","",IF(AND(OR($I428="Aprovado",$I428="Em execução",$I428="Aguardando peça"),N($X428)&gt;PrazoMax),"ATRASADA",IF(AND(OR($I428="Finalizado",$I428="Entregue"),$W428&gt;0.005),"Cobrar",IF($I428="Orçamento","Aguardando aprovação",""))))</f>
        <v>0</v>
      </c>
      <c r="Z428" s="33">
        <f>IF(AND($I428="Entregue",$M428&lt;&gt;""),DATE(YEAR($M428),MONTH($M428),1),"")</f>
        <v>0</v>
      </c>
      <c r="AA428" s="34">
        <f>IF(AND($C428&lt;&gt;"",$C428=HistPlaca),COUNTIF($C$5:$C428,HistPlaca),"")</f>
        <v>0</v>
      </c>
    </row>
    <row r="429" spans="1:27">
      <c r="A429" s="17"/>
      <c r="B429" s="25"/>
      <c r="C429" s="13"/>
      <c r="D429" s="26">
        <f>IF($C429="","",IFERROR(INDEX(VeicCli,MATCH($C429,VeicPlaca,0)),"Placa não cadastrada"))</f>
        <v>0</v>
      </c>
      <c r="E429" s="26">
        <f>IF($C429="","",IFERROR(INDEX(VeicModelo,MATCH($C429,VeicPlaca,0)),""))</f>
        <v>0</v>
      </c>
      <c r="F429" s="28"/>
      <c r="G429" s="13"/>
      <c r="H429" s="13"/>
      <c r="I429" s="13"/>
      <c r="J429" s="29"/>
      <c r="K429" s="19"/>
      <c r="L429" s="19"/>
      <c r="M429" s="25"/>
      <c r="N429" s="13"/>
      <c r="O429" s="19"/>
      <c r="P429" s="27">
        <f>IF($A429="","",N($J429)*ValorHora)</f>
        <v>0</v>
      </c>
      <c r="Q429" s="27">
        <f>IF($A429="","",SUMIFS(ItTotal,ItOS,$A429))</f>
        <v>0</v>
      </c>
      <c r="R429" s="30">
        <f>IF($A429="","",$P429+$Q429+N($K429)-N($L429))</f>
        <v>0</v>
      </c>
      <c r="S429" s="27">
        <f>IF($A429="","",SUMIFS(ItCusto,ItOS,$A429))</f>
        <v>0</v>
      </c>
      <c r="T429" s="27">
        <f>IF($A429="","",$P429*ComMec)</f>
        <v>0</v>
      </c>
      <c r="U429" s="21">
        <f>IF($A429="","",$R429-$S429-$T429-N($K429))</f>
        <v>0</v>
      </c>
      <c r="V429" s="31">
        <f>IF(OR($A429="",N($R429)&lt;=0),"",$U429/$R429)</f>
        <v>0</v>
      </c>
      <c r="W429" s="27">
        <f>IF($A429="","",IF(OR($I429="Finalizado",$I429="Entregue"),MAX(0,$R429-N($O429)),0))</f>
        <v>0</v>
      </c>
      <c r="X429" s="32">
        <f>IF(OR($A429="",$B429=""),"",IF(OR($I429="Entregue",$I429="Cancelada"),"",Hoje-$B429))</f>
        <v>0</v>
      </c>
      <c r="Y429" s="24">
        <f>IF($A429="","",IF(AND(OR($I429="Aprovado",$I429="Em execução",$I429="Aguardando peça"),N($X429)&gt;PrazoMax),"ATRASADA",IF(AND(OR($I429="Finalizado",$I429="Entregue"),$W429&gt;0.005),"Cobrar",IF($I429="Orçamento","Aguardando aprovação",""))))</f>
        <v>0</v>
      </c>
      <c r="Z429" s="33">
        <f>IF(AND($I429="Entregue",$M429&lt;&gt;""),DATE(YEAR($M429),MONTH($M429),1),"")</f>
        <v>0</v>
      </c>
      <c r="AA429" s="34">
        <f>IF(AND($C429&lt;&gt;"",$C429=HistPlaca),COUNTIF($C$5:$C429,HistPlaca),"")</f>
        <v>0</v>
      </c>
    </row>
    <row r="430" spans="1:27">
      <c r="A430" s="17"/>
      <c r="B430" s="25"/>
      <c r="C430" s="13"/>
      <c r="D430" s="26">
        <f>IF($C430="","",IFERROR(INDEX(VeicCli,MATCH($C430,VeicPlaca,0)),"Placa não cadastrada"))</f>
        <v>0</v>
      </c>
      <c r="E430" s="26">
        <f>IF($C430="","",IFERROR(INDEX(VeicModelo,MATCH($C430,VeicPlaca,0)),""))</f>
        <v>0</v>
      </c>
      <c r="F430" s="28"/>
      <c r="G430" s="13"/>
      <c r="H430" s="13"/>
      <c r="I430" s="13"/>
      <c r="J430" s="29"/>
      <c r="K430" s="19"/>
      <c r="L430" s="19"/>
      <c r="M430" s="25"/>
      <c r="N430" s="13"/>
      <c r="O430" s="19"/>
      <c r="P430" s="27">
        <f>IF($A430="","",N($J430)*ValorHora)</f>
        <v>0</v>
      </c>
      <c r="Q430" s="27">
        <f>IF($A430="","",SUMIFS(ItTotal,ItOS,$A430))</f>
        <v>0</v>
      </c>
      <c r="R430" s="30">
        <f>IF($A430="","",$P430+$Q430+N($K430)-N($L430))</f>
        <v>0</v>
      </c>
      <c r="S430" s="27">
        <f>IF($A430="","",SUMIFS(ItCusto,ItOS,$A430))</f>
        <v>0</v>
      </c>
      <c r="T430" s="27">
        <f>IF($A430="","",$P430*ComMec)</f>
        <v>0</v>
      </c>
      <c r="U430" s="21">
        <f>IF($A430="","",$R430-$S430-$T430-N($K430))</f>
        <v>0</v>
      </c>
      <c r="V430" s="31">
        <f>IF(OR($A430="",N($R430)&lt;=0),"",$U430/$R430)</f>
        <v>0</v>
      </c>
      <c r="W430" s="27">
        <f>IF($A430="","",IF(OR($I430="Finalizado",$I430="Entregue"),MAX(0,$R430-N($O430)),0))</f>
        <v>0</v>
      </c>
      <c r="X430" s="32">
        <f>IF(OR($A430="",$B430=""),"",IF(OR($I430="Entregue",$I430="Cancelada"),"",Hoje-$B430))</f>
        <v>0</v>
      </c>
      <c r="Y430" s="24">
        <f>IF($A430="","",IF(AND(OR($I430="Aprovado",$I430="Em execução",$I430="Aguardando peça"),N($X430)&gt;PrazoMax),"ATRASADA",IF(AND(OR($I430="Finalizado",$I430="Entregue"),$W430&gt;0.005),"Cobrar",IF($I430="Orçamento","Aguardando aprovação",""))))</f>
        <v>0</v>
      </c>
      <c r="Z430" s="33">
        <f>IF(AND($I430="Entregue",$M430&lt;&gt;""),DATE(YEAR($M430),MONTH($M430),1),"")</f>
        <v>0</v>
      </c>
      <c r="AA430" s="34">
        <f>IF(AND($C430&lt;&gt;"",$C430=HistPlaca),COUNTIF($C$5:$C430,HistPlaca),"")</f>
        <v>0</v>
      </c>
    </row>
    <row r="431" spans="1:27">
      <c r="A431" s="17"/>
      <c r="B431" s="25"/>
      <c r="C431" s="13"/>
      <c r="D431" s="26">
        <f>IF($C431="","",IFERROR(INDEX(VeicCli,MATCH($C431,VeicPlaca,0)),"Placa não cadastrada"))</f>
        <v>0</v>
      </c>
      <c r="E431" s="26">
        <f>IF($C431="","",IFERROR(INDEX(VeicModelo,MATCH($C431,VeicPlaca,0)),""))</f>
        <v>0</v>
      </c>
      <c r="F431" s="28"/>
      <c r="G431" s="13"/>
      <c r="H431" s="13"/>
      <c r="I431" s="13"/>
      <c r="J431" s="29"/>
      <c r="K431" s="19"/>
      <c r="L431" s="19"/>
      <c r="M431" s="25"/>
      <c r="N431" s="13"/>
      <c r="O431" s="19"/>
      <c r="P431" s="27">
        <f>IF($A431="","",N($J431)*ValorHora)</f>
        <v>0</v>
      </c>
      <c r="Q431" s="27">
        <f>IF($A431="","",SUMIFS(ItTotal,ItOS,$A431))</f>
        <v>0</v>
      </c>
      <c r="R431" s="30">
        <f>IF($A431="","",$P431+$Q431+N($K431)-N($L431))</f>
        <v>0</v>
      </c>
      <c r="S431" s="27">
        <f>IF($A431="","",SUMIFS(ItCusto,ItOS,$A431))</f>
        <v>0</v>
      </c>
      <c r="T431" s="27">
        <f>IF($A431="","",$P431*ComMec)</f>
        <v>0</v>
      </c>
      <c r="U431" s="21">
        <f>IF($A431="","",$R431-$S431-$T431-N($K431))</f>
        <v>0</v>
      </c>
      <c r="V431" s="31">
        <f>IF(OR($A431="",N($R431)&lt;=0),"",$U431/$R431)</f>
        <v>0</v>
      </c>
      <c r="W431" s="27">
        <f>IF($A431="","",IF(OR($I431="Finalizado",$I431="Entregue"),MAX(0,$R431-N($O431)),0))</f>
        <v>0</v>
      </c>
      <c r="X431" s="32">
        <f>IF(OR($A431="",$B431=""),"",IF(OR($I431="Entregue",$I431="Cancelada"),"",Hoje-$B431))</f>
        <v>0</v>
      </c>
      <c r="Y431" s="24">
        <f>IF($A431="","",IF(AND(OR($I431="Aprovado",$I431="Em execução",$I431="Aguardando peça"),N($X431)&gt;PrazoMax),"ATRASADA",IF(AND(OR($I431="Finalizado",$I431="Entregue"),$W431&gt;0.005),"Cobrar",IF($I431="Orçamento","Aguardando aprovação",""))))</f>
        <v>0</v>
      </c>
      <c r="Z431" s="33">
        <f>IF(AND($I431="Entregue",$M431&lt;&gt;""),DATE(YEAR($M431),MONTH($M431),1),"")</f>
        <v>0</v>
      </c>
      <c r="AA431" s="34">
        <f>IF(AND($C431&lt;&gt;"",$C431=HistPlaca),COUNTIF($C$5:$C431,HistPlaca),"")</f>
        <v>0</v>
      </c>
    </row>
    <row r="432" spans="1:27">
      <c r="A432" s="17"/>
      <c r="B432" s="25"/>
      <c r="C432" s="13"/>
      <c r="D432" s="26">
        <f>IF($C432="","",IFERROR(INDEX(VeicCli,MATCH($C432,VeicPlaca,0)),"Placa não cadastrada"))</f>
        <v>0</v>
      </c>
      <c r="E432" s="26">
        <f>IF($C432="","",IFERROR(INDEX(VeicModelo,MATCH($C432,VeicPlaca,0)),""))</f>
        <v>0</v>
      </c>
      <c r="F432" s="28"/>
      <c r="G432" s="13"/>
      <c r="H432" s="13"/>
      <c r="I432" s="13"/>
      <c r="J432" s="29"/>
      <c r="K432" s="19"/>
      <c r="L432" s="19"/>
      <c r="M432" s="25"/>
      <c r="N432" s="13"/>
      <c r="O432" s="19"/>
      <c r="P432" s="27">
        <f>IF($A432="","",N($J432)*ValorHora)</f>
        <v>0</v>
      </c>
      <c r="Q432" s="27">
        <f>IF($A432="","",SUMIFS(ItTotal,ItOS,$A432))</f>
        <v>0</v>
      </c>
      <c r="R432" s="30">
        <f>IF($A432="","",$P432+$Q432+N($K432)-N($L432))</f>
        <v>0</v>
      </c>
      <c r="S432" s="27">
        <f>IF($A432="","",SUMIFS(ItCusto,ItOS,$A432))</f>
        <v>0</v>
      </c>
      <c r="T432" s="27">
        <f>IF($A432="","",$P432*ComMec)</f>
        <v>0</v>
      </c>
      <c r="U432" s="21">
        <f>IF($A432="","",$R432-$S432-$T432-N($K432))</f>
        <v>0</v>
      </c>
      <c r="V432" s="31">
        <f>IF(OR($A432="",N($R432)&lt;=0),"",$U432/$R432)</f>
        <v>0</v>
      </c>
      <c r="W432" s="27">
        <f>IF($A432="","",IF(OR($I432="Finalizado",$I432="Entregue"),MAX(0,$R432-N($O432)),0))</f>
        <v>0</v>
      </c>
      <c r="X432" s="32">
        <f>IF(OR($A432="",$B432=""),"",IF(OR($I432="Entregue",$I432="Cancelada"),"",Hoje-$B432))</f>
        <v>0</v>
      </c>
      <c r="Y432" s="24">
        <f>IF($A432="","",IF(AND(OR($I432="Aprovado",$I432="Em execução",$I432="Aguardando peça"),N($X432)&gt;PrazoMax),"ATRASADA",IF(AND(OR($I432="Finalizado",$I432="Entregue"),$W432&gt;0.005),"Cobrar",IF($I432="Orçamento","Aguardando aprovação",""))))</f>
        <v>0</v>
      </c>
      <c r="Z432" s="33">
        <f>IF(AND($I432="Entregue",$M432&lt;&gt;""),DATE(YEAR($M432),MONTH($M432),1),"")</f>
        <v>0</v>
      </c>
      <c r="AA432" s="34">
        <f>IF(AND($C432&lt;&gt;"",$C432=HistPlaca),COUNTIF($C$5:$C432,HistPlaca),"")</f>
        <v>0</v>
      </c>
    </row>
    <row r="433" spans="1:27">
      <c r="A433" s="17"/>
      <c r="B433" s="25"/>
      <c r="C433" s="13"/>
      <c r="D433" s="26">
        <f>IF($C433="","",IFERROR(INDEX(VeicCli,MATCH($C433,VeicPlaca,0)),"Placa não cadastrada"))</f>
        <v>0</v>
      </c>
      <c r="E433" s="26">
        <f>IF($C433="","",IFERROR(INDEX(VeicModelo,MATCH($C433,VeicPlaca,0)),""))</f>
        <v>0</v>
      </c>
      <c r="F433" s="28"/>
      <c r="G433" s="13"/>
      <c r="H433" s="13"/>
      <c r="I433" s="13"/>
      <c r="J433" s="29"/>
      <c r="K433" s="19"/>
      <c r="L433" s="19"/>
      <c r="M433" s="25"/>
      <c r="N433" s="13"/>
      <c r="O433" s="19"/>
      <c r="P433" s="27">
        <f>IF($A433="","",N($J433)*ValorHora)</f>
        <v>0</v>
      </c>
      <c r="Q433" s="27">
        <f>IF($A433="","",SUMIFS(ItTotal,ItOS,$A433))</f>
        <v>0</v>
      </c>
      <c r="R433" s="30">
        <f>IF($A433="","",$P433+$Q433+N($K433)-N($L433))</f>
        <v>0</v>
      </c>
      <c r="S433" s="27">
        <f>IF($A433="","",SUMIFS(ItCusto,ItOS,$A433))</f>
        <v>0</v>
      </c>
      <c r="T433" s="27">
        <f>IF($A433="","",$P433*ComMec)</f>
        <v>0</v>
      </c>
      <c r="U433" s="21">
        <f>IF($A433="","",$R433-$S433-$T433-N($K433))</f>
        <v>0</v>
      </c>
      <c r="V433" s="31">
        <f>IF(OR($A433="",N($R433)&lt;=0),"",$U433/$R433)</f>
        <v>0</v>
      </c>
      <c r="W433" s="27">
        <f>IF($A433="","",IF(OR($I433="Finalizado",$I433="Entregue"),MAX(0,$R433-N($O433)),0))</f>
        <v>0</v>
      </c>
      <c r="X433" s="32">
        <f>IF(OR($A433="",$B433=""),"",IF(OR($I433="Entregue",$I433="Cancelada"),"",Hoje-$B433))</f>
        <v>0</v>
      </c>
      <c r="Y433" s="24">
        <f>IF($A433="","",IF(AND(OR($I433="Aprovado",$I433="Em execução",$I433="Aguardando peça"),N($X433)&gt;PrazoMax),"ATRASADA",IF(AND(OR($I433="Finalizado",$I433="Entregue"),$W433&gt;0.005),"Cobrar",IF($I433="Orçamento","Aguardando aprovação",""))))</f>
        <v>0</v>
      </c>
      <c r="Z433" s="33">
        <f>IF(AND($I433="Entregue",$M433&lt;&gt;""),DATE(YEAR($M433),MONTH($M433),1),"")</f>
        <v>0</v>
      </c>
      <c r="AA433" s="34">
        <f>IF(AND($C433&lt;&gt;"",$C433=HistPlaca),COUNTIF($C$5:$C433,HistPlaca),"")</f>
        <v>0</v>
      </c>
    </row>
    <row r="434" spans="1:27">
      <c r="A434" s="17"/>
      <c r="B434" s="25"/>
      <c r="C434" s="13"/>
      <c r="D434" s="26">
        <f>IF($C434="","",IFERROR(INDEX(VeicCli,MATCH($C434,VeicPlaca,0)),"Placa não cadastrada"))</f>
        <v>0</v>
      </c>
      <c r="E434" s="26">
        <f>IF($C434="","",IFERROR(INDEX(VeicModelo,MATCH($C434,VeicPlaca,0)),""))</f>
        <v>0</v>
      </c>
      <c r="F434" s="28"/>
      <c r="G434" s="13"/>
      <c r="H434" s="13"/>
      <c r="I434" s="13"/>
      <c r="J434" s="29"/>
      <c r="K434" s="19"/>
      <c r="L434" s="19"/>
      <c r="M434" s="25"/>
      <c r="N434" s="13"/>
      <c r="O434" s="19"/>
      <c r="P434" s="27">
        <f>IF($A434="","",N($J434)*ValorHora)</f>
        <v>0</v>
      </c>
      <c r="Q434" s="27">
        <f>IF($A434="","",SUMIFS(ItTotal,ItOS,$A434))</f>
        <v>0</v>
      </c>
      <c r="R434" s="30">
        <f>IF($A434="","",$P434+$Q434+N($K434)-N($L434))</f>
        <v>0</v>
      </c>
      <c r="S434" s="27">
        <f>IF($A434="","",SUMIFS(ItCusto,ItOS,$A434))</f>
        <v>0</v>
      </c>
      <c r="T434" s="27">
        <f>IF($A434="","",$P434*ComMec)</f>
        <v>0</v>
      </c>
      <c r="U434" s="21">
        <f>IF($A434="","",$R434-$S434-$T434-N($K434))</f>
        <v>0</v>
      </c>
      <c r="V434" s="31">
        <f>IF(OR($A434="",N($R434)&lt;=0),"",$U434/$R434)</f>
        <v>0</v>
      </c>
      <c r="W434" s="27">
        <f>IF($A434="","",IF(OR($I434="Finalizado",$I434="Entregue"),MAX(0,$R434-N($O434)),0))</f>
        <v>0</v>
      </c>
      <c r="X434" s="32">
        <f>IF(OR($A434="",$B434=""),"",IF(OR($I434="Entregue",$I434="Cancelada"),"",Hoje-$B434))</f>
        <v>0</v>
      </c>
      <c r="Y434" s="24">
        <f>IF($A434="","",IF(AND(OR($I434="Aprovado",$I434="Em execução",$I434="Aguardando peça"),N($X434)&gt;PrazoMax),"ATRASADA",IF(AND(OR($I434="Finalizado",$I434="Entregue"),$W434&gt;0.005),"Cobrar",IF($I434="Orçamento","Aguardando aprovação",""))))</f>
        <v>0</v>
      </c>
      <c r="Z434" s="33">
        <f>IF(AND($I434="Entregue",$M434&lt;&gt;""),DATE(YEAR($M434),MONTH($M434),1),"")</f>
        <v>0</v>
      </c>
      <c r="AA434" s="34">
        <f>IF(AND($C434&lt;&gt;"",$C434=HistPlaca),COUNTIF($C$5:$C434,HistPlaca),"")</f>
        <v>0</v>
      </c>
    </row>
    <row r="435" spans="1:27">
      <c r="A435" s="17"/>
      <c r="B435" s="25"/>
      <c r="C435" s="13"/>
      <c r="D435" s="26">
        <f>IF($C435="","",IFERROR(INDEX(VeicCli,MATCH($C435,VeicPlaca,0)),"Placa não cadastrada"))</f>
        <v>0</v>
      </c>
      <c r="E435" s="26">
        <f>IF($C435="","",IFERROR(INDEX(VeicModelo,MATCH($C435,VeicPlaca,0)),""))</f>
        <v>0</v>
      </c>
      <c r="F435" s="28"/>
      <c r="G435" s="13"/>
      <c r="H435" s="13"/>
      <c r="I435" s="13"/>
      <c r="J435" s="29"/>
      <c r="K435" s="19"/>
      <c r="L435" s="19"/>
      <c r="M435" s="25"/>
      <c r="N435" s="13"/>
      <c r="O435" s="19"/>
      <c r="P435" s="27">
        <f>IF($A435="","",N($J435)*ValorHora)</f>
        <v>0</v>
      </c>
      <c r="Q435" s="27">
        <f>IF($A435="","",SUMIFS(ItTotal,ItOS,$A435))</f>
        <v>0</v>
      </c>
      <c r="R435" s="30">
        <f>IF($A435="","",$P435+$Q435+N($K435)-N($L435))</f>
        <v>0</v>
      </c>
      <c r="S435" s="27">
        <f>IF($A435="","",SUMIFS(ItCusto,ItOS,$A435))</f>
        <v>0</v>
      </c>
      <c r="T435" s="27">
        <f>IF($A435="","",$P435*ComMec)</f>
        <v>0</v>
      </c>
      <c r="U435" s="21">
        <f>IF($A435="","",$R435-$S435-$T435-N($K435))</f>
        <v>0</v>
      </c>
      <c r="V435" s="31">
        <f>IF(OR($A435="",N($R435)&lt;=0),"",$U435/$R435)</f>
        <v>0</v>
      </c>
      <c r="W435" s="27">
        <f>IF($A435="","",IF(OR($I435="Finalizado",$I435="Entregue"),MAX(0,$R435-N($O435)),0))</f>
        <v>0</v>
      </c>
      <c r="X435" s="32">
        <f>IF(OR($A435="",$B435=""),"",IF(OR($I435="Entregue",$I435="Cancelada"),"",Hoje-$B435))</f>
        <v>0</v>
      </c>
      <c r="Y435" s="24">
        <f>IF($A435="","",IF(AND(OR($I435="Aprovado",$I435="Em execução",$I435="Aguardando peça"),N($X435)&gt;PrazoMax),"ATRASADA",IF(AND(OR($I435="Finalizado",$I435="Entregue"),$W435&gt;0.005),"Cobrar",IF($I435="Orçamento","Aguardando aprovação",""))))</f>
        <v>0</v>
      </c>
      <c r="Z435" s="33">
        <f>IF(AND($I435="Entregue",$M435&lt;&gt;""),DATE(YEAR($M435),MONTH($M435),1),"")</f>
        <v>0</v>
      </c>
      <c r="AA435" s="34">
        <f>IF(AND($C435&lt;&gt;"",$C435=HistPlaca),COUNTIF($C$5:$C435,HistPlaca),"")</f>
        <v>0</v>
      </c>
    </row>
    <row r="436" spans="1:27">
      <c r="A436" s="17"/>
      <c r="B436" s="25"/>
      <c r="C436" s="13"/>
      <c r="D436" s="26">
        <f>IF($C436="","",IFERROR(INDEX(VeicCli,MATCH($C436,VeicPlaca,0)),"Placa não cadastrada"))</f>
        <v>0</v>
      </c>
      <c r="E436" s="26">
        <f>IF($C436="","",IFERROR(INDEX(VeicModelo,MATCH($C436,VeicPlaca,0)),""))</f>
        <v>0</v>
      </c>
      <c r="F436" s="28"/>
      <c r="G436" s="13"/>
      <c r="H436" s="13"/>
      <c r="I436" s="13"/>
      <c r="J436" s="29"/>
      <c r="K436" s="19"/>
      <c r="L436" s="19"/>
      <c r="M436" s="25"/>
      <c r="N436" s="13"/>
      <c r="O436" s="19"/>
      <c r="P436" s="27">
        <f>IF($A436="","",N($J436)*ValorHora)</f>
        <v>0</v>
      </c>
      <c r="Q436" s="27">
        <f>IF($A436="","",SUMIFS(ItTotal,ItOS,$A436))</f>
        <v>0</v>
      </c>
      <c r="R436" s="30">
        <f>IF($A436="","",$P436+$Q436+N($K436)-N($L436))</f>
        <v>0</v>
      </c>
      <c r="S436" s="27">
        <f>IF($A436="","",SUMIFS(ItCusto,ItOS,$A436))</f>
        <v>0</v>
      </c>
      <c r="T436" s="27">
        <f>IF($A436="","",$P436*ComMec)</f>
        <v>0</v>
      </c>
      <c r="U436" s="21">
        <f>IF($A436="","",$R436-$S436-$T436-N($K436))</f>
        <v>0</v>
      </c>
      <c r="V436" s="31">
        <f>IF(OR($A436="",N($R436)&lt;=0),"",$U436/$R436)</f>
        <v>0</v>
      </c>
      <c r="W436" s="27">
        <f>IF($A436="","",IF(OR($I436="Finalizado",$I436="Entregue"),MAX(0,$R436-N($O436)),0))</f>
        <v>0</v>
      </c>
      <c r="X436" s="32">
        <f>IF(OR($A436="",$B436=""),"",IF(OR($I436="Entregue",$I436="Cancelada"),"",Hoje-$B436))</f>
        <v>0</v>
      </c>
      <c r="Y436" s="24">
        <f>IF($A436="","",IF(AND(OR($I436="Aprovado",$I436="Em execução",$I436="Aguardando peça"),N($X436)&gt;PrazoMax),"ATRASADA",IF(AND(OR($I436="Finalizado",$I436="Entregue"),$W436&gt;0.005),"Cobrar",IF($I436="Orçamento","Aguardando aprovação",""))))</f>
        <v>0</v>
      </c>
      <c r="Z436" s="33">
        <f>IF(AND($I436="Entregue",$M436&lt;&gt;""),DATE(YEAR($M436),MONTH($M436),1),"")</f>
        <v>0</v>
      </c>
      <c r="AA436" s="34">
        <f>IF(AND($C436&lt;&gt;"",$C436=HistPlaca),COUNTIF($C$5:$C436,HistPlaca),"")</f>
        <v>0</v>
      </c>
    </row>
    <row r="437" spans="1:27">
      <c r="A437" s="17"/>
      <c r="B437" s="25"/>
      <c r="C437" s="13"/>
      <c r="D437" s="26">
        <f>IF($C437="","",IFERROR(INDEX(VeicCli,MATCH($C437,VeicPlaca,0)),"Placa não cadastrada"))</f>
        <v>0</v>
      </c>
      <c r="E437" s="26">
        <f>IF($C437="","",IFERROR(INDEX(VeicModelo,MATCH($C437,VeicPlaca,0)),""))</f>
        <v>0</v>
      </c>
      <c r="F437" s="28"/>
      <c r="G437" s="13"/>
      <c r="H437" s="13"/>
      <c r="I437" s="13"/>
      <c r="J437" s="29"/>
      <c r="K437" s="19"/>
      <c r="L437" s="19"/>
      <c r="M437" s="25"/>
      <c r="N437" s="13"/>
      <c r="O437" s="19"/>
      <c r="P437" s="27">
        <f>IF($A437="","",N($J437)*ValorHora)</f>
        <v>0</v>
      </c>
      <c r="Q437" s="27">
        <f>IF($A437="","",SUMIFS(ItTotal,ItOS,$A437))</f>
        <v>0</v>
      </c>
      <c r="R437" s="30">
        <f>IF($A437="","",$P437+$Q437+N($K437)-N($L437))</f>
        <v>0</v>
      </c>
      <c r="S437" s="27">
        <f>IF($A437="","",SUMIFS(ItCusto,ItOS,$A437))</f>
        <v>0</v>
      </c>
      <c r="T437" s="27">
        <f>IF($A437="","",$P437*ComMec)</f>
        <v>0</v>
      </c>
      <c r="U437" s="21">
        <f>IF($A437="","",$R437-$S437-$T437-N($K437))</f>
        <v>0</v>
      </c>
      <c r="V437" s="31">
        <f>IF(OR($A437="",N($R437)&lt;=0),"",$U437/$R437)</f>
        <v>0</v>
      </c>
      <c r="W437" s="27">
        <f>IF($A437="","",IF(OR($I437="Finalizado",$I437="Entregue"),MAX(0,$R437-N($O437)),0))</f>
        <v>0</v>
      </c>
      <c r="X437" s="32">
        <f>IF(OR($A437="",$B437=""),"",IF(OR($I437="Entregue",$I437="Cancelada"),"",Hoje-$B437))</f>
        <v>0</v>
      </c>
      <c r="Y437" s="24">
        <f>IF($A437="","",IF(AND(OR($I437="Aprovado",$I437="Em execução",$I437="Aguardando peça"),N($X437)&gt;PrazoMax),"ATRASADA",IF(AND(OR($I437="Finalizado",$I437="Entregue"),$W437&gt;0.005),"Cobrar",IF($I437="Orçamento","Aguardando aprovação",""))))</f>
        <v>0</v>
      </c>
      <c r="Z437" s="33">
        <f>IF(AND($I437="Entregue",$M437&lt;&gt;""),DATE(YEAR($M437),MONTH($M437),1),"")</f>
        <v>0</v>
      </c>
      <c r="AA437" s="34">
        <f>IF(AND($C437&lt;&gt;"",$C437=HistPlaca),COUNTIF($C$5:$C437,HistPlaca),"")</f>
        <v>0</v>
      </c>
    </row>
    <row r="438" spans="1:27">
      <c r="A438" s="17"/>
      <c r="B438" s="25"/>
      <c r="C438" s="13"/>
      <c r="D438" s="26">
        <f>IF($C438="","",IFERROR(INDEX(VeicCli,MATCH($C438,VeicPlaca,0)),"Placa não cadastrada"))</f>
        <v>0</v>
      </c>
      <c r="E438" s="26">
        <f>IF($C438="","",IFERROR(INDEX(VeicModelo,MATCH($C438,VeicPlaca,0)),""))</f>
        <v>0</v>
      </c>
      <c r="F438" s="28"/>
      <c r="G438" s="13"/>
      <c r="H438" s="13"/>
      <c r="I438" s="13"/>
      <c r="J438" s="29"/>
      <c r="K438" s="19"/>
      <c r="L438" s="19"/>
      <c r="M438" s="25"/>
      <c r="N438" s="13"/>
      <c r="O438" s="19"/>
      <c r="P438" s="27">
        <f>IF($A438="","",N($J438)*ValorHora)</f>
        <v>0</v>
      </c>
      <c r="Q438" s="27">
        <f>IF($A438="","",SUMIFS(ItTotal,ItOS,$A438))</f>
        <v>0</v>
      </c>
      <c r="R438" s="30">
        <f>IF($A438="","",$P438+$Q438+N($K438)-N($L438))</f>
        <v>0</v>
      </c>
      <c r="S438" s="27">
        <f>IF($A438="","",SUMIFS(ItCusto,ItOS,$A438))</f>
        <v>0</v>
      </c>
      <c r="T438" s="27">
        <f>IF($A438="","",$P438*ComMec)</f>
        <v>0</v>
      </c>
      <c r="U438" s="21">
        <f>IF($A438="","",$R438-$S438-$T438-N($K438))</f>
        <v>0</v>
      </c>
      <c r="V438" s="31">
        <f>IF(OR($A438="",N($R438)&lt;=0),"",$U438/$R438)</f>
        <v>0</v>
      </c>
      <c r="W438" s="27">
        <f>IF($A438="","",IF(OR($I438="Finalizado",$I438="Entregue"),MAX(0,$R438-N($O438)),0))</f>
        <v>0</v>
      </c>
      <c r="X438" s="32">
        <f>IF(OR($A438="",$B438=""),"",IF(OR($I438="Entregue",$I438="Cancelada"),"",Hoje-$B438))</f>
        <v>0</v>
      </c>
      <c r="Y438" s="24">
        <f>IF($A438="","",IF(AND(OR($I438="Aprovado",$I438="Em execução",$I438="Aguardando peça"),N($X438)&gt;PrazoMax),"ATRASADA",IF(AND(OR($I438="Finalizado",$I438="Entregue"),$W438&gt;0.005),"Cobrar",IF($I438="Orçamento","Aguardando aprovação",""))))</f>
        <v>0</v>
      </c>
      <c r="Z438" s="33">
        <f>IF(AND($I438="Entregue",$M438&lt;&gt;""),DATE(YEAR($M438),MONTH($M438),1),"")</f>
        <v>0</v>
      </c>
      <c r="AA438" s="34">
        <f>IF(AND($C438&lt;&gt;"",$C438=HistPlaca),COUNTIF($C$5:$C438,HistPlaca),"")</f>
        <v>0</v>
      </c>
    </row>
    <row r="439" spans="1:27">
      <c r="A439" s="17"/>
      <c r="B439" s="25"/>
      <c r="C439" s="13"/>
      <c r="D439" s="26">
        <f>IF($C439="","",IFERROR(INDEX(VeicCli,MATCH($C439,VeicPlaca,0)),"Placa não cadastrada"))</f>
        <v>0</v>
      </c>
      <c r="E439" s="26">
        <f>IF($C439="","",IFERROR(INDEX(VeicModelo,MATCH($C439,VeicPlaca,0)),""))</f>
        <v>0</v>
      </c>
      <c r="F439" s="28"/>
      <c r="G439" s="13"/>
      <c r="H439" s="13"/>
      <c r="I439" s="13"/>
      <c r="J439" s="29"/>
      <c r="K439" s="19"/>
      <c r="L439" s="19"/>
      <c r="M439" s="25"/>
      <c r="N439" s="13"/>
      <c r="O439" s="19"/>
      <c r="P439" s="27">
        <f>IF($A439="","",N($J439)*ValorHora)</f>
        <v>0</v>
      </c>
      <c r="Q439" s="27">
        <f>IF($A439="","",SUMIFS(ItTotal,ItOS,$A439))</f>
        <v>0</v>
      </c>
      <c r="R439" s="30">
        <f>IF($A439="","",$P439+$Q439+N($K439)-N($L439))</f>
        <v>0</v>
      </c>
      <c r="S439" s="27">
        <f>IF($A439="","",SUMIFS(ItCusto,ItOS,$A439))</f>
        <v>0</v>
      </c>
      <c r="T439" s="27">
        <f>IF($A439="","",$P439*ComMec)</f>
        <v>0</v>
      </c>
      <c r="U439" s="21">
        <f>IF($A439="","",$R439-$S439-$T439-N($K439))</f>
        <v>0</v>
      </c>
      <c r="V439" s="31">
        <f>IF(OR($A439="",N($R439)&lt;=0),"",$U439/$R439)</f>
        <v>0</v>
      </c>
      <c r="W439" s="27">
        <f>IF($A439="","",IF(OR($I439="Finalizado",$I439="Entregue"),MAX(0,$R439-N($O439)),0))</f>
        <v>0</v>
      </c>
      <c r="X439" s="32">
        <f>IF(OR($A439="",$B439=""),"",IF(OR($I439="Entregue",$I439="Cancelada"),"",Hoje-$B439))</f>
        <v>0</v>
      </c>
      <c r="Y439" s="24">
        <f>IF($A439="","",IF(AND(OR($I439="Aprovado",$I439="Em execução",$I439="Aguardando peça"),N($X439)&gt;PrazoMax),"ATRASADA",IF(AND(OR($I439="Finalizado",$I439="Entregue"),$W439&gt;0.005),"Cobrar",IF($I439="Orçamento","Aguardando aprovação",""))))</f>
        <v>0</v>
      </c>
      <c r="Z439" s="33">
        <f>IF(AND($I439="Entregue",$M439&lt;&gt;""),DATE(YEAR($M439),MONTH($M439),1),"")</f>
        <v>0</v>
      </c>
      <c r="AA439" s="34">
        <f>IF(AND($C439&lt;&gt;"",$C439=HistPlaca),COUNTIF($C$5:$C439,HistPlaca),"")</f>
        <v>0</v>
      </c>
    </row>
    <row r="440" spans="1:27">
      <c r="A440" s="17"/>
      <c r="B440" s="25"/>
      <c r="C440" s="13"/>
      <c r="D440" s="26">
        <f>IF($C440="","",IFERROR(INDEX(VeicCli,MATCH($C440,VeicPlaca,0)),"Placa não cadastrada"))</f>
        <v>0</v>
      </c>
      <c r="E440" s="26">
        <f>IF($C440="","",IFERROR(INDEX(VeicModelo,MATCH($C440,VeicPlaca,0)),""))</f>
        <v>0</v>
      </c>
      <c r="F440" s="28"/>
      <c r="G440" s="13"/>
      <c r="H440" s="13"/>
      <c r="I440" s="13"/>
      <c r="J440" s="29"/>
      <c r="K440" s="19"/>
      <c r="L440" s="19"/>
      <c r="M440" s="25"/>
      <c r="N440" s="13"/>
      <c r="O440" s="19"/>
      <c r="P440" s="27">
        <f>IF($A440="","",N($J440)*ValorHora)</f>
        <v>0</v>
      </c>
      <c r="Q440" s="27">
        <f>IF($A440="","",SUMIFS(ItTotal,ItOS,$A440))</f>
        <v>0</v>
      </c>
      <c r="R440" s="30">
        <f>IF($A440="","",$P440+$Q440+N($K440)-N($L440))</f>
        <v>0</v>
      </c>
      <c r="S440" s="27">
        <f>IF($A440="","",SUMIFS(ItCusto,ItOS,$A440))</f>
        <v>0</v>
      </c>
      <c r="T440" s="27">
        <f>IF($A440="","",$P440*ComMec)</f>
        <v>0</v>
      </c>
      <c r="U440" s="21">
        <f>IF($A440="","",$R440-$S440-$T440-N($K440))</f>
        <v>0</v>
      </c>
      <c r="V440" s="31">
        <f>IF(OR($A440="",N($R440)&lt;=0),"",$U440/$R440)</f>
        <v>0</v>
      </c>
      <c r="W440" s="27">
        <f>IF($A440="","",IF(OR($I440="Finalizado",$I440="Entregue"),MAX(0,$R440-N($O440)),0))</f>
        <v>0</v>
      </c>
      <c r="X440" s="32">
        <f>IF(OR($A440="",$B440=""),"",IF(OR($I440="Entregue",$I440="Cancelada"),"",Hoje-$B440))</f>
        <v>0</v>
      </c>
      <c r="Y440" s="24">
        <f>IF($A440="","",IF(AND(OR($I440="Aprovado",$I440="Em execução",$I440="Aguardando peça"),N($X440)&gt;PrazoMax),"ATRASADA",IF(AND(OR($I440="Finalizado",$I440="Entregue"),$W440&gt;0.005),"Cobrar",IF($I440="Orçamento","Aguardando aprovação",""))))</f>
        <v>0</v>
      </c>
      <c r="Z440" s="33">
        <f>IF(AND($I440="Entregue",$M440&lt;&gt;""),DATE(YEAR($M440),MONTH($M440),1),"")</f>
        <v>0</v>
      </c>
      <c r="AA440" s="34">
        <f>IF(AND($C440&lt;&gt;"",$C440=HistPlaca),COUNTIF($C$5:$C440,HistPlaca),"")</f>
        <v>0</v>
      </c>
    </row>
    <row r="441" spans="1:27">
      <c r="A441" s="17"/>
      <c r="B441" s="25"/>
      <c r="C441" s="13"/>
      <c r="D441" s="26">
        <f>IF($C441="","",IFERROR(INDEX(VeicCli,MATCH($C441,VeicPlaca,0)),"Placa não cadastrada"))</f>
        <v>0</v>
      </c>
      <c r="E441" s="26">
        <f>IF($C441="","",IFERROR(INDEX(VeicModelo,MATCH($C441,VeicPlaca,0)),""))</f>
        <v>0</v>
      </c>
      <c r="F441" s="28"/>
      <c r="G441" s="13"/>
      <c r="H441" s="13"/>
      <c r="I441" s="13"/>
      <c r="J441" s="29"/>
      <c r="K441" s="19"/>
      <c r="L441" s="19"/>
      <c r="M441" s="25"/>
      <c r="N441" s="13"/>
      <c r="O441" s="19"/>
      <c r="P441" s="27">
        <f>IF($A441="","",N($J441)*ValorHora)</f>
        <v>0</v>
      </c>
      <c r="Q441" s="27">
        <f>IF($A441="","",SUMIFS(ItTotal,ItOS,$A441))</f>
        <v>0</v>
      </c>
      <c r="R441" s="30">
        <f>IF($A441="","",$P441+$Q441+N($K441)-N($L441))</f>
        <v>0</v>
      </c>
      <c r="S441" s="27">
        <f>IF($A441="","",SUMIFS(ItCusto,ItOS,$A441))</f>
        <v>0</v>
      </c>
      <c r="T441" s="27">
        <f>IF($A441="","",$P441*ComMec)</f>
        <v>0</v>
      </c>
      <c r="U441" s="21">
        <f>IF($A441="","",$R441-$S441-$T441-N($K441))</f>
        <v>0</v>
      </c>
      <c r="V441" s="31">
        <f>IF(OR($A441="",N($R441)&lt;=0),"",$U441/$R441)</f>
        <v>0</v>
      </c>
      <c r="W441" s="27">
        <f>IF($A441="","",IF(OR($I441="Finalizado",$I441="Entregue"),MAX(0,$R441-N($O441)),0))</f>
        <v>0</v>
      </c>
      <c r="X441" s="32">
        <f>IF(OR($A441="",$B441=""),"",IF(OR($I441="Entregue",$I441="Cancelada"),"",Hoje-$B441))</f>
        <v>0</v>
      </c>
      <c r="Y441" s="24">
        <f>IF($A441="","",IF(AND(OR($I441="Aprovado",$I441="Em execução",$I441="Aguardando peça"),N($X441)&gt;PrazoMax),"ATRASADA",IF(AND(OR($I441="Finalizado",$I441="Entregue"),$W441&gt;0.005),"Cobrar",IF($I441="Orçamento","Aguardando aprovação",""))))</f>
        <v>0</v>
      </c>
      <c r="Z441" s="33">
        <f>IF(AND($I441="Entregue",$M441&lt;&gt;""),DATE(YEAR($M441),MONTH($M441),1),"")</f>
        <v>0</v>
      </c>
      <c r="AA441" s="34">
        <f>IF(AND($C441&lt;&gt;"",$C441=HistPlaca),COUNTIF($C$5:$C441,HistPlaca),"")</f>
        <v>0</v>
      </c>
    </row>
    <row r="442" spans="1:27">
      <c r="A442" s="17"/>
      <c r="B442" s="25"/>
      <c r="C442" s="13"/>
      <c r="D442" s="26">
        <f>IF($C442="","",IFERROR(INDEX(VeicCli,MATCH($C442,VeicPlaca,0)),"Placa não cadastrada"))</f>
        <v>0</v>
      </c>
      <c r="E442" s="26">
        <f>IF($C442="","",IFERROR(INDEX(VeicModelo,MATCH($C442,VeicPlaca,0)),""))</f>
        <v>0</v>
      </c>
      <c r="F442" s="28"/>
      <c r="G442" s="13"/>
      <c r="H442" s="13"/>
      <c r="I442" s="13"/>
      <c r="J442" s="29"/>
      <c r="K442" s="19"/>
      <c r="L442" s="19"/>
      <c r="M442" s="25"/>
      <c r="N442" s="13"/>
      <c r="O442" s="19"/>
      <c r="P442" s="27">
        <f>IF($A442="","",N($J442)*ValorHora)</f>
        <v>0</v>
      </c>
      <c r="Q442" s="27">
        <f>IF($A442="","",SUMIFS(ItTotal,ItOS,$A442))</f>
        <v>0</v>
      </c>
      <c r="R442" s="30">
        <f>IF($A442="","",$P442+$Q442+N($K442)-N($L442))</f>
        <v>0</v>
      </c>
      <c r="S442" s="27">
        <f>IF($A442="","",SUMIFS(ItCusto,ItOS,$A442))</f>
        <v>0</v>
      </c>
      <c r="T442" s="27">
        <f>IF($A442="","",$P442*ComMec)</f>
        <v>0</v>
      </c>
      <c r="U442" s="21">
        <f>IF($A442="","",$R442-$S442-$T442-N($K442))</f>
        <v>0</v>
      </c>
      <c r="V442" s="31">
        <f>IF(OR($A442="",N($R442)&lt;=0),"",$U442/$R442)</f>
        <v>0</v>
      </c>
      <c r="W442" s="27">
        <f>IF($A442="","",IF(OR($I442="Finalizado",$I442="Entregue"),MAX(0,$R442-N($O442)),0))</f>
        <v>0</v>
      </c>
      <c r="X442" s="32">
        <f>IF(OR($A442="",$B442=""),"",IF(OR($I442="Entregue",$I442="Cancelada"),"",Hoje-$B442))</f>
        <v>0</v>
      </c>
      <c r="Y442" s="24">
        <f>IF($A442="","",IF(AND(OR($I442="Aprovado",$I442="Em execução",$I442="Aguardando peça"),N($X442)&gt;PrazoMax),"ATRASADA",IF(AND(OR($I442="Finalizado",$I442="Entregue"),$W442&gt;0.005),"Cobrar",IF($I442="Orçamento","Aguardando aprovação",""))))</f>
        <v>0</v>
      </c>
      <c r="Z442" s="33">
        <f>IF(AND($I442="Entregue",$M442&lt;&gt;""),DATE(YEAR($M442),MONTH($M442),1),"")</f>
        <v>0</v>
      </c>
      <c r="AA442" s="34">
        <f>IF(AND($C442&lt;&gt;"",$C442=HistPlaca),COUNTIF($C$5:$C442,HistPlaca),"")</f>
        <v>0</v>
      </c>
    </row>
    <row r="443" spans="1:27">
      <c r="A443" s="17"/>
      <c r="B443" s="25"/>
      <c r="C443" s="13"/>
      <c r="D443" s="26">
        <f>IF($C443="","",IFERROR(INDEX(VeicCli,MATCH($C443,VeicPlaca,0)),"Placa não cadastrada"))</f>
        <v>0</v>
      </c>
      <c r="E443" s="26">
        <f>IF($C443="","",IFERROR(INDEX(VeicModelo,MATCH($C443,VeicPlaca,0)),""))</f>
        <v>0</v>
      </c>
      <c r="F443" s="28"/>
      <c r="G443" s="13"/>
      <c r="H443" s="13"/>
      <c r="I443" s="13"/>
      <c r="J443" s="29"/>
      <c r="K443" s="19"/>
      <c r="L443" s="19"/>
      <c r="M443" s="25"/>
      <c r="N443" s="13"/>
      <c r="O443" s="19"/>
      <c r="P443" s="27">
        <f>IF($A443="","",N($J443)*ValorHora)</f>
        <v>0</v>
      </c>
      <c r="Q443" s="27">
        <f>IF($A443="","",SUMIFS(ItTotal,ItOS,$A443))</f>
        <v>0</v>
      </c>
      <c r="R443" s="30">
        <f>IF($A443="","",$P443+$Q443+N($K443)-N($L443))</f>
        <v>0</v>
      </c>
      <c r="S443" s="27">
        <f>IF($A443="","",SUMIFS(ItCusto,ItOS,$A443))</f>
        <v>0</v>
      </c>
      <c r="T443" s="27">
        <f>IF($A443="","",$P443*ComMec)</f>
        <v>0</v>
      </c>
      <c r="U443" s="21">
        <f>IF($A443="","",$R443-$S443-$T443-N($K443))</f>
        <v>0</v>
      </c>
      <c r="V443" s="31">
        <f>IF(OR($A443="",N($R443)&lt;=0),"",$U443/$R443)</f>
        <v>0</v>
      </c>
      <c r="W443" s="27">
        <f>IF($A443="","",IF(OR($I443="Finalizado",$I443="Entregue"),MAX(0,$R443-N($O443)),0))</f>
        <v>0</v>
      </c>
      <c r="X443" s="32">
        <f>IF(OR($A443="",$B443=""),"",IF(OR($I443="Entregue",$I443="Cancelada"),"",Hoje-$B443))</f>
        <v>0</v>
      </c>
      <c r="Y443" s="24">
        <f>IF($A443="","",IF(AND(OR($I443="Aprovado",$I443="Em execução",$I443="Aguardando peça"),N($X443)&gt;PrazoMax),"ATRASADA",IF(AND(OR($I443="Finalizado",$I443="Entregue"),$W443&gt;0.005),"Cobrar",IF($I443="Orçamento","Aguardando aprovação",""))))</f>
        <v>0</v>
      </c>
      <c r="Z443" s="33">
        <f>IF(AND($I443="Entregue",$M443&lt;&gt;""),DATE(YEAR($M443),MONTH($M443),1),"")</f>
        <v>0</v>
      </c>
      <c r="AA443" s="34">
        <f>IF(AND($C443&lt;&gt;"",$C443=HistPlaca),COUNTIF($C$5:$C443,HistPlaca),"")</f>
        <v>0</v>
      </c>
    </row>
    <row r="444" spans="1:27">
      <c r="A444" s="17"/>
      <c r="B444" s="25"/>
      <c r="C444" s="13"/>
      <c r="D444" s="26">
        <f>IF($C444="","",IFERROR(INDEX(VeicCli,MATCH($C444,VeicPlaca,0)),"Placa não cadastrada"))</f>
        <v>0</v>
      </c>
      <c r="E444" s="26">
        <f>IF($C444="","",IFERROR(INDEX(VeicModelo,MATCH($C444,VeicPlaca,0)),""))</f>
        <v>0</v>
      </c>
      <c r="F444" s="28"/>
      <c r="G444" s="13"/>
      <c r="H444" s="13"/>
      <c r="I444" s="13"/>
      <c r="J444" s="29"/>
      <c r="K444" s="19"/>
      <c r="L444" s="19"/>
      <c r="M444" s="25"/>
      <c r="N444" s="13"/>
      <c r="O444" s="19"/>
      <c r="P444" s="27">
        <f>IF($A444="","",N($J444)*ValorHora)</f>
        <v>0</v>
      </c>
      <c r="Q444" s="27">
        <f>IF($A444="","",SUMIFS(ItTotal,ItOS,$A444))</f>
        <v>0</v>
      </c>
      <c r="R444" s="30">
        <f>IF($A444="","",$P444+$Q444+N($K444)-N($L444))</f>
        <v>0</v>
      </c>
      <c r="S444" s="27">
        <f>IF($A444="","",SUMIFS(ItCusto,ItOS,$A444))</f>
        <v>0</v>
      </c>
      <c r="T444" s="27">
        <f>IF($A444="","",$P444*ComMec)</f>
        <v>0</v>
      </c>
      <c r="U444" s="21">
        <f>IF($A444="","",$R444-$S444-$T444-N($K444))</f>
        <v>0</v>
      </c>
      <c r="V444" s="31">
        <f>IF(OR($A444="",N($R444)&lt;=0),"",$U444/$R444)</f>
        <v>0</v>
      </c>
      <c r="W444" s="27">
        <f>IF($A444="","",IF(OR($I444="Finalizado",$I444="Entregue"),MAX(0,$R444-N($O444)),0))</f>
        <v>0</v>
      </c>
      <c r="X444" s="32">
        <f>IF(OR($A444="",$B444=""),"",IF(OR($I444="Entregue",$I444="Cancelada"),"",Hoje-$B444))</f>
        <v>0</v>
      </c>
      <c r="Y444" s="24">
        <f>IF($A444="","",IF(AND(OR($I444="Aprovado",$I444="Em execução",$I444="Aguardando peça"),N($X444)&gt;PrazoMax),"ATRASADA",IF(AND(OR($I444="Finalizado",$I444="Entregue"),$W444&gt;0.005),"Cobrar",IF($I444="Orçamento","Aguardando aprovação",""))))</f>
        <v>0</v>
      </c>
      <c r="Z444" s="33">
        <f>IF(AND($I444="Entregue",$M444&lt;&gt;""),DATE(YEAR($M444),MONTH($M444),1),"")</f>
        <v>0</v>
      </c>
      <c r="AA444" s="34">
        <f>IF(AND($C444&lt;&gt;"",$C444=HistPlaca),COUNTIF($C$5:$C444,HistPlaca),"")</f>
        <v>0</v>
      </c>
    </row>
    <row r="445" spans="1:27">
      <c r="A445" s="17"/>
      <c r="B445" s="25"/>
      <c r="C445" s="13"/>
      <c r="D445" s="26">
        <f>IF($C445="","",IFERROR(INDEX(VeicCli,MATCH($C445,VeicPlaca,0)),"Placa não cadastrada"))</f>
        <v>0</v>
      </c>
      <c r="E445" s="26">
        <f>IF($C445="","",IFERROR(INDEX(VeicModelo,MATCH($C445,VeicPlaca,0)),""))</f>
        <v>0</v>
      </c>
      <c r="F445" s="28"/>
      <c r="G445" s="13"/>
      <c r="H445" s="13"/>
      <c r="I445" s="13"/>
      <c r="J445" s="29"/>
      <c r="K445" s="19"/>
      <c r="L445" s="19"/>
      <c r="M445" s="25"/>
      <c r="N445" s="13"/>
      <c r="O445" s="19"/>
      <c r="P445" s="27">
        <f>IF($A445="","",N($J445)*ValorHora)</f>
        <v>0</v>
      </c>
      <c r="Q445" s="27">
        <f>IF($A445="","",SUMIFS(ItTotal,ItOS,$A445))</f>
        <v>0</v>
      </c>
      <c r="R445" s="30">
        <f>IF($A445="","",$P445+$Q445+N($K445)-N($L445))</f>
        <v>0</v>
      </c>
      <c r="S445" s="27">
        <f>IF($A445="","",SUMIFS(ItCusto,ItOS,$A445))</f>
        <v>0</v>
      </c>
      <c r="T445" s="27">
        <f>IF($A445="","",$P445*ComMec)</f>
        <v>0</v>
      </c>
      <c r="U445" s="21">
        <f>IF($A445="","",$R445-$S445-$T445-N($K445))</f>
        <v>0</v>
      </c>
      <c r="V445" s="31">
        <f>IF(OR($A445="",N($R445)&lt;=0),"",$U445/$R445)</f>
        <v>0</v>
      </c>
      <c r="W445" s="27">
        <f>IF($A445="","",IF(OR($I445="Finalizado",$I445="Entregue"),MAX(0,$R445-N($O445)),0))</f>
        <v>0</v>
      </c>
      <c r="X445" s="32">
        <f>IF(OR($A445="",$B445=""),"",IF(OR($I445="Entregue",$I445="Cancelada"),"",Hoje-$B445))</f>
        <v>0</v>
      </c>
      <c r="Y445" s="24">
        <f>IF($A445="","",IF(AND(OR($I445="Aprovado",$I445="Em execução",$I445="Aguardando peça"),N($X445)&gt;PrazoMax),"ATRASADA",IF(AND(OR($I445="Finalizado",$I445="Entregue"),$W445&gt;0.005),"Cobrar",IF($I445="Orçamento","Aguardando aprovação",""))))</f>
        <v>0</v>
      </c>
      <c r="Z445" s="33">
        <f>IF(AND($I445="Entregue",$M445&lt;&gt;""),DATE(YEAR($M445),MONTH($M445),1),"")</f>
        <v>0</v>
      </c>
      <c r="AA445" s="34">
        <f>IF(AND($C445&lt;&gt;"",$C445=HistPlaca),COUNTIF($C$5:$C445,HistPlaca),"")</f>
        <v>0</v>
      </c>
    </row>
    <row r="446" spans="1:27">
      <c r="A446" s="17"/>
      <c r="B446" s="25"/>
      <c r="C446" s="13"/>
      <c r="D446" s="26">
        <f>IF($C446="","",IFERROR(INDEX(VeicCli,MATCH($C446,VeicPlaca,0)),"Placa não cadastrada"))</f>
        <v>0</v>
      </c>
      <c r="E446" s="26">
        <f>IF($C446="","",IFERROR(INDEX(VeicModelo,MATCH($C446,VeicPlaca,0)),""))</f>
        <v>0</v>
      </c>
      <c r="F446" s="28"/>
      <c r="G446" s="13"/>
      <c r="H446" s="13"/>
      <c r="I446" s="13"/>
      <c r="J446" s="29"/>
      <c r="K446" s="19"/>
      <c r="L446" s="19"/>
      <c r="M446" s="25"/>
      <c r="N446" s="13"/>
      <c r="O446" s="19"/>
      <c r="P446" s="27">
        <f>IF($A446="","",N($J446)*ValorHora)</f>
        <v>0</v>
      </c>
      <c r="Q446" s="27">
        <f>IF($A446="","",SUMIFS(ItTotal,ItOS,$A446))</f>
        <v>0</v>
      </c>
      <c r="R446" s="30">
        <f>IF($A446="","",$P446+$Q446+N($K446)-N($L446))</f>
        <v>0</v>
      </c>
      <c r="S446" s="27">
        <f>IF($A446="","",SUMIFS(ItCusto,ItOS,$A446))</f>
        <v>0</v>
      </c>
      <c r="T446" s="27">
        <f>IF($A446="","",$P446*ComMec)</f>
        <v>0</v>
      </c>
      <c r="U446" s="21">
        <f>IF($A446="","",$R446-$S446-$T446-N($K446))</f>
        <v>0</v>
      </c>
      <c r="V446" s="31">
        <f>IF(OR($A446="",N($R446)&lt;=0),"",$U446/$R446)</f>
        <v>0</v>
      </c>
      <c r="W446" s="27">
        <f>IF($A446="","",IF(OR($I446="Finalizado",$I446="Entregue"),MAX(0,$R446-N($O446)),0))</f>
        <v>0</v>
      </c>
      <c r="X446" s="32">
        <f>IF(OR($A446="",$B446=""),"",IF(OR($I446="Entregue",$I446="Cancelada"),"",Hoje-$B446))</f>
        <v>0</v>
      </c>
      <c r="Y446" s="24">
        <f>IF($A446="","",IF(AND(OR($I446="Aprovado",$I446="Em execução",$I446="Aguardando peça"),N($X446)&gt;PrazoMax),"ATRASADA",IF(AND(OR($I446="Finalizado",$I446="Entregue"),$W446&gt;0.005),"Cobrar",IF($I446="Orçamento","Aguardando aprovação",""))))</f>
        <v>0</v>
      </c>
      <c r="Z446" s="33">
        <f>IF(AND($I446="Entregue",$M446&lt;&gt;""),DATE(YEAR($M446),MONTH($M446),1),"")</f>
        <v>0</v>
      </c>
      <c r="AA446" s="34">
        <f>IF(AND($C446&lt;&gt;"",$C446=HistPlaca),COUNTIF($C$5:$C446,HistPlaca),"")</f>
        <v>0</v>
      </c>
    </row>
    <row r="447" spans="1:27">
      <c r="A447" s="17"/>
      <c r="B447" s="25"/>
      <c r="C447" s="13"/>
      <c r="D447" s="26">
        <f>IF($C447="","",IFERROR(INDEX(VeicCli,MATCH($C447,VeicPlaca,0)),"Placa não cadastrada"))</f>
        <v>0</v>
      </c>
      <c r="E447" s="26">
        <f>IF($C447="","",IFERROR(INDEX(VeicModelo,MATCH($C447,VeicPlaca,0)),""))</f>
        <v>0</v>
      </c>
      <c r="F447" s="28"/>
      <c r="G447" s="13"/>
      <c r="H447" s="13"/>
      <c r="I447" s="13"/>
      <c r="J447" s="29"/>
      <c r="K447" s="19"/>
      <c r="L447" s="19"/>
      <c r="M447" s="25"/>
      <c r="N447" s="13"/>
      <c r="O447" s="19"/>
      <c r="P447" s="27">
        <f>IF($A447="","",N($J447)*ValorHora)</f>
        <v>0</v>
      </c>
      <c r="Q447" s="27">
        <f>IF($A447="","",SUMIFS(ItTotal,ItOS,$A447))</f>
        <v>0</v>
      </c>
      <c r="R447" s="30">
        <f>IF($A447="","",$P447+$Q447+N($K447)-N($L447))</f>
        <v>0</v>
      </c>
      <c r="S447" s="27">
        <f>IF($A447="","",SUMIFS(ItCusto,ItOS,$A447))</f>
        <v>0</v>
      </c>
      <c r="T447" s="27">
        <f>IF($A447="","",$P447*ComMec)</f>
        <v>0</v>
      </c>
      <c r="U447" s="21">
        <f>IF($A447="","",$R447-$S447-$T447-N($K447))</f>
        <v>0</v>
      </c>
      <c r="V447" s="31">
        <f>IF(OR($A447="",N($R447)&lt;=0),"",$U447/$R447)</f>
        <v>0</v>
      </c>
      <c r="W447" s="27">
        <f>IF($A447="","",IF(OR($I447="Finalizado",$I447="Entregue"),MAX(0,$R447-N($O447)),0))</f>
        <v>0</v>
      </c>
      <c r="X447" s="32">
        <f>IF(OR($A447="",$B447=""),"",IF(OR($I447="Entregue",$I447="Cancelada"),"",Hoje-$B447))</f>
        <v>0</v>
      </c>
      <c r="Y447" s="24">
        <f>IF($A447="","",IF(AND(OR($I447="Aprovado",$I447="Em execução",$I447="Aguardando peça"),N($X447)&gt;PrazoMax),"ATRASADA",IF(AND(OR($I447="Finalizado",$I447="Entregue"),$W447&gt;0.005),"Cobrar",IF($I447="Orçamento","Aguardando aprovação",""))))</f>
        <v>0</v>
      </c>
      <c r="Z447" s="33">
        <f>IF(AND($I447="Entregue",$M447&lt;&gt;""),DATE(YEAR($M447),MONTH($M447),1),"")</f>
        <v>0</v>
      </c>
      <c r="AA447" s="34">
        <f>IF(AND($C447&lt;&gt;"",$C447=HistPlaca),COUNTIF($C$5:$C447,HistPlaca),"")</f>
        <v>0</v>
      </c>
    </row>
    <row r="448" spans="1:27">
      <c r="A448" s="17"/>
      <c r="B448" s="25"/>
      <c r="C448" s="13"/>
      <c r="D448" s="26">
        <f>IF($C448="","",IFERROR(INDEX(VeicCli,MATCH($C448,VeicPlaca,0)),"Placa não cadastrada"))</f>
        <v>0</v>
      </c>
      <c r="E448" s="26">
        <f>IF($C448="","",IFERROR(INDEX(VeicModelo,MATCH($C448,VeicPlaca,0)),""))</f>
        <v>0</v>
      </c>
      <c r="F448" s="28"/>
      <c r="G448" s="13"/>
      <c r="H448" s="13"/>
      <c r="I448" s="13"/>
      <c r="J448" s="29"/>
      <c r="K448" s="19"/>
      <c r="L448" s="19"/>
      <c r="M448" s="25"/>
      <c r="N448" s="13"/>
      <c r="O448" s="19"/>
      <c r="P448" s="27">
        <f>IF($A448="","",N($J448)*ValorHora)</f>
        <v>0</v>
      </c>
      <c r="Q448" s="27">
        <f>IF($A448="","",SUMIFS(ItTotal,ItOS,$A448))</f>
        <v>0</v>
      </c>
      <c r="R448" s="30">
        <f>IF($A448="","",$P448+$Q448+N($K448)-N($L448))</f>
        <v>0</v>
      </c>
      <c r="S448" s="27">
        <f>IF($A448="","",SUMIFS(ItCusto,ItOS,$A448))</f>
        <v>0</v>
      </c>
      <c r="T448" s="27">
        <f>IF($A448="","",$P448*ComMec)</f>
        <v>0</v>
      </c>
      <c r="U448" s="21">
        <f>IF($A448="","",$R448-$S448-$T448-N($K448))</f>
        <v>0</v>
      </c>
      <c r="V448" s="31">
        <f>IF(OR($A448="",N($R448)&lt;=0),"",$U448/$R448)</f>
        <v>0</v>
      </c>
      <c r="W448" s="27">
        <f>IF($A448="","",IF(OR($I448="Finalizado",$I448="Entregue"),MAX(0,$R448-N($O448)),0))</f>
        <v>0</v>
      </c>
      <c r="X448" s="32">
        <f>IF(OR($A448="",$B448=""),"",IF(OR($I448="Entregue",$I448="Cancelada"),"",Hoje-$B448))</f>
        <v>0</v>
      </c>
      <c r="Y448" s="24">
        <f>IF($A448="","",IF(AND(OR($I448="Aprovado",$I448="Em execução",$I448="Aguardando peça"),N($X448)&gt;PrazoMax),"ATRASADA",IF(AND(OR($I448="Finalizado",$I448="Entregue"),$W448&gt;0.005),"Cobrar",IF($I448="Orçamento","Aguardando aprovação",""))))</f>
        <v>0</v>
      </c>
      <c r="Z448" s="33">
        <f>IF(AND($I448="Entregue",$M448&lt;&gt;""),DATE(YEAR($M448),MONTH($M448),1),"")</f>
        <v>0</v>
      </c>
      <c r="AA448" s="34">
        <f>IF(AND($C448&lt;&gt;"",$C448=HistPlaca),COUNTIF($C$5:$C448,HistPlaca),"")</f>
        <v>0</v>
      </c>
    </row>
    <row r="449" spans="1:27">
      <c r="A449" s="17"/>
      <c r="B449" s="25"/>
      <c r="C449" s="13"/>
      <c r="D449" s="26">
        <f>IF($C449="","",IFERROR(INDEX(VeicCli,MATCH($C449,VeicPlaca,0)),"Placa não cadastrada"))</f>
        <v>0</v>
      </c>
      <c r="E449" s="26">
        <f>IF($C449="","",IFERROR(INDEX(VeicModelo,MATCH($C449,VeicPlaca,0)),""))</f>
        <v>0</v>
      </c>
      <c r="F449" s="28"/>
      <c r="G449" s="13"/>
      <c r="H449" s="13"/>
      <c r="I449" s="13"/>
      <c r="J449" s="29"/>
      <c r="K449" s="19"/>
      <c r="L449" s="19"/>
      <c r="M449" s="25"/>
      <c r="N449" s="13"/>
      <c r="O449" s="19"/>
      <c r="P449" s="27">
        <f>IF($A449="","",N($J449)*ValorHora)</f>
        <v>0</v>
      </c>
      <c r="Q449" s="27">
        <f>IF($A449="","",SUMIFS(ItTotal,ItOS,$A449))</f>
        <v>0</v>
      </c>
      <c r="R449" s="30">
        <f>IF($A449="","",$P449+$Q449+N($K449)-N($L449))</f>
        <v>0</v>
      </c>
      <c r="S449" s="27">
        <f>IF($A449="","",SUMIFS(ItCusto,ItOS,$A449))</f>
        <v>0</v>
      </c>
      <c r="T449" s="27">
        <f>IF($A449="","",$P449*ComMec)</f>
        <v>0</v>
      </c>
      <c r="U449" s="21">
        <f>IF($A449="","",$R449-$S449-$T449-N($K449))</f>
        <v>0</v>
      </c>
      <c r="V449" s="31">
        <f>IF(OR($A449="",N($R449)&lt;=0),"",$U449/$R449)</f>
        <v>0</v>
      </c>
      <c r="W449" s="27">
        <f>IF($A449="","",IF(OR($I449="Finalizado",$I449="Entregue"),MAX(0,$R449-N($O449)),0))</f>
        <v>0</v>
      </c>
      <c r="X449" s="32">
        <f>IF(OR($A449="",$B449=""),"",IF(OR($I449="Entregue",$I449="Cancelada"),"",Hoje-$B449))</f>
        <v>0</v>
      </c>
      <c r="Y449" s="24">
        <f>IF($A449="","",IF(AND(OR($I449="Aprovado",$I449="Em execução",$I449="Aguardando peça"),N($X449)&gt;PrazoMax),"ATRASADA",IF(AND(OR($I449="Finalizado",$I449="Entregue"),$W449&gt;0.005),"Cobrar",IF($I449="Orçamento","Aguardando aprovação",""))))</f>
        <v>0</v>
      </c>
      <c r="Z449" s="33">
        <f>IF(AND($I449="Entregue",$M449&lt;&gt;""),DATE(YEAR($M449),MONTH($M449),1),"")</f>
        <v>0</v>
      </c>
      <c r="AA449" s="34">
        <f>IF(AND($C449&lt;&gt;"",$C449=HistPlaca),COUNTIF($C$5:$C449,HistPlaca),"")</f>
        <v>0</v>
      </c>
    </row>
    <row r="450" spans="1:27">
      <c r="A450" s="17"/>
      <c r="B450" s="25"/>
      <c r="C450" s="13"/>
      <c r="D450" s="26">
        <f>IF($C450="","",IFERROR(INDEX(VeicCli,MATCH($C450,VeicPlaca,0)),"Placa não cadastrada"))</f>
        <v>0</v>
      </c>
      <c r="E450" s="26">
        <f>IF($C450="","",IFERROR(INDEX(VeicModelo,MATCH($C450,VeicPlaca,0)),""))</f>
        <v>0</v>
      </c>
      <c r="F450" s="28"/>
      <c r="G450" s="13"/>
      <c r="H450" s="13"/>
      <c r="I450" s="13"/>
      <c r="J450" s="29"/>
      <c r="K450" s="19"/>
      <c r="L450" s="19"/>
      <c r="M450" s="25"/>
      <c r="N450" s="13"/>
      <c r="O450" s="19"/>
      <c r="P450" s="27">
        <f>IF($A450="","",N($J450)*ValorHora)</f>
        <v>0</v>
      </c>
      <c r="Q450" s="27">
        <f>IF($A450="","",SUMIFS(ItTotal,ItOS,$A450))</f>
        <v>0</v>
      </c>
      <c r="R450" s="30">
        <f>IF($A450="","",$P450+$Q450+N($K450)-N($L450))</f>
        <v>0</v>
      </c>
      <c r="S450" s="27">
        <f>IF($A450="","",SUMIFS(ItCusto,ItOS,$A450))</f>
        <v>0</v>
      </c>
      <c r="T450" s="27">
        <f>IF($A450="","",$P450*ComMec)</f>
        <v>0</v>
      </c>
      <c r="U450" s="21">
        <f>IF($A450="","",$R450-$S450-$T450-N($K450))</f>
        <v>0</v>
      </c>
      <c r="V450" s="31">
        <f>IF(OR($A450="",N($R450)&lt;=0),"",$U450/$R450)</f>
        <v>0</v>
      </c>
      <c r="W450" s="27">
        <f>IF($A450="","",IF(OR($I450="Finalizado",$I450="Entregue"),MAX(0,$R450-N($O450)),0))</f>
        <v>0</v>
      </c>
      <c r="X450" s="32">
        <f>IF(OR($A450="",$B450=""),"",IF(OR($I450="Entregue",$I450="Cancelada"),"",Hoje-$B450))</f>
        <v>0</v>
      </c>
      <c r="Y450" s="24">
        <f>IF($A450="","",IF(AND(OR($I450="Aprovado",$I450="Em execução",$I450="Aguardando peça"),N($X450)&gt;PrazoMax),"ATRASADA",IF(AND(OR($I450="Finalizado",$I450="Entregue"),$W450&gt;0.005),"Cobrar",IF($I450="Orçamento","Aguardando aprovação",""))))</f>
        <v>0</v>
      </c>
      <c r="Z450" s="33">
        <f>IF(AND($I450="Entregue",$M450&lt;&gt;""),DATE(YEAR($M450),MONTH($M450),1),"")</f>
        <v>0</v>
      </c>
      <c r="AA450" s="34">
        <f>IF(AND($C450&lt;&gt;"",$C450=HistPlaca),COUNTIF($C$5:$C450,HistPlaca),"")</f>
        <v>0</v>
      </c>
    </row>
    <row r="451" spans="1:27">
      <c r="A451" s="17"/>
      <c r="B451" s="25"/>
      <c r="C451" s="13"/>
      <c r="D451" s="26">
        <f>IF($C451="","",IFERROR(INDEX(VeicCli,MATCH($C451,VeicPlaca,0)),"Placa não cadastrada"))</f>
        <v>0</v>
      </c>
      <c r="E451" s="26">
        <f>IF($C451="","",IFERROR(INDEX(VeicModelo,MATCH($C451,VeicPlaca,0)),""))</f>
        <v>0</v>
      </c>
      <c r="F451" s="28"/>
      <c r="G451" s="13"/>
      <c r="H451" s="13"/>
      <c r="I451" s="13"/>
      <c r="J451" s="29"/>
      <c r="K451" s="19"/>
      <c r="L451" s="19"/>
      <c r="M451" s="25"/>
      <c r="N451" s="13"/>
      <c r="O451" s="19"/>
      <c r="P451" s="27">
        <f>IF($A451="","",N($J451)*ValorHora)</f>
        <v>0</v>
      </c>
      <c r="Q451" s="27">
        <f>IF($A451="","",SUMIFS(ItTotal,ItOS,$A451))</f>
        <v>0</v>
      </c>
      <c r="R451" s="30">
        <f>IF($A451="","",$P451+$Q451+N($K451)-N($L451))</f>
        <v>0</v>
      </c>
      <c r="S451" s="27">
        <f>IF($A451="","",SUMIFS(ItCusto,ItOS,$A451))</f>
        <v>0</v>
      </c>
      <c r="T451" s="27">
        <f>IF($A451="","",$P451*ComMec)</f>
        <v>0</v>
      </c>
      <c r="U451" s="21">
        <f>IF($A451="","",$R451-$S451-$T451-N($K451))</f>
        <v>0</v>
      </c>
      <c r="V451" s="31">
        <f>IF(OR($A451="",N($R451)&lt;=0),"",$U451/$R451)</f>
        <v>0</v>
      </c>
      <c r="W451" s="27">
        <f>IF($A451="","",IF(OR($I451="Finalizado",$I451="Entregue"),MAX(0,$R451-N($O451)),0))</f>
        <v>0</v>
      </c>
      <c r="X451" s="32">
        <f>IF(OR($A451="",$B451=""),"",IF(OR($I451="Entregue",$I451="Cancelada"),"",Hoje-$B451))</f>
        <v>0</v>
      </c>
      <c r="Y451" s="24">
        <f>IF($A451="","",IF(AND(OR($I451="Aprovado",$I451="Em execução",$I451="Aguardando peça"),N($X451)&gt;PrazoMax),"ATRASADA",IF(AND(OR($I451="Finalizado",$I451="Entregue"),$W451&gt;0.005),"Cobrar",IF($I451="Orçamento","Aguardando aprovação",""))))</f>
        <v>0</v>
      </c>
      <c r="Z451" s="33">
        <f>IF(AND($I451="Entregue",$M451&lt;&gt;""),DATE(YEAR($M451),MONTH($M451),1),"")</f>
        <v>0</v>
      </c>
      <c r="AA451" s="34">
        <f>IF(AND($C451&lt;&gt;"",$C451=HistPlaca),COUNTIF($C$5:$C451,HistPlaca),"")</f>
        <v>0</v>
      </c>
    </row>
    <row r="452" spans="1:27">
      <c r="A452" s="17"/>
      <c r="B452" s="25"/>
      <c r="C452" s="13"/>
      <c r="D452" s="26">
        <f>IF($C452="","",IFERROR(INDEX(VeicCli,MATCH($C452,VeicPlaca,0)),"Placa não cadastrada"))</f>
        <v>0</v>
      </c>
      <c r="E452" s="26">
        <f>IF($C452="","",IFERROR(INDEX(VeicModelo,MATCH($C452,VeicPlaca,0)),""))</f>
        <v>0</v>
      </c>
      <c r="F452" s="28"/>
      <c r="G452" s="13"/>
      <c r="H452" s="13"/>
      <c r="I452" s="13"/>
      <c r="J452" s="29"/>
      <c r="K452" s="19"/>
      <c r="L452" s="19"/>
      <c r="M452" s="25"/>
      <c r="N452" s="13"/>
      <c r="O452" s="19"/>
      <c r="P452" s="27">
        <f>IF($A452="","",N($J452)*ValorHora)</f>
        <v>0</v>
      </c>
      <c r="Q452" s="27">
        <f>IF($A452="","",SUMIFS(ItTotal,ItOS,$A452))</f>
        <v>0</v>
      </c>
      <c r="R452" s="30">
        <f>IF($A452="","",$P452+$Q452+N($K452)-N($L452))</f>
        <v>0</v>
      </c>
      <c r="S452" s="27">
        <f>IF($A452="","",SUMIFS(ItCusto,ItOS,$A452))</f>
        <v>0</v>
      </c>
      <c r="T452" s="27">
        <f>IF($A452="","",$P452*ComMec)</f>
        <v>0</v>
      </c>
      <c r="U452" s="21">
        <f>IF($A452="","",$R452-$S452-$T452-N($K452))</f>
        <v>0</v>
      </c>
      <c r="V452" s="31">
        <f>IF(OR($A452="",N($R452)&lt;=0),"",$U452/$R452)</f>
        <v>0</v>
      </c>
      <c r="W452" s="27">
        <f>IF($A452="","",IF(OR($I452="Finalizado",$I452="Entregue"),MAX(0,$R452-N($O452)),0))</f>
        <v>0</v>
      </c>
      <c r="X452" s="32">
        <f>IF(OR($A452="",$B452=""),"",IF(OR($I452="Entregue",$I452="Cancelada"),"",Hoje-$B452))</f>
        <v>0</v>
      </c>
      <c r="Y452" s="24">
        <f>IF($A452="","",IF(AND(OR($I452="Aprovado",$I452="Em execução",$I452="Aguardando peça"),N($X452)&gt;PrazoMax),"ATRASADA",IF(AND(OR($I452="Finalizado",$I452="Entregue"),$W452&gt;0.005),"Cobrar",IF($I452="Orçamento","Aguardando aprovação",""))))</f>
        <v>0</v>
      </c>
      <c r="Z452" s="33">
        <f>IF(AND($I452="Entregue",$M452&lt;&gt;""),DATE(YEAR($M452),MONTH($M452),1),"")</f>
        <v>0</v>
      </c>
      <c r="AA452" s="34">
        <f>IF(AND($C452&lt;&gt;"",$C452=HistPlaca),COUNTIF($C$5:$C452,HistPlaca),"")</f>
        <v>0</v>
      </c>
    </row>
    <row r="453" spans="1:27">
      <c r="A453" s="17"/>
      <c r="B453" s="25"/>
      <c r="C453" s="13"/>
      <c r="D453" s="26">
        <f>IF($C453="","",IFERROR(INDEX(VeicCli,MATCH($C453,VeicPlaca,0)),"Placa não cadastrada"))</f>
        <v>0</v>
      </c>
      <c r="E453" s="26">
        <f>IF($C453="","",IFERROR(INDEX(VeicModelo,MATCH($C453,VeicPlaca,0)),""))</f>
        <v>0</v>
      </c>
      <c r="F453" s="28"/>
      <c r="G453" s="13"/>
      <c r="H453" s="13"/>
      <c r="I453" s="13"/>
      <c r="J453" s="29"/>
      <c r="K453" s="19"/>
      <c r="L453" s="19"/>
      <c r="M453" s="25"/>
      <c r="N453" s="13"/>
      <c r="O453" s="19"/>
      <c r="P453" s="27">
        <f>IF($A453="","",N($J453)*ValorHora)</f>
        <v>0</v>
      </c>
      <c r="Q453" s="27">
        <f>IF($A453="","",SUMIFS(ItTotal,ItOS,$A453))</f>
        <v>0</v>
      </c>
      <c r="R453" s="30">
        <f>IF($A453="","",$P453+$Q453+N($K453)-N($L453))</f>
        <v>0</v>
      </c>
      <c r="S453" s="27">
        <f>IF($A453="","",SUMIFS(ItCusto,ItOS,$A453))</f>
        <v>0</v>
      </c>
      <c r="T453" s="27">
        <f>IF($A453="","",$P453*ComMec)</f>
        <v>0</v>
      </c>
      <c r="U453" s="21">
        <f>IF($A453="","",$R453-$S453-$T453-N($K453))</f>
        <v>0</v>
      </c>
      <c r="V453" s="31">
        <f>IF(OR($A453="",N($R453)&lt;=0),"",$U453/$R453)</f>
        <v>0</v>
      </c>
      <c r="W453" s="27">
        <f>IF($A453="","",IF(OR($I453="Finalizado",$I453="Entregue"),MAX(0,$R453-N($O453)),0))</f>
        <v>0</v>
      </c>
      <c r="X453" s="32">
        <f>IF(OR($A453="",$B453=""),"",IF(OR($I453="Entregue",$I453="Cancelada"),"",Hoje-$B453))</f>
        <v>0</v>
      </c>
      <c r="Y453" s="24">
        <f>IF($A453="","",IF(AND(OR($I453="Aprovado",$I453="Em execução",$I453="Aguardando peça"),N($X453)&gt;PrazoMax),"ATRASADA",IF(AND(OR($I453="Finalizado",$I453="Entregue"),$W453&gt;0.005),"Cobrar",IF($I453="Orçamento","Aguardando aprovação",""))))</f>
        <v>0</v>
      </c>
      <c r="Z453" s="33">
        <f>IF(AND($I453="Entregue",$M453&lt;&gt;""),DATE(YEAR($M453),MONTH($M453),1),"")</f>
        <v>0</v>
      </c>
      <c r="AA453" s="34">
        <f>IF(AND($C453&lt;&gt;"",$C453=HistPlaca),COUNTIF($C$5:$C453,HistPlaca),"")</f>
        <v>0</v>
      </c>
    </row>
    <row r="454" spans="1:27">
      <c r="A454" s="17"/>
      <c r="B454" s="25"/>
      <c r="C454" s="13"/>
      <c r="D454" s="26">
        <f>IF($C454="","",IFERROR(INDEX(VeicCli,MATCH($C454,VeicPlaca,0)),"Placa não cadastrada"))</f>
        <v>0</v>
      </c>
      <c r="E454" s="26">
        <f>IF($C454="","",IFERROR(INDEX(VeicModelo,MATCH($C454,VeicPlaca,0)),""))</f>
        <v>0</v>
      </c>
      <c r="F454" s="28"/>
      <c r="G454" s="13"/>
      <c r="H454" s="13"/>
      <c r="I454" s="13"/>
      <c r="J454" s="29"/>
      <c r="K454" s="19"/>
      <c r="L454" s="19"/>
      <c r="M454" s="25"/>
      <c r="N454" s="13"/>
      <c r="O454" s="19"/>
      <c r="P454" s="27">
        <f>IF($A454="","",N($J454)*ValorHora)</f>
        <v>0</v>
      </c>
      <c r="Q454" s="27">
        <f>IF($A454="","",SUMIFS(ItTotal,ItOS,$A454))</f>
        <v>0</v>
      </c>
      <c r="R454" s="30">
        <f>IF($A454="","",$P454+$Q454+N($K454)-N($L454))</f>
        <v>0</v>
      </c>
      <c r="S454" s="27">
        <f>IF($A454="","",SUMIFS(ItCusto,ItOS,$A454))</f>
        <v>0</v>
      </c>
      <c r="T454" s="27">
        <f>IF($A454="","",$P454*ComMec)</f>
        <v>0</v>
      </c>
      <c r="U454" s="21">
        <f>IF($A454="","",$R454-$S454-$T454-N($K454))</f>
        <v>0</v>
      </c>
      <c r="V454" s="31">
        <f>IF(OR($A454="",N($R454)&lt;=0),"",$U454/$R454)</f>
        <v>0</v>
      </c>
      <c r="W454" s="27">
        <f>IF($A454="","",IF(OR($I454="Finalizado",$I454="Entregue"),MAX(0,$R454-N($O454)),0))</f>
        <v>0</v>
      </c>
      <c r="X454" s="32">
        <f>IF(OR($A454="",$B454=""),"",IF(OR($I454="Entregue",$I454="Cancelada"),"",Hoje-$B454))</f>
        <v>0</v>
      </c>
      <c r="Y454" s="24">
        <f>IF($A454="","",IF(AND(OR($I454="Aprovado",$I454="Em execução",$I454="Aguardando peça"),N($X454)&gt;PrazoMax),"ATRASADA",IF(AND(OR($I454="Finalizado",$I454="Entregue"),$W454&gt;0.005),"Cobrar",IF($I454="Orçamento","Aguardando aprovação",""))))</f>
        <v>0</v>
      </c>
      <c r="Z454" s="33">
        <f>IF(AND($I454="Entregue",$M454&lt;&gt;""),DATE(YEAR($M454),MONTH($M454),1),"")</f>
        <v>0</v>
      </c>
      <c r="AA454" s="34">
        <f>IF(AND($C454&lt;&gt;"",$C454=HistPlaca),COUNTIF($C$5:$C454,HistPlaca),"")</f>
        <v>0</v>
      </c>
    </row>
    <row r="455" spans="1:27">
      <c r="A455" s="17"/>
      <c r="B455" s="25"/>
      <c r="C455" s="13"/>
      <c r="D455" s="26">
        <f>IF($C455="","",IFERROR(INDEX(VeicCli,MATCH($C455,VeicPlaca,0)),"Placa não cadastrada"))</f>
        <v>0</v>
      </c>
      <c r="E455" s="26">
        <f>IF($C455="","",IFERROR(INDEX(VeicModelo,MATCH($C455,VeicPlaca,0)),""))</f>
        <v>0</v>
      </c>
      <c r="F455" s="28"/>
      <c r="G455" s="13"/>
      <c r="H455" s="13"/>
      <c r="I455" s="13"/>
      <c r="J455" s="29"/>
      <c r="K455" s="19"/>
      <c r="L455" s="19"/>
      <c r="M455" s="25"/>
      <c r="N455" s="13"/>
      <c r="O455" s="19"/>
      <c r="P455" s="27">
        <f>IF($A455="","",N($J455)*ValorHora)</f>
        <v>0</v>
      </c>
      <c r="Q455" s="27">
        <f>IF($A455="","",SUMIFS(ItTotal,ItOS,$A455))</f>
        <v>0</v>
      </c>
      <c r="R455" s="30">
        <f>IF($A455="","",$P455+$Q455+N($K455)-N($L455))</f>
        <v>0</v>
      </c>
      <c r="S455" s="27">
        <f>IF($A455="","",SUMIFS(ItCusto,ItOS,$A455))</f>
        <v>0</v>
      </c>
      <c r="T455" s="27">
        <f>IF($A455="","",$P455*ComMec)</f>
        <v>0</v>
      </c>
      <c r="U455" s="21">
        <f>IF($A455="","",$R455-$S455-$T455-N($K455))</f>
        <v>0</v>
      </c>
      <c r="V455" s="31">
        <f>IF(OR($A455="",N($R455)&lt;=0),"",$U455/$R455)</f>
        <v>0</v>
      </c>
      <c r="W455" s="27">
        <f>IF($A455="","",IF(OR($I455="Finalizado",$I455="Entregue"),MAX(0,$R455-N($O455)),0))</f>
        <v>0</v>
      </c>
      <c r="X455" s="32">
        <f>IF(OR($A455="",$B455=""),"",IF(OR($I455="Entregue",$I455="Cancelada"),"",Hoje-$B455))</f>
        <v>0</v>
      </c>
      <c r="Y455" s="24">
        <f>IF($A455="","",IF(AND(OR($I455="Aprovado",$I455="Em execução",$I455="Aguardando peça"),N($X455)&gt;PrazoMax),"ATRASADA",IF(AND(OR($I455="Finalizado",$I455="Entregue"),$W455&gt;0.005),"Cobrar",IF($I455="Orçamento","Aguardando aprovação",""))))</f>
        <v>0</v>
      </c>
      <c r="Z455" s="33">
        <f>IF(AND($I455="Entregue",$M455&lt;&gt;""),DATE(YEAR($M455),MONTH($M455),1),"")</f>
        <v>0</v>
      </c>
      <c r="AA455" s="34">
        <f>IF(AND($C455&lt;&gt;"",$C455=HistPlaca),COUNTIF($C$5:$C455,HistPlaca),"")</f>
        <v>0</v>
      </c>
    </row>
    <row r="456" spans="1:27">
      <c r="A456" s="17"/>
      <c r="B456" s="25"/>
      <c r="C456" s="13"/>
      <c r="D456" s="26">
        <f>IF($C456="","",IFERROR(INDEX(VeicCli,MATCH($C456,VeicPlaca,0)),"Placa não cadastrada"))</f>
        <v>0</v>
      </c>
      <c r="E456" s="26">
        <f>IF($C456="","",IFERROR(INDEX(VeicModelo,MATCH($C456,VeicPlaca,0)),""))</f>
        <v>0</v>
      </c>
      <c r="F456" s="28"/>
      <c r="G456" s="13"/>
      <c r="H456" s="13"/>
      <c r="I456" s="13"/>
      <c r="J456" s="29"/>
      <c r="K456" s="19"/>
      <c r="L456" s="19"/>
      <c r="M456" s="25"/>
      <c r="N456" s="13"/>
      <c r="O456" s="19"/>
      <c r="P456" s="27">
        <f>IF($A456="","",N($J456)*ValorHora)</f>
        <v>0</v>
      </c>
      <c r="Q456" s="27">
        <f>IF($A456="","",SUMIFS(ItTotal,ItOS,$A456))</f>
        <v>0</v>
      </c>
      <c r="R456" s="30">
        <f>IF($A456="","",$P456+$Q456+N($K456)-N($L456))</f>
        <v>0</v>
      </c>
      <c r="S456" s="27">
        <f>IF($A456="","",SUMIFS(ItCusto,ItOS,$A456))</f>
        <v>0</v>
      </c>
      <c r="T456" s="27">
        <f>IF($A456="","",$P456*ComMec)</f>
        <v>0</v>
      </c>
      <c r="U456" s="21">
        <f>IF($A456="","",$R456-$S456-$T456-N($K456))</f>
        <v>0</v>
      </c>
      <c r="V456" s="31">
        <f>IF(OR($A456="",N($R456)&lt;=0),"",$U456/$R456)</f>
        <v>0</v>
      </c>
      <c r="W456" s="27">
        <f>IF($A456="","",IF(OR($I456="Finalizado",$I456="Entregue"),MAX(0,$R456-N($O456)),0))</f>
        <v>0</v>
      </c>
      <c r="X456" s="32">
        <f>IF(OR($A456="",$B456=""),"",IF(OR($I456="Entregue",$I456="Cancelada"),"",Hoje-$B456))</f>
        <v>0</v>
      </c>
      <c r="Y456" s="24">
        <f>IF($A456="","",IF(AND(OR($I456="Aprovado",$I456="Em execução",$I456="Aguardando peça"),N($X456)&gt;PrazoMax),"ATRASADA",IF(AND(OR($I456="Finalizado",$I456="Entregue"),$W456&gt;0.005),"Cobrar",IF($I456="Orçamento","Aguardando aprovação",""))))</f>
        <v>0</v>
      </c>
      <c r="Z456" s="33">
        <f>IF(AND($I456="Entregue",$M456&lt;&gt;""),DATE(YEAR($M456),MONTH($M456),1),"")</f>
        <v>0</v>
      </c>
      <c r="AA456" s="34">
        <f>IF(AND($C456&lt;&gt;"",$C456=HistPlaca),COUNTIF($C$5:$C456,HistPlaca),"")</f>
        <v>0</v>
      </c>
    </row>
    <row r="457" spans="1:27">
      <c r="A457" s="17"/>
      <c r="B457" s="25"/>
      <c r="C457" s="13"/>
      <c r="D457" s="26">
        <f>IF($C457="","",IFERROR(INDEX(VeicCli,MATCH($C457,VeicPlaca,0)),"Placa não cadastrada"))</f>
        <v>0</v>
      </c>
      <c r="E457" s="26">
        <f>IF($C457="","",IFERROR(INDEX(VeicModelo,MATCH($C457,VeicPlaca,0)),""))</f>
        <v>0</v>
      </c>
      <c r="F457" s="28"/>
      <c r="G457" s="13"/>
      <c r="H457" s="13"/>
      <c r="I457" s="13"/>
      <c r="J457" s="29"/>
      <c r="K457" s="19"/>
      <c r="L457" s="19"/>
      <c r="M457" s="25"/>
      <c r="N457" s="13"/>
      <c r="O457" s="19"/>
      <c r="P457" s="27">
        <f>IF($A457="","",N($J457)*ValorHora)</f>
        <v>0</v>
      </c>
      <c r="Q457" s="27">
        <f>IF($A457="","",SUMIFS(ItTotal,ItOS,$A457))</f>
        <v>0</v>
      </c>
      <c r="R457" s="30">
        <f>IF($A457="","",$P457+$Q457+N($K457)-N($L457))</f>
        <v>0</v>
      </c>
      <c r="S457" s="27">
        <f>IF($A457="","",SUMIFS(ItCusto,ItOS,$A457))</f>
        <v>0</v>
      </c>
      <c r="T457" s="27">
        <f>IF($A457="","",$P457*ComMec)</f>
        <v>0</v>
      </c>
      <c r="U457" s="21">
        <f>IF($A457="","",$R457-$S457-$T457-N($K457))</f>
        <v>0</v>
      </c>
      <c r="V457" s="31">
        <f>IF(OR($A457="",N($R457)&lt;=0),"",$U457/$R457)</f>
        <v>0</v>
      </c>
      <c r="W457" s="27">
        <f>IF($A457="","",IF(OR($I457="Finalizado",$I457="Entregue"),MAX(0,$R457-N($O457)),0))</f>
        <v>0</v>
      </c>
      <c r="X457" s="32">
        <f>IF(OR($A457="",$B457=""),"",IF(OR($I457="Entregue",$I457="Cancelada"),"",Hoje-$B457))</f>
        <v>0</v>
      </c>
      <c r="Y457" s="24">
        <f>IF($A457="","",IF(AND(OR($I457="Aprovado",$I457="Em execução",$I457="Aguardando peça"),N($X457)&gt;PrazoMax),"ATRASADA",IF(AND(OR($I457="Finalizado",$I457="Entregue"),$W457&gt;0.005),"Cobrar",IF($I457="Orçamento","Aguardando aprovação",""))))</f>
        <v>0</v>
      </c>
      <c r="Z457" s="33">
        <f>IF(AND($I457="Entregue",$M457&lt;&gt;""),DATE(YEAR($M457),MONTH($M457),1),"")</f>
        <v>0</v>
      </c>
      <c r="AA457" s="34">
        <f>IF(AND($C457&lt;&gt;"",$C457=HistPlaca),COUNTIF($C$5:$C457,HistPlaca),"")</f>
        <v>0</v>
      </c>
    </row>
    <row r="458" spans="1:27">
      <c r="A458" s="17"/>
      <c r="B458" s="25"/>
      <c r="C458" s="13"/>
      <c r="D458" s="26">
        <f>IF($C458="","",IFERROR(INDEX(VeicCli,MATCH($C458,VeicPlaca,0)),"Placa não cadastrada"))</f>
        <v>0</v>
      </c>
      <c r="E458" s="26">
        <f>IF($C458="","",IFERROR(INDEX(VeicModelo,MATCH($C458,VeicPlaca,0)),""))</f>
        <v>0</v>
      </c>
      <c r="F458" s="28"/>
      <c r="G458" s="13"/>
      <c r="H458" s="13"/>
      <c r="I458" s="13"/>
      <c r="J458" s="29"/>
      <c r="K458" s="19"/>
      <c r="L458" s="19"/>
      <c r="M458" s="25"/>
      <c r="N458" s="13"/>
      <c r="O458" s="19"/>
      <c r="P458" s="27">
        <f>IF($A458="","",N($J458)*ValorHora)</f>
        <v>0</v>
      </c>
      <c r="Q458" s="27">
        <f>IF($A458="","",SUMIFS(ItTotal,ItOS,$A458))</f>
        <v>0</v>
      </c>
      <c r="R458" s="30">
        <f>IF($A458="","",$P458+$Q458+N($K458)-N($L458))</f>
        <v>0</v>
      </c>
      <c r="S458" s="27">
        <f>IF($A458="","",SUMIFS(ItCusto,ItOS,$A458))</f>
        <v>0</v>
      </c>
      <c r="T458" s="27">
        <f>IF($A458="","",$P458*ComMec)</f>
        <v>0</v>
      </c>
      <c r="U458" s="21">
        <f>IF($A458="","",$R458-$S458-$T458-N($K458))</f>
        <v>0</v>
      </c>
      <c r="V458" s="31">
        <f>IF(OR($A458="",N($R458)&lt;=0),"",$U458/$R458)</f>
        <v>0</v>
      </c>
      <c r="W458" s="27">
        <f>IF($A458="","",IF(OR($I458="Finalizado",$I458="Entregue"),MAX(0,$R458-N($O458)),0))</f>
        <v>0</v>
      </c>
      <c r="X458" s="32">
        <f>IF(OR($A458="",$B458=""),"",IF(OR($I458="Entregue",$I458="Cancelada"),"",Hoje-$B458))</f>
        <v>0</v>
      </c>
      <c r="Y458" s="24">
        <f>IF($A458="","",IF(AND(OR($I458="Aprovado",$I458="Em execução",$I458="Aguardando peça"),N($X458)&gt;PrazoMax),"ATRASADA",IF(AND(OR($I458="Finalizado",$I458="Entregue"),$W458&gt;0.005),"Cobrar",IF($I458="Orçamento","Aguardando aprovação",""))))</f>
        <v>0</v>
      </c>
      <c r="Z458" s="33">
        <f>IF(AND($I458="Entregue",$M458&lt;&gt;""),DATE(YEAR($M458),MONTH($M458),1),"")</f>
        <v>0</v>
      </c>
      <c r="AA458" s="34">
        <f>IF(AND($C458&lt;&gt;"",$C458=HistPlaca),COUNTIF($C$5:$C458,HistPlaca),"")</f>
        <v>0</v>
      </c>
    </row>
    <row r="459" spans="1:27">
      <c r="A459" s="17"/>
      <c r="B459" s="25"/>
      <c r="C459" s="13"/>
      <c r="D459" s="26">
        <f>IF($C459="","",IFERROR(INDEX(VeicCli,MATCH($C459,VeicPlaca,0)),"Placa não cadastrada"))</f>
        <v>0</v>
      </c>
      <c r="E459" s="26">
        <f>IF($C459="","",IFERROR(INDEX(VeicModelo,MATCH($C459,VeicPlaca,0)),""))</f>
        <v>0</v>
      </c>
      <c r="F459" s="28"/>
      <c r="G459" s="13"/>
      <c r="H459" s="13"/>
      <c r="I459" s="13"/>
      <c r="J459" s="29"/>
      <c r="K459" s="19"/>
      <c r="L459" s="19"/>
      <c r="M459" s="25"/>
      <c r="N459" s="13"/>
      <c r="O459" s="19"/>
      <c r="P459" s="27">
        <f>IF($A459="","",N($J459)*ValorHora)</f>
        <v>0</v>
      </c>
      <c r="Q459" s="27">
        <f>IF($A459="","",SUMIFS(ItTotal,ItOS,$A459))</f>
        <v>0</v>
      </c>
      <c r="R459" s="30">
        <f>IF($A459="","",$P459+$Q459+N($K459)-N($L459))</f>
        <v>0</v>
      </c>
      <c r="S459" s="27">
        <f>IF($A459="","",SUMIFS(ItCusto,ItOS,$A459))</f>
        <v>0</v>
      </c>
      <c r="T459" s="27">
        <f>IF($A459="","",$P459*ComMec)</f>
        <v>0</v>
      </c>
      <c r="U459" s="21">
        <f>IF($A459="","",$R459-$S459-$T459-N($K459))</f>
        <v>0</v>
      </c>
      <c r="V459" s="31">
        <f>IF(OR($A459="",N($R459)&lt;=0),"",$U459/$R459)</f>
        <v>0</v>
      </c>
      <c r="W459" s="27">
        <f>IF($A459="","",IF(OR($I459="Finalizado",$I459="Entregue"),MAX(0,$R459-N($O459)),0))</f>
        <v>0</v>
      </c>
      <c r="X459" s="32">
        <f>IF(OR($A459="",$B459=""),"",IF(OR($I459="Entregue",$I459="Cancelada"),"",Hoje-$B459))</f>
        <v>0</v>
      </c>
      <c r="Y459" s="24">
        <f>IF($A459="","",IF(AND(OR($I459="Aprovado",$I459="Em execução",$I459="Aguardando peça"),N($X459)&gt;PrazoMax),"ATRASADA",IF(AND(OR($I459="Finalizado",$I459="Entregue"),$W459&gt;0.005),"Cobrar",IF($I459="Orçamento","Aguardando aprovação",""))))</f>
        <v>0</v>
      </c>
      <c r="Z459" s="33">
        <f>IF(AND($I459="Entregue",$M459&lt;&gt;""),DATE(YEAR($M459),MONTH($M459),1),"")</f>
        <v>0</v>
      </c>
      <c r="AA459" s="34">
        <f>IF(AND($C459&lt;&gt;"",$C459=HistPlaca),COUNTIF($C$5:$C459,HistPlaca),"")</f>
        <v>0</v>
      </c>
    </row>
    <row r="460" spans="1:27">
      <c r="A460" s="17"/>
      <c r="B460" s="25"/>
      <c r="C460" s="13"/>
      <c r="D460" s="26">
        <f>IF($C460="","",IFERROR(INDEX(VeicCli,MATCH($C460,VeicPlaca,0)),"Placa não cadastrada"))</f>
        <v>0</v>
      </c>
      <c r="E460" s="26">
        <f>IF($C460="","",IFERROR(INDEX(VeicModelo,MATCH($C460,VeicPlaca,0)),""))</f>
        <v>0</v>
      </c>
      <c r="F460" s="28"/>
      <c r="G460" s="13"/>
      <c r="H460" s="13"/>
      <c r="I460" s="13"/>
      <c r="J460" s="29"/>
      <c r="K460" s="19"/>
      <c r="L460" s="19"/>
      <c r="M460" s="25"/>
      <c r="N460" s="13"/>
      <c r="O460" s="19"/>
      <c r="P460" s="27">
        <f>IF($A460="","",N($J460)*ValorHora)</f>
        <v>0</v>
      </c>
      <c r="Q460" s="27">
        <f>IF($A460="","",SUMIFS(ItTotal,ItOS,$A460))</f>
        <v>0</v>
      </c>
      <c r="R460" s="30">
        <f>IF($A460="","",$P460+$Q460+N($K460)-N($L460))</f>
        <v>0</v>
      </c>
      <c r="S460" s="27">
        <f>IF($A460="","",SUMIFS(ItCusto,ItOS,$A460))</f>
        <v>0</v>
      </c>
      <c r="T460" s="27">
        <f>IF($A460="","",$P460*ComMec)</f>
        <v>0</v>
      </c>
      <c r="U460" s="21">
        <f>IF($A460="","",$R460-$S460-$T460-N($K460))</f>
        <v>0</v>
      </c>
      <c r="V460" s="31">
        <f>IF(OR($A460="",N($R460)&lt;=0),"",$U460/$R460)</f>
        <v>0</v>
      </c>
      <c r="W460" s="27">
        <f>IF($A460="","",IF(OR($I460="Finalizado",$I460="Entregue"),MAX(0,$R460-N($O460)),0))</f>
        <v>0</v>
      </c>
      <c r="X460" s="32">
        <f>IF(OR($A460="",$B460=""),"",IF(OR($I460="Entregue",$I460="Cancelada"),"",Hoje-$B460))</f>
        <v>0</v>
      </c>
      <c r="Y460" s="24">
        <f>IF($A460="","",IF(AND(OR($I460="Aprovado",$I460="Em execução",$I460="Aguardando peça"),N($X460)&gt;PrazoMax),"ATRASADA",IF(AND(OR($I460="Finalizado",$I460="Entregue"),$W460&gt;0.005),"Cobrar",IF($I460="Orçamento","Aguardando aprovação",""))))</f>
        <v>0</v>
      </c>
      <c r="Z460" s="33">
        <f>IF(AND($I460="Entregue",$M460&lt;&gt;""),DATE(YEAR($M460),MONTH($M460),1),"")</f>
        <v>0</v>
      </c>
      <c r="AA460" s="34">
        <f>IF(AND($C460&lt;&gt;"",$C460=HistPlaca),COUNTIF($C$5:$C460,HistPlaca),"")</f>
        <v>0</v>
      </c>
    </row>
    <row r="461" spans="1:27">
      <c r="A461" s="17"/>
      <c r="B461" s="25"/>
      <c r="C461" s="13"/>
      <c r="D461" s="26">
        <f>IF($C461="","",IFERROR(INDEX(VeicCli,MATCH($C461,VeicPlaca,0)),"Placa não cadastrada"))</f>
        <v>0</v>
      </c>
      <c r="E461" s="26">
        <f>IF($C461="","",IFERROR(INDEX(VeicModelo,MATCH($C461,VeicPlaca,0)),""))</f>
        <v>0</v>
      </c>
      <c r="F461" s="28"/>
      <c r="G461" s="13"/>
      <c r="H461" s="13"/>
      <c r="I461" s="13"/>
      <c r="J461" s="29"/>
      <c r="K461" s="19"/>
      <c r="L461" s="19"/>
      <c r="M461" s="25"/>
      <c r="N461" s="13"/>
      <c r="O461" s="19"/>
      <c r="P461" s="27">
        <f>IF($A461="","",N($J461)*ValorHora)</f>
        <v>0</v>
      </c>
      <c r="Q461" s="27">
        <f>IF($A461="","",SUMIFS(ItTotal,ItOS,$A461))</f>
        <v>0</v>
      </c>
      <c r="R461" s="30">
        <f>IF($A461="","",$P461+$Q461+N($K461)-N($L461))</f>
        <v>0</v>
      </c>
      <c r="S461" s="27">
        <f>IF($A461="","",SUMIFS(ItCusto,ItOS,$A461))</f>
        <v>0</v>
      </c>
      <c r="T461" s="27">
        <f>IF($A461="","",$P461*ComMec)</f>
        <v>0</v>
      </c>
      <c r="U461" s="21">
        <f>IF($A461="","",$R461-$S461-$T461-N($K461))</f>
        <v>0</v>
      </c>
      <c r="V461" s="31">
        <f>IF(OR($A461="",N($R461)&lt;=0),"",$U461/$R461)</f>
        <v>0</v>
      </c>
      <c r="W461" s="27">
        <f>IF($A461="","",IF(OR($I461="Finalizado",$I461="Entregue"),MAX(0,$R461-N($O461)),0))</f>
        <v>0</v>
      </c>
      <c r="X461" s="32">
        <f>IF(OR($A461="",$B461=""),"",IF(OR($I461="Entregue",$I461="Cancelada"),"",Hoje-$B461))</f>
        <v>0</v>
      </c>
      <c r="Y461" s="24">
        <f>IF($A461="","",IF(AND(OR($I461="Aprovado",$I461="Em execução",$I461="Aguardando peça"),N($X461)&gt;PrazoMax),"ATRASADA",IF(AND(OR($I461="Finalizado",$I461="Entregue"),$W461&gt;0.005),"Cobrar",IF($I461="Orçamento","Aguardando aprovação",""))))</f>
        <v>0</v>
      </c>
      <c r="Z461" s="33">
        <f>IF(AND($I461="Entregue",$M461&lt;&gt;""),DATE(YEAR($M461),MONTH($M461),1),"")</f>
        <v>0</v>
      </c>
      <c r="AA461" s="34">
        <f>IF(AND($C461&lt;&gt;"",$C461=HistPlaca),COUNTIF($C$5:$C461,HistPlaca),"")</f>
        <v>0</v>
      </c>
    </row>
    <row r="462" spans="1:27">
      <c r="A462" s="17"/>
      <c r="B462" s="25"/>
      <c r="C462" s="13"/>
      <c r="D462" s="26">
        <f>IF($C462="","",IFERROR(INDEX(VeicCli,MATCH($C462,VeicPlaca,0)),"Placa não cadastrada"))</f>
        <v>0</v>
      </c>
      <c r="E462" s="26">
        <f>IF($C462="","",IFERROR(INDEX(VeicModelo,MATCH($C462,VeicPlaca,0)),""))</f>
        <v>0</v>
      </c>
      <c r="F462" s="28"/>
      <c r="G462" s="13"/>
      <c r="H462" s="13"/>
      <c r="I462" s="13"/>
      <c r="J462" s="29"/>
      <c r="K462" s="19"/>
      <c r="L462" s="19"/>
      <c r="M462" s="25"/>
      <c r="N462" s="13"/>
      <c r="O462" s="19"/>
      <c r="P462" s="27">
        <f>IF($A462="","",N($J462)*ValorHora)</f>
        <v>0</v>
      </c>
      <c r="Q462" s="27">
        <f>IF($A462="","",SUMIFS(ItTotal,ItOS,$A462))</f>
        <v>0</v>
      </c>
      <c r="R462" s="30">
        <f>IF($A462="","",$P462+$Q462+N($K462)-N($L462))</f>
        <v>0</v>
      </c>
      <c r="S462" s="27">
        <f>IF($A462="","",SUMIFS(ItCusto,ItOS,$A462))</f>
        <v>0</v>
      </c>
      <c r="T462" s="27">
        <f>IF($A462="","",$P462*ComMec)</f>
        <v>0</v>
      </c>
      <c r="U462" s="21">
        <f>IF($A462="","",$R462-$S462-$T462-N($K462))</f>
        <v>0</v>
      </c>
      <c r="V462" s="31">
        <f>IF(OR($A462="",N($R462)&lt;=0),"",$U462/$R462)</f>
        <v>0</v>
      </c>
      <c r="W462" s="27">
        <f>IF($A462="","",IF(OR($I462="Finalizado",$I462="Entregue"),MAX(0,$R462-N($O462)),0))</f>
        <v>0</v>
      </c>
      <c r="X462" s="32">
        <f>IF(OR($A462="",$B462=""),"",IF(OR($I462="Entregue",$I462="Cancelada"),"",Hoje-$B462))</f>
        <v>0</v>
      </c>
      <c r="Y462" s="24">
        <f>IF($A462="","",IF(AND(OR($I462="Aprovado",$I462="Em execução",$I462="Aguardando peça"),N($X462)&gt;PrazoMax),"ATRASADA",IF(AND(OR($I462="Finalizado",$I462="Entregue"),$W462&gt;0.005),"Cobrar",IF($I462="Orçamento","Aguardando aprovação",""))))</f>
        <v>0</v>
      </c>
      <c r="Z462" s="33">
        <f>IF(AND($I462="Entregue",$M462&lt;&gt;""),DATE(YEAR($M462),MONTH($M462),1),"")</f>
        <v>0</v>
      </c>
      <c r="AA462" s="34">
        <f>IF(AND($C462&lt;&gt;"",$C462=HistPlaca),COUNTIF($C$5:$C462,HistPlaca),"")</f>
        <v>0</v>
      </c>
    </row>
    <row r="463" spans="1:27">
      <c r="A463" s="17"/>
      <c r="B463" s="25"/>
      <c r="C463" s="13"/>
      <c r="D463" s="26">
        <f>IF($C463="","",IFERROR(INDEX(VeicCli,MATCH($C463,VeicPlaca,0)),"Placa não cadastrada"))</f>
        <v>0</v>
      </c>
      <c r="E463" s="26">
        <f>IF($C463="","",IFERROR(INDEX(VeicModelo,MATCH($C463,VeicPlaca,0)),""))</f>
        <v>0</v>
      </c>
      <c r="F463" s="28"/>
      <c r="G463" s="13"/>
      <c r="H463" s="13"/>
      <c r="I463" s="13"/>
      <c r="J463" s="29"/>
      <c r="K463" s="19"/>
      <c r="L463" s="19"/>
      <c r="M463" s="25"/>
      <c r="N463" s="13"/>
      <c r="O463" s="19"/>
      <c r="P463" s="27">
        <f>IF($A463="","",N($J463)*ValorHora)</f>
        <v>0</v>
      </c>
      <c r="Q463" s="27">
        <f>IF($A463="","",SUMIFS(ItTotal,ItOS,$A463))</f>
        <v>0</v>
      </c>
      <c r="R463" s="30">
        <f>IF($A463="","",$P463+$Q463+N($K463)-N($L463))</f>
        <v>0</v>
      </c>
      <c r="S463" s="27">
        <f>IF($A463="","",SUMIFS(ItCusto,ItOS,$A463))</f>
        <v>0</v>
      </c>
      <c r="T463" s="27">
        <f>IF($A463="","",$P463*ComMec)</f>
        <v>0</v>
      </c>
      <c r="U463" s="21">
        <f>IF($A463="","",$R463-$S463-$T463-N($K463))</f>
        <v>0</v>
      </c>
      <c r="V463" s="31">
        <f>IF(OR($A463="",N($R463)&lt;=0),"",$U463/$R463)</f>
        <v>0</v>
      </c>
      <c r="W463" s="27">
        <f>IF($A463="","",IF(OR($I463="Finalizado",$I463="Entregue"),MAX(0,$R463-N($O463)),0))</f>
        <v>0</v>
      </c>
      <c r="X463" s="32">
        <f>IF(OR($A463="",$B463=""),"",IF(OR($I463="Entregue",$I463="Cancelada"),"",Hoje-$B463))</f>
        <v>0</v>
      </c>
      <c r="Y463" s="24">
        <f>IF($A463="","",IF(AND(OR($I463="Aprovado",$I463="Em execução",$I463="Aguardando peça"),N($X463)&gt;PrazoMax),"ATRASADA",IF(AND(OR($I463="Finalizado",$I463="Entregue"),$W463&gt;0.005),"Cobrar",IF($I463="Orçamento","Aguardando aprovação",""))))</f>
        <v>0</v>
      </c>
      <c r="Z463" s="33">
        <f>IF(AND($I463="Entregue",$M463&lt;&gt;""),DATE(YEAR($M463),MONTH($M463),1),"")</f>
        <v>0</v>
      </c>
      <c r="AA463" s="34">
        <f>IF(AND($C463&lt;&gt;"",$C463=HistPlaca),COUNTIF($C$5:$C463,HistPlaca),"")</f>
        <v>0</v>
      </c>
    </row>
    <row r="464" spans="1:27">
      <c r="A464" s="17"/>
      <c r="B464" s="25"/>
      <c r="C464" s="13"/>
      <c r="D464" s="26">
        <f>IF($C464="","",IFERROR(INDEX(VeicCli,MATCH($C464,VeicPlaca,0)),"Placa não cadastrada"))</f>
        <v>0</v>
      </c>
      <c r="E464" s="26">
        <f>IF($C464="","",IFERROR(INDEX(VeicModelo,MATCH($C464,VeicPlaca,0)),""))</f>
        <v>0</v>
      </c>
      <c r="F464" s="28"/>
      <c r="G464" s="13"/>
      <c r="H464" s="13"/>
      <c r="I464" s="13"/>
      <c r="J464" s="29"/>
      <c r="K464" s="19"/>
      <c r="L464" s="19"/>
      <c r="M464" s="25"/>
      <c r="N464" s="13"/>
      <c r="O464" s="19"/>
      <c r="P464" s="27">
        <f>IF($A464="","",N($J464)*ValorHora)</f>
        <v>0</v>
      </c>
      <c r="Q464" s="27">
        <f>IF($A464="","",SUMIFS(ItTotal,ItOS,$A464))</f>
        <v>0</v>
      </c>
      <c r="R464" s="30">
        <f>IF($A464="","",$P464+$Q464+N($K464)-N($L464))</f>
        <v>0</v>
      </c>
      <c r="S464" s="27">
        <f>IF($A464="","",SUMIFS(ItCusto,ItOS,$A464))</f>
        <v>0</v>
      </c>
      <c r="T464" s="27">
        <f>IF($A464="","",$P464*ComMec)</f>
        <v>0</v>
      </c>
      <c r="U464" s="21">
        <f>IF($A464="","",$R464-$S464-$T464-N($K464))</f>
        <v>0</v>
      </c>
      <c r="V464" s="31">
        <f>IF(OR($A464="",N($R464)&lt;=0),"",$U464/$R464)</f>
        <v>0</v>
      </c>
      <c r="W464" s="27">
        <f>IF($A464="","",IF(OR($I464="Finalizado",$I464="Entregue"),MAX(0,$R464-N($O464)),0))</f>
        <v>0</v>
      </c>
      <c r="X464" s="32">
        <f>IF(OR($A464="",$B464=""),"",IF(OR($I464="Entregue",$I464="Cancelada"),"",Hoje-$B464))</f>
        <v>0</v>
      </c>
      <c r="Y464" s="24">
        <f>IF($A464="","",IF(AND(OR($I464="Aprovado",$I464="Em execução",$I464="Aguardando peça"),N($X464)&gt;PrazoMax),"ATRASADA",IF(AND(OR($I464="Finalizado",$I464="Entregue"),$W464&gt;0.005),"Cobrar",IF($I464="Orçamento","Aguardando aprovação",""))))</f>
        <v>0</v>
      </c>
      <c r="Z464" s="33">
        <f>IF(AND($I464="Entregue",$M464&lt;&gt;""),DATE(YEAR($M464),MONTH($M464),1),"")</f>
        <v>0</v>
      </c>
      <c r="AA464" s="34">
        <f>IF(AND($C464&lt;&gt;"",$C464=HistPlaca),COUNTIF($C$5:$C464,HistPlaca),"")</f>
        <v>0</v>
      </c>
    </row>
    <row r="465" spans="1:27">
      <c r="A465" s="17"/>
      <c r="B465" s="25"/>
      <c r="C465" s="13"/>
      <c r="D465" s="26">
        <f>IF($C465="","",IFERROR(INDEX(VeicCli,MATCH($C465,VeicPlaca,0)),"Placa não cadastrada"))</f>
        <v>0</v>
      </c>
      <c r="E465" s="26">
        <f>IF($C465="","",IFERROR(INDEX(VeicModelo,MATCH($C465,VeicPlaca,0)),""))</f>
        <v>0</v>
      </c>
      <c r="F465" s="28"/>
      <c r="G465" s="13"/>
      <c r="H465" s="13"/>
      <c r="I465" s="13"/>
      <c r="J465" s="29"/>
      <c r="K465" s="19"/>
      <c r="L465" s="19"/>
      <c r="M465" s="25"/>
      <c r="N465" s="13"/>
      <c r="O465" s="19"/>
      <c r="P465" s="27">
        <f>IF($A465="","",N($J465)*ValorHora)</f>
        <v>0</v>
      </c>
      <c r="Q465" s="27">
        <f>IF($A465="","",SUMIFS(ItTotal,ItOS,$A465))</f>
        <v>0</v>
      </c>
      <c r="R465" s="30">
        <f>IF($A465="","",$P465+$Q465+N($K465)-N($L465))</f>
        <v>0</v>
      </c>
      <c r="S465" s="27">
        <f>IF($A465="","",SUMIFS(ItCusto,ItOS,$A465))</f>
        <v>0</v>
      </c>
      <c r="T465" s="27">
        <f>IF($A465="","",$P465*ComMec)</f>
        <v>0</v>
      </c>
      <c r="U465" s="21">
        <f>IF($A465="","",$R465-$S465-$T465-N($K465))</f>
        <v>0</v>
      </c>
      <c r="V465" s="31">
        <f>IF(OR($A465="",N($R465)&lt;=0),"",$U465/$R465)</f>
        <v>0</v>
      </c>
      <c r="W465" s="27">
        <f>IF($A465="","",IF(OR($I465="Finalizado",$I465="Entregue"),MAX(0,$R465-N($O465)),0))</f>
        <v>0</v>
      </c>
      <c r="X465" s="32">
        <f>IF(OR($A465="",$B465=""),"",IF(OR($I465="Entregue",$I465="Cancelada"),"",Hoje-$B465))</f>
        <v>0</v>
      </c>
      <c r="Y465" s="24">
        <f>IF($A465="","",IF(AND(OR($I465="Aprovado",$I465="Em execução",$I465="Aguardando peça"),N($X465)&gt;PrazoMax),"ATRASADA",IF(AND(OR($I465="Finalizado",$I465="Entregue"),$W465&gt;0.005),"Cobrar",IF($I465="Orçamento","Aguardando aprovação",""))))</f>
        <v>0</v>
      </c>
      <c r="Z465" s="33">
        <f>IF(AND($I465="Entregue",$M465&lt;&gt;""),DATE(YEAR($M465),MONTH($M465),1),"")</f>
        <v>0</v>
      </c>
      <c r="AA465" s="34">
        <f>IF(AND($C465&lt;&gt;"",$C465=HistPlaca),COUNTIF($C$5:$C465,HistPlaca),"")</f>
        <v>0</v>
      </c>
    </row>
    <row r="466" spans="1:27">
      <c r="A466" s="17"/>
      <c r="B466" s="25"/>
      <c r="C466" s="13"/>
      <c r="D466" s="26">
        <f>IF($C466="","",IFERROR(INDEX(VeicCli,MATCH($C466,VeicPlaca,0)),"Placa não cadastrada"))</f>
        <v>0</v>
      </c>
      <c r="E466" s="26">
        <f>IF($C466="","",IFERROR(INDEX(VeicModelo,MATCH($C466,VeicPlaca,0)),""))</f>
        <v>0</v>
      </c>
      <c r="F466" s="28"/>
      <c r="G466" s="13"/>
      <c r="H466" s="13"/>
      <c r="I466" s="13"/>
      <c r="J466" s="29"/>
      <c r="K466" s="19"/>
      <c r="L466" s="19"/>
      <c r="M466" s="25"/>
      <c r="N466" s="13"/>
      <c r="O466" s="19"/>
      <c r="P466" s="27">
        <f>IF($A466="","",N($J466)*ValorHora)</f>
        <v>0</v>
      </c>
      <c r="Q466" s="27">
        <f>IF($A466="","",SUMIFS(ItTotal,ItOS,$A466))</f>
        <v>0</v>
      </c>
      <c r="R466" s="30">
        <f>IF($A466="","",$P466+$Q466+N($K466)-N($L466))</f>
        <v>0</v>
      </c>
      <c r="S466" s="27">
        <f>IF($A466="","",SUMIFS(ItCusto,ItOS,$A466))</f>
        <v>0</v>
      </c>
      <c r="T466" s="27">
        <f>IF($A466="","",$P466*ComMec)</f>
        <v>0</v>
      </c>
      <c r="U466" s="21">
        <f>IF($A466="","",$R466-$S466-$T466-N($K466))</f>
        <v>0</v>
      </c>
      <c r="V466" s="31">
        <f>IF(OR($A466="",N($R466)&lt;=0),"",$U466/$R466)</f>
        <v>0</v>
      </c>
      <c r="W466" s="27">
        <f>IF($A466="","",IF(OR($I466="Finalizado",$I466="Entregue"),MAX(0,$R466-N($O466)),0))</f>
        <v>0</v>
      </c>
      <c r="X466" s="32">
        <f>IF(OR($A466="",$B466=""),"",IF(OR($I466="Entregue",$I466="Cancelada"),"",Hoje-$B466))</f>
        <v>0</v>
      </c>
      <c r="Y466" s="24">
        <f>IF($A466="","",IF(AND(OR($I466="Aprovado",$I466="Em execução",$I466="Aguardando peça"),N($X466)&gt;PrazoMax),"ATRASADA",IF(AND(OR($I466="Finalizado",$I466="Entregue"),$W466&gt;0.005),"Cobrar",IF($I466="Orçamento","Aguardando aprovação",""))))</f>
        <v>0</v>
      </c>
      <c r="Z466" s="33">
        <f>IF(AND($I466="Entregue",$M466&lt;&gt;""),DATE(YEAR($M466),MONTH($M466),1),"")</f>
        <v>0</v>
      </c>
      <c r="AA466" s="34">
        <f>IF(AND($C466&lt;&gt;"",$C466=HistPlaca),COUNTIF($C$5:$C466,HistPlaca),"")</f>
        <v>0</v>
      </c>
    </row>
    <row r="467" spans="1:27">
      <c r="A467" s="17"/>
      <c r="B467" s="25"/>
      <c r="C467" s="13"/>
      <c r="D467" s="26">
        <f>IF($C467="","",IFERROR(INDEX(VeicCli,MATCH($C467,VeicPlaca,0)),"Placa não cadastrada"))</f>
        <v>0</v>
      </c>
      <c r="E467" s="26">
        <f>IF($C467="","",IFERROR(INDEX(VeicModelo,MATCH($C467,VeicPlaca,0)),""))</f>
        <v>0</v>
      </c>
      <c r="F467" s="28"/>
      <c r="G467" s="13"/>
      <c r="H467" s="13"/>
      <c r="I467" s="13"/>
      <c r="J467" s="29"/>
      <c r="K467" s="19"/>
      <c r="L467" s="19"/>
      <c r="M467" s="25"/>
      <c r="N467" s="13"/>
      <c r="O467" s="19"/>
      <c r="P467" s="27">
        <f>IF($A467="","",N($J467)*ValorHora)</f>
        <v>0</v>
      </c>
      <c r="Q467" s="27">
        <f>IF($A467="","",SUMIFS(ItTotal,ItOS,$A467))</f>
        <v>0</v>
      </c>
      <c r="R467" s="30">
        <f>IF($A467="","",$P467+$Q467+N($K467)-N($L467))</f>
        <v>0</v>
      </c>
      <c r="S467" s="27">
        <f>IF($A467="","",SUMIFS(ItCusto,ItOS,$A467))</f>
        <v>0</v>
      </c>
      <c r="T467" s="27">
        <f>IF($A467="","",$P467*ComMec)</f>
        <v>0</v>
      </c>
      <c r="U467" s="21">
        <f>IF($A467="","",$R467-$S467-$T467-N($K467))</f>
        <v>0</v>
      </c>
      <c r="V467" s="31">
        <f>IF(OR($A467="",N($R467)&lt;=0),"",$U467/$R467)</f>
        <v>0</v>
      </c>
      <c r="W467" s="27">
        <f>IF($A467="","",IF(OR($I467="Finalizado",$I467="Entregue"),MAX(0,$R467-N($O467)),0))</f>
        <v>0</v>
      </c>
      <c r="X467" s="32">
        <f>IF(OR($A467="",$B467=""),"",IF(OR($I467="Entregue",$I467="Cancelada"),"",Hoje-$B467))</f>
        <v>0</v>
      </c>
      <c r="Y467" s="24">
        <f>IF($A467="","",IF(AND(OR($I467="Aprovado",$I467="Em execução",$I467="Aguardando peça"),N($X467)&gt;PrazoMax),"ATRASADA",IF(AND(OR($I467="Finalizado",$I467="Entregue"),$W467&gt;0.005),"Cobrar",IF($I467="Orçamento","Aguardando aprovação",""))))</f>
        <v>0</v>
      </c>
      <c r="Z467" s="33">
        <f>IF(AND($I467="Entregue",$M467&lt;&gt;""),DATE(YEAR($M467),MONTH($M467),1),"")</f>
        <v>0</v>
      </c>
      <c r="AA467" s="34">
        <f>IF(AND($C467&lt;&gt;"",$C467=HistPlaca),COUNTIF($C$5:$C467,HistPlaca),"")</f>
        <v>0</v>
      </c>
    </row>
    <row r="468" spans="1:27">
      <c r="A468" s="17"/>
      <c r="B468" s="25"/>
      <c r="C468" s="13"/>
      <c r="D468" s="26">
        <f>IF($C468="","",IFERROR(INDEX(VeicCli,MATCH($C468,VeicPlaca,0)),"Placa não cadastrada"))</f>
        <v>0</v>
      </c>
      <c r="E468" s="26">
        <f>IF($C468="","",IFERROR(INDEX(VeicModelo,MATCH($C468,VeicPlaca,0)),""))</f>
        <v>0</v>
      </c>
      <c r="F468" s="28"/>
      <c r="G468" s="13"/>
      <c r="H468" s="13"/>
      <c r="I468" s="13"/>
      <c r="J468" s="29"/>
      <c r="K468" s="19"/>
      <c r="L468" s="19"/>
      <c r="M468" s="25"/>
      <c r="N468" s="13"/>
      <c r="O468" s="19"/>
      <c r="P468" s="27">
        <f>IF($A468="","",N($J468)*ValorHora)</f>
        <v>0</v>
      </c>
      <c r="Q468" s="27">
        <f>IF($A468="","",SUMIFS(ItTotal,ItOS,$A468))</f>
        <v>0</v>
      </c>
      <c r="R468" s="30">
        <f>IF($A468="","",$P468+$Q468+N($K468)-N($L468))</f>
        <v>0</v>
      </c>
      <c r="S468" s="27">
        <f>IF($A468="","",SUMIFS(ItCusto,ItOS,$A468))</f>
        <v>0</v>
      </c>
      <c r="T468" s="27">
        <f>IF($A468="","",$P468*ComMec)</f>
        <v>0</v>
      </c>
      <c r="U468" s="21">
        <f>IF($A468="","",$R468-$S468-$T468-N($K468))</f>
        <v>0</v>
      </c>
      <c r="V468" s="31">
        <f>IF(OR($A468="",N($R468)&lt;=0),"",$U468/$R468)</f>
        <v>0</v>
      </c>
      <c r="W468" s="27">
        <f>IF($A468="","",IF(OR($I468="Finalizado",$I468="Entregue"),MAX(0,$R468-N($O468)),0))</f>
        <v>0</v>
      </c>
      <c r="X468" s="32">
        <f>IF(OR($A468="",$B468=""),"",IF(OR($I468="Entregue",$I468="Cancelada"),"",Hoje-$B468))</f>
        <v>0</v>
      </c>
      <c r="Y468" s="24">
        <f>IF($A468="","",IF(AND(OR($I468="Aprovado",$I468="Em execução",$I468="Aguardando peça"),N($X468)&gt;PrazoMax),"ATRASADA",IF(AND(OR($I468="Finalizado",$I468="Entregue"),$W468&gt;0.005),"Cobrar",IF($I468="Orçamento","Aguardando aprovação",""))))</f>
        <v>0</v>
      </c>
      <c r="Z468" s="33">
        <f>IF(AND($I468="Entregue",$M468&lt;&gt;""),DATE(YEAR($M468),MONTH($M468),1),"")</f>
        <v>0</v>
      </c>
      <c r="AA468" s="34">
        <f>IF(AND($C468&lt;&gt;"",$C468=HistPlaca),COUNTIF($C$5:$C468,HistPlaca),"")</f>
        <v>0</v>
      </c>
    </row>
    <row r="469" spans="1:27">
      <c r="A469" s="17"/>
      <c r="B469" s="25"/>
      <c r="C469" s="13"/>
      <c r="D469" s="26">
        <f>IF($C469="","",IFERROR(INDEX(VeicCli,MATCH($C469,VeicPlaca,0)),"Placa não cadastrada"))</f>
        <v>0</v>
      </c>
      <c r="E469" s="26">
        <f>IF($C469="","",IFERROR(INDEX(VeicModelo,MATCH($C469,VeicPlaca,0)),""))</f>
        <v>0</v>
      </c>
      <c r="F469" s="28"/>
      <c r="G469" s="13"/>
      <c r="H469" s="13"/>
      <c r="I469" s="13"/>
      <c r="J469" s="29"/>
      <c r="K469" s="19"/>
      <c r="L469" s="19"/>
      <c r="M469" s="25"/>
      <c r="N469" s="13"/>
      <c r="O469" s="19"/>
      <c r="P469" s="27">
        <f>IF($A469="","",N($J469)*ValorHora)</f>
        <v>0</v>
      </c>
      <c r="Q469" s="27">
        <f>IF($A469="","",SUMIFS(ItTotal,ItOS,$A469))</f>
        <v>0</v>
      </c>
      <c r="R469" s="30">
        <f>IF($A469="","",$P469+$Q469+N($K469)-N($L469))</f>
        <v>0</v>
      </c>
      <c r="S469" s="27">
        <f>IF($A469="","",SUMIFS(ItCusto,ItOS,$A469))</f>
        <v>0</v>
      </c>
      <c r="T469" s="27">
        <f>IF($A469="","",$P469*ComMec)</f>
        <v>0</v>
      </c>
      <c r="U469" s="21">
        <f>IF($A469="","",$R469-$S469-$T469-N($K469))</f>
        <v>0</v>
      </c>
      <c r="V469" s="31">
        <f>IF(OR($A469="",N($R469)&lt;=0),"",$U469/$R469)</f>
        <v>0</v>
      </c>
      <c r="W469" s="27">
        <f>IF($A469="","",IF(OR($I469="Finalizado",$I469="Entregue"),MAX(0,$R469-N($O469)),0))</f>
        <v>0</v>
      </c>
      <c r="X469" s="32">
        <f>IF(OR($A469="",$B469=""),"",IF(OR($I469="Entregue",$I469="Cancelada"),"",Hoje-$B469))</f>
        <v>0</v>
      </c>
      <c r="Y469" s="24">
        <f>IF($A469="","",IF(AND(OR($I469="Aprovado",$I469="Em execução",$I469="Aguardando peça"),N($X469)&gt;PrazoMax),"ATRASADA",IF(AND(OR($I469="Finalizado",$I469="Entregue"),$W469&gt;0.005),"Cobrar",IF($I469="Orçamento","Aguardando aprovação",""))))</f>
        <v>0</v>
      </c>
      <c r="Z469" s="33">
        <f>IF(AND($I469="Entregue",$M469&lt;&gt;""),DATE(YEAR($M469),MONTH($M469),1),"")</f>
        <v>0</v>
      </c>
      <c r="AA469" s="34">
        <f>IF(AND($C469&lt;&gt;"",$C469=HistPlaca),COUNTIF($C$5:$C469,HistPlaca),"")</f>
        <v>0</v>
      </c>
    </row>
    <row r="470" spans="1:27">
      <c r="A470" s="17"/>
      <c r="B470" s="25"/>
      <c r="C470" s="13"/>
      <c r="D470" s="26">
        <f>IF($C470="","",IFERROR(INDEX(VeicCli,MATCH($C470,VeicPlaca,0)),"Placa não cadastrada"))</f>
        <v>0</v>
      </c>
      <c r="E470" s="26">
        <f>IF($C470="","",IFERROR(INDEX(VeicModelo,MATCH($C470,VeicPlaca,0)),""))</f>
        <v>0</v>
      </c>
      <c r="F470" s="28"/>
      <c r="G470" s="13"/>
      <c r="H470" s="13"/>
      <c r="I470" s="13"/>
      <c r="J470" s="29"/>
      <c r="K470" s="19"/>
      <c r="L470" s="19"/>
      <c r="M470" s="25"/>
      <c r="N470" s="13"/>
      <c r="O470" s="19"/>
      <c r="P470" s="27">
        <f>IF($A470="","",N($J470)*ValorHora)</f>
        <v>0</v>
      </c>
      <c r="Q470" s="27">
        <f>IF($A470="","",SUMIFS(ItTotal,ItOS,$A470))</f>
        <v>0</v>
      </c>
      <c r="R470" s="30">
        <f>IF($A470="","",$P470+$Q470+N($K470)-N($L470))</f>
        <v>0</v>
      </c>
      <c r="S470" s="27">
        <f>IF($A470="","",SUMIFS(ItCusto,ItOS,$A470))</f>
        <v>0</v>
      </c>
      <c r="T470" s="27">
        <f>IF($A470="","",$P470*ComMec)</f>
        <v>0</v>
      </c>
      <c r="U470" s="21">
        <f>IF($A470="","",$R470-$S470-$T470-N($K470))</f>
        <v>0</v>
      </c>
      <c r="V470" s="31">
        <f>IF(OR($A470="",N($R470)&lt;=0),"",$U470/$R470)</f>
        <v>0</v>
      </c>
      <c r="W470" s="27">
        <f>IF($A470="","",IF(OR($I470="Finalizado",$I470="Entregue"),MAX(0,$R470-N($O470)),0))</f>
        <v>0</v>
      </c>
      <c r="X470" s="32">
        <f>IF(OR($A470="",$B470=""),"",IF(OR($I470="Entregue",$I470="Cancelada"),"",Hoje-$B470))</f>
        <v>0</v>
      </c>
      <c r="Y470" s="24">
        <f>IF($A470="","",IF(AND(OR($I470="Aprovado",$I470="Em execução",$I470="Aguardando peça"),N($X470)&gt;PrazoMax),"ATRASADA",IF(AND(OR($I470="Finalizado",$I470="Entregue"),$W470&gt;0.005),"Cobrar",IF($I470="Orçamento","Aguardando aprovação",""))))</f>
        <v>0</v>
      </c>
      <c r="Z470" s="33">
        <f>IF(AND($I470="Entregue",$M470&lt;&gt;""),DATE(YEAR($M470),MONTH($M470),1),"")</f>
        <v>0</v>
      </c>
      <c r="AA470" s="34">
        <f>IF(AND($C470&lt;&gt;"",$C470=HistPlaca),COUNTIF($C$5:$C470,HistPlaca),"")</f>
        <v>0</v>
      </c>
    </row>
    <row r="471" spans="1:27">
      <c r="A471" s="17"/>
      <c r="B471" s="25"/>
      <c r="C471" s="13"/>
      <c r="D471" s="26">
        <f>IF($C471="","",IFERROR(INDEX(VeicCli,MATCH($C471,VeicPlaca,0)),"Placa não cadastrada"))</f>
        <v>0</v>
      </c>
      <c r="E471" s="26">
        <f>IF($C471="","",IFERROR(INDEX(VeicModelo,MATCH($C471,VeicPlaca,0)),""))</f>
        <v>0</v>
      </c>
      <c r="F471" s="28"/>
      <c r="G471" s="13"/>
      <c r="H471" s="13"/>
      <c r="I471" s="13"/>
      <c r="J471" s="29"/>
      <c r="K471" s="19"/>
      <c r="L471" s="19"/>
      <c r="M471" s="25"/>
      <c r="N471" s="13"/>
      <c r="O471" s="19"/>
      <c r="P471" s="27">
        <f>IF($A471="","",N($J471)*ValorHora)</f>
        <v>0</v>
      </c>
      <c r="Q471" s="27">
        <f>IF($A471="","",SUMIFS(ItTotal,ItOS,$A471))</f>
        <v>0</v>
      </c>
      <c r="R471" s="30">
        <f>IF($A471="","",$P471+$Q471+N($K471)-N($L471))</f>
        <v>0</v>
      </c>
      <c r="S471" s="27">
        <f>IF($A471="","",SUMIFS(ItCusto,ItOS,$A471))</f>
        <v>0</v>
      </c>
      <c r="T471" s="27">
        <f>IF($A471="","",$P471*ComMec)</f>
        <v>0</v>
      </c>
      <c r="U471" s="21">
        <f>IF($A471="","",$R471-$S471-$T471-N($K471))</f>
        <v>0</v>
      </c>
      <c r="V471" s="31">
        <f>IF(OR($A471="",N($R471)&lt;=0),"",$U471/$R471)</f>
        <v>0</v>
      </c>
      <c r="W471" s="27">
        <f>IF($A471="","",IF(OR($I471="Finalizado",$I471="Entregue"),MAX(0,$R471-N($O471)),0))</f>
        <v>0</v>
      </c>
      <c r="X471" s="32">
        <f>IF(OR($A471="",$B471=""),"",IF(OR($I471="Entregue",$I471="Cancelada"),"",Hoje-$B471))</f>
        <v>0</v>
      </c>
      <c r="Y471" s="24">
        <f>IF($A471="","",IF(AND(OR($I471="Aprovado",$I471="Em execução",$I471="Aguardando peça"),N($X471)&gt;PrazoMax),"ATRASADA",IF(AND(OR($I471="Finalizado",$I471="Entregue"),$W471&gt;0.005),"Cobrar",IF($I471="Orçamento","Aguardando aprovação",""))))</f>
        <v>0</v>
      </c>
      <c r="Z471" s="33">
        <f>IF(AND($I471="Entregue",$M471&lt;&gt;""),DATE(YEAR($M471),MONTH($M471),1),"")</f>
        <v>0</v>
      </c>
      <c r="AA471" s="34">
        <f>IF(AND($C471&lt;&gt;"",$C471=HistPlaca),COUNTIF($C$5:$C471,HistPlaca),"")</f>
        <v>0</v>
      </c>
    </row>
    <row r="472" spans="1:27">
      <c r="A472" s="17"/>
      <c r="B472" s="25"/>
      <c r="C472" s="13"/>
      <c r="D472" s="26">
        <f>IF($C472="","",IFERROR(INDEX(VeicCli,MATCH($C472,VeicPlaca,0)),"Placa não cadastrada"))</f>
        <v>0</v>
      </c>
      <c r="E472" s="26">
        <f>IF($C472="","",IFERROR(INDEX(VeicModelo,MATCH($C472,VeicPlaca,0)),""))</f>
        <v>0</v>
      </c>
      <c r="F472" s="28"/>
      <c r="G472" s="13"/>
      <c r="H472" s="13"/>
      <c r="I472" s="13"/>
      <c r="J472" s="29"/>
      <c r="K472" s="19"/>
      <c r="L472" s="19"/>
      <c r="M472" s="25"/>
      <c r="N472" s="13"/>
      <c r="O472" s="19"/>
      <c r="P472" s="27">
        <f>IF($A472="","",N($J472)*ValorHora)</f>
        <v>0</v>
      </c>
      <c r="Q472" s="27">
        <f>IF($A472="","",SUMIFS(ItTotal,ItOS,$A472))</f>
        <v>0</v>
      </c>
      <c r="R472" s="30">
        <f>IF($A472="","",$P472+$Q472+N($K472)-N($L472))</f>
        <v>0</v>
      </c>
      <c r="S472" s="27">
        <f>IF($A472="","",SUMIFS(ItCusto,ItOS,$A472))</f>
        <v>0</v>
      </c>
      <c r="T472" s="27">
        <f>IF($A472="","",$P472*ComMec)</f>
        <v>0</v>
      </c>
      <c r="U472" s="21">
        <f>IF($A472="","",$R472-$S472-$T472-N($K472))</f>
        <v>0</v>
      </c>
      <c r="V472" s="31">
        <f>IF(OR($A472="",N($R472)&lt;=0),"",$U472/$R472)</f>
        <v>0</v>
      </c>
      <c r="W472" s="27">
        <f>IF($A472="","",IF(OR($I472="Finalizado",$I472="Entregue"),MAX(0,$R472-N($O472)),0))</f>
        <v>0</v>
      </c>
      <c r="X472" s="32">
        <f>IF(OR($A472="",$B472=""),"",IF(OR($I472="Entregue",$I472="Cancelada"),"",Hoje-$B472))</f>
        <v>0</v>
      </c>
      <c r="Y472" s="24">
        <f>IF($A472="","",IF(AND(OR($I472="Aprovado",$I472="Em execução",$I472="Aguardando peça"),N($X472)&gt;PrazoMax),"ATRASADA",IF(AND(OR($I472="Finalizado",$I472="Entregue"),$W472&gt;0.005),"Cobrar",IF($I472="Orçamento","Aguardando aprovação",""))))</f>
        <v>0</v>
      </c>
      <c r="Z472" s="33">
        <f>IF(AND($I472="Entregue",$M472&lt;&gt;""),DATE(YEAR($M472),MONTH($M472),1),"")</f>
        <v>0</v>
      </c>
      <c r="AA472" s="34">
        <f>IF(AND($C472&lt;&gt;"",$C472=HistPlaca),COUNTIF($C$5:$C472,HistPlaca),"")</f>
        <v>0</v>
      </c>
    </row>
    <row r="473" spans="1:27">
      <c r="A473" s="17"/>
      <c r="B473" s="25"/>
      <c r="C473" s="13"/>
      <c r="D473" s="26">
        <f>IF($C473="","",IFERROR(INDEX(VeicCli,MATCH($C473,VeicPlaca,0)),"Placa não cadastrada"))</f>
        <v>0</v>
      </c>
      <c r="E473" s="26">
        <f>IF($C473="","",IFERROR(INDEX(VeicModelo,MATCH($C473,VeicPlaca,0)),""))</f>
        <v>0</v>
      </c>
      <c r="F473" s="28"/>
      <c r="G473" s="13"/>
      <c r="H473" s="13"/>
      <c r="I473" s="13"/>
      <c r="J473" s="29"/>
      <c r="K473" s="19"/>
      <c r="L473" s="19"/>
      <c r="M473" s="25"/>
      <c r="N473" s="13"/>
      <c r="O473" s="19"/>
      <c r="P473" s="27">
        <f>IF($A473="","",N($J473)*ValorHora)</f>
        <v>0</v>
      </c>
      <c r="Q473" s="27">
        <f>IF($A473="","",SUMIFS(ItTotal,ItOS,$A473))</f>
        <v>0</v>
      </c>
      <c r="R473" s="30">
        <f>IF($A473="","",$P473+$Q473+N($K473)-N($L473))</f>
        <v>0</v>
      </c>
      <c r="S473" s="27">
        <f>IF($A473="","",SUMIFS(ItCusto,ItOS,$A473))</f>
        <v>0</v>
      </c>
      <c r="T473" s="27">
        <f>IF($A473="","",$P473*ComMec)</f>
        <v>0</v>
      </c>
      <c r="U473" s="21">
        <f>IF($A473="","",$R473-$S473-$T473-N($K473))</f>
        <v>0</v>
      </c>
      <c r="V473" s="31">
        <f>IF(OR($A473="",N($R473)&lt;=0),"",$U473/$R473)</f>
        <v>0</v>
      </c>
      <c r="W473" s="27">
        <f>IF($A473="","",IF(OR($I473="Finalizado",$I473="Entregue"),MAX(0,$R473-N($O473)),0))</f>
        <v>0</v>
      </c>
      <c r="X473" s="32">
        <f>IF(OR($A473="",$B473=""),"",IF(OR($I473="Entregue",$I473="Cancelada"),"",Hoje-$B473))</f>
        <v>0</v>
      </c>
      <c r="Y473" s="24">
        <f>IF($A473="","",IF(AND(OR($I473="Aprovado",$I473="Em execução",$I473="Aguardando peça"),N($X473)&gt;PrazoMax),"ATRASADA",IF(AND(OR($I473="Finalizado",$I473="Entregue"),$W473&gt;0.005),"Cobrar",IF($I473="Orçamento","Aguardando aprovação",""))))</f>
        <v>0</v>
      </c>
      <c r="Z473" s="33">
        <f>IF(AND($I473="Entregue",$M473&lt;&gt;""),DATE(YEAR($M473),MONTH($M473),1),"")</f>
        <v>0</v>
      </c>
      <c r="AA473" s="34">
        <f>IF(AND($C473&lt;&gt;"",$C473=HistPlaca),COUNTIF($C$5:$C473,HistPlaca),"")</f>
        <v>0</v>
      </c>
    </row>
    <row r="474" spans="1:27">
      <c r="A474" s="17"/>
      <c r="B474" s="25"/>
      <c r="C474" s="13"/>
      <c r="D474" s="26">
        <f>IF($C474="","",IFERROR(INDEX(VeicCli,MATCH($C474,VeicPlaca,0)),"Placa não cadastrada"))</f>
        <v>0</v>
      </c>
      <c r="E474" s="26">
        <f>IF($C474="","",IFERROR(INDEX(VeicModelo,MATCH($C474,VeicPlaca,0)),""))</f>
        <v>0</v>
      </c>
      <c r="F474" s="28"/>
      <c r="G474" s="13"/>
      <c r="H474" s="13"/>
      <c r="I474" s="13"/>
      <c r="J474" s="29"/>
      <c r="K474" s="19"/>
      <c r="L474" s="19"/>
      <c r="M474" s="25"/>
      <c r="N474" s="13"/>
      <c r="O474" s="19"/>
      <c r="P474" s="27">
        <f>IF($A474="","",N($J474)*ValorHora)</f>
        <v>0</v>
      </c>
      <c r="Q474" s="27">
        <f>IF($A474="","",SUMIFS(ItTotal,ItOS,$A474))</f>
        <v>0</v>
      </c>
      <c r="R474" s="30">
        <f>IF($A474="","",$P474+$Q474+N($K474)-N($L474))</f>
        <v>0</v>
      </c>
      <c r="S474" s="27">
        <f>IF($A474="","",SUMIFS(ItCusto,ItOS,$A474))</f>
        <v>0</v>
      </c>
      <c r="T474" s="27">
        <f>IF($A474="","",$P474*ComMec)</f>
        <v>0</v>
      </c>
      <c r="U474" s="21">
        <f>IF($A474="","",$R474-$S474-$T474-N($K474))</f>
        <v>0</v>
      </c>
      <c r="V474" s="31">
        <f>IF(OR($A474="",N($R474)&lt;=0),"",$U474/$R474)</f>
        <v>0</v>
      </c>
      <c r="W474" s="27">
        <f>IF($A474="","",IF(OR($I474="Finalizado",$I474="Entregue"),MAX(0,$R474-N($O474)),0))</f>
        <v>0</v>
      </c>
      <c r="X474" s="32">
        <f>IF(OR($A474="",$B474=""),"",IF(OR($I474="Entregue",$I474="Cancelada"),"",Hoje-$B474))</f>
        <v>0</v>
      </c>
      <c r="Y474" s="24">
        <f>IF($A474="","",IF(AND(OR($I474="Aprovado",$I474="Em execução",$I474="Aguardando peça"),N($X474)&gt;PrazoMax),"ATRASADA",IF(AND(OR($I474="Finalizado",$I474="Entregue"),$W474&gt;0.005),"Cobrar",IF($I474="Orçamento","Aguardando aprovação",""))))</f>
        <v>0</v>
      </c>
      <c r="Z474" s="33">
        <f>IF(AND($I474="Entregue",$M474&lt;&gt;""),DATE(YEAR($M474),MONTH($M474),1),"")</f>
        <v>0</v>
      </c>
      <c r="AA474" s="34">
        <f>IF(AND($C474&lt;&gt;"",$C474=HistPlaca),COUNTIF($C$5:$C474,HistPlaca),"")</f>
        <v>0</v>
      </c>
    </row>
    <row r="475" spans="1:27">
      <c r="A475" s="17"/>
      <c r="B475" s="25"/>
      <c r="C475" s="13"/>
      <c r="D475" s="26">
        <f>IF($C475="","",IFERROR(INDEX(VeicCli,MATCH($C475,VeicPlaca,0)),"Placa não cadastrada"))</f>
        <v>0</v>
      </c>
      <c r="E475" s="26">
        <f>IF($C475="","",IFERROR(INDEX(VeicModelo,MATCH($C475,VeicPlaca,0)),""))</f>
        <v>0</v>
      </c>
      <c r="F475" s="28"/>
      <c r="G475" s="13"/>
      <c r="H475" s="13"/>
      <c r="I475" s="13"/>
      <c r="J475" s="29"/>
      <c r="K475" s="19"/>
      <c r="L475" s="19"/>
      <c r="M475" s="25"/>
      <c r="N475" s="13"/>
      <c r="O475" s="19"/>
      <c r="P475" s="27">
        <f>IF($A475="","",N($J475)*ValorHora)</f>
        <v>0</v>
      </c>
      <c r="Q475" s="27">
        <f>IF($A475="","",SUMIFS(ItTotal,ItOS,$A475))</f>
        <v>0</v>
      </c>
      <c r="R475" s="30">
        <f>IF($A475="","",$P475+$Q475+N($K475)-N($L475))</f>
        <v>0</v>
      </c>
      <c r="S475" s="27">
        <f>IF($A475="","",SUMIFS(ItCusto,ItOS,$A475))</f>
        <v>0</v>
      </c>
      <c r="T475" s="27">
        <f>IF($A475="","",$P475*ComMec)</f>
        <v>0</v>
      </c>
      <c r="U475" s="21">
        <f>IF($A475="","",$R475-$S475-$T475-N($K475))</f>
        <v>0</v>
      </c>
      <c r="V475" s="31">
        <f>IF(OR($A475="",N($R475)&lt;=0),"",$U475/$R475)</f>
        <v>0</v>
      </c>
      <c r="W475" s="27">
        <f>IF($A475="","",IF(OR($I475="Finalizado",$I475="Entregue"),MAX(0,$R475-N($O475)),0))</f>
        <v>0</v>
      </c>
      <c r="X475" s="32">
        <f>IF(OR($A475="",$B475=""),"",IF(OR($I475="Entregue",$I475="Cancelada"),"",Hoje-$B475))</f>
        <v>0</v>
      </c>
      <c r="Y475" s="24">
        <f>IF($A475="","",IF(AND(OR($I475="Aprovado",$I475="Em execução",$I475="Aguardando peça"),N($X475)&gt;PrazoMax),"ATRASADA",IF(AND(OR($I475="Finalizado",$I475="Entregue"),$W475&gt;0.005),"Cobrar",IF($I475="Orçamento","Aguardando aprovação",""))))</f>
        <v>0</v>
      </c>
      <c r="Z475" s="33">
        <f>IF(AND($I475="Entregue",$M475&lt;&gt;""),DATE(YEAR($M475),MONTH($M475),1),"")</f>
        <v>0</v>
      </c>
      <c r="AA475" s="34">
        <f>IF(AND($C475&lt;&gt;"",$C475=HistPlaca),COUNTIF($C$5:$C475,HistPlaca),"")</f>
        <v>0</v>
      </c>
    </row>
    <row r="476" spans="1:27">
      <c r="A476" s="17"/>
      <c r="B476" s="25"/>
      <c r="C476" s="13"/>
      <c r="D476" s="26">
        <f>IF($C476="","",IFERROR(INDEX(VeicCli,MATCH($C476,VeicPlaca,0)),"Placa não cadastrada"))</f>
        <v>0</v>
      </c>
      <c r="E476" s="26">
        <f>IF($C476="","",IFERROR(INDEX(VeicModelo,MATCH($C476,VeicPlaca,0)),""))</f>
        <v>0</v>
      </c>
      <c r="F476" s="28"/>
      <c r="G476" s="13"/>
      <c r="H476" s="13"/>
      <c r="I476" s="13"/>
      <c r="J476" s="29"/>
      <c r="K476" s="19"/>
      <c r="L476" s="19"/>
      <c r="M476" s="25"/>
      <c r="N476" s="13"/>
      <c r="O476" s="19"/>
      <c r="P476" s="27">
        <f>IF($A476="","",N($J476)*ValorHora)</f>
        <v>0</v>
      </c>
      <c r="Q476" s="27">
        <f>IF($A476="","",SUMIFS(ItTotal,ItOS,$A476))</f>
        <v>0</v>
      </c>
      <c r="R476" s="30">
        <f>IF($A476="","",$P476+$Q476+N($K476)-N($L476))</f>
        <v>0</v>
      </c>
      <c r="S476" s="27">
        <f>IF($A476="","",SUMIFS(ItCusto,ItOS,$A476))</f>
        <v>0</v>
      </c>
      <c r="T476" s="27">
        <f>IF($A476="","",$P476*ComMec)</f>
        <v>0</v>
      </c>
      <c r="U476" s="21">
        <f>IF($A476="","",$R476-$S476-$T476-N($K476))</f>
        <v>0</v>
      </c>
      <c r="V476" s="31">
        <f>IF(OR($A476="",N($R476)&lt;=0),"",$U476/$R476)</f>
        <v>0</v>
      </c>
      <c r="W476" s="27">
        <f>IF($A476="","",IF(OR($I476="Finalizado",$I476="Entregue"),MAX(0,$R476-N($O476)),0))</f>
        <v>0</v>
      </c>
      <c r="X476" s="32">
        <f>IF(OR($A476="",$B476=""),"",IF(OR($I476="Entregue",$I476="Cancelada"),"",Hoje-$B476))</f>
        <v>0</v>
      </c>
      <c r="Y476" s="24">
        <f>IF($A476="","",IF(AND(OR($I476="Aprovado",$I476="Em execução",$I476="Aguardando peça"),N($X476)&gt;PrazoMax),"ATRASADA",IF(AND(OR($I476="Finalizado",$I476="Entregue"),$W476&gt;0.005),"Cobrar",IF($I476="Orçamento","Aguardando aprovação",""))))</f>
        <v>0</v>
      </c>
      <c r="Z476" s="33">
        <f>IF(AND($I476="Entregue",$M476&lt;&gt;""),DATE(YEAR($M476),MONTH($M476),1),"")</f>
        <v>0</v>
      </c>
      <c r="AA476" s="34">
        <f>IF(AND($C476&lt;&gt;"",$C476=HistPlaca),COUNTIF($C$5:$C476,HistPlaca),"")</f>
        <v>0</v>
      </c>
    </row>
    <row r="477" spans="1:27">
      <c r="A477" s="17"/>
      <c r="B477" s="25"/>
      <c r="C477" s="13"/>
      <c r="D477" s="26">
        <f>IF($C477="","",IFERROR(INDEX(VeicCli,MATCH($C477,VeicPlaca,0)),"Placa não cadastrada"))</f>
        <v>0</v>
      </c>
      <c r="E477" s="26">
        <f>IF($C477="","",IFERROR(INDEX(VeicModelo,MATCH($C477,VeicPlaca,0)),""))</f>
        <v>0</v>
      </c>
      <c r="F477" s="28"/>
      <c r="G477" s="13"/>
      <c r="H477" s="13"/>
      <c r="I477" s="13"/>
      <c r="J477" s="29"/>
      <c r="K477" s="19"/>
      <c r="L477" s="19"/>
      <c r="M477" s="25"/>
      <c r="N477" s="13"/>
      <c r="O477" s="19"/>
      <c r="P477" s="27">
        <f>IF($A477="","",N($J477)*ValorHora)</f>
        <v>0</v>
      </c>
      <c r="Q477" s="27">
        <f>IF($A477="","",SUMIFS(ItTotal,ItOS,$A477))</f>
        <v>0</v>
      </c>
      <c r="R477" s="30">
        <f>IF($A477="","",$P477+$Q477+N($K477)-N($L477))</f>
        <v>0</v>
      </c>
      <c r="S477" s="27">
        <f>IF($A477="","",SUMIFS(ItCusto,ItOS,$A477))</f>
        <v>0</v>
      </c>
      <c r="T477" s="27">
        <f>IF($A477="","",$P477*ComMec)</f>
        <v>0</v>
      </c>
      <c r="U477" s="21">
        <f>IF($A477="","",$R477-$S477-$T477-N($K477))</f>
        <v>0</v>
      </c>
      <c r="V477" s="31">
        <f>IF(OR($A477="",N($R477)&lt;=0),"",$U477/$R477)</f>
        <v>0</v>
      </c>
      <c r="W477" s="27">
        <f>IF($A477="","",IF(OR($I477="Finalizado",$I477="Entregue"),MAX(0,$R477-N($O477)),0))</f>
        <v>0</v>
      </c>
      <c r="X477" s="32">
        <f>IF(OR($A477="",$B477=""),"",IF(OR($I477="Entregue",$I477="Cancelada"),"",Hoje-$B477))</f>
        <v>0</v>
      </c>
      <c r="Y477" s="24">
        <f>IF($A477="","",IF(AND(OR($I477="Aprovado",$I477="Em execução",$I477="Aguardando peça"),N($X477)&gt;PrazoMax),"ATRASADA",IF(AND(OR($I477="Finalizado",$I477="Entregue"),$W477&gt;0.005),"Cobrar",IF($I477="Orçamento","Aguardando aprovação",""))))</f>
        <v>0</v>
      </c>
      <c r="Z477" s="33">
        <f>IF(AND($I477="Entregue",$M477&lt;&gt;""),DATE(YEAR($M477),MONTH($M477),1),"")</f>
        <v>0</v>
      </c>
      <c r="AA477" s="34">
        <f>IF(AND($C477&lt;&gt;"",$C477=HistPlaca),COUNTIF($C$5:$C477,HistPlaca),"")</f>
        <v>0</v>
      </c>
    </row>
    <row r="478" spans="1:27">
      <c r="A478" s="17"/>
      <c r="B478" s="25"/>
      <c r="C478" s="13"/>
      <c r="D478" s="26">
        <f>IF($C478="","",IFERROR(INDEX(VeicCli,MATCH($C478,VeicPlaca,0)),"Placa não cadastrada"))</f>
        <v>0</v>
      </c>
      <c r="E478" s="26">
        <f>IF($C478="","",IFERROR(INDEX(VeicModelo,MATCH($C478,VeicPlaca,0)),""))</f>
        <v>0</v>
      </c>
      <c r="F478" s="28"/>
      <c r="G478" s="13"/>
      <c r="H478" s="13"/>
      <c r="I478" s="13"/>
      <c r="J478" s="29"/>
      <c r="K478" s="19"/>
      <c r="L478" s="19"/>
      <c r="M478" s="25"/>
      <c r="N478" s="13"/>
      <c r="O478" s="19"/>
      <c r="P478" s="27">
        <f>IF($A478="","",N($J478)*ValorHora)</f>
        <v>0</v>
      </c>
      <c r="Q478" s="27">
        <f>IF($A478="","",SUMIFS(ItTotal,ItOS,$A478))</f>
        <v>0</v>
      </c>
      <c r="R478" s="30">
        <f>IF($A478="","",$P478+$Q478+N($K478)-N($L478))</f>
        <v>0</v>
      </c>
      <c r="S478" s="27">
        <f>IF($A478="","",SUMIFS(ItCusto,ItOS,$A478))</f>
        <v>0</v>
      </c>
      <c r="T478" s="27">
        <f>IF($A478="","",$P478*ComMec)</f>
        <v>0</v>
      </c>
      <c r="U478" s="21">
        <f>IF($A478="","",$R478-$S478-$T478-N($K478))</f>
        <v>0</v>
      </c>
      <c r="V478" s="31">
        <f>IF(OR($A478="",N($R478)&lt;=0),"",$U478/$R478)</f>
        <v>0</v>
      </c>
      <c r="W478" s="27">
        <f>IF($A478="","",IF(OR($I478="Finalizado",$I478="Entregue"),MAX(0,$R478-N($O478)),0))</f>
        <v>0</v>
      </c>
      <c r="X478" s="32">
        <f>IF(OR($A478="",$B478=""),"",IF(OR($I478="Entregue",$I478="Cancelada"),"",Hoje-$B478))</f>
        <v>0</v>
      </c>
      <c r="Y478" s="24">
        <f>IF($A478="","",IF(AND(OR($I478="Aprovado",$I478="Em execução",$I478="Aguardando peça"),N($X478)&gt;PrazoMax),"ATRASADA",IF(AND(OR($I478="Finalizado",$I478="Entregue"),$W478&gt;0.005),"Cobrar",IF($I478="Orçamento","Aguardando aprovação",""))))</f>
        <v>0</v>
      </c>
      <c r="Z478" s="33">
        <f>IF(AND($I478="Entregue",$M478&lt;&gt;""),DATE(YEAR($M478),MONTH($M478),1),"")</f>
        <v>0</v>
      </c>
      <c r="AA478" s="34">
        <f>IF(AND($C478&lt;&gt;"",$C478=HistPlaca),COUNTIF($C$5:$C478,HistPlaca),"")</f>
        <v>0</v>
      </c>
    </row>
    <row r="479" spans="1:27">
      <c r="A479" s="17"/>
      <c r="B479" s="25"/>
      <c r="C479" s="13"/>
      <c r="D479" s="26">
        <f>IF($C479="","",IFERROR(INDEX(VeicCli,MATCH($C479,VeicPlaca,0)),"Placa não cadastrada"))</f>
        <v>0</v>
      </c>
      <c r="E479" s="26">
        <f>IF($C479="","",IFERROR(INDEX(VeicModelo,MATCH($C479,VeicPlaca,0)),""))</f>
        <v>0</v>
      </c>
      <c r="F479" s="28"/>
      <c r="G479" s="13"/>
      <c r="H479" s="13"/>
      <c r="I479" s="13"/>
      <c r="J479" s="29"/>
      <c r="K479" s="19"/>
      <c r="L479" s="19"/>
      <c r="M479" s="25"/>
      <c r="N479" s="13"/>
      <c r="O479" s="19"/>
      <c r="P479" s="27">
        <f>IF($A479="","",N($J479)*ValorHora)</f>
        <v>0</v>
      </c>
      <c r="Q479" s="27">
        <f>IF($A479="","",SUMIFS(ItTotal,ItOS,$A479))</f>
        <v>0</v>
      </c>
      <c r="R479" s="30">
        <f>IF($A479="","",$P479+$Q479+N($K479)-N($L479))</f>
        <v>0</v>
      </c>
      <c r="S479" s="27">
        <f>IF($A479="","",SUMIFS(ItCusto,ItOS,$A479))</f>
        <v>0</v>
      </c>
      <c r="T479" s="27">
        <f>IF($A479="","",$P479*ComMec)</f>
        <v>0</v>
      </c>
      <c r="U479" s="21">
        <f>IF($A479="","",$R479-$S479-$T479-N($K479))</f>
        <v>0</v>
      </c>
      <c r="V479" s="31">
        <f>IF(OR($A479="",N($R479)&lt;=0),"",$U479/$R479)</f>
        <v>0</v>
      </c>
      <c r="W479" s="27">
        <f>IF($A479="","",IF(OR($I479="Finalizado",$I479="Entregue"),MAX(0,$R479-N($O479)),0))</f>
        <v>0</v>
      </c>
      <c r="X479" s="32">
        <f>IF(OR($A479="",$B479=""),"",IF(OR($I479="Entregue",$I479="Cancelada"),"",Hoje-$B479))</f>
        <v>0</v>
      </c>
      <c r="Y479" s="24">
        <f>IF($A479="","",IF(AND(OR($I479="Aprovado",$I479="Em execução",$I479="Aguardando peça"),N($X479)&gt;PrazoMax),"ATRASADA",IF(AND(OR($I479="Finalizado",$I479="Entregue"),$W479&gt;0.005),"Cobrar",IF($I479="Orçamento","Aguardando aprovação",""))))</f>
        <v>0</v>
      </c>
      <c r="Z479" s="33">
        <f>IF(AND($I479="Entregue",$M479&lt;&gt;""),DATE(YEAR($M479),MONTH($M479),1),"")</f>
        <v>0</v>
      </c>
      <c r="AA479" s="34">
        <f>IF(AND($C479&lt;&gt;"",$C479=HistPlaca),COUNTIF($C$5:$C479,HistPlaca),"")</f>
        <v>0</v>
      </c>
    </row>
    <row r="480" spans="1:27">
      <c r="A480" s="17"/>
      <c r="B480" s="25"/>
      <c r="C480" s="13"/>
      <c r="D480" s="26">
        <f>IF($C480="","",IFERROR(INDEX(VeicCli,MATCH($C480,VeicPlaca,0)),"Placa não cadastrada"))</f>
        <v>0</v>
      </c>
      <c r="E480" s="26">
        <f>IF($C480="","",IFERROR(INDEX(VeicModelo,MATCH($C480,VeicPlaca,0)),""))</f>
        <v>0</v>
      </c>
      <c r="F480" s="28"/>
      <c r="G480" s="13"/>
      <c r="H480" s="13"/>
      <c r="I480" s="13"/>
      <c r="J480" s="29"/>
      <c r="K480" s="19"/>
      <c r="L480" s="19"/>
      <c r="M480" s="25"/>
      <c r="N480" s="13"/>
      <c r="O480" s="19"/>
      <c r="P480" s="27">
        <f>IF($A480="","",N($J480)*ValorHora)</f>
        <v>0</v>
      </c>
      <c r="Q480" s="27">
        <f>IF($A480="","",SUMIFS(ItTotal,ItOS,$A480))</f>
        <v>0</v>
      </c>
      <c r="R480" s="30">
        <f>IF($A480="","",$P480+$Q480+N($K480)-N($L480))</f>
        <v>0</v>
      </c>
      <c r="S480" s="27">
        <f>IF($A480="","",SUMIFS(ItCusto,ItOS,$A480))</f>
        <v>0</v>
      </c>
      <c r="T480" s="27">
        <f>IF($A480="","",$P480*ComMec)</f>
        <v>0</v>
      </c>
      <c r="U480" s="21">
        <f>IF($A480="","",$R480-$S480-$T480-N($K480))</f>
        <v>0</v>
      </c>
      <c r="V480" s="31">
        <f>IF(OR($A480="",N($R480)&lt;=0),"",$U480/$R480)</f>
        <v>0</v>
      </c>
      <c r="W480" s="27">
        <f>IF($A480="","",IF(OR($I480="Finalizado",$I480="Entregue"),MAX(0,$R480-N($O480)),0))</f>
        <v>0</v>
      </c>
      <c r="X480" s="32">
        <f>IF(OR($A480="",$B480=""),"",IF(OR($I480="Entregue",$I480="Cancelada"),"",Hoje-$B480))</f>
        <v>0</v>
      </c>
      <c r="Y480" s="24">
        <f>IF($A480="","",IF(AND(OR($I480="Aprovado",$I480="Em execução",$I480="Aguardando peça"),N($X480)&gt;PrazoMax),"ATRASADA",IF(AND(OR($I480="Finalizado",$I480="Entregue"),$W480&gt;0.005),"Cobrar",IF($I480="Orçamento","Aguardando aprovação",""))))</f>
        <v>0</v>
      </c>
      <c r="Z480" s="33">
        <f>IF(AND($I480="Entregue",$M480&lt;&gt;""),DATE(YEAR($M480),MONTH($M480),1),"")</f>
        <v>0</v>
      </c>
      <c r="AA480" s="34">
        <f>IF(AND($C480&lt;&gt;"",$C480=HistPlaca),COUNTIF($C$5:$C480,HistPlaca),"")</f>
        <v>0</v>
      </c>
    </row>
    <row r="481" spans="1:27">
      <c r="A481" s="17"/>
      <c r="B481" s="25"/>
      <c r="C481" s="13"/>
      <c r="D481" s="26">
        <f>IF($C481="","",IFERROR(INDEX(VeicCli,MATCH($C481,VeicPlaca,0)),"Placa não cadastrada"))</f>
        <v>0</v>
      </c>
      <c r="E481" s="26">
        <f>IF($C481="","",IFERROR(INDEX(VeicModelo,MATCH($C481,VeicPlaca,0)),""))</f>
        <v>0</v>
      </c>
      <c r="F481" s="28"/>
      <c r="G481" s="13"/>
      <c r="H481" s="13"/>
      <c r="I481" s="13"/>
      <c r="J481" s="29"/>
      <c r="K481" s="19"/>
      <c r="L481" s="19"/>
      <c r="M481" s="25"/>
      <c r="N481" s="13"/>
      <c r="O481" s="19"/>
      <c r="P481" s="27">
        <f>IF($A481="","",N($J481)*ValorHora)</f>
        <v>0</v>
      </c>
      <c r="Q481" s="27">
        <f>IF($A481="","",SUMIFS(ItTotal,ItOS,$A481))</f>
        <v>0</v>
      </c>
      <c r="R481" s="30">
        <f>IF($A481="","",$P481+$Q481+N($K481)-N($L481))</f>
        <v>0</v>
      </c>
      <c r="S481" s="27">
        <f>IF($A481="","",SUMIFS(ItCusto,ItOS,$A481))</f>
        <v>0</v>
      </c>
      <c r="T481" s="27">
        <f>IF($A481="","",$P481*ComMec)</f>
        <v>0</v>
      </c>
      <c r="U481" s="21">
        <f>IF($A481="","",$R481-$S481-$T481-N($K481))</f>
        <v>0</v>
      </c>
      <c r="V481" s="31">
        <f>IF(OR($A481="",N($R481)&lt;=0),"",$U481/$R481)</f>
        <v>0</v>
      </c>
      <c r="W481" s="27">
        <f>IF($A481="","",IF(OR($I481="Finalizado",$I481="Entregue"),MAX(0,$R481-N($O481)),0))</f>
        <v>0</v>
      </c>
      <c r="X481" s="32">
        <f>IF(OR($A481="",$B481=""),"",IF(OR($I481="Entregue",$I481="Cancelada"),"",Hoje-$B481))</f>
        <v>0</v>
      </c>
      <c r="Y481" s="24">
        <f>IF($A481="","",IF(AND(OR($I481="Aprovado",$I481="Em execução",$I481="Aguardando peça"),N($X481)&gt;PrazoMax),"ATRASADA",IF(AND(OR($I481="Finalizado",$I481="Entregue"),$W481&gt;0.005),"Cobrar",IF($I481="Orçamento","Aguardando aprovação",""))))</f>
        <v>0</v>
      </c>
      <c r="Z481" s="33">
        <f>IF(AND($I481="Entregue",$M481&lt;&gt;""),DATE(YEAR($M481),MONTH($M481),1),"")</f>
        <v>0</v>
      </c>
      <c r="AA481" s="34">
        <f>IF(AND($C481&lt;&gt;"",$C481=HistPlaca),COUNTIF($C$5:$C481,HistPlaca),"")</f>
        <v>0</v>
      </c>
    </row>
    <row r="482" spans="1:27">
      <c r="A482" s="17"/>
      <c r="B482" s="25"/>
      <c r="C482" s="13"/>
      <c r="D482" s="26">
        <f>IF($C482="","",IFERROR(INDEX(VeicCli,MATCH($C482,VeicPlaca,0)),"Placa não cadastrada"))</f>
        <v>0</v>
      </c>
      <c r="E482" s="26">
        <f>IF($C482="","",IFERROR(INDEX(VeicModelo,MATCH($C482,VeicPlaca,0)),""))</f>
        <v>0</v>
      </c>
      <c r="F482" s="28"/>
      <c r="G482" s="13"/>
      <c r="H482" s="13"/>
      <c r="I482" s="13"/>
      <c r="J482" s="29"/>
      <c r="K482" s="19"/>
      <c r="L482" s="19"/>
      <c r="M482" s="25"/>
      <c r="N482" s="13"/>
      <c r="O482" s="19"/>
      <c r="P482" s="27">
        <f>IF($A482="","",N($J482)*ValorHora)</f>
        <v>0</v>
      </c>
      <c r="Q482" s="27">
        <f>IF($A482="","",SUMIFS(ItTotal,ItOS,$A482))</f>
        <v>0</v>
      </c>
      <c r="R482" s="30">
        <f>IF($A482="","",$P482+$Q482+N($K482)-N($L482))</f>
        <v>0</v>
      </c>
      <c r="S482" s="27">
        <f>IF($A482="","",SUMIFS(ItCusto,ItOS,$A482))</f>
        <v>0</v>
      </c>
      <c r="T482" s="27">
        <f>IF($A482="","",$P482*ComMec)</f>
        <v>0</v>
      </c>
      <c r="U482" s="21">
        <f>IF($A482="","",$R482-$S482-$T482-N($K482))</f>
        <v>0</v>
      </c>
      <c r="V482" s="31">
        <f>IF(OR($A482="",N($R482)&lt;=0),"",$U482/$R482)</f>
        <v>0</v>
      </c>
      <c r="W482" s="27">
        <f>IF($A482="","",IF(OR($I482="Finalizado",$I482="Entregue"),MAX(0,$R482-N($O482)),0))</f>
        <v>0</v>
      </c>
      <c r="X482" s="32">
        <f>IF(OR($A482="",$B482=""),"",IF(OR($I482="Entregue",$I482="Cancelada"),"",Hoje-$B482))</f>
        <v>0</v>
      </c>
      <c r="Y482" s="24">
        <f>IF($A482="","",IF(AND(OR($I482="Aprovado",$I482="Em execução",$I482="Aguardando peça"),N($X482)&gt;PrazoMax),"ATRASADA",IF(AND(OR($I482="Finalizado",$I482="Entregue"),$W482&gt;0.005),"Cobrar",IF($I482="Orçamento","Aguardando aprovação",""))))</f>
        <v>0</v>
      </c>
      <c r="Z482" s="33">
        <f>IF(AND($I482="Entregue",$M482&lt;&gt;""),DATE(YEAR($M482),MONTH($M482),1),"")</f>
        <v>0</v>
      </c>
      <c r="AA482" s="34">
        <f>IF(AND($C482&lt;&gt;"",$C482=HistPlaca),COUNTIF($C$5:$C482,HistPlaca),"")</f>
        <v>0</v>
      </c>
    </row>
    <row r="483" spans="1:27">
      <c r="A483" s="17"/>
      <c r="B483" s="25"/>
      <c r="C483" s="13"/>
      <c r="D483" s="26">
        <f>IF($C483="","",IFERROR(INDEX(VeicCli,MATCH($C483,VeicPlaca,0)),"Placa não cadastrada"))</f>
        <v>0</v>
      </c>
      <c r="E483" s="26">
        <f>IF($C483="","",IFERROR(INDEX(VeicModelo,MATCH($C483,VeicPlaca,0)),""))</f>
        <v>0</v>
      </c>
      <c r="F483" s="28"/>
      <c r="G483" s="13"/>
      <c r="H483" s="13"/>
      <c r="I483" s="13"/>
      <c r="J483" s="29"/>
      <c r="K483" s="19"/>
      <c r="L483" s="19"/>
      <c r="M483" s="25"/>
      <c r="N483" s="13"/>
      <c r="O483" s="19"/>
      <c r="P483" s="27">
        <f>IF($A483="","",N($J483)*ValorHora)</f>
        <v>0</v>
      </c>
      <c r="Q483" s="27">
        <f>IF($A483="","",SUMIFS(ItTotal,ItOS,$A483))</f>
        <v>0</v>
      </c>
      <c r="R483" s="30">
        <f>IF($A483="","",$P483+$Q483+N($K483)-N($L483))</f>
        <v>0</v>
      </c>
      <c r="S483" s="27">
        <f>IF($A483="","",SUMIFS(ItCusto,ItOS,$A483))</f>
        <v>0</v>
      </c>
      <c r="T483" s="27">
        <f>IF($A483="","",$P483*ComMec)</f>
        <v>0</v>
      </c>
      <c r="U483" s="21">
        <f>IF($A483="","",$R483-$S483-$T483-N($K483))</f>
        <v>0</v>
      </c>
      <c r="V483" s="31">
        <f>IF(OR($A483="",N($R483)&lt;=0),"",$U483/$R483)</f>
        <v>0</v>
      </c>
      <c r="W483" s="27">
        <f>IF($A483="","",IF(OR($I483="Finalizado",$I483="Entregue"),MAX(0,$R483-N($O483)),0))</f>
        <v>0</v>
      </c>
      <c r="X483" s="32">
        <f>IF(OR($A483="",$B483=""),"",IF(OR($I483="Entregue",$I483="Cancelada"),"",Hoje-$B483))</f>
        <v>0</v>
      </c>
      <c r="Y483" s="24">
        <f>IF($A483="","",IF(AND(OR($I483="Aprovado",$I483="Em execução",$I483="Aguardando peça"),N($X483)&gt;PrazoMax),"ATRASADA",IF(AND(OR($I483="Finalizado",$I483="Entregue"),$W483&gt;0.005),"Cobrar",IF($I483="Orçamento","Aguardando aprovação",""))))</f>
        <v>0</v>
      </c>
      <c r="Z483" s="33">
        <f>IF(AND($I483="Entregue",$M483&lt;&gt;""),DATE(YEAR($M483),MONTH($M483),1),"")</f>
        <v>0</v>
      </c>
      <c r="AA483" s="34">
        <f>IF(AND($C483&lt;&gt;"",$C483=HistPlaca),COUNTIF($C$5:$C483,HistPlaca),"")</f>
        <v>0</v>
      </c>
    </row>
    <row r="484" spans="1:27">
      <c r="A484" s="17"/>
      <c r="B484" s="25"/>
      <c r="C484" s="13"/>
      <c r="D484" s="26">
        <f>IF($C484="","",IFERROR(INDEX(VeicCli,MATCH($C484,VeicPlaca,0)),"Placa não cadastrada"))</f>
        <v>0</v>
      </c>
      <c r="E484" s="26">
        <f>IF($C484="","",IFERROR(INDEX(VeicModelo,MATCH($C484,VeicPlaca,0)),""))</f>
        <v>0</v>
      </c>
      <c r="F484" s="28"/>
      <c r="G484" s="13"/>
      <c r="H484" s="13"/>
      <c r="I484" s="13"/>
      <c r="J484" s="29"/>
      <c r="K484" s="19"/>
      <c r="L484" s="19"/>
      <c r="M484" s="25"/>
      <c r="N484" s="13"/>
      <c r="O484" s="19"/>
      <c r="P484" s="27">
        <f>IF($A484="","",N($J484)*ValorHora)</f>
        <v>0</v>
      </c>
      <c r="Q484" s="27">
        <f>IF($A484="","",SUMIFS(ItTotal,ItOS,$A484))</f>
        <v>0</v>
      </c>
      <c r="R484" s="30">
        <f>IF($A484="","",$P484+$Q484+N($K484)-N($L484))</f>
        <v>0</v>
      </c>
      <c r="S484" s="27">
        <f>IF($A484="","",SUMIFS(ItCusto,ItOS,$A484))</f>
        <v>0</v>
      </c>
      <c r="T484" s="27">
        <f>IF($A484="","",$P484*ComMec)</f>
        <v>0</v>
      </c>
      <c r="U484" s="21">
        <f>IF($A484="","",$R484-$S484-$T484-N($K484))</f>
        <v>0</v>
      </c>
      <c r="V484" s="31">
        <f>IF(OR($A484="",N($R484)&lt;=0),"",$U484/$R484)</f>
        <v>0</v>
      </c>
      <c r="W484" s="27">
        <f>IF($A484="","",IF(OR($I484="Finalizado",$I484="Entregue"),MAX(0,$R484-N($O484)),0))</f>
        <v>0</v>
      </c>
      <c r="X484" s="32">
        <f>IF(OR($A484="",$B484=""),"",IF(OR($I484="Entregue",$I484="Cancelada"),"",Hoje-$B484))</f>
        <v>0</v>
      </c>
      <c r="Y484" s="24">
        <f>IF($A484="","",IF(AND(OR($I484="Aprovado",$I484="Em execução",$I484="Aguardando peça"),N($X484)&gt;PrazoMax),"ATRASADA",IF(AND(OR($I484="Finalizado",$I484="Entregue"),$W484&gt;0.005),"Cobrar",IF($I484="Orçamento","Aguardando aprovação",""))))</f>
        <v>0</v>
      </c>
      <c r="Z484" s="33">
        <f>IF(AND($I484="Entregue",$M484&lt;&gt;""),DATE(YEAR($M484),MONTH($M484),1),"")</f>
        <v>0</v>
      </c>
      <c r="AA484" s="34">
        <f>IF(AND($C484&lt;&gt;"",$C484=HistPlaca),COUNTIF($C$5:$C484,HistPlaca),"")</f>
        <v>0</v>
      </c>
    </row>
    <row r="485" spans="1:27">
      <c r="A485" s="17"/>
      <c r="B485" s="25"/>
      <c r="C485" s="13"/>
      <c r="D485" s="26">
        <f>IF($C485="","",IFERROR(INDEX(VeicCli,MATCH($C485,VeicPlaca,0)),"Placa não cadastrada"))</f>
        <v>0</v>
      </c>
      <c r="E485" s="26">
        <f>IF($C485="","",IFERROR(INDEX(VeicModelo,MATCH($C485,VeicPlaca,0)),""))</f>
        <v>0</v>
      </c>
      <c r="F485" s="28"/>
      <c r="G485" s="13"/>
      <c r="H485" s="13"/>
      <c r="I485" s="13"/>
      <c r="J485" s="29"/>
      <c r="K485" s="19"/>
      <c r="L485" s="19"/>
      <c r="M485" s="25"/>
      <c r="N485" s="13"/>
      <c r="O485" s="19"/>
      <c r="P485" s="27">
        <f>IF($A485="","",N($J485)*ValorHora)</f>
        <v>0</v>
      </c>
      <c r="Q485" s="27">
        <f>IF($A485="","",SUMIFS(ItTotal,ItOS,$A485))</f>
        <v>0</v>
      </c>
      <c r="R485" s="30">
        <f>IF($A485="","",$P485+$Q485+N($K485)-N($L485))</f>
        <v>0</v>
      </c>
      <c r="S485" s="27">
        <f>IF($A485="","",SUMIFS(ItCusto,ItOS,$A485))</f>
        <v>0</v>
      </c>
      <c r="T485" s="27">
        <f>IF($A485="","",$P485*ComMec)</f>
        <v>0</v>
      </c>
      <c r="U485" s="21">
        <f>IF($A485="","",$R485-$S485-$T485-N($K485))</f>
        <v>0</v>
      </c>
      <c r="V485" s="31">
        <f>IF(OR($A485="",N($R485)&lt;=0),"",$U485/$R485)</f>
        <v>0</v>
      </c>
      <c r="W485" s="27">
        <f>IF($A485="","",IF(OR($I485="Finalizado",$I485="Entregue"),MAX(0,$R485-N($O485)),0))</f>
        <v>0</v>
      </c>
      <c r="X485" s="32">
        <f>IF(OR($A485="",$B485=""),"",IF(OR($I485="Entregue",$I485="Cancelada"),"",Hoje-$B485))</f>
        <v>0</v>
      </c>
      <c r="Y485" s="24">
        <f>IF($A485="","",IF(AND(OR($I485="Aprovado",$I485="Em execução",$I485="Aguardando peça"),N($X485)&gt;PrazoMax),"ATRASADA",IF(AND(OR($I485="Finalizado",$I485="Entregue"),$W485&gt;0.005),"Cobrar",IF($I485="Orçamento","Aguardando aprovação",""))))</f>
        <v>0</v>
      </c>
      <c r="Z485" s="33">
        <f>IF(AND($I485="Entregue",$M485&lt;&gt;""),DATE(YEAR($M485),MONTH($M485),1),"")</f>
        <v>0</v>
      </c>
      <c r="AA485" s="34">
        <f>IF(AND($C485&lt;&gt;"",$C485=HistPlaca),COUNTIF($C$5:$C485,HistPlaca),"")</f>
        <v>0</v>
      </c>
    </row>
    <row r="486" spans="1:27">
      <c r="A486" s="17"/>
      <c r="B486" s="25"/>
      <c r="C486" s="13"/>
      <c r="D486" s="26">
        <f>IF($C486="","",IFERROR(INDEX(VeicCli,MATCH($C486,VeicPlaca,0)),"Placa não cadastrada"))</f>
        <v>0</v>
      </c>
      <c r="E486" s="26">
        <f>IF($C486="","",IFERROR(INDEX(VeicModelo,MATCH($C486,VeicPlaca,0)),""))</f>
        <v>0</v>
      </c>
      <c r="F486" s="28"/>
      <c r="G486" s="13"/>
      <c r="H486" s="13"/>
      <c r="I486" s="13"/>
      <c r="J486" s="29"/>
      <c r="K486" s="19"/>
      <c r="L486" s="19"/>
      <c r="M486" s="25"/>
      <c r="N486" s="13"/>
      <c r="O486" s="19"/>
      <c r="P486" s="27">
        <f>IF($A486="","",N($J486)*ValorHora)</f>
        <v>0</v>
      </c>
      <c r="Q486" s="27">
        <f>IF($A486="","",SUMIFS(ItTotal,ItOS,$A486))</f>
        <v>0</v>
      </c>
      <c r="R486" s="30">
        <f>IF($A486="","",$P486+$Q486+N($K486)-N($L486))</f>
        <v>0</v>
      </c>
      <c r="S486" s="27">
        <f>IF($A486="","",SUMIFS(ItCusto,ItOS,$A486))</f>
        <v>0</v>
      </c>
      <c r="T486" s="27">
        <f>IF($A486="","",$P486*ComMec)</f>
        <v>0</v>
      </c>
      <c r="U486" s="21">
        <f>IF($A486="","",$R486-$S486-$T486-N($K486))</f>
        <v>0</v>
      </c>
      <c r="V486" s="31">
        <f>IF(OR($A486="",N($R486)&lt;=0),"",$U486/$R486)</f>
        <v>0</v>
      </c>
      <c r="W486" s="27">
        <f>IF($A486="","",IF(OR($I486="Finalizado",$I486="Entregue"),MAX(0,$R486-N($O486)),0))</f>
        <v>0</v>
      </c>
      <c r="X486" s="32">
        <f>IF(OR($A486="",$B486=""),"",IF(OR($I486="Entregue",$I486="Cancelada"),"",Hoje-$B486))</f>
        <v>0</v>
      </c>
      <c r="Y486" s="24">
        <f>IF($A486="","",IF(AND(OR($I486="Aprovado",$I486="Em execução",$I486="Aguardando peça"),N($X486)&gt;PrazoMax),"ATRASADA",IF(AND(OR($I486="Finalizado",$I486="Entregue"),$W486&gt;0.005),"Cobrar",IF($I486="Orçamento","Aguardando aprovação",""))))</f>
        <v>0</v>
      </c>
      <c r="Z486" s="33">
        <f>IF(AND($I486="Entregue",$M486&lt;&gt;""),DATE(YEAR($M486),MONTH($M486),1),"")</f>
        <v>0</v>
      </c>
      <c r="AA486" s="34">
        <f>IF(AND($C486&lt;&gt;"",$C486=HistPlaca),COUNTIF($C$5:$C486,HistPlaca),"")</f>
        <v>0</v>
      </c>
    </row>
    <row r="487" spans="1:27">
      <c r="A487" s="17"/>
      <c r="B487" s="25"/>
      <c r="C487" s="13"/>
      <c r="D487" s="26">
        <f>IF($C487="","",IFERROR(INDEX(VeicCli,MATCH($C487,VeicPlaca,0)),"Placa não cadastrada"))</f>
        <v>0</v>
      </c>
      <c r="E487" s="26">
        <f>IF($C487="","",IFERROR(INDEX(VeicModelo,MATCH($C487,VeicPlaca,0)),""))</f>
        <v>0</v>
      </c>
      <c r="F487" s="28"/>
      <c r="G487" s="13"/>
      <c r="H487" s="13"/>
      <c r="I487" s="13"/>
      <c r="J487" s="29"/>
      <c r="K487" s="19"/>
      <c r="L487" s="19"/>
      <c r="M487" s="25"/>
      <c r="N487" s="13"/>
      <c r="O487" s="19"/>
      <c r="P487" s="27">
        <f>IF($A487="","",N($J487)*ValorHora)</f>
        <v>0</v>
      </c>
      <c r="Q487" s="27">
        <f>IF($A487="","",SUMIFS(ItTotal,ItOS,$A487))</f>
        <v>0</v>
      </c>
      <c r="R487" s="30">
        <f>IF($A487="","",$P487+$Q487+N($K487)-N($L487))</f>
        <v>0</v>
      </c>
      <c r="S487" s="27">
        <f>IF($A487="","",SUMIFS(ItCusto,ItOS,$A487))</f>
        <v>0</v>
      </c>
      <c r="T487" s="27">
        <f>IF($A487="","",$P487*ComMec)</f>
        <v>0</v>
      </c>
      <c r="U487" s="21">
        <f>IF($A487="","",$R487-$S487-$T487-N($K487))</f>
        <v>0</v>
      </c>
      <c r="V487" s="31">
        <f>IF(OR($A487="",N($R487)&lt;=0),"",$U487/$R487)</f>
        <v>0</v>
      </c>
      <c r="W487" s="27">
        <f>IF($A487="","",IF(OR($I487="Finalizado",$I487="Entregue"),MAX(0,$R487-N($O487)),0))</f>
        <v>0</v>
      </c>
      <c r="X487" s="32">
        <f>IF(OR($A487="",$B487=""),"",IF(OR($I487="Entregue",$I487="Cancelada"),"",Hoje-$B487))</f>
        <v>0</v>
      </c>
      <c r="Y487" s="24">
        <f>IF($A487="","",IF(AND(OR($I487="Aprovado",$I487="Em execução",$I487="Aguardando peça"),N($X487)&gt;PrazoMax),"ATRASADA",IF(AND(OR($I487="Finalizado",$I487="Entregue"),$W487&gt;0.005),"Cobrar",IF($I487="Orçamento","Aguardando aprovação",""))))</f>
        <v>0</v>
      </c>
      <c r="Z487" s="33">
        <f>IF(AND($I487="Entregue",$M487&lt;&gt;""),DATE(YEAR($M487),MONTH($M487),1),"")</f>
        <v>0</v>
      </c>
      <c r="AA487" s="34">
        <f>IF(AND($C487&lt;&gt;"",$C487=HistPlaca),COUNTIF($C$5:$C487,HistPlaca),"")</f>
        <v>0</v>
      </c>
    </row>
    <row r="488" spans="1:27">
      <c r="A488" s="17"/>
      <c r="B488" s="25"/>
      <c r="C488" s="13"/>
      <c r="D488" s="26">
        <f>IF($C488="","",IFERROR(INDEX(VeicCli,MATCH($C488,VeicPlaca,0)),"Placa não cadastrada"))</f>
        <v>0</v>
      </c>
      <c r="E488" s="26">
        <f>IF($C488="","",IFERROR(INDEX(VeicModelo,MATCH($C488,VeicPlaca,0)),""))</f>
        <v>0</v>
      </c>
      <c r="F488" s="28"/>
      <c r="G488" s="13"/>
      <c r="H488" s="13"/>
      <c r="I488" s="13"/>
      <c r="J488" s="29"/>
      <c r="K488" s="19"/>
      <c r="L488" s="19"/>
      <c r="M488" s="25"/>
      <c r="N488" s="13"/>
      <c r="O488" s="19"/>
      <c r="P488" s="27">
        <f>IF($A488="","",N($J488)*ValorHora)</f>
        <v>0</v>
      </c>
      <c r="Q488" s="27">
        <f>IF($A488="","",SUMIFS(ItTotal,ItOS,$A488))</f>
        <v>0</v>
      </c>
      <c r="R488" s="30">
        <f>IF($A488="","",$P488+$Q488+N($K488)-N($L488))</f>
        <v>0</v>
      </c>
      <c r="S488" s="27">
        <f>IF($A488="","",SUMIFS(ItCusto,ItOS,$A488))</f>
        <v>0</v>
      </c>
      <c r="T488" s="27">
        <f>IF($A488="","",$P488*ComMec)</f>
        <v>0</v>
      </c>
      <c r="U488" s="21">
        <f>IF($A488="","",$R488-$S488-$T488-N($K488))</f>
        <v>0</v>
      </c>
      <c r="V488" s="31">
        <f>IF(OR($A488="",N($R488)&lt;=0),"",$U488/$R488)</f>
        <v>0</v>
      </c>
      <c r="W488" s="27">
        <f>IF($A488="","",IF(OR($I488="Finalizado",$I488="Entregue"),MAX(0,$R488-N($O488)),0))</f>
        <v>0</v>
      </c>
      <c r="X488" s="32">
        <f>IF(OR($A488="",$B488=""),"",IF(OR($I488="Entregue",$I488="Cancelada"),"",Hoje-$B488))</f>
        <v>0</v>
      </c>
      <c r="Y488" s="24">
        <f>IF($A488="","",IF(AND(OR($I488="Aprovado",$I488="Em execução",$I488="Aguardando peça"),N($X488)&gt;PrazoMax),"ATRASADA",IF(AND(OR($I488="Finalizado",$I488="Entregue"),$W488&gt;0.005),"Cobrar",IF($I488="Orçamento","Aguardando aprovação",""))))</f>
        <v>0</v>
      </c>
      <c r="Z488" s="33">
        <f>IF(AND($I488="Entregue",$M488&lt;&gt;""),DATE(YEAR($M488),MONTH($M488),1),"")</f>
        <v>0</v>
      </c>
      <c r="AA488" s="34">
        <f>IF(AND($C488&lt;&gt;"",$C488=HistPlaca),COUNTIF($C$5:$C488,HistPlaca),"")</f>
        <v>0</v>
      </c>
    </row>
    <row r="489" spans="1:27">
      <c r="A489" s="17"/>
      <c r="B489" s="25"/>
      <c r="C489" s="13"/>
      <c r="D489" s="26">
        <f>IF($C489="","",IFERROR(INDEX(VeicCli,MATCH($C489,VeicPlaca,0)),"Placa não cadastrada"))</f>
        <v>0</v>
      </c>
      <c r="E489" s="26">
        <f>IF($C489="","",IFERROR(INDEX(VeicModelo,MATCH($C489,VeicPlaca,0)),""))</f>
        <v>0</v>
      </c>
      <c r="F489" s="28"/>
      <c r="G489" s="13"/>
      <c r="H489" s="13"/>
      <c r="I489" s="13"/>
      <c r="J489" s="29"/>
      <c r="K489" s="19"/>
      <c r="L489" s="19"/>
      <c r="M489" s="25"/>
      <c r="N489" s="13"/>
      <c r="O489" s="19"/>
      <c r="P489" s="27">
        <f>IF($A489="","",N($J489)*ValorHora)</f>
        <v>0</v>
      </c>
      <c r="Q489" s="27">
        <f>IF($A489="","",SUMIFS(ItTotal,ItOS,$A489))</f>
        <v>0</v>
      </c>
      <c r="R489" s="30">
        <f>IF($A489="","",$P489+$Q489+N($K489)-N($L489))</f>
        <v>0</v>
      </c>
      <c r="S489" s="27">
        <f>IF($A489="","",SUMIFS(ItCusto,ItOS,$A489))</f>
        <v>0</v>
      </c>
      <c r="T489" s="27">
        <f>IF($A489="","",$P489*ComMec)</f>
        <v>0</v>
      </c>
      <c r="U489" s="21">
        <f>IF($A489="","",$R489-$S489-$T489-N($K489))</f>
        <v>0</v>
      </c>
      <c r="V489" s="31">
        <f>IF(OR($A489="",N($R489)&lt;=0),"",$U489/$R489)</f>
        <v>0</v>
      </c>
      <c r="W489" s="27">
        <f>IF($A489="","",IF(OR($I489="Finalizado",$I489="Entregue"),MAX(0,$R489-N($O489)),0))</f>
        <v>0</v>
      </c>
      <c r="X489" s="32">
        <f>IF(OR($A489="",$B489=""),"",IF(OR($I489="Entregue",$I489="Cancelada"),"",Hoje-$B489))</f>
        <v>0</v>
      </c>
      <c r="Y489" s="24">
        <f>IF($A489="","",IF(AND(OR($I489="Aprovado",$I489="Em execução",$I489="Aguardando peça"),N($X489)&gt;PrazoMax),"ATRASADA",IF(AND(OR($I489="Finalizado",$I489="Entregue"),$W489&gt;0.005),"Cobrar",IF($I489="Orçamento","Aguardando aprovação",""))))</f>
        <v>0</v>
      </c>
      <c r="Z489" s="33">
        <f>IF(AND($I489="Entregue",$M489&lt;&gt;""),DATE(YEAR($M489),MONTH($M489),1),"")</f>
        <v>0</v>
      </c>
      <c r="AA489" s="34">
        <f>IF(AND($C489&lt;&gt;"",$C489=HistPlaca),COUNTIF($C$5:$C489,HistPlaca),"")</f>
        <v>0</v>
      </c>
    </row>
    <row r="490" spans="1:27">
      <c r="A490" s="17"/>
      <c r="B490" s="25"/>
      <c r="C490" s="13"/>
      <c r="D490" s="26">
        <f>IF($C490="","",IFERROR(INDEX(VeicCli,MATCH($C490,VeicPlaca,0)),"Placa não cadastrada"))</f>
        <v>0</v>
      </c>
      <c r="E490" s="26">
        <f>IF($C490="","",IFERROR(INDEX(VeicModelo,MATCH($C490,VeicPlaca,0)),""))</f>
        <v>0</v>
      </c>
      <c r="F490" s="28"/>
      <c r="G490" s="13"/>
      <c r="H490" s="13"/>
      <c r="I490" s="13"/>
      <c r="J490" s="29"/>
      <c r="K490" s="19"/>
      <c r="L490" s="19"/>
      <c r="M490" s="25"/>
      <c r="N490" s="13"/>
      <c r="O490" s="19"/>
      <c r="P490" s="27">
        <f>IF($A490="","",N($J490)*ValorHora)</f>
        <v>0</v>
      </c>
      <c r="Q490" s="27">
        <f>IF($A490="","",SUMIFS(ItTotal,ItOS,$A490))</f>
        <v>0</v>
      </c>
      <c r="R490" s="30">
        <f>IF($A490="","",$P490+$Q490+N($K490)-N($L490))</f>
        <v>0</v>
      </c>
      <c r="S490" s="27">
        <f>IF($A490="","",SUMIFS(ItCusto,ItOS,$A490))</f>
        <v>0</v>
      </c>
      <c r="T490" s="27">
        <f>IF($A490="","",$P490*ComMec)</f>
        <v>0</v>
      </c>
      <c r="U490" s="21">
        <f>IF($A490="","",$R490-$S490-$T490-N($K490))</f>
        <v>0</v>
      </c>
      <c r="V490" s="31">
        <f>IF(OR($A490="",N($R490)&lt;=0),"",$U490/$R490)</f>
        <v>0</v>
      </c>
      <c r="W490" s="27">
        <f>IF($A490="","",IF(OR($I490="Finalizado",$I490="Entregue"),MAX(0,$R490-N($O490)),0))</f>
        <v>0</v>
      </c>
      <c r="X490" s="32">
        <f>IF(OR($A490="",$B490=""),"",IF(OR($I490="Entregue",$I490="Cancelada"),"",Hoje-$B490))</f>
        <v>0</v>
      </c>
      <c r="Y490" s="24">
        <f>IF($A490="","",IF(AND(OR($I490="Aprovado",$I490="Em execução",$I490="Aguardando peça"),N($X490)&gt;PrazoMax),"ATRASADA",IF(AND(OR($I490="Finalizado",$I490="Entregue"),$W490&gt;0.005),"Cobrar",IF($I490="Orçamento","Aguardando aprovação",""))))</f>
        <v>0</v>
      </c>
      <c r="Z490" s="33">
        <f>IF(AND($I490="Entregue",$M490&lt;&gt;""),DATE(YEAR($M490),MONTH($M490),1),"")</f>
        <v>0</v>
      </c>
      <c r="AA490" s="34">
        <f>IF(AND($C490&lt;&gt;"",$C490=HistPlaca),COUNTIF($C$5:$C490,HistPlaca),"")</f>
        <v>0</v>
      </c>
    </row>
    <row r="491" spans="1:27">
      <c r="A491" s="17"/>
      <c r="B491" s="25"/>
      <c r="C491" s="13"/>
      <c r="D491" s="26">
        <f>IF($C491="","",IFERROR(INDEX(VeicCli,MATCH($C491,VeicPlaca,0)),"Placa não cadastrada"))</f>
        <v>0</v>
      </c>
      <c r="E491" s="26">
        <f>IF($C491="","",IFERROR(INDEX(VeicModelo,MATCH($C491,VeicPlaca,0)),""))</f>
        <v>0</v>
      </c>
      <c r="F491" s="28"/>
      <c r="G491" s="13"/>
      <c r="H491" s="13"/>
      <c r="I491" s="13"/>
      <c r="J491" s="29"/>
      <c r="K491" s="19"/>
      <c r="L491" s="19"/>
      <c r="M491" s="25"/>
      <c r="N491" s="13"/>
      <c r="O491" s="19"/>
      <c r="P491" s="27">
        <f>IF($A491="","",N($J491)*ValorHora)</f>
        <v>0</v>
      </c>
      <c r="Q491" s="27">
        <f>IF($A491="","",SUMIFS(ItTotal,ItOS,$A491))</f>
        <v>0</v>
      </c>
      <c r="R491" s="30">
        <f>IF($A491="","",$P491+$Q491+N($K491)-N($L491))</f>
        <v>0</v>
      </c>
      <c r="S491" s="27">
        <f>IF($A491="","",SUMIFS(ItCusto,ItOS,$A491))</f>
        <v>0</v>
      </c>
      <c r="T491" s="27">
        <f>IF($A491="","",$P491*ComMec)</f>
        <v>0</v>
      </c>
      <c r="U491" s="21">
        <f>IF($A491="","",$R491-$S491-$T491-N($K491))</f>
        <v>0</v>
      </c>
      <c r="V491" s="31">
        <f>IF(OR($A491="",N($R491)&lt;=0),"",$U491/$R491)</f>
        <v>0</v>
      </c>
      <c r="W491" s="27">
        <f>IF($A491="","",IF(OR($I491="Finalizado",$I491="Entregue"),MAX(0,$R491-N($O491)),0))</f>
        <v>0</v>
      </c>
      <c r="X491" s="32">
        <f>IF(OR($A491="",$B491=""),"",IF(OR($I491="Entregue",$I491="Cancelada"),"",Hoje-$B491))</f>
        <v>0</v>
      </c>
      <c r="Y491" s="24">
        <f>IF($A491="","",IF(AND(OR($I491="Aprovado",$I491="Em execução",$I491="Aguardando peça"),N($X491)&gt;PrazoMax),"ATRASADA",IF(AND(OR($I491="Finalizado",$I491="Entregue"),$W491&gt;0.005),"Cobrar",IF($I491="Orçamento","Aguardando aprovação",""))))</f>
        <v>0</v>
      </c>
      <c r="Z491" s="33">
        <f>IF(AND($I491="Entregue",$M491&lt;&gt;""),DATE(YEAR($M491),MONTH($M491),1),"")</f>
        <v>0</v>
      </c>
      <c r="AA491" s="34">
        <f>IF(AND($C491&lt;&gt;"",$C491=HistPlaca),COUNTIF($C$5:$C491,HistPlaca),"")</f>
        <v>0</v>
      </c>
    </row>
    <row r="492" spans="1:27">
      <c r="A492" s="17"/>
      <c r="B492" s="25"/>
      <c r="C492" s="13"/>
      <c r="D492" s="26">
        <f>IF($C492="","",IFERROR(INDEX(VeicCli,MATCH($C492,VeicPlaca,0)),"Placa não cadastrada"))</f>
        <v>0</v>
      </c>
      <c r="E492" s="26">
        <f>IF($C492="","",IFERROR(INDEX(VeicModelo,MATCH($C492,VeicPlaca,0)),""))</f>
        <v>0</v>
      </c>
      <c r="F492" s="28"/>
      <c r="G492" s="13"/>
      <c r="H492" s="13"/>
      <c r="I492" s="13"/>
      <c r="J492" s="29"/>
      <c r="K492" s="19"/>
      <c r="L492" s="19"/>
      <c r="M492" s="25"/>
      <c r="N492" s="13"/>
      <c r="O492" s="19"/>
      <c r="P492" s="27">
        <f>IF($A492="","",N($J492)*ValorHora)</f>
        <v>0</v>
      </c>
      <c r="Q492" s="27">
        <f>IF($A492="","",SUMIFS(ItTotal,ItOS,$A492))</f>
        <v>0</v>
      </c>
      <c r="R492" s="30">
        <f>IF($A492="","",$P492+$Q492+N($K492)-N($L492))</f>
        <v>0</v>
      </c>
      <c r="S492" s="27">
        <f>IF($A492="","",SUMIFS(ItCusto,ItOS,$A492))</f>
        <v>0</v>
      </c>
      <c r="T492" s="27">
        <f>IF($A492="","",$P492*ComMec)</f>
        <v>0</v>
      </c>
      <c r="U492" s="21">
        <f>IF($A492="","",$R492-$S492-$T492-N($K492))</f>
        <v>0</v>
      </c>
      <c r="V492" s="31">
        <f>IF(OR($A492="",N($R492)&lt;=0),"",$U492/$R492)</f>
        <v>0</v>
      </c>
      <c r="W492" s="27">
        <f>IF($A492="","",IF(OR($I492="Finalizado",$I492="Entregue"),MAX(0,$R492-N($O492)),0))</f>
        <v>0</v>
      </c>
      <c r="X492" s="32">
        <f>IF(OR($A492="",$B492=""),"",IF(OR($I492="Entregue",$I492="Cancelada"),"",Hoje-$B492))</f>
        <v>0</v>
      </c>
      <c r="Y492" s="24">
        <f>IF($A492="","",IF(AND(OR($I492="Aprovado",$I492="Em execução",$I492="Aguardando peça"),N($X492)&gt;PrazoMax),"ATRASADA",IF(AND(OR($I492="Finalizado",$I492="Entregue"),$W492&gt;0.005),"Cobrar",IF($I492="Orçamento","Aguardando aprovação",""))))</f>
        <v>0</v>
      </c>
      <c r="Z492" s="33">
        <f>IF(AND($I492="Entregue",$M492&lt;&gt;""),DATE(YEAR($M492),MONTH($M492),1),"")</f>
        <v>0</v>
      </c>
      <c r="AA492" s="34">
        <f>IF(AND($C492&lt;&gt;"",$C492=HistPlaca),COUNTIF($C$5:$C492,HistPlaca),"")</f>
        <v>0</v>
      </c>
    </row>
    <row r="493" spans="1:27">
      <c r="A493" s="17"/>
      <c r="B493" s="25"/>
      <c r="C493" s="13"/>
      <c r="D493" s="26">
        <f>IF($C493="","",IFERROR(INDEX(VeicCli,MATCH($C493,VeicPlaca,0)),"Placa não cadastrada"))</f>
        <v>0</v>
      </c>
      <c r="E493" s="26">
        <f>IF($C493="","",IFERROR(INDEX(VeicModelo,MATCH($C493,VeicPlaca,0)),""))</f>
        <v>0</v>
      </c>
      <c r="F493" s="28"/>
      <c r="G493" s="13"/>
      <c r="H493" s="13"/>
      <c r="I493" s="13"/>
      <c r="J493" s="29"/>
      <c r="K493" s="19"/>
      <c r="L493" s="19"/>
      <c r="M493" s="25"/>
      <c r="N493" s="13"/>
      <c r="O493" s="19"/>
      <c r="P493" s="27">
        <f>IF($A493="","",N($J493)*ValorHora)</f>
        <v>0</v>
      </c>
      <c r="Q493" s="27">
        <f>IF($A493="","",SUMIFS(ItTotal,ItOS,$A493))</f>
        <v>0</v>
      </c>
      <c r="R493" s="30">
        <f>IF($A493="","",$P493+$Q493+N($K493)-N($L493))</f>
        <v>0</v>
      </c>
      <c r="S493" s="27">
        <f>IF($A493="","",SUMIFS(ItCusto,ItOS,$A493))</f>
        <v>0</v>
      </c>
      <c r="T493" s="27">
        <f>IF($A493="","",$P493*ComMec)</f>
        <v>0</v>
      </c>
      <c r="U493" s="21">
        <f>IF($A493="","",$R493-$S493-$T493-N($K493))</f>
        <v>0</v>
      </c>
      <c r="V493" s="31">
        <f>IF(OR($A493="",N($R493)&lt;=0),"",$U493/$R493)</f>
        <v>0</v>
      </c>
      <c r="W493" s="27">
        <f>IF($A493="","",IF(OR($I493="Finalizado",$I493="Entregue"),MAX(0,$R493-N($O493)),0))</f>
        <v>0</v>
      </c>
      <c r="X493" s="32">
        <f>IF(OR($A493="",$B493=""),"",IF(OR($I493="Entregue",$I493="Cancelada"),"",Hoje-$B493))</f>
        <v>0</v>
      </c>
      <c r="Y493" s="24">
        <f>IF($A493="","",IF(AND(OR($I493="Aprovado",$I493="Em execução",$I493="Aguardando peça"),N($X493)&gt;PrazoMax),"ATRASADA",IF(AND(OR($I493="Finalizado",$I493="Entregue"),$W493&gt;0.005),"Cobrar",IF($I493="Orçamento","Aguardando aprovação",""))))</f>
        <v>0</v>
      </c>
      <c r="Z493" s="33">
        <f>IF(AND($I493="Entregue",$M493&lt;&gt;""),DATE(YEAR($M493),MONTH($M493),1),"")</f>
        <v>0</v>
      </c>
      <c r="AA493" s="34">
        <f>IF(AND($C493&lt;&gt;"",$C493=HistPlaca),COUNTIF($C$5:$C493,HistPlaca),"")</f>
        <v>0</v>
      </c>
    </row>
    <row r="494" spans="1:27">
      <c r="A494" s="17"/>
      <c r="B494" s="25"/>
      <c r="C494" s="13"/>
      <c r="D494" s="26">
        <f>IF($C494="","",IFERROR(INDEX(VeicCli,MATCH($C494,VeicPlaca,0)),"Placa não cadastrada"))</f>
        <v>0</v>
      </c>
      <c r="E494" s="26">
        <f>IF($C494="","",IFERROR(INDEX(VeicModelo,MATCH($C494,VeicPlaca,0)),""))</f>
        <v>0</v>
      </c>
      <c r="F494" s="28"/>
      <c r="G494" s="13"/>
      <c r="H494" s="13"/>
      <c r="I494" s="13"/>
      <c r="J494" s="29"/>
      <c r="K494" s="19"/>
      <c r="L494" s="19"/>
      <c r="M494" s="25"/>
      <c r="N494" s="13"/>
      <c r="O494" s="19"/>
      <c r="P494" s="27">
        <f>IF($A494="","",N($J494)*ValorHora)</f>
        <v>0</v>
      </c>
      <c r="Q494" s="27">
        <f>IF($A494="","",SUMIFS(ItTotal,ItOS,$A494))</f>
        <v>0</v>
      </c>
      <c r="R494" s="30">
        <f>IF($A494="","",$P494+$Q494+N($K494)-N($L494))</f>
        <v>0</v>
      </c>
      <c r="S494" s="27">
        <f>IF($A494="","",SUMIFS(ItCusto,ItOS,$A494))</f>
        <v>0</v>
      </c>
      <c r="T494" s="27">
        <f>IF($A494="","",$P494*ComMec)</f>
        <v>0</v>
      </c>
      <c r="U494" s="21">
        <f>IF($A494="","",$R494-$S494-$T494-N($K494))</f>
        <v>0</v>
      </c>
      <c r="V494" s="31">
        <f>IF(OR($A494="",N($R494)&lt;=0),"",$U494/$R494)</f>
        <v>0</v>
      </c>
      <c r="W494" s="27">
        <f>IF($A494="","",IF(OR($I494="Finalizado",$I494="Entregue"),MAX(0,$R494-N($O494)),0))</f>
        <v>0</v>
      </c>
      <c r="X494" s="32">
        <f>IF(OR($A494="",$B494=""),"",IF(OR($I494="Entregue",$I494="Cancelada"),"",Hoje-$B494))</f>
        <v>0</v>
      </c>
      <c r="Y494" s="24">
        <f>IF($A494="","",IF(AND(OR($I494="Aprovado",$I494="Em execução",$I494="Aguardando peça"),N($X494)&gt;PrazoMax),"ATRASADA",IF(AND(OR($I494="Finalizado",$I494="Entregue"),$W494&gt;0.005),"Cobrar",IF($I494="Orçamento","Aguardando aprovação",""))))</f>
        <v>0</v>
      </c>
      <c r="Z494" s="33">
        <f>IF(AND($I494="Entregue",$M494&lt;&gt;""),DATE(YEAR($M494),MONTH($M494),1),"")</f>
        <v>0</v>
      </c>
      <c r="AA494" s="34">
        <f>IF(AND($C494&lt;&gt;"",$C494=HistPlaca),COUNTIF($C$5:$C494,HistPlaca),"")</f>
        <v>0</v>
      </c>
    </row>
    <row r="495" spans="1:27">
      <c r="A495" s="17"/>
      <c r="B495" s="25"/>
      <c r="C495" s="13"/>
      <c r="D495" s="26">
        <f>IF($C495="","",IFERROR(INDEX(VeicCli,MATCH($C495,VeicPlaca,0)),"Placa não cadastrada"))</f>
        <v>0</v>
      </c>
      <c r="E495" s="26">
        <f>IF($C495="","",IFERROR(INDEX(VeicModelo,MATCH($C495,VeicPlaca,0)),""))</f>
        <v>0</v>
      </c>
      <c r="F495" s="28"/>
      <c r="G495" s="13"/>
      <c r="H495" s="13"/>
      <c r="I495" s="13"/>
      <c r="J495" s="29"/>
      <c r="K495" s="19"/>
      <c r="L495" s="19"/>
      <c r="M495" s="25"/>
      <c r="N495" s="13"/>
      <c r="O495" s="19"/>
      <c r="P495" s="27">
        <f>IF($A495="","",N($J495)*ValorHora)</f>
        <v>0</v>
      </c>
      <c r="Q495" s="27">
        <f>IF($A495="","",SUMIFS(ItTotal,ItOS,$A495))</f>
        <v>0</v>
      </c>
      <c r="R495" s="30">
        <f>IF($A495="","",$P495+$Q495+N($K495)-N($L495))</f>
        <v>0</v>
      </c>
      <c r="S495" s="27">
        <f>IF($A495="","",SUMIFS(ItCusto,ItOS,$A495))</f>
        <v>0</v>
      </c>
      <c r="T495" s="27">
        <f>IF($A495="","",$P495*ComMec)</f>
        <v>0</v>
      </c>
      <c r="U495" s="21">
        <f>IF($A495="","",$R495-$S495-$T495-N($K495))</f>
        <v>0</v>
      </c>
      <c r="V495" s="31">
        <f>IF(OR($A495="",N($R495)&lt;=0),"",$U495/$R495)</f>
        <v>0</v>
      </c>
      <c r="W495" s="27">
        <f>IF($A495="","",IF(OR($I495="Finalizado",$I495="Entregue"),MAX(0,$R495-N($O495)),0))</f>
        <v>0</v>
      </c>
      <c r="X495" s="32">
        <f>IF(OR($A495="",$B495=""),"",IF(OR($I495="Entregue",$I495="Cancelada"),"",Hoje-$B495))</f>
        <v>0</v>
      </c>
      <c r="Y495" s="24">
        <f>IF($A495="","",IF(AND(OR($I495="Aprovado",$I495="Em execução",$I495="Aguardando peça"),N($X495)&gt;PrazoMax),"ATRASADA",IF(AND(OR($I495="Finalizado",$I495="Entregue"),$W495&gt;0.005),"Cobrar",IF($I495="Orçamento","Aguardando aprovação",""))))</f>
        <v>0</v>
      </c>
      <c r="Z495" s="33">
        <f>IF(AND($I495="Entregue",$M495&lt;&gt;""),DATE(YEAR($M495),MONTH($M495),1),"")</f>
        <v>0</v>
      </c>
      <c r="AA495" s="34">
        <f>IF(AND($C495&lt;&gt;"",$C495=HistPlaca),COUNTIF($C$5:$C495,HistPlaca),"")</f>
        <v>0</v>
      </c>
    </row>
    <row r="496" spans="1:27">
      <c r="A496" s="17"/>
      <c r="B496" s="25"/>
      <c r="C496" s="13"/>
      <c r="D496" s="26">
        <f>IF($C496="","",IFERROR(INDEX(VeicCli,MATCH($C496,VeicPlaca,0)),"Placa não cadastrada"))</f>
        <v>0</v>
      </c>
      <c r="E496" s="26">
        <f>IF($C496="","",IFERROR(INDEX(VeicModelo,MATCH($C496,VeicPlaca,0)),""))</f>
        <v>0</v>
      </c>
      <c r="F496" s="28"/>
      <c r="G496" s="13"/>
      <c r="H496" s="13"/>
      <c r="I496" s="13"/>
      <c r="J496" s="29"/>
      <c r="K496" s="19"/>
      <c r="L496" s="19"/>
      <c r="M496" s="25"/>
      <c r="N496" s="13"/>
      <c r="O496" s="19"/>
      <c r="P496" s="27">
        <f>IF($A496="","",N($J496)*ValorHora)</f>
        <v>0</v>
      </c>
      <c r="Q496" s="27">
        <f>IF($A496="","",SUMIFS(ItTotal,ItOS,$A496))</f>
        <v>0</v>
      </c>
      <c r="R496" s="30">
        <f>IF($A496="","",$P496+$Q496+N($K496)-N($L496))</f>
        <v>0</v>
      </c>
      <c r="S496" s="27">
        <f>IF($A496="","",SUMIFS(ItCusto,ItOS,$A496))</f>
        <v>0</v>
      </c>
      <c r="T496" s="27">
        <f>IF($A496="","",$P496*ComMec)</f>
        <v>0</v>
      </c>
      <c r="U496" s="21">
        <f>IF($A496="","",$R496-$S496-$T496-N($K496))</f>
        <v>0</v>
      </c>
      <c r="V496" s="31">
        <f>IF(OR($A496="",N($R496)&lt;=0),"",$U496/$R496)</f>
        <v>0</v>
      </c>
      <c r="W496" s="27">
        <f>IF($A496="","",IF(OR($I496="Finalizado",$I496="Entregue"),MAX(0,$R496-N($O496)),0))</f>
        <v>0</v>
      </c>
      <c r="X496" s="32">
        <f>IF(OR($A496="",$B496=""),"",IF(OR($I496="Entregue",$I496="Cancelada"),"",Hoje-$B496))</f>
        <v>0</v>
      </c>
      <c r="Y496" s="24">
        <f>IF($A496="","",IF(AND(OR($I496="Aprovado",$I496="Em execução",$I496="Aguardando peça"),N($X496)&gt;PrazoMax),"ATRASADA",IF(AND(OR($I496="Finalizado",$I496="Entregue"),$W496&gt;0.005),"Cobrar",IF($I496="Orçamento","Aguardando aprovação",""))))</f>
        <v>0</v>
      </c>
      <c r="Z496" s="33">
        <f>IF(AND($I496="Entregue",$M496&lt;&gt;""),DATE(YEAR($M496),MONTH($M496),1),"")</f>
        <v>0</v>
      </c>
      <c r="AA496" s="34">
        <f>IF(AND($C496&lt;&gt;"",$C496=HistPlaca),COUNTIF($C$5:$C496,HistPlaca),"")</f>
        <v>0</v>
      </c>
    </row>
    <row r="497" spans="1:27">
      <c r="A497" s="17"/>
      <c r="B497" s="25"/>
      <c r="C497" s="13"/>
      <c r="D497" s="26">
        <f>IF($C497="","",IFERROR(INDEX(VeicCli,MATCH($C497,VeicPlaca,0)),"Placa não cadastrada"))</f>
        <v>0</v>
      </c>
      <c r="E497" s="26">
        <f>IF($C497="","",IFERROR(INDEX(VeicModelo,MATCH($C497,VeicPlaca,0)),""))</f>
        <v>0</v>
      </c>
      <c r="F497" s="28"/>
      <c r="G497" s="13"/>
      <c r="H497" s="13"/>
      <c r="I497" s="13"/>
      <c r="J497" s="29"/>
      <c r="K497" s="19"/>
      <c r="L497" s="19"/>
      <c r="M497" s="25"/>
      <c r="N497" s="13"/>
      <c r="O497" s="19"/>
      <c r="P497" s="27">
        <f>IF($A497="","",N($J497)*ValorHora)</f>
        <v>0</v>
      </c>
      <c r="Q497" s="27">
        <f>IF($A497="","",SUMIFS(ItTotal,ItOS,$A497))</f>
        <v>0</v>
      </c>
      <c r="R497" s="30">
        <f>IF($A497="","",$P497+$Q497+N($K497)-N($L497))</f>
        <v>0</v>
      </c>
      <c r="S497" s="27">
        <f>IF($A497="","",SUMIFS(ItCusto,ItOS,$A497))</f>
        <v>0</v>
      </c>
      <c r="T497" s="27">
        <f>IF($A497="","",$P497*ComMec)</f>
        <v>0</v>
      </c>
      <c r="U497" s="21">
        <f>IF($A497="","",$R497-$S497-$T497-N($K497))</f>
        <v>0</v>
      </c>
      <c r="V497" s="31">
        <f>IF(OR($A497="",N($R497)&lt;=0),"",$U497/$R497)</f>
        <v>0</v>
      </c>
      <c r="W497" s="27">
        <f>IF($A497="","",IF(OR($I497="Finalizado",$I497="Entregue"),MAX(0,$R497-N($O497)),0))</f>
        <v>0</v>
      </c>
      <c r="X497" s="32">
        <f>IF(OR($A497="",$B497=""),"",IF(OR($I497="Entregue",$I497="Cancelada"),"",Hoje-$B497))</f>
        <v>0</v>
      </c>
      <c r="Y497" s="24">
        <f>IF($A497="","",IF(AND(OR($I497="Aprovado",$I497="Em execução",$I497="Aguardando peça"),N($X497)&gt;PrazoMax),"ATRASADA",IF(AND(OR($I497="Finalizado",$I497="Entregue"),$W497&gt;0.005),"Cobrar",IF($I497="Orçamento","Aguardando aprovação",""))))</f>
        <v>0</v>
      </c>
      <c r="Z497" s="33">
        <f>IF(AND($I497="Entregue",$M497&lt;&gt;""),DATE(YEAR($M497),MONTH($M497),1),"")</f>
        <v>0</v>
      </c>
      <c r="AA497" s="34">
        <f>IF(AND($C497&lt;&gt;"",$C497=HistPlaca),COUNTIF($C$5:$C497,HistPlaca),"")</f>
        <v>0</v>
      </c>
    </row>
    <row r="498" spans="1:27">
      <c r="A498" s="17"/>
      <c r="B498" s="25"/>
      <c r="C498" s="13"/>
      <c r="D498" s="26">
        <f>IF($C498="","",IFERROR(INDEX(VeicCli,MATCH($C498,VeicPlaca,0)),"Placa não cadastrada"))</f>
        <v>0</v>
      </c>
      <c r="E498" s="26">
        <f>IF($C498="","",IFERROR(INDEX(VeicModelo,MATCH($C498,VeicPlaca,0)),""))</f>
        <v>0</v>
      </c>
      <c r="F498" s="28"/>
      <c r="G498" s="13"/>
      <c r="H498" s="13"/>
      <c r="I498" s="13"/>
      <c r="J498" s="29"/>
      <c r="K498" s="19"/>
      <c r="L498" s="19"/>
      <c r="M498" s="25"/>
      <c r="N498" s="13"/>
      <c r="O498" s="19"/>
      <c r="P498" s="27">
        <f>IF($A498="","",N($J498)*ValorHora)</f>
        <v>0</v>
      </c>
      <c r="Q498" s="27">
        <f>IF($A498="","",SUMIFS(ItTotal,ItOS,$A498))</f>
        <v>0</v>
      </c>
      <c r="R498" s="30">
        <f>IF($A498="","",$P498+$Q498+N($K498)-N($L498))</f>
        <v>0</v>
      </c>
      <c r="S498" s="27">
        <f>IF($A498="","",SUMIFS(ItCusto,ItOS,$A498))</f>
        <v>0</v>
      </c>
      <c r="T498" s="27">
        <f>IF($A498="","",$P498*ComMec)</f>
        <v>0</v>
      </c>
      <c r="U498" s="21">
        <f>IF($A498="","",$R498-$S498-$T498-N($K498))</f>
        <v>0</v>
      </c>
      <c r="V498" s="31">
        <f>IF(OR($A498="",N($R498)&lt;=0),"",$U498/$R498)</f>
        <v>0</v>
      </c>
      <c r="W498" s="27">
        <f>IF($A498="","",IF(OR($I498="Finalizado",$I498="Entregue"),MAX(0,$R498-N($O498)),0))</f>
        <v>0</v>
      </c>
      <c r="X498" s="32">
        <f>IF(OR($A498="",$B498=""),"",IF(OR($I498="Entregue",$I498="Cancelada"),"",Hoje-$B498))</f>
        <v>0</v>
      </c>
      <c r="Y498" s="24">
        <f>IF($A498="","",IF(AND(OR($I498="Aprovado",$I498="Em execução",$I498="Aguardando peça"),N($X498)&gt;PrazoMax),"ATRASADA",IF(AND(OR($I498="Finalizado",$I498="Entregue"),$W498&gt;0.005),"Cobrar",IF($I498="Orçamento","Aguardando aprovação",""))))</f>
        <v>0</v>
      </c>
      <c r="Z498" s="33">
        <f>IF(AND($I498="Entregue",$M498&lt;&gt;""),DATE(YEAR($M498),MONTH($M498),1),"")</f>
        <v>0</v>
      </c>
      <c r="AA498" s="34">
        <f>IF(AND($C498&lt;&gt;"",$C498=HistPlaca),COUNTIF($C$5:$C498,HistPlaca),"")</f>
        <v>0</v>
      </c>
    </row>
    <row r="499" spans="1:27">
      <c r="A499" s="17"/>
      <c r="B499" s="25"/>
      <c r="C499" s="13"/>
      <c r="D499" s="26">
        <f>IF($C499="","",IFERROR(INDEX(VeicCli,MATCH($C499,VeicPlaca,0)),"Placa não cadastrada"))</f>
        <v>0</v>
      </c>
      <c r="E499" s="26">
        <f>IF($C499="","",IFERROR(INDEX(VeicModelo,MATCH($C499,VeicPlaca,0)),""))</f>
        <v>0</v>
      </c>
      <c r="F499" s="28"/>
      <c r="G499" s="13"/>
      <c r="H499" s="13"/>
      <c r="I499" s="13"/>
      <c r="J499" s="29"/>
      <c r="K499" s="19"/>
      <c r="L499" s="19"/>
      <c r="M499" s="25"/>
      <c r="N499" s="13"/>
      <c r="O499" s="19"/>
      <c r="P499" s="27">
        <f>IF($A499="","",N($J499)*ValorHora)</f>
        <v>0</v>
      </c>
      <c r="Q499" s="27">
        <f>IF($A499="","",SUMIFS(ItTotal,ItOS,$A499))</f>
        <v>0</v>
      </c>
      <c r="R499" s="30">
        <f>IF($A499="","",$P499+$Q499+N($K499)-N($L499))</f>
        <v>0</v>
      </c>
      <c r="S499" s="27">
        <f>IF($A499="","",SUMIFS(ItCusto,ItOS,$A499))</f>
        <v>0</v>
      </c>
      <c r="T499" s="27">
        <f>IF($A499="","",$P499*ComMec)</f>
        <v>0</v>
      </c>
      <c r="U499" s="21">
        <f>IF($A499="","",$R499-$S499-$T499-N($K499))</f>
        <v>0</v>
      </c>
      <c r="V499" s="31">
        <f>IF(OR($A499="",N($R499)&lt;=0),"",$U499/$R499)</f>
        <v>0</v>
      </c>
      <c r="W499" s="27">
        <f>IF($A499="","",IF(OR($I499="Finalizado",$I499="Entregue"),MAX(0,$R499-N($O499)),0))</f>
        <v>0</v>
      </c>
      <c r="X499" s="32">
        <f>IF(OR($A499="",$B499=""),"",IF(OR($I499="Entregue",$I499="Cancelada"),"",Hoje-$B499))</f>
        <v>0</v>
      </c>
      <c r="Y499" s="24">
        <f>IF($A499="","",IF(AND(OR($I499="Aprovado",$I499="Em execução",$I499="Aguardando peça"),N($X499)&gt;PrazoMax),"ATRASADA",IF(AND(OR($I499="Finalizado",$I499="Entregue"),$W499&gt;0.005),"Cobrar",IF($I499="Orçamento","Aguardando aprovação",""))))</f>
        <v>0</v>
      </c>
      <c r="Z499" s="33">
        <f>IF(AND($I499="Entregue",$M499&lt;&gt;""),DATE(YEAR($M499),MONTH($M499),1),"")</f>
        <v>0</v>
      </c>
      <c r="AA499" s="34">
        <f>IF(AND($C499&lt;&gt;"",$C499=HistPlaca),COUNTIF($C$5:$C499,HistPlaca),"")</f>
        <v>0</v>
      </c>
    </row>
    <row r="500" spans="1:27">
      <c r="A500" s="17"/>
      <c r="B500" s="25"/>
      <c r="C500" s="13"/>
      <c r="D500" s="26">
        <f>IF($C500="","",IFERROR(INDEX(VeicCli,MATCH($C500,VeicPlaca,0)),"Placa não cadastrada"))</f>
        <v>0</v>
      </c>
      <c r="E500" s="26">
        <f>IF($C500="","",IFERROR(INDEX(VeicModelo,MATCH($C500,VeicPlaca,0)),""))</f>
        <v>0</v>
      </c>
      <c r="F500" s="28"/>
      <c r="G500" s="13"/>
      <c r="H500" s="13"/>
      <c r="I500" s="13"/>
      <c r="J500" s="29"/>
      <c r="K500" s="19"/>
      <c r="L500" s="19"/>
      <c r="M500" s="25"/>
      <c r="N500" s="13"/>
      <c r="O500" s="19"/>
      <c r="P500" s="27">
        <f>IF($A500="","",N($J500)*ValorHora)</f>
        <v>0</v>
      </c>
      <c r="Q500" s="27">
        <f>IF($A500="","",SUMIFS(ItTotal,ItOS,$A500))</f>
        <v>0</v>
      </c>
      <c r="R500" s="30">
        <f>IF($A500="","",$P500+$Q500+N($K500)-N($L500))</f>
        <v>0</v>
      </c>
      <c r="S500" s="27">
        <f>IF($A500="","",SUMIFS(ItCusto,ItOS,$A500))</f>
        <v>0</v>
      </c>
      <c r="T500" s="27">
        <f>IF($A500="","",$P500*ComMec)</f>
        <v>0</v>
      </c>
      <c r="U500" s="21">
        <f>IF($A500="","",$R500-$S500-$T500-N($K500))</f>
        <v>0</v>
      </c>
      <c r="V500" s="31">
        <f>IF(OR($A500="",N($R500)&lt;=0),"",$U500/$R500)</f>
        <v>0</v>
      </c>
      <c r="W500" s="27">
        <f>IF($A500="","",IF(OR($I500="Finalizado",$I500="Entregue"),MAX(0,$R500-N($O500)),0))</f>
        <v>0</v>
      </c>
      <c r="X500" s="32">
        <f>IF(OR($A500="",$B500=""),"",IF(OR($I500="Entregue",$I500="Cancelada"),"",Hoje-$B500))</f>
        <v>0</v>
      </c>
      <c r="Y500" s="24">
        <f>IF($A500="","",IF(AND(OR($I500="Aprovado",$I500="Em execução",$I500="Aguardando peça"),N($X500)&gt;PrazoMax),"ATRASADA",IF(AND(OR($I500="Finalizado",$I500="Entregue"),$W500&gt;0.005),"Cobrar",IF($I500="Orçamento","Aguardando aprovação",""))))</f>
        <v>0</v>
      </c>
      <c r="Z500" s="33">
        <f>IF(AND($I500="Entregue",$M500&lt;&gt;""),DATE(YEAR($M500),MONTH($M500),1),"")</f>
        <v>0</v>
      </c>
      <c r="AA500" s="34">
        <f>IF(AND($C500&lt;&gt;"",$C500=HistPlaca),COUNTIF($C$5:$C500,HistPlaca),"")</f>
        <v>0</v>
      </c>
    </row>
    <row r="501" spans="1:27">
      <c r="A501" s="17"/>
      <c r="B501" s="25"/>
      <c r="C501" s="13"/>
      <c r="D501" s="26">
        <f>IF($C501="","",IFERROR(INDEX(VeicCli,MATCH($C501,VeicPlaca,0)),"Placa não cadastrada"))</f>
        <v>0</v>
      </c>
      <c r="E501" s="26">
        <f>IF($C501="","",IFERROR(INDEX(VeicModelo,MATCH($C501,VeicPlaca,0)),""))</f>
        <v>0</v>
      </c>
      <c r="F501" s="28"/>
      <c r="G501" s="13"/>
      <c r="H501" s="13"/>
      <c r="I501" s="13"/>
      <c r="J501" s="29"/>
      <c r="K501" s="19"/>
      <c r="L501" s="19"/>
      <c r="M501" s="25"/>
      <c r="N501" s="13"/>
      <c r="O501" s="19"/>
      <c r="P501" s="27">
        <f>IF($A501="","",N($J501)*ValorHora)</f>
        <v>0</v>
      </c>
      <c r="Q501" s="27">
        <f>IF($A501="","",SUMIFS(ItTotal,ItOS,$A501))</f>
        <v>0</v>
      </c>
      <c r="R501" s="30">
        <f>IF($A501="","",$P501+$Q501+N($K501)-N($L501))</f>
        <v>0</v>
      </c>
      <c r="S501" s="27">
        <f>IF($A501="","",SUMIFS(ItCusto,ItOS,$A501))</f>
        <v>0</v>
      </c>
      <c r="T501" s="27">
        <f>IF($A501="","",$P501*ComMec)</f>
        <v>0</v>
      </c>
      <c r="U501" s="21">
        <f>IF($A501="","",$R501-$S501-$T501-N($K501))</f>
        <v>0</v>
      </c>
      <c r="V501" s="31">
        <f>IF(OR($A501="",N($R501)&lt;=0),"",$U501/$R501)</f>
        <v>0</v>
      </c>
      <c r="W501" s="27">
        <f>IF($A501="","",IF(OR($I501="Finalizado",$I501="Entregue"),MAX(0,$R501-N($O501)),0))</f>
        <v>0</v>
      </c>
      <c r="X501" s="32">
        <f>IF(OR($A501="",$B501=""),"",IF(OR($I501="Entregue",$I501="Cancelada"),"",Hoje-$B501))</f>
        <v>0</v>
      </c>
      <c r="Y501" s="24">
        <f>IF($A501="","",IF(AND(OR($I501="Aprovado",$I501="Em execução",$I501="Aguardando peça"),N($X501)&gt;PrazoMax),"ATRASADA",IF(AND(OR($I501="Finalizado",$I501="Entregue"),$W501&gt;0.005),"Cobrar",IF($I501="Orçamento","Aguardando aprovação",""))))</f>
        <v>0</v>
      </c>
      <c r="Z501" s="33">
        <f>IF(AND($I501="Entregue",$M501&lt;&gt;""),DATE(YEAR($M501),MONTH($M501),1),"")</f>
        <v>0</v>
      </c>
      <c r="AA501" s="34">
        <f>IF(AND($C501&lt;&gt;"",$C501=HistPlaca),COUNTIF($C$5:$C501,HistPlaca),"")</f>
        <v>0</v>
      </c>
    </row>
    <row r="502" spans="1:27">
      <c r="A502" s="17"/>
      <c r="B502" s="25"/>
      <c r="C502" s="13"/>
      <c r="D502" s="26">
        <f>IF($C502="","",IFERROR(INDEX(VeicCli,MATCH($C502,VeicPlaca,0)),"Placa não cadastrada"))</f>
        <v>0</v>
      </c>
      <c r="E502" s="26">
        <f>IF($C502="","",IFERROR(INDEX(VeicModelo,MATCH($C502,VeicPlaca,0)),""))</f>
        <v>0</v>
      </c>
      <c r="F502" s="28"/>
      <c r="G502" s="13"/>
      <c r="H502" s="13"/>
      <c r="I502" s="13"/>
      <c r="J502" s="29"/>
      <c r="K502" s="19"/>
      <c r="L502" s="19"/>
      <c r="M502" s="25"/>
      <c r="N502" s="13"/>
      <c r="O502" s="19"/>
      <c r="P502" s="27">
        <f>IF($A502="","",N($J502)*ValorHora)</f>
        <v>0</v>
      </c>
      <c r="Q502" s="27">
        <f>IF($A502="","",SUMIFS(ItTotal,ItOS,$A502))</f>
        <v>0</v>
      </c>
      <c r="R502" s="30">
        <f>IF($A502="","",$P502+$Q502+N($K502)-N($L502))</f>
        <v>0</v>
      </c>
      <c r="S502" s="27">
        <f>IF($A502="","",SUMIFS(ItCusto,ItOS,$A502))</f>
        <v>0</v>
      </c>
      <c r="T502" s="27">
        <f>IF($A502="","",$P502*ComMec)</f>
        <v>0</v>
      </c>
      <c r="U502" s="21">
        <f>IF($A502="","",$R502-$S502-$T502-N($K502))</f>
        <v>0</v>
      </c>
      <c r="V502" s="31">
        <f>IF(OR($A502="",N($R502)&lt;=0),"",$U502/$R502)</f>
        <v>0</v>
      </c>
      <c r="W502" s="27">
        <f>IF($A502="","",IF(OR($I502="Finalizado",$I502="Entregue"),MAX(0,$R502-N($O502)),0))</f>
        <v>0</v>
      </c>
      <c r="X502" s="32">
        <f>IF(OR($A502="",$B502=""),"",IF(OR($I502="Entregue",$I502="Cancelada"),"",Hoje-$B502))</f>
        <v>0</v>
      </c>
      <c r="Y502" s="24">
        <f>IF($A502="","",IF(AND(OR($I502="Aprovado",$I502="Em execução",$I502="Aguardando peça"),N($X502)&gt;PrazoMax),"ATRASADA",IF(AND(OR($I502="Finalizado",$I502="Entregue"),$W502&gt;0.005),"Cobrar",IF($I502="Orçamento","Aguardando aprovação",""))))</f>
        <v>0</v>
      </c>
      <c r="Z502" s="33">
        <f>IF(AND($I502="Entregue",$M502&lt;&gt;""),DATE(YEAR($M502),MONTH($M502),1),"")</f>
        <v>0</v>
      </c>
      <c r="AA502" s="34">
        <f>IF(AND($C502&lt;&gt;"",$C502=HistPlaca),COUNTIF($C$5:$C502,HistPlaca),"")</f>
        <v>0</v>
      </c>
    </row>
    <row r="503" spans="1:27">
      <c r="A503" s="17"/>
      <c r="B503" s="25"/>
      <c r="C503" s="13"/>
      <c r="D503" s="26">
        <f>IF($C503="","",IFERROR(INDEX(VeicCli,MATCH($C503,VeicPlaca,0)),"Placa não cadastrada"))</f>
        <v>0</v>
      </c>
      <c r="E503" s="26">
        <f>IF($C503="","",IFERROR(INDEX(VeicModelo,MATCH($C503,VeicPlaca,0)),""))</f>
        <v>0</v>
      </c>
      <c r="F503" s="28"/>
      <c r="G503" s="13"/>
      <c r="H503" s="13"/>
      <c r="I503" s="13"/>
      <c r="J503" s="29"/>
      <c r="K503" s="19"/>
      <c r="L503" s="19"/>
      <c r="M503" s="25"/>
      <c r="N503" s="13"/>
      <c r="O503" s="19"/>
      <c r="P503" s="27">
        <f>IF($A503="","",N($J503)*ValorHora)</f>
        <v>0</v>
      </c>
      <c r="Q503" s="27">
        <f>IF($A503="","",SUMIFS(ItTotal,ItOS,$A503))</f>
        <v>0</v>
      </c>
      <c r="R503" s="30">
        <f>IF($A503="","",$P503+$Q503+N($K503)-N($L503))</f>
        <v>0</v>
      </c>
      <c r="S503" s="27">
        <f>IF($A503="","",SUMIFS(ItCusto,ItOS,$A503))</f>
        <v>0</v>
      </c>
      <c r="T503" s="27">
        <f>IF($A503="","",$P503*ComMec)</f>
        <v>0</v>
      </c>
      <c r="U503" s="21">
        <f>IF($A503="","",$R503-$S503-$T503-N($K503))</f>
        <v>0</v>
      </c>
      <c r="V503" s="31">
        <f>IF(OR($A503="",N($R503)&lt;=0),"",$U503/$R503)</f>
        <v>0</v>
      </c>
      <c r="W503" s="27">
        <f>IF($A503="","",IF(OR($I503="Finalizado",$I503="Entregue"),MAX(0,$R503-N($O503)),0))</f>
        <v>0</v>
      </c>
      <c r="X503" s="32">
        <f>IF(OR($A503="",$B503=""),"",IF(OR($I503="Entregue",$I503="Cancelada"),"",Hoje-$B503))</f>
        <v>0</v>
      </c>
      <c r="Y503" s="24">
        <f>IF($A503="","",IF(AND(OR($I503="Aprovado",$I503="Em execução",$I503="Aguardando peça"),N($X503)&gt;PrazoMax),"ATRASADA",IF(AND(OR($I503="Finalizado",$I503="Entregue"),$W503&gt;0.005),"Cobrar",IF($I503="Orçamento","Aguardando aprovação",""))))</f>
        <v>0</v>
      </c>
      <c r="Z503" s="33">
        <f>IF(AND($I503="Entregue",$M503&lt;&gt;""),DATE(YEAR($M503),MONTH($M503),1),"")</f>
        <v>0</v>
      </c>
      <c r="AA503" s="34">
        <f>IF(AND($C503&lt;&gt;"",$C503=HistPlaca),COUNTIF($C$5:$C503,HistPlaca),"")</f>
        <v>0</v>
      </c>
    </row>
    <row r="504" spans="1:27">
      <c r="A504" s="17"/>
      <c r="B504" s="25"/>
      <c r="C504" s="13"/>
      <c r="D504" s="26">
        <f>IF($C504="","",IFERROR(INDEX(VeicCli,MATCH($C504,VeicPlaca,0)),"Placa não cadastrada"))</f>
        <v>0</v>
      </c>
      <c r="E504" s="26">
        <f>IF($C504="","",IFERROR(INDEX(VeicModelo,MATCH($C504,VeicPlaca,0)),""))</f>
        <v>0</v>
      </c>
      <c r="F504" s="28"/>
      <c r="G504" s="13"/>
      <c r="H504" s="13"/>
      <c r="I504" s="13"/>
      <c r="J504" s="29"/>
      <c r="K504" s="19"/>
      <c r="L504" s="19"/>
      <c r="M504" s="25"/>
      <c r="N504" s="13"/>
      <c r="O504" s="19"/>
      <c r="P504" s="27">
        <f>IF($A504="","",N($J504)*ValorHora)</f>
        <v>0</v>
      </c>
      <c r="Q504" s="27">
        <f>IF($A504="","",SUMIFS(ItTotal,ItOS,$A504))</f>
        <v>0</v>
      </c>
      <c r="R504" s="30">
        <f>IF($A504="","",$P504+$Q504+N($K504)-N($L504))</f>
        <v>0</v>
      </c>
      <c r="S504" s="27">
        <f>IF($A504="","",SUMIFS(ItCusto,ItOS,$A504))</f>
        <v>0</v>
      </c>
      <c r="T504" s="27">
        <f>IF($A504="","",$P504*ComMec)</f>
        <v>0</v>
      </c>
      <c r="U504" s="21">
        <f>IF($A504="","",$R504-$S504-$T504-N($K504))</f>
        <v>0</v>
      </c>
      <c r="V504" s="31">
        <f>IF(OR($A504="",N($R504)&lt;=0),"",$U504/$R504)</f>
        <v>0</v>
      </c>
      <c r="W504" s="27">
        <f>IF($A504="","",IF(OR($I504="Finalizado",$I504="Entregue"),MAX(0,$R504-N($O504)),0))</f>
        <v>0</v>
      </c>
      <c r="X504" s="32">
        <f>IF(OR($A504="",$B504=""),"",IF(OR($I504="Entregue",$I504="Cancelada"),"",Hoje-$B504))</f>
        <v>0</v>
      </c>
      <c r="Y504" s="24">
        <f>IF($A504="","",IF(AND(OR($I504="Aprovado",$I504="Em execução",$I504="Aguardando peça"),N($X504)&gt;PrazoMax),"ATRASADA",IF(AND(OR($I504="Finalizado",$I504="Entregue"),$W504&gt;0.005),"Cobrar",IF($I504="Orçamento","Aguardando aprovação",""))))</f>
        <v>0</v>
      </c>
      <c r="Z504" s="33">
        <f>IF(AND($I504="Entregue",$M504&lt;&gt;""),DATE(YEAR($M504),MONTH($M504),1),"")</f>
        <v>0</v>
      </c>
      <c r="AA504" s="34">
        <f>IF(AND($C504&lt;&gt;"",$C504=HistPlaca),COUNTIF($C$5:$C504,HistPlaca),"")</f>
        <v>0</v>
      </c>
    </row>
    <row r="505" spans="1:27">
      <c r="A505" s="17"/>
      <c r="B505" s="25"/>
      <c r="C505" s="13"/>
      <c r="D505" s="26">
        <f>IF($C505="","",IFERROR(INDEX(VeicCli,MATCH($C505,VeicPlaca,0)),"Placa não cadastrada"))</f>
        <v>0</v>
      </c>
      <c r="E505" s="26">
        <f>IF($C505="","",IFERROR(INDEX(VeicModelo,MATCH($C505,VeicPlaca,0)),""))</f>
        <v>0</v>
      </c>
      <c r="F505" s="28"/>
      <c r="G505" s="13"/>
      <c r="H505" s="13"/>
      <c r="I505" s="13"/>
      <c r="J505" s="29"/>
      <c r="K505" s="19"/>
      <c r="L505" s="19"/>
      <c r="M505" s="25"/>
      <c r="N505" s="13"/>
      <c r="O505" s="19"/>
      <c r="P505" s="27">
        <f>IF($A505="","",N($J505)*ValorHora)</f>
        <v>0</v>
      </c>
      <c r="Q505" s="27">
        <f>IF($A505="","",SUMIFS(ItTotal,ItOS,$A505))</f>
        <v>0</v>
      </c>
      <c r="R505" s="30">
        <f>IF($A505="","",$P505+$Q505+N($K505)-N($L505))</f>
        <v>0</v>
      </c>
      <c r="S505" s="27">
        <f>IF($A505="","",SUMIFS(ItCusto,ItOS,$A505))</f>
        <v>0</v>
      </c>
      <c r="T505" s="27">
        <f>IF($A505="","",$P505*ComMec)</f>
        <v>0</v>
      </c>
      <c r="U505" s="21">
        <f>IF($A505="","",$R505-$S505-$T505-N($K505))</f>
        <v>0</v>
      </c>
      <c r="V505" s="31">
        <f>IF(OR($A505="",N($R505)&lt;=0),"",$U505/$R505)</f>
        <v>0</v>
      </c>
      <c r="W505" s="27">
        <f>IF($A505="","",IF(OR($I505="Finalizado",$I505="Entregue"),MAX(0,$R505-N($O505)),0))</f>
        <v>0</v>
      </c>
      <c r="X505" s="32">
        <f>IF(OR($A505="",$B505=""),"",IF(OR($I505="Entregue",$I505="Cancelada"),"",Hoje-$B505))</f>
        <v>0</v>
      </c>
      <c r="Y505" s="24">
        <f>IF($A505="","",IF(AND(OR($I505="Aprovado",$I505="Em execução",$I505="Aguardando peça"),N($X505)&gt;PrazoMax),"ATRASADA",IF(AND(OR($I505="Finalizado",$I505="Entregue"),$W505&gt;0.005),"Cobrar",IF($I505="Orçamento","Aguardando aprovação",""))))</f>
        <v>0</v>
      </c>
      <c r="Z505" s="33">
        <f>IF(AND($I505="Entregue",$M505&lt;&gt;""),DATE(YEAR($M505),MONTH($M505),1),"")</f>
        <v>0</v>
      </c>
      <c r="AA505" s="34">
        <f>IF(AND($C505&lt;&gt;"",$C505=HistPlaca),COUNTIF($C$5:$C505,HistPlaca),"")</f>
        <v>0</v>
      </c>
    </row>
    <row r="506" spans="1:27">
      <c r="A506" s="17"/>
      <c r="B506" s="25"/>
      <c r="C506" s="13"/>
      <c r="D506" s="26">
        <f>IF($C506="","",IFERROR(INDEX(VeicCli,MATCH($C506,VeicPlaca,0)),"Placa não cadastrada"))</f>
        <v>0</v>
      </c>
      <c r="E506" s="26">
        <f>IF($C506="","",IFERROR(INDEX(VeicModelo,MATCH($C506,VeicPlaca,0)),""))</f>
        <v>0</v>
      </c>
      <c r="F506" s="28"/>
      <c r="G506" s="13"/>
      <c r="H506" s="13"/>
      <c r="I506" s="13"/>
      <c r="J506" s="29"/>
      <c r="K506" s="19"/>
      <c r="L506" s="19"/>
      <c r="M506" s="25"/>
      <c r="N506" s="13"/>
      <c r="O506" s="19"/>
      <c r="P506" s="27">
        <f>IF($A506="","",N($J506)*ValorHora)</f>
        <v>0</v>
      </c>
      <c r="Q506" s="27">
        <f>IF($A506="","",SUMIFS(ItTotal,ItOS,$A506))</f>
        <v>0</v>
      </c>
      <c r="R506" s="30">
        <f>IF($A506="","",$P506+$Q506+N($K506)-N($L506))</f>
        <v>0</v>
      </c>
      <c r="S506" s="27">
        <f>IF($A506="","",SUMIFS(ItCusto,ItOS,$A506))</f>
        <v>0</v>
      </c>
      <c r="T506" s="27">
        <f>IF($A506="","",$P506*ComMec)</f>
        <v>0</v>
      </c>
      <c r="U506" s="21">
        <f>IF($A506="","",$R506-$S506-$T506-N($K506))</f>
        <v>0</v>
      </c>
      <c r="V506" s="31">
        <f>IF(OR($A506="",N($R506)&lt;=0),"",$U506/$R506)</f>
        <v>0</v>
      </c>
      <c r="W506" s="27">
        <f>IF($A506="","",IF(OR($I506="Finalizado",$I506="Entregue"),MAX(0,$R506-N($O506)),0))</f>
        <v>0</v>
      </c>
      <c r="X506" s="32">
        <f>IF(OR($A506="",$B506=""),"",IF(OR($I506="Entregue",$I506="Cancelada"),"",Hoje-$B506))</f>
        <v>0</v>
      </c>
      <c r="Y506" s="24">
        <f>IF($A506="","",IF(AND(OR($I506="Aprovado",$I506="Em execução",$I506="Aguardando peça"),N($X506)&gt;PrazoMax),"ATRASADA",IF(AND(OR($I506="Finalizado",$I506="Entregue"),$W506&gt;0.005),"Cobrar",IF($I506="Orçamento","Aguardando aprovação",""))))</f>
        <v>0</v>
      </c>
      <c r="Z506" s="33">
        <f>IF(AND($I506="Entregue",$M506&lt;&gt;""),DATE(YEAR($M506),MONTH($M506),1),"")</f>
        <v>0</v>
      </c>
      <c r="AA506" s="34">
        <f>IF(AND($C506&lt;&gt;"",$C506=HistPlaca),COUNTIF($C$5:$C506,HistPlaca),"")</f>
        <v>0</v>
      </c>
    </row>
    <row r="507" spans="1:27">
      <c r="A507" s="17"/>
      <c r="B507" s="25"/>
      <c r="C507" s="13"/>
      <c r="D507" s="26">
        <f>IF($C507="","",IFERROR(INDEX(VeicCli,MATCH($C507,VeicPlaca,0)),"Placa não cadastrada"))</f>
        <v>0</v>
      </c>
      <c r="E507" s="26">
        <f>IF($C507="","",IFERROR(INDEX(VeicModelo,MATCH($C507,VeicPlaca,0)),""))</f>
        <v>0</v>
      </c>
      <c r="F507" s="28"/>
      <c r="G507" s="13"/>
      <c r="H507" s="13"/>
      <c r="I507" s="13"/>
      <c r="J507" s="29"/>
      <c r="K507" s="19"/>
      <c r="L507" s="19"/>
      <c r="M507" s="25"/>
      <c r="N507" s="13"/>
      <c r="O507" s="19"/>
      <c r="P507" s="27">
        <f>IF($A507="","",N($J507)*ValorHora)</f>
        <v>0</v>
      </c>
      <c r="Q507" s="27">
        <f>IF($A507="","",SUMIFS(ItTotal,ItOS,$A507))</f>
        <v>0</v>
      </c>
      <c r="R507" s="30">
        <f>IF($A507="","",$P507+$Q507+N($K507)-N($L507))</f>
        <v>0</v>
      </c>
      <c r="S507" s="27">
        <f>IF($A507="","",SUMIFS(ItCusto,ItOS,$A507))</f>
        <v>0</v>
      </c>
      <c r="T507" s="27">
        <f>IF($A507="","",$P507*ComMec)</f>
        <v>0</v>
      </c>
      <c r="U507" s="21">
        <f>IF($A507="","",$R507-$S507-$T507-N($K507))</f>
        <v>0</v>
      </c>
      <c r="V507" s="31">
        <f>IF(OR($A507="",N($R507)&lt;=0),"",$U507/$R507)</f>
        <v>0</v>
      </c>
      <c r="W507" s="27">
        <f>IF($A507="","",IF(OR($I507="Finalizado",$I507="Entregue"),MAX(0,$R507-N($O507)),0))</f>
        <v>0</v>
      </c>
      <c r="X507" s="32">
        <f>IF(OR($A507="",$B507=""),"",IF(OR($I507="Entregue",$I507="Cancelada"),"",Hoje-$B507))</f>
        <v>0</v>
      </c>
      <c r="Y507" s="24">
        <f>IF($A507="","",IF(AND(OR($I507="Aprovado",$I507="Em execução",$I507="Aguardando peça"),N($X507)&gt;PrazoMax),"ATRASADA",IF(AND(OR($I507="Finalizado",$I507="Entregue"),$W507&gt;0.005),"Cobrar",IF($I507="Orçamento","Aguardando aprovação",""))))</f>
        <v>0</v>
      </c>
      <c r="Z507" s="33">
        <f>IF(AND($I507="Entregue",$M507&lt;&gt;""),DATE(YEAR($M507),MONTH($M507),1),"")</f>
        <v>0</v>
      </c>
      <c r="AA507" s="34">
        <f>IF(AND($C507&lt;&gt;"",$C507=HistPlaca),COUNTIF($C$5:$C507,HistPlaca),"")</f>
        <v>0</v>
      </c>
    </row>
    <row r="508" spans="1:27">
      <c r="A508" s="17"/>
      <c r="B508" s="25"/>
      <c r="C508" s="13"/>
      <c r="D508" s="26">
        <f>IF($C508="","",IFERROR(INDEX(VeicCli,MATCH($C508,VeicPlaca,0)),"Placa não cadastrada"))</f>
        <v>0</v>
      </c>
      <c r="E508" s="26">
        <f>IF($C508="","",IFERROR(INDEX(VeicModelo,MATCH($C508,VeicPlaca,0)),""))</f>
        <v>0</v>
      </c>
      <c r="F508" s="28"/>
      <c r="G508" s="13"/>
      <c r="H508" s="13"/>
      <c r="I508" s="13"/>
      <c r="J508" s="29"/>
      <c r="K508" s="19"/>
      <c r="L508" s="19"/>
      <c r="M508" s="25"/>
      <c r="N508" s="13"/>
      <c r="O508" s="19"/>
      <c r="P508" s="27">
        <f>IF($A508="","",N($J508)*ValorHora)</f>
        <v>0</v>
      </c>
      <c r="Q508" s="27">
        <f>IF($A508="","",SUMIFS(ItTotal,ItOS,$A508))</f>
        <v>0</v>
      </c>
      <c r="R508" s="30">
        <f>IF($A508="","",$P508+$Q508+N($K508)-N($L508))</f>
        <v>0</v>
      </c>
      <c r="S508" s="27">
        <f>IF($A508="","",SUMIFS(ItCusto,ItOS,$A508))</f>
        <v>0</v>
      </c>
      <c r="T508" s="27">
        <f>IF($A508="","",$P508*ComMec)</f>
        <v>0</v>
      </c>
      <c r="U508" s="21">
        <f>IF($A508="","",$R508-$S508-$T508-N($K508))</f>
        <v>0</v>
      </c>
      <c r="V508" s="31">
        <f>IF(OR($A508="",N($R508)&lt;=0),"",$U508/$R508)</f>
        <v>0</v>
      </c>
      <c r="W508" s="27">
        <f>IF($A508="","",IF(OR($I508="Finalizado",$I508="Entregue"),MAX(0,$R508-N($O508)),0))</f>
        <v>0</v>
      </c>
      <c r="X508" s="32">
        <f>IF(OR($A508="",$B508=""),"",IF(OR($I508="Entregue",$I508="Cancelada"),"",Hoje-$B508))</f>
        <v>0</v>
      </c>
      <c r="Y508" s="24">
        <f>IF($A508="","",IF(AND(OR($I508="Aprovado",$I508="Em execução",$I508="Aguardando peça"),N($X508)&gt;PrazoMax),"ATRASADA",IF(AND(OR($I508="Finalizado",$I508="Entregue"),$W508&gt;0.005),"Cobrar",IF($I508="Orçamento","Aguardando aprovação",""))))</f>
        <v>0</v>
      </c>
      <c r="Z508" s="33">
        <f>IF(AND($I508="Entregue",$M508&lt;&gt;""),DATE(YEAR($M508),MONTH($M508),1),"")</f>
        <v>0</v>
      </c>
      <c r="AA508" s="34">
        <f>IF(AND($C508&lt;&gt;"",$C508=HistPlaca),COUNTIF($C$5:$C508,HistPlaca),"")</f>
        <v>0</v>
      </c>
    </row>
    <row r="509" spans="1:27">
      <c r="A509" s="17"/>
      <c r="B509" s="25"/>
      <c r="C509" s="13"/>
      <c r="D509" s="26">
        <f>IF($C509="","",IFERROR(INDEX(VeicCli,MATCH($C509,VeicPlaca,0)),"Placa não cadastrada"))</f>
        <v>0</v>
      </c>
      <c r="E509" s="26">
        <f>IF($C509="","",IFERROR(INDEX(VeicModelo,MATCH($C509,VeicPlaca,0)),""))</f>
        <v>0</v>
      </c>
      <c r="F509" s="28"/>
      <c r="G509" s="13"/>
      <c r="H509" s="13"/>
      <c r="I509" s="13"/>
      <c r="J509" s="29"/>
      <c r="K509" s="19"/>
      <c r="L509" s="19"/>
      <c r="M509" s="25"/>
      <c r="N509" s="13"/>
      <c r="O509" s="19"/>
      <c r="P509" s="27">
        <f>IF($A509="","",N($J509)*ValorHora)</f>
        <v>0</v>
      </c>
      <c r="Q509" s="27">
        <f>IF($A509="","",SUMIFS(ItTotal,ItOS,$A509))</f>
        <v>0</v>
      </c>
      <c r="R509" s="30">
        <f>IF($A509="","",$P509+$Q509+N($K509)-N($L509))</f>
        <v>0</v>
      </c>
      <c r="S509" s="27">
        <f>IF($A509="","",SUMIFS(ItCusto,ItOS,$A509))</f>
        <v>0</v>
      </c>
      <c r="T509" s="27">
        <f>IF($A509="","",$P509*ComMec)</f>
        <v>0</v>
      </c>
      <c r="U509" s="21">
        <f>IF($A509="","",$R509-$S509-$T509-N($K509))</f>
        <v>0</v>
      </c>
      <c r="V509" s="31">
        <f>IF(OR($A509="",N($R509)&lt;=0),"",$U509/$R509)</f>
        <v>0</v>
      </c>
      <c r="W509" s="27">
        <f>IF($A509="","",IF(OR($I509="Finalizado",$I509="Entregue"),MAX(0,$R509-N($O509)),0))</f>
        <v>0</v>
      </c>
      <c r="X509" s="32">
        <f>IF(OR($A509="",$B509=""),"",IF(OR($I509="Entregue",$I509="Cancelada"),"",Hoje-$B509))</f>
        <v>0</v>
      </c>
      <c r="Y509" s="24">
        <f>IF($A509="","",IF(AND(OR($I509="Aprovado",$I509="Em execução",$I509="Aguardando peça"),N($X509)&gt;PrazoMax),"ATRASADA",IF(AND(OR($I509="Finalizado",$I509="Entregue"),$W509&gt;0.005),"Cobrar",IF($I509="Orçamento","Aguardando aprovação",""))))</f>
        <v>0</v>
      </c>
      <c r="Z509" s="33">
        <f>IF(AND($I509="Entregue",$M509&lt;&gt;""),DATE(YEAR($M509),MONTH($M509),1),"")</f>
        <v>0</v>
      </c>
      <c r="AA509" s="34">
        <f>IF(AND($C509&lt;&gt;"",$C509=HistPlaca),COUNTIF($C$5:$C509,HistPlaca),"")</f>
        <v>0</v>
      </c>
    </row>
    <row r="510" spans="1:27">
      <c r="A510" s="17"/>
      <c r="B510" s="25"/>
      <c r="C510" s="13"/>
      <c r="D510" s="26">
        <f>IF($C510="","",IFERROR(INDEX(VeicCli,MATCH($C510,VeicPlaca,0)),"Placa não cadastrada"))</f>
        <v>0</v>
      </c>
      <c r="E510" s="26">
        <f>IF($C510="","",IFERROR(INDEX(VeicModelo,MATCH($C510,VeicPlaca,0)),""))</f>
        <v>0</v>
      </c>
      <c r="F510" s="28"/>
      <c r="G510" s="13"/>
      <c r="H510" s="13"/>
      <c r="I510" s="13"/>
      <c r="J510" s="29"/>
      <c r="K510" s="19"/>
      <c r="L510" s="19"/>
      <c r="M510" s="25"/>
      <c r="N510" s="13"/>
      <c r="O510" s="19"/>
      <c r="P510" s="27">
        <f>IF($A510="","",N($J510)*ValorHora)</f>
        <v>0</v>
      </c>
      <c r="Q510" s="27">
        <f>IF($A510="","",SUMIFS(ItTotal,ItOS,$A510))</f>
        <v>0</v>
      </c>
      <c r="R510" s="30">
        <f>IF($A510="","",$P510+$Q510+N($K510)-N($L510))</f>
        <v>0</v>
      </c>
      <c r="S510" s="27">
        <f>IF($A510="","",SUMIFS(ItCusto,ItOS,$A510))</f>
        <v>0</v>
      </c>
      <c r="T510" s="27">
        <f>IF($A510="","",$P510*ComMec)</f>
        <v>0</v>
      </c>
      <c r="U510" s="21">
        <f>IF($A510="","",$R510-$S510-$T510-N($K510))</f>
        <v>0</v>
      </c>
      <c r="V510" s="31">
        <f>IF(OR($A510="",N($R510)&lt;=0),"",$U510/$R510)</f>
        <v>0</v>
      </c>
      <c r="W510" s="27">
        <f>IF($A510="","",IF(OR($I510="Finalizado",$I510="Entregue"),MAX(0,$R510-N($O510)),0))</f>
        <v>0</v>
      </c>
      <c r="X510" s="32">
        <f>IF(OR($A510="",$B510=""),"",IF(OR($I510="Entregue",$I510="Cancelada"),"",Hoje-$B510))</f>
        <v>0</v>
      </c>
      <c r="Y510" s="24">
        <f>IF($A510="","",IF(AND(OR($I510="Aprovado",$I510="Em execução",$I510="Aguardando peça"),N($X510)&gt;PrazoMax),"ATRASADA",IF(AND(OR($I510="Finalizado",$I510="Entregue"),$W510&gt;0.005),"Cobrar",IF($I510="Orçamento","Aguardando aprovação",""))))</f>
        <v>0</v>
      </c>
      <c r="Z510" s="33">
        <f>IF(AND($I510="Entregue",$M510&lt;&gt;""),DATE(YEAR($M510),MONTH($M510),1),"")</f>
        <v>0</v>
      </c>
      <c r="AA510" s="34">
        <f>IF(AND($C510&lt;&gt;"",$C510=HistPlaca),COUNTIF($C$5:$C510,HistPlaca),"")</f>
        <v>0</v>
      </c>
    </row>
    <row r="511" spans="1:27">
      <c r="A511" s="17"/>
      <c r="B511" s="25"/>
      <c r="C511" s="13"/>
      <c r="D511" s="26">
        <f>IF($C511="","",IFERROR(INDEX(VeicCli,MATCH($C511,VeicPlaca,0)),"Placa não cadastrada"))</f>
        <v>0</v>
      </c>
      <c r="E511" s="26">
        <f>IF($C511="","",IFERROR(INDEX(VeicModelo,MATCH($C511,VeicPlaca,0)),""))</f>
        <v>0</v>
      </c>
      <c r="F511" s="28"/>
      <c r="G511" s="13"/>
      <c r="H511" s="13"/>
      <c r="I511" s="13"/>
      <c r="J511" s="29"/>
      <c r="K511" s="19"/>
      <c r="L511" s="19"/>
      <c r="M511" s="25"/>
      <c r="N511" s="13"/>
      <c r="O511" s="19"/>
      <c r="P511" s="27">
        <f>IF($A511="","",N($J511)*ValorHora)</f>
        <v>0</v>
      </c>
      <c r="Q511" s="27">
        <f>IF($A511="","",SUMIFS(ItTotal,ItOS,$A511))</f>
        <v>0</v>
      </c>
      <c r="R511" s="30">
        <f>IF($A511="","",$P511+$Q511+N($K511)-N($L511))</f>
        <v>0</v>
      </c>
      <c r="S511" s="27">
        <f>IF($A511="","",SUMIFS(ItCusto,ItOS,$A511))</f>
        <v>0</v>
      </c>
      <c r="T511" s="27">
        <f>IF($A511="","",$P511*ComMec)</f>
        <v>0</v>
      </c>
      <c r="U511" s="21">
        <f>IF($A511="","",$R511-$S511-$T511-N($K511))</f>
        <v>0</v>
      </c>
      <c r="V511" s="31">
        <f>IF(OR($A511="",N($R511)&lt;=0),"",$U511/$R511)</f>
        <v>0</v>
      </c>
      <c r="W511" s="27">
        <f>IF($A511="","",IF(OR($I511="Finalizado",$I511="Entregue"),MAX(0,$R511-N($O511)),0))</f>
        <v>0</v>
      </c>
      <c r="X511" s="32">
        <f>IF(OR($A511="",$B511=""),"",IF(OR($I511="Entregue",$I511="Cancelada"),"",Hoje-$B511))</f>
        <v>0</v>
      </c>
      <c r="Y511" s="24">
        <f>IF($A511="","",IF(AND(OR($I511="Aprovado",$I511="Em execução",$I511="Aguardando peça"),N($X511)&gt;PrazoMax),"ATRASADA",IF(AND(OR($I511="Finalizado",$I511="Entregue"),$W511&gt;0.005),"Cobrar",IF($I511="Orçamento","Aguardando aprovação",""))))</f>
        <v>0</v>
      </c>
      <c r="Z511" s="33">
        <f>IF(AND($I511="Entregue",$M511&lt;&gt;""),DATE(YEAR($M511),MONTH($M511),1),"")</f>
        <v>0</v>
      </c>
      <c r="AA511" s="34">
        <f>IF(AND($C511&lt;&gt;"",$C511=HistPlaca),COUNTIF($C$5:$C511,HistPlaca),"")</f>
        <v>0</v>
      </c>
    </row>
    <row r="512" spans="1:27">
      <c r="A512" s="17"/>
      <c r="B512" s="25"/>
      <c r="C512" s="13"/>
      <c r="D512" s="26">
        <f>IF($C512="","",IFERROR(INDEX(VeicCli,MATCH($C512,VeicPlaca,0)),"Placa não cadastrada"))</f>
        <v>0</v>
      </c>
      <c r="E512" s="26">
        <f>IF($C512="","",IFERROR(INDEX(VeicModelo,MATCH($C512,VeicPlaca,0)),""))</f>
        <v>0</v>
      </c>
      <c r="F512" s="28"/>
      <c r="G512" s="13"/>
      <c r="H512" s="13"/>
      <c r="I512" s="13"/>
      <c r="J512" s="29"/>
      <c r="K512" s="19"/>
      <c r="L512" s="19"/>
      <c r="M512" s="25"/>
      <c r="N512" s="13"/>
      <c r="O512" s="19"/>
      <c r="P512" s="27">
        <f>IF($A512="","",N($J512)*ValorHora)</f>
        <v>0</v>
      </c>
      <c r="Q512" s="27">
        <f>IF($A512="","",SUMIFS(ItTotal,ItOS,$A512))</f>
        <v>0</v>
      </c>
      <c r="R512" s="30">
        <f>IF($A512="","",$P512+$Q512+N($K512)-N($L512))</f>
        <v>0</v>
      </c>
      <c r="S512" s="27">
        <f>IF($A512="","",SUMIFS(ItCusto,ItOS,$A512))</f>
        <v>0</v>
      </c>
      <c r="T512" s="27">
        <f>IF($A512="","",$P512*ComMec)</f>
        <v>0</v>
      </c>
      <c r="U512" s="21">
        <f>IF($A512="","",$R512-$S512-$T512-N($K512))</f>
        <v>0</v>
      </c>
      <c r="V512" s="31">
        <f>IF(OR($A512="",N($R512)&lt;=0),"",$U512/$R512)</f>
        <v>0</v>
      </c>
      <c r="W512" s="27">
        <f>IF($A512="","",IF(OR($I512="Finalizado",$I512="Entregue"),MAX(0,$R512-N($O512)),0))</f>
        <v>0</v>
      </c>
      <c r="X512" s="32">
        <f>IF(OR($A512="",$B512=""),"",IF(OR($I512="Entregue",$I512="Cancelada"),"",Hoje-$B512))</f>
        <v>0</v>
      </c>
      <c r="Y512" s="24">
        <f>IF($A512="","",IF(AND(OR($I512="Aprovado",$I512="Em execução",$I512="Aguardando peça"),N($X512)&gt;PrazoMax),"ATRASADA",IF(AND(OR($I512="Finalizado",$I512="Entregue"),$W512&gt;0.005),"Cobrar",IF($I512="Orçamento","Aguardando aprovação",""))))</f>
        <v>0</v>
      </c>
      <c r="Z512" s="33">
        <f>IF(AND($I512="Entregue",$M512&lt;&gt;""),DATE(YEAR($M512),MONTH($M512),1),"")</f>
        <v>0</v>
      </c>
      <c r="AA512" s="34">
        <f>IF(AND($C512&lt;&gt;"",$C512=HistPlaca),COUNTIF($C$5:$C512,HistPlaca),"")</f>
        <v>0</v>
      </c>
    </row>
    <row r="513" spans="1:27">
      <c r="A513" s="17"/>
      <c r="B513" s="25"/>
      <c r="C513" s="13"/>
      <c r="D513" s="26">
        <f>IF($C513="","",IFERROR(INDEX(VeicCli,MATCH($C513,VeicPlaca,0)),"Placa não cadastrada"))</f>
        <v>0</v>
      </c>
      <c r="E513" s="26">
        <f>IF($C513="","",IFERROR(INDEX(VeicModelo,MATCH($C513,VeicPlaca,0)),""))</f>
        <v>0</v>
      </c>
      <c r="F513" s="28"/>
      <c r="G513" s="13"/>
      <c r="H513" s="13"/>
      <c r="I513" s="13"/>
      <c r="J513" s="29"/>
      <c r="K513" s="19"/>
      <c r="L513" s="19"/>
      <c r="M513" s="25"/>
      <c r="N513" s="13"/>
      <c r="O513" s="19"/>
      <c r="P513" s="27">
        <f>IF($A513="","",N($J513)*ValorHora)</f>
        <v>0</v>
      </c>
      <c r="Q513" s="27">
        <f>IF($A513="","",SUMIFS(ItTotal,ItOS,$A513))</f>
        <v>0</v>
      </c>
      <c r="R513" s="30">
        <f>IF($A513="","",$P513+$Q513+N($K513)-N($L513))</f>
        <v>0</v>
      </c>
      <c r="S513" s="27">
        <f>IF($A513="","",SUMIFS(ItCusto,ItOS,$A513))</f>
        <v>0</v>
      </c>
      <c r="T513" s="27">
        <f>IF($A513="","",$P513*ComMec)</f>
        <v>0</v>
      </c>
      <c r="U513" s="21">
        <f>IF($A513="","",$R513-$S513-$T513-N($K513))</f>
        <v>0</v>
      </c>
      <c r="V513" s="31">
        <f>IF(OR($A513="",N($R513)&lt;=0),"",$U513/$R513)</f>
        <v>0</v>
      </c>
      <c r="W513" s="27">
        <f>IF($A513="","",IF(OR($I513="Finalizado",$I513="Entregue"),MAX(0,$R513-N($O513)),0))</f>
        <v>0</v>
      </c>
      <c r="X513" s="32">
        <f>IF(OR($A513="",$B513=""),"",IF(OR($I513="Entregue",$I513="Cancelada"),"",Hoje-$B513))</f>
        <v>0</v>
      </c>
      <c r="Y513" s="24">
        <f>IF($A513="","",IF(AND(OR($I513="Aprovado",$I513="Em execução",$I513="Aguardando peça"),N($X513)&gt;PrazoMax),"ATRASADA",IF(AND(OR($I513="Finalizado",$I513="Entregue"),$W513&gt;0.005),"Cobrar",IF($I513="Orçamento","Aguardando aprovação",""))))</f>
        <v>0</v>
      </c>
      <c r="Z513" s="33">
        <f>IF(AND($I513="Entregue",$M513&lt;&gt;""),DATE(YEAR($M513),MONTH($M513),1),"")</f>
        <v>0</v>
      </c>
      <c r="AA513" s="34">
        <f>IF(AND($C513&lt;&gt;"",$C513=HistPlaca),COUNTIF($C$5:$C513,HistPlaca),"")</f>
        <v>0</v>
      </c>
    </row>
    <row r="514" spans="1:27">
      <c r="A514" s="17"/>
      <c r="B514" s="25"/>
      <c r="C514" s="13"/>
      <c r="D514" s="26">
        <f>IF($C514="","",IFERROR(INDEX(VeicCli,MATCH($C514,VeicPlaca,0)),"Placa não cadastrada"))</f>
        <v>0</v>
      </c>
      <c r="E514" s="26">
        <f>IF($C514="","",IFERROR(INDEX(VeicModelo,MATCH($C514,VeicPlaca,0)),""))</f>
        <v>0</v>
      </c>
      <c r="F514" s="28"/>
      <c r="G514" s="13"/>
      <c r="H514" s="13"/>
      <c r="I514" s="13"/>
      <c r="J514" s="29"/>
      <c r="K514" s="19"/>
      <c r="L514" s="19"/>
      <c r="M514" s="25"/>
      <c r="N514" s="13"/>
      <c r="O514" s="19"/>
      <c r="P514" s="27">
        <f>IF($A514="","",N($J514)*ValorHora)</f>
        <v>0</v>
      </c>
      <c r="Q514" s="27">
        <f>IF($A514="","",SUMIFS(ItTotal,ItOS,$A514))</f>
        <v>0</v>
      </c>
      <c r="R514" s="30">
        <f>IF($A514="","",$P514+$Q514+N($K514)-N($L514))</f>
        <v>0</v>
      </c>
      <c r="S514" s="27">
        <f>IF($A514="","",SUMIFS(ItCusto,ItOS,$A514))</f>
        <v>0</v>
      </c>
      <c r="T514" s="27">
        <f>IF($A514="","",$P514*ComMec)</f>
        <v>0</v>
      </c>
      <c r="U514" s="21">
        <f>IF($A514="","",$R514-$S514-$T514-N($K514))</f>
        <v>0</v>
      </c>
      <c r="V514" s="31">
        <f>IF(OR($A514="",N($R514)&lt;=0),"",$U514/$R514)</f>
        <v>0</v>
      </c>
      <c r="W514" s="27">
        <f>IF($A514="","",IF(OR($I514="Finalizado",$I514="Entregue"),MAX(0,$R514-N($O514)),0))</f>
        <v>0</v>
      </c>
      <c r="X514" s="32">
        <f>IF(OR($A514="",$B514=""),"",IF(OR($I514="Entregue",$I514="Cancelada"),"",Hoje-$B514))</f>
        <v>0</v>
      </c>
      <c r="Y514" s="24">
        <f>IF($A514="","",IF(AND(OR($I514="Aprovado",$I514="Em execução",$I514="Aguardando peça"),N($X514)&gt;PrazoMax),"ATRASADA",IF(AND(OR($I514="Finalizado",$I514="Entregue"),$W514&gt;0.005),"Cobrar",IF($I514="Orçamento","Aguardando aprovação",""))))</f>
        <v>0</v>
      </c>
      <c r="Z514" s="33">
        <f>IF(AND($I514="Entregue",$M514&lt;&gt;""),DATE(YEAR($M514),MONTH($M514),1),"")</f>
        <v>0</v>
      </c>
      <c r="AA514" s="34">
        <f>IF(AND($C514&lt;&gt;"",$C514=HistPlaca),COUNTIF($C$5:$C514,HistPlaca),"")</f>
        <v>0</v>
      </c>
    </row>
    <row r="515" spans="1:27">
      <c r="A515" s="17"/>
      <c r="B515" s="25"/>
      <c r="C515" s="13"/>
      <c r="D515" s="26">
        <f>IF($C515="","",IFERROR(INDEX(VeicCli,MATCH($C515,VeicPlaca,0)),"Placa não cadastrada"))</f>
        <v>0</v>
      </c>
      <c r="E515" s="26">
        <f>IF($C515="","",IFERROR(INDEX(VeicModelo,MATCH($C515,VeicPlaca,0)),""))</f>
        <v>0</v>
      </c>
      <c r="F515" s="28"/>
      <c r="G515" s="13"/>
      <c r="H515" s="13"/>
      <c r="I515" s="13"/>
      <c r="J515" s="29"/>
      <c r="K515" s="19"/>
      <c r="L515" s="19"/>
      <c r="M515" s="25"/>
      <c r="N515" s="13"/>
      <c r="O515" s="19"/>
      <c r="P515" s="27">
        <f>IF($A515="","",N($J515)*ValorHora)</f>
        <v>0</v>
      </c>
      <c r="Q515" s="27">
        <f>IF($A515="","",SUMIFS(ItTotal,ItOS,$A515))</f>
        <v>0</v>
      </c>
      <c r="R515" s="30">
        <f>IF($A515="","",$P515+$Q515+N($K515)-N($L515))</f>
        <v>0</v>
      </c>
      <c r="S515" s="27">
        <f>IF($A515="","",SUMIFS(ItCusto,ItOS,$A515))</f>
        <v>0</v>
      </c>
      <c r="T515" s="27">
        <f>IF($A515="","",$P515*ComMec)</f>
        <v>0</v>
      </c>
      <c r="U515" s="21">
        <f>IF($A515="","",$R515-$S515-$T515-N($K515))</f>
        <v>0</v>
      </c>
      <c r="V515" s="31">
        <f>IF(OR($A515="",N($R515)&lt;=0),"",$U515/$R515)</f>
        <v>0</v>
      </c>
      <c r="W515" s="27">
        <f>IF($A515="","",IF(OR($I515="Finalizado",$I515="Entregue"),MAX(0,$R515-N($O515)),0))</f>
        <v>0</v>
      </c>
      <c r="X515" s="32">
        <f>IF(OR($A515="",$B515=""),"",IF(OR($I515="Entregue",$I515="Cancelada"),"",Hoje-$B515))</f>
        <v>0</v>
      </c>
      <c r="Y515" s="24">
        <f>IF($A515="","",IF(AND(OR($I515="Aprovado",$I515="Em execução",$I515="Aguardando peça"),N($X515)&gt;PrazoMax),"ATRASADA",IF(AND(OR($I515="Finalizado",$I515="Entregue"),$W515&gt;0.005),"Cobrar",IF($I515="Orçamento","Aguardando aprovação",""))))</f>
        <v>0</v>
      </c>
      <c r="Z515" s="33">
        <f>IF(AND($I515="Entregue",$M515&lt;&gt;""),DATE(YEAR($M515),MONTH($M515),1),"")</f>
        <v>0</v>
      </c>
      <c r="AA515" s="34">
        <f>IF(AND($C515&lt;&gt;"",$C515=HistPlaca),COUNTIF($C$5:$C515,HistPlaca),"")</f>
        <v>0</v>
      </c>
    </row>
    <row r="516" spans="1:27">
      <c r="A516" s="17"/>
      <c r="B516" s="25"/>
      <c r="C516" s="13"/>
      <c r="D516" s="26">
        <f>IF($C516="","",IFERROR(INDEX(VeicCli,MATCH($C516,VeicPlaca,0)),"Placa não cadastrada"))</f>
        <v>0</v>
      </c>
      <c r="E516" s="26">
        <f>IF($C516="","",IFERROR(INDEX(VeicModelo,MATCH($C516,VeicPlaca,0)),""))</f>
        <v>0</v>
      </c>
      <c r="F516" s="28"/>
      <c r="G516" s="13"/>
      <c r="H516" s="13"/>
      <c r="I516" s="13"/>
      <c r="J516" s="29"/>
      <c r="K516" s="19"/>
      <c r="L516" s="19"/>
      <c r="M516" s="25"/>
      <c r="N516" s="13"/>
      <c r="O516" s="19"/>
      <c r="P516" s="27">
        <f>IF($A516="","",N($J516)*ValorHora)</f>
        <v>0</v>
      </c>
      <c r="Q516" s="27">
        <f>IF($A516="","",SUMIFS(ItTotal,ItOS,$A516))</f>
        <v>0</v>
      </c>
      <c r="R516" s="30">
        <f>IF($A516="","",$P516+$Q516+N($K516)-N($L516))</f>
        <v>0</v>
      </c>
      <c r="S516" s="27">
        <f>IF($A516="","",SUMIFS(ItCusto,ItOS,$A516))</f>
        <v>0</v>
      </c>
      <c r="T516" s="27">
        <f>IF($A516="","",$P516*ComMec)</f>
        <v>0</v>
      </c>
      <c r="U516" s="21">
        <f>IF($A516="","",$R516-$S516-$T516-N($K516))</f>
        <v>0</v>
      </c>
      <c r="V516" s="31">
        <f>IF(OR($A516="",N($R516)&lt;=0),"",$U516/$R516)</f>
        <v>0</v>
      </c>
      <c r="W516" s="27">
        <f>IF($A516="","",IF(OR($I516="Finalizado",$I516="Entregue"),MAX(0,$R516-N($O516)),0))</f>
        <v>0</v>
      </c>
      <c r="X516" s="32">
        <f>IF(OR($A516="",$B516=""),"",IF(OR($I516="Entregue",$I516="Cancelada"),"",Hoje-$B516))</f>
        <v>0</v>
      </c>
      <c r="Y516" s="24">
        <f>IF($A516="","",IF(AND(OR($I516="Aprovado",$I516="Em execução",$I516="Aguardando peça"),N($X516)&gt;PrazoMax),"ATRASADA",IF(AND(OR($I516="Finalizado",$I516="Entregue"),$W516&gt;0.005),"Cobrar",IF($I516="Orçamento","Aguardando aprovação",""))))</f>
        <v>0</v>
      </c>
      <c r="Z516" s="33">
        <f>IF(AND($I516="Entregue",$M516&lt;&gt;""),DATE(YEAR($M516),MONTH($M516),1),"")</f>
        <v>0</v>
      </c>
      <c r="AA516" s="34">
        <f>IF(AND($C516&lt;&gt;"",$C516=HistPlaca),COUNTIF($C$5:$C516,HistPlaca),"")</f>
        <v>0</v>
      </c>
    </row>
    <row r="517" spans="1:27">
      <c r="A517" s="17"/>
      <c r="B517" s="25"/>
      <c r="C517" s="13"/>
      <c r="D517" s="26">
        <f>IF($C517="","",IFERROR(INDEX(VeicCli,MATCH($C517,VeicPlaca,0)),"Placa não cadastrada"))</f>
        <v>0</v>
      </c>
      <c r="E517" s="26">
        <f>IF($C517="","",IFERROR(INDEX(VeicModelo,MATCH($C517,VeicPlaca,0)),""))</f>
        <v>0</v>
      </c>
      <c r="F517" s="28"/>
      <c r="G517" s="13"/>
      <c r="H517" s="13"/>
      <c r="I517" s="13"/>
      <c r="J517" s="29"/>
      <c r="K517" s="19"/>
      <c r="L517" s="19"/>
      <c r="M517" s="25"/>
      <c r="N517" s="13"/>
      <c r="O517" s="19"/>
      <c r="P517" s="27">
        <f>IF($A517="","",N($J517)*ValorHora)</f>
        <v>0</v>
      </c>
      <c r="Q517" s="27">
        <f>IF($A517="","",SUMIFS(ItTotal,ItOS,$A517))</f>
        <v>0</v>
      </c>
      <c r="R517" s="30">
        <f>IF($A517="","",$P517+$Q517+N($K517)-N($L517))</f>
        <v>0</v>
      </c>
      <c r="S517" s="27">
        <f>IF($A517="","",SUMIFS(ItCusto,ItOS,$A517))</f>
        <v>0</v>
      </c>
      <c r="T517" s="27">
        <f>IF($A517="","",$P517*ComMec)</f>
        <v>0</v>
      </c>
      <c r="U517" s="21">
        <f>IF($A517="","",$R517-$S517-$T517-N($K517))</f>
        <v>0</v>
      </c>
      <c r="V517" s="31">
        <f>IF(OR($A517="",N($R517)&lt;=0),"",$U517/$R517)</f>
        <v>0</v>
      </c>
      <c r="W517" s="27">
        <f>IF($A517="","",IF(OR($I517="Finalizado",$I517="Entregue"),MAX(0,$R517-N($O517)),0))</f>
        <v>0</v>
      </c>
      <c r="X517" s="32">
        <f>IF(OR($A517="",$B517=""),"",IF(OR($I517="Entregue",$I517="Cancelada"),"",Hoje-$B517))</f>
        <v>0</v>
      </c>
      <c r="Y517" s="24">
        <f>IF($A517="","",IF(AND(OR($I517="Aprovado",$I517="Em execução",$I517="Aguardando peça"),N($X517)&gt;PrazoMax),"ATRASADA",IF(AND(OR($I517="Finalizado",$I517="Entregue"),$W517&gt;0.005),"Cobrar",IF($I517="Orçamento","Aguardando aprovação",""))))</f>
        <v>0</v>
      </c>
      <c r="Z517" s="33">
        <f>IF(AND($I517="Entregue",$M517&lt;&gt;""),DATE(YEAR($M517),MONTH($M517),1),"")</f>
        <v>0</v>
      </c>
      <c r="AA517" s="34">
        <f>IF(AND($C517&lt;&gt;"",$C517=HistPlaca),COUNTIF($C$5:$C517,HistPlaca),"")</f>
        <v>0</v>
      </c>
    </row>
    <row r="518" spans="1:27">
      <c r="A518" s="17"/>
      <c r="B518" s="25"/>
      <c r="C518" s="13"/>
      <c r="D518" s="26">
        <f>IF($C518="","",IFERROR(INDEX(VeicCli,MATCH($C518,VeicPlaca,0)),"Placa não cadastrada"))</f>
        <v>0</v>
      </c>
      <c r="E518" s="26">
        <f>IF($C518="","",IFERROR(INDEX(VeicModelo,MATCH($C518,VeicPlaca,0)),""))</f>
        <v>0</v>
      </c>
      <c r="F518" s="28"/>
      <c r="G518" s="13"/>
      <c r="H518" s="13"/>
      <c r="I518" s="13"/>
      <c r="J518" s="29"/>
      <c r="K518" s="19"/>
      <c r="L518" s="19"/>
      <c r="M518" s="25"/>
      <c r="N518" s="13"/>
      <c r="O518" s="19"/>
      <c r="P518" s="27">
        <f>IF($A518="","",N($J518)*ValorHora)</f>
        <v>0</v>
      </c>
      <c r="Q518" s="27">
        <f>IF($A518="","",SUMIFS(ItTotal,ItOS,$A518))</f>
        <v>0</v>
      </c>
      <c r="R518" s="30">
        <f>IF($A518="","",$P518+$Q518+N($K518)-N($L518))</f>
        <v>0</v>
      </c>
      <c r="S518" s="27">
        <f>IF($A518="","",SUMIFS(ItCusto,ItOS,$A518))</f>
        <v>0</v>
      </c>
      <c r="T518" s="27">
        <f>IF($A518="","",$P518*ComMec)</f>
        <v>0</v>
      </c>
      <c r="U518" s="21">
        <f>IF($A518="","",$R518-$S518-$T518-N($K518))</f>
        <v>0</v>
      </c>
      <c r="V518" s="31">
        <f>IF(OR($A518="",N($R518)&lt;=0),"",$U518/$R518)</f>
        <v>0</v>
      </c>
      <c r="W518" s="27">
        <f>IF($A518="","",IF(OR($I518="Finalizado",$I518="Entregue"),MAX(0,$R518-N($O518)),0))</f>
        <v>0</v>
      </c>
      <c r="X518" s="32">
        <f>IF(OR($A518="",$B518=""),"",IF(OR($I518="Entregue",$I518="Cancelada"),"",Hoje-$B518))</f>
        <v>0</v>
      </c>
      <c r="Y518" s="24">
        <f>IF($A518="","",IF(AND(OR($I518="Aprovado",$I518="Em execução",$I518="Aguardando peça"),N($X518)&gt;PrazoMax),"ATRASADA",IF(AND(OR($I518="Finalizado",$I518="Entregue"),$W518&gt;0.005),"Cobrar",IF($I518="Orçamento","Aguardando aprovação",""))))</f>
        <v>0</v>
      </c>
      <c r="Z518" s="33">
        <f>IF(AND($I518="Entregue",$M518&lt;&gt;""),DATE(YEAR($M518),MONTH($M518),1),"")</f>
        <v>0</v>
      </c>
      <c r="AA518" s="34">
        <f>IF(AND($C518&lt;&gt;"",$C518=HistPlaca),COUNTIF($C$5:$C518,HistPlaca),"")</f>
        <v>0</v>
      </c>
    </row>
    <row r="519" spans="1:27">
      <c r="A519" s="17"/>
      <c r="B519" s="25"/>
      <c r="C519" s="13"/>
      <c r="D519" s="26">
        <f>IF($C519="","",IFERROR(INDEX(VeicCli,MATCH($C519,VeicPlaca,0)),"Placa não cadastrada"))</f>
        <v>0</v>
      </c>
      <c r="E519" s="26">
        <f>IF($C519="","",IFERROR(INDEX(VeicModelo,MATCH($C519,VeicPlaca,0)),""))</f>
        <v>0</v>
      </c>
      <c r="F519" s="28"/>
      <c r="G519" s="13"/>
      <c r="H519" s="13"/>
      <c r="I519" s="13"/>
      <c r="J519" s="29"/>
      <c r="K519" s="19"/>
      <c r="L519" s="19"/>
      <c r="M519" s="25"/>
      <c r="N519" s="13"/>
      <c r="O519" s="19"/>
      <c r="P519" s="27">
        <f>IF($A519="","",N($J519)*ValorHora)</f>
        <v>0</v>
      </c>
      <c r="Q519" s="27">
        <f>IF($A519="","",SUMIFS(ItTotal,ItOS,$A519))</f>
        <v>0</v>
      </c>
      <c r="R519" s="30">
        <f>IF($A519="","",$P519+$Q519+N($K519)-N($L519))</f>
        <v>0</v>
      </c>
      <c r="S519" s="27">
        <f>IF($A519="","",SUMIFS(ItCusto,ItOS,$A519))</f>
        <v>0</v>
      </c>
      <c r="T519" s="27">
        <f>IF($A519="","",$P519*ComMec)</f>
        <v>0</v>
      </c>
      <c r="U519" s="21">
        <f>IF($A519="","",$R519-$S519-$T519-N($K519))</f>
        <v>0</v>
      </c>
      <c r="V519" s="31">
        <f>IF(OR($A519="",N($R519)&lt;=0),"",$U519/$R519)</f>
        <v>0</v>
      </c>
      <c r="W519" s="27">
        <f>IF($A519="","",IF(OR($I519="Finalizado",$I519="Entregue"),MAX(0,$R519-N($O519)),0))</f>
        <v>0</v>
      </c>
      <c r="X519" s="32">
        <f>IF(OR($A519="",$B519=""),"",IF(OR($I519="Entregue",$I519="Cancelada"),"",Hoje-$B519))</f>
        <v>0</v>
      </c>
      <c r="Y519" s="24">
        <f>IF($A519="","",IF(AND(OR($I519="Aprovado",$I519="Em execução",$I519="Aguardando peça"),N($X519)&gt;PrazoMax),"ATRASADA",IF(AND(OR($I519="Finalizado",$I519="Entregue"),$W519&gt;0.005),"Cobrar",IF($I519="Orçamento","Aguardando aprovação",""))))</f>
        <v>0</v>
      </c>
      <c r="Z519" s="33">
        <f>IF(AND($I519="Entregue",$M519&lt;&gt;""),DATE(YEAR($M519),MONTH($M519),1),"")</f>
        <v>0</v>
      </c>
      <c r="AA519" s="34">
        <f>IF(AND($C519&lt;&gt;"",$C519=HistPlaca),COUNTIF($C$5:$C519,HistPlaca),"")</f>
        <v>0</v>
      </c>
    </row>
    <row r="520" spans="1:27">
      <c r="A520" s="17"/>
      <c r="B520" s="25"/>
      <c r="C520" s="13"/>
      <c r="D520" s="26">
        <f>IF($C520="","",IFERROR(INDEX(VeicCli,MATCH($C520,VeicPlaca,0)),"Placa não cadastrada"))</f>
        <v>0</v>
      </c>
      <c r="E520" s="26">
        <f>IF($C520="","",IFERROR(INDEX(VeicModelo,MATCH($C520,VeicPlaca,0)),""))</f>
        <v>0</v>
      </c>
      <c r="F520" s="28"/>
      <c r="G520" s="13"/>
      <c r="H520" s="13"/>
      <c r="I520" s="13"/>
      <c r="J520" s="29"/>
      <c r="K520" s="19"/>
      <c r="L520" s="19"/>
      <c r="M520" s="25"/>
      <c r="N520" s="13"/>
      <c r="O520" s="19"/>
      <c r="P520" s="27">
        <f>IF($A520="","",N($J520)*ValorHora)</f>
        <v>0</v>
      </c>
      <c r="Q520" s="27">
        <f>IF($A520="","",SUMIFS(ItTotal,ItOS,$A520))</f>
        <v>0</v>
      </c>
      <c r="R520" s="30">
        <f>IF($A520="","",$P520+$Q520+N($K520)-N($L520))</f>
        <v>0</v>
      </c>
      <c r="S520" s="27">
        <f>IF($A520="","",SUMIFS(ItCusto,ItOS,$A520))</f>
        <v>0</v>
      </c>
      <c r="T520" s="27">
        <f>IF($A520="","",$P520*ComMec)</f>
        <v>0</v>
      </c>
      <c r="U520" s="21">
        <f>IF($A520="","",$R520-$S520-$T520-N($K520))</f>
        <v>0</v>
      </c>
      <c r="V520" s="31">
        <f>IF(OR($A520="",N($R520)&lt;=0),"",$U520/$R520)</f>
        <v>0</v>
      </c>
      <c r="W520" s="27">
        <f>IF($A520="","",IF(OR($I520="Finalizado",$I520="Entregue"),MAX(0,$R520-N($O520)),0))</f>
        <v>0</v>
      </c>
      <c r="X520" s="32">
        <f>IF(OR($A520="",$B520=""),"",IF(OR($I520="Entregue",$I520="Cancelada"),"",Hoje-$B520))</f>
        <v>0</v>
      </c>
      <c r="Y520" s="24">
        <f>IF($A520="","",IF(AND(OR($I520="Aprovado",$I520="Em execução",$I520="Aguardando peça"),N($X520)&gt;PrazoMax),"ATRASADA",IF(AND(OR($I520="Finalizado",$I520="Entregue"),$W520&gt;0.005),"Cobrar",IF($I520="Orçamento","Aguardando aprovação",""))))</f>
        <v>0</v>
      </c>
      <c r="Z520" s="33">
        <f>IF(AND($I520="Entregue",$M520&lt;&gt;""),DATE(YEAR($M520),MONTH($M520),1),"")</f>
        <v>0</v>
      </c>
      <c r="AA520" s="34">
        <f>IF(AND($C520&lt;&gt;"",$C520=HistPlaca),COUNTIF($C$5:$C520,HistPlaca),"")</f>
        <v>0</v>
      </c>
    </row>
    <row r="521" spans="1:27">
      <c r="A521" s="17"/>
      <c r="B521" s="25"/>
      <c r="C521" s="13"/>
      <c r="D521" s="26">
        <f>IF($C521="","",IFERROR(INDEX(VeicCli,MATCH($C521,VeicPlaca,0)),"Placa não cadastrada"))</f>
        <v>0</v>
      </c>
      <c r="E521" s="26">
        <f>IF($C521="","",IFERROR(INDEX(VeicModelo,MATCH($C521,VeicPlaca,0)),""))</f>
        <v>0</v>
      </c>
      <c r="F521" s="28"/>
      <c r="G521" s="13"/>
      <c r="H521" s="13"/>
      <c r="I521" s="13"/>
      <c r="J521" s="29"/>
      <c r="K521" s="19"/>
      <c r="L521" s="19"/>
      <c r="M521" s="25"/>
      <c r="N521" s="13"/>
      <c r="O521" s="19"/>
      <c r="P521" s="27">
        <f>IF($A521="","",N($J521)*ValorHora)</f>
        <v>0</v>
      </c>
      <c r="Q521" s="27">
        <f>IF($A521="","",SUMIFS(ItTotal,ItOS,$A521))</f>
        <v>0</v>
      </c>
      <c r="R521" s="30">
        <f>IF($A521="","",$P521+$Q521+N($K521)-N($L521))</f>
        <v>0</v>
      </c>
      <c r="S521" s="27">
        <f>IF($A521="","",SUMIFS(ItCusto,ItOS,$A521))</f>
        <v>0</v>
      </c>
      <c r="T521" s="27">
        <f>IF($A521="","",$P521*ComMec)</f>
        <v>0</v>
      </c>
      <c r="U521" s="21">
        <f>IF($A521="","",$R521-$S521-$T521-N($K521))</f>
        <v>0</v>
      </c>
      <c r="V521" s="31">
        <f>IF(OR($A521="",N($R521)&lt;=0),"",$U521/$R521)</f>
        <v>0</v>
      </c>
      <c r="W521" s="27">
        <f>IF($A521="","",IF(OR($I521="Finalizado",$I521="Entregue"),MAX(0,$R521-N($O521)),0))</f>
        <v>0</v>
      </c>
      <c r="X521" s="32">
        <f>IF(OR($A521="",$B521=""),"",IF(OR($I521="Entregue",$I521="Cancelada"),"",Hoje-$B521))</f>
        <v>0</v>
      </c>
      <c r="Y521" s="24">
        <f>IF($A521="","",IF(AND(OR($I521="Aprovado",$I521="Em execução",$I521="Aguardando peça"),N($X521)&gt;PrazoMax),"ATRASADA",IF(AND(OR($I521="Finalizado",$I521="Entregue"),$W521&gt;0.005),"Cobrar",IF($I521="Orçamento","Aguardando aprovação",""))))</f>
        <v>0</v>
      </c>
      <c r="Z521" s="33">
        <f>IF(AND($I521="Entregue",$M521&lt;&gt;""),DATE(YEAR($M521),MONTH($M521),1),"")</f>
        <v>0</v>
      </c>
      <c r="AA521" s="34">
        <f>IF(AND($C521&lt;&gt;"",$C521=HistPlaca),COUNTIF($C$5:$C521,HistPlaca),"")</f>
        <v>0</v>
      </c>
    </row>
    <row r="522" spans="1:27">
      <c r="A522" s="17"/>
      <c r="B522" s="25"/>
      <c r="C522" s="13"/>
      <c r="D522" s="26">
        <f>IF($C522="","",IFERROR(INDEX(VeicCli,MATCH($C522,VeicPlaca,0)),"Placa não cadastrada"))</f>
        <v>0</v>
      </c>
      <c r="E522" s="26">
        <f>IF($C522="","",IFERROR(INDEX(VeicModelo,MATCH($C522,VeicPlaca,0)),""))</f>
        <v>0</v>
      </c>
      <c r="F522" s="28"/>
      <c r="G522" s="13"/>
      <c r="H522" s="13"/>
      <c r="I522" s="13"/>
      <c r="J522" s="29"/>
      <c r="K522" s="19"/>
      <c r="L522" s="19"/>
      <c r="M522" s="25"/>
      <c r="N522" s="13"/>
      <c r="O522" s="19"/>
      <c r="P522" s="27">
        <f>IF($A522="","",N($J522)*ValorHora)</f>
        <v>0</v>
      </c>
      <c r="Q522" s="27">
        <f>IF($A522="","",SUMIFS(ItTotal,ItOS,$A522))</f>
        <v>0</v>
      </c>
      <c r="R522" s="30">
        <f>IF($A522="","",$P522+$Q522+N($K522)-N($L522))</f>
        <v>0</v>
      </c>
      <c r="S522" s="27">
        <f>IF($A522="","",SUMIFS(ItCusto,ItOS,$A522))</f>
        <v>0</v>
      </c>
      <c r="T522" s="27">
        <f>IF($A522="","",$P522*ComMec)</f>
        <v>0</v>
      </c>
      <c r="U522" s="21">
        <f>IF($A522="","",$R522-$S522-$T522-N($K522))</f>
        <v>0</v>
      </c>
      <c r="V522" s="31">
        <f>IF(OR($A522="",N($R522)&lt;=0),"",$U522/$R522)</f>
        <v>0</v>
      </c>
      <c r="W522" s="27">
        <f>IF($A522="","",IF(OR($I522="Finalizado",$I522="Entregue"),MAX(0,$R522-N($O522)),0))</f>
        <v>0</v>
      </c>
      <c r="X522" s="32">
        <f>IF(OR($A522="",$B522=""),"",IF(OR($I522="Entregue",$I522="Cancelada"),"",Hoje-$B522))</f>
        <v>0</v>
      </c>
      <c r="Y522" s="24">
        <f>IF($A522="","",IF(AND(OR($I522="Aprovado",$I522="Em execução",$I522="Aguardando peça"),N($X522)&gt;PrazoMax),"ATRASADA",IF(AND(OR($I522="Finalizado",$I522="Entregue"),$W522&gt;0.005),"Cobrar",IF($I522="Orçamento","Aguardando aprovação",""))))</f>
        <v>0</v>
      </c>
      <c r="Z522" s="33">
        <f>IF(AND($I522="Entregue",$M522&lt;&gt;""),DATE(YEAR($M522),MONTH($M522),1),"")</f>
        <v>0</v>
      </c>
      <c r="AA522" s="34">
        <f>IF(AND($C522&lt;&gt;"",$C522=HistPlaca),COUNTIF($C$5:$C522,HistPlaca),"")</f>
        <v>0</v>
      </c>
    </row>
    <row r="523" spans="1:27">
      <c r="A523" s="17"/>
      <c r="B523" s="25"/>
      <c r="C523" s="13"/>
      <c r="D523" s="26">
        <f>IF($C523="","",IFERROR(INDEX(VeicCli,MATCH($C523,VeicPlaca,0)),"Placa não cadastrada"))</f>
        <v>0</v>
      </c>
      <c r="E523" s="26">
        <f>IF($C523="","",IFERROR(INDEX(VeicModelo,MATCH($C523,VeicPlaca,0)),""))</f>
        <v>0</v>
      </c>
      <c r="F523" s="28"/>
      <c r="G523" s="13"/>
      <c r="H523" s="13"/>
      <c r="I523" s="13"/>
      <c r="J523" s="29"/>
      <c r="K523" s="19"/>
      <c r="L523" s="19"/>
      <c r="M523" s="25"/>
      <c r="N523" s="13"/>
      <c r="O523" s="19"/>
      <c r="P523" s="27">
        <f>IF($A523="","",N($J523)*ValorHora)</f>
        <v>0</v>
      </c>
      <c r="Q523" s="27">
        <f>IF($A523="","",SUMIFS(ItTotal,ItOS,$A523))</f>
        <v>0</v>
      </c>
      <c r="R523" s="30">
        <f>IF($A523="","",$P523+$Q523+N($K523)-N($L523))</f>
        <v>0</v>
      </c>
      <c r="S523" s="27">
        <f>IF($A523="","",SUMIFS(ItCusto,ItOS,$A523))</f>
        <v>0</v>
      </c>
      <c r="T523" s="27">
        <f>IF($A523="","",$P523*ComMec)</f>
        <v>0</v>
      </c>
      <c r="U523" s="21">
        <f>IF($A523="","",$R523-$S523-$T523-N($K523))</f>
        <v>0</v>
      </c>
      <c r="V523" s="31">
        <f>IF(OR($A523="",N($R523)&lt;=0),"",$U523/$R523)</f>
        <v>0</v>
      </c>
      <c r="W523" s="27">
        <f>IF($A523="","",IF(OR($I523="Finalizado",$I523="Entregue"),MAX(0,$R523-N($O523)),0))</f>
        <v>0</v>
      </c>
      <c r="X523" s="32">
        <f>IF(OR($A523="",$B523=""),"",IF(OR($I523="Entregue",$I523="Cancelada"),"",Hoje-$B523))</f>
        <v>0</v>
      </c>
      <c r="Y523" s="24">
        <f>IF($A523="","",IF(AND(OR($I523="Aprovado",$I523="Em execução",$I523="Aguardando peça"),N($X523)&gt;PrazoMax),"ATRASADA",IF(AND(OR($I523="Finalizado",$I523="Entregue"),$W523&gt;0.005),"Cobrar",IF($I523="Orçamento","Aguardando aprovação",""))))</f>
        <v>0</v>
      </c>
      <c r="Z523" s="33">
        <f>IF(AND($I523="Entregue",$M523&lt;&gt;""),DATE(YEAR($M523),MONTH($M523),1),"")</f>
        <v>0</v>
      </c>
      <c r="AA523" s="34">
        <f>IF(AND($C523&lt;&gt;"",$C523=HistPlaca),COUNTIF($C$5:$C523,HistPlaca),"")</f>
        <v>0</v>
      </c>
    </row>
    <row r="524" spans="1:27">
      <c r="A524" s="17"/>
      <c r="B524" s="25"/>
      <c r="C524" s="13"/>
      <c r="D524" s="26">
        <f>IF($C524="","",IFERROR(INDEX(VeicCli,MATCH($C524,VeicPlaca,0)),"Placa não cadastrada"))</f>
        <v>0</v>
      </c>
      <c r="E524" s="26">
        <f>IF($C524="","",IFERROR(INDEX(VeicModelo,MATCH($C524,VeicPlaca,0)),""))</f>
        <v>0</v>
      </c>
      <c r="F524" s="28"/>
      <c r="G524" s="13"/>
      <c r="H524" s="13"/>
      <c r="I524" s="13"/>
      <c r="J524" s="29"/>
      <c r="K524" s="19"/>
      <c r="L524" s="19"/>
      <c r="M524" s="25"/>
      <c r="N524" s="13"/>
      <c r="O524" s="19"/>
      <c r="P524" s="27">
        <f>IF($A524="","",N($J524)*ValorHora)</f>
        <v>0</v>
      </c>
      <c r="Q524" s="27">
        <f>IF($A524="","",SUMIFS(ItTotal,ItOS,$A524))</f>
        <v>0</v>
      </c>
      <c r="R524" s="30">
        <f>IF($A524="","",$P524+$Q524+N($K524)-N($L524))</f>
        <v>0</v>
      </c>
      <c r="S524" s="27">
        <f>IF($A524="","",SUMIFS(ItCusto,ItOS,$A524))</f>
        <v>0</v>
      </c>
      <c r="T524" s="27">
        <f>IF($A524="","",$P524*ComMec)</f>
        <v>0</v>
      </c>
      <c r="U524" s="21">
        <f>IF($A524="","",$R524-$S524-$T524-N($K524))</f>
        <v>0</v>
      </c>
      <c r="V524" s="31">
        <f>IF(OR($A524="",N($R524)&lt;=0),"",$U524/$R524)</f>
        <v>0</v>
      </c>
      <c r="W524" s="27">
        <f>IF($A524="","",IF(OR($I524="Finalizado",$I524="Entregue"),MAX(0,$R524-N($O524)),0))</f>
        <v>0</v>
      </c>
      <c r="X524" s="32">
        <f>IF(OR($A524="",$B524=""),"",IF(OR($I524="Entregue",$I524="Cancelada"),"",Hoje-$B524))</f>
        <v>0</v>
      </c>
      <c r="Y524" s="24">
        <f>IF($A524="","",IF(AND(OR($I524="Aprovado",$I524="Em execução",$I524="Aguardando peça"),N($X524)&gt;PrazoMax),"ATRASADA",IF(AND(OR($I524="Finalizado",$I524="Entregue"),$W524&gt;0.005),"Cobrar",IF($I524="Orçamento","Aguardando aprovação",""))))</f>
        <v>0</v>
      </c>
      <c r="Z524" s="33">
        <f>IF(AND($I524="Entregue",$M524&lt;&gt;""),DATE(YEAR($M524),MONTH($M524),1),"")</f>
        <v>0</v>
      </c>
      <c r="AA524" s="34">
        <f>IF(AND($C524&lt;&gt;"",$C524=HistPlaca),COUNTIF($C$5:$C524,HistPlaca),"")</f>
        <v>0</v>
      </c>
    </row>
    <row r="525" spans="1:27">
      <c r="A525" s="17"/>
      <c r="B525" s="25"/>
      <c r="C525" s="13"/>
      <c r="D525" s="26">
        <f>IF($C525="","",IFERROR(INDEX(VeicCli,MATCH($C525,VeicPlaca,0)),"Placa não cadastrada"))</f>
        <v>0</v>
      </c>
      <c r="E525" s="26">
        <f>IF($C525="","",IFERROR(INDEX(VeicModelo,MATCH($C525,VeicPlaca,0)),""))</f>
        <v>0</v>
      </c>
      <c r="F525" s="28"/>
      <c r="G525" s="13"/>
      <c r="H525" s="13"/>
      <c r="I525" s="13"/>
      <c r="J525" s="29"/>
      <c r="K525" s="19"/>
      <c r="L525" s="19"/>
      <c r="M525" s="25"/>
      <c r="N525" s="13"/>
      <c r="O525" s="19"/>
      <c r="P525" s="27">
        <f>IF($A525="","",N($J525)*ValorHora)</f>
        <v>0</v>
      </c>
      <c r="Q525" s="27">
        <f>IF($A525="","",SUMIFS(ItTotal,ItOS,$A525))</f>
        <v>0</v>
      </c>
      <c r="R525" s="30">
        <f>IF($A525="","",$P525+$Q525+N($K525)-N($L525))</f>
        <v>0</v>
      </c>
      <c r="S525" s="27">
        <f>IF($A525="","",SUMIFS(ItCusto,ItOS,$A525))</f>
        <v>0</v>
      </c>
      <c r="T525" s="27">
        <f>IF($A525="","",$P525*ComMec)</f>
        <v>0</v>
      </c>
      <c r="U525" s="21">
        <f>IF($A525="","",$R525-$S525-$T525-N($K525))</f>
        <v>0</v>
      </c>
      <c r="V525" s="31">
        <f>IF(OR($A525="",N($R525)&lt;=0),"",$U525/$R525)</f>
        <v>0</v>
      </c>
      <c r="W525" s="27">
        <f>IF($A525="","",IF(OR($I525="Finalizado",$I525="Entregue"),MAX(0,$R525-N($O525)),0))</f>
        <v>0</v>
      </c>
      <c r="X525" s="32">
        <f>IF(OR($A525="",$B525=""),"",IF(OR($I525="Entregue",$I525="Cancelada"),"",Hoje-$B525))</f>
        <v>0</v>
      </c>
      <c r="Y525" s="24">
        <f>IF($A525="","",IF(AND(OR($I525="Aprovado",$I525="Em execução",$I525="Aguardando peça"),N($X525)&gt;PrazoMax),"ATRASADA",IF(AND(OR($I525="Finalizado",$I525="Entregue"),$W525&gt;0.005),"Cobrar",IF($I525="Orçamento","Aguardando aprovação",""))))</f>
        <v>0</v>
      </c>
      <c r="Z525" s="33">
        <f>IF(AND($I525="Entregue",$M525&lt;&gt;""),DATE(YEAR($M525),MONTH($M525),1),"")</f>
        <v>0</v>
      </c>
      <c r="AA525" s="34">
        <f>IF(AND($C525&lt;&gt;"",$C525=HistPlaca),COUNTIF($C$5:$C525,HistPlaca),"")</f>
        <v>0</v>
      </c>
    </row>
    <row r="526" spans="1:27">
      <c r="A526" s="17"/>
      <c r="B526" s="25"/>
      <c r="C526" s="13"/>
      <c r="D526" s="26">
        <f>IF($C526="","",IFERROR(INDEX(VeicCli,MATCH($C526,VeicPlaca,0)),"Placa não cadastrada"))</f>
        <v>0</v>
      </c>
      <c r="E526" s="26">
        <f>IF($C526="","",IFERROR(INDEX(VeicModelo,MATCH($C526,VeicPlaca,0)),""))</f>
        <v>0</v>
      </c>
      <c r="F526" s="28"/>
      <c r="G526" s="13"/>
      <c r="H526" s="13"/>
      <c r="I526" s="13"/>
      <c r="J526" s="29"/>
      <c r="K526" s="19"/>
      <c r="L526" s="19"/>
      <c r="M526" s="25"/>
      <c r="N526" s="13"/>
      <c r="O526" s="19"/>
      <c r="P526" s="27">
        <f>IF($A526="","",N($J526)*ValorHora)</f>
        <v>0</v>
      </c>
      <c r="Q526" s="27">
        <f>IF($A526="","",SUMIFS(ItTotal,ItOS,$A526))</f>
        <v>0</v>
      </c>
      <c r="R526" s="30">
        <f>IF($A526="","",$P526+$Q526+N($K526)-N($L526))</f>
        <v>0</v>
      </c>
      <c r="S526" s="27">
        <f>IF($A526="","",SUMIFS(ItCusto,ItOS,$A526))</f>
        <v>0</v>
      </c>
      <c r="T526" s="27">
        <f>IF($A526="","",$P526*ComMec)</f>
        <v>0</v>
      </c>
      <c r="U526" s="21">
        <f>IF($A526="","",$R526-$S526-$T526-N($K526))</f>
        <v>0</v>
      </c>
      <c r="V526" s="31">
        <f>IF(OR($A526="",N($R526)&lt;=0),"",$U526/$R526)</f>
        <v>0</v>
      </c>
      <c r="W526" s="27">
        <f>IF($A526="","",IF(OR($I526="Finalizado",$I526="Entregue"),MAX(0,$R526-N($O526)),0))</f>
        <v>0</v>
      </c>
      <c r="X526" s="32">
        <f>IF(OR($A526="",$B526=""),"",IF(OR($I526="Entregue",$I526="Cancelada"),"",Hoje-$B526))</f>
        <v>0</v>
      </c>
      <c r="Y526" s="24">
        <f>IF($A526="","",IF(AND(OR($I526="Aprovado",$I526="Em execução",$I526="Aguardando peça"),N($X526)&gt;PrazoMax),"ATRASADA",IF(AND(OR($I526="Finalizado",$I526="Entregue"),$W526&gt;0.005),"Cobrar",IF($I526="Orçamento","Aguardando aprovação",""))))</f>
        <v>0</v>
      </c>
      <c r="Z526" s="33">
        <f>IF(AND($I526="Entregue",$M526&lt;&gt;""),DATE(YEAR($M526),MONTH($M526),1),"")</f>
        <v>0</v>
      </c>
      <c r="AA526" s="34">
        <f>IF(AND($C526&lt;&gt;"",$C526=HistPlaca),COUNTIF($C$5:$C526,HistPlaca),"")</f>
        <v>0</v>
      </c>
    </row>
    <row r="527" spans="1:27">
      <c r="A527" s="17"/>
      <c r="B527" s="25"/>
      <c r="C527" s="13"/>
      <c r="D527" s="26">
        <f>IF($C527="","",IFERROR(INDEX(VeicCli,MATCH($C527,VeicPlaca,0)),"Placa não cadastrada"))</f>
        <v>0</v>
      </c>
      <c r="E527" s="26">
        <f>IF($C527="","",IFERROR(INDEX(VeicModelo,MATCH($C527,VeicPlaca,0)),""))</f>
        <v>0</v>
      </c>
      <c r="F527" s="28"/>
      <c r="G527" s="13"/>
      <c r="H527" s="13"/>
      <c r="I527" s="13"/>
      <c r="J527" s="29"/>
      <c r="K527" s="19"/>
      <c r="L527" s="19"/>
      <c r="M527" s="25"/>
      <c r="N527" s="13"/>
      <c r="O527" s="19"/>
      <c r="P527" s="27">
        <f>IF($A527="","",N($J527)*ValorHora)</f>
        <v>0</v>
      </c>
      <c r="Q527" s="27">
        <f>IF($A527="","",SUMIFS(ItTotal,ItOS,$A527))</f>
        <v>0</v>
      </c>
      <c r="R527" s="30">
        <f>IF($A527="","",$P527+$Q527+N($K527)-N($L527))</f>
        <v>0</v>
      </c>
      <c r="S527" s="27">
        <f>IF($A527="","",SUMIFS(ItCusto,ItOS,$A527))</f>
        <v>0</v>
      </c>
      <c r="T527" s="27">
        <f>IF($A527="","",$P527*ComMec)</f>
        <v>0</v>
      </c>
      <c r="U527" s="21">
        <f>IF($A527="","",$R527-$S527-$T527-N($K527))</f>
        <v>0</v>
      </c>
      <c r="V527" s="31">
        <f>IF(OR($A527="",N($R527)&lt;=0),"",$U527/$R527)</f>
        <v>0</v>
      </c>
      <c r="W527" s="27">
        <f>IF($A527="","",IF(OR($I527="Finalizado",$I527="Entregue"),MAX(0,$R527-N($O527)),0))</f>
        <v>0</v>
      </c>
      <c r="X527" s="32">
        <f>IF(OR($A527="",$B527=""),"",IF(OR($I527="Entregue",$I527="Cancelada"),"",Hoje-$B527))</f>
        <v>0</v>
      </c>
      <c r="Y527" s="24">
        <f>IF($A527="","",IF(AND(OR($I527="Aprovado",$I527="Em execução",$I527="Aguardando peça"),N($X527)&gt;PrazoMax),"ATRASADA",IF(AND(OR($I527="Finalizado",$I527="Entregue"),$W527&gt;0.005),"Cobrar",IF($I527="Orçamento","Aguardando aprovação",""))))</f>
        <v>0</v>
      </c>
      <c r="Z527" s="33">
        <f>IF(AND($I527="Entregue",$M527&lt;&gt;""),DATE(YEAR($M527),MONTH($M527),1),"")</f>
        <v>0</v>
      </c>
      <c r="AA527" s="34">
        <f>IF(AND($C527&lt;&gt;"",$C527=HistPlaca),COUNTIF($C$5:$C527,HistPlaca),"")</f>
        <v>0</v>
      </c>
    </row>
    <row r="528" spans="1:27">
      <c r="A528" s="17"/>
      <c r="B528" s="25"/>
      <c r="C528" s="13"/>
      <c r="D528" s="26">
        <f>IF($C528="","",IFERROR(INDEX(VeicCli,MATCH($C528,VeicPlaca,0)),"Placa não cadastrada"))</f>
        <v>0</v>
      </c>
      <c r="E528" s="26">
        <f>IF($C528="","",IFERROR(INDEX(VeicModelo,MATCH($C528,VeicPlaca,0)),""))</f>
        <v>0</v>
      </c>
      <c r="F528" s="28"/>
      <c r="G528" s="13"/>
      <c r="H528" s="13"/>
      <c r="I528" s="13"/>
      <c r="J528" s="29"/>
      <c r="K528" s="19"/>
      <c r="L528" s="19"/>
      <c r="M528" s="25"/>
      <c r="N528" s="13"/>
      <c r="O528" s="19"/>
      <c r="P528" s="27">
        <f>IF($A528="","",N($J528)*ValorHora)</f>
        <v>0</v>
      </c>
      <c r="Q528" s="27">
        <f>IF($A528="","",SUMIFS(ItTotal,ItOS,$A528))</f>
        <v>0</v>
      </c>
      <c r="R528" s="30">
        <f>IF($A528="","",$P528+$Q528+N($K528)-N($L528))</f>
        <v>0</v>
      </c>
      <c r="S528" s="27">
        <f>IF($A528="","",SUMIFS(ItCusto,ItOS,$A528))</f>
        <v>0</v>
      </c>
      <c r="T528" s="27">
        <f>IF($A528="","",$P528*ComMec)</f>
        <v>0</v>
      </c>
      <c r="U528" s="21">
        <f>IF($A528="","",$R528-$S528-$T528-N($K528))</f>
        <v>0</v>
      </c>
      <c r="V528" s="31">
        <f>IF(OR($A528="",N($R528)&lt;=0),"",$U528/$R528)</f>
        <v>0</v>
      </c>
      <c r="W528" s="27">
        <f>IF($A528="","",IF(OR($I528="Finalizado",$I528="Entregue"),MAX(0,$R528-N($O528)),0))</f>
        <v>0</v>
      </c>
      <c r="X528" s="32">
        <f>IF(OR($A528="",$B528=""),"",IF(OR($I528="Entregue",$I528="Cancelada"),"",Hoje-$B528))</f>
        <v>0</v>
      </c>
      <c r="Y528" s="24">
        <f>IF($A528="","",IF(AND(OR($I528="Aprovado",$I528="Em execução",$I528="Aguardando peça"),N($X528)&gt;PrazoMax),"ATRASADA",IF(AND(OR($I528="Finalizado",$I528="Entregue"),$W528&gt;0.005),"Cobrar",IF($I528="Orçamento","Aguardando aprovação",""))))</f>
        <v>0</v>
      </c>
      <c r="Z528" s="33">
        <f>IF(AND($I528="Entregue",$M528&lt;&gt;""),DATE(YEAR($M528),MONTH($M528),1),"")</f>
        <v>0</v>
      </c>
      <c r="AA528" s="34">
        <f>IF(AND($C528&lt;&gt;"",$C528=HistPlaca),COUNTIF($C$5:$C528,HistPlaca),"")</f>
        <v>0</v>
      </c>
    </row>
    <row r="529" spans="1:27">
      <c r="A529" s="17"/>
      <c r="B529" s="25"/>
      <c r="C529" s="13"/>
      <c r="D529" s="26">
        <f>IF($C529="","",IFERROR(INDEX(VeicCli,MATCH($C529,VeicPlaca,0)),"Placa não cadastrada"))</f>
        <v>0</v>
      </c>
      <c r="E529" s="26">
        <f>IF($C529="","",IFERROR(INDEX(VeicModelo,MATCH($C529,VeicPlaca,0)),""))</f>
        <v>0</v>
      </c>
      <c r="F529" s="28"/>
      <c r="G529" s="13"/>
      <c r="H529" s="13"/>
      <c r="I529" s="13"/>
      <c r="J529" s="29"/>
      <c r="K529" s="19"/>
      <c r="L529" s="19"/>
      <c r="M529" s="25"/>
      <c r="N529" s="13"/>
      <c r="O529" s="19"/>
      <c r="P529" s="27">
        <f>IF($A529="","",N($J529)*ValorHora)</f>
        <v>0</v>
      </c>
      <c r="Q529" s="27">
        <f>IF($A529="","",SUMIFS(ItTotal,ItOS,$A529))</f>
        <v>0</v>
      </c>
      <c r="R529" s="30">
        <f>IF($A529="","",$P529+$Q529+N($K529)-N($L529))</f>
        <v>0</v>
      </c>
      <c r="S529" s="27">
        <f>IF($A529="","",SUMIFS(ItCusto,ItOS,$A529))</f>
        <v>0</v>
      </c>
      <c r="T529" s="27">
        <f>IF($A529="","",$P529*ComMec)</f>
        <v>0</v>
      </c>
      <c r="U529" s="21">
        <f>IF($A529="","",$R529-$S529-$T529-N($K529))</f>
        <v>0</v>
      </c>
      <c r="V529" s="31">
        <f>IF(OR($A529="",N($R529)&lt;=0),"",$U529/$R529)</f>
        <v>0</v>
      </c>
      <c r="W529" s="27">
        <f>IF($A529="","",IF(OR($I529="Finalizado",$I529="Entregue"),MAX(0,$R529-N($O529)),0))</f>
        <v>0</v>
      </c>
      <c r="X529" s="32">
        <f>IF(OR($A529="",$B529=""),"",IF(OR($I529="Entregue",$I529="Cancelada"),"",Hoje-$B529))</f>
        <v>0</v>
      </c>
      <c r="Y529" s="24">
        <f>IF($A529="","",IF(AND(OR($I529="Aprovado",$I529="Em execução",$I529="Aguardando peça"),N($X529)&gt;PrazoMax),"ATRASADA",IF(AND(OR($I529="Finalizado",$I529="Entregue"),$W529&gt;0.005),"Cobrar",IF($I529="Orçamento","Aguardando aprovação",""))))</f>
        <v>0</v>
      </c>
      <c r="Z529" s="33">
        <f>IF(AND($I529="Entregue",$M529&lt;&gt;""),DATE(YEAR($M529),MONTH($M529),1),"")</f>
        <v>0</v>
      </c>
      <c r="AA529" s="34">
        <f>IF(AND($C529&lt;&gt;"",$C529=HistPlaca),COUNTIF($C$5:$C529,HistPlaca),"")</f>
        <v>0</v>
      </c>
    </row>
    <row r="530" spans="1:27">
      <c r="A530" s="17"/>
      <c r="B530" s="25"/>
      <c r="C530" s="13"/>
      <c r="D530" s="26">
        <f>IF($C530="","",IFERROR(INDEX(VeicCli,MATCH($C530,VeicPlaca,0)),"Placa não cadastrada"))</f>
        <v>0</v>
      </c>
      <c r="E530" s="26">
        <f>IF($C530="","",IFERROR(INDEX(VeicModelo,MATCH($C530,VeicPlaca,0)),""))</f>
        <v>0</v>
      </c>
      <c r="F530" s="28"/>
      <c r="G530" s="13"/>
      <c r="H530" s="13"/>
      <c r="I530" s="13"/>
      <c r="J530" s="29"/>
      <c r="K530" s="19"/>
      <c r="L530" s="19"/>
      <c r="M530" s="25"/>
      <c r="N530" s="13"/>
      <c r="O530" s="19"/>
      <c r="P530" s="27">
        <f>IF($A530="","",N($J530)*ValorHora)</f>
        <v>0</v>
      </c>
      <c r="Q530" s="27">
        <f>IF($A530="","",SUMIFS(ItTotal,ItOS,$A530))</f>
        <v>0</v>
      </c>
      <c r="R530" s="30">
        <f>IF($A530="","",$P530+$Q530+N($K530)-N($L530))</f>
        <v>0</v>
      </c>
      <c r="S530" s="27">
        <f>IF($A530="","",SUMIFS(ItCusto,ItOS,$A530))</f>
        <v>0</v>
      </c>
      <c r="T530" s="27">
        <f>IF($A530="","",$P530*ComMec)</f>
        <v>0</v>
      </c>
      <c r="U530" s="21">
        <f>IF($A530="","",$R530-$S530-$T530-N($K530))</f>
        <v>0</v>
      </c>
      <c r="V530" s="31">
        <f>IF(OR($A530="",N($R530)&lt;=0),"",$U530/$R530)</f>
        <v>0</v>
      </c>
      <c r="W530" s="27">
        <f>IF($A530="","",IF(OR($I530="Finalizado",$I530="Entregue"),MAX(0,$R530-N($O530)),0))</f>
        <v>0</v>
      </c>
      <c r="X530" s="32">
        <f>IF(OR($A530="",$B530=""),"",IF(OR($I530="Entregue",$I530="Cancelada"),"",Hoje-$B530))</f>
        <v>0</v>
      </c>
      <c r="Y530" s="24">
        <f>IF($A530="","",IF(AND(OR($I530="Aprovado",$I530="Em execução",$I530="Aguardando peça"),N($X530)&gt;PrazoMax),"ATRASADA",IF(AND(OR($I530="Finalizado",$I530="Entregue"),$W530&gt;0.005),"Cobrar",IF($I530="Orçamento","Aguardando aprovação",""))))</f>
        <v>0</v>
      </c>
      <c r="Z530" s="33">
        <f>IF(AND($I530="Entregue",$M530&lt;&gt;""),DATE(YEAR($M530),MONTH($M530),1),"")</f>
        <v>0</v>
      </c>
      <c r="AA530" s="34">
        <f>IF(AND($C530&lt;&gt;"",$C530=HistPlaca),COUNTIF($C$5:$C530,HistPlaca),"")</f>
        <v>0</v>
      </c>
    </row>
    <row r="531" spans="1:27">
      <c r="A531" s="17"/>
      <c r="B531" s="25"/>
      <c r="C531" s="13"/>
      <c r="D531" s="26">
        <f>IF($C531="","",IFERROR(INDEX(VeicCli,MATCH($C531,VeicPlaca,0)),"Placa não cadastrada"))</f>
        <v>0</v>
      </c>
      <c r="E531" s="26">
        <f>IF($C531="","",IFERROR(INDEX(VeicModelo,MATCH($C531,VeicPlaca,0)),""))</f>
        <v>0</v>
      </c>
      <c r="F531" s="28"/>
      <c r="G531" s="13"/>
      <c r="H531" s="13"/>
      <c r="I531" s="13"/>
      <c r="J531" s="29"/>
      <c r="K531" s="19"/>
      <c r="L531" s="19"/>
      <c r="M531" s="25"/>
      <c r="N531" s="13"/>
      <c r="O531" s="19"/>
      <c r="P531" s="27">
        <f>IF($A531="","",N($J531)*ValorHora)</f>
        <v>0</v>
      </c>
      <c r="Q531" s="27">
        <f>IF($A531="","",SUMIFS(ItTotal,ItOS,$A531))</f>
        <v>0</v>
      </c>
      <c r="R531" s="30">
        <f>IF($A531="","",$P531+$Q531+N($K531)-N($L531))</f>
        <v>0</v>
      </c>
      <c r="S531" s="27">
        <f>IF($A531="","",SUMIFS(ItCusto,ItOS,$A531))</f>
        <v>0</v>
      </c>
      <c r="T531" s="27">
        <f>IF($A531="","",$P531*ComMec)</f>
        <v>0</v>
      </c>
      <c r="U531" s="21">
        <f>IF($A531="","",$R531-$S531-$T531-N($K531))</f>
        <v>0</v>
      </c>
      <c r="V531" s="31">
        <f>IF(OR($A531="",N($R531)&lt;=0),"",$U531/$R531)</f>
        <v>0</v>
      </c>
      <c r="W531" s="27">
        <f>IF($A531="","",IF(OR($I531="Finalizado",$I531="Entregue"),MAX(0,$R531-N($O531)),0))</f>
        <v>0</v>
      </c>
      <c r="X531" s="32">
        <f>IF(OR($A531="",$B531=""),"",IF(OR($I531="Entregue",$I531="Cancelada"),"",Hoje-$B531))</f>
        <v>0</v>
      </c>
      <c r="Y531" s="24">
        <f>IF($A531="","",IF(AND(OR($I531="Aprovado",$I531="Em execução",$I531="Aguardando peça"),N($X531)&gt;PrazoMax),"ATRASADA",IF(AND(OR($I531="Finalizado",$I531="Entregue"),$W531&gt;0.005),"Cobrar",IF($I531="Orçamento","Aguardando aprovação",""))))</f>
        <v>0</v>
      </c>
      <c r="Z531" s="33">
        <f>IF(AND($I531="Entregue",$M531&lt;&gt;""),DATE(YEAR($M531),MONTH($M531),1),"")</f>
        <v>0</v>
      </c>
      <c r="AA531" s="34">
        <f>IF(AND($C531&lt;&gt;"",$C531=HistPlaca),COUNTIF($C$5:$C531,HistPlaca),"")</f>
        <v>0</v>
      </c>
    </row>
    <row r="532" spans="1:27">
      <c r="A532" s="17"/>
      <c r="B532" s="25"/>
      <c r="C532" s="13"/>
      <c r="D532" s="26">
        <f>IF($C532="","",IFERROR(INDEX(VeicCli,MATCH($C532,VeicPlaca,0)),"Placa não cadastrada"))</f>
        <v>0</v>
      </c>
      <c r="E532" s="26">
        <f>IF($C532="","",IFERROR(INDEX(VeicModelo,MATCH($C532,VeicPlaca,0)),""))</f>
        <v>0</v>
      </c>
      <c r="F532" s="28"/>
      <c r="G532" s="13"/>
      <c r="H532" s="13"/>
      <c r="I532" s="13"/>
      <c r="J532" s="29"/>
      <c r="K532" s="19"/>
      <c r="L532" s="19"/>
      <c r="M532" s="25"/>
      <c r="N532" s="13"/>
      <c r="O532" s="19"/>
      <c r="P532" s="27">
        <f>IF($A532="","",N($J532)*ValorHora)</f>
        <v>0</v>
      </c>
      <c r="Q532" s="27">
        <f>IF($A532="","",SUMIFS(ItTotal,ItOS,$A532))</f>
        <v>0</v>
      </c>
      <c r="R532" s="30">
        <f>IF($A532="","",$P532+$Q532+N($K532)-N($L532))</f>
        <v>0</v>
      </c>
      <c r="S532" s="27">
        <f>IF($A532="","",SUMIFS(ItCusto,ItOS,$A532))</f>
        <v>0</v>
      </c>
      <c r="T532" s="27">
        <f>IF($A532="","",$P532*ComMec)</f>
        <v>0</v>
      </c>
      <c r="U532" s="21">
        <f>IF($A532="","",$R532-$S532-$T532-N($K532))</f>
        <v>0</v>
      </c>
      <c r="V532" s="31">
        <f>IF(OR($A532="",N($R532)&lt;=0),"",$U532/$R532)</f>
        <v>0</v>
      </c>
      <c r="W532" s="27">
        <f>IF($A532="","",IF(OR($I532="Finalizado",$I532="Entregue"),MAX(0,$R532-N($O532)),0))</f>
        <v>0</v>
      </c>
      <c r="X532" s="32">
        <f>IF(OR($A532="",$B532=""),"",IF(OR($I532="Entregue",$I532="Cancelada"),"",Hoje-$B532))</f>
        <v>0</v>
      </c>
      <c r="Y532" s="24">
        <f>IF($A532="","",IF(AND(OR($I532="Aprovado",$I532="Em execução",$I532="Aguardando peça"),N($X532)&gt;PrazoMax),"ATRASADA",IF(AND(OR($I532="Finalizado",$I532="Entregue"),$W532&gt;0.005),"Cobrar",IF($I532="Orçamento","Aguardando aprovação",""))))</f>
        <v>0</v>
      </c>
      <c r="Z532" s="33">
        <f>IF(AND($I532="Entregue",$M532&lt;&gt;""),DATE(YEAR($M532),MONTH($M532),1),"")</f>
        <v>0</v>
      </c>
      <c r="AA532" s="34">
        <f>IF(AND($C532&lt;&gt;"",$C532=HistPlaca),COUNTIF($C$5:$C532,HistPlaca),"")</f>
        <v>0</v>
      </c>
    </row>
    <row r="533" spans="1:27">
      <c r="A533" s="17"/>
      <c r="B533" s="25"/>
      <c r="C533" s="13"/>
      <c r="D533" s="26">
        <f>IF($C533="","",IFERROR(INDEX(VeicCli,MATCH($C533,VeicPlaca,0)),"Placa não cadastrada"))</f>
        <v>0</v>
      </c>
      <c r="E533" s="26">
        <f>IF($C533="","",IFERROR(INDEX(VeicModelo,MATCH($C533,VeicPlaca,0)),""))</f>
        <v>0</v>
      </c>
      <c r="F533" s="28"/>
      <c r="G533" s="13"/>
      <c r="H533" s="13"/>
      <c r="I533" s="13"/>
      <c r="J533" s="29"/>
      <c r="K533" s="19"/>
      <c r="L533" s="19"/>
      <c r="M533" s="25"/>
      <c r="N533" s="13"/>
      <c r="O533" s="19"/>
      <c r="P533" s="27">
        <f>IF($A533="","",N($J533)*ValorHora)</f>
        <v>0</v>
      </c>
      <c r="Q533" s="27">
        <f>IF($A533="","",SUMIFS(ItTotal,ItOS,$A533))</f>
        <v>0</v>
      </c>
      <c r="R533" s="30">
        <f>IF($A533="","",$P533+$Q533+N($K533)-N($L533))</f>
        <v>0</v>
      </c>
      <c r="S533" s="27">
        <f>IF($A533="","",SUMIFS(ItCusto,ItOS,$A533))</f>
        <v>0</v>
      </c>
      <c r="T533" s="27">
        <f>IF($A533="","",$P533*ComMec)</f>
        <v>0</v>
      </c>
      <c r="U533" s="21">
        <f>IF($A533="","",$R533-$S533-$T533-N($K533))</f>
        <v>0</v>
      </c>
      <c r="V533" s="31">
        <f>IF(OR($A533="",N($R533)&lt;=0),"",$U533/$R533)</f>
        <v>0</v>
      </c>
      <c r="W533" s="27">
        <f>IF($A533="","",IF(OR($I533="Finalizado",$I533="Entregue"),MAX(0,$R533-N($O533)),0))</f>
        <v>0</v>
      </c>
      <c r="X533" s="32">
        <f>IF(OR($A533="",$B533=""),"",IF(OR($I533="Entregue",$I533="Cancelada"),"",Hoje-$B533))</f>
        <v>0</v>
      </c>
      <c r="Y533" s="24">
        <f>IF($A533="","",IF(AND(OR($I533="Aprovado",$I533="Em execução",$I533="Aguardando peça"),N($X533)&gt;PrazoMax),"ATRASADA",IF(AND(OR($I533="Finalizado",$I533="Entregue"),$W533&gt;0.005),"Cobrar",IF($I533="Orçamento","Aguardando aprovação",""))))</f>
        <v>0</v>
      </c>
      <c r="Z533" s="33">
        <f>IF(AND($I533="Entregue",$M533&lt;&gt;""),DATE(YEAR($M533),MONTH($M533),1),"")</f>
        <v>0</v>
      </c>
      <c r="AA533" s="34">
        <f>IF(AND($C533&lt;&gt;"",$C533=HistPlaca),COUNTIF($C$5:$C533,HistPlaca),"")</f>
        <v>0</v>
      </c>
    </row>
    <row r="534" spans="1:27">
      <c r="A534" s="17"/>
      <c r="B534" s="25"/>
      <c r="C534" s="13"/>
      <c r="D534" s="26">
        <f>IF($C534="","",IFERROR(INDEX(VeicCli,MATCH($C534,VeicPlaca,0)),"Placa não cadastrada"))</f>
        <v>0</v>
      </c>
      <c r="E534" s="26">
        <f>IF($C534="","",IFERROR(INDEX(VeicModelo,MATCH($C534,VeicPlaca,0)),""))</f>
        <v>0</v>
      </c>
      <c r="F534" s="28"/>
      <c r="G534" s="13"/>
      <c r="H534" s="13"/>
      <c r="I534" s="13"/>
      <c r="J534" s="29"/>
      <c r="K534" s="19"/>
      <c r="L534" s="19"/>
      <c r="M534" s="25"/>
      <c r="N534" s="13"/>
      <c r="O534" s="19"/>
      <c r="P534" s="27">
        <f>IF($A534="","",N($J534)*ValorHora)</f>
        <v>0</v>
      </c>
      <c r="Q534" s="27">
        <f>IF($A534="","",SUMIFS(ItTotal,ItOS,$A534))</f>
        <v>0</v>
      </c>
      <c r="R534" s="30">
        <f>IF($A534="","",$P534+$Q534+N($K534)-N($L534))</f>
        <v>0</v>
      </c>
      <c r="S534" s="27">
        <f>IF($A534="","",SUMIFS(ItCusto,ItOS,$A534))</f>
        <v>0</v>
      </c>
      <c r="T534" s="27">
        <f>IF($A534="","",$P534*ComMec)</f>
        <v>0</v>
      </c>
      <c r="U534" s="21">
        <f>IF($A534="","",$R534-$S534-$T534-N($K534))</f>
        <v>0</v>
      </c>
      <c r="V534" s="31">
        <f>IF(OR($A534="",N($R534)&lt;=0),"",$U534/$R534)</f>
        <v>0</v>
      </c>
      <c r="W534" s="27">
        <f>IF($A534="","",IF(OR($I534="Finalizado",$I534="Entregue"),MAX(0,$R534-N($O534)),0))</f>
        <v>0</v>
      </c>
      <c r="X534" s="32">
        <f>IF(OR($A534="",$B534=""),"",IF(OR($I534="Entregue",$I534="Cancelada"),"",Hoje-$B534))</f>
        <v>0</v>
      </c>
      <c r="Y534" s="24">
        <f>IF($A534="","",IF(AND(OR($I534="Aprovado",$I534="Em execução",$I534="Aguardando peça"),N($X534)&gt;PrazoMax),"ATRASADA",IF(AND(OR($I534="Finalizado",$I534="Entregue"),$W534&gt;0.005),"Cobrar",IF($I534="Orçamento","Aguardando aprovação",""))))</f>
        <v>0</v>
      </c>
      <c r="Z534" s="33">
        <f>IF(AND($I534="Entregue",$M534&lt;&gt;""),DATE(YEAR($M534),MONTH($M534),1),"")</f>
        <v>0</v>
      </c>
      <c r="AA534" s="34">
        <f>IF(AND($C534&lt;&gt;"",$C534=HistPlaca),COUNTIF($C$5:$C534,HistPlaca),"")</f>
        <v>0</v>
      </c>
    </row>
    <row r="535" spans="1:27">
      <c r="A535" s="17"/>
      <c r="B535" s="25"/>
      <c r="C535" s="13"/>
      <c r="D535" s="26">
        <f>IF($C535="","",IFERROR(INDEX(VeicCli,MATCH($C535,VeicPlaca,0)),"Placa não cadastrada"))</f>
        <v>0</v>
      </c>
      <c r="E535" s="26">
        <f>IF($C535="","",IFERROR(INDEX(VeicModelo,MATCH($C535,VeicPlaca,0)),""))</f>
        <v>0</v>
      </c>
      <c r="F535" s="28"/>
      <c r="G535" s="13"/>
      <c r="H535" s="13"/>
      <c r="I535" s="13"/>
      <c r="J535" s="29"/>
      <c r="K535" s="19"/>
      <c r="L535" s="19"/>
      <c r="M535" s="25"/>
      <c r="N535" s="13"/>
      <c r="O535" s="19"/>
      <c r="P535" s="27">
        <f>IF($A535="","",N($J535)*ValorHora)</f>
        <v>0</v>
      </c>
      <c r="Q535" s="27">
        <f>IF($A535="","",SUMIFS(ItTotal,ItOS,$A535))</f>
        <v>0</v>
      </c>
      <c r="R535" s="30">
        <f>IF($A535="","",$P535+$Q535+N($K535)-N($L535))</f>
        <v>0</v>
      </c>
      <c r="S535" s="27">
        <f>IF($A535="","",SUMIFS(ItCusto,ItOS,$A535))</f>
        <v>0</v>
      </c>
      <c r="T535" s="27">
        <f>IF($A535="","",$P535*ComMec)</f>
        <v>0</v>
      </c>
      <c r="U535" s="21">
        <f>IF($A535="","",$R535-$S535-$T535-N($K535))</f>
        <v>0</v>
      </c>
      <c r="V535" s="31">
        <f>IF(OR($A535="",N($R535)&lt;=0),"",$U535/$R535)</f>
        <v>0</v>
      </c>
      <c r="W535" s="27">
        <f>IF($A535="","",IF(OR($I535="Finalizado",$I535="Entregue"),MAX(0,$R535-N($O535)),0))</f>
        <v>0</v>
      </c>
      <c r="X535" s="32">
        <f>IF(OR($A535="",$B535=""),"",IF(OR($I535="Entregue",$I535="Cancelada"),"",Hoje-$B535))</f>
        <v>0</v>
      </c>
      <c r="Y535" s="24">
        <f>IF($A535="","",IF(AND(OR($I535="Aprovado",$I535="Em execução",$I535="Aguardando peça"),N($X535)&gt;PrazoMax),"ATRASADA",IF(AND(OR($I535="Finalizado",$I535="Entregue"),$W535&gt;0.005),"Cobrar",IF($I535="Orçamento","Aguardando aprovação",""))))</f>
        <v>0</v>
      </c>
      <c r="Z535" s="33">
        <f>IF(AND($I535="Entregue",$M535&lt;&gt;""),DATE(YEAR($M535),MONTH($M535),1),"")</f>
        <v>0</v>
      </c>
      <c r="AA535" s="34">
        <f>IF(AND($C535&lt;&gt;"",$C535=HistPlaca),COUNTIF($C$5:$C535,HistPlaca),"")</f>
        <v>0</v>
      </c>
    </row>
    <row r="536" spans="1:27">
      <c r="A536" s="17"/>
      <c r="B536" s="25"/>
      <c r="C536" s="13"/>
      <c r="D536" s="26">
        <f>IF($C536="","",IFERROR(INDEX(VeicCli,MATCH($C536,VeicPlaca,0)),"Placa não cadastrada"))</f>
        <v>0</v>
      </c>
      <c r="E536" s="26">
        <f>IF($C536="","",IFERROR(INDEX(VeicModelo,MATCH($C536,VeicPlaca,0)),""))</f>
        <v>0</v>
      </c>
      <c r="F536" s="28"/>
      <c r="G536" s="13"/>
      <c r="H536" s="13"/>
      <c r="I536" s="13"/>
      <c r="J536" s="29"/>
      <c r="K536" s="19"/>
      <c r="L536" s="19"/>
      <c r="M536" s="25"/>
      <c r="N536" s="13"/>
      <c r="O536" s="19"/>
      <c r="P536" s="27">
        <f>IF($A536="","",N($J536)*ValorHora)</f>
        <v>0</v>
      </c>
      <c r="Q536" s="27">
        <f>IF($A536="","",SUMIFS(ItTotal,ItOS,$A536))</f>
        <v>0</v>
      </c>
      <c r="R536" s="30">
        <f>IF($A536="","",$P536+$Q536+N($K536)-N($L536))</f>
        <v>0</v>
      </c>
      <c r="S536" s="27">
        <f>IF($A536="","",SUMIFS(ItCusto,ItOS,$A536))</f>
        <v>0</v>
      </c>
      <c r="T536" s="27">
        <f>IF($A536="","",$P536*ComMec)</f>
        <v>0</v>
      </c>
      <c r="U536" s="21">
        <f>IF($A536="","",$R536-$S536-$T536-N($K536))</f>
        <v>0</v>
      </c>
      <c r="V536" s="31">
        <f>IF(OR($A536="",N($R536)&lt;=0),"",$U536/$R536)</f>
        <v>0</v>
      </c>
      <c r="W536" s="27">
        <f>IF($A536="","",IF(OR($I536="Finalizado",$I536="Entregue"),MAX(0,$R536-N($O536)),0))</f>
        <v>0</v>
      </c>
      <c r="X536" s="32">
        <f>IF(OR($A536="",$B536=""),"",IF(OR($I536="Entregue",$I536="Cancelada"),"",Hoje-$B536))</f>
        <v>0</v>
      </c>
      <c r="Y536" s="24">
        <f>IF($A536="","",IF(AND(OR($I536="Aprovado",$I536="Em execução",$I536="Aguardando peça"),N($X536)&gt;PrazoMax),"ATRASADA",IF(AND(OR($I536="Finalizado",$I536="Entregue"),$W536&gt;0.005),"Cobrar",IF($I536="Orçamento","Aguardando aprovação",""))))</f>
        <v>0</v>
      </c>
      <c r="Z536" s="33">
        <f>IF(AND($I536="Entregue",$M536&lt;&gt;""),DATE(YEAR($M536),MONTH($M536),1),"")</f>
        <v>0</v>
      </c>
      <c r="AA536" s="34">
        <f>IF(AND($C536&lt;&gt;"",$C536=HistPlaca),COUNTIF($C$5:$C536,HistPlaca),"")</f>
        <v>0</v>
      </c>
    </row>
    <row r="537" spans="1:27">
      <c r="A537" s="17"/>
      <c r="B537" s="25"/>
      <c r="C537" s="13"/>
      <c r="D537" s="26">
        <f>IF($C537="","",IFERROR(INDEX(VeicCli,MATCH($C537,VeicPlaca,0)),"Placa não cadastrada"))</f>
        <v>0</v>
      </c>
      <c r="E537" s="26">
        <f>IF($C537="","",IFERROR(INDEX(VeicModelo,MATCH($C537,VeicPlaca,0)),""))</f>
        <v>0</v>
      </c>
      <c r="F537" s="28"/>
      <c r="G537" s="13"/>
      <c r="H537" s="13"/>
      <c r="I537" s="13"/>
      <c r="J537" s="29"/>
      <c r="K537" s="19"/>
      <c r="L537" s="19"/>
      <c r="M537" s="25"/>
      <c r="N537" s="13"/>
      <c r="O537" s="19"/>
      <c r="P537" s="27">
        <f>IF($A537="","",N($J537)*ValorHora)</f>
        <v>0</v>
      </c>
      <c r="Q537" s="27">
        <f>IF($A537="","",SUMIFS(ItTotal,ItOS,$A537))</f>
        <v>0</v>
      </c>
      <c r="R537" s="30">
        <f>IF($A537="","",$P537+$Q537+N($K537)-N($L537))</f>
        <v>0</v>
      </c>
      <c r="S537" s="27">
        <f>IF($A537="","",SUMIFS(ItCusto,ItOS,$A537))</f>
        <v>0</v>
      </c>
      <c r="T537" s="27">
        <f>IF($A537="","",$P537*ComMec)</f>
        <v>0</v>
      </c>
      <c r="U537" s="21">
        <f>IF($A537="","",$R537-$S537-$T537-N($K537))</f>
        <v>0</v>
      </c>
      <c r="V537" s="31">
        <f>IF(OR($A537="",N($R537)&lt;=0),"",$U537/$R537)</f>
        <v>0</v>
      </c>
      <c r="W537" s="27">
        <f>IF($A537="","",IF(OR($I537="Finalizado",$I537="Entregue"),MAX(0,$R537-N($O537)),0))</f>
        <v>0</v>
      </c>
      <c r="X537" s="32">
        <f>IF(OR($A537="",$B537=""),"",IF(OR($I537="Entregue",$I537="Cancelada"),"",Hoje-$B537))</f>
        <v>0</v>
      </c>
      <c r="Y537" s="24">
        <f>IF($A537="","",IF(AND(OR($I537="Aprovado",$I537="Em execução",$I537="Aguardando peça"),N($X537)&gt;PrazoMax),"ATRASADA",IF(AND(OR($I537="Finalizado",$I537="Entregue"),$W537&gt;0.005),"Cobrar",IF($I537="Orçamento","Aguardando aprovação",""))))</f>
        <v>0</v>
      </c>
      <c r="Z537" s="33">
        <f>IF(AND($I537="Entregue",$M537&lt;&gt;""),DATE(YEAR($M537),MONTH($M537),1),"")</f>
        <v>0</v>
      </c>
      <c r="AA537" s="34">
        <f>IF(AND($C537&lt;&gt;"",$C537=HistPlaca),COUNTIF($C$5:$C537,HistPlaca),"")</f>
        <v>0</v>
      </c>
    </row>
    <row r="538" spans="1:27">
      <c r="A538" s="17"/>
      <c r="B538" s="25"/>
      <c r="C538" s="13"/>
      <c r="D538" s="26">
        <f>IF($C538="","",IFERROR(INDEX(VeicCli,MATCH($C538,VeicPlaca,0)),"Placa não cadastrada"))</f>
        <v>0</v>
      </c>
      <c r="E538" s="26">
        <f>IF($C538="","",IFERROR(INDEX(VeicModelo,MATCH($C538,VeicPlaca,0)),""))</f>
        <v>0</v>
      </c>
      <c r="F538" s="28"/>
      <c r="G538" s="13"/>
      <c r="H538" s="13"/>
      <c r="I538" s="13"/>
      <c r="J538" s="29"/>
      <c r="K538" s="19"/>
      <c r="L538" s="19"/>
      <c r="M538" s="25"/>
      <c r="N538" s="13"/>
      <c r="O538" s="19"/>
      <c r="P538" s="27">
        <f>IF($A538="","",N($J538)*ValorHora)</f>
        <v>0</v>
      </c>
      <c r="Q538" s="27">
        <f>IF($A538="","",SUMIFS(ItTotal,ItOS,$A538))</f>
        <v>0</v>
      </c>
      <c r="R538" s="30">
        <f>IF($A538="","",$P538+$Q538+N($K538)-N($L538))</f>
        <v>0</v>
      </c>
      <c r="S538" s="27">
        <f>IF($A538="","",SUMIFS(ItCusto,ItOS,$A538))</f>
        <v>0</v>
      </c>
      <c r="T538" s="27">
        <f>IF($A538="","",$P538*ComMec)</f>
        <v>0</v>
      </c>
      <c r="U538" s="21">
        <f>IF($A538="","",$R538-$S538-$T538-N($K538))</f>
        <v>0</v>
      </c>
      <c r="V538" s="31">
        <f>IF(OR($A538="",N($R538)&lt;=0),"",$U538/$R538)</f>
        <v>0</v>
      </c>
      <c r="W538" s="27">
        <f>IF($A538="","",IF(OR($I538="Finalizado",$I538="Entregue"),MAX(0,$R538-N($O538)),0))</f>
        <v>0</v>
      </c>
      <c r="X538" s="32">
        <f>IF(OR($A538="",$B538=""),"",IF(OR($I538="Entregue",$I538="Cancelada"),"",Hoje-$B538))</f>
        <v>0</v>
      </c>
      <c r="Y538" s="24">
        <f>IF($A538="","",IF(AND(OR($I538="Aprovado",$I538="Em execução",$I538="Aguardando peça"),N($X538)&gt;PrazoMax),"ATRASADA",IF(AND(OR($I538="Finalizado",$I538="Entregue"),$W538&gt;0.005),"Cobrar",IF($I538="Orçamento","Aguardando aprovação",""))))</f>
        <v>0</v>
      </c>
      <c r="Z538" s="33">
        <f>IF(AND($I538="Entregue",$M538&lt;&gt;""),DATE(YEAR($M538),MONTH($M538),1),"")</f>
        <v>0</v>
      </c>
      <c r="AA538" s="34">
        <f>IF(AND($C538&lt;&gt;"",$C538=HistPlaca),COUNTIF($C$5:$C538,HistPlaca),"")</f>
        <v>0</v>
      </c>
    </row>
    <row r="539" spans="1:27">
      <c r="A539" s="17"/>
      <c r="B539" s="25"/>
      <c r="C539" s="13"/>
      <c r="D539" s="26">
        <f>IF($C539="","",IFERROR(INDEX(VeicCli,MATCH($C539,VeicPlaca,0)),"Placa não cadastrada"))</f>
        <v>0</v>
      </c>
      <c r="E539" s="26">
        <f>IF($C539="","",IFERROR(INDEX(VeicModelo,MATCH($C539,VeicPlaca,0)),""))</f>
        <v>0</v>
      </c>
      <c r="F539" s="28"/>
      <c r="G539" s="13"/>
      <c r="H539" s="13"/>
      <c r="I539" s="13"/>
      <c r="J539" s="29"/>
      <c r="K539" s="19"/>
      <c r="L539" s="19"/>
      <c r="M539" s="25"/>
      <c r="N539" s="13"/>
      <c r="O539" s="19"/>
      <c r="P539" s="27">
        <f>IF($A539="","",N($J539)*ValorHora)</f>
        <v>0</v>
      </c>
      <c r="Q539" s="27">
        <f>IF($A539="","",SUMIFS(ItTotal,ItOS,$A539))</f>
        <v>0</v>
      </c>
      <c r="R539" s="30">
        <f>IF($A539="","",$P539+$Q539+N($K539)-N($L539))</f>
        <v>0</v>
      </c>
      <c r="S539" s="27">
        <f>IF($A539="","",SUMIFS(ItCusto,ItOS,$A539))</f>
        <v>0</v>
      </c>
      <c r="T539" s="27">
        <f>IF($A539="","",$P539*ComMec)</f>
        <v>0</v>
      </c>
      <c r="U539" s="21">
        <f>IF($A539="","",$R539-$S539-$T539-N($K539))</f>
        <v>0</v>
      </c>
      <c r="V539" s="31">
        <f>IF(OR($A539="",N($R539)&lt;=0),"",$U539/$R539)</f>
        <v>0</v>
      </c>
      <c r="W539" s="27">
        <f>IF($A539="","",IF(OR($I539="Finalizado",$I539="Entregue"),MAX(0,$R539-N($O539)),0))</f>
        <v>0</v>
      </c>
      <c r="X539" s="32">
        <f>IF(OR($A539="",$B539=""),"",IF(OR($I539="Entregue",$I539="Cancelada"),"",Hoje-$B539))</f>
        <v>0</v>
      </c>
      <c r="Y539" s="24">
        <f>IF($A539="","",IF(AND(OR($I539="Aprovado",$I539="Em execução",$I539="Aguardando peça"),N($X539)&gt;PrazoMax),"ATRASADA",IF(AND(OR($I539="Finalizado",$I539="Entregue"),$W539&gt;0.005),"Cobrar",IF($I539="Orçamento","Aguardando aprovação",""))))</f>
        <v>0</v>
      </c>
      <c r="Z539" s="33">
        <f>IF(AND($I539="Entregue",$M539&lt;&gt;""),DATE(YEAR($M539),MONTH($M539),1),"")</f>
        <v>0</v>
      </c>
      <c r="AA539" s="34">
        <f>IF(AND($C539&lt;&gt;"",$C539=HistPlaca),COUNTIF($C$5:$C539,HistPlaca),"")</f>
        <v>0</v>
      </c>
    </row>
    <row r="540" spans="1:27">
      <c r="A540" s="17"/>
      <c r="B540" s="25"/>
      <c r="C540" s="13"/>
      <c r="D540" s="26">
        <f>IF($C540="","",IFERROR(INDEX(VeicCli,MATCH($C540,VeicPlaca,0)),"Placa não cadastrada"))</f>
        <v>0</v>
      </c>
      <c r="E540" s="26">
        <f>IF($C540="","",IFERROR(INDEX(VeicModelo,MATCH($C540,VeicPlaca,0)),""))</f>
        <v>0</v>
      </c>
      <c r="F540" s="28"/>
      <c r="G540" s="13"/>
      <c r="H540" s="13"/>
      <c r="I540" s="13"/>
      <c r="J540" s="29"/>
      <c r="K540" s="19"/>
      <c r="L540" s="19"/>
      <c r="M540" s="25"/>
      <c r="N540" s="13"/>
      <c r="O540" s="19"/>
      <c r="P540" s="27">
        <f>IF($A540="","",N($J540)*ValorHora)</f>
        <v>0</v>
      </c>
      <c r="Q540" s="27">
        <f>IF($A540="","",SUMIFS(ItTotal,ItOS,$A540))</f>
        <v>0</v>
      </c>
      <c r="R540" s="30">
        <f>IF($A540="","",$P540+$Q540+N($K540)-N($L540))</f>
        <v>0</v>
      </c>
      <c r="S540" s="27">
        <f>IF($A540="","",SUMIFS(ItCusto,ItOS,$A540))</f>
        <v>0</v>
      </c>
      <c r="T540" s="27">
        <f>IF($A540="","",$P540*ComMec)</f>
        <v>0</v>
      </c>
      <c r="U540" s="21">
        <f>IF($A540="","",$R540-$S540-$T540-N($K540))</f>
        <v>0</v>
      </c>
      <c r="V540" s="31">
        <f>IF(OR($A540="",N($R540)&lt;=0),"",$U540/$R540)</f>
        <v>0</v>
      </c>
      <c r="W540" s="27">
        <f>IF($A540="","",IF(OR($I540="Finalizado",$I540="Entregue"),MAX(0,$R540-N($O540)),0))</f>
        <v>0</v>
      </c>
      <c r="X540" s="32">
        <f>IF(OR($A540="",$B540=""),"",IF(OR($I540="Entregue",$I540="Cancelada"),"",Hoje-$B540))</f>
        <v>0</v>
      </c>
      <c r="Y540" s="24">
        <f>IF($A540="","",IF(AND(OR($I540="Aprovado",$I540="Em execução",$I540="Aguardando peça"),N($X540)&gt;PrazoMax),"ATRASADA",IF(AND(OR($I540="Finalizado",$I540="Entregue"),$W540&gt;0.005),"Cobrar",IF($I540="Orçamento","Aguardando aprovação",""))))</f>
        <v>0</v>
      </c>
      <c r="Z540" s="33">
        <f>IF(AND($I540="Entregue",$M540&lt;&gt;""),DATE(YEAR($M540),MONTH($M540),1),"")</f>
        <v>0</v>
      </c>
      <c r="AA540" s="34">
        <f>IF(AND($C540&lt;&gt;"",$C540=HistPlaca),COUNTIF($C$5:$C540,HistPlaca),"")</f>
        <v>0</v>
      </c>
    </row>
    <row r="541" spans="1:27">
      <c r="A541" s="17"/>
      <c r="B541" s="25"/>
      <c r="C541" s="13"/>
      <c r="D541" s="26">
        <f>IF($C541="","",IFERROR(INDEX(VeicCli,MATCH($C541,VeicPlaca,0)),"Placa não cadastrada"))</f>
        <v>0</v>
      </c>
      <c r="E541" s="26">
        <f>IF($C541="","",IFERROR(INDEX(VeicModelo,MATCH($C541,VeicPlaca,0)),""))</f>
        <v>0</v>
      </c>
      <c r="F541" s="28"/>
      <c r="G541" s="13"/>
      <c r="H541" s="13"/>
      <c r="I541" s="13"/>
      <c r="J541" s="29"/>
      <c r="K541" s="19"/>
      <c r="L541" s="19"/>
      <c r="M541" s="25"/>
      <c r="N541" s="13"/>
      <c r="O541" s="19"/>
      <c r="P541" s="27">
        <f>IF($A541="","",N($J541)*ValorHora)</f>
        <v>0</v>
      </c>
      <c r="Q541" s="27">
        <f>IF($A541="","",SUMIFS(ItTotal,ItOS,$A541))</f>
        <v>0</v>
      </c>
      <c r="R541" s="30">
        <f>IF($A541="","",$P541+$Q541+N($K541)-N($L541))</f>
        <v>0</v>
      </c>
      <c r="S541" s="27">
        <f>IF($A541="","",SUMIFS(ItCusto,ItOS,$A541))</f>
        <v>0</v>
      </c>
      <c r="T541" s="27">
        <f>IF($A541="","",$P541*ComMec)</f>
        <v>0</v>
      </c>
      <c r="U541" s="21">
        <f>IF($A541="","",$R541-$S541-$T541-N($K541))</f>
        <v>0</v>
      </c>
      <c r="V541" s="31">
        <f>IF(OR($A541="",N($R541)&lt;=0),"",$U541/$R541)</f>
        <v>0</v>
      </c>
      <c r="W541" s="27">
        <f>IF($A541="","",IF(OR($I541="Finalizado",$I541="Entregue"),MAX(0,$R541-N($O541)),0))</f>
        <v>0</v>
      </c>
      <c r="X541" s="32">
        <f>IF(OR($A541="",$B541=""),"",IF(OR($I541="Entregue",$I541="Cancelada"),"",Hoje-$B541))</f>
        <v>0</v>
      </c>
      <c r="Y541" s="24">
        <f>IF($A541="","",IF(AND(OR($I541="Aprovado",$I541="Em execução",$I541="Aguardando peça"),N($X541)&gt;PrazoMax),"ATRASADA",IF(AND(OR($I541="Finalizado",$I541="Entregue"),$W541&gt;0.005),"Cobrar",IF($I541="Orçamento","Aguardando aprovação",""))))</f>
        <v>0</v>
      </c>
      <c r="Z541" s="33">
        <f>IF(AND($I541="Entregue",$M541&lt;&gt;""),DATE(YEAR($M541),MONTH($M541),1),"")</f>
        <v>0</v>
      </c>
      <c r="AA541" s="34">
        <f>IF(AND($C541&lt;&gt;"",$C541=HistPlaca),COUNTIF($C$5:$C541,HistPlaca),"")</f>
        <v>0</v>
      </c>
    </row>
    <row r="542" spans="1:27">
      <c r="A542" s="17"/>
      <c r="B542" s="25"/>
      <c r="C542" s="13"/>
      <c r="D542" s="26">
        <f>IF($C542="","",IFERROR(INDEX(VeicCli,MATCH($C542,VeicPlaca,0)),"Placa não cadastrada"))</f>
        <v>0</v>
      </c>
      <c r="E542" s="26">
        <f>IF($C542="","",IFERROR(INDEX(VeicModelo,MATCH($C542,VeicPlaca,0)),""))</f>
        <v>0</v>
      </c>
      <c r="F542" s="28"/>
      <c r="G542" s="13"/>
      <c r="H542" s="13"/>
      <c r="I542" s="13"/>
      <c r="J542" s="29"/>
      <c r="K542" s="19"/>
      <c r="L542" s="19"/>
      <c r="M542" s="25"/>
      <c r="N542" s="13"/>
      <c r="O542" s="19"/>
      <c r="P542" s="27">
        <f>IF($A542="","",N($J542)*ValorHora)</f>
        <v>0</v>
      </c>
      <c r="Q542" s="27">
        <f>IF($A542="","",SUMIFS(ItTotal,ItOS,$A542))</f>
        <v>0</v>
      </c>
      <c r="R542" s="30">
        <f>IF($A542="","",$P542+$Q542+N($K542)-N($L542))</f>
        <v>0</v>
      </c>
      <c r="S542" s="27">
        <f>IF($A542="","",SUMIFS(ItCusto,ItOS,$A542))</f>
        <v>0</v>
      </c>
      <c r="T542" s="27">
        <f>IF($A542="","",$P542*ComMec)</f>
        <v>0</v>
      </c>
      <c r="U542" s="21">
        <f>IF($A542="","",$R542-$S542-$T542-N($K542))</f>
        <v>0</v>
      </c>
      <c r="V542" s="31">
        <f>IF(OR($A542="",N($R542)&lt;=0),"",$U542/$R542)</f>
        <v>0</v>
      </c>
      <c r="W542" s="27">
        <f>IF($A542="","",IF(OR($I542="Finalizado",$I542="Entregue"),MAX(0,$R542-N($O542)),0))</f>
        <v>0</v>
      </c>
      <c r="X542" s="32">
        <f>IF(OR($A542="",$B542=""),"",IF(OR($I542="Entregue",$I542="Cancelada"),"",Hoje-$B542))</f>
        <v>0</v>
      </c>
      <c r="Y542" s="24">
        <f>IF($A542="","",IF(AND(OR($I542="Aprovado",$I542="Em execução",$I542="Aguardando peça"),N($X542)&gt;PrazoMax),"ATRASADA",IF(AND(OR($I542="Finalizado",$I542="Entregue"),$W542&gt;0.005),"Cobrar",IF($I542="Orçamento","Aguardando aprovação",""))))</f>
        <v>0</v>
      </c>
      <c r="Z542" s="33">
        <f>IF(AND($I542="Entregue",$M542&lt;&gt;""),DATE(YEAR($M542),MONTH($M542),1),"")</f>
        <v>0</v>
      </c>
      <c r="AA542" s="34">
        <f>IF(AND($C542&lt;&gt;"",$C542=HistPlaca),COUNTIF($C$5:$C542,HistPlaca),"")</f>
        <v>0</v>
      </c>
    </row>
    <row r="543" spans="1:27">
      <c r="A543" s="17"/>
      <c r="B543" s="25"/>
      <c r="C543" s="13"/>
      <c r="D543" s="26">
        <f>IF($C543="","",IFERROR(INDEX(VeicCli,MATCH($C543,VeicPlaca,0)),"Placa não cadastrada"))</f>
        <v>0</v>
      </c>
      <c r="E543" s="26">
        <f>IF($C543="","",IFERROR(INDEX(VeicModelo,MATCH($C543,VeicPlaca,0)),""))</f>
        <v>0</v>
      </c>
      <c r="F543" s="28"/>
      <c r="G543" s="13"/>
      <c r="H543" s="13"/>
      <c r="I543" s="13"/>
      <c r="J543" s="29"/>
      <c r="K543" s="19"/>
      <c r="L543" s="19"/>
      <c r="M543" s="25"/>
      <c r="N543" s="13"/>
      <c r="O543" s="19"/>
      <c r="P543" s="27">
        <f>IF($A543="","",N($J543)*ValorHora)</f>
        <v>0</v>
      </c>
      <c r="Q543" s="27">
        <f>IF($A543="","",SUMIFS(ItTotal,ItOS,$A543))</f>
        <v>0</v>
      </c>
      <c r="R543" s="30">
        <f>IF($A543="","",$P543+$Q543+N($K543)-N($L543))</f>
        <v>0</v>
      </c>
      <c r="S543" s="27">
        <f>IF($A543="","",SUMIFS(ItCusto,ItOS,$A543))</f>
        <v>0</v>
      </c>
      <c r="T543" s="27">
        <f>IF($A543="","",$P543*ComMec)</f>
        <v>0</v>
      </c>
      <c r="U543" s="21">
        <f>IF($A543="","",$R543-$S543-$T543-N($K543))</f>
        <v>0</v>
      </c>
      <c r="V543" s="31">
        <f>IF(OR($A543="",N($R543)&lt;=0),"",$U543/$R543)</f>
        <v>0</v>
      </c>
      <c r="W543" s="27">
        <f>IF($A543="","",IF(OR($I543="Finalizado",$I543="Entregue"),MAX(0,$R543-N($O543)),0))</f>
        <v>0</v>
      </c>
      <c r="X543" s="32">
        <f>IF(OR($A543="",$B543=""),"",IF(OR($I543="Entregue",$I543="Cancelada"),"",Hoje-$B543))</f>
        <v>0</v>
      </c>
      <c r="Y543" s="24">
        <f>IF($A543="","",IF(AND(OR($I543="Aprovado",$I543="Em execução",$I543="Aguardando peça"),N($X543)&gt;PrazoMax),"ATRASADA",IF(AND(OR($I543="Finalizado",$I543="Entregue"),$W543&gt;0.005),"Cobrar",IF($I543="Orçamento","Aguardando aprovação",""))))</f>
        <v>0</v>
      </c>
      <c r="Z543" s="33">
        <f>IF(AND($I543="Entregue",$M543&lt;&gt;""),DATE(YEAR($M543),MONTH($M543),1),"")</f>
        <v>0</v>
      </c>
      <c r="AA543" s="34">
        <f>IF(AND($C543&lt;&gt;"",$C543=HistPlaca),COUNTIF($C$5:$C543,HistPlaca),"")</f>
        <v>0</v>
      </c>
    </row>
    <row r="544" spans="1:27">
      <c r="A544" s="17"/>
      <c r="B544" s="25"/>
      <c r="C544" s="13"/>
      <c r="D544" s="26">
        <f>IF($C544="","",IFERROR(INDEX(VeicCli,MATCH($C544,VeicPlaca,0)),"Placa não cadastrada"))</f>
        <v>0</v>
      </c>
      <c r="E544" s="26">
        <f>IF($C544="","",IFERROR(INDEX(VeicModelo,MATCH($C544,VeicPlaca,0)),""))</f>
        <v>0</v>
      </c>
      <c r="F544" s="28"/>
      <c r="G544" s="13"/>
      <c r="H544" s="13"/>
      <c r="I544" s="13"/>
      <c r="J544" s="29"/>
      <c r="K544" s="19"/>
      <c r="L544" s="19"/>
      <c r="M544" s="25"/>
      <c r="N544" s="13"/>
      <c r="O544" s="19"/>
      <c r="P544" s="27">
        <f>IF($A544="","",N($J544)*ValorHora)</f>
        <v>0</v>
      </c>
      <c r="Q544" s="27">
        <f>IF($A544="","",SUMIFS(ItTotal,ItOS,$A544))</f>
        <v>0</v>
      </c>
      <c r="R544" s="30">
        <f>IF($A544="","",$P544+$Q544+N($K544)-N($L544))</f>
        <v>0</v>
      </c>
      <c r="S544" s="27">
        <f>IF($A544="","",SUMIFS(ItCusto,ItOS,$A544))</f>
        <v>0</v>
      </c>
      <c r="T544" s="27">
        <f>IF($A544="","",$P544*ComMec)</f>
        <v>0</v>
      </c>
      <c r="U544" s="21">
        <f>IF($A544="","",$R544-$S544-$T544-N($K544))</f>
        <v>0</v>
      </c>
      <c r="V544" s="31">
        <f>IF(OR($A544="",N($R544)&lt;=0),"",$U544/$R544)</f>
        <v>0</v>
      </c>
      <c r="W544" s="27">
        <f>IF($A544="","",IF(OR($I544="Finalizado",$I544="Entregue"),MAX(0,$R544-N($O544)),0))</f>
        <v>0</v>
      </c>
      <c r="X544" s="32">
        <f>IF(OR($A544="",$B544=""),"",IF(OR($I544="Entregue",$I544="Cancelada"),"",Hoje-$B544))</f>
        <v>0</v>
      </c>
      <c r="Y544" s="24">
        <f>IF($A544="","",IF(AND(OR($I544="Aprovado",$I544="Em execução",$I544="Aguardando peça"),N($X544)&gt;PrazoMax),"ATRASADA",IF(AND(OR($I544="Finalizado",$I544="Entregue"),$W544&gt;0.005),"Cobrar",IF($I544="Orçamento","Aguardando aprovação",""))))</f>
        <v>0</v>
      </c>
      <c r="Z544" s="33">
        <f>IF(AND($I544="Entregue",$M544&lt;&gt;""),DATE(YEAR($M544),MONTH($M544),1),"")</f>
        <v>0</v>
      </c>
      <c r="AA544" s="34">
        <f>IF(AND($C544&lt;&gt;"",$C544=HistPlaca),COUNTIF($C$5:$C544,HistPlaca),"")</f>
        <v>0</v>
      </c>
    </row>
    <row r="545" spans="1:27">
      <c r="A545" s="17"/>
      <c r="B545" s="25"/>
      <c r="C545" s="13"/>
      <c r="D545" s="26">
        <f>IF($C545="","",IFERROR(INDEX(VeicCli,MATCH($C545,VeicPlaca,0)),"Placa não cadastrada"))</f>
        <v>0</v>
      </c>
      <c r="E545" s="26">
        <f>IF($C545="","",IFERROR(INDEX(VeicModelo,MATCH($C545,VeicPlaca,0)),""))</f>
        <v>0</v>
      </c>
      <c r="F545" s="28"/>
      <c r="G545" s="13"/>
      <c r="H545" s="13"/>
      <c r="I545" s="13"/>
      <c r="J545" s="29"/>
      <c r="K545" s="19"/>
      <c r="L545" s="19"/>
      <c r="M545" s="25"/>
      <c r="N545" s="13"/>
      <c r="O545" s="19"/>
      <c r="P545" s="27">
        <f>IF($A545="","",N($J545)*ValorHora)</f>
        <v>0</v>
      </c>
      <c r="Q545" s="27">
        <f>IF($A545="","",SUMIFS(ItTotal,ItOS,$A545))</f>
        <v>0</v>
      </c>
      <c r="R545" s="30">
        <f>IF($A545="","",$P545+$Q545+N($K545)-N($L545))</f>
        <v>0</v>
      </c>
      <c r="S545" s="27">
        <f>IF($A545="","",SUMIFS(ItCusto,ItOS,$A545))</f>
        <v>0</v>
      </c>
      <c r="T545" s="27">
        <f>IF($A545="","",$P545*ComMec)</f>
        <v>0</v>
      </c>
      <c r="U545" s="21">
        <f>IF($A545="","",$R545-$S545-$T545-N($K545))</f>
        <v>0</v>
      </c>
      <c r="V545" s="31">
        <f>IF(OR($A545="",N($R545)&lt;=0),"",$U545/$R545)</f>
        <v>0</v>
      </c>
      <c r="W545" s="27">
        <f>IF($A545="","",IF(OR($I545="Finalizado",$I545="Entregue"),MAX(0,$R545-N($O545)),0))</f>
        <v>0</v>
      </c>
      <c r="X545" s="32">
        <f>IF(OR($A545="",$B545=""),"",IF(OR($I545="Entregue",$I545="Cancelada"),"",Hoje-$B545))</f>
        <v>0</v>
      </c>
      <c r="Y545" s="24">
        <f>IF($A545="","",IF(AND(OR($I545="Aprovado",$I545="Em execução",$I545="Aguardando peça"),N($X545)&gt;PrazoMax),"ATRASADA",IF(AND(OR($I545="Finalizado",$I545="Entregue"),$W545&gt;0.005),"Cobrar",IF($I545="Orçamento","Aguardando aprovação",""))))</f>
        <v>0</v>
      </c>
      <c r="Z545" s="33">
        <f>IF(AND($I545="Entregue",$M545&lt;&gt;""),DATE(YEAR($M545),MONTH($M545),1),"")</f>
        <v>0</v>
      </c>
      <c r="AA545" s="34">
        <f>IF(AND($C545&lt;&gt;"",$C545=HistPlaca),COUNTIF($C$5:$C545,HistPlaca),"")</f>
        <v>0</v>
      </c>
    </row>
    <row r="546" spans="1:27">
      <c r="A546" s="17"/>
      <c r="B546" s="25"/>
      <c r="C546" s="13"/>
      <c r="D546" s="26">
        <f>IF($C546="","",IFERROR(INDEX(VeicCli,MATCH($C546,VeicPlaca,0)),"Placa não cadastrada"))</f>
        <v>0</v>
      </c>
      <c r="E546" s="26">
        <f>IF($C546="","",IFERROR(INDEX(VeicModelo,MATCH($C546,VeicPlaca,0)),""))</f>
        <v>0</v>
      </c>
      <c r="F546" s="28"/>
      <c r="G546" s="13"/>
      <c r="H546" s="13"/>
      <c r="I546" s="13"/>
      <c r="J546" s="29"/>
      <c r="K546" s="19"/>
      <c r="L546" s="19"/>
      <c r="M546" s="25"/>
      <c r="N546" s="13"/>
      <c r="O546" s="19"/>
      <c r="P546" s="27">
        <f>IF($A546="","",N($J546)*ValorHora)</f>
        <v>0</v>
      </c>
      <c r="Q546" s="27">
        <f>IF($A546="","",SUMIFS(ItTotal,ItOS,$A546))</f>
        <v>0</v>
      </c>
      <c r="R546" s="30">
        <f>IF($A546="","",$P546+$Q546+N($K546)-N($L546))</f>
        <v>0</v>
      </c>
      <c r="S546" s="27">
        <f>IF($A546="","",SUMIFS(ItCusto,ItOS,$A546))</f>
        <v>0</v>
      </c>
      <c r="T546" s="27">
        <f>IF($A546="","",$P546*ComMec)</f>
        <v>0</v>
      </c>
      <c r="U546" s="21">
        <f>IF($A546="","",$R546-$S546-$T546-N($K546))</f>
        <v>0</v>
      </c>
      <c r="V546" s="31">
        <f>IF(OR($A546="",N($R546)&lt;=0),"",$U546/$R546)</f>
        <v>0</v>
      </c>
      <c r="W546" s="27">
        <f>IF($A546="","",IF(OR($I546="Finalizado",$I546="Entregue"),MAX(0,$R546-N($O546)),0))</f>
        <v>0</v>
      </c>
      <c r="X546" s="32">
        <f>IF(OR($A546="",$B546=""),"",IF(OR($I546="Entregue",$I546="Cancelada"),"",Hoje-$B546))</f>
        <v>0</v>
      </c>
      <c r="Y546" s="24">
        <f>IF($A546="","",IF(AND(OR($I546="Aprovado",$I546="Em execução",$I546="Aguardando peça"),N($X546)&gt;PrazoMax),"ATRASADA",IF(AND(OR($I546="Finalizado",$I546="Entregue"),$W546&gt;0.005),"Cobrar",IF($I546="Orçamento","Aguardando aprovação",""))))</f>
        <v>0</v>
      </c>
      <c r="Z546" s="33">
        <f>IF(AND($I546="Entregue",$M546&lt;&gt;""),DATE(YEAR($M546),MONTH($M546),1),"")</f>
        <v>0</v>
      </c>
      <c r="AA546" s="34">
        <f>IF(AND($C546&lt;&gt;"",$C546=HistPlaca),COUNTIF($C$5:$C546,HistPlaca),"")</f>
        <v>0</v>
      </c>
    </row>
    <row r="547" spans="1:27">
      <c r="A547" s="17"/>
      <c r="B547" s="25"/>
      <c r="C547" s="13"/>
      <c r="D547" s="26">
        <f>IF($C547="","",IFERROR(INDEX(VeicCli,MATCH($C547,VeicPlaca,0)),"Placa não cadastrada"))</f>
        <v>0</v>
      </c>
      <c r="E547" s="26">
        <f>IF($C547="","",IFERROR(INDEX(VeicModelo,MATCH($C547,VeicPlaca,0)),""))</f>
        <v>0</v>
      </c>
      <c r="F547" s="28"/>
      <c r="G547" s="13"/>
      <c r="H547" s="13"/>
      <c r="I547" s="13"/>
      <c r="J547" s="29"/>
      <c r="K547" s="19"/>
      <c r="L547" s="19"/>
      <c r="M547" s="25"/>
      <c r="N547" s="13"/>
      <c r="O547" s="19"/>
      <c r="P547" s="27">
        <f>IF($A547="","",N($J547)*ValorHora)</f>
        <v>0</v>
      </c>
      <c r="Q547" s="27">
        <f>IF($A547="","",SUMIFS(ItTotal,ItOS,$A547))</f>
        <v>0</v>
      </c>
      <c r="R547" s="30">
        <f>IF($A547="","",$P547+$Q547+N($K547)-N($L547))</f>
        <v>0</v>
      </c>
      <c r="S547" s="27">
        <f>IF($A547="","",SUMIFS(ItCusto,ItOS,$A547))</f>
        <v>0</v>
      </c>
      <c r="T547" s="27">
        <f>IF($A547="","",$P547*ComMec)</f>
        <v>0</v>
      </c>
      <c r="U547" s="21">
        <f>IF($A547="","",$R547-$S547-$T547-N($K547))</f>
        <v>0</v>
      </c>
      <c r="V547" s="31">
        <f>IF(OR($A547="",N($R547)&lt;=0),"",$U547/$R547)</f>
        <v>0</v>
      </c>
      <c r="W547" s="27">
        <f>IF($A547="","",IF(OR($I547="Finalizado",$I547="Entregue"),MAX(0,$R547-N($O547)),0))</f>
        <v>0</v>
      </c>
      <c r="X547" s="32">
        <f>IF(OR($A547="",$B547=""),"",IF(OR($I547="Entregue",$I547="Cancelada"),"",Hoje-$B547))</f>
        <v>0</v>
      </c>
      <c r="Y547" s="24">
        <f>IF($A547="","",IF(AND(OR($I547="Aprovado",$I547="Em execução",$I547="Aguardando peça"),N($X547)&gt;PrazoMax),"ATRASADA",IF(AND(OR($I547="Finalizado",$I547="Entregue"),$W547&gt;0.005),"Cobrar",IF($I547="Orçamento","Aguardando aprovação",""))))</f>
        <v>0</v>
      </c>
      <c r="Z547" s="33">
        <f>IF(AND($I547="Entregue",$M547&lt;&gt;""),DATE(YEAR($M547),MONTH($M547),1),"")</f>
        <v>0</v>
      </c>
      <c r="AA547" s="34">
        <f>IF(AND($C547&lt;&gt;"",$C547=HistPlaca),COUNTIF($C$5:$C547,HistPlaca),"")</f>
        <v>0</v>
      </c>
    </row>
    <row r="548" spans="1:27">
      <c r="A548" s="17"/>
      <c r="B548" s="25"/>
      <c r="C548" s="13"/>
      <c r="D548" s="26">
        <f>IF($C548="","",IFERROR(INDEX(VeicCli,MATCH($C548,VeicPlaca,0)),"Placa não cadastrada"))</f>
        <v>0</v>
      </c>
      <c r="E548" s="26">
        <f>IF($C548="","",IFERROR(INDEX(VeicModelo,MATCH($C548,VeicPlaca,0)),""))</f>
        <v>0</v>
      </c>
      <c r="F548" s="28"/>
      <c r="G548" s="13"/>
      <c r="H548" s="13"/>
      <c r="I548" s="13"/>
      <c r="J548" s="29"/>
      <c r="K548" s="19"/>
      <c r="L548" s="19"/>
      <c r="M548" s="25"/>
      <c r="N548" s="13"/>
      <c r="O548" s="19"/>
      <c r="P548" s="27">
        <f>IF($A548="","",N($J548)*ValorHora)</f>
        <v>0</v>
      </c>
      <c r="Q548" s="27">
        <f>IF($A548="","",SUMIFS(ItTotal,ItOS,$A548))</f>
        <v>0</v>
      </c>
      <c r="R548" s="30">
        <f>IF($A548="","",$P548+$Q548+N($K548)-N($L548))</f>
        <v>0</v>
      </c>
      <c r="S548" s="27">
        <f>IF($A548="","",SUMIFS(ItCusto,ItOS,$A548))</f>
        <v>0</v>
      </c>
      <c r="T548" s="27">
        <f>IF($A548="","",$P548*ComMec)</f>
        <v>0</v>
      </c>
      <c r="U548" s="21">
        <f>IF($A548="","",$R548-$S548-$T548-N($K548))</f>
        <v>0</v>
      </c>
      <c r="V548" s="31">
        <f>IF(OR($A548="",N($R548)&lt;=0),"",$U548/$R548)</f>
        <v>0</v>
      </c>
      <c r="W548" s="27">
        <f>IF($A548="","",IF(OR($I548="Finalizado",$I548="Entregue"),MAX(0,$R548-N($O548)),0))</f>
        <v>0</v>
      </c>
      <c r="X548" s="32">
        <f>IF(OR($A548="",$B548=""),"",IF(OR($I548="Entregue",$I548="Cancelada"),"",Hoje-$B548))</f>
        <v>0</v>
      </c>
      <c r="Y548" s="24">
        <f>IF($A548="","",IF(AND(OR($I548="Aprovado",$I548="Em execução",$I548="Aguardando peça"),N($X548)&gt;PrazoMax),"ATRASADA",IF(AND(OR($I548="Finalizado",$I548="Entregue"),$W548&gt;0.005),"Cobrar",IF($I548="Orçamento","Aguardando aprovação",""))))</f>
        <v>0</v>
      </c>
      <c r="Z548" s="33">
        <f>IF(AND($I548="Entregue",$M548&lt;&gt;""),DATE(YEAR($M548),MONTH($M548),1),"")</f>
        <v>0</v>
      </c>
      <c r="AA548" s="34">
        <f>IF(AND($C548&lt;&gt;"",$C548=HistPlaca),COUNTIF($C$5:$C548,HistPlaca),"")</f>
        <v>0</v>
      </c>
    </row>
    <row r="549" spans="1:27">
      <c r="A549" s="17"/>
      <c r="B549" s="25"/>
      <c r="C549" s="13"/>
      <c r="D549" s="26">
        <f>IF($C549="","",IFERROR(INDEX(VeicCli,MATCH($C549,VeicPlaca,0)),"Placa não cadastrada"))</f>
        <v>0</v>
      </c>
      <c r="E549" s="26">
        <f>IF($C549="","",IFERROR(INDEX(VeicModelo,MATCH($C549,VeicPlaca,0)),""))</f>
        <v>0</v>
      </c>
      <c r="F549" s="28"/>
      <c r="G549" s="13"/>
      <c r="H549" s="13"/>
      <c r="I549" s="13"/>
      <c r="J549" s="29"/>
      <c r="K549" s="19"/>
      <c r="L549" s="19"/>
      <c r="M549" s="25"/>
      <c r="N549" s="13"/>
      <c r="O549" s="19"/>
      <c r="P549" s="27">
        <f>IF($A549="","",N($J549)*ValorHora)</f>
        <v>0</v>
      </c>
      <c r="Q549" s="27">
        <f>IF($A549="","",SUMIFS(ItTotal,ItOS,$A549))</f>
        <v>0</v>
      </c>
      <c r="R549" s="30">
        <f>IF($A549="","",$P549+$Q549+N($K549)-N($L549))</f>
        <v>0</v>
      </c>
      <c r="S549" s="27">
        <f>IF($A549="","",SUMIFS(ItCusto,ItOS,$A549))</f>
        <v>0</v>
      </c>
      <c r="T549" s="27">
        <f>IF($A549="","",$P549*ComMec)</f>
        <v>0</v>
      </c>
      <c r="U549" s="21">
        <f>IF($A549="","",$R549-$S549-$T549-N($K549))</f>
        <v>0</v>
      </c>
      <c r="V549" s="31">
        <f>IF(OR($A549="",N($R549)&lt;=0),"",$U549/$R549)</f>
        <v>0</v>
      </c>
      <c r="W549" s="27">
        <f>IF($A549="","",IF(OR($I549="Finalizado",$I549="Entregue"),MAX(0,$R549-N($O549)),0))</f>
        <v>0</v>
      </c>
      <c r="X549" s="32">
        <f>IF(OR($A549="",$B549=""),"",IF(OR($I549="Entregue",$I549="Cancelada"),"",Hoje-$B549))</f>
        <v>0</v>
      </c>
      <c r="Y549" s="24">
        <f>IF($A549="","",IF(AND(OR($I549="Aprovado",$I549="Em execução",$I549="Aguardando peça"),N($X549)&gt;PrazoMax),"ATRASADA",IF(AND(OR($I549="Finalizado",$I549="Entregue"),$W549&gt;0.005),"Cobrar",IF($I549="Orçamento","Aguardando aprovação",""))))</f>
        <v>0</v>
      </c>
      <c r="Z549" s="33">
        <f>IF(AND($I549="Entregue",$M549&lt;&gt;""),DATE(YEAR($M549),MONTH($M549),1),"")</f>
        <v>0</v>
      </c>
      <c r="AA549" s="34">
        <f>IF(AND($C549&lt;&gt;"",$C549=HistPlaca),COUNTIF($C$5:$C549,HistPlaca),"")</f>
        <v>0</v>
      </c>
    </row>
    <row r="550" spans="1:27">
      <c r="A550" s="17"/>
      <c r="B550" s="25"/>
      <c r="C550" s="13"/>
      <c r="D550" s="26">
        <f>IF($C550="","",IFERROR(INDEX(VeicCli,MATCH($C550,VeicPlaca,0)),"Placa não cadastrada"))</f>
        <v>0</v>
      </c>
      <c r="E550" s="26">
        <f>IF($C550="","",IFERROR(INDEX(VeicModelo,MATCH($C550,VeicPlaca,0)),""))</f>
        <v>0</v>
      </c>
      <c r="F550" s="28"/>
      <c r="G550" s="13"/>
      <c r="H550" s="13"/>
      <c r="I550" s="13"/>
      <c r="J550" s="29"/>
      <c r="K550" s="19"/>
      <c r="L550" s="19"/>
      <c r="M550" s="25"/>
      <c r="N550" s="13"/>
      <c r="O550" s="19"/>
      <c r="P550" s="27">
        <f>IF($A550="","",N($J550)*ValorHora)</f>
        <v>0</v>
      </c>
      <c r="Q550" s="27">
        <f>IF($A550="","",SUMIFS(ItTotal,ItOS,$A550))</f>
        <v>0</v>
      </c>
      <c r="R550" s="30">
        <f>IF($A550="","",$P550+$Q550+N($K550)-N($L550))</f>
        <v>0</v>
      </c>
      <c r="S550" s="27">
        <f>IF($A550="","",SUMIFS(ItCusto,ItOS,$A550))</f>
        <v>0</v>
      </c>
      <c r="T550" s="27">
        <f>IF($A550="","",$P550*ComMec)</f>
        <v>0</v>
      </c>
      <c r="U550" s="21">
        <f>IF($A550="","",$R550-$S550-$T550-N($K550))</f>
        <v>0</v>
      </c>
      <c r="V550" s="31">
        <f>IF(OR($A550="",N($R550)&lt;=0),"",$U550/$R550)</f>
        <v>0</v>
      </c>
      <c r="W550" s="27">
        <f>IF($A550="","",IF(OR($I550="Finalizado",$I550="Entregue"),MAX(0,$R550-N($O550)),0))</f>
        <v>0</v>
      </c>
      <c r="X550" s="32">
        <f>IF(OR($A550="",$B550=""),"",IF(OR($I550="Entregue",$I550="Cancelada"),"",Hoje-$B550))</f>
        <v>0</v>
      </c>
      <c r="Y550" s="24">
        <f>IF($A550="","",IF(AND(OR($I550="Aprovado",$I550="Em execução",$I550="Aguardando peça"),N($X550)&gt;PrazoMax),"ATRASADA",IF(AND(OR($I550="Finalizado",$I550="Entregue"),$W550&gt;0.005),"Cobrar",IF($I550="Orçamento","Aguardando aprovação",""))))</f>
        <v>0</v>
      </c>
      <c r="Z550" s="33">
        <f>IF(AND($I550="Entregue",$M550&lt;&gt;""),DATE(YEAR($M550),MONTH($M550),1),"")</f>
        <v>0</v>
      </c>
      <c r="AA550" s="34">
        <f>IF(AND($C550&lt;&gt;"",$C550=HistPlaca),COUNTIF($C$5:$C550,HistPlaca),"")</f>
        <v>0</v>
      </c>
    </row>
    <row r="551" spans="1:27">
      <c r="A551" s="17"/>
      <c r="B551" s="25"/>
      <c r="C551" s="13"/>
      <c r="D551" s="26">
        <f>IF($C551="","",IFERROR(INDEX(VeicCli,MATCH($C551,VeicPlaca,0)),"Placa não cadastrada"))</f>
        <v>0</v>
      </c>
      <c r="E551" s="26">
        <f>IF($C551="","",IFERROR(INDEX(VeicModelo,MATCH($C551,VeicPlaca,0)),""))</f>
        <v>0</v>
      </c>
      <c r="F551" s="28"/>
      <c r="G551" s="13"/>
      <c r="H551" s="13"/>
      <c r="I551" s="13"/>
      <c r="J551" s="29"/>
      <c r="K551" s="19"/>
      <c r="L551" s="19"/>
      <c r="M551" s="25"/>
      <c r="N551" s="13"/>
      <c r="O551" s="19"/>
      <c r="P551" s="27">
        <f>IF($A551="","",N($J551)*ValorHora)</f>
        <v>0</v>
      </c>
      <c r="Q551" s="27">
        <f>IF($A551="","",SUMIFS(ItTotal,ItOS,$A551))</f>
        <v>0</v>
      </c>
      <c r="R551" s="30">
        <f>IF($A551="","",$P551+$Q551+N($K551)-N($L551))</f>
        <v>0</v>
      </c>
      <c r="S551" s="27">
        <f>IF($A551="","",SUMIFS(ItCusto,ItOS,$A551))</f>
        <v>0</v>
      </c>
      <c r="T551" s="27">
        <f>IF($A551="","",$P551*ComMec)</f>
        <v>0</v>
      </c>
      <c r="U551" s="21">
        <f>IF($A551="","",$R551-$S551-$T551-N($K551))</f>
        <v>0</v>
      </c>
      <c r="V551" s="31">
        <f>IF(OR($A551="",N($R551)&lt;=0),"",$U551/$R551)</f>
        <v>0</v>
      </c>
      <c r="W551" s="27">
        <f>IF($A551="","",IF(OR($I551="Finalizado",$I551="Entregue"),MAX(0,$R551-N($O551)),0))</f>
        <v>0</v>
      </c>
      <c r="X551" s="32">
        <f>IF(OR($A551="",$B551=""),"",IF(OR($I551="Entregue",$I551="Cancelada"),"",Hoje-$B551))</f>
        <v>0</v>
      </c>
      <c r="Y551" s="24">
        <f>IF($A551="","",IF(AND(OR($I551="Aprovado",$I551="Em execução",$I551="Aguardando peça"),N($X551)&gt;PrazoMax),"ATRASADA",IF(AND(OR($I551="Finalizado",$I551="Entregue"),$W551&gt;0.005),"Cobrar",IF($I551="Orçamento","Aguardando aprovação",""))))</f>
        <v>0</v>
      </c>
      <c r="Z551" s="33">
        <f>IF(AND($I551="Entregue",$M551&lt;&gt;""),DATE(YEAR($M551),MONTH($M551),1),"")</f>
        <v>0</v>
      </c>
      <c r="AA551" s="34">
        <f>IF(AND($C551&lt;&gt;"",$C551=HistPlaca),COUNTIF($C$5:$C551,HistPlaca),"")</f>
        <v>0</v>
      </c>
    </row>
    <row r="552" spans="1:27">
      <c r="A552" s="17"/>
      <c r="B552" s="25"/>
      <c r="C552" s="13"/>
      <c r="D552" s="26">
        <f>IF($C552="","",IFERROR(INDEX(VeicCli,MATCH($C552,VeicPlaca,0)),"Placa não cadastrada"))</f>
        <v>0</v>
      </c>
      <c r="E552" s="26">
        <f>IF($C552="","",IFERROR(INDEX(VeicModelo,MATCH($C552,VeicPlaca,0)),""))</f>
        <v>0</v>
      </c>
      <c r="F552" s="28"/>
      <c r="G552" s="13"/>
      <c r="H552" s="13"/>
      <c r="I552" s="13"/>
      <c r="J552" s="29"/>
      <c r="K552" s="19"/>
      <c r="L552" s="19"/>
      <c r="M552" s="25"/>
      <c r="N552" s="13"/>
      <c r="O552" s="19"/>
      <c r="P552" s="27">
        <f>IF($A552="","",N($J552)*ValorHora)</f>
        <v>0</v>
      </c>
      <c r="Q552" s="27">
        <f>IF($A552="","",SUMIFS(ItTotal,ItOS,$A552))</f>
        <v>0</v>
      </c>
      <c r="R552" s="30">
        <f>IF($A552="","",$P552+$Q552+N($K552)-N($L552))</f>
        <v>0</v>
      </c>
      <c r="S552" s="27">
        <f>IF($A552="","",SUMIFS(ItCusto,ItOS,$A552))</f>
        <v>0</v>
      </c>
      <c r="T552" s="27">
        <f>IF($A552="","",$P552*ComMec)</f>
        <v>0</v>
      </c>
      <c r="U552" s="21">
        <f>IF($A552="","",$R552-$S552-$T552-N($K552))</f>
        <v>0</v>
      </c>
      <c r="V552" s="31">
        <f>IF(OR($A552="",N($R552)&lt;=0),"",$U552/$R552)</f>
        <v>0</v>
      </c>
      <c r="W552" s="27">
        <f>IF($A552="","",IF(OR($I552="Finalizado",$I552="Entregue"),MAX(0,$R552-N($O552)),0))</f>
        <v>0</v>
      </c>
      <c r="X552" s="32">
        <f>IF(OR($A552="",$B552=""),"",IF(OR($I552="Entregue",$I552="Cancelada"),"",Hoje-$B552))</f>
        <v>0</v>
      </c>
      <c r="Y552" s="24">
        <f>IF($A552="","",IF(AND(OR($I552="Aprovado",$I552="Em execução",$I552="Aguardando peça"),N($X552)&gt;PrazoMax),"ATRASADA",IF(AND(OR($I552="Finalizado",$I552="Entregue"),$W552&gt;0.005),"Cobrar",IF($I552="Orçamento","Aguardando aprovação",""))))</f>
        <v>0</v>
      </c>
      <c r="Z552" s="33">
        <f>IF(AND($I552="Entregue",$M552&lt;&gt;""),DATE(YEAR($M552),MONTH($M552),1),"")</f>
        <v>0</v>
      </c>
      <c r="AA552" s="34">
        <f>IF(AND($C552&lt;&gt;"",$C552=HistPlaca),COUNTIF($C$5:$C552,HistPlaca),"")</f>
        <v>0</v>
      </c>
    </row>
    <row r="553" spans="1:27">
      <c r="A553" s="17"/>
      <c r="B553" s="25"/>
      <c r="C553" s="13"/>
      <c r="D553" s="26">
        <f>IF($C553="","",IFERROR(INDEX(VeicCli,MATCH($C553,VeicPlaca,0)),"Placa não cadastrada"))</f>
        <v>0</v>
      </c>
      <c r="E553" s="26">
        <f>IF($C553="","",IFERROR(INDEX(VeicModelo,MATCH($C553,VeicPlaca,0)),""))</f>
        <v>0</v>
      </c>
      <c r="F553" s="28"/>
      <c r="G553" s="13"/>
      <c r="H553" s="13"/>
      <c r="I553" s="13"/>
      <c r="J553" s="29"/>
      <c r="K553" s="19"/>
      <c r="L553" s="19"/>
      <c r="M553" s="25"/>
      <c r="N553" s="13"/>
      <c r="O553" s="19"/>
      <c r="P553" s="27">
        <f>IF($A553="","",N($J553)*ValorHora)</f>
        <v>0</v>
      </c>
      <c r="Q553" s="27">
        <f>IF($A553="","",SUMIFS(ItTotal,ItOS,$A553))</f>
        <v>0</v>
      </c>
      <c r="R553" s="30">
        <f>IF($A553="","",$P553+$Q553+N($K553)-N($L553))</f>
        <v>0</v>
      </c>
      <c r="S553" s="27">
        <f>IF($A553="","",SUMIFS(ItCusto,ItOS,$A553))</f>
        <v>0</v>
      </c>
      <c r="T553" s="27">
        <f>IF($A553="","",$P553*ComMec)</f>
        <v>0</v>
      </c>
      <c r="U553" s="21">
        <f>IF($A553="","",$R553-$S553-$T553-N($K553))</f>
        <v>0</v>
      </c>
      <c r="V553" s="31">
        <f>IF(OR($A553="",N($R553)&lt;=0),"",$U553/$R553)</f>
        <v>0</v>
      </c>
      <c r="W553" s="27">
        <f>IF($A553="","",IF(OR($I553="Finalizado",$I553="Entregue"),MAX(0,$R553-N($O553)),0))</f>
        <v>0</v>
      </c>
      <c r="X553" s="32">
        <f>IF(OR($A553="",$B553=""),"",IF(OR($I553="Entregue",$I553="Cancelada"),"",Hoje-$B553))</f>
        <v>0</v>
      </c>
      <c r="Y553" s="24">
        <f>IF($A553="","",IF(AND(OR($I553="Aprovado",$I553="Em execução",$I553="Aguardando peça"),N($X553)&gt;PrazoMax),"ATRASADA",IF(AND(OR($I553="Finalizado",$I553="Entregue"),$W553&gt;0.005),"Cobrar",IF($I553="Orçamento","Aguardando aprovação",""))))</f>
        <v>0</v>
      </c>
      <c r="Z553" s="33">
        <f>IF(AND($I553="Entregue",$M553&lt;&gt;""),DATE(YEAR($M553),MONTH($M553),1),"")</f>
        <v>0</v>
      </c>
      <c r="AA553" s="34">
        <f>IF(AND($C553&lt;&gt;"",$C553=HistPlaca),COUNTIF($C$5:$C553,HistPlaca),"")</f>
        <v>0</v>
      </c>
    </row>
    <row r="554" spans="1:27">
      <c r="A554" s="17"/>
      <c r="B554" s="25"/>
      <c r="C554" s="13"/>
      <c r="D554" s="26">
        <f>IF($C554="","",IFERROR(INDEX(VeicCli,MATCH($C554,VeicPlaca,0)),"Placa não cadastrada"))</f>
        <v>0</v>
      </c>
      <c r="E554" s="26">
        <f>IF($C554="","",IFERROR(INDEX(VeicModelo,MATCH($C554,VeicPlaca,0)),""))</f>
        <v>0</v>
      </c>
      <c r="F554" s="28"/>
      <c r="G554" s="13"/>
      <c r="H554" s="13"/>
      <c r="I554" s="13"/>
      <c r="J554" s="29"/>
      <c r="K554" s="19"/>
      <c r="L554" s="19"/>
      <c r="M554" s="25"/>
      <c r="N554" s="13"/>
      <c r="O554" s="19"/>
      <c r="P554" s="27">
        <f>IF($A554="","",N($J554)*ValorHora)</f>
        <v>0</v>
      </c>
      <c r="Q554" s="27">
        <f>IF($A554="","",SUMIFS(ItTotal,ItOS,$A554))</f>
        <v>0</v>
      </c>
      <c r="R554" s="30">
        <f>IF($A554="","",$P554+$Q554+N($K554)-N($L554))</f>
        <v>0</v>
      </c>
      <c r="S554" s="27">
        <f>IF($A554="","",SUMIFS(ItCusto,ItOS,$A554))</f>
        <v>0</v>
      </c>
      <c r="T554" s="27">
        <f>IF($A554="","",$P554*ComMec)</f>
        <v>0</v>
      </c>
      <c r="U554" s="21">
        <f>IF($A554="","",$R554-$S554-$T554-N($K554))</f>
        <v>0</v>
      </c>
      <c r="V554" s="31">
        <f>IF(OR($A554="",N($R554)&lt;=0),"",$U554/$R554)</f>
        <v>0</v>
      </c>
      <c r="W554" s="27">
        <f>IF($A554="","",IF(OR($I554="Finalizado",$I554="Entregue"),MAX(0,$R554-N($O554)),0))</f>
        <v>0</v>
      </c>
      <c r="X554" s="32">
        <f>IF(OR($A554="",$B554=""),"",IF(OR($I554="Entregue",$I554="Cancelada"),"",Hoje-$B554))</f>
        <v>0</v>
      </c>
      <c r="Y554" s="24">
        <f>IF($A554="","",IF(AND(OR($I554="Aprovado",$I554="Em execução",$I554="Aguardando peça"),N($X554)&gt;PrazoMax),"ATRASADA",IF(AND(OR($I554="Finalizado",$I554="Entregue"),$W554&gt;0.005),"Cobrar",IF($I554="Orçamento","Aguardando aprovação",""))))</f>
        <v>0</v>
      </c>
      <c r="Z554" s="33">
        <f>IF(AND($I554="Entregue",$M554&lt;&gt;""),DATE(YEAR($M554),MONTH($M554),1),"")</f>
        <v>0</v>
      </c>
      <c r="AA554" s="34">
        <f>IF(AND($C554&lt;&gt;"",$C554=HistPlaca),COUNTIF($C$5:$C554,HistPlaca),"")</f>
        <v>0</v>
      </c>
    </row>
    <row r="555" spans="1:27">
      <c r="A555" s="17"/>
      <c r="B555" s="25"/>
      <c r="C555" s="13"/>
      <c r="D555" s="26">
        <f>IF($C555="","",IFERROR(INDEX(VeicCli,MATCH($C555,VeicPlaca,0)),"Placa não cadastrada"))</f>
        <v>0</v>
      </c>
      <c r="E555" s="26">
        <f>IF($C555="","",IFERROR(INDEX(VeicModelo,MATCH($C555,VeicPlaca,0)),""))</f>
        <v>0</v>
      </c>
      <c r="F555" s="28"/>
      <c r="G555" s="13"/>
      <c r="H555" s="13"/>
      <c r="I555" s="13"/>
      <c r="J555" s="29"/>
      <c r="K555" s="19"/>
      <c r="L555" s="19"/>
      <c r="M555" s="25"/>
      <c r="N555" s="13"/>
      <c r="O555" s="19"/>
      <c r="P555" s="27">
        <f>IF($A555="","",N($J555)*ValorHora)</f>
        <v>0</v>
      </c>
      <c r="Q555" s="27">
        <f>IF($A555="","",SUMIFS(ItTotal,ItOS,$A555))</f>
        <v>0</v>
      </c>
      <c r="R555" s="30">
        <f>IF($A555="","",$P555+$Q555+N($K555)-N($L555))</f>
        <v>0</v>
      </c>
      <c r="S555" s="27">
        <f>IF($A555="","",SUMIFS(ItCusto,ItOS,$A555))</f>
        <v>0</v>
      </c>
      <c r="T555" s="27">
        <f>IF($A555="","",$P555*ComMec)</f>
        <v>0</v>
      </c>
      <c r="U555" s="21">
        <f>IF($A555="","",$R555-$S555-$T555-N($K555))</f>
        <v>0</v>
      </c>
      <c r="V555" s="31">
        <f>IF(OR($A555="",N($R555)&lt;=0),"",$U555/$R555)</f>
        <v>0</v>
      </c>
      <c r="W555" s="27">
        <f>IF($A555="","",IF(OR($I555="Finalizado",$I555="Entregue"),MAX(0,$R555-N($O555)),0))</f>
        <v>0</v>
      </c>
      <c r="X555" s="32">
        <f>IF(OR($A555="",$B555=""),"",IF(OR($I555="Entregue",$I555="Cancelada"),"",Hoje-$B555))</f>
        <v>0</v>
      </c>
      <c r="Y555" s="24">
        <f>IF($A555="","",IF(AND(OR($I555="Aprovado",$I555="Em execução",$I555="Aguardando peça"),N($X555)&gt;PrazoMax),"ATRASADA",IF(AND(OR($I555="Finalizado",$I555="Entregue"),$W555&gt;0.005),"Cobrar",IF($I555="Orçamento","Aguardando aprovação",""))))</f>
        <v>0</v>
      </c>
      <c r="Z555" s="33">
        <f>IF(AND($I555="Entregue",$M555&lt;&gt;""),DATE(YEAR($M555),MONTH($M555),1),"")</f>
        <v>0</v>
      </c>
      <c r="AA555" s="34">
        <f>IF(AND($C555&lt;&gt;"",$C555=HistPlaca),COUNTIF($C$5:$C555,HistPlaca),"")</f>
        <v>0</v>
      </c>
    </row>
    <row r="556" spans="1:27">
      <c r="A556" s="17"/>
      <c r="B556" s="25"/>
      <c r="C556" s="13"/>
      <c r="D556" s="26">
        <f>IF($C556="","",IFERROR(INDEX(VeicCli,MATCH($C556,VeicPlaca,0)),"Placa não cadastrada"))</f>
        <v>0</v>
      </c>
      <c r="E556" s="26">
        <f>IF($C556="","",IFERROR(INDEX(VeicModelo,MATCH($C556,VeicPlaca,0)),""))</f>
        <v>0</v>
      </c>
      <c r="F556" s="28"/>
      <c r="G556" s="13"/>
      <c r="H556" s="13"/>
      <c r="I556" s="13"/>
      <c r="J556" s="29"/>
      <c r="K556" s="19"/>
      <c r="L556" s="19"/>
      <c r="M556" s="25"/>
      <c r="N556" s="13"/>
      <c r="O556" s="19"/>
      <c r="P556" s="27">
        <f>IF($A556="","",N($J556)*ValorHora)</f>
        <v>0</v>
      </c>
      <c r="Q556" s="27">
        <f>IF($A556="","",SUMIFS(ItTotal,ItOS,$A556))</f>
        <v>0</v>
      </c>
      <c r="R556" s="30">
        <f>IF($A556="","",$P556+$Q556+N($K556)-N($L556))</f>
        <v>0</v>
      </c>
      <c r="S556" s="27">
        <f>IF($A556="","",SUMIFS(ItCusto,ItOS,$A556))</f>
        <v>0</v>
      </c>
      <c r="T556" s="27">
        <f>IF($A556="","",$P556*ComMec)</f>
        <v>0</v>
      </c>
      <c r="U556" s="21">
        <f>IF($A556="","",$R556-$S556-$T556-N($K556))</f>
        <v>0</v>
      </c>
      <c r="V556" s="31">
        <f>IF(OR($A556="",N($R556)&lt;=0),"",$U556/$R556)</f>
        <v>0</v>
      </c>
      <c r="W556" s="27">
        <f>IF($A556="","",IF(OR($I556="Finalizado",$I556="Entregue"),MAX(0,$R556-N($O556)),0))</f>
        <v>0</v>
      </c>
      <c r="X556" s="32">
        <f>IF(OR($A556="",$B556=""),"",IF(OR($I556="Entregue",$I556="Cancelada"),"",Hoje-$B556))</f>
        <v>0</v>
      </c>
      <c r="Y556" s="24">
        <f>IF($A556="","",IF(AND(OR($I556="Aprovado",$I556="Em execução",$I556="Aguardando peça"),N($X556)&gt;PrazoMax),"ATRASADA",IF(AND(OR($I556="Finalizado",$I556="Entregue"),$W556&gt;0.005),"Cobrar",IF($I556="Orçamento","Aguardando aprovação",""))))</f>
        <v>0</v>
      </c>
      <c r="Z556" s="33">
        <f>IF(AND($I556="Entregue",$M556&lt;&gt;""),DATE(YEAR($M556),MONTH($M556),1),"")</f>
        <v>0</v>
      </c>
      <c r="AA556" s="34">
        <f>IF(AND($C556&lt;&gt;"",$C556=HistPlaca),COUNTIF($C$5:$C556,HistPlaca),"")</f>
        <v>0</v>
      </c>
    </row>
    <row r="557" spans="1:27">
      <c r="A557" s="17"/>
      <c r="B557" s="25"/>
      <c r="C557" s="13"/>
      <c r="D557" s="26">
        <f>IF($C557="","",IFERROR(INDEX(VeicCli,MATCH($C557,VeicPlaca,0)),"Placa não cadastrada"))</f>
        <v>0</v>
      </c>
      <c r="E557" s="26">
        <f>IF($C557="","",IFERROR(INDEX(VeicModelo,MATCH($C557,VeicPlaca,0)),""))</f>
        <v>0</v>
      </c>
      <c r="F557" s="28"/>
      <c r="G557" s="13"/>
      <c r="H557" s="13"/>
      <c r="I557" s="13"/>
      <c r="J557" s="29"/>
      <c r="K557" s="19"/>
      <c r="L557" s="19"/>
      <c r="M557" s="25"/>
      <c r="N557" s="13"/>
      <c r="O557" s="19"/>
      <c r="P557" s="27">
        <f>IF($A557="","",N($J557)*ValorHora)</f>
        <v>0</v>
      </c>
      <c r="Q557" s="27">
        <f>IF($A557="","",SUMIFS(ItTotal,ItOS,$A557))</f>
        <v>0</v>
      </c>
      <c r="R557" s="30">
        <f>IF($A557="","",$P557+$Q557+N($K557)-N($L557))</f>
        <v>0</v>
      </c>
      <c r="S557" s="27">
        <f>IF($A557="","",SUMIFS(ItCusto,ItOS,$A557))</f>
        <v>0</v>
      </c>
      <c r="T557" s="27">
        <f>IF($A557="","",$P557*ComMec)</f>
        <v>0</v>
      </c>
      <c r="U557" s="21">
        <f>IF($A557="","",$R557-$S557-$T557-N($K557))</f>
        <v>0</v>
      </c>
      <c r="V557" s="31">
        <f>IF(OR($A557="",N($R557)&lt;=0),"",$U557/$R557)</f>
        <v>0</v>
      </c>
      <c r="W557" s="27">
        <f>IF($A557="","",IF(OR($I557="Finalizado",$I557="Entregue"),MAX(0,$R557-N($O557)),0))</f>
        <v>0</v>
      </c>
      <c r="X557" s="32">
        <f>IF(OR($A557="",$B557=""),"",IF(OR($I557="Entregue",$I557="Cancelada"),"",Hoje-$B557))</f>
        <v>0</v>
      </c>
      <c r="Y557" s="24">
        <f>IF($A557="","",IF(AND(OR($I557="Aprovado",$I557="Em execução",$I557="Aguardando peça"),N($X557)&gt;PrazoMax),"ATRASADA",IF(AND(OR($I557="Finalizado",$I557="Entregue"),$W557&gt;0.005),"Cobrar",IF($I557="Orçamento","Aguardando aprovação",""))))</f>
        <v>0</v>
      </c>
      <c r="Z557" s="33">
        <f>IF(AND($I557="Entregue",$M557&lt;&gt;""),DATE(YEAR($M557),MONTH($M557),1),"")</f>
        <v>0</v>
      </c>
      <c r="AA557" s="34">
        <f>IF(AND($C557&lt;&gt;"",$C557=HistPlaca),COUNTIF($C$5:$C557,HistPlaca),"")</f>
        <v>0</v>
      </c>
    </row>
    <row r="558" spans="1:27">
      <c r="A558" s="17"/>
      <c r="B558" s="25"/>
      <c r="C558" s="13"/>
      <c r="D558" s="26">
        <f>IF($C558="","",IFERROR(INDEX(VeicCli,MATCH($C558,VeicPlaca,0)),"Placa não cadastrada"))</f>
        <v>0</v>
      </c>
      <c r="E558" s="26">
        <f>IF($C558="","",IFERROR(INDEX(VeicModelo,MATCH($C558,VeicPlaca,0)),""))</f>
        <v>0</v>
      </c>
      <c r="F558" s="28"/>
      <c r="G558" s="13"/>
      <c r="H558" s="13"/>
      <c r="I558" s="13"/>
      <c r="J558" s="29"/>
      <c r="K558" s="19"/>
      <c r="L558" s="19"/>
      <c r="M558" s="25"/>
      <c r="N558" s="13"/>
      <c r="O558" s="19"/>
      <c r="P558" s="27">
        <f>IF($A558="","",N($J558)*ValorHora)</f>
        <v>0</v>
      </c>
      <c r="Q558" s="27">
        <f>IF($A558="","",SUMIFS(ItTotal,ItOS,$A558))</f>
        <v>0</v>
      </c>
      <c r="R558" s="30">
        <f>IF($A558="","",$P558+$Q558+N($K558)-N($L558))</f>
        <v>0</v>
      </c>
      <c r="S558" s="27">
        <f>IF($A558="","",SUMIFS(ItCusto,ItOS,$A558))</f>
        <v>0</v>
      </c>
      <c r="T558" s="27">
        <f>IF($A558="","",$P558*ComMec)</f>
        <v>0</v>
      </c>
      <c r="U558" s="21">
        <f>IF($A558="","",$R558-$S558-$T558-N($K558))</f>
        <v>0</v>
      </c>
      <c r="V558" s="31">
        <f>IF(OR($A558="",N($R558)&lt;=0),"",$U558/$R558)</f>
        <v>0</v>
      </c>
      <c r="W558" s="27">
        <f>IF($A558="","",IF(OR($I558="Finalizado",$I558="Entregue"),MAX(0,$R558-N($O558)),0))</f>
        <v>0</v>
      </c>
      <c r="X558" s="32">
        <f>IF(OR($A558="",$B558=""),"",IF(OR($I558="Entregue",$I558="Cancelada"),"",Hoje-$B558))</f>
        <v>0</v>
      </c>
      <c r="Y558" s="24">
        <f>IF($A558="","",IF(AND(OR($I558="Aprovado",$I558="Em execução",$I558="Aguardando peça"),N($X558)&gt;PrazoMax),"ATRASADA",IF(AND(OR($I558="Finalizado",$I558="Entregue"),$W558&gt;0.005),"Cobrar",IF($I558="Orçamento","Aguardando aprovação",""))))</f>
        <v>0</v>
      </c>
      <c r="Z558" s="33">
        <f>IF(AND($I558="Entregue",$M558&lt;&gt;""),DATE(YEAR($M558),MONTH($M558),1),"")</f>
        <v>0</v>
      </c>
      <c r="AA558" s="34">
        <f>IF(AND($C558&lt;&gt;"",$C558=HistPlaca),COUNTIF($C$5:$C558,HistPlaca),"")</f>
        <v>0</v>
      </c>
    </row>
    <row r="559" spans="1:27">
      <c r="A559" s="17"/>
      <c r="B559" s="25"/>
      <c r="C559" s="13"/>
      <c r="D559" s="26">
        <f>IF($C559="","",IFERROR(INDEX(VeicCli,MATCH($C559,VeicPlaca,0)),"Placa não cadastrada"))</f>
        <v>0</v>
      </c>
      <c r="E559" s="26">
        <f>IF($C559="","",IFERROR(INDEX(VeicModelo,MATCH($C559,VeicPlaca,0)),""))</f>
        <v>0</v>
      </c>
      <c r="F559" s="28"/>
      <c r="G559" s="13"/>
      <c r="H559" s="13"/>
      <c r="I559" s="13"/>
      <c r="J559" s="29"/>
      <c r="K559" s="19"/>
      <c r="L559" s="19"/>
      <c r="M559" s="25"/>
      <c r="N559" s="13"/>
      <c r="O559" s="19"/>
      <c r="P559" s="27">
        <f>IF($A559="","",N($J559)*ValorHora)</f>
        <v>0</v>
      </c>
      <c r="Q559" s="27">
        <f>IF($A559="","",SUMIFS(ItTotal,ItOS,$A559))</f>
        <v>0</v>
      </c>
      <c r="R559" s="30">
        <f>IF($A559="","",$P559+$Q559+N($K559)-N($L559))</f>
        <v>0</v>
      </c>
      <c r="S559" s="27">
        <f>IF($A559="","",SUMIFS(ItCusto,ItOS,$A559))</f>
        <v>0</v>
      </c>
      <c r="T559" s="27">
        <f>IF($A559="","",$P559*ComMec)</f>
        <v>0</v>
      </c>
      <c r="U559" s="21">
        <f>IF($A559="","",$R559-$S559-$T559-N($K559))</f>
        <v>0</v>
      </c>
      <c r="V559" s="31">
        <f>IF(OR($A559="",N($R559)&lt;=0),"",$U559/$R559)</f>
        <v>0</v>
      </c>
      <c r="W559" s="27">
        <f>IF($A559="","",IF(OR($I559="Finalizado",$I559="Entregue"),MAX(0,$R559-N($O559)),0))</f>
        <v>0</v>
      </c>
      <c r="X559" s="32">
        <f>IF(OR($A559="",$B559=""),"",IF(OR($I559="Entregue",$I559="Cancelada"),"",Hoje-$B559))</f>
        <v>0</v>
      </c>
      <c r="Y559" s="24">
        <f>IF($A559="","",IF(AND(OR($I559="Aprovado",$I559="Em execução",$I559="Aguardando peça"),N($X559)&gt;PrazoMax),"ATRASADA",IF(AND(OR($I559="Finalizado",$I559="Entregue"),$W559&gt;0.005),"Cobrar",IF($I559="Orçamento","Aguardando aprovação",""))))</f>
        <v>0</v>
      </c>
      <c r="Z559" s="33">
        <f>IF(AND($I559="Entregue",$M559&lt;&gt;""),DATE(YEAR($M559),MONTH($M559),1),"")</f>
        <v>0</v>
      </c>
      <c r="AA559" s="34">
        <f>IF(AND($C559&lt;&gt;"",$C559=HistPlaca),COUNTIF($C$5:$C559,HistPlaca),"")</f>
        <v>0</v>
      </c>
    </row>
    <row r="560" spans="1:27">
      <c r="A560" s="17"/>
      <c r="B560" s="25"/>
      <c r="C560" s="13"/>
      <c r="D560" s="26">
        <f>IF($C560="","",IFERROR(INDEX(VeicCli,MATCH($C560,VeicPlaca,0)),"Placa não cadastrada"))</f>
        <v>0</v>
      </c>
      <c r="E560" s="26">
        <f>IF($C560="","",IFERROR(INDEX(VeicModelo,MATCH($C560,VeicPlaca,0)),""))</f>
        <v>0</v>
      </c>
      <c r="F560" s="28"/>
      <c r="G560" s="13"/>
      <c r="H560" s="13"/>
      <c r="I560" s="13"/>
      <c r="J560" s="29"/>
      <c r="K560" s="19"/>
      <c r="L560" s="19"/>
      <c r="M560" s="25"/>
      <c r="N560" s="13"/>
      <c r="O560" s="19"/>
      <c r="P560" s="27">
        <f>IF($A560="","",N($J560)*ValorHora)</f>
        <v>0</v>
      </c>
      <c r="Q560" s="27">
        <f>IF($A560="","",SUMIFS(ItTotal,ItOS,$A560))</f>
        <v>0</v>
      </c>
      <c r="R560" s="30">
        <f>IF($A560="","",$P560+$Q560+N($K560)-N($L560))</f>
        <v>0</v>
      </c>
      <c r="S560" s="27">
        <f>IF($A560="","",SUMIFS(ItCusto,ItOS,$A560))</f>
        <v>0</v>
      </c>
      <c r="T560" s="27">
        <f>IF($A560="","",$P560*ComMec)</f>
        <v>0</v>
      </c>
      <c r="U560" s="21">
        <f>IF($A560="","",$R560-$S560-$T560-N($K560))</f>
        <v>0</v>
      </c>
      <c r="V560" s="31">
        <f>IF(OR($A560="",N($R560)&lt;=0),"",$U560/$R560)</f>
        <v>0</v>
      </c>
      <c r="W560" s="27">
        <f>IF($A560="","",IF(OR($I560="Finalizado",$I560="Entregue"),MAX(0,$R560-N($O560)),0))</f>
        <v>0</v>
      </c>
      <c r="X560" s="32">
        <f>IF(OR($A560="",$B560=""),"",IF(OR($I560="Entregue",$I560="Cancelada"),"",Hoje-$B560))</f>
        <v>0</v>
      </c>
      <c r="Y560" s="24">
        <f>IF($A560="","",IF(AND(OR($I560="Aprovado",$I560="Em execução",$I560="Aguardando peça"),N($X560)&gt;PrazoMax),"ATRASADA",IF(AND(OR($I560="Finalizado",$I560="Entregue"),$W560&gt;0.005),"Cobrar",IF($I560="Orçamento","Aguardando aprovação",""))))</f>
        <v>0</v>
      </c>
      <c r="Z560" s="33">
        <f>IF(AND($I560="Entregue",$M560&lt;&gt;""),DATE(YEAR($M560),MONTH($M560),1),"")</f>
        <v>0</v>
      </c>
      <c r="AA560" s="34">
        <f>IF(AND($C560&lt;&gt;"",$C560=HistPlaca),COUNTIF($C$5:$C560,HistPlaca),"")</f>
        <v>0</v>
      </c>
    </row>
    <row r="561" spans="1:27">
      <c r="A561" s="17"/>
      <c r="B561" s="25"/>
      <c r="C561" s="13"/>
      <c r="D561" s="26">
        <f>IF($C561="","",IFERROR(INDEX(VeicCli,MATCH($C561,VeicPlaca,0)),"Placa não cadastrada"))</f>
        <v>0</v>
      </c>
      <c r="E561" s="26">
        <f>IF($C561="","",IFERROR(INDEX(VeicModelo,MATCH($C561,VeicPlaca,0)),""))</f>
        <v>0</v>
      </c>
      <c r="F561" s="28"/>
      <c r="G561" s="13"/>
      <c r="H561" s="13"/>
      <c r="I561" s="13"/>
      <c r="J561" s="29"/>
      <c r="K561" s="19"/>
      <c r="L561" s="19"/>
      <c r="M561" s="25"/>
      <c r="N561" s="13"/>
      <c r="O561" s="19"/>
      <c r="P561" s="27">
        <f>IF($A561="","",N($J561)*ValorHora)</f>
        <v>0</v>
      </c>
      <c r="Q561" s="27">
        <f>IF($A561="","",SUMIFS(ItTotal,ItOS,$A561))</f>
        <v>0</v>
      </c>
      <c r="R561" s="30">
        <f>IF($A561="","",$P561+$Q561+N($K561)-N($L561))</f>
        <v>0</v>
      </c>
      <c r="S561" s="27">
        <f>IF($A561="","",SUMIFS(ItCusto,ItOS,$A561))</f>
        <v>0</v>
      </c>
      <c r="T561" s="27">
        <f>IF($A561="","",$P561*ComMec)</f>
        <v>0</v>
      </c>
      <c r="U561" s="21">
        <f>IF($A561="","",$R561-$S561-$T561-N($K561))</f>
        <v>0</v>
      </c>
      <c r="V561" s="31">
        <f>IF(OR($A561="",N($R561)&lt;=0),"",$U561/$R561)</f>
        <v>0</v>
      </c>
      <c r="W561" s="27">
        <f>IF($A561="","",IF(OR($I561="Finalizado",$I561="Entregue"),MAX(0,$R561-N($O561)),0))</f>
        <v>0</v>
      </c>
      <c r="X561" s="32">
        <f>IF(OR($A561="",$B561=""),"",IF(OR($I561="Entregue",$I561="Cancelada"),"",Hoje-$B561))</f>
        <v>0</v>
      </c>
      <c r="Y561" s="24">
        <f>IF($A561="","",IF(AND(OR($I561="Aprovado",$I561="Em execução",$I561="Aguardando peça"),N($X561)&gt;PrazoMax),"ATRASADA",IF(AND(OR($I561="Finalizado",$I561="Entregue"),$W561&gt;0.005),"Cobrar",IF($I561="Orçamento","Aguardando aprovação",""))))</f>
        <v>0</v>
      </c>
      <c r="Z561" s="33">
        <f>IF(AND($I561="Entregue",$M561&lt;&gt;""),DATE(YEAR($M561),MONTH($M561),1),"")</f>
        <v>0</v>
      </c>
      <c r="AA561" s="34">
        <f>IF(AND($C561&lt;&gt;"",$C561=HistPlaca),COUNTIF($C$5:$C561,HistPlaca),"")</f>
        <v>0</v>
      </c>
    </row>
    <row r="562" spans="1:27">
      <c r="A562" s="17"/>
      <c r="B562" s="25"/>
      <c r="C562" s="13"/>
      <c r="D562" s="26">
        <f>IF($C562="","",IFERROR(INDEX(VeicCli,MATCH($C562,VeicPlaca,0)),"Placa não cadastrada"))</f>
        <v>0</v>
      </c>
      <c r="E562" s="26">
        <f>IF($C562="","",IFERROR(INDEX(VeicModelo,MATCH($C562,VeicPlaca,0)),""))</f>
        <v>0</v>
      </c>
      <c r="F562" s="28"/>
      <c r="G562" s="13"/>
      <c r="H562" s="13"/>
      <c r="I562" s="13"/>
      <c r="J562" s="29"/>
      <c r="K562" s="19"/>
      <c r="L562" s="19"/>
      <c r="M562" s="25"/>
      <c r="N562" s="13"/>
      <c r="O562" s="19"/>
      <c r="P562" s="27">
        <f>IF($A562="","",N($J562)*ValorHora)</f>
        <v>0</v>
      </c>
      <c r="Q562" s="27">
        <f>IF($A562="","",SUMIFS(ItTotal,ItOS,$A562))</f>
        <v>0</v>
      </c>
      <c r="R562" s="30">
        <f>IF($A562="","",$P562+$Q562+N($K562)-N($L562))</f>
        <v>0</v>
      </c>
      <c r="S562" s="27">
        <f>IF($A562="","",SUMIFS(ItCusto,ItOS,$A562))</f>
        <v>0</v>
      </c>
      <c r="T562" s="27">
        <f>IF($A562="","",$P562*ComMec)</f>
        <v>0</v>
      </c>
      <c r="U562" s="21">
        <f>IF($A562="","",$R562-$S562-$T562-N($K562))</f>
        <v>0</v>
      </c>
      <c r="V562" s="31">
        <f>IF(OR($A562="",N($R562)&lt;=0),"",$U562/$R562)</f>
        <v>0</v>
      </c>
      <c r="W562" s="27">
        <f>IF($A562="","",IF(OR($I562="Finalizado",$I562="Entregue"),MAX(0,$R562-N($O562)),0))</f>
        <v>0</v>
      </c>
      <c r="X562" s="32">
        <f>IF(OR($A562="",$B562=""),"",IF(OR($I562="Entregue",$I562="Cancelada"),"",Hoje-$B562))</f>
        <v>0</v>
      </c>
      <c r="Y562" s="24">
        <f>IF($A562="","",IF(AND(OR($I562="Aprovado",$I562="Em execução",$I562="Aguardando peça"),N($X562)&gt;PrazoMax),"ATRASADA",IF(AND(OR($I562="Finalizado",$I562="Entregue"),$W562&gt;0.005),"Cobrar",IF($I562="Orçamento","Aguardando aprovação",""))))</f>
        <v>0</v>
      </c>
      <c r="Z562" s="33">
        <f>IF(AND($I562="Entregue",$M562&lt;&gt;""),DATE(YEAR($M562),MONTH($M562),1),"")</f>
        <v>0</v>
      </c>
      <c r="AA562" s="34">
        <f>IF(AND($C562&lt;&gt;"",$C562=HistPlaca),COUNTIF($C$5:$C562,HistPlaca),"")</f>
        <v>0</v>
      </c>
    </row>
    <row r="563" spans="1:27">
      <c r="A563" s="17"/>
      <c r="B563" s="25"/>
      <c r="C563" s="13"/>
      <c r="D563" s="26">
        <f>IF($C563="","",IFERROR(INDEX(VeicCli,MATCH($C563,VeicPlaca,0)),"Placa não cadastrada"))</f>
        <v>0</v>
      </c>
      <c r="E563" s="26">
        <f>IF($C563="","",IFERROR(INDEX(VeicModelo,MATCH($C563,VeicPlaca,0)),""))</f>
        <v>0</v>
      </c>
      <c r="F563" s="28"/>
      <c r="G563" s="13"/>
      <c r="H563" s="13"/>
      <c r="I563" s="13"/>
      <c r="J563" s="29"/>
      <c r="K563" s="19"/>
      <c r="L563" s="19"/>
      <c r="M563" s="25"/>
      <c r="N563" s="13"/>
      <c r="O563" s="19"/>
      <c r="P563" s="27">
        <f>IF($A563="","",N($J563)*ValorHora)</f>
        <v>0</v>
      </c>
      <c r="Q563" s="27">
        <f>IF($A563="","",SUMIFS(ItTotal,ItOS,$A563))</f>
        <v>0</v>
      </c>
      <c r="R563" s="30">
        <f>IF($A563="","",$P563+$Q563+N($K563)-N($L563))</f>
        <v>0</v>
      </c>
      <c r="S563" s="27">
        <f>IF($A563="","",SUMIFS(ItCusto,ItOS,$A563))</f>
        <v>0</v>
      </c>
      <c r="T563" s="27">
        <f>IF($A563="","",$P563*ComMec)</f>
        <v>0</v>
      </c>
      <c r="U563" s="21">
        <f>IF($A563="","",$R563-$S563-$T563-N($K563))</f>
        <v>0</v>
      </c>
      <c r="V563" s="31">
        <f>IF(OR($A563="",N($R563)&lt;=0),"",$U563/$R563)</f>
        <v>0</v>
      </c>
      <c r="W563" s="27">
        <f>IF($A563="","",IF(OR($I563="Finalizado",$I563="Entregue"),MAX(0,$R563-N($O563)),0))</f>
        <v>0</v>
      </c>
      <c r="X563" s="32">
        <f>IF(OR($A563="",$B563=""),"",IF(OR($I563="Entregue",$I563="Cancelada"),"",Hoje-$B563))</f>
        <v>0</v>
      </c>
      <c r="Y563" s="24">
        <f>IF($A563="","",IF(AND(OR($I563="Aprovado",$I563="Em execução",$I563="Aguardando peça"),N($X563)&gt;PrazoMax),"ATRASADA",IF(AND(OR($I563="Finalizado",$I563="Entregue"),$W563&gt;0.005),"Cobrar",IF($I563="Orçamento","Aguardando aprovação",""))))</f>
        <v>0</v>
      </c>
      <c r="Z563" s="33">
        <f>IF(AND($I563="Entregue",$M563&lt;&gt;""),DATE(YEAR($M563),MONTH($M563),1),"")</f>
        <v>0</v>
      </c>
      <c r="AA563" s="34">
        <f>IF(AND($C563&lt;&gt;"",$C563=HistPlaca),COUNTIF($C$5:$C563,HistPlaca),"")</f>
        <v>0</v>
      </c>
    </row>
    <row r="564" spans="1:27">
      <c r="A564" s="17"/>
      <c r="B564" s="25"/>
      <c r="C564" s="13"/>
      <c r="D564" s="26">
        <f>IF($C564="","",IFERROR(INDEX(VeicCli,MATCH($C564,VeicPlaca,0)),"Placa não cadastrada"))</f>
        <v>0</v>
      </c>
      <c r="E564" s="26">
        <f>IF($C564="","",IFERROR(INDEX(VeicModelo,MATCH($C564,VeicPlaca,0)),""))</f>
        <v>0</v>
      </c>
      <c r="F564" s="28"/>
      <c r="G564" s="13"/>
      <c r="H564" s="13"/>
      <c r="I564" s="13"/>
      <c r="J564" s="29"/>
      <c r="K564" s="19"/>
      <c r="L564" s="19"/>
      <c r="M564" s="25"/>
      <c r="N564" s="13"/>
      <c r="O564" s="19"/>
      <c r="P564" s="27">
        <f>IF($A564="","",N($J564)*ValorHora)</f>
        <v>0</v>
      </c>
      <c r="Q564" s="27">
        <f>IF($A564="","",SUMIFS(ItTotal,ItOS,$A564))</f>
        <v>0</v>
      </c>
      <c r="R564" s="30">
        <f>IF($A564="","",$P564+$Q564+N($K564)-N($L564))</f>
        <v>0</v>
      </c>
      <c r="S564" s="27">
        <f>IF($A564="","",SUMIFS(ItCusto,ItOS,$A564))</f>
        <v>0</v>
      </c>
      <c r="T564" s="27">
        <f>IF($A564="","",$P564*ComMec)</f>
        <v>0</v>
      </c>
      <c r="U564" s="21">
        <f>IF($A564="","",$R564-$S564-$T564-N($K564))</f>
        <v>0</v>
      </c>
      <c r="V564" s="31">
        <f>IF(OR($A564="",N($R564)&lt;=0),"",$U564/$R564)</f>
        <v>0</v>
      </c>
      <c r="W564" s="27">
        <f>IF($A564="","",IF(OR($I564="Finalizado",$I564="Entregue"),MAX(0,$R564-N($O564)),0))</f>
        <v>0</v>
      </c>
      <c r="X564" s="32">
        <f>IF(OR($A564="",$B564=""),"",IF(OR($I564="Entregue",$I564="Cancelada"),"",Hoje-$B564))</f>
        <v>0</v>
      </c>
      <c r="Y564" s="24">
        <f>IF($A564="","",IF(AND(OR($I564="Aprovado",$I564="Em execução",$I564="Aguardando peça"),N($X564)&gt;PrazoMax),"ATRASADA",IF(AND(OR($I564="Finalizado",$I564="Entregue"),$W564&gt;0.005),"Cobrar",IF($I564="Orçamento","Aguardando aprovação",""))))</f>
        <v>0</v>
      </c>
      <c r="Z564" s="33">
        <f>IF(AND($I564="Entregue",$M564&lt;&gt;""),DATE(YEAR($M564),MONTH($M564),1),"")</f>
        <v>0</v>
      </c>
      <c r="AA564" s="34">
        <f>IF(AND($C564&lt;&gt;"",$C564=HistPlaca),COUNTIF($C$5:$C564,HistPlaca),"")</f>
        <v>0</v>
      </c>
    </row>
    <row r="565" spans="1:27">
      <c r="A565" s="17"/>
      <c r="B565" s="25"/>
      <c r="C565" s="13"/>
      <c r="D565" s="26">
        <f>IF($C565="","",IFERROR(INDEX(VeicCli,MATCH($C565,VeicPlaca,0)),"Placa não cadastrada"))</f>
        <v>0</v>
      </c>
      <c r="E565" s="26">
        <f>IF($C565="","",IFERROR(INDEX(VeicModelo,MATCH($C565,VeicPlaca,0)),""))</f>
        <v>0</v>
      </c>
      <c r="F565" s="28"/>
      <c r="G565" s="13"/>
      <c r="H565" s="13"/>
      <c r="I565" s="13"/>
      <c r="J565" s="29"/>
      <c r="K565" s="19"/>
      <c r="L565" s="19"/>
      <c r="M565" s="25"/>
      <c r="N565" s="13"/>
      <c r="O565" s="19"/>
      <c r="P565" s="27">
        <f>IF($A565="","",N($J565)*ValorHora)</f>
        <v>0</v>
      </c>
      <c r="Q565" s="27">
        <f>IF($A565="","",SUMIFS(ItTotal,ItOS,$A565))</f>
        <v>0</v>
      </c>
      <c r="R565" s="30">
        <f>IF($A565="","",$P565+$Q565+N($K565)-N($L565))</f>
        <v>0</v>
      </c>
      <c r="S565" s="27">
        <f>IF($A565="","",SUMIFS(ItCusto,ItOS,$A565))</f>
        <v>0</v>
      </c>
      <c r="T565" s="27">
        <f>IF($A565="","",$P565*ComMec)</f>
        <v>0</v>
      </c>
      <c r="U565" s="21">
        <f>IF($A565="","",$R565-$S565-$T565-N($K565))</f>
        <v>0</v>
      </c>
      <c r="V565" s="31">
        <f>IF(OR($A565="",N($R565)&lt;=0),"",$U565/$R565)</f>
        <v>0</v>
      </c>
      <c r="W565" s="27">
        <f>IF($A565="","",IF(OR($I565="Finalizado",$I565="Entregue"),MAX(0,$R565-N($O565)),0))</f>
        <v>0</v>
      </c>
      <c r="X565" s="32">
        <f>IF(OR($A565="",$B565=""),"",IF(OR($I565="Entregue",$I565="Cancelada"),"",Hoje-$B565))</f>
        <v>0</v>
      </c>
      <c r="Y565" s="24">
        <f>IF($A565="","",IF(AND(OR($I565="Aprovado",$I565="Em execução",$I565="Aguardando peça"),N($X565)&gt;PrazoMax),"ATRASADA",IF(AND(OR($I565="Finalizado",$I565="Entregue"),$W565&gt;0.005),"Cobrar",IF($I565="Orçamento","Aguardando aprovação",""))))</f>
        <v>0</v>
      </c>
      <c r="Z565" s="33">
        <f>IF(AND($I565="Entregue",$M565&lt;&gt;""),DATE(YEAR($M565),MONTH($M565),1),"")</f>
        <v>0</v>
      </c>
      <c r="AA565" s="34">
        <f>IF(AND($C565&lt;&gt;"",$C565=HistPlaca),COUNTIF($C$5:$C565,HistPlaca),"")</f>
        <v>0</v>
      </c>
    </row>
    <row r="566" spans="1:27">
      <c r="A566" s="17"/>
      <c r="B566" s="25"/>
      <c r="C566" s="13"/>
      <c r="D566" s="26">
        <f>IF($C566="","",IFERROR(INDEX(VeicCli,MATCH($C566,VeicPlaca,0)),"Placa não cadastrada"))</f>
        <v>0</v>
      </c>
      <c r="E566" s="26">
        <f>IF($C566="","",IFERROR(INDEX(VeicModelo,MATCH($C566,VeicPlaca,0)),""))</f>
        <v>0</v>
      </c>
      <c r="F566" s="28"/>
      <c r="G566" s="13"/>
      <c r="H566" s="13"/>
      <c r="I566" s="13"/>
      <c r="J566" s="29"/>
      <c r="K566" s="19"/>
      <c r="L566" s="19"/>
      <c r="M566" s="25"/>
      <c r="N566" s="13"/>
      <c r="O566" s="19"/>
      <c r="P566" s="27">
        <f>IF($A566="","",N($J566)*ValorHora)</f>
        <v>0</v>
      </c>
      <c r="Q566" s="27">
        <f>IF($A566="","",SUMIFS(ItTotal,ItOS,$A566))</f>
        <v>0</v>
      </c>
      <c r="R566" s="30">
        <f>IF($A566="","",$P566+$Q566+N($K566)-N($L566))</f>
        <v>0</v>
      </c>
      <c r="S566" s="27">
        <f>IF($A566="","",SUMIFS(ItCusto,ItOS,$A566))</f>
        <v>0</v>
      </c>
      <c r="T566" s="27">
        <f>IF($A566="","",$P566*ComMec)</f>
        <v>0</v>
      </c>
      <c r="U566" s="21">
        <f>IF($A566="","",$R566-$S566-$T566-N($K566))</f>
        <v>0</v>
      </c>
      <c r="V566" s="31">
        <f>IF(OR($A566="",N($R566)&lt;=0),"",$U566/$R566)</f>
        <v>0</v>
      </c>
      <c r="W566" s="27">
        <f>IF($A566="","",IF(OR($I566="Finalizado",$I566="Entregue"),MAX(0,$R566-N($O566)),0))</f>
        <v>0</v>
      </c>
      <c r="X566" s="32">
        <f>IF(OR($A566="",$B566=""),"",IF(OR($I566="Entregue",$I566="Cancelada"),"",Hoje-$B566))</f>
        <v>0</v>
      </c>
      <c r="Y566" s="24">
        <f>IF($A566="","",IF(AND(OR($I566="Aprovado",$I566="Em execução",$I566="Aguardando peça"),N($X566)&gt;PrazoMax),"ATRASADA",IF(AND(OR($I566="Finalizado",$I566="Entregue"),$W566&gt;0.005),"Cobrar",IF($I566="Orçamento","Aguardando aprovação",""))))</f>
        <v>0</v>
      </c>
      <c r="Z566" s="33">
        <f>IF(AND($I566="Entregue",$M566&lt;&gt;""),DATE(YEAR($M566),MONTH($M566),1),"")</f>
        <v>0</v>
      </c>
      <c r="AA566" s="34">
        <f>IF(AND($C566&lt;&gt;"",$C566=HistPlaca),COUNTIF($C$5:$C566,HistPlaca),"")</f>
        <v>0</v>
      </c>
    </row>
    <row r="567" spans="1:27">
      <c r="A567" s="17"/>
      <c r="B567" s="25"/>
      <c r="C567" s="13"/>
      <c r="D567" s="26">
        <f>IF($C567="","",IFERROR(INDEX(VeicCli,MATCH($C567,VeicPlaca,0)),"Placa não cadastrada"))</f>
        <v>0</v>
      </c>
      <c r="E567" s="26">
        <f>IF($C567="","",IFERROR(INDEX(VeicModelo,MATCH($C567,VeicPlaca,0)),""))</f>
        <v>0</v>
      </c>
      <c r="F567" s="28"/>
      <c r="G567" s="13"/>
      <c r="H567" s="13"/>
      <c r="I567" s="13"/>
      <c r="J567" s="29"/>
      <c r="K567" s="19"/>
      <c r="L567" s="19"/>
      <c r="M567" s="25"/>
      <c r="N567" s="13"/>
      <c r="O567" s="19"/>
      <c r="P567" s="27">
        <f>IF($A567="","",N($J567)*ValorHora)</f>
        <v>0</v>
      </c>
      <c r="Q567" s="27">
        <f>IF($A567="","",SUMIFS(ItTotal,ItOS,$A567))</f>
        <v>0</v>
      </c>
      <c r="R567" s="30">
        <f>IF($A567="","",$P567+$Q567+N($K567)-N($L567))</f>
        <v>0</v>
      </c>
      <c r="S567" s="27">
        <f>IF($A567="","",SUMIFS(ItCusto,ItOS,$A567))</f>
        <v>0</v>
      </c>
      <c r="T567" s="27">
        <f>IF($A567="","",$P567*ComMec)</f>
        <v>0</v>
      </c>
      <c r="U567" s="21">
        <f>IF($A567="","",$R567-$S567-$T567-N($K567))</f>
        <v>0</v>
      </c>
      <c r="V567" s="31">
        <f>IF(OR($A567="",N($R567)&lt;=0),"",$U567/$R567)</f>
        <v>0</v>
      </c>
      <c r="W567" s="27">
        <f>IF($A567="","",IF(OR($I567="Finalizado",$I567="Entregue"),MAX(0,$R567-N($O567)),0))</f>
        <v>0</v>
      </c>
      <c r="X567" s="32">
        <f>IF(OR($A567="",$B567=""),"",IF(OR($I567="Entregue",$I567="Cancelada"),"",Hoje-$B567))</f>
        <v>0</v>
      </c>
      <c r="Y567" s="24">
        <f>IF($A567="","",IF(AND(OR($I567="Aprovado",$I567="Em execução",$I567="Aguardando peça"),N($X567)&gt;PrazoMax),"ATRASADA",IF(AND(OR($I567="Finalizado",$I567="Entregue"),$W567&gt;0.005),"Cobrar",IF($I567="Orçamento","Aguardando aprovação",""))))</f>
        <v>0</v>
      </c>
      <c r="Z567" s="33">
        <f>IF(AND($I567="Entregue",$M567&lt;&gt;""),DATE(YEAR($M567),MONTH($M567),1),"")</f>
        <v>0</v>
      </c>
      <c r="AA567" s="34">
        <f>IF(AND($C567&lt;&gt;"",$C567=HistPlaca),COUNTIF($C$5:$C567,HistPlaca),"")</f>
        <v>0</v>
      </c>
    </row>
    <row r="568" spans="1:27">
      <c r="A568" s="17"/>
      <c r="B568" s="25"/>
      <c r="C568" s="13"/>
      <c r="D568" s="26">
        <f>IF($C568="","",IFERROR(INDEX(VeicCli,MATCH($C568,VeicPlaca,0)),"Placa não cadastrada"))</f>
        <v>0</v>
      </c>
      <c r="E568" s="26">
        <f>IF($C568="","",IFERROR(INDEX(VeicModelo,MATCH($C568,VeicPlaca,0)),""))</f>
        <v>0</v>
      </c>
      <c r="F568" s="28"/>
      <c r="G568" s="13"/>
      <c r="H568" s="13"/>
      <c r="I568" s="13"/>
      <c r="J568" s="29"/>
      <c r="K568" s="19"/>
      <c r="L568" s="19"/>
      <c r="M568" s="25"/>
      <c r="N568" s="13"/>
      <c r="O568" s="19"/>
      <c r="P568" s="27">
        <f>IF($A568="","",N($J568)*ValorHora)</f>
        <v>0</v>
      </c>
      <c r="Q568" s="27">
        <f>IF($A568="","",SUMIFS(ItTotal,ItOS,$A568))</f>
        <v>0</v>
      </c>
      <c r="R568" s="30">
        <f>IF($A568="","",$P568+$Q568+N($K568)-N($L568))</f>
        <v>0</v>
      </c>
      <c r="S568" s="27">
        <f>IF($A568="","",SUMIFS(ItCusto,ItOS,$A568))</f>
        <v>0</v>
      </c>
      <c r="T568" s="27">
        <f>IF($A568="","",$P568*ComMec)</f>
        <v>0</v>
      </c>
      <c r="U568" s="21">
        <f>IF($A568="","",$R568-$S568-$T568-N($K568))</f>
        <v>0</v>
      </c>
      <c r="V568" s="31">
        <f>IF(OR($A568="",N($R568)&lt;=0),"",$U568/$R568)</f>
        <v>0</v>
      </c>
      <c r="W568" s="27">
        <f>IF($A568="","",IF(OR($I568="Finalizado",$I568="Entregue"),MAX(0,$R568-N($O568)),0))</f>
        <v>0</v>
      </c>
      <c r="X568" s="32">
        <f>IF(OR($A568="",$B568=""),"",IF(OR($I568="Entregue",$I568="Cancelada"),"",Hoje-$B568))</f>
        <v>0</v>
      </c>
      <c r="Y568" s="24">
        <f>IF($A568="","",IF(AND(OR($I568="Aprovado",$I568="Em execução",$I568="Aguardando peça"),N($X568)&gt;PrazoMax),"ATRASADA",IF(AND(OR($I568="Finalizado",$I568="Entregue"),$W568&gt;0.005),"Cobrar",IF($I568="Orçamento","Aguardando aprovação",""))))</f>
        <v>0</v>
      </c>
      <c r="Z568" s="33">
        <f>IF(AND($I568="Entregue",$M568&lt;&gt;""),DATE(YEAR($M568),MONTH($M568),1),"")</f>
        <v>0</v>
      </c>
      <c r="AA568" s="34">
        <f>IF(AND($C568&lt;&gt;"",$C568=HistPlaca),COUNTIF($C$5:$C568,HistPlaca),"")</f>
        <v>0</v>
      </c>
    </row>
    <row r="569" spans="1:27">
      <c r="A569" s="17"/>
      <c r="B569" s="25"/>
      <c r="C569" s="13"/>
      <c r="D569" s="26">
        <f>IF($C569="","",IFERROR(INDEX(VeicCli,MATCH($C569,VeicPlaca,0)),"Placa não cadastrada"))</f>
        <v>0</v>
      </c>
      <c r="E569" s="26">
        <f>IF($C569="","",IFERROR(INDEX(VeicModelo,MATCH($C569,VeicPlaca,0)),""))</f>
        <v>0</v>
      </c>
      <c r="F569" s="28"/>
      <c r="G569" s="13"/>
      <c r="H569" s="13"/>
      <c r="I569" s="13"/>
      <c r="J569" s="29"/>
      <c r="K569" s="19"/>
      <c r="L569" s="19"/>
      <c r="M569" s="25"/>
      <c r="N569" s="13"/>
      <c r="O569" s="19"/>
      <c r="P569" s="27">
        <f>IF($A569="","",N($J569)*ValorHora)</f>
        <v>0</v>
      </c>
      <c r="Q569" s="27">
        <f>IF($A569="","",SUMIFS(ItTotal,ItOS,$A569))</f>
        <v>0</v>
      </c>
      <c r="R569" s="30">
        <f>IF($A569="","",$P569+$Q569+N($K569)-N($L569))</f>
        <v>0</v>
      </c>
      <c r="S569" s="27">
        <f>IF($A569="","",SUMIFS(ItCusto,ItOS,$A569))</f>
        <v>0</v>
      </c>
      <c r="T569" s="27">
        <f>IF($A569="","",$P569*ComMec)</f>
        <v>0</v>
      </c>
      <c r="U569" s="21">
        <f>IF($A569="","",$R569-$S569-$T569-N($K569))</f>
        <v>0</v>
      </c>
      <c r="V569" s="31">
        <f>IF(OR($A569="",N($R569)&lt;=0),"",$U569/$R569)</f>
        <v>0</v>
      </c>
      <c r="W569" s="27">
        <f>IF($A569="","",IF(OR($I569="Finalizado",$I569="Entregue"),MAX(0,$R569-N($O569)),0))</f>
        <v>0</v>
      </c>
      <c r="X569" s="32">
        <f>IF(OR($A569="",$B569=""),"",IF(OR($I569="Entregue",$I569="Cancelada"),"",Hoje-$B569))</f>
        <v>0</v>
      </c>
      <c r="Y569" s="24">
        <f>IF($A569="","",IF(AND(OR($I569="Aprovado",$I569="Em execução",$I569="Aguardando peça"),N($X569)&gt;PrazoMax),"ATRASADA",IF(AND(OR($I569="Finalizado",$I569="Entregue"),$W569&gt;0.005),"Cobrar",IF($I569="Orçamento","Aguardando aprovação",""))))</f>
        <v>0</v>
      </c>
      <c r="Z569" s="33">
        <f>IF(AND($I569="Entregue",$M569&lt;&gt;""),DATE(YEAR($M569),MONTH($M569),1),"")</f>
        <v>0</v>
      </c>
      <c r="AA569" s="34">
        <f>IF(AND($C569&lt;&gt;"",$C569=HistPlaca),COUNTIF($C$5:$C569,HistPlaca),"")</f>
        <v>0</v>
      </c>
    </row>
    <row r="570" spans="1:27">
      <c r="A570" s="17"/>
      <c r="B570" s="25"/>
      <c r="C570" s="13"/>
      <c r="D570" s="26">
        <f>IF($C570="","",IFERROR(INDEX(VeicCli,MATCH($C570,VeicPlaca,0)),"Placa não cadastrada"))</f>
        <v>0</v>
      </c>
      <c r="E570" s="26">
        <f>IF($C570="","",IFERROR(INDEX(VeicModelo,MATCH($C570,VeicPlaca,0)),""))</f>
        <v>0</v>
      </c>
      <c r="F570" s="28"/>
      <c r="G570" s="13"/>
      <c r="H570" s="13"/>
      <c r="I570" s="13"/>
      <c r="J570" s="29"/>
      <c r="K570" s="19"/>
      <c r="L570" s="19"/>
      <c r="M570" s="25"/>
      <c r="N570" s="13"/>
      <c r="O570" s="19"/>
      <c r="P570" s="27">
        <f>IF($A570="","",N($J570)*ValorHora)</f>
        <v>0</v>
      </c>
      <c r="Q570" s="27">
        <f>IF($A570="","",SUMIFS(ItTotal,ItOS,$A570))</f>
        <v>0</v>
      </c>
      <c r="R570" s="30">
        <f>IF($A570="","",$P570+$Q570+N($K570)-N($L570))</f>
        <v>0</v>
      </c>
      <c r="S570" s="27">
        <f>IF($A570="","",SUMIFS(ItCusto,ItOS,$A570))</f>
        <v>0</v>
      </c>
      <c r="T570" s="27">
        <f>IF($A570="","",$P570*ComMec)</f>
        <v>0</v>
      </c>
      <c r="U570" s="21">
        <f>IF($A570="","",$R570-$S570-$T570-N($K570))</f>
        <v>0</v>
      </c>
      <c r="V570" s="31">
        <f>IF(OR($A570="",N($R570)&lt;=0),"",$U570/$R570)</f>
        <v>0</v>
      </c>
      <c r="W570" s="27">
        <f>IF($A570="","",IF(OR($I570="Finalizado",$I570="Entregue"),MAX(0,$R570-N($O570)),0))</f>
        <v>0</v>
      </c>
      <c r="X570" s="32">
        <f>IF(OR($A570="",$B570=""),"",IF(OR($I570="Entregue",$I570="Cancelada"),"",Hoje-$B570))</f>
        <v>0</v>
      </c>
      <c r="Y570" s="24">
        <f>IF($A570="","",IF(AND(OR($I570="Aprovado",$I570="Em execução",$I570="Aguardando peça"),N($X570)&gt;PrazoMax),"ATRASADA",IF(AND(OR($I570="Finalizado",$I570="Entregue"),$W570&gt;0.005),"Cobrar",IF($I570="Orçamento","Aguardando aprovação",""))))</f>
        <v>0</v>
      </c>
      <c r="Z570" s="33">
        <f>IF(AND($I570="Entregue",$M570&lt;&gt;""),DATE(YEAR($M570),MONTH($M570),1),"")</f>
        <v>0</v>
      </c>
      <c r="AA570" s="34">
        <f>IF(AND($C570&lt;&gt;"",$C570=HistPlaca),COUNTIF($C$5:$C570,HistPlaca),"")</f>
        <v>0</v>
      </c>
    </row>
    <row r="571" spans="1:27">
      <c r="A571" s="17"/>
      <c r="B571" s="25"/>
      <c r="C571" s="13"/>
      <c r="D571" s="26">
        <f>IF($C571="","",IFERROR(INDEX(VeicCli,MATCH($C571,VeicPlaca,0)),"Placa não cadastrada"))</f>
        <v>0</v>
      </c>
      <c r="E571" s="26">
        <f>IF($C571="","",IFERROR(INDEX(VeicModelo,MATCH($C571,VeicPlaca,0)),""))</f>
        <v>0</v>
      </c>
      <c r="F571" s="28"/>
      <c r="G571" s="13"/>
      <c r="H571" s="13"/>
      <c r="I571" s="13"/>
      <c r="J571" s="29"/>
      <c r="K571" s="19"/>
      <c r="L571" s="19"/>
      <c r="M571" s="25"/>
      <c r="N571" s="13"/>
      <c r="O571" s="19"/>
      <c r="P571" s="27">
        <f>IF($A571="","",N($J571)*ValorHora)</f>
        <v>0</v>
      </c>
      <c r="Q571" s="27">
        <f>IF($A571="","",SUMIFS(ItTotal,ItOS,$A571))</f>
        <v>0</v>
      </c>
      <c r="R571" s="30">
        <f>IF($A571="","",$P571+$Q571+N($K571)-N($L571))</f>
        <v>0</v>
      </c>
      <c r="S571" s="27">
        <f>IF($A571="","",SUMIFS(ItCusto,ItOS,$A571))</f>
        <v>0</v>
      </c>
      <c r="T571" s="27">
        <f>IF($A571="","",$P571*ComMec)</f>
        <v>0</v>
      </c>
      <c r="U571" s="21">
        <f>IF($A571="","",$R571-$S571-$T571-N($K571))</f>
        <v>0</v>
      </c>
      <c r="V571" s="31">
        <f>IF(OR($A571="",N($R571)&lt;=0),"",$U571/$R571)</f>
        <v>0</v>
      </c>
      <c r="W571" s="27">
        <f>IF($A571="","",IF(OR($I571="Finalizado",$I571="Entregue"),MAX(0,$R571-N($O571)),0))</f>
        <v>0</v>
      </c>
      <c r="X571" s="32">
        <f>IF(OR($A571="",$B571=""),"",IF(OR($I571="Entregue",$I571="Cancelada"),"",Hoje-$B571))</f>
        <v>0</v>
      </c>
      <c r="Y571" s="24">
        <f>IF($A571="","",IF(AND(OR($I571="Aprovado",$I571="Em execução",$I571="Aguardando peça"),N($X571)&gt;PrazoMax),"ATRASADA",IF(AND(OR($I571="Finalizado",$I571="Entregue"),$W571&gt;0.005),"Cobrar",IF($I571="Orçamento","Aguardando aprovação",""))))</f>
        <v>0</v>
      </c>
      <c r="Z571" s="33">
        <f>IF(AND($I571="Entregue",$M571&lt;&gt;""),DATE(YEAR($M571),MONTH($M571),1),"")</f>
        <v>0</v>
      </c>
      <c r="AA571" s="34">
        <f>IF(AND($C571&lt;&gt;"",$C571=HistPlaca),COUNTIF($C$5:$C571,HistPlaca),"")</f>
        <v>0</v>
      </c>
    </row>
    <row r="572" spans="1:27">
      <c r="A572" s="17"/>
      <c r="B572" s="25"/>
      <c r="C572" s="13"/>
      <c r="D572" s="26">
        <f>IF($C572="","",IFERROR(INDEX(VeicCli,MATCH($C572,VeicPlaca,0)),"Placa não cadastrada"))</f>
        <v>0</v>
      </c>
      <c r="E572" s="26">
        <f>IF($C572="","",IFERROR(INDEX(VeicModelo,MATCH($C572,VeicPlaca,0)),""))</f>
        <v>0</v>
      </c>
      <c r="F572" s="28"/>
      <c r="G572" s="13"/>
      <c r="H572" s="13"/>
      <c r="I572" s="13"/>
      <c r="J572" s="29"/>
      <c r="K572" s="19"/>
      <c r="L572" s="19"/>
      <c r="M572" s="25"/>
      <c r="N572" s="13"/>
      <c r="O572" s="19"/>
      <c r="P572" s="27">
        <f>IF($A572="","",N($J572)*ValorHora)</f>
        <v>0</v>
      </c>
      <c r="Q572" s="27">
        <f>IF($A572="","",SUMIFS(ItTotal,ItOS,$A572))</f>
        <v>0</v>
      </c>
      <c r="R572" s="30">
        <f>IF($A572="","",$P572+$Q572+N($K572)-N($L572))</f>
        <v>0</v>
      </c>
      <c r="S572" s="27">
        <f>IF($A572="","",SUMIFS(ItCusto,ItOS,$A572))</f>
        <v>0</v>
      </c>
      <c r="T572" s="27">
        <f>IF($A572="","",$P572*ComMec)</f>
        <v>0</v>
      </c>
      <c r="U572" s="21">
        <f>IF($A572="","",$R572-$S572-$T572-N($K572))</f>
        <v>0</v>
      </c>
      <c r="V572" s="31">
        <f>IF(OR($A572="",N($R572)&lt;=0),"",$U572/$R572)</f>
        <v>0</v>
      </c>
      <c r="W572" s="27">
        <f>IF($A572="","",IF(OR($I572="Finalizado",$I572="Entregue"),MAX(0,$R572-N($O572)),0))</f>
        <v>0</v>
      </c>
      <c r="X572" s="32">
        <f>IF(OR($A572="",$B572=""),"",IF(OR($I572="Entregue",$I572="Cancelada"),"",Hoje-$B572))</f>
        <v>0</v>
      </c>
      <c r="Y572" s="24">
        <f>IF($A572="","",IF(AND(OR($I572="Aprovado",$I572="Em execução",$I572="Aguardando peça"),N($X572)&gt;PrazoMax),"ATRASADA",IF(AND(OR($I572="Finalizado",$I572="Entregue"),$W572&gt;0.005),"Cobrar",IF($I572="Orçamento","Aguardando aprovação",""))))</f>
        <v>0</v>
      </c>
      <c r="Z572" s="33">
        <f>IF(AND($I572="Entregue",$M572&lt;&gt;""),DATE(YEAR($M572),MONTH($M572),1),"")</f>
        <v>0</v>
      </c>
      <c r="AA572" s="34">
        <f>IF(AND($C572&lt;&gt;"",$C572=HistPlaca),COUNTIF($C$5:$C572,HistPlaca),"")</f>
        <v>0</v>
      </c>
    </row>
    <row r="573" spans="1:27">
      <c r="A573" s="17"/>
      <c r="B573" s="25"/>
      <c r="C573" s="13"/>
      <c r="D573" s="26">
        <f>IF($C573="","",IFERROR(INDEX(VeicCli,MATCH($C573,VeicPlaca,0)),"Placa não cadastrada"))</f>
        <v>0</v>
      </c>
      <c r="E573" s="26">
        <f>IF($C573="","",IFERROR(INDEX(VeicModelo,MATCH($C573,VeicPlaca,0)),""))</f>
        <v>0</v>
      </c>
      <c r="F573" s="28"/>
      <c r="G573" s="13"/>
      <c r="H573" s="13"/>
      <c r="I573" s="13"/>
      <c r="J573" s="29"/>
      <c r="K573" s="19"/>
      <c r="L573" s="19"/>
      <c r="M573" s="25"/>
      <c r="N573" s="13"/>
      <c r="O573" s="19"/>
      <c r="P573" s="27">
        <f>IF($A573="","",N($J573)*ValorHora)</f>
        <v>0</v>
      </c>
      <c r="Q573" s="27">
        <f>IF($A573="","",SUMIFS(ItTotal,ItOS,$A573))</f>
        <v>0</v>
      </c>
      <c r="R573" s="30">
        <f>IF($A573="","",$P573+$Q573+N($K573)-N($L573))</f>
        <v>0</v>
      </c>
      <c r="S573" s="27">
        <f>IF($A573="","",SUMIFS(ItCusto,ItOS,$A573))</f>
        <v>0</v>
      </c>
      <c r="T573" s="27">
        <f>IF($A573="","",$P573*ComMec)</f>
        <v>0</v>
      </c>
      <c r="U573" s="21">
        <f>IF($A573="","",$R573-$S573-$T573-N($K573))</f>
        <v>0</v>
      </c>
      <c r="V573" s="31">
        <f>IF(OR($A573="",N($R573)&lt;=0),"",$U573/$R573)</f>
        <v>0</v>
      </c>
      <c r="W573" s="27">
        <f>IF($A573="","",IF(OR($I573="Finalizado",$I573="Entregue"),MAX(0,$R573-N($O573)),0))</f>
        <v>0</v>
      </c>
      <c r="X573" s="32">
        <f>IF(OR($A573="",$B573=""),"",IF(OR($I573="Entregue",$I573="Cancelada"),"",Hoje-$B573))</f>
        <v>0</v>
      </c>
      <c r="Y573" s="24">
        <f>IF($A573="","",IF(AND(OR($I573="Aprovado",$I573="Em execução",$I573="Aguardando peça"),N($X573)&gt;PrazoMax),"ATRASADA",IF(AND(OR($I573="Finalizado",$I573="Entregue"),$W573&gt;0.005),"Cobrar",IF($I573="Orçamento","Aguardando aprovação",""))))</f>
        <v>0</v>
      </c>
      <c r="Z573" s="33">
        <f>IF(AND($I573="Entregue",$M573&lt;&gt;""),DATE(YEAR($M573),MONTH($M573),1),"")</f>
        <v>0</v>
      </c>
      <c r="AA573" s="34">
        <f>IF(AND($C573&lt;&gt;"",$C573=HistPlaca),COUNTIF($C$5:$C573,HistPlaca),"")</f>
        <v>0</v>
      </c>
    </row>
    <row r="574" spans="1:27">
      <c r="A574" s="17"/>
      <c r="B574" s="25"/>
      <c r="C574" s="13"/>
      <c r="D574" s="26">
        <f>IF($C574="","",IFERROR(INDEX(VeicCli,MATCH($C574,VeicPlaca,0)),"Placa não cadastrada"))</f>
        <v>0</v>
      </c>
      <c r="E574" s="26">
        <f>IF($C574="","",IFERROR(INDEX(VeicModelo,MATCH($C574,VeicPlaca,0)),""))</f>
        <v>0</v>
      </c>
      <c r="F574" s="28"/>
      <c r="G574" s="13"/>
      <c r="H574" s="13"/>
      <c r="I574" s="13"/>
      <c r="J574" s="29"/>
      <c r="K574" s="19"/>
      <c r="L574" s="19"/>
      <c r="M574" s="25"/>
      <c r="N574" s="13"/>
      <c r="O574" s="19"/>
      <c r="P574" s="27">
        <f>IF($A574="","",N($J574)*ValorHora)</f>
        <v>0</v>
      </c>
      <c r="Q574" s="27">
        <f>IF($A574="","",SUMIFS(ItTotal,ItOS,$A574))</f>
        <v>0</v>
      </c>
      <c r="R574" s="30">
        <f>IF($A574="","",$P574+$Q574+N($K574)-N($L574))</f>
        <v>0</v>
      </c>
      <c r="S574" s="27">
        <f>IF($A574="","",SUMIFS(ItCusto,ItOS,$A574))</f>
        <v>0</v>
      </c>
      <c r="T574" s="27">
        <f>IF($A574="","",$P574*ComMec)</f>
        <v>0</v>
      </c>
      <c r="U574" s="21">
        <f>IF($A574="","",$R574-$S574-$T574-N($K574))</f>
        <v>0</v>
      </c>
      <c r="V574" s="31">
        <f>IF(OR($A574="",N($R574)&lt;=0),"",$U574/$R574)</f>
        <v>0</v>
      </c>
      <c r="W574" s="27">
        <f>IF($A574="","",IF(OR($I574="Finalizado",$I574="Entregue"),MAX(0,$R574-N($O574)),0))</f>
        <v>0</v>
      </c>
      <c r="X574" s="32">
        <f>IF(OR($A574="",$B574=""),"",IF(OR($I574="Entregue",$I574="Cancelada"),"",Hoje-$B574))</f>
        <v>0</v>
      </c>
      <c r="Y574" s="24">
        <f>IF($A574="","",IF(AND(OR($I574="Aprovado",$I574="Em execução",$I574="Aguardando peça"),N($X574)&gt;PrazoMax),"ATRASADA",IF(AND(OR($I574="Finalizado",$I574="Entregue"),$W574&gt;0.005),"Cobrar",IF($I574="Orçamento","Aguardando aprovação",""))))</f>
        <v>0</v>
      </c>
      <c r="Z574" s="33">
        <f>IF(AND($I574="Entregue",$M574&lt;&gt;""),DATE(YEAR($M574),MONTH($M574),1),"")</f>
        <v>0</v>
      </c>
      <c r="AA574" s="34">
        <f>IF(AND($C574&lt;&gt;"",$C574=HistPlaca),COUNTIF($C$5:$C574,HistPlaca),"")</f>
        <v>0</v>
      </c>
    </row>
    <row r="575" spans="1:27">
      <c r="A575" s="17"/>
      <c r="B575" s="25"/>
      <c r="C575" s="13"/>
      <c r="D575" s="26">
        <f>IF($C575="","",IFERROR(INDEX(VeicCli,MATCH($C575,VeicPlaca,0)),"Placa não cadastrada"))</f>
        <v>0</v>
      </c>
      <c r="E575" s="26">
        <f>IF($C575="","",IFERROR(INDEX(VeicModelo,MATCH($C575,VeicPlaca,0)),""))</f>
        <v>0</v>
      </c>
      <c r="F575" s="28"/>
      <c r="G575" s="13"/>
      <c r="H575" s="13"/>
      <c r="I575" s="13"/>
      <c r="J575" s="29"/>
      <c r="K575" s="19"/>
      <c r="L575" s="19"/>
      <c r="M575" s="25"/>
      <c r="N575" s="13"/>
      <c r="O575" s="19"/>
      <c r="P575" s="27">
        <f>IF($A575="","",N($J575)*ValorHora)</f>
        <v>0</v>
      </c>
      <c r="Q575" s="27">
        <f>IF($A575="","",SUMIFS(ItTotal,ItOS,$A575))</f>
        <v>0</v>
      </c>
      <c r="R575" s="30">
        <f>IF($A575="","",$P575+$Q575+N($K575)-N($L575))</f>
        <v>0</v>
      </c>
      <c r="S575" s="27">
        <f>IF($A575="","",SUMIFS(ItCusto,ItOS,$A575))</f>
        <v>0</v>
      </c>
      <c r="T575" s="27">
        <f>IF($A575="","",$P575*ComMec)</f>
        <v>0</v>
      </c>
      <c r="U575" s="21">
        <f>IF($A575="","",$R575-$S575-$T575-N($K575))</f>
        <v>0</v>
      </c>
      <c r="V575" s="31">
        <f>IF(OR($A575="",N($R575)&lt;=0),"",$U575/$R575)</f>
        <v>0</v>
      </c>
      <c r="W575" s="27">
        <f>IF($A575="","",IF(OR($I575="Finalizado",$I575="Entregue"),MAX(0,$R575-N($O575)),0))</f>
        <v>0</v>
      </c>
      <c r="X575" s="32">
        <f>IF(OR($A575="",$B575=""),"",IF(OR($I575="Entregue",$I575="Cancelada"),"",Hoje-$B575))</f>
        <v>0</v>
      </c>
      <c r="Y575" s="24">
        <f>IF($A575="","",IF(AND(OR($I575="Aprovado",$I575="Em execução",$I575="Aguardando peça"),N($X575)&gt;PrazoMax),"ATRASADA",IF(AND(OR($I575="Finalizado",$I575="Entregue"),$W575&gt;0.005),"Cobrar",IF($I575="Orçamento","Aguardando aprovação",""))))</f>
        <v>0</v>
      </c>
      <c r="Z575" s="33">
        <f>IF(AND($I575="Entregue",$M575&lt;&gt;""),DATE(YEAR($M575),MONTH($M575),1),"")</f>
        <v>0</v>
      </c>
      <c r="AA575" s="34">
        <f>IF(AND($C575&lt;&gt;"",$C575=HistPlaca),COUNTIF($C$5:$C575,HistPlaca),"")</f>
        <v>0</v>
      </c>
    </row>
    <row r="576" spans="1:27">
      <c r="A576" s="17"/>
      <c r="B576" s="25"/>
      <c r="C576" s="13"/>
      <c r="D576" s="26">
        <f>IF($C576="","",IFERROR(INDEX(VeicCli,MATCH($C576,VeicPlaca,0)),"Placa não cadastrada"))</f>
        <v>0</v>
      </c>
      <c r="E576" s="26">
        <f>IF($C576="","",IFERROR(INDEX(VeicModelo,MATCH($C576,VeicPlaca,0)),""))</f>
        <v>0</v>
      </c>
      <c r="F576" s="28"/>
      <c r="G576" s="13"/>
      <c r="H576" s="13"/>
      <c r="I576" s="13"/>
      <c r="J576" s="29"/>
      <c r="K576" s="19"/>
      <c r="L576" s="19"/>
      <c r="M576" s="25"/>
      <c r="N576" s="13"/>
      <c r="O576" s="19"/>
      <c r="P576" s="27">
        <f>IF($A576="","",N($J576)*ValorHora)</f>
        <v>0</v>
      </c>
      <c r="Q576" s="27">
        <f>IF($A576="","",SUMIFS(ItTotal,ItOS,$A576))</f>
        <v>0</v>
      </c>
      <c r="R576" s="30">
        <f>IF($A576="","",$P576+$Q576+N($K576)-N($L576))</f>
        <v>0</v>
      </c>
      <c r="S576" s="27">
        <f>IF($A576="","",SUMIFS(ItCusto,ItOS,$A576))</f>
        <v>0</v>
      </c>
      <c r="T576" s="27">
        <f>IF($A576="","",$P576*ComMec)</f>
        <v>0</v>
      </c>
      <c r="U576" s="21">
        <f>IF($A576="","",$R576-$S576-$T576-N($K576))</f>
        <v>0</v>
      </c>
      <c r="V576" s="31">
        <f>IF(OR($A576="",N($R576)&lt;=0),"",$U576/$R576)</f>
        <v>0</v>
      </c>
      <c r="W576" s="27">
        <f>IF($A576="","",IF(OR($I576="Finalizado",$I576="Entregue"),MAX(0,$R576-N($O576)),0))</f>
        <v>0</v>
      </c>
      <c r="X576" s="32">
        <f>IF(OR($A576="",$B576=""),"",IF(OR($I576="Entregue",$I576="Cancelada"),"",Hoje-$B576))</f>
        <v>0</v>
      </c>
      <c r="Y576" s="24">
        <f>IF($A576="","",IF(AND(OR($I576="Aprovado",$I576="Em execução",$I576="Aguardando peça"),N($X576)&gt;PrazoMax),"ATRASADA",IF(AND(OR($I576="Finalizado",$I576="Entregue"),$W576&gt;0.005),"Cobrar",IF($I576="Orçamento","Aguardando aprovação",""))))</f>
        <v>0</v>
      </c>
      <c r="Z576" s="33">
        <f>IF(AND($I576="Entregue",$M576&lt;&gt;""),DATE(YEAR($M576),MONTH($M576),1),"")</f>
        <v>0</v>
      </c>
      <c r="AA576" s="34">
        <f>IF(AND($C576&lt;&gt;"",$C576=HistPlaca),COUNTIF($C$5:$C576,HistPlaca),"")</f>
        <v>0</v>
      </c>
    </row>
    <row r="577" spans="1:27">
      <c r="A577" s="17"/>
      <c r="B577" s="25"/>
      <c r="C577" s="13"/>
      <c r="D577" s="26">
        <f>IF($C577="","",IFERROR(INDEX(VeicCli,MATCH($C577,VeicPlaca,0)),"Placa não cadastrada"))</f>
        <v>0</v>
      </c>
      <c r="E577" s="26">
        <f>IF($C577="","",IFERROR(INDEX(VeicModelo,MATCH($C577,VeicPlaca,0)),""))</f>
        <v>0</v>
      </c>
      <c r="F577" s="28"/>
      <c r="G577" s="13"/>
      <c r="H577" s="13"/>
      <c r="I577" s="13"/>
      <c r="J577" s="29"/>
      <c r="K577" s="19"/>
      <c r="L577" s="19"/>
      <c r="M577" s="25"/>
      <c r="N577" s="13"/>
      <c r="O577" s="19"/>
      <c r="P577" s="27">
        <f>IF($A577="","",N($J577)*ValorHora)</f>
        <v>0</v>
      </c>
      <c r="Q577" s="27">
        <f>IF($A577="","",SUMIFS(ItTotal,ItOS,$A577))</f>
        <v>0</v>
      </c>
      <c r="R577" s="30">
        <f>IF($A577="","",$P577+$Q577+N($K577)-N($L577))</f>
        <v>0</v>
      </c>
      <c r="S577" s="27">
        <f>IF($A577="","",SUMIFS(ItCusto,ItOS,$A577))</f>
        <v>0</v>
      </c>
      <c r="T577" s="27">
        <f>IF($A577="","",$P577*ComMec)</f>
        <v>0</v>
      </c>
      <c r="U577" s="21">
        <f>IF($A577="","",$R577-$S577-$T577-N($K577))</f>
        <v>0</v>
      </c>
      <c r="V577" s="31">
        <f>IF(OR($A577="",N($R577)&lt;=0),"",$U577/$R577)</f>
        <v>0</v>
      </c>
      <c r="W577" s="27">
        <f>IF($A577="","",IF(OR($I577="Finalizado",$I577="Entregue"),MAX(0,$R577-N($O577)),0))</f>
        <v>0</v>
      </c>
      <c r="X577" s="32">
        <f>IF(OR($A577="",$B577=""),"",IF(OR($I577="Entregue",$I577="Cancelada"),"",Hoje-$B577))</f>
        <v>0</v>
      </c>
      <c r="Y577" s="24">
        <f>IF($A577="","",IF(AND(OR($I577="Aprovado",$I577="Em execução",$I577="Aguardando peça"),N($X577)&gt;PrazoMax),"ATRASADA",IF(AND(OR($I577="Finalizado",$I577="Entregue"),$W577&gt;0.005),"Cobrar",IF($I577="Orçamento","Aguardando aprovação",""))))</f>
        <v>0</v>
      </c>
      <c r="Z577" s="33">
        <f>IF(AND($I577="Entregue",$M577&lt;&gt;""),DATE(YEAR($M577),MONTH($M577),1),"")</f>
        <v>0</v>
      </c>
      <c r="AA577" s="34">
        <f>IF(AND($C577&lt;&gt;"",$C577=HistPlaca),COUNTIF($C$5:$C577,HistPlaca),"")</f>
        <v>0</v>
      </c>
    </row>
    <row r="578" spans="1:27">
      <c r="A578" s="17"/>
      <c r="B578" s="25"/>
      <c r="C578" s="13"/>
      <c r="D578" s="26">
        <f>IF($C578="","",IFERROR(INDEX(VeicCli,MATCH($C578,VeicPlaca,0)),"Placa não cadastrada"))</f>
        <v>0</v>
      </c>
      <c r="E578" s="26">
        <f>IF($C578="","",IFERROR(INDEX(VeicModelo,MATCH($C578,VeicPlaca,0)),""))</f>
        <v>0</v>
      </c>
      <c r="F578" s="28"/>
      <c r="G578" s="13"/>
      <c r="H578" s="13"/>
      <c r="I578" s="13"/>
      <c r="J578" s="29"/>
      <c r="K578" s="19"/>
      <c r="L578" s="19"/>
      <c r="M578" s="25"/>
      <c r="N578" s="13"/>
      <c r="O578" s="19"/>
      <c r="P578" s="27">
        <f>IF($A578="","",N($J578)*ValorHora)</f>
        <v>0</v>
      </c>
      <c r="Q578" s="27">
        <f>IF($A578="","",SUMIFS(ItTotal,ItOS,$A578))</f>
        <v>0</v>
      </c>
      <c r="R578" s="30">
        <f>IF($A578="","",$P578+$Q578+N($K578)-N($L578))</f>
        <v>0</v>
      </c>
      <c r="S578" s="27">
        <f>IF($A578="","",SUMIFS(ItCusto,ItOS,$A578))</f>
        <v>0</v>
      </c>
      <c r="T578" s="27">
        <f>IF($A578="","",$P578*ComMec)</f>
        <v>0</v>
      </c>
      <c r="U578" s="21">
        <f>IF($A578="","",$R578-$S578-$T578-N($K578))</f>
        <v>0</v>
      </c>
      <c r="V578" s="31">
        <f>IF(OR($A578="",N($R578)&lt;=0),"",$U578/$R578)</f>
        <v>0</v>
      </c>
      <c r="W578" s="27">
        <f>IF($A578="","",IF(OR($I578="Finalizado",$I578="Entregue"),MAX(0,$R578-N($O578)),0))</f>
        <v>0</v>
      </c>
      <c r="X578" s="32">
        <f>IF(OR($A578="",$B578=""),"",IF(OR($I578="Entregue",$I578="Cancelada"),"",Hoje-$B578))</f>
        <v>0</v>
      </c>
      <c r="Y578" s="24">
        <f>IF($A578="","",IF(AND(OR($I578="Aprovado",$I578="Em execução",$I578="Aguardando peça"),N($X578)&gt;PrazoMax),"ATRASADA",IF(AND(OR($I578="Finalizado",$I578="Entregue"),$W578&gt;0.005),"Cobrar",IF($I578="Orçamento","Aguardando aprovação",""))))</f>
        <v>0</v>
      </c>
      <c r="Z578" s="33">
        <f>IF(AND($I578="Entregue",$M578&lt;&gt;""),DATE(YEAR($M578),MONTH($M578),1),"")</f>
        <v>0</v>
      </c>
      <c r="AA578" s="34">
        <f>IF(AND($C578&lt;&gt;"",$C578=HistPlaca),COUNTIF($C$5:$C578,HistPlaca),"")</f>
        <v>0</v>
      </c>
    </row>
    <row r="579" spans="1:27">
      <c r="A579" s="17"/>
      <c r="B579" s="25"/>
      <c r="C579" s="13"/>
      <c r="D579" s="26">
        <f>IF($C579="","",IFERROR(INDEX(VeicCli,MATCH($C579,VeicPlaca,0)),"Placa não cadastrada"))</f>
        <v>0</v>
      </c>
      <c r="E579" s="26">
        <f>IF($C579="","",IFERROR(INDEX(VeicModelo,MATCH($C579,VeicPlaca,0)),""))</f>
        <v>0</v>
      </c>
      <c r="F579" s="28"/>
      <c r="G579" s="13"/>
      <c r="H579" s="13"/>
      <c r="I579" s="13"/>
      <c r="J579" s="29"/>
      <c r="K579" s="19"/>
      <c r="L579" s="19"/>
      <c r="M579" s="25"/>
      <c r="N579" s="13"/>
      <c r="O579" s="19"/>
      <c r="P579" s="27">
        <f>IF($A579="","",N($J579)*ValorHora)</f>
        <v>0</v>
      </c>
      <c r="Q579" s="27">
        <f>IF($A579="","",SUMIFS(ItTotal,ItOS,$A579))</f>
        <v>0</v>
      </c>
      <c r="R579" s="30">
        <f>IF($A579="","",$P579+$Q579+N($K579)-N($L579))</f>
        <v>0</v>
      </c>
      <c r="S579" s="27">
        <f>IF($A579="","",SUMIFS(ItCusto,ItOS,$A579))</f>
        <v>0</v>
      </c>
      <c r="T579" s="27">
        <f>IF($A579="","",$P579*ComMec)</f>
        <v>0</v>
      </c>
      <c r="U579" s="21">
        <f>IF($A579="","",$R579-$S579-$T579-N($K579))</f>
        <v>0</v>
      </c>
      <c r="V579" s="31">
        <f>IF(OR($A579="",N($R579)&lt;=0),"",$U579/$R579)</f>
        <v>0</v>
      </c>
      <c r="W579" s="27">
        <f>IF($A579="","",IF(OR($I579="Finalizado",$I579="Entregue"),MAX(0,$R579-N($O579)),0))</f>
        <v>0</v>
      </c>
      <c r="X579" s="32">
        <f>IF(OR($A579="",$B579=""),"",IF(OR($I579="Entregue",$I579="Cancelada"),"",Hoje-$B579))</f>
        <v>0</v>
      </c>
      <c r="Y579" s="24">
        <f>IF($A579="","",IF(AND(OR($I579="Aprovado",$I579="Em execução",$I579="Aguardando peça"),N($X579)&gt;PrazoMax),"ATRASADA",IF(AND(OR($I579="Finalizado",$I579="Entregue"),$W579&gt;0.005),"Cobrar",IF($I579="Orçamento","Aguardando aprovação",""))))</f>
        <v>0</v>
      </c>
      <c r="Z579" s="33">
        <f>IF(AND($I579="Entregue",$M579&lt;&gt;""),DATE(YEAR($M579),MONTH($M579),1),"")</f>
        <v>0</v>
      </c>
      <c r="AA579" s="34">
        <f>IF(AND($C579&lt;&gt;"",$C579=HistPlaca),COUNTIF($C$5:$C579,HistPlaca),"")</f>
        <v>0</v>
      </c>
    </row>
    <row r="580" spans="1:27">
      <c r="A580" s="17"/>
      <c r="B580" s="25"/>
      <c r="C580" s="13"/>
      <c r="D580" s="26">
        <f>IF($C580="","",IFERROR(INDEX(VeicCli,MATCH($C580,VeicPlaca,0)),"Placa não cadastrada"))</f>
        <v>0</v>
      </c>
      <c r="E580" s="26">
        <f>IF($C580="","",IFERROR(INDEX(VeicModelo,MATCH($C580,VeicPlaca,0)),""))</f>
        <v>0</v>
      </c>
      <c r="F580" s="28"/>
      <c r="G580" s="13"/>
      <c r="H580" s="13"/>
      <c r="I580" s="13"/>
      <c r="J580" s="29"/>
      <c r="K580" s="19"/>
      <c r="L580" s="19"/>
      <c r="M580" s="25"/>
      <c r="N580" s="13"/>
      <c r="O580" s="19"/>
      <c r="P580" s="27">
        <f>IF($A580="","",N($J580)*ValorHora)</f>
        <v>0</v>
      </c>
      <c r="Q580" s="27">
        <f>IF($A580="","",SUMIFS(ItTotal,ItOS,$A580))</f>
        <v>0</v>
      </c>
      <c r="R580" s="30">
        <f>IF($A580="","",$P580+$Q580+N($K580)-N($L580))</f>
        <v>0</v>
      </c>
      <c r="S580" s="27">
        <f>IF($A580="","",SUMIFS(ItCusto,ItOS,$A580))</f>
        <v>0</v>
      </c>
      <c r="T580" s="27">
        <f>IF($A580="","",$P580*ComMec)</f>
        <v>0</v>
      </c>
      <c r="U580" s="21">
        <f>IF($A580="","",$R580-$S580-$T580-N($K580))</f>
        <v>0</v>
      </c>
      <c r="V580" s="31">
        <f>IF(OR($A580="",N($R580)&lt;=0),"",$U580/$R580)</f>
        <v>0</v>
      </c>
      <c r="W580" s="27">
        <f>IF($A580="","",IF(OR($I580="Finalizado",$I580="Entregue"),MAX(0,$R580-N($O580)),0))</f>
        <v>0</v>
      </c>
      <c r="X580" s="32">
        <f>IF(OR($A580="",$B580=""),"",IF(OR($I580="Entregue",$I580="Cancelada"),"",Hoje-$B580))</f>
        <v>0</v>
      </c>
      <c r="Y580" s="24">
        <f>IF($A580="","",IF(AND(OR($I580="Aprovado",$I580="Em execução",$I580="Aguardando peça"),N($X580)&gt;PrazoMax),"ATRASADA",IF(AND(OR($I580="Finalizado",$I580="Entregue"),$W580&gt;0.005),"Cobrar",IF($I580="Orçamento","Aguardando aprovação",""))))</f>
        <v>0</v>
      </c>
      <c r="Z580" s="33">
        <f>IF(AND($I580="Entregue",$M580&lt;&gt;""),DATE(YEAR($M580),MONTH($M580),1),"")</f>
        <v>0</v>
      </c>
      <c r="AA580" s="34">
        <f>IF(AND($C580&lt;&gt;"",$C580=HistPlaca),COUNTIF($C$5:$C580,HistPlaca),"")</f>
        <v>0</v>
      </c>
    </row>
    <row r="581" spans="1:27">
      <c r="A581" s="17"/>
      <c r="B581" s="25"/>
      <c r="C581" s="13"/>
      <c r="D581" s="26">
        <f>IF($C581="","",IFERROR(INDEX(VeicCli,MATCH($C581,VeicPlaca,0)),"Placa não cadastrada"))</f>
        <v>0</v>
      </c>
      <c r="E581" s="26">
        <f>IF($C581="","",IFERROR(INDEX(VeicModelo,MATCH($C581,VeicPlaca,0)),""))</f>
        <v>0</v>
      </c>
      <c r="F581" s="28"/>
      <c r="G581" s="13"/>
      <c r="H581" s="13"/>
      <c r="I581" s="13"/>
      <c r="J581" s="29"/>
      <c r="K581" s="19"/>
      <c r="L581" s="19"/>
      <c r="M581" s="25"/>
      <c r="N581" s="13"/>
      <c r="O581" s="19"/>
      <c r="P581" s="27">
        <f>IF($A581="","",N($J581)*ValorHora)</f>
        <v>0</v>
      </c>
      <c r="Q581" s="27">
        <f>IF($A581="","",SUMIFS(ItTotal,ItOS,$A581))</f>
        <v>0</v>
      </c>
      <c r="R581" s="30">
        <f>IF($A581="","",$P581+$Q581+N($K581)-N($L581))</f>
        <v>0</v>
      </c>
      <c r="S581" s="27">
        <f>IF($A581="","",SUMIFS(ItCusto,ItOS,$A581))</f>
        <v>0</v>
      </c>
      <c r="T581" s="27">
        <f>IF($A581="","",$P581*ComMec)</f>
        <v>0</v>
      </c>
      <c r="U581" s="21">
        <f>IF($A581="","",$R581-$S581-$T581-N($K581))</f>
        <v>0</v>
      </c>
      <c r="V581" s="31">
        <f>IF(OR($A581="",N($R581)&lt;=0),"",$U581/$R581)</f>
        <v>0</v>
      </c>
      <c r="W581" s="27">
        <f>IF($A581="","",IF(OR($I581="Finalizado",$I581="Entregue"),MAX(0,$R581-N($O581)),0))</f>
        <v>0</v>
      </c>
      <c r="X581" s="32">
        <f>IF(OR($A581="",$B581=""),"",IF(OR($I581="Entregue",$I581="Cancelada"),"",Hoje-$B581))</f>
        <v>0</v>
      </c>
      <c r="Y581" s="24">
        <f>IF($A581="","",IF(AND(OR($I581="Aprovado",$I581="Em execução",$I581="Aguardando peça"),N($X581)&gt;PrazoMax),"ATRASADA",IF(AND(OR($I581="Finalizado",$I581="Entregue"),$W581&gt;0.005),"Cobrar",IF($I581="Orçamento","Aguardando aprovação",""))))</f>
        <v>0</v>
      </c>
      <c r="Z581" s="33">
        <f>IF(AND($I581="Entregue",$M581&lt;&gt;""),DATE(YEAR($M581),MONTH($M581),1),"")</f>
        <v>0</v>
      </c>
      <c r="AA581" s="34">
        <f>IF(AND($C581&lt;&gt;"",$C581=HistPlaca),COUNTIF($C$5:$C581,HistPlaca),"")</f>
        <v>0</v>
      </c>
    </row>
    <row r="582" spans="1:27">
      <c r="A582" s="17"/>
      <c r="B582" s="25"/>
      <c r="C582" s="13"/>
      <c r="D582" s="26">
        <f>IF($C582="","",IFERROR(INDEX(VeicCli,MATCH($C582,VeicPlaca,0)),"Placa não cadastrada"))</f>
        <v>0</v>
      </c>
      <c r="E582" s="26">
        <f>IF($C582="","",IFERROR(INDEX(VeicModelo,MATCH($C582,VeicPlaca,0)),""))</f>
        <v>0</v>
      </c>
      <c r="F582" s="28"/>
      <c r="G582" s="13"/>
      <c r="H582" s="13"/>
      <c r="I582" s="13"/>
      <c r="J582" s="29"/>
      <c r="K582" s="19"/>
      <c r="L582" s="19"/>
      <c r="M582" s="25"/>
      <c r="N582" s="13"/>
      <c r="O582" s="19"/>
      <c r="P582" s="27">
        <f>IF($A582="","",N($J582)*ValorHora)</f>
        <v>0</v>
      </c>
      <c r="Q582" s="27">
        <f>IF($A582="","",SUMIFS(ItTotal,ItOS,$A582))</f>
        <v>0</v>
      </c>
      <c r="R582" s="30">
        <f>IF($A582="","",$P582+$Q582+N($K582)-N($L582))</f>
        <v>0</v>
      </c>
      <c r="S582" s="27">
        <f>IF($A582="","",SUMIFS(ItCusto,ItOS,$A582))</f>
        <v>0</v>
      </c>
      <c r="T582" s="27">
        <f>IF($A582="","",$P582*ComMec)</f>
        <v>0</v>
      </c>
      <c r="U582" s="21">
        <f>IF($A582="","",$R582-$S582-$T582-N($K582))</f>
        <v>0</v>
      </c>
      <c r="V582" s="31">
        <f>IF(OR($A582="",N($R582)&lt;=0),"",$U582/$R582)</f>
        <v>0</v>
      </c>
      <c r="W582" s="27">
        <f>IF($A582="","",IF(OR($I582="Finalizado",$I582="Entregue"),MAX(0,$R582-N($O582)),0))</f>
        <v>0</v>
      </c>
      <c r="X582" s="32">
        <f>IF(OR($A582="",$B582=""),"",IF(OR($I582="Entregue",$I582="Cancelada"),"",Hoje-$B582))</f>
        <v>0</v>
      </c>
      <c r="Y582" s="24">
        <f>IF($A582="","",IF(AND(OR($I582="Aprovado",$I582="Em execução",$I582="Aguardando peça"),N($X582)&gt;PrazoMax),"ATRASADA",IF(AND(OR($I582="Finalizado",$I582="Entregue"),$W582&gt;0.005),"Cobrar",IF($I582="Orçamento","Aguardando aprovação",""))))</f>
        <v>0</v>
      </c>
      <c r="Z582" s="33">
        <f>IF(AND($I582="Entregue",$M582&lt;&gt;""),DATE(YEAR($M582),MONTH($M582),1),"")</f>
        <v>0</v>
      </c>
      <c r="AA582" s="34">
        <f>IF(AND($C582&lt;&gt;"",$C582=HistPlaca),COUNTIF($C$5:$C582,HistPlaca),"")</f>
        <v>0</v>
      </c>
    </row>
    <row r="583" spans="1:27">
      <c r="A583" s="17"/>
      <c r="B583" s="25"/>
      <c r="C583" s="13"/>
      <c r="D583" s="26">
        <f>IF($C583="","",IFERROR(INDEX(VeicCli,MATCH($C583,VeicPlaca,0)),"Placa não cadastrada"))</f>
        <v>0</v>
      </c>
      <c r="E583" s="26">
        <f>IF($C583="","",IFERROR(INDEX(VeicModelo,MATCH($C583,VeicPlaca,0)),""))</f>
        <v>0</v>
      </c>
      <c r="F583" s="28"/>
      <c r="G583" s="13"/>
      <c r="H583" s="13"/>
      <c r="I583" s="13"/>
      <c r="J583" s="29"/>
      <c r="K583" s="19"/>
      <c r="L583" s="19"/>
      <c r="M583" s="25"/>
      <c r="N583" s="13"/>
      <c r="O583" s="19"/>
      <c r="P583" s="27">
        <f>IF($A583="","",N($J583)*ValorHora)</f>
        <v>0</v>
      </c>
      <c r="Q583" s="27">
        <f>IF($A583="","",SUMIFS(ItTotal,ItOS,$A583))</f>
        <v>0</v>
      </c>
      <c r="R583" s="30">
        <f>IF($A583="","",$P583+$Q583+N($K583)-N($L583))</f>
        <v>0</v>
      </c>
      <c r="S583" s="27">
        <f>IF($A583="","",SUMIFS(ItCusto,ItOS,$A583))</f>
        <v>0</v>
      </c>
      <c r="T583" s="27">
        <f>IF($A583="","",$P583*ComMec)</f>
        <v>0</v>
      </c>
      <c r="U583" s="21">
        <f>IF($A583="","",$R583-$S583-$T583-N($K583))</f>
        <v>0</v>
      </c>
      <c r="V583" s="31">
        <f>IF(OR($A583="",N($R583)&lt;=0),"",$U583/$R583)</f>
        <v>0</v>
      </c>
      <c r="W583" s="27">
        <f>IF($A583="","",IF(OR($I583="Finalizado",$I583="Entregue"),MAX(0,$R583-N($O583)),0))</f>
        <v>0</v>
      </c>
      <c r="X583" s="32">
        <f>IF(OR($A583="",$B583=""),"",IF(OR($I583="Entregue",$I583="Cancelada"),"",Hoje-$B583))</f>
        <v>0</v>
      </c>
      <c r="Y583" s="24">
        <f>IF($A583="","",IF(AND(OR($I583="Aprovado",$I583="Em execução",$I583="Aguardando peça"),N($X583)&gt;PrazoMax),"ATRASADA",IF(AND(OR($I583="Finalizado",$I583="Entregue"),$W583&gt;0.005),"Cobrar",IF($I583="Orçamento","Aguardando aprovação",""))))</f>
        <v>0</v>
      </c>
      <c r="Z583" s="33">
        <f>IF(AND($I583="Entregue",$M583&lt;&gt;""),DATE(YEAR($M583),MONTH($M583),1),"")</f>
        <v>0</v>
      </c>
      <c r="AA583" s="34">
        <f>IF(AND($C583&lt;&gt;"",$C583=HistPlaca),COUNTIF($C$5:$C583,HistPlaca),"")</f>
        <v>0</v>
      </c>
    </row>
    <row r="584" spans="1:27">
      <c r="A584" s="17"/>
      <c r="B584" s="25"/>
      <c r="C584" s="13"/>
      <c r="D584" s="26">
        <f>IF($C584="","",IFERROR(INDEX(VeicCli,MATCH($C584,VeicPlaca,0)),"Placa não cadastrada"))</f>
        <v>0</v>
      </c>
      <c r="E584" s="26">
        <f>IF($C584="","",IFERROR(INDEX(VeicModelo,MATCH($C584,VeicPlaca,0)),""))</f>
        <v>0</v>
      </c>
      <c r="F584" s="28"/>
      <c r="G584" s="13"/>
      <c r="H584" s="13"/>
      <c r="I584" s="13"/>
      <c r="J584" s="29"/>
      <c r="K584" s="19"/>
      <c r="L584" s="19"/>
      <c r="M584" s="25"/>
      <c r="N584" s="13"/>
      <c r="O584" s="19"/>
      <c r="P584" s="27">
        <f>IF($A584="","",N($J584)*ValorHora)</f>
        <v>0</v>
      </c>
      <c r="Q584" s="27">
        <f>IF($A584="","",SUMIFS(ItTotal,ItOS,$A584))</f>
        <v>0</v>
      </c>
      <c r="R584" s="30">
        <f>IF($A584="","",$P584+$Q584+N($K584)-N($L584))</f>
        <v>0</v>
      </c>
      <c r="S584" s="27">
        <f>IF($A584="","",SUMIFS(ItCusto,ItOS,$A584))</f>
        <v>0</v>
      </c>
      <c r="T584" s="27">
        <f>IF($A584="","",$P584*ComMec)</f>
        <v>0</v>
      </c>
      <c r="U584" s="21">
        <f>IF($A584="","",$R584-$S584-$T584-N($K584))</f>
        <v>0</v>
      </c>
      <c r="V584" s="31">
        <f>IF(OR($A584="",N($R584)&lt;=0),"",$U584/$R584)</f>
        <v>0</v>
      </c>
      <c r="W584" s="27">
        <f>IF($A584="","",IF(OR($I584="Finalizado",$I584="Entregue"),MAX(0,$R584-N($O584)),0))</f>
        <v>0</v>
      </c>
      <c r="X584" s="32">
        <f>IF(OR($A584="",$B584=""),"",IF(OR($I584="Entregue",$I584="Cancelada"),"",Hoje-$B584))</f>
        <v>0</v>
      </c>
      <c r="Y584" s="24">
        <f>IF($A584="","",IF(AND(OR($I584="Aprovado",$I584="Em execução",$I584="Aguardando peça"),N($X584)&gt;PrazoMax),"ATRASADA",IF(AND(OR($I584="Finalizado",$I584="Entregue"),$W584&gt;0.005),"Cobrar",IF($I584="Orçamento","Aguardando aprovação",""))))</f>
        <v>0</v>
      </c>
      <c r="Z584" s="33">
        <f>IF(AND($I584="Entregue",$M584&lt;&gt;""),DATE(YEAR($M584),MONTH($M584),1),"")</f>
        <v>0</v>
      </c>
      <c r="AA584" s="34">
        <f>IF(AND($C584&lt;&gt;"",$C584=HistPlaca),COUNTIF($C$5:$C584,HistPlaca),"")</f>
        <v>0</v>
      </c>
    </row>
    <row r="585" spans="1:27">
      <c r="A585" s="17"/>
      <c r="B585" s="25"/>
      <c r="C585" s="13"/>
      <c r="D585" s="26">
        <f>IF($C585="","",IFERROR(INDEX(VeicCli,MATCH($C585,VeicPlaca,0)),"Placa não cadastrada"))</f>
        <v>0</v>
      </c>
      <c r="E585" s="26">
        <f>IF($C585="","",IFERROR(INDEX(VeicModelo,MATCH($C585,VeicPlaca,0)),""))</f>
        <v>0</v>
      </c>
      <c r="F585" s="28"/>
      <c r="G585" s="13"/>
      <c r="H585" s="13"/>
      <c r="I585" s="13"/>
      <c r="J585" s="29"/>
      <c r="K585" s="19"/>
      <c r="L585" s="19"/>
      <c r="M585" s="25"/>
      <c r="N585" s="13"/>
      <c r="O585" s="19"/>
      <c r="P585" s="27">
        <f>IF($A585="","",N($J585)*ValorHora)</f>
        <v>0</v>
      </c>
      <c r="Q585" s="27">
        <f>IF($A585="","",SUMIFS(ItTotal,ItOS,$A585))</f>
        <v>0</v>
      </c>
      <c r="R585" s="30">
        <f>IF($A585="","",$P585+$Q585+N($K585)-N($L585))</f>
        <v>0</v>
      </c>
      <c r="S585" s="27">
        <f>IF($A585="","",SUMIFS(ItCusto,ItOS,$A585))</f>
        <v>0</v>
      </c>
      <c r="T585" s="27">
        <f>IF($A585="","",$P585*ComMec)</f>
        <v>0</v>
      </c>
      <c r="U585" s="21">
        <f>IF($A585="","",$R585-$S585-$T585-N($K585))</f>
        <v>0</v>
      </c>
      <c r="V585" s="31">
        <f>IF(OR($A585="",N($R585)&lt;=0),"",$U585/$R585)</f>
        <v>0</v>
      </c>
      <c r="W585" s="27">
        <f>IF($A585="","",IF(OR($I585="Finalizado",$I585="Entregue"),MAX(0,$R585-N($O585)),0))</f>
        <v>0</v>
      </c>
      <c r="X585" s="32">
        <f>IF(OR($A585="",$B585=""),"",IF(OR($I585="Entregue",$I585="Cancelada"),"",Hoje-$B585))</f>
        <v>0</v>
      </c>
      <c r="Y585" s="24">
        <f>IF($A585="","",IF(AND(OR($I585="Aprovado",$I585="Em execução",$I585="Aguardando peça"),N($X585)&gt;PrazoMax),"ATRASADA",IF(AND(OR($I585="Finalizado",$I585="Entregue"),$W585&gt;0.005),"Cobrar",IF($I585="Orçamento","Aguardando aprovação",""))))</f>
        <v>0</v>
      </c>
      <c r="Z585" s="33">
        <f>IF(AND($I585="Entregue",$M585&lt;&gt;""),DATE(YEAR($M585),MONTH($M585),1),"")</f>
        <v>0</v>
      </c>
      <c r="AA585" s="34">
        <f>IF(AND($C585&lt;&gt;"",$C585=HistPlaca),COUNTIF($C$5:$C585,HistPlaca),"")</f>
        <v>0</v>
      </c>
    </row>
    <row r="586" spans="1:27">
      <c r="A586" s="17"/>
      <c r="B586" s="25"/>
      <c r="C586" s="13"/>
      <c r="D586" s="26">
        <f>IF($C586="","",IFERROR(INDEX(VeicCli,MATCH($C586,VeicPlaca,0)),"Placa não cadastrada"))</f>
        <v>0</v>
      </c>
      <c r="E586" s="26">
        <f>IF($C586="","",IFERROR(INDEX(VeicModelo,MATCH($C586,VeicPlaca,0)),""))</f>
        <v>0</v>
      </c>
      <c r="F586" s="28"/>
      <c r="G586" s="13"/>
      <c r="H586" s="13"/>
      <c r="I586" s="13"/>
      <c r="J586" s="29"/>
      <c r="K586" s="19"/>
      <c r="L586" s="19"/>
      <c r="M586" s="25"/>
      <c r="N586" s="13"/>
      <c r="O586" s="19"/>
      <c r="P586" s="27">
        <f>IF($A586="","",N($J586)*ValorHora)</f>
        <v>0</v>
      </c>
      <c r="Q586" s="27">
        <f>IF($A586="","",SUMIFS(ItTotal,ItOS,$A586))</f>
        <v>0</v>
      </c>
      <c r="R586" s="30">
        <f>IF($A586="","",$P586+$Q586+N($K586)-N($L586))</f>
        <v>0</v>
      </c>
      <c r="S586" s="27">
        <f>IF($A586="","",SUMIFS(ItCusto,ItOS,$A586))</f>
        <v>0</v>
      </c>
      <c r="T586" s="27">
        <f>IF($A586="","",$P586*ComMec)</f>
        <v>0</v>
      </c>
      <c r="U586" s="21">
        <f>IF($A586="","",$R586-$S586-$T586-N($K586))</f>
        <v>0</v>
      </c>
      <c r="V586" s="31">
        <f>IF(OR($A586="",N($R586)&lt;=0),"",$U586/$R586)</f>
        <v>0</v>
      </c>
      <c r="W586" s="27">
        <f>IF($A586="","",IF(OR($I586="Finalizado",$I586="Entregue"),MAX(0,$R586-N($O586)),0))</f>
        <v>0</v>
      </c>
      <c r="X586" s="32">
        <f>IF(OR($A586="",$B586=""),"",IF(OR($I586="Entregue",$I586="Cancelada"),"",Hoje-$B586))</f>
        <v>0</v>
      </c>
      <c r="Y586" s="24">
        <f>IF($A586="","",IF(AND(OR($I586="Aprovado",$I586="Em execução",$I586="Aguardando peça"),N($X586)&gt;PrazoMax),"ATRASADA",IF(AND(OR($I586="Finalizado",$I586="Entregue"),$W586&gt;0.005),"Cobrar",IF($I586="Orçamento","Aguardando aprovação",""))))</f>
        <v>0</v>
      </c>
      <c r="Z586" s="33">
        <f>IF(AND($I586="Entregue",$M586&lt;&gt;""),DATE(YEAR($M586),MONTH($M586),1),"")</f>
        <v>0</v>
      </c>
      <c r="AA586" s="34">
        <f>IF(AND($C586&lt;&gt;"",$C586=HistPlaca),COUNTIF($C$5:$C586,HistPlaca),"")</f>
        <v>0</v>
      </c>
    </row>
    <row r="587" spans="1:27">
      <c r="A587" s="17"/>
      <c r="B587" s="25"/>
      <c r="C587" s="13"/>
      <c r="D587" s="26">
        <f>IF($C587="","",IFERROR(INDEX(VeicCli,MATCH($C587,VeicPlaca,0)),"Placa não cadastrada"))</f>
        <v>0</v>
      </c>
      <c r="E587" s="26">
        <f>IF($C587="","",IFERROR(INDEX(VeicModelo,MATCH($C587,VeicPlaca,0)),""))</f>
        <v>0</v>
      </c>
      <c r="F587" s="28"/>
      <c r="G587" s="13"/>
      <c r="H587" s="13"/>
      <c r="I587" s="13"/>
      <c r="J587" s="29"/>
      <c r="K587" s="19"/>
      <c r="L587" s="19"/>
      <c r="M587" s="25"/>
      <c r="N587" s="13"/>
      <c r="O587" s="19"/>
      <c r="P587" s="27">
        <f>IF($A587="","",N($J587)*ValorHora)</f>
        <v>0</v>
      </c>
      <c r="Q587" s="27">
        <f>IF($A587="","",SUMIFS(ItTotal,ItOS,$A587))</f>
        <v>0</v>
      </c>
      <c r="R587" s="30">
        <f>IF($A587="","",$P587+$Q587+N($K587)-N($L587))</f>
        <v>0</v>
      </c>
      <c r="S587" s="27">
        <f>IF($A587="","",SUMIFS(ItCusto,ItOS,$A587))</f>
        <v>0</v>
      </c>
      <c r="T587" s="27">
        <f>IF($A587="","",$P587*ComMec)</f>
        <v>0</v>
      </c>
      <c r="U587" s="21">
        <f>IF($A587="","",$R587-$S587-$T587-N($K587))</f>
        <v>0</v>
      </c>
      <c r="V587" s="31">
        <f>IF(OR($A587="",N($R587)&lt;=0),"",$U587/$R587)</f>
        <v>0</v>
      </c>
      <c r="W587" s="27">
        <f>IF($A587="","",IF(OR($I587="Finalizado",$I587="Entregue"),MAX(0,$R587-N($O587)),0))</f>
        <v>0</v>
      </c>
      <c r="X587" s="32">
        <f>IF(OR($A587="",$B587=""),"",IF(OR($I587="Entregue",$I587="Cancelada"),"",Hoje-$B587))</f>
        <v>0</v>
      </c>
      <c r="Y587" s="24">
        <f>IF($A587="","",IF(AND(OR($I587="Aprovado",$I587="Em execução",$I587="Aguardando peça"),N($X587)&gt;PrazoMax),"ATRASADA",IF(AND(OR($I587="Finalizado",$I587="Entregue"),$W587&gt;0.005),"Cobrar",IF($I587="Orçamento","Aguardando aprovação",""))))</f>
        <v>0</v>
      </c>
      <c r="Z587" s="33">
        <f>IF(AND($I587="Entregue",$M587&lt;&gt;""),DATE(YEAR($M587),MONTH($M587),1),"")</f>
        <v>0</v>
      </c>
      <c r="AA587" s="34">
        <f>IF(AND($C587&lt;&gt;"",$C587=HistPlaca),COUNTIF($C$5:$C587,HistPlaca),"")</f>
        <v>0</v>
      </c>
    </row>
    <row r="588" spans="1:27">
      <c r="A588" s="17"/>
      <c r="B588" s="25"/>
      <c r="C588" s="13"/>
      <c r="D588" s="26">
        <f>IF($C588="","",IFERROR(INDEX(VeicCli,MATCH($C588,VeicPlaca,0)),"Placa não cadastrada"))</f>
        <v>0</v>
      </c>
      <c r="E588" s="26">
        <f>IF($C588="","",IFERROR(INDEX(VeicModelo,MATCH($C588,VeicPlaca,0)),""))</f>
        <v>0</v>
      </c>
      <c r="F588" s="28"/>
      <c r="G588" s="13"/>
      <c r="H588" s="13"/>
      <c r="I588" s="13"/>
      <c r="J588" s="29"/>
      <c r="K588" s="19"/>
      <c r="L588" s="19"/>
      <c r="M588" s="25"/>
      <c r="N588" s="13"/>
      <c r="O588" s="19"/>
      <c r="P588" s="27">
        <f>IF($A588="","",N($J588)*ValorHora)</f>
        <v>0</v>
      </c>
      <c r="Q588" s="27">
        <f>IF($A588="","",SUMIFS(ItTotal,ItOS,$A588))</f>
        <v>0</v>
      </c>
      <c r="R588" s="30">
        <f>IF($A588="","",$P588+$Q588+N($K588)-N($L588))</f>
        <v>0</v>
      </c>
      <c r="S588" s="27">
        <f>IF($A588="","",SUMIFS(ItCusto,ItOS,$A588))</f>
        <v>0</v>
      </c>
      <c r="T588" s="27">
        <f>IF($A588="","",$P588*ComMec)</f>
        <v>0</v>
      </c>
      <c r="U588" s="21">
        <f>IF($A588="","",$R588-$S588-$T588-N($K588))</f>
        <v>0</v>
      </c>
      <c r="V588" s="31">
        <f>IF(OR($A588="",N($R588)&lt;=0),"",$U588/$R588)</f>
        <v>0</v>
      </c>
      <c r="W588" s="27">
        <f>IF($A588="","",IF(OR($I588="Finalizado",$I588="Entregue"),MAX(0,$R588-N($O588)),0))</f>
        <v>0</v>
      </c>
      <c r="X588" s="32">
        <f>IF(OR($A588="",$B588=""),"",IF(OR($I588="Entregue",$I588="Cancelada"),"",Hoje-$B588))</f>
        <v>0</v>
      </c>
      <c r="Y588" s="24">
        <f>IF($A588="","",IF(AND(OR($I588="Aprovado",$I588="Em execução",$I588="Aguardando peça"),N($X588)&gt;PrazoMax),"ATRASADA",IF(AND(OR($I588="Finalizado",$I588="Entregue"),$W588&gt;0.005),"Cobrar",IF($I588="Orçamento","Aguardando aprovação",""))))</f>
        <v>0</v>
      </c>
      <c r="Z588" s="33">
        <f>IF(AND($I588="Entregue",$M588&lt;&gt;""),DATE(YEAR($M588),MONTH($M588),1),"")</f>
        <v>0</v>
      </c>
      <c r="AA588" s="34">
        <f>IF(AND($C588&lt;&gt;"",$C588=HistPlaca),COUNTIF($C$5:$C588,HistPlaca),"")</f>
        <v>0</v>
      </c>
    </row>
    <row r="589" spans="1:27">
      <c r="A589" s="17"/>
      <c r="B589" s="25"/>
      <c r="C589" s="13"/>
      <c r="D589" s="26">
        <f>IF($C589="","",IFERROR(INDEX(VeicCli,MATCH($C589,VeicPlaca,0)),"Placa não cadastrada"))</f>
        <v>0</v>
      </c>
      <c r="E589" s="26">
        <f>IF($C589="","",IFERROR(INDEX(VeicModelo,MATCH($C589,VeicPlaca,0)),""))</f>
        <v>0</v>
      </c>
      <c r="F589" s="28"/>
      <c r="G589" s="13"/>
      <c r="H589" s="13"/>
      <c r="I589" s="13"/>
      <c r="J589" s="29"/>
      <c r="K589" s="19"/>
      <c r="L589" s="19"/>
      <c r="M589" s="25"/>
      <c r="N589" s="13"/>
      <c r="O589" s="19"/>
      <c r="P589" s="27">
        <f>IF($A589="","",N($J589)*ValorHora)</f>
        <v>0</v>
      </c>
      <c r="Q589" s="27">
        <f>IF($A589="","",SUMIFS(ItTotal,ItOS,$A589))</f>
        <v>0</v>
      </c>
      <c r="R589" s="30">
        <f>IF($A589="","",$P589+$Q589+N($K589)-N($L589))</f>
        <v>0</v>
      </c>
      <c r="S589" s="27">
        <f>IF($A589="","",SUMIFS(ItCusto,ItOS,$A589))</f>
        <v>0</v>
      </c>
      <c r="T589" s="27">
        <f>IF($A589="","",$P589*ComMec)</f>
        <v>0</v>
      </c>
      <c r="U589" s="21">
        <f>IF($A589="","",$R589-$S589-$T589-N($K589))</f>
        <v>0</v>
      </c>
      <c r="V589" s="31">
        <f>IF(OR($A589="",N($R589)&lt;=0),"",$U589/$R589)</f>
        <v>0</v>
      </c>
      <c r="W589" s="27">
        <f>IF($A589="","",IF(OR($I589="Finalizado",$I589="Entregue"),MAX(0,$R589-N($O589)),0))</f>
        <v>0</v>
      </c>
      <c r="X589" s="32">
        <f>IF(OR($A589="",$B589=""),"",IF(OR($I589="Entregue",$I589="Cancelada"),"",Hoje-$B589))</f>
        <v>0</v>
      </c>
      <c r="Y589" s="24">
        <f>IF($A589="","",IF(AND(OR($I589="Aprovado",$I589="Em execução",$I589="Aguardando peça"),N($X589)&gt;PrazoMax),"ATRASADA",IF(AND(OR($I589="Finalizado",$I589="Entregue"),$W589&gt;0.005),"Cobrar",IF($I589="Orçamento","Aguardando aprovação",""))))</f>
        <v>0</v>
      </c>
      <c r="Z589" s="33">
        <f>IF(AND($I589="Entregue",$M589&lt;&gt;""),DATE(YEAR($M589),MONTH($M589),1),"")</f>
        <v>0</v>
      </c>
      <c r="AA589" s="34">
        <f>IF(AND($C589&lt;&gt;"",$C589=HistPlaca),COUNTIF($C$5:$C589,HistPlaca),"")</f>
        <v>0</v>
      </c>
    </row>
    <row r="590" spans="1:27">
      <c r="A590" s="17"/>
      <c r="B590" s="25"/>
      <c r="C590" s="13"/>
      <c r="D590" s="26">
        <f>IF($C590="","",IFERROR(INDEX(VeicCli,MATCH($C590,VeicPlaca,0)),"Placa não cadastrada"))</f>
        <v>0</v>
      </c>
      <c r="E590" s="26">
        <f>IF($C590="","",IFERROR(INDEX(VeicModelo,MATCH($C590,VeicPlaca,0)),""))</f>
        <v>0</v>
      </c>
      <c r="F590" s="28"/>
      <c r="G590" s="13"/>
      <c r="H590" s="13"/>
      <c r="I590" s="13"/>
      <c r="J590" s="29"/>
      <c r="K590" s="19"/>
      <c r="L590" s="19"/>
      <c r="M590" s="25"/>
      <c r="N590" s="13"/>
      <c r="O590" s="19"/>
      <c r="P590" s="27">
        <f>IF($A590="","",N($J590)*ValorHora)</f>
        <v>0</v>
      </c>
      <c r="Q590" s="27">
        <f>IF($A590="","",SUMIFS(ItTotal,ItOS,$A590))</f>
        <v>0</v>
      </c>
      <c r="R590" s="30">
        <f>IF($A590="","",$P590+$Q590+N($K590)-N($L590))</f>
        <v>0</v>
      </c>
      <c r="S590" s="27">
        <f>IF($A590="","",SUMIFS(ItCusto,ItOS,$A590))</f>
        <v>0</v>
      </c>
      <c r="T590" s="27">
        <f>IF($A590="","",$P590*ComMec)</f>
        <v>0</v>
      </c>
      <c r="U590" s="21">
        <f>IF($A590="","",$R590-$S590-$T590-N($K590))</f>
        <v>0</v>
      </c>
      <c r="V590" s="31">
        <f>IF(OR($A590="",N($R590)&lt;=0),"",$U590/$R590)</f>
        <v>0</v>
      </c>
      <c r="W590" s="27">
        <f>IF($A590="","",IF(OR($I590="Finalizado",$I590="Entregue"),MAX(0,$R590-N($O590)),0))</f>
        <v>0</v>
      </c>
      <c r="X590" s="32">
        <f>IF(OR($A590="",$B590=""),"",IF(OR($I590="Entregue",$I590="Cancelada"),"",Hoje-$B590))</f>
        <v>0</v>
      </c>
      <c r="Y590" s="24">
        <f>IF($A590="","",IF(AND(OR($I590="Aprovado",$I590="Em execução",$I590="Aguardando peça"),N($X590)&gt;PrazoMax),"ATRASADA",IF(AND(OR($I590="Finalizado",$I590="Entregue"),$W590&gt;0.005),"Cobrar",IF($I590="Orçamento","Aguardando aprovação",""))))</f>
        <v>0</v>
      </c>
      <c r="Z590" s="33">
        <f>IF(AND($I590="Entregue",$M590&lt;&gt;""),DATE(YEAR($M590),MONTH($M590),1),"")</f>
        <v>0</v>
      </c>
      <c r="AA590" s="34">
        <f>IF(AND($C590&lt;&gt;"",$C590=HistPlaca),COUNTIF($C$5:$C590,HistPlaca),"")</f>
        <v>0</v>
      </c>
    </row>
    <row r="591" spans="1:27">
      <c r="A591" s="17"/>
      <c r="B591" s="25"/>
      <c r="C591" s="13"/>
      <c r="D591" s="26">
        <f>IF($C591="","",IFERROR(INDEX(VeicCli,MATCH($C591,VeicPlaca,0)),"Placa não cadastrada"))</f>
        <v>0</v>
      </c>
      <c r="E591" s="26">
        <f>IF($C591="","",IFERROR(INDEX(VeicModelo,MATCH($C591,VeicPlaca,0)),""))</f>
        <v>0</v>
      </c>
      <c r="F591" s="28"/>
      <c r="G591" s="13"/>
      <c r="H591" s="13"/>
      <c r="I591" s="13"/>
      <c r="J591" s="29"/>
      <c r="K591" s="19"/>
      <c r="L591" s="19"/>
      <c r="M591" s="25"/>
      <c r="N591" s="13"/>
      <c r="O591" s="19"/>
      <c r="P591" s="27">
        <f>IF($A591="","",N($J591)*ValorHora)</f>
        <v>0</v>
      </c>
      <c r="Q591" s="27">
        <f>IF($A591="","",SUMIFS(ItTotal,ItOS,$A591))</f>
        <v>0</v>
      </c>
      <c r="R591" s="30">
        <f>IF($A591="","",$P591+$Q591+N($K591)-N($L591))</f>
        <v>0</v>
      </c>
      <c r="S591" s="27">
        <f>IF($A591="","",SUMIFS(ItCusto,ItOS,$A591))</f>
        <v>0</v>
      </c>
      <c r="T591" s="27">
        <f>IF($A591="","",$P591*ComMec)</f>
        <v>0</v>
      </c>
      <c r="U591" s="21">
        <f>IF($A591="","",$R591-$S591-$T591-N($K591))</f>
        <v>0</v>
      </c>
      <c r="V591" s="31">
        <f>IF(OR($A591="",N($R591)&lt;=0),"",$U591/$R591)</f>
        <v>0</v>
      </c>
      <c r="W591" s="27">
        <f>IF($A591="","",IF(OR($I591="Finalizado",$I591="Entregue"),MAX(0,$R591-N($O591)),0))</f>
        <v>0</v>
      </c>
      <c r="X591" s="32">
        <f>IF(OR($A591="",$B591=""),"",IF(OR($I591="Entregue",$I591="Cancelada"),"",Hoje-$B591))</f>
        <v>0</v>
      </c>
      <c r="Y591" s="24">
        <f>IF($A591="","",IF(AND(OR($I591="Aprovado",$I591="Em execução",$I591="Aguardando peça"),N($X591)&gt;PrazoMax),"ATRASADA",IF(AND(OR($I591="Finalizado",$I591="Entregue"),$W591&gt;0.005),"Cobrar",IF($I591="Orçamento","Aguardando aprovação",""))))</f>
        <v>0</v>
      </c>
      <c r="Z591" s="33">
        <f>IF(AND($I591="Entregue",$M591&lt;&gt;""),DATE(YEAR($M591),MONTH($M591),1),"")</f>
        <v>0</v>
      </c>
      <c r="AA591" s="34">
        <f>IF(AND($C591&lt;&gt;"",$C591=HistPlaca),COUNTIF($C$5:$C591,HistPlaca),"")</f>
        <v>0</v>
      </c>
    </row>
    <row r="592" spans="1:27">
      <c r="A592" s="17"/>
      <c r="B592" s="25"/>
      <c r="C592" s="13"/>
      <c r="D592" s="26">
        <f>IF($C592="","",IFERROR(INDEX(VeicCli,MATCH($C592,VeicPlaca,0)),"Placa não cadastrada"))</f>
        <v>0</v>
      </c>
      <c r="E592" s="26">
        <f>IF($C592="","",IFERROR(INDEX(VeicModelo,MATCH($C592,VeicPlaca,0)),""))</f>
        <v>0</v>
      </c>
      <c r="F592" s="28"/>
      <c r="G592" s="13"/>
      <c r="H592" s="13"/>
      <c r="I592" s="13"/>
      <c r="J592" s="29"/>
      <c r="K592" s="19"/>
      <c r="L592" s="19"/>
      <c r="M592" s="25"/>
      <c r="N592" s="13"/>
      <c r="O592" s="19"/>
      <c r="P592" s="27">
        <f>IF($A592="","",N($J592)*ValorHora)</f>
        <v>0</v>
      </c>
      <c r="Q592" s="27">
        <f>IF($A592="","",SUMIFS(ItTotal,ItOS,$A592))</f>
        <v>0</v>
      </c>
      <c r="R592" s="30">
        <f>IF($A592="","",$P592+$Q592+N($K592)-N($L592))</f>
        <v>0</v>
      </c>
      <c r="S592" s="27">
        <f>IF($A592="","",SUMIFS(ItCusto,ItOS,$A592))</f>
        <v>0</v>
      </c>
      <c r="T592" s="27">
        <f>IF($A592="","",$P592*ComMec)</f>
        <v>0</v>
      </c>
      <c r="U592" s="21">
        <f>IF($A592="","",$R592-$S592-$T592-N($K592))</f>
        <v>0</v>
      </c>
      <c r="V592" s="31">
        <f>IF(OR($A592="",N($R592)&lt;=0),"",$U592/$R592)</f>
        <v>0</v>
      </c>
      <c r="W592" s="27">
        <f>IF($A592="","",IF(OR($I592="Finalizado",$I592="Entregue"),MAX(0,$R592-N($O592)),0))</f>
        <v>0</v>
      </c>
      <c r="X592" s="32">
        <f>IF(OR($A592="",$B592=""),"",IF(OR($I592="Entregue",$I592="Cancelada"),"",Hoje-$B592))</f>
        <v>0</v>
      </c>
      <c r="Y592" s="24">
        <f>IF($A592="","",IF(AND(OR($I592="Aprovado",$I592="Em execução",$I592="Aguardando peça"),N($X592)&gt;PrazoMax),"ATRASADA",IF(AND(OR($I592="Finalizado",$I592="Entregue"),$W592&gt;0.005),"Cobrar",IF($I592="Orçamento","Aguardando aprovação",""))))</f>
        <v>0</v>
      </c>
      <c r="Z592" s="33">
        <f>IF(AND($I592="Entregue",$M592&lt;&gt;""),DATE(YEAR($M592),MONTH($M592),1),"")</f>
        <v>0</v>
      </c>
      <c r="AA592" s="34">
        <f>IF(AND($C592&lt;&gt;"",$C592=HistPlaca),COUNTIF($C$5:$C592,HistPlaca),"")</f>
        <v>0</v>
      </c>
    </row>
    <row r="593" spans="1:27">
      <c r="A593" s="17"/>
      <c r="B593" s="25"/>
      <c r="C593" s="13"/>
      <c r="D593" s="26">
        <f>IF($C593="","",IFERROR(INDEX(VeicCli,MATCH($C593,VeicPlaca,0)),"Placa não cadastrada"))</f>
        <v>0</v>
      </c>
      <c r="E593" s="26">
        <f>IF($C593="","",IFERROR(INDEX(VeicModelo,MATCH($C593,VeicPlaca,0)),""))</f>
        <v>0</v>
      </c>
      <c r="F593" s="28"/>
      <c r="G593" s="13"/>
      <c r="H593" s="13"/>
      <c r="I593" s="13"/>
      <c r="J593" s="29"/>
      <c r="K593" s="19"/>
      <c r="L593" s="19"/>
      <c r="M593" s="25"/>
      <c r="N593" s="13"/>
      <c r="O593" s="19"/>
      <c r="P593" s="27">
        <f>IF($A593="","",N($J593)*ValorHora)</f>
        <v>0</v>
      </c>
      <c r="Q593" s="27">
        <f>IF($A593="","",SUMIFS(ItTotal,ItOS,$A593))</f>
        <v>0</v>
      </c>
      <c r="R593" s="30">
        <f>IF($A593="","",$P593+$Q593+N($K593)-N($L593))</f>
        <v>0</v>
      </c>
      <c r="S593" s="27">
        <f>IF($A593="","",SUMIFS(ItCusto,ItOS,$A593))</f>
        <v>0</v>
      </c>
      <c r="T593" s="27">
        <f>IF($A593="","",$P593*ComMec)</f>
        <v>0</v>
      </c>
      <c r="U593" s="21">
        <f>IF($A593="","",$R593-$S593-$T593-N($K593))</f>
        <v>0</v>
      </c>
      <c r="V593" s="31">
        <f>IF(OR($A593="",N($R593)&lt;=0),"",$U593/$R593)</f>
        <v>0</v>
      </c>
      <c r="W593" s="27">
        <f>IF($A593="","",IF(OR($I593="Finalizado",$I593="Entregue"),MAX(0,$R593-N($O593)),0))</f>
        <v>0</v>
      </c>
      <c r="X593" s="32">
        <f>IF(OR($A593="",$B593=""),"",IF(OR($I593="Entregue",$I593="Cancelada"),"",Hoje-$B593))</f>
        <v>0</v>
      </c>
      <c r="Y593" s="24">
        <f>IF($A593="","",IF(AND(OR($I593="Aprovado",$I593="Em execução",$I593="Aguardando peça"),N($X593)&gt;PrazoMax),"ATRASADA",IF(AND(OR($I593="Finalizado",$I593="Entregue"),$W593&gt;0.005),"Cobrar",IF($I593="Orçamento","Aguardando aprovação",""))))</f>
        <v>0</v>
      </c>
      <c r="Z593" s="33">
        <f>IF(AND($I593="Entregue",$M593&lt;&gt;""),DATE(YEAR($M593),MONTH($M593),1),"")</f>
        <v>0</v>
      </c>
      <c r="AA593" s="34">
        <f>IF(AND($C593&lt;&gt;"",$C593=HistPlaca),COUNTIF($C$5:$C593,HistPlaca),"")</f>
        <v>0</v>
      </c>
    </row>
    <row r="594" spans="1:27">
      <c r="A594" s="17"/>
      <c r="B594" s="25"/>
      <c r="C594" s="13"/>
      <c r="D594" s="26">
        <f>IF($C594="","",IFERROR(INDEX(VeicCli,MATCH($C594,VeicPlaca,0)),"Placa não cadastrada"))</f>
        <v>0</v>
      </c>
      <c r="E594" s="26">
        <f>IF($C594="","",IFERROR(INDEX(VeicModelo,MATCH($C594,VeicPlaca,0)),""))</f>
        <v>0</v>
      </c>
      <c r="F594" s="28"/>
      <c r="G594" s="13"/>
      <c r="H594" s="13"/>
      <c r="I594" s="13"/>
      <c r="J594" s="29"/>
      <c r="K594" s="19"/>
      <c r="L594" s="19"/>
      <c r="M594" s="25"/>
      <c r="N594" s="13"/>
      <c r="O594" s="19"/>
      <c r="P594" s="27">
        <f>IF($A594="","",N($J594)*ValorHora)</f>
        <v>0</v>
      </c>
      <c r="Q594" s="27">
        <f>IF($A594="","",SUMIFS(ItTotal,ItOS,$A594))</f>
        <v>0</v>
      </c>
      <c r="R594" s="30">
        <f>IF($A594="","",$P594+$Q594+N($K594)-N($L594))</f>
        <v>0</v>
      </c>
      <c r="S594" s="27">
        <f>IF($A594="","",SUMIFS(ItCusto,ItOS,$A594))</f>
        <v>0</v>
      </c>
      <c r="T594" s="27">
        <f>IF($A594="","",$P594*ComMec)</f>
        <v>0</v>
      </c>
      <c r="U594" s="21">
        <f>IF($A594="","",$R594-$S594-$T594-N($K594))</f>
        <v>0</v>
      </c>
      <c r="V594" s="31">
        <f>IF(OR($A594="",N($R594)&lt;=0),"",$U594/$R594)</f>
        <v>0</v>
      </c>
      <c r="W594" s="27">
        <f>IF($A594="","",IF(OR($I594="Finalizado",$I594="Entregue"),MAX(0,$R594-N($O594)),0))</f>
        <v>0</v>
      </c>
      <c r="X594" s="32">
        <f>IF(OR($A594="",$B594=""),"",IF(OR($I594="Entregue",$I594="Cancelada"),"",Hoje-$B594))</f>
        <v>0</v>
      </c>
      <c r="Y594" s="24">
        <f>IF($A594="","",IF(AND(OR($I594="Aprovado",$I594="Em execução",$I594="Aguardando peça"),N($X594)&gt;PrazoMax),"ATRASADA",IF(AND(OR($I594="Finalizado",$I594="Entregue"),$W594&gt;0.005),"Cobrar",IF($I594="Orçamento","Aguardando aprovação",""))))</f>
        <v>0</v>
      </c>
      <c r="Z594" s="33">
        <f>IF(AND($I594="Entregue",$M594&lt;&gt;""),DATE(YEAR($M594),MONTH($M594),1),"")</f>
        <v>0</v>
      </c>
      <c r="AA594" s="34">
        <f>IF(AND($C594&lt;&gt;"",$C594=HistPlaca),COUNTIF($C$5:$C594,HistPlaca),"")</f>
        <v>0</v>
      </c>
    </row>
    <row r="595" spans="1:27">
      <c r="A595" s="17"/>
      <c r="B595" s="25"/>
      <c r="C595" s="13"/>
      <c r="D595" s="26">
        <f>IF($C595="","",IFERROR(INDEX(VeicCli,MATCH($C595,VeicPlaca,0)),"Placa não cadastrada"))</f>
        <v>0</v>
      </c>
      <c r="E595" s="26">
        <f>IF($C595="","",IFERROR(INDEX(VeicModelo,MATCH($C595,VeicPlaca,0)),""))</f>
        <v>0</v>
      </c>
      <c r="F595" s="28"/>
      <c r="G595" s="13"/>
      <c r="H595" s="13"/>
      <c r="I595" s="13"/>
      <c r="J595" s="29"/>
      <c r="K595" s="19"/>
      <c r="L595" s="19"/>
      <c r="M595" s="25"/>
      <c r="N595" s="13"/>
      <c r="O595" s="19"/>
      <c r="P595" s="27">
        <f>IF($A595="","",N($J595)*ValorHora)</f>
        <v>0</v>
      </c>
      <c r="Q595" s="27">
        <f>IF($A595="","",SUMIFS(ItTotal,ItOS,$A595))</f>
        <v>0</v>
      </c>
      <c r="R595" s="30">
        <f>IF($A595="","",$P595+$Q595+N($K595)-N($L595))</f>
        <v>0</v>
      </c>
      <c r="S595" s="27">
        <f>IF($A595="","",SUMIFS(ItCusto,ItOS,$A595))</f>
        <v>0</v>
      </c>
      <c r="T595" s="27">
        <f>IF($A595="","",$P595*ComMec)</f>
        <v>0</v>
      </c>
      <c r="U595" s="21">
        <f>IF($A595="","",$R595-$S595-$T595-N($K595))</f>
        <v>0</v>
      </c>
      <c r="V595" s="31">
        <f>IF(OR($A595="",N($R595)&lt;=0),"",$U595/$R595)</f>
        <v>0</v>
      </c>
      <c r="W595" s="27">
        <f>IF($A595="","",IF(OR($I595="Finalizado",$I595="Entregue"),MAX(0,$R595-N($O595)),0))</f>
        <v>0</v>
      </c>
      <c r="X595" s="32">
        <f>IF(OR($A595="",$B595=""),"",IF(OR($I595="Entregue",$I595="Cancelada"),"",Hoje-$B595))</f>
        <v>0</v>
      </c>
      <c r="Y595" s="24">
        <f>IF($A595="","",IF(AND(OR($I595="Aprovado",$I595="Em execução",$I595="Aguardando peça"),N($X595)&gt;PrazoMax),"ATRASADA",IF(AND(OR($I595="Finalizado",$I595="Entregue"),$W595&gt;0.005),"Cobrar",IF($I595="Orçamento","Aguardando aprovação",""))))</f>
        <v>0</v>
      </c>
      <c r="Z595" s="33">
        <f>IF(AND($I595="Entregue",$M595&lt;&gt;""),DATE(YEAR($M595),MONTH($M595),1),"")</f>
        <v>0</v>
      </c>
      <c r="AA595" s="34">
        <f>IF(AND($C595&lt;&gt;"",$C595=HistPlaca),COUNTIF($C$5:$C595,HistPlaca),"")</f>
        <v>0</v>
      </c>
    </row>
    <row r="596" spans="1:27">
      <c r="A596" s="17"/>
      <c r="B596" s="25"/>
      <c r="C596" s="13"/>
      <c r="D596" s="26">
        <f>IF($C596="","",IFERROR(INDEX(VeicCli,MATCH($C596,VeicPlaca,0)),"Placa não cadastrada"))</f>
        <v>0</v>
      </c>
      <c r="E596" s="26">
        <f>IF($C596="","",IFERROR(INDEX(VeicModelo,MATCH($C596,VeicPlaca,0)),""))</f>
        <v>0</v>
      </c>
      <c r="F596" s="28"/>
      <c r="G596" s="13"/>
      <c r="H596" s="13"/>
      <c r="I596" s="13"/>
      <c r="J596" s="29"/>
      <c r="K596" s="19"/>
      <c r="L596" s="19"/>
      <c r="M596" s="25"/>
      <c r="N596" s="13"/>
      <c r="O596" s="19"/>
      <c r="P596" s="27">
        <f>IF($A596="","",N($J596)*ValorHora)</f>
        <v>0</v>
      </c>
      <c r="Q596" s="27">
        <f>IF($A596="","",SUMIFS(ItTotal,ItOS,$A596))</f>
        <v>0</v>
      </c>
      <c r="R596" s="30">
        <f>IF($A596="","",$P596+$Q596+N($K596)-N($L596))</f>
        <v>0</v>
      </c>
      <c r="S596" s="27">
        <f>IF($A596="","",SUMIFS(ItCusto,ItOS,$A596))</f>
        <v>0</v>
      </c>
      <c r="T596" s="27">
        <f>IF($A596="","",$P596*ComMec)</f>
        <v>0</v>
      </c>
      <c r="U596" s="21">
        <f>IF($A596="","",$R596-$S596-$T596-N($K596))</f>
        <v>0</v>
      </c>
      <c r="V596" s="31">
        <f>IF(OR($A596="",N($R596)&lt;=0),"",$U596/$R596)</f>
        <v>0</v>
      </c>
      <c r="W596" s="27">
        <f>IF($A596="","",IF(OR($I596="Finalizado",$I596="Entregue"),MAX(0,$R596-N($O596)),0))</f>
        <v>0</v>
      </c>
      <c r="X596" s="32">
        <f>IF(OR($A596="",$B596=""),"",IF(OR($I596="Entregue",$I596="Cancelada"),"",Hoje-$B596))</f>
        <v>0</v>
      </c>
      <c r="Y596" s="24">
        <f>IF($A596="","",IF(AND(OR($I596="Aprovado",$I596="Em execução",$I596="Aguardando peça"),N($X596)&gt;PrazoMax),"ATRASADA",IF(AND(OR($I596="Finalizado",$I596="Entregue"),$W596&gt;0.005),"Cobrar",IF($I596="Orçamento","Aguardando aprovação",""))))</f>
        <v>0</v>
      </c>
      <c r="Z596" s="33">
        <f>IF(AND($I596="Entregue",$M596&lt;&gt;""),DATE(YEAR($M596),MONTH($M596),1),"")</f>
        <v>0</v>
      </c>
      <c r="AA596" s="34">
        <f>IF(AND($C596&lt;&gt;"",$C596=HistPlaca),COUNTIF($C$5:$C596,HistPlaca),"")</f>
        <v>0</v>
      </c>
    </row>
    <row r="597" spans="1:27">
      <c r="A597" s="17"/>
      <c r="B597" s="25"/>
      <c r="C597" s="13"/>
      <c r="D597" s="26">
        <f>IF($C597="","",IFERROR(INDEX(VeicCli,MATCH($C597,VeicPlaca,0)),"Placa não cadastrada"))</f>
        <v>0</v>
      </c>
      <c r="E597" s="26">
        <f>IF($C597="","",IFERROR(INDEX(VeicModelo,MATCH($C597,VeicPlaca,0)),""))</f>
        <v>0</v>
      </c>
      <c r="F597" s="28"/>
      <c r="G597" s="13"/>
      <c r="H597" s="13"/>
      <c r="I597" s="13"/>
      <c r="J597" s="29"/>
      <c r="K597" s="19"/>
      <c r="L597" s="19"/>
      <c r="M597" s="25"/>
      <c r="N597" s="13"/>
      <c r="O597" s="19"/>
      <c r="P597" s="27">
        <f>IF($A597="","",N($J597)*ValorHora)</f>
        <v>0</v>
      </c>
      <c r="Q597" s="27">
        <f>IF($A597="","",SUMIFS(ItTotal,ItOS,$A597))</f>
        <v>0</v>
      </c>
      <c r="R597" s="30">
        <f>IF($A597="","",$P597+$Q597+N($K597)-N($L597))</f>
        <v>0</v>
      </c>
      <c r="S597" s="27">
        <f>IF($A597="","",SUMIFS(ItCusto,ItOS,$A597))</f>
        <v>0</v>
      </c>
      <c r="T597" s="27">
        <f>IF($A597="","",$P597*ComMec)</f>
        <v>0</v>
      </c>
      <c r="U597" s="21">
        <f>IF($A597="","",$R597-$S597-$T597-N($K597))</f>
        <v>0</v>
      </c>
      <c r="V597" s="31">
        <f>IF(OR($A597="",N($R597)&lt;=0),"",$U597/$R597)</f>
        <v>0</v>
      </c>
      <c r="W597" s="27">
        <f>IF($A597="","",IF(OR($I597="Finalizado",$I597="Entregue"),MAX(0,$R597-N($O597)),0))</f>
        <v>0</v>
      </c>
      <c r="X597" s="32">
        <f>IF(OR($A597="",$B597=""),"",IF(OR($I597="Entregue",$I597="Cancelada"),"",Hoje-$B597))</f>
        <v>0</v>
      </c>
      <c r="Y597" s="24">
        <f>IF($A597="","",IF(AND(OR($I597="Aprovado",$I597="Em execução",$I597="Aguardando peça"),N($X597)&gt;PrazoMax),"ATRASADA",IF(AND(OR($I597="Finalizado",$I597="Entregue"),$W597&gt;0.005),"Cobrar",IF($I597="Orçamento","Aguardando aprovação",""))))</f>
        <v>0</v>
      </c>
      <c r="Z597" s="33">
        <f>IF(AND($I597="Entregue",$M597&lt;&gt;""),DATE(YEAR($M597),MONTH($M597),1),"")</f>
        <v>0</v>
      </c>
      <c r="AA597" s="34">
        <f>IF(AND($C597&lt;&gt;"",$C597=HistPlaca),COUNTIF($C$5:$C597,HistPlaca),"")</f>
        <v>0</v>
      </c>
    </row>
    <row r="598" spans="1:27">
      <c r="A598" s="17"/>
      <c r="B598" s="25"/>
      <c r="C598" s="13"/>
      <c r="D598" s="26">
        <f>IF($C598="","",IFERROR(INDEX(VeicCli,MATCH($C598,VeicPlaca,0)),"Placa não cadastrada"))</f>
        <v>0</v>
      </c>
      <c r="E598" s="26">
        <f>IF($C598="","",IFERROR(INDEX(VeicModelo,MATCH($C598,VeicPlaca,0)),""))</f>
        <v>0</v>
      </c>
      <c r="F598" s="28"/>
      <c r="G598" s="13"/>
      <c r="H598" s="13"/>
      <c r="I598" s="13"/>
      <c r="J598" s="29"/>
      <c r="K598" s="19"/>
      <c r="L598" s="19"/>
      <c r="M598" s="25"/>
      <c r="N598" s="13"/>
      <c r="O598" s="19"/>
      <c r="P598" s="27">
        <f>IF($A598="","",N($J598)*ValorHora)</f>
        <v>0</v>
      </c>
      <c r="Q598" s="27">
        <f>IF($A598="","",SUMIFS(ItTotal,ItOS,$A598))</f>
        <v>0</v>
      </c>
      <c r="R598" s="30">
        <f>IF($A598="","",$P598+$Q598+N($K598)-N($L598))</f>
        <v>0</v>
      </c>
      <c r="S598" s="27">
        <f>IF($A598="","",SUMIFS(ItCusto,ItOS,$A598))</f>
        <v>0</v>
      </c>
      <c r="T598" s="27">
        <f>IF($A598="","",$P598*ComMec)</f>
        <v>0</v>
      </c>
      <c r="U598" s="21">
        <f>IF($A598="","",$R598-$S598-$T598-N($K598))</f>
        <v>0</v>
      </c>
      <c r="V598" s="31">
        <f>IF(OR($A598="",N($R598)&lt;=0),"",$U598/$R598)</f>
        <v>0</v>
      </c>
      <c r="W598" s="27">
        <f>IF($A598="","",IF(OR($I598="Finalizado",$I598="Entregue"),MAX(0,$R598-N($O598)),0))</f>
        <v>0</v>
      </c>
      <c r="X598" s="32">
        <f>IF(OR($A598="",$B598=""),"",IF(OR($I598="Entregue",$I598="Cancelada"),"",Hoje-$B598))</f>
        <v>0</v>
      </c>
      <c r="Y598" s="24">
        <f>IF($A598="","",IF(AND(OR($I598="Aprovado",$I598="Em execução",$I598="Aguardando peça"),N($X598)&gt;PrazoMax),"ATRASADA",IF(AND(OR($I598="Finalizado",$I598="Entregue"),$W598&gt;0.005),"Cobrar",IF($I598="Orçamento","Aguardando aprovação",""))))</f>
        <v>0</v>
      </c>
      <c r="Z598" s="33">
        <f>IF(AND($I598="Entregue",$M598&lt;&gt;""),DATE(YEAR($M598),MONTH($M598),1),"")</f>
        <v>0</v>
      </c>
      <c r="AA598" s="34">
        <f>IF(AND($C598&lt;&gt;"",$C598=HistPlaca),COUNTIF($C$5:$C598,HistPlaca),"")</f>
        <v>0</v>
      </c>
    </row>
    <row r="599" spans="1:27">
      <c r="A599" s="17"/>
      <c r="B599" s="25"/>
      <c r="C599" s="13"/>
      <c r="D599" s="26">
        <f>IF($C599="","",IFERROR(INDEX(VeicCli,MATCH($C599,VeicPlaca,0)),"Placa não cadastrada"))</f>
        <v>0</v>
      </c>
      <c r="E599" s="26">
        <f>IF($C599="","",IFERROR(INDEX(VeicModelo,MATCH($C599,VeicPlaca,0)),""))</f>
        <v>0</v>
      </c>
      <c r="F599" s="28"/>
      <c r="G599" s="13"/>
      <c r="H599" s="13"/>
      <c r="I599" s="13"/>
      <c r="J599" s="29"/>
      <c r="K599" s="19"/>
      <c r="L599" s="19"/>
      <c r="M599" s="25"/>
      <c r="N599" s="13"/>
      <c r="O599" s="19"/>
      <c r="P599" s="27">
        <f>IF($A599="","",N($J599)*ValorHora)</f>
        <v>0</v>
      </c>
      <c r="Q599" s="27">
        <f>IF($A599="","",SUMIFS(ItTotal,ItOS,$A599))</f>
        <v>0</v>
      </c>
      <c r="R599" s="30">
        <f>IF($A599="","",$P599+$Q599+N($K599)-N($L599))</f>
        <v>0</v>
      </c>
      <c r="S599" s="27">
        <f>IF($A599="","",SUMIFS(ItCusto,ItOS,$A599))</f>
        <v>0</v>
      </c>
      <c r="T599" s="27">
        <f>IF($A599="","",$P599*ComMec)</f>
        <v>0</v>
      </c>
      <c r="U599" s="21">
        <f>IF($A599="","",$R599-$S599-$T599-N($K599))</f>
        <v>0</v>
      </c>
      <c r="V599" s="31">
        <f>IF(OR($A599="",N($R599)&lt;=0),"",$U599/$R599)</f>
        <v>0</v>
      </c>
      <c r="W599" s="27">
        <f>IF($A599="","",IF(OR($I599="Finalizado",$I599="Entregue"),MAX(0,$R599-N($O599)),0))</f>
        <v>0</v>
      </c>
      <c r="X599" s="32">
        <f>IF(OR($A599="",$B599=""),"",IF(OR($I599="Entregue",$I599="Cancelada"),"",Hoje-$B599))</f>
        <v>0</v>
      </c>
      <c r="Y599" s="24">
        <f>IF($A599="","",IF(AND(OR($I599="Aprovado",$I599="Em execução",$I599="Aguardando peça"),N($X599)&gt;PrazoMax),"ATRASADA",IF(AND(OR($I599="Finalizado",$I599="Entregue"),$W599&gt;0.005),"Cobrar",IF($I599="Orçamento","Aguardando aprovação",""))))</f>
        <v>0</v>
      </c>
      <c r="Z599" s="33">
        <f>IF(AND($I599="Entregue",$M599&lt;&gt;""),DATE(YEAR($M599),MONTH($M599),1),"")</f>
        <v>0</v>
      </c>
      <c r="AA599" s="34">
        <f>IF(AND($C599&lt;&gt;"",$C599=HistPlaca),COUNTIF($C$5:$C599,HistPlaca),"")</f>
        <v>0</v>
      </c>
    </row>
    <row r="600" spans="1:27">
      <c r="A600" s="17"/>
      <c r="B600" s="25"/>
      <c r="C600" s="13"/>
      <c r="D600" s="26">
        <f>IF($C600="","",IFERROR(INDEX(VeicCli,MATCH($C600,VeicPlaca,0)),"Placa não cadastrada"))</f>
        <v>0</v>
      </c>
      <c r="E600" s="26">
        <f>IF($C600="","",IFERROR(INDEX(VeicModelo,MATCH($C600,VeicPlaca,0)),""))</f>
        <v>0</v>
      </c>
      <c r="F600" s="28"/>
      <c r="G600" s="13"/>
      <c r="H600" s="13"/>
      <c r="I600" s="13"/>
      <c r="J600" s="29"/>
      <c r="K600" s="19"/>
      <c r="L600" s="19"/>
      <c r="M600" s="25"/>
      <c r="N600" s="13"/>
      <c r="O600" s="19"/>
      <c r="P600" s="27">
        <f>IF($A600="","",N($J600)*ValorHora)</f>
        <v>0</v>
      </c>
      <c r="Q600" s="27">
        <f>IF($A600="","",SUMIFS(ItTotal,ItOS,$A600))</f>
        <v>0</v>
      </c>
      <c r="R600" s="30">
        <f>IF($A600="","",$P600+$Q600+N($K600)-N($L600))</f>
        <v>0</v>
      </c>
      <c r="S600" s="27">
        <f>IF($A600="","",SUMIFS(ItCusto,ItOS,$A600))</f>
        <v>0</v>
      </c>
      <c r="T600" s="27">
        <f>IF($A600="","",$P600*ComMec)</f>
        <v>0</v>
      </c>
      <c r="U600" s="21">
        <f>IF($A600="","",$R600-$S600-$T600-N($K600))</f>
        <v>0</v>
      </c>
      <c r="V600" s="31">
        <f>IF(OR($A600="",N($R600)&lt;=0),"",$U600/$R600)</f>
        <v>0</v>
      </c>
      <c r="W600" s="27">
        <f>IF($A600="","",IF(OR($I600="Finalizado",$I600="Entregue"),MAX(0,$R600-N($O600)),0))</f>
        <v>0</v>
      </c>
      <c r="X600" s="32">
        <f>IF(OR($A600="",$B600=""),"",IF(OR($I600="Entregue",$I600="Cancelada"),"",Hoje-$B600))</f>
        <v>0</v>
      </c>
      <c r="Y600" s="24">
        <f>IF($A600="","",IF(AND(OR($I600="Aprovado",$I600="Em execução",$I600="Aguardando peça"),N($X600)&gt;PrazoMax),"ATRASADA",IF(AND(OR($I600="Finalizado",$I600="Entregue"),$W600&gt;0.005),"Cobrar",IF($I600="Orçamento","Aguardando aprovação",""))))</f>
        <v>0</v>
      </c>
      <c r="Z600" s="33">
        <f>IF(AND($I600="Entregue",$M600&lt;&gt;""),DATE(YEAR($M600),MONTH($M600),1),"")</f>
        <v>0</v>
      </c>
      <c r="AA600" s="34">
        <f>IF(AND($C600&lt;&gt;"",$C600=HistPlaca),COUNTIF($C$5:$C600,HistPlaca),"")</f>
        <v>0</v>
      </c>
    </row>
    <row r="601" spans="1:27">
      <c r="A601" s="17"/>
      <c r="B601" s="25"/>
      <c r="C601" s="13"/>
      <c r="D601" s="26">
        <f>IF($C601="","",IFERROR(INDEX(VeicCli,MATCH($C601,VeicPlaca,0)),"Placa não cadastrada"))</f>
        <v>0</v>
      </c>
      <c r="E601" s="26">
        <f>IF($C601="","",IFERROR(INDEX(VeicModelo,MATCH($C601,VeicPlaca,0)),""))</f>
        <v>0</v>
      </c>
      <c r="F601" s="28"/>
      <c r="G601" s="13"/>
      <c r="H601" s="13"/>
      <c r="I601" s="13"/>
      <c r="J601" s="29"/>
      <c r="K601" s="19"/>
      <c r="L601" s="19"/>
      <c r="M601" s="25"/>
      <c r="N601" s="13"/>
      <c r="O601" s="19"/>
      <c r="P601" s="27">
        <f>IF($A601="","",N($J601)*ValorHora)</f>
        <v>0</v>
      </c>
      <c r="Q601" s="27">
        <f>IF($A601="","",SUMIFS(ItTotal,ItOS,$A601))</f>
        <v>0</v>
      </c>
      <c r="R601" s="30">
        <f>IF($A601="","",$P601+$Q601+N($K601)-N($L601))</f>
        <v>0</v>
      </c>
      <c r="S601" s="27">
        <f>IF($A601="","",SUMIFS(ItCusto,ItOS,$A601))</f>
        <v>0</v>
      </c>
      <c r="T601" s="27">
        <f>IF($A601="","",$P601*ComMec)</f>
        <v>0</v>
      </c>
      <c r="U601" s="21">
        <f>IF($A601="","",$R601-$S601-$T601-N($K601))</f>
        <v>0</v>
      </c>
      <c r="V601" s="31">
        <f>IF(OR($A601="",N($R601)&lt;=0),"",$U601/$R601)</f>
        <v>0</v>
      </c>
      <c r="W601" s="27">
        <f>IF($A601="","",IF(OR($I601="Finalizado",$I601="Entregue"),MAX(0,$R601-N($O601)),0))</f>
        <v>0</v>
      </c>
      <c r="X601" s="32">
        <f>IF(OR($A601="",$B601=""),"",IF(OR($I601="Entregue",$I601="Cancelada"),"",Hoje-$B601))</f>
        <v>0</v>
      </c>
      <c r="Y601" s="24">
        <f>IF($A601="","",IF(AND(OR($I601="Aprovado",$I601="Em execução",$I601="Aguardando peça"),N($X601)&gt;PrazoMax),"ATRASADA",IF(AND(OR($I601="Finalizado",$I601="Entregue"),$W601&gt;0.005),"Cobrar",IF($I601="Orçamento","Aguardando aprovação",""))))</f>
        <v>0</v>
      </c>
      <c r="Z601" s="33">
        <f>IF(AND($I601="Entregue",$M601&lt;&gt;""),DATE(YEAR($M601),MONTH($M601),1),"")</f>
        <v>0</v>
      </c>
      <c r="AA601" s="34">
        <f>IF(AND($C601&lt;&gt;"",$C601=HistPlaca),COUNTIF($C$5:$C601,HistPlaca),"")</f>
        <v>0</v>
      </c>
    </row>
    <row r="602" spans="1:27">
      <c r="A602" s="17"/>
      <c r="B602" s="25"/>
      <c r="C602" s="13"/>
      <c r="D602" s="26">
        <f>IF($C602="","",IFERROR(INDEX(VeicCli,MATCH($C602,VeicPlaca,0)),"Placa não cadastrada"))</f>
        <v>0</v>
      </c>
      <c r="E602" s="26">
        <f>IF($C602="","",IFERROR(INDEX(VeicModelo,MATCH($C602,VeicPlaca,0)),""))</f>
        <v>0</v>
      </c>
      <c r="F602" s="28"/>
      <c r="G602" s="13"/>
      <c r="H602" s="13"/>
      <c r="I602" s="13"/>
      <c r="J602" s="29"/>
      <c r="K602" s="19"/>
      <c r="L602" s="19"/>
      <c r="M602" s="25"/>
      <c r="N602" s="13"/>
      <c r="O602" s="19"/>
      <c r="P602" s="27">
        <f>IF($A602="","",N($J602)*ValorHora)</f>
        <v>0</v>
      </c>
      <c r="Q602" s="27">
        <f>IF($A602="","",SUMIFS(ItTotal,ItOS,$A602))</f>
        <v>0</v>
      </c>
      <c r="R602" s="30">
        <f>IF($A602="","",$P602+$Q602+N($K602)-N($L602))</f>
        <v>0</v>
      </c>
      <c r="S602" s="27">
        <f>IF($A602="","",SUMIFS(ItCusto,ItOS,$A602))</f>
        <v>0</v>
      </c>
      <c r="T602" s="27">
        <f>IF($A602="","",$P602*ComMec)</f>
        <v>0</v>
      </c>
      <c r="U602" s="21">
        <f>IF($A602="","",$R602-$S602-$T602-N($K602))</f>
        <v>0</v>
      </c>
      <c r="V602" s="31">
        <f>IF(OR($A602="",N($R602)&lt;=0),"",$U602/$R602)</f>
        <v>0</v>
      </c>
      <c r="W602" s="27">
        <f>IF($A602="","",IF(OR($I602="Finalizado",$I602="Entregue"),MAX(0,$R602-N($O602)),0))</f>
        <v>0</v>
      </c>
      <c r="X602" s="32">
        <f>IF(OR($A602="",$B602=""),"",IF(OR($I602="Entregue",$I602="Cancelada"),"",Hoje-$B602))</f>
        <v>0</v>
      </c>
      <c r="Y602" s="24">
        <f>IF($A602="","",IF(AND(OR($I602="Aprovado",$I602="Em execução",$I602="Aguardando peça"),N($X602)&gt;PrazoMax),"ATRASADA",IF(AND(OR($I602="Finalizado",$I602="Entregue"),$W602&gt;0.005),"Cobrar",IF($I602="Orçamento","Aguardando aprovação",""))))</f>
        <v>0</v>
      </c>
      <c r="Z602" s="33">
        <f>IF(AND($I602="Entregue",$M602&lt;&gt;""),DATE(YEAR($M602),MONTH($M602),1),"")</f>
        <v>0</v>
      </c>
      <c r="AA602" s="34">
        <f>IF(AND($C602&lt;&gt;"",$C602=HistPlaca),COUNTIF($C$5:$C602,HistPlaca),"")</f>
        <v>0</v>
      </c>
    </row>
    <row r="603" spans="1:27">
      <c r="A603" s="17"/>
      <c r="B603" s="25"/>
      <c r="C603" s="13"/>
      <c r="D603" s="26">
        <f>IF($C603="","",IFERROR(INDEX(VeicCli,MATCH($C603,VeicPlaca,0)),"Placa não cadastrada"))</f>
        <v>0</v>
      </c>
      <c r="E603" s="26">
        <f>IF($C603="","",IFERROR(INDEX(VeicModelo,MATCH($C603,VeicPlaca,0)),""))</f>
        <v>0</v>
      </c>
      <c r="F603" s="28"/>
      <c r="G603" s="13"/>
      <c r="H603" s="13"/>
      <c r="I603" s="13"/>
      <c r="J603" s="29"/>
      <c r="K603" s="19"/>
      <c r="L603" s="19"/>
      <c r="M603" s="25"/>
      <c r="N603" s="13"/>
      <c r="O603" s="19"/>
      <c r="P603" s="27">
        <f>IF($A603="","",N($J603)*ValorHora)</f>
        <v>0</v>
      </c>
      <c r="Q603" s="27">
        <f>IF($A603="","",SUMIFS(ItTotal,ItOS,$A603))</f>
        <v>0</v>
      </c>
      <c r="R603" s="30">
        <f>IF($A603="","",$P603+$Q603+N($K603)-N($L603))</f>
        <v>0</v>
      </c>
      <c r="S603" s="27">
        <f>IF($A603="","",SUMIFS(ItCusto,ItOS,$A603))</f>
        <v>0</v>
      </c>
      <c r="T603" s="27">
        <f>IF($A603="","",$P603*ComMec)</f>
        <v>0</v>
      </c>
      <c r="U603" s="21">
        <f>IF($A603="","",$R603-$S603-$T603-N($K603))</f>
        <v>0</v>
      </c>
      <c r="V603" s="31">
        <f>IF(OR($A603="",N($R603)&lt;=0),"",$U603/$R603)</f>
        <v>0</v>
      </c>
      <c r="W603" s="27">
        <f>IF($A603="","",IF(OR($I603="Finalizado",$I603="Entregue"),MAX(0,$R603-N($O603)),0))</f>
        <v>0</v>
      </c>
      <c r="X603" s="32">
        <f>IF(OR($A603="",$B603=""),"",IF(OR($I603="Entregue",$I603="Cancelada"),"",Hoje-$B603))</f>
        <v>0</v>
      </c>
      <c r="Y603" s="24">
        <f>IF($A603="","",IF(AND(OR($I603="Aprovado",$I603="Em execução",$I603="Aguardando peça"),N($X603)&gt;PrazoMax),"ATRASADA",IF(AND(OR($I603="Finalizado",$I603="Entregue"),$W603&gt;0.005),"Cobrar",IF($I603="Orçamento","Aguardando aprovação",""))))</f>
        <v>0</v>
      </c>
      <c r="Z603" s="33">
        <f>IF(AND($I603="Entregue",$M603&lt;&gt;""),DATE(YEAR($M603),MONTH($M603),1),"")</f>
        <v>0</v>
      </c>
      <c r="AA603" s="34">
        <f>IF(AND($C603&lt;&gt;"",$C603=HistPlaca),COUNTIF($C$5:$C603,HistPlaca),"")</f>
        <v>0</v>
      </c>
    </row>
    <row r="604" spans="1:27">
      <c r="A604" s="17"/>
      <c r="B604" s="25"/>
      <c r="C604" s="13"/>
      <c r="D604" s="26">
        <f>IF($C604="","",IFERROR(INDEX(VeicCli,MATCH($C604,VeicPlaca,0)),"Placa não cadastrada"))</f>
        <v>0</v>
      </c>
      <c r="E604" s="26">
        <f>IF($C604="","",IFERROR(INDEX(VeicModelo,MATCH($C604,VeicPlaca,0)),""))</f>
        <v>0</v>
      </c>
      <c r="F604" s="28"/>
      <c r="G604" s="13"/>
      <c r="H604" s="13"/>
      <c r="I604" s="13"/>
      <c r="J604" s="29"/>
      <c r="K604" s="19"/>
      <c r="L604" s="19"/>
      <c r="M604" s="25"/>
      <c r="N604" s="13"/>
      <c r="O604" s="19"/>
      <c r="P604" s="27">
        <f>IF($A604="","",N($J604)*ValorHora)</f>
        <v>0</v>
      </c>
      <c r="Q604" s="27">
        <f>IF($A604="","",SUMIFS(ItTotal,ItOS,$A604))</f>
        <v>0</v>
      </c>
      <c r="R604" s="30">
        <f>IF($A604="","",$P604+$Q604+N($K604)-N($L604))</f>
        <v>0</v>
      </c>
      <c r="S604" s="27">
        <f>IF($A604="","",SUMIFS(ItCusto,ItOS,$A604))</f>
        <v>0</v>
      </c>
      <c r="T604" s="27">
        <f>IF($A604="","",$P604*ComMec)</f>
        <v>0</v>
      </c>
      <c r="U604" s="21">
        <f>IF($A604="","",$R604-$S604-$T604-N($K604))</f>
        <v>0</v>
      </c>
      <c r="V604" s="31">
        <f>IF(OR($A604="",N($R604)&lt;=0),"",$U604/$R604)</f>
        <v>0</v>
      </c>
      <c r="W604" s="27">
        <f>IF($A604="","",IF(OR($I604="Finalizado",$I604="Entregue"),MAX(0,$R604-N($O604)),0))</f>
        <v>0</v>
      </c>
      <c r="X604" s="32">
        <f>IF(OR($A604="",$B604=""),"",IF(OR($I604="Entregue",$I604="Cancelada"),"",Hoje-$B604))</f>
        <v>0</v>
      </c>
      <c r="Y604" s="24">
        <f>IF($A604="","",IF(AND(OR($I604="Aprovado",$I604="Em execução",$I604="Aguardando peça"),N($X604)&gt;PrazoMax),"ATRASADA",IF(AND(OR($I604="Finalizado",$I604="Entregue"),$W604&gt;0.005),"Cobrar",IF($I604="Orçamento","Aguardando aprovação",""))))</f>
        <v>0</v>
      </c>
      <c r="Z604" s="33">
        <f>IF(AND($I604="Entregue",$M604&lt;&gt;""),DATE(YEAR($M604),MONTH($M604),1),"")</f>
        <v>0</v>
      </c>
      <c r="AA604" s="34">
        <f>IF(AND($C604&lt;&gt;"",$C604=HistPlaca),COUNTIF($C$5:$C604,HistPlaca),"")</f>
        <v>0</v>
      </c>
    </row>
    <row r="605" spans="1:27">
      <c r="A605" s="17"/>
      <c r="B605" s="25"/>
      <c r="C605" s="13"/>
      <c r="D605" s="26">
        <f>IF($C605="","",IFERROR(INDEX(VeicCli,MATCH($C605,VeicPlaca,0)),"Placa não cadastrada"))</f>
        <v>0</v>
      </c>
      <c r="E605" s="26">
        <f>IF($C605="","",IFERROR(INDEX(VeicModelo,MATCH($C605,VeicPlaca,0)),""))</f>
        <v>0</v>
      </c>
      <c r="F605" s="28"/>
      <c r="G605" s="13"/>
      <c r="H605" s="13"/>
      <c r="I605" s="13"/>
      <c r="J605" s="29"/>
      <c r="K605" s="19"/>
      <c r="L605" s="19"/>
      <c r="M605" s="25"/>
      <c r="N605" s="13"/>
      <c r="O605" s="19"/>
      <c r="P605" s="27">
        <f>IF($A605="","",N($J605)*ValorHora)</f>
        <v>0</v>
      </c>
      <c r="Q605" s="27">
        <f>IF($A605="","",SUMIFS(ItTotal,ItOS,$A605))</f>
        <v>0</v>
      </c>
      <c r="R605" s="30">
        <f>IF($A605="","",$P605+$Q605+N($K605)-N($L605))</f>
        <v>0</v>
      </c>
      <c r="S605" s="27">
        <f>IF($A605="","",SUMIFS(ItCusto,ItOS,$A605))</f>
        <v>0</v>
      </c>
      <c r="T605" s="27">
        <f>IF($A605="","",$P605*ComMec)</f>
        <v>0</v>
      </c>
      <c r="U605" s="21">
        <f>IF($A605="","",$R605-$S605-$T605-N($K605))</f>
        <v>0</v>
      </c>
      <c r="V605" s="31">
        <f>IF(OR($A605="",N($R605)&lt;=0),"",$U605/$R605)</f>
        <v>0</v>
      </c>
      <c r="W605" s="27">
        <f>IF($A605="","",IF(OR($I605="Finalizado",$I605="Entregue"),MAX(0,$R605-N($O605)),0))</f>
        <v>0</v>
      </c>
      <c r="X605" s="32">
        <f>IF(OR($A605="",$B605=""),"",IF(OR($I605="Entregue",$I605="Cancelada"),"",Hoje-$B605))</f>
        <v>0</v>
      </c>
      <c r="Y605" s="24">
        <f>IF($A605="","",IF(AND(OR($I605="Aprovado",$I605="Em execução",$I605="Aguardando peça"),N($X605)&gt;PrazoMax),"ATRASADA",IF(AND(OR($I605="Finalizado",$I605="Entregue"),$W605&gt;0.005),"Cobrar",IF($I605="Orçamento","Aguardando aprovação",""))))</f>
        <v>0</v>
      </c>
      <c r="Z605" s="33">
        <f>IF(AND($I605="Entregue",$M605&lt;&gt;""),DATE(YEAR($M605),MONTH($M605),1),"")</f>
        <v>0</v>
      </c>
      <c r="AA605" s="34">
        <f>IF(AND($C605&lt;&gt;"",$C605=HistPlaca),COUNTIF($C$5:$C605,HistPlaca),"")</f>
        <v>0</v>
      </c>
    </row>
    <row r="606" spans="1:27">
      <c r="A606" s="17"/>
      <c r="B606" s="25"/>
      <c r="C606" s="13"/>
      <c r="D606" s="26">
        <f>IF($C606="","",IFERROR(INDEX(VeicCli,MATCH($C606,VeicPlaca,0)),"Placa não cadastrada"))</f>
        <v>0</v>
      </c>
      <c r="E606" s="26">
        <f>IF($C606="","",IFERROR(INDEX(VeicModelo,MATCH($C606,VeicPlaca,0)),""))</f>
        <v>0</v>
      </c>
      <c r="F606" s="28"/>
      <c r="G606" s="13"/>
      <c r="H606" s="13"/>
      <c r="I606" s="13"/>
      <c r="J606" s="29"/>
      <c r="K606" s="19"/>
      <c r="L606" s="19"/>
      <c r="M606" s="25"/>
      <c r="N606" s="13"/>
      <c r="O606" s="19"/>
      <c r="P606" s="27">
        <f>IF($A606="","",N($J606)*ValorHora)</f>
        <v>0</v>
      </c>
      <c r="Q606" s="27">
        <f>IF($A606="","",SUMIFS(ItTotal,ItOS,$A606))</f>
        <v>0</v>
      </c>
      <c r="R606" s="30">
        <f>IF($A606="","",$P606+$Q606+N($K606)-N($L606))</f>
        <v>0</v>
      </c>
      <c r="S606" s="27">
        <f>IF($A606="","",SUMIFS(ItCusto,ItOS,$A606))</f>
        <v>0</v>
      </c>
      <c r="T606" s="27">
        <f>IF($A606="","",$P606*ComMec)</f>
        <v>0</v>
      </c>
      <c r="U606" s="21">
        <f>IF($A606="","",$R606-$S606-$T606-N($K606))</f>
        <v>0</v>
      </c>
      <c r="V606" s="31">
        <f>IF(OR($A606="",N($R606)&lt;=0),"",$U606/$R606)</f>
        <v>0</v>
      </c>
      <c r="W606" s="27">
        <f>IF($A606="","",IF(OR($I606="Finalizado",$I606="Entregue"),MAX(0,$R606-N($O606)),0))</f>
        <v>0</v>
      </c>
      <c r="X606" s="32">
        <f>IF(OR($A606="",$B606=""),"",IF(OR($I606="Entregue",$I606="Cancelada"),"",Hoje-$B606))</f>
        <v>0</v>
      </c>
      <c r="Y606" s="24">
        <f>IF($A606="","",IF(AND(OR($I606="Aprovado",$I606="Em execução",$I606="Aguardando peça"),N($X606)&gt;PrazoMax),"ATRASADA",IF(AND(OR($I606="Finalizado",$I606="Entregue"),$W606&gt;0.005),"Cobrar",IF($I606="Orçamento","Aguardando aprovação",""))))</f>
        <v>0</v>
      </c>
      <c r="Z606" s="33">
        <f>IF(AND($I606="Entregue",$M606&lt;&gt;""),DATE(YEAR($M606),MONTH($M606),1),"")</f>
        <v>0</v>
      </c>
      <c r="AA606" s="34">
        <f>IF(AND($C606&lt;&gt;"",$C606=HistPlaca),COUNTIF($C$5:$C606,HistPlaca),"")</f>
        <v>0</v>
      </c>
    </row>
    <row r="607" spans="1:27">
      <c r="A607" s="17"/>
      <c r="B607" s="25"/>
      <c r="C607" s="13"/>
      <c r="D607" s="26">
        <f>IF($C607="","",IFERROR(INDEX(VeicCli,MATCH($C607,VeicPlaca,0)),"Placa não cadastrada"))</f>
        <v>0</v>
      </c>
      <c r="E607" s="26">
        <f>IF($C607="","",IFERROR(INDEX(VeicModelo,MATCH($C607,VeicPlaca,0)),""))</f>
        <v>0</v>
      </c>
      <c r="F607" s="28"/>
      <c r="G607" s="13"/>
      <c r="H607" s="13"/>
      <c r="I607" s="13"/>
      <c r="J607" s="29"/>
      <c r="K607" s="19"/>
      <c r="L607" s="19"/>
      <c r="M607" s="25"/>
      <c r="N607" s="13"/>
      <c r="O607" s="19"/>
      <c r="P607" s="27">
        <f>IF($A607="","",N($J607)*ValorHora)</f>
        <v>0</v>
      </c>
      <c r="Q607" s="27">
        <f>IF($A607="","",SUMIFS(ItTotal,ItOS,$A607))</f>
        <v>0</v>
      </c>
      <c r="R607" s="30">
        <f>IF($A607="","",$P607+$Q607+N($K607)-N($L607))</f>
        <v>0</v>
      </c>
      <c r="S607" s="27">
        <f>IF($A607="","",SUMIFS(ItCusto,ItOS,$A607))</f>
        <v>0</v>
      </c>
      <c r="T607" s="27">
        <f>IF($A607="","",$P607*ComMec)</f>
        <v>0</v>
      </c>
      <c r="U607" s="21">
        <f>IF($A607="","",$R607-$S607-$T607-N($K607))</f>
        <v>0</v>
      </c>
      <c r="V607" s="31">
        <f>IF(OR($A607="",N($R607)&lt;=0),"",$U607/$R607)</f>
        <v>0</v>
      </c>
      <c r="W607" s="27">
        <f>IF($A607="","",IF(OR($I607="Finalizado",$I607="Entregue"),MAX(0,$R607-N($O607)),0))</f>
        <v>0</v>
      </c>
      <c r="X607" s="32">
        <f>IF(OR($A607="",$B607=""),"",IF(OR($I607="Entregue",$I607="Cancelada"),"",Hoje-$B607))</f>
        <v>0</v>
      </c>
      <c r="Y607" s="24">
        <f>IF($A607="","",IF(AND(OR($I607="Aprovado",$I607="Em execução",$I607="Aguardando peça"),N($X607)&gt;PrazoMax),"ATRASADA",IF(AND(OR($I607="Finalizado",$I607="Entregue"),$W607&gt;0.005),"Cobrar",IF($I607="Orçamento","Aguardando aprovação",""))))</f>
        <v>0</v>
      </c>
      <c r="Z607" s="33">
        <f>IF(AND($I607="Entregue",$M607&lt;&gt;""),DATE(YEAR($M607),MONTH($M607),1),"")</f>
        <v>0</v>
      </c>
      <c r="AA607" s="34">
        <f>IF(AND($C607&lt;&gt;"",$C607=HistPlaca),COUNTIF($C$5:$C607,HistPlaca),"")</f>
        <v>0</v>
      </c>
    </row>
    <row r="608" spans="1:27">
      <c r="A608" s="17"/>
      <c r="B608" s="25"/>
      <c r="C608" s="13"/>
      <c r="D608" s="26">
        <f>IF($C608="","",IFERROR(INDEX(VeicCli,MATCH($C608,VeicPlaca,0)),"Placa não cadastrada"))</f>
        <v>0</v>
      </c>
      <c r="E608" s="26">
        <f>IF($C608="","",IFERROR(INDEX(VeicModelo,MATCH($C608,VeicPlaca,0)),""))</f>
        <v>0</v>
      </c>
      <c r="F608" s="28"/>
      <c r="G608" s="13"/>
      <c r="H608" s="13"/>
      <c r="I608" s="13"/>
      <c r="J608" s="29"/>
      <c r="K608" s="19"/>
      <c r="L608" s="19"/>
      <c r="M608" s="25"/>
      <c r="N608" s="13"/>
      <c r="O608" s="19"/>
      <c r="P608" s="27">
        <f>IF($A608="","",N($J608)*ValorHora)</f>
        <v>0</v>
      </c>
      <c r="Q608" s="27">
        <f>IF($A608="","",SUMIFS(ItTotal,ItOS,$A608))</f>
        <v>0</v>
      </c>
      <c r="R608" s="30">
        <f>IF($A608="","",$P608+$Q608+N($K608)-N($L608))</f>
        <v>0</v>
      </c>
      <c r="S608" s="27">
        <f>IF($A608="","",SUMIFS(ItCusto,ItOS,$A608))</f>
        <v>0</v>
      </c>
      <c r="T608" s="27">
        <f>IF($A608="","",$P608*ComMec)</f>
        <v>0</v>
      </c>
      <c r="U608" s="21">
        <f>IF($A608="","",$R608-$S608-$T608-N($K608))</f>
        <v>0</v>
      </c>
      <c r="V608" s="31">
        <f>IF(OR($A608="",N($R608)&lt;=0),"",$U608/$R608)</f>
        <v>0</v>
      </c>
      <c r="W608" s="27">
        <f>IF($A608="","",IF(OR($I608="Finalizado",$I608="Entregue"),MAX(0,$R608-N($O608)),0))</f>
        <v>0</v>
      </c>
      <c r="X608" s="32">
        <f>IF(OR($A608="",$B608=""),"",IF(OR($I608="Entregue",$I608="Cancelada"),"",Hoje-$B608))</f>
        <v>0</v>
      </c>
      <c r="Y608" s="24">
        <f>IF($A608="","",IF(AND(OR($I608="Aprovado",$I608="Em execução",$I608="Aguardando peça"),N($X608)&gt;PrazoMax),"ATRASADA",IF(AND(OR($I608="Finalizado",$I608="Entregue"),$W608&gt;0.005),"Cobrar",IF($I608="Orçamento","Aguardando aprovação",""))))</f>
        <v>0</v>
      </c>
      <c r="Z608" s="33">
        <f>IF(AND($I608="Entregue",$M608&lt;&gt;""),DATE(YEAR($M608),MONTH($M608),1),"")</f>
        <v>0</v>
      </c>
      <c r="AA608" s="34">
        <f>IF(AND($C608&lt;&gt;"",$C608=HistPlaca),COUNTIF($C$5:$C608,HistPlaca),"")</f>
        <v>0</v>
      </c>
    </row>
    <row r="609" spans="1:27">
      <c r="A609" s="17"/>
      <c r="B609" s="25"/>
      <c r="C609" s="13"/>
      <c r="D609" s="26">
        <f>IF($C609="","",IFERROR(INDEX(VeicCli,MATCH($C609,VeicPlaca,0)),"Placa não cadastrada"))</f>
        <v>0</v>
      </c>
      <c r="E609" s="26">
        <f>IF($C609="","",IFERROR(INDEX(VeicModelo,MATCH($C609,VeicPlaca,0)),""))</f>
        <v>0</v>
      </c>
      <c r="F609" s="28"/>
      <c r="G609" s="13"/>
      <c r="H609" s="13"/>
      <c r="I609" s="13"/>
      <c r="J609" s="29"/>
      <c r="K609" s="19"/>
      <c r="L609" s="19"/>
      <c r="M609" s="25"/>
      <c r="N609" s="13"/>
      <c r="O609" s="19"/>
      <c r="P609" s="27">
        <f>IF($A609="","",N($J609)*ValorHora)</f>
        <v>0</v>
      </c>
      <c r="Q609" s="27">
        <f>IF($A609="","",SUMIFS(ItTotal,ItOS,$A609))</f>
        <v>0</v>
      </c>
      <c r="R609" s="30">
        <f>IF($A609="","",$P609+$Q609+N($K609)-N($L609))</f>
        <v>0</v>
      </c>
      <c r="S609" s="27">
        <f>IF($A609="","",SUMIFS(ItCusto,ItOS,$A609))</f>
        <v>0</v>
      </c>
      <c r="T609" s="27">
        <f>IF($A609="","",$P609*ComMec)</f>
        <v>0</v>
      </c>
      <c r="U609" s="21">
        <f>IF($A609="","",$R609-$S609-$T609-N($K609))</f>
        <v>0</v>
      </c>
      <c r="V609" s="31">
        <f>IF(OR($A609="",N($R609)&lt;=0),"",$U609/$R609)</f>
        <v>0</v>
      </c>
      <c r="W609" s="27">
        <f>IF($A609="","",IF(OR($I609="Finalizado",$I609="Entregue"),MAX(0,$R609-N($O609)),0))</f>
        <v>0</v>
      </c>
      <c r="X609" s="32">
        <f>IF(OR($A609="",$B609=""),"",IF(OR($I609="Entregue",$I609="Cancelada"),"",Hoje-$B609))</f>
        <v>0</v>
      </c>
      <c r="Y609" s="24">
        <f>IF($A609="","",IF(AND(OR($I609="Aprovado",$I609="Em execução",$I609="Aguardando peça"),N($X609)&gt;PrazoMax),"ATRASADA",IF(AND(OR($I609="Finalizado",$I609="Entregue"),$W609&gt;0.005),"Cobrar",IF($I609="Orçamento","Aguardando aprovação",""))))</f>
        <v>0</v>
      </c>
      <c r="Z609" s="33">
        <f>IF(AND($I609="Entregue",$M609&lt;&gt;""),DATE(YEAR($M609),MONTH($M609),1),"")</f>
        <v>0</v>
      </c>
      <c r="AA609" s="34">
        <f>IF(AND($C609&lt;&gt;"",$C609=HistPlaca),COUNTIF($C$5:$C609,HistPlaca),"")</f>
        <v>0</v>
      </c>
    </row>
    <row r="610" spans="1:27">
      <c r="A610" s="17"/>
      <c r="B610" s="25"/>
      <c r="C610" s="13"/>
      <c r="D610" s="26">
        <f>IF($C610="","",IFERROR(INDEX(VeicCli,MATCH($C610,VeicPlaca,0)),"Placa não cadastrada"))</f>
        <v>0</v>
      </c>
      <c r="E610" s="26">
        <f>IF($C610="","",IFERROR(INDEX(VeicModelo,MATCH($C610,VeicPlaca,0)),""))</f>
        <v>0</v>
      </c>
      <c r="F610" s="28"/>
      <c r="G610" s="13"/>
      <c r="H610" s="13"/>
      <c r="I610" s="13"/>
      <c r="J610" s="29"/>
      <c r="K610" s="19"/>
      <c r="L610" s="19"/>
      <c r="M610" s="25"/>
      <c r="N610" s="13"/>
      <c r="O610" s="19"/>
      <c r="P610" s="27">
        <f>IF($A610="","",N($J610)*ValorHora)</f>
        <v>0</v>
      </c>
      <c r="Q610" s="27">
        <f>IF($A610="","",SUMIFS(ItTotal,ItOS,$A610))</f>
        <v>0</v>
      </c>
      <c r="R610" s="30">
        <f>IF($A610="","",$P610+$Q610+N($K610)-N($L610))</f>
        <v>0</v>
      </c>
      <c r="S610" s="27">
        <f>IF($A610="","",SUMIFS(ItCusto,ItOS,$A610))</f>
        <v>0</v>
      </c>
      <c r="T610" s="27">
        <f>IF($A610="","",$P610*ComMec)</f>
        <v>0</v>
      </c>
      <c r="U610" s="21">
        <f>IF($A610="","",$R610-$S610-$T610-N($K610))</f>
        <v>0</v>
      </c>
      <c r="V610" s="31">
        <f>IF(OR($A610="",N($R610)&lt;=0),"",$U610/$R610)</f>
        <v>0</v>
      </c>
      <c r="W610" s="27">
        <f>IF($A610="","",IF(OR($I610="Finalizado",$I610="Entregue"),MAX(0,$R610-N($O610)),0))</f>
        <v>0</v>
      </c>
      <c r="X610" s="32">
        <f>IF(OR($A610="",$B610=""),"",IF(OR($I610="Entregue",$I610="Cancelada"),"",Hoje-$B610))</f>
        <v>0</v>
      </c>
      <c r="Y610" s="24">
        <f>IF($A610="","",IF(AND(OR($I610="Aprovado",$I610="Em execução",$I610="Aguardando peça"),N($X610)&gt;PrazoMax),"ATRASADA",IF(AND(OR($I610="Finalizado",$I610="Entregue"),$W610&gt;0.005),"Cobrar",IF($I610="Orçamento","Aguardando aprovação",""))))</f>
        <v>0</v>
      </c>
      <c r="Z610" s="33">
        <f>IF(AND($I610="Entregue",$M610&lt;&gt;""),DATE(YEAR($M610),MONTH($M610),1),"")</f>
        <v>0</v>
      </c>
      <c r="AA610" s="34">
        <f>IF(AND($C610&lt;&gt;"",$C610=HistPlaca),COUNTIF($C$5:$C610,HistPlaca),"")</f>
        <v>0</v>
      </c>
    </row>
    <row r="611" spans="1:27">
      <c r="A611" s="17"/>
      <c r="B611" s="25"/>
      <c r="C611" s="13"/>
      <c r="D611" s="26">
        <f>IF($C611="","",IFERROR(INDEX(VeicCli,MATCH($C611,VeicPlaca,0)),"Placa não cadastrada"))</f>
        <v>0</v>
      </c>
      <c r="E611" s="26">
        <f>IF($C611="","",IFERROR(INDEX(VeicModelo,MATCH($C611,VeicPlaca,0)),""))</f>
        <v>0</v>
      </c>
      <c r="F611" s="28"/>
      <c r="G611" s="13"/>
      <c r="H611" s="13"/>
      <c r="I611" s="13"/>
      <c r="J611" s="29"/>
      <c r="K611" s="19"/>
      <c r="L611" s="19"/>
      <c r="M611" s="25"/>
      <c r="N611" s="13"/>
      <c r="O611" s="19"/>
      <c r="P611" s="27">
        <f>IF($A611="","",N($J611)*ValorHora)</f>
        <v>0</v>
      </c>
      <c r="Q611" s="27">
        <f>IF($A611="","",SUMIFS(ItTotal,ItOS,$A611))</f>
        <v>0</v>
      </c>
      <c r="R611" s="30">
        <f>IF($A611="","",$P611+$Q611+N($K611)-N($L611))</f>
        <v>0</v>
      </c>
      <c r="S611" s="27">
        <f>IF($A611="","",SUMIFS(ItCusto,ItOS,$A611))</f>
        <v>0</v>
      </c>
      <c r="T611" s="27">
        <f>IF($A611="","",$P611*ComMec)</f>
        <v>0</v>
      </c>
      <c r="U611" s="21">
        <f>IF($A611="","",$R611-$S611-$T611-N($K611))</f>
        <v>0</v>
      </c>
      <c r="V611" s="31">
        <f>IF(OR($A611="",N($R611)&lt;=0),"",$U611/$R611)</f>
        <v>0</v>
      </c>
      <c r="W611" s="27">
        <f>IF($A611="","",IF(OR($I611="Finalizado",$I611="Entregue"),MAX(0,$R611-N($O611)),0))</f>
        <v>0</v>
      </c>
      <c r="X611" s="32">
        <f>IF(OR($A611="",$B611=""),"",IF(OR($I611="Entregue",$I611="Cancelada"),"",Hoje-$B611))</f>
        <v>0</v>
      </c>
      <c r="Y611" s="24">
        <f>IF($A611="","",IF(AND(OR($I611="Aprovado",$I611="Em execução",$I611="Aguardando peça"),N($X611)&gt;PrazoMax),"ATRASADA",IF(AND(OR($I611="Finalizado",$I611="Entregue"),$W611&gt;0.005),"Cobrar",IF($I611="Orçamento","Aguardando aprovação",""))))</f>
        <v>0</v>
      </c>
      <c r="Z611" s="33">
        <f>IF(AND($I611="Entregue",$M611&lt;&gt;""),DATE(YEAR($M611),MONTH($M611),1),"")</f>
        <v>0</v>
      </c>
      <c r="AA611" s="34">
        <f>IF(AND($C611&lt;&gt;"",$C611=HistPlaca),COUNTIF($C$5:$C611,HistPlaca),"")</f>
        <v>0</v>
      </c>
    </row>
    <row r="612" spans="1:27">
      <c r="A612" s="17"/>
      <c r="B612" s="25"/>
      <c r="C612" s="13"/>
      <c r="D612" s="26">
        <f>IF($C612="","",IFERROR(INDEX(VeicCli,MATCH($C612,VeicPlaca,0)),"Placa não cadastrada"))</f>
        <v>0</v>
      </c>
      <c r="E612" s="26">
        <f>IF($C612="","",IFERROR(INDEX(VeicModelo,MATCH($C612,VeicPlaca,0)),""))</f>
        <v>0</v>
      </c>
      <c r="F612" s="28"/>
      <c r="G612" s="13"/>
      <c r="H612" s="13"/>
      <c r="I612" s="13"/>
      <c r="J612" s="29"/>
      <c r="K612" s="19"/>
      <c r="L612" s="19"/>
      <c r="M612" s="25"/>
      <c r="N612" s="13"/>
      <c r="O612" s="19"/>
      <c r="P612" s="27">
        <f>IF($A612="","",N($J612)*ValorHora)</f>
        <v>0</v>
      </c>
      <c r="Q612" s="27">
        <f>IF($A612="","",SUMIFS(ItTotal,ItOS,$A612))</f>
        <v>0</v>
      </c>
      <c r="R612" s="30">
        <f>IF($A612="","",$P612+$Q612+N($K612)-N($L612))</f>
        <v>0</v>
      </c>
      <c r="S612" s="27">
        <f>IF($A612="","",SUMIFS(ItCusto,ItOS,$A612))</f>
        <v>0</v>
      </c>
      <c r="T612" s="27">
        <f>IF($A612="","",$P612*ComMec)</f>
        <v>0</v>
      </c>
      <c r="U612" s="21">
        <f>IF($A612="","",$R612-$S612-$T612-N($K612))</f>
        <v>0</v>
      </c>
      <c r="V612" s="31">
        <f>IF(OR($A612="",N($R612)&lt;=0),"",$U612/$R612)</f>
        <v>0</v>
      </c>
      <c r="W612" s="27">
        <f>IF($A612="","",IF(OR($I612="Finalizado",$I612="Entregue"),MAX(0,$R612-N($O612)),0))</f>
        <v>0</v>
      </c>
      <c r="X612" s="32">
        <f>IF(OR($A612="",$B612=""),"",IF(OR($I612="Entregue",$I612="Cancelada"),"",Hoje-$B612))</f>
        <v>0</v>
      </c>
      <c r="Y612" s="24">
        <f>IF($A612="","",IF(AND(OR($I612="Aprovado",$I612="Em execução",$I612="Aguardando peça"),N($X612)&gt;PrazoMax),"ATRASADA",IF(AND(OR($I612="Finalizado",$I612="Entregue"),$W612&gt;0.005),"Cobrar",IF($I612="Orçamento","Aguardando aprovação",""))))</f>
        <v>0</v>
      </c>
      <c r="Z612" s="33">
        <f>IF(AND($I612="Entregue",$M612&lt;&gt;""),DATE(YEAR($M612),MONTH($M612),1),"")</f>
        <v>0</v>
      </c>
      <c r="AA612" s="34">
        <f>IF(AND($C612&lt;&gt;"",$C612=HistPlaca),COUNTIF($C$5:$C612,HistPlaca),"")</f>
        <v>0</v>
      </c>
    </row>
    <row r="613" spans="1:27">
      <c r="A613" s="17"/>
      <c r="B613" s="25"/>
      <c r="C613" s="13"/>
      <c r="D613" s="26">
        <f>IF($C613="","",IFERROR(INDEX(VeicCli,MATCH($C613,VeicPlaca,0)),"Placa não cadastrada"))</f>
        <v>0</v>
      </c>
      <c r="E613" s="26">
        <f>IF($C613="","",IFERROR(INDEX(VeicModelo,MATCH($C613,VeicPlaca,0)),""))</f>
        <v>0</v>
      </c>
      <c r="F613" s="28"/>
      <c r="G613" s="13"/>
      <c r="H613" s="13"/>
      <c r="I613" s="13"/>
      <c r="J613" s="29"/>
      <c r="K613" s="19"/>
      <c r="L613" s="19"/>
      <c r="M613" s="25"/>
      <c r="N613" s="13"/>
      <c r="O613" s="19"/>
      <c r="P613" s="27">
        <f>IF($A613="","",N($J613)*ValorHora)</f>
        <v>0</v>
      </c>
      <c r="Q613" s="27">
        <f>IF($A613="","",SUMIFS(ItTotal,ItOS,$A613))</f>
        <v>0</v>
      </c>
      <c r="R613" s="30">
        <f>IF($A613="","",$P613+$Q613+N($K613)-N($L613))</f>
        <v>0</v>
      </c>
      <c r="S613" s="27">
        <f>IF($A613="","",SUMIFS(ItCusto,ItOS,$A613))</f>
        <v>0</v>
      </c>
      <c r="T613" s="27">
        <f>IF($A613="","",$P613*ComMec)</f>
        <v>0</v>
      </c>
      <c r="U613" s="21">
        <f>IF($A613="","",$R613-$S613-$T613-N($K613))</f>
        <v>0</v>
      </c>
      <c r="V613" s="31">
        <f>IF(OR($A613="",N($R613)&lt;=0),"",$U613/$R613)</f>
        <v>0</v>
      </c>
      <c r="W613" s="27">
        <f>IF($A613="","",IF(OR($I613="Finalizado",$I613="Entregue"),MAX(0,$R613-N($O613)),0))</f>
        <v>0</v>
      </c>
      <c r="X613" s="32">
        <f>IF(OR($A613="",$B613=""),"",IF(OR($I613="Entregue",$I613="Cancelada"),"",Hoje-$B613))</f>
        <v>0</v>
      </c>
      <c r="Y613" s="24">
        <f>IF($A613="","",IF(AND(OR($I613="Aprovado",$I613="Em execução",$I613="Aguardando peça"),N($X613)&gt;PrazoMax),"ATRASADA",IF(AND(OR($I613="Finalizado",$I613="Entregue"),$W613&gt;0.005),"Cobrar",IF($I613="Orçamento","Aguardando aprovação",""))))</f>
        <v>0</v>
      </c>
      <c r="Z613" s="33">
        <f>IF(AND($I613="Entregue",$M613&lt;&gt;""),DATE(YEAR($M613),MONTH($M613),1),"")</f>
        <v>0</v>
      </c>
      <c r="AA613" s="34">
        <f>IF(AND($C613&lt;&gt;"",$C613=HistPlaca),COUNTIF($C$5:$C613,HistPlaca),"")</f>
        <v>0</v>
      </c>
    </row>
    <row r="614" spans="1:27">
      <c r="A614" s="17"/>
      <c r="B614" s="25"/>
      <c r="C614" s="13"/>
      <c r="D614" s="26">
        <f>IF($C614="","",IFERROR(INDEX(VeicCli,MATCH($C614,VeicPlaca,0)),"Placa não cadastrada"))</f>
        <v>0</v>
      </c>
      <c r="E614" s="26">
        <f>IF($C614="","",IFERROR(INDEX(VeicModelo,MATCH($C614,VeicPlaca,0)),""))</f>
        <v>0</v>
      </c>
      <c r="F614" s="28"/>
      <c r="G614" s="13"/>
      <c r="H614" s="13"/>
      <c r="I614" s="13"/>
      <c r="J614" s="29"/>
      <c r="K614" s="19"/>
      <c r="L614" s="19"/>
      <c r="M614" s="25"/>
      <c r="N614" s="13"/>
      <c r="O614" s="19"/>
      <c r="P614" s="27">
        <f>IF($A614="","",N($J614)*ValorHora)</f>
        <v>0</v>
      </c>
      <c r="Q614" s="27">
        <f>IF($A614="","",SUMIFS(ItTotal,ItOS,$A614))</f>
        <v>0</v>
      </c>
      <c r="R614" s="30">
        <f>IF($A614="","",$P614+$Q614+N($K614)-N($L614))</f>
        <v>0</v>
      </c>
      <c r="S614" s="27">
        <f>IF($A614="","",SUMIFS(ItCusto,ItOS,$A614))</f>
        <v>0</v>
      </c>
      <c r="T614" s="27">
        <f>IF($A614="","",$P614*ComMec)</f>
        <v>0</v>
      </c>
      <c r="U614" s="21">
        <f>IF($A614="","",$R614-$S614-$T614-N($K614))</f>
        <v>0</v>
      </c>
      <c r="V614" s="31">
        <f>IF(OR($A614="",N($R614)&lt;=0),"",$U614/$R614)</f>
        <v>0</v>
      </c>
      <c r="W614" s="27">
        <f>IF($A614="","",IF(OR($I614="Finalizado",$I614="Entregue"),MAX(0,$R614-N($O614)),0))</f>
        <v>0</v>
      </c>
      <c r="X614" s="32">
        <f>IF(OR($A614="",$B614=""),"",IF(OR($I614="Entregue",$I614="Cancelada"),"",Hoje-$B614))</f>
        <v>0</v>
      </c>
      <c r="Y614" s="24">
        <f>IF($A614="","",IF(AND(OR($I614="Aprovado",$I614="Em execução",$I614="Aguardando peça"),N($X614)&gt;PrazoMax),"ATRASADA",IF(AND(OR($I614="Finalizado",$I614="Entregue"),$W614&gt;0.005),"Cobrar",IF($I614="Orçamento","Aguardando aprovação",""))))</f>
        <v>0</v>
      </c>
      <c r="Z614" s="33">
        <f>IF(AND($I614="Entregue",$M614&lt;&gt;""),DATE(YEAR($M614),MONTH($M614),1),"")</f>
        <v>0</v>
      </c>
      <c r="AA614" s="34">
        <f>IF(AND($C614&lt;&gt;"",$C614=HistPlaca),COUNTIF($C$5:$C614,HistPlaca),"")</f>
        <v>0</v>
      </c>
    </row>
    <row r="615" spans="1:27">
      <c r="A615" s="17"/>
      <c r="B615" s="25"/>
      <c r="C615" s="13"/>
      <c r="D615" s="26">
        <f>IF($C615="","",IFERROR(INDEX(VeicCli,MATCH($C615,VeicPlaca,0)),"Placa não cadastrada"))</f>
        <v>0</v>
      </c>
      <c r="E615" s="26">
        <f>IF($C615="","",IFERROR(INDEX(VeicModelo,MATCH($C615,VeicPlaca,0)),""))</f>
        <v>0</v>
      </c>
      <c r="F615" s="28"/>
      <c r="G615" s="13"/>
      <c r="H615" s="13"/>
      <c r="I615" s="13"/>
      <c r="J615" s="29"/>
      <c r="K615" s="19"/>
      <c r="L615" s="19"/>
      <c r="M615" s="25"/>
      <c r="N615" s="13"/>
      <c r="O615" s="19"/>
      <c r="P615" s="27">
        <f>IF($A615="","",N($J615)*ValorHora)</f>
        <v>0</v>
      </c>
      <c r="Q615" s="27">
        <f>IF($A615="","",SUMIFS(ItTotal,ItOS,$A615))</f>
        <v>0</v>
      </c>
      <c r="R615" s="30">
        <f>IF($A615="","",$P615+$Q615+N($K615)-N($L615))</f>
        <v>0</v>
      </c>
      <c r="S615" s="27">
        <f>IF($A615="","",SUMIFS(ItCusto,ItOS,$A615))</f>
        <v>0</v>
      </c>
      <c r="T615" s="27">
        <f>IF($A615="","",$P615*ComMec)</f>
        <v>0</v>
      </c>
      <c r="U615" s="21">
        <f>IF($A615="","",$R615-$S615-$T615-N($K615))</f>
        <v>0</v>
      </c>
      <c r="V615" s="31">
        <f>IF(OR($A615="",N($R615)&lt;=0),"",$U615/$R615)</f>
        <v>0</v>
      </c>
      <c r="W615" s="27">
        <f>IF($A615="","",IF(OR($I615="Finalizado",$I615="Entregue"),MAX(0,$R615-N($O615)),0))</f>
        <v>0</v>
      </c>
      <c r="X615" s="32">
        <f>IF(OR($A615="",$B615=""),"",IF(OR($I615="Entregue",$I615="Cancelada"),"",Hoje-$B615))</f>
        <v>0</v>
      </c>
      <c r="Y615" s="24">
        <f>IF($A615="","",IF(AND(OR($I615="Aprovado",$I615="Em execução",$I615="Aguardando peça"),N($X615)&gt;PrazoMax),"ATRASADA",IF(AND(OR($I615="Finalizado",$I615="Entregue"),$W615&gt;0.005),"Cobrar",IF($I615="Orçamento","Aguardando aprovação",""))))</f>
        <v>0</v>
      </c>
      <c r="Z615" s="33">
        <f>IF(AND($I615="Entregue",$M615&lt;&gt;""),DATE(YEAR($M615),MONTH($M615),1),"")</f>
        <v>0</v>
      </c>
      <c r="AA615" s="34">
        <f>IF(AND($C615&lt;&gt;"",$C615=HistPlaca),COUNTIF($C$5:$C615,HistPlaca),"")</f>
        <v>0</v>
      </c>
    </row>
    <row r="616" spans="1:27">
      <c r="A616" s="17"/>
      <c r="B616" s="25"/>
      <c r="C616" s="13"/>
      <c r="D616" s="26">
        <f>IF($C616="","",IFERROR(INDEX(VeicCli,MATCH($C616,VeicPlaca,0)),"Placa não cadastrada"))</f>
        <v>0</v>
      </c>
      <c r="E616" s="26">
        <f>IF($C616="","",IFERROR(INDEX(VeicModelo,MATCH($C616,VeicPlaca,0)),""))</f>
        <v>0</v>
      </c>
      <c r="F616" s="28"/>
      <c r="G616" s="13"/>
      <c r="H616" s="13"/>
      <c r="I616" s="13"/>
      <c r="J616" s="29"/>
      <c r="K616" s="19"/>
      <c r="L616" s="19"/>
      <c r="M616" s="25"/>
      <c r="N616" s="13"/>
      <c r="O616" s="19"/>
      <c r="P616" s="27">
        <f>IF($A616="","",N($J616)*ValorHora)</f>
        <v>0</v>
      </c>
      <c r="Q616" s="27">
        <f>IF($A616="","",SUMIFS(ItTotal,ItOS,$A616))</f>
        <v>0</v>
      </c>
      <c r="R616" s="30">
        <f>IF($A616="","",$P616+$Q616+N($K616)-N($L616))</f>
        <v>0</v>
      </c>
      <c r="S616" s="27">
        <f>IF($A616="","",SUMIFS(ItCusto,ItOS,$A616))</f>
        <v>0</v>
      </c>
      <c r="T616" s="27">
        <f>IF($A616="","",$P616*ComMec)</f>
        <v>0</v>
      </c>
      <c r="U616" s="21">
        <f>IF($A616="","",$R616-$S616-$T616-N($K616))</f>
        <v>0</v>
      </c>
      <c r="V616" s="31">
        <f>IF(OR($A616="",N($R616)&lt;=0),"",$U616/$R616)</f>
        <v>0</v>
      </c>
      <c r="W616" s="27">
        <f>IF($A616="","",IF(OR($I616="Finalizado",$I616="Entregue"),MAX(0,$R616-N($O616)),0))</f>
        <v>0</v>
      </c>
      <c r="X616" s="32">
        <f>IF(OR($A616="",$B616=""),"",IF(OR($I616="Entregue",$I616="Cancelada"),"",Hoje-$B616))</f>
        <v>0</v>
      </c>
      <c r="Y616" s="24">
        <f>IF($A616="","",IF(AND(OR($I616="Aprovado",$I616="Em execução",$I616="Aguardando peça"),N($X616)&gt;PrazoMax),"ATRASADA",IF(AND(OR($I616="Finalizado",$I616="Entregue"),$W616&gt;0.005),"Cobrar",IF($I616="Orçamento","Aguardando aprovação",""))))</f>
        <v>0</v>
      </c>
      <c r="Z616" s="33">
        <f>IF(AND($I616="Entregue",$M616&lt;&gt;""),DATE(YEAR($M616),MONTH($M616),1),"")</f>
        <v>0</v>
      </c>
      <c r="AA616" s="34">
        <f>IF(AND($C616&lt;&gt;"",$C616=HistPlaca),COUNTIF($C$5:$C616,HistPlaca),"")</f>
        <v>0</v>
      </c>
    </row>
    <row r="617" spans="1:27">
      <c r="A617" s="17"/>
      <c r="B617" s="25"/>
      <c r="C617" s="13"/>
      <c r="D617" s="26">
        <f>IF($C617="","",IFERROR(INDEX(VeicCli,MATCH($C617,VeicPlaca,0)),"Placa não cadastrada"))</f>
        <v>0</v>
      </c>
      <c r="E617" s="26">
        <f>IF($C617="","",IFERROR(INDEX(VeicModelo,MATCH($C617,VeicPlaca,0)),""))</f>
        <v>0</v>
      </c>
      <c r="F617" s="28"/>
      <c r="G617" s="13"/>
      <c r="H617" s="13"/>
      <c r="I617" s="13"/>
      <c r="J617" s="29"/>
      <c r="K617" s="19"/>
      <c r="L617" s="19"/>
      <c r="M617" s="25"/>
      <c r="N617" s="13"/>
      <c r="O617" s="19"/>
      <c r="P617" s="27">
        <f>IF($A617="","",N($J617)*ValorHora)</f>
        <v>0</v>
      </c>
      <c r="Q617" s="27">
        <f>IF($A617="","",SUMIFS(ItTotal,ItOS,$A617))</f>
        <v>0</v>
      </c>
      <c r="R617" s="30">
        <f>IF($A617="","",$P617+$Q617+N($K617)-N($L617))</f>
        <v>0</v>
      </c>
      <c r="S617" s="27">
        <f>IF($A617="","",SUMIFS(ItCusto,ItOS,$A617))</f>
        <v>0</v>
      </c>
      <c r="T617" s="27">
        <f>IF($A617="","",$P617*ComMec)</f>
        <v>0</v>
      </c>
      <c r="U617" s="21">
        <f>IF($A617="","",$R617-$S617-$T617-N($K617))</f>
        <v>0</v>
      </c>
      <c r="V617" s="31">
        <f>IF(OR($A617="",N($R617)&lt;=0),"",$U617/$R617)</f>
        <v>0</v>
      </c>
      <c r="W617" s="27">
        <f>IF($A617="","",IF(OR($I617="Finalizado",$I617="Entregue"),MAX(0,$R617-N($O617)),0))</f>
        <v>0</v>
      </c>
      <c r="X617" s="32">
        <f>IF(OR($A617="",$B617=""),"",IF(OR($I617="Entregue",$I617="Cancelada"),"",Hoje-$B617))</f>
        <v>0</v>
      </c>
      <c r="Y617" s="24">
        <f>IF($A617="","",IF(AND(OR($I617="Aprovado",$I617="Em execução",$I617="Aguardando peça"),N($X617)&gt;PrazoMax),"ATRASADA",IF(AND(OR($I617="Finalizado",$I617="Entregue"),$W617&gt;0.005),"Cobrar",IF($I617="Orçamento","Aguardando aprovação",""))))</f>
        <v>0</v>
      </c>
      <c r="Z617" s="33">
        <f>IF(AND($I617="Entregue",$M617&lt;&gt;""),DATE(YEAR($M617),MONTH($M617),1),"")</f>
        <v>0</v>
      </c>
      <c r="AA617" s="34">
        <f>IF(AND($C617&lt;&gt;"",$C617=HistPlaca),COUNTIF($C$5:$C617,HistPlaca),"")</f>
        <v>0</v>
      </c>
    </row>
    <row r="618" spans="1:27">
      <c r="A618" s="17"/>
      <c r="B618" s="25"/>
      <c r="C618" s="13"/>
      <c r="D618" s="26">
        <f>IF($C618="","",IFERROR(INDEX(VeicCli,MATCH($C618,VeicPlaca,0)),"Placa não cadastrada"))</f>
        <v>0</v>
      </c>
      <c r="E618" s="26">
        <f>IF($C618="","",IFERROR(INDEX(VeicModelo,MATCH($C618,VeicPlaca,0)),""))</f>
        <v>0</v>
      </c>
      <c r="F618" s="28"/>
      <c r="G618" s="13"/>
      <c r="H618" s="13"/>
      <c r="I618" s="13"/>
      <c r="J618" s="29"/>
      <c r="K618" s="19"/>
      <c r="L618" s="19"/>
      <c r="M618" s="25"/>
      <c r="N618" s="13"/>
      <c r="O618" s="19"/>
      <c r="P618" s="27">
        <f>IF($A618="","",N($J618)*ValorHora)</f>
        <v>0</v>
      </c>
      <c r="Q618" s="27">
        <f>IF($A618="","",SUMIFS(ItTotal,ItOS,$A618))</f>
        <v>0</v>
      </c>
      <c r="R618" s="30">
        <f>IF($A618="","",$P618+$Q618+N($K618)-N($L618))</f>
        <v>0</v>
      </c>
      <c r="S618" s="27">
        <f>IF($A618="","",SUMIFS(ItCusto,ItOS,$A618))</f>
        <v>0</v>
      </c>
      <c r="T618" s="27">
        <f>IF($A618="","",$P618*ComMec)</f>
        <v>0</v>
      </c>
      <c r="U618" s="21">
        <f>IF($A618="","",$R618-$S618-$T618-N($K618))</f>
        <v>0</v>
      </c>
      <c r="V618" s="31">
        <f>IF(OR($A618="",N($R618)&lt;=0),"",$U618/$R618)</f>
        <v>0</v>
      </c>
      <c r="W618" s="27">
        <f>IF($A618="","",IF(OR($I618="Finalizado",$I618="Entregue"),MAX(0,$R618-N($O618)),0))</f>
        <v>0</v>
      </c>
      <c r="X618" s="32">
        <f>IF(OR($A618="",$B618=""),"",IF(OR($I618="Entregue",$I618="Cancelada"),"",Hoje-$B618))</f>
        <v>0</v>
      </c>
      <c r="Y618" s="24">
        <f>IF($A618="","",IF(AND(OR($I618="Aprovado",$I618="Em execução",$I618="Aguardando peça"),N($X618)&gt;PrazoMax),"ATRASADA",IF(AND(OR($I618="Finalizado",$I618="Entregue"),$W618&gt;0.005),"Cobrar",IF($I618="Orçamento","Aguardando aprovação",""))))</f>
        <v>0</v>
      </c>
      <c r="Z618" s="33">
        <f>IF(AND($I618="Entregue",$M618&lt;&gt;""),DATE(YEAR($M618),MONTH($M618),1),"")</f>
        <v>0</v>
      </c>
      <c r="AA618" s="34">
        <f>IF(AND($C618&lt;&gt;"",$C618=HistPlaca),COUNTIF($C$5:$C618,HistPlaca),"")</f>
        <v>0</v>
      </c>
    </row>
    <row r="619" spans="1:27">
      <c r="A619" s="17"/>
      <c r="B619" s="25"/>
      <c r="C619" s="13"/>
      <c r="D619" s="26">
        <f>IF($C619="","",IFERROR(INDEX(VeicCli,MATCH($C619,VeicPlaca,0)),"Placa não cadastrada"))</f>
        <v>0</v>
      </c>
      <c r="E619" s="26">
        <f>IF($C619="","",IFERROR(INDEX(VeicModelo,MATCH($C619,VeicPlaca,0)),""))</f>
        <v>0</v>
      </c>
      <c r="F619" s="28"/>
      <c r="G619" s="13"/>
      <c r="H619" s="13"/>
      <c r="I619" s="13"/>
      <c r="J619" s="29"/>
      <c r="K619" s="19"/>
      <c r="L619" s="19"/>
      <c r="M619" s="25"/>
      <c r="N619" s="13"/>
      <c r="O619" s="19"/>
      <c r="P619" s="27">
        <f>IF($A619="","",N($J619)*ValorHora)</f>
        <v>0</v>
      </c>
      <c r="Q619" s="27">
        <f>IF($A619="","",SUMIFS(ItTotal,ItOS,$A619))</f>
        <v>0</v>
      </c>
      <c r="R619" s="30">
        <f>IF($A619="","",$P619+$Q619+N($K619)-N($L619))</f>
        <v>0</v>
      </c>
      <c r="S619" s="27">
        <f>IF($A619="","",SUMIFS(ItCusto,ItOS,$A619))</f>
        <v>0</v>
      </c>
      <c r="T619" s="27">
        <f>IF($A619="","",$P619*ComMec)</f>
        <v>0</v>
      </c>
      <c r="U619" s="21">
        <f>IF($A619="","",$R619-$S619-$T619-N($K619))</f>
        <v>0</v>
      </c>
      <c r="V619" s="31">
        <f>IF(OR($A619="",N($R619)&lt;=0),"",$U619/$R619)</f>
        <v>0</v>
      </c>
      <c r="W619" s="27">
        <f>IF($A619="","",IF(OR($I619="Finalizado",$I619="Entregue"),MAX(0,$R619-N($O619)),0))</f>
        <v>0</v>
      </c>
      <c r="X619" s="32">
        <f>IF(OR($A619="",$B619=""),"",IF(OR($I619="Entregue",$I619="Cancelada"),"",Hoje-$B619))</f>
        <v>0</v>
      </c>
      <c r="Y619" s="24">
        <f>IF($A619="","",IF(AND(OR($I619="Aprovado",$I619="Em execução",$I619="Aguardando peça"),N($X619)&gt;PrazoMax),"ATRASADA",IF(AND(OR($I619="Finalizado",$I619="Entregue"),$W619&gt;0.005),"Cobrar",IF($I619="Orçamento","Aguardando aprovação",""))))</f>
        <v>0</v>
      </c>
      <c r="Z619" s="33">
        <f>IF(AND($I619="Entregue",$M619&lt;&gt;""),DATE(YEAR($M619),MONTH($M619),1),"")</f>
        <v>0</v>
      </c>
      <c r="AA619" s="34">
        <f>IF(AND($C619&lt;&gt;"",$C619=HistPlaca),COUNTIF($C$5:$C619,HistPlaca),"")</f>
        <v>0</v>
      </c>
    </row>
    <row r="620" spans="1:27">
      <c r="A620" s="17"/>
      <c r="B620" s="25"/>
      <c r="C620" s="13"/>
      <c r="D620" s="26">
        <f>IF($C620="","",IFERROR(INDEX(VeicCli,MATCH($C620,VeicPlaca,0)),"Placa não cadastrada"))</f>
        <v>0</v>
      </c>
      <c r="E620" s="26">
        <f>IF($C620="","",IFERROR(INDEX(VeicModelo,MATCH($C620,VeicPlaca,0)),""))</f>
        <v>0</v>
      </c>
      <c r="F620" s="28"/>
      <c r="G620" s="13"/>
      <c r="H620" s="13"/>
      <c r="I620" s="13"/>
      <c r="J620" s="29"/>
      <c r="K620" s="19"/>
      <c r="L620" s="19"/>
      <c r="M620" s="25"/>
      <c r="N620" s="13"/>
      <c r="O620" s="19"/>
      <c r="P620" s="27">
        <f>IF($A620="","",N($J620)*ValorHora)</f>
        <v>0</v>
      </c>
      <c r="Q620" s="27">
        <f>IF($A620="","",SUMIFS(ItTotal,ItOS,$A620))</f>
        <v>0</v>
      </c>
      <c r="R620" s="30">
        <f>IF($A620="","",$P620+$Q620+N($K620)-N($L620))</f>
        <v>0</v>
      </c>
      <c r="S620" s="27">
        <f>IF($A620="","",SUMIFS(ItCusto,ItOS,$A620))</f>
        <v>0</v>
      </c>
      <c r="T620" s="27">
        <f>IF($A620="","",$P620*ComMec)</f>
        <v>0</v>
      </c>
      <c r="U620" s="21">
        <f>IF($A620="","",$R620-$S620-$T620-N($K620))</f>
        <v>0</v>
      </c>
      <c r="V620" s="31">
        <f>IF(OR($A620="",N($R620)&lt;=0),"",$U620/$R620)</f>
        <v>0</v>
      </c>
      <c r="W620" s="27">
        <f>IF($A620="","",IF(OR($I620="Finalizado",$I620="Entregue"),MAX(0,$R620-N($O620)),0))</f>
        <v>0</v>
      </c>
      <c r="X620" s="32">
        <f>IF(OR($A620="",$B620=""),"",IF(OR($I620="Entregue",$I620="Cancelada"),"",Hoje-$B620))</f>
        <v>0</v>
      </c>
      <c r="Y620" s="24">
        <f>IF($A620="","",IF(AND(OR($I620="Aprovado",$I620="Em execução",$I620="Aguardando peça"),N($X620)&gt;PrazoMax),"ATRASADA",IF(AND(OR($I620="Finalizado",$I620="Entregue"),$W620&gt;0.005),"Cobrar",IF($I620="Orçamento","Aguardando aprovação",""))))</f>
        <v>0</v>
      </c>
      <c r="Z620" s="33">
        <f>IF(AND($I620="Entregue",$M620&lt;&gt;""),DATE(YEAR($M620),MONTH($M620),1),"")</f>
        <v>0</v>
      </c>
      <c r="AA620" s="34">
        <f>IF(AND($C620&lt;&gt;"",$C620=HistPlaca),COUNTIF($C$5:$C620,HistPlaca),"")</f>
        <v>0</v>
      </c>
    </row>
    <row r="621" spans="1:27">
      <c r="A621" s="17"/>
      <c r="B621" s="25"/>
      <c r="C621" s="13"/>
      <c r="D621" s="26">
        <f>IF($C621="","",IFERROR(INDEX(VeicCli,MATCH($C621,VeicPlaca,0)),"Placa não cadastrada"))</f>
        <v>0</v>
      </c>
      <c r="E621" s="26">
        <f>IF($C621="","",IFERROR(INDEX(VeicModelo,MATCH($C621,VeicPlaca,0)),""))</f>
        <v>0</v>
      </c>
      <c r="F621" s="28"/>
      <c r="G621" s="13"/>
      <c r="H621" s="13"/>
      <c r="I621" s="13"/>
      <c r="J621" s="29"/>
      <c r="K621" s="19"/>
      <c r="L621" s="19"/>
      <c r="M621" s="25"/>
      <c r="N621" s="13"/>
      <c r="O621" s="19"/>
      <c r="P621" s="27">
        <f>IF($A621="","",N($J621)*ValorHora)</f>
        <v>0</v>
      </c>
      <c r="Q621" s="27">
        <f>IF($A621="","",SUMIFS(ItTotal,ItOS,$A621))</f>
        <v>0</v>
      </c>
      <c r="R621" s="30">
        <f>IF($A621="","",$P621+$Q621+N($K621)-N($L621))</f>
        <v>0</v>
      </c>
      <c r="S621" s="27">
        <f>IF($A621="","",SUMIFS(ItCusto,ItOS,$A621))</f>
        <v>0</v>
      </c>
      <c r="T621" s="27">
        <f>IF($A621="","",$P621*ComMec)</f>
        <v>0</v>
      </c>
      <c r="U621" s="21">
        <f>IF($A621="","",$R621-$S621-$T621-N($K621))</f>
        <v>0</v>
      </c>
      <c r="V621" s="31">
        <f>IF(OR($A621="",N($R621)&lt;=0),"",$U621/$R621)</f>
        <v>0</v>
      </c>
      <c r="W621" s="27">
        <f>IF($A621="","",IF(OR($I621="Finalizado",$I621="Entregue"),MAX(0,$R621-N($O621)),0))</f>
        <v>0</v>
      </c>
      <c r="X621" s="32">
        <f>IF(OR($A621="",$B621=""),"",IF(OR($I621="Entregue",$I621="Cancelada"),"",Hoje-$B621))</f>
        <v>0</v>
      </c>
      <c r="Y621" s="24">
        <f>IF($A621="","",IF(AND(OR($I621="Aprovado",$I621="Em execução",$I621="Aguardando peça"),N($X621)&gt;PrazoMax),"ATRASADA",IF(AND(OR($I621="Finalizado",$I621="Entregue"),$W621&gt;0.005),"Cobrar",IF($I621="Orçamento","Aguardando aprovação",""))))</f>
        <v>0</v>
      </c>
      <c r="Z621" s="33">
        <f>IF(AND($I621="Entregue",$M621&lt;&gt;""),DATE(YEAR($M621),MONTH($M621),1),"")</f>
        <v>0</v>
      </c>
      <c r="AA621" s="34">
        <f>IF(AND($C621&lt;&gt;"",$C621=HistPlaca),COUNTIF($C$5:$C621,HistPlaca),"")</f>
        <v>0</v>
      </c>
    </row>
    <row r="622" spans="1:27">
      <c r="A622" s="17"/>
      <c r="B622" s="25"/>
      <c r="C622" s="13"/>
      <c r="D622" s="26">
        <f>IF($C622="","",IFERROR(INDEX(VeicCli,MATCH($C622,VeicPlaca,0)),"Placa não cadastrada"))</f>
        <v>0</v>
      </c>
      <c r="E622" s="26">
        <f>IF($C622="","",IFERROR(INDEX(VeicModelo,MATCH($C622,VeicPlaca,0)),""))</f>
        <v>0</v>
      </c>
      <c r="F622" s="28"/>
      <c r="G622" s="13"/>
      <c r="H622" s="13"/>
      <c r="I622" s="13"/>
      <c r="J622" s="29"/>
      <c r="K622" s="19"/>
      <c r="L622" s="19"/>
      <c r="M622" s="25"/>
      <c r="N622" s="13"/>
      <c r="O622" s="19"/>
      <c r="P622" s="27">
        <f>IF($A622="","",N($J622)*ValorHora)</f>
        <v>0</v>
      </c>
      <c r="Q622" s="27">
        <f>IF($A622="","",SUMIFS(ItTotal,ItOS,$A622))</f>
        <v>0</v>
      </c>
      <c r="R622" s="30">
        <f>IF($A622="","",$P622+$Q622+N($K622)-N($L622))</f>
        <v>0</v>
      </c>
      <c r="S622" s="27">
        <f>IF($A622="","",SUMIFS(ItCusto,ItOS,$A622))</f>
        <v>0</v>
      </c>
      <c r="T622" s="27">
        <f>IF($A622="","",$P622*ComMec)</f>
        <v>0</v>
      </c>
      <c r="U622" s="21">
        <f>IF($A622="","",$R622-$S622-$T622-N($K622))</f>
        <v>0</v>
      </c>
      <c r="V622" s="31">
        <f>IF(OR($A622="",N($R622)&lt;=0),"",$U622/$R622)</f>
        <v>0</v>
      </c>
      <c r="W622" s="27">
        <f>IF($A622="","",IF(OR($I622="Finalizado",$I622="Entregue"),MAX(0,$R622-N($O622)),0))</f>
        <v>0</v>
      </c>
      <c r="X622" s="32">
        <f>IF(OR($A622="",$B622=""),"",IF(OR($I622="Entregue",$I622="Cancelada"),"",Hoje-$B622))</f>
        <v>0</v>
      </c>
      <c r="Y622" s="24">
        <f>IF($A622="","",IF(AND(OR($I622="Aprovado",$I622="Em execução",$I622="Aguardando peça"),N($X622)&gt;PrazoMax),"ATRASADA",IF(AND(OR($I622="Finalizado",$I622="Entregue"),$W622&gt;0.005),"Cobrar",IF($I622="Orçamento","Aguardando aprovação",""))))</f>
        <v>0</v>
      </c>
      <c r="Z622" s="33">
        <f>IF(AND($I622="Entregue",$M622&lt;&gt;""),DATE(YEAR($M622),MONTH($M622),1),"")</f>
        <v>0</v>
      </c>
      <c r="AA622" s="34">
        <f>IF(AND($C622&lt;&gt;"",$C622=HistPlaca),COUNTIF($C$5:$C622,HistPlaca),"")</f>
        <v>0</v>
      </c>
    </row>
    <row r="623" spans="1:27">
      <c r="A623" s="17"/>
      <c r="B623" s="25"/>
      <c r="C623" s="13"/>
      <c r="D623" s="26">
        <f>IF($C623="","",IFERROR(INDEX(VeicCli,MATCH($C623,VeicPlaca,0)),"Placa não cadastrada"))</f>
        <v>0</v>
      </c>
      <c r="E623" s="26">
        <f>IF($C623="","",IFERROR(INDEX(VeicModelo,MATCH($C623,VeicPlaca,0)),""))</f>
        <v>0</v>
      </c>
      <c r="F623" s="28"/>
      <c r="G623" s="13"/>
      <c r="H623" s="13"/>
      <c r="I623" s="13"/>
      <c r="J623" s="29"/>
      <c r="K623" s="19"/>
      <c r="L623" s="19"/>
      <c r="M623" s="25"/>
      <c r="N623" s="13"/>
      <c r="O623" s="19"/>
      <c r="P623" s="27">
        <f>IF($A623="","",N($J623)*ValorHora)</f>
        <v>0</v>
      </c>
      <c r="Q623" s="27">
        <f>IF($A623="","",SUMIFS(ItTotal,ItOS,$A623))</f>
        <v>0</v>
      </c>
      <c r="R623" s="30">
        <f>IF($A623="","",$P623+$Q623+N($K623)-N($L623))</f>
        <v>0</v>
      </c>
      <c r="S623" s="27">
        <f>IF($A623="","",SUMIFS(ItCusto,ItOS,$A623))</f>
        <v>0</v>
      </c>
      <c r="T623" s="27">
        <f>IF($A623="","",$P623*ComMec)</f>
        <v>0</v>
      </c>
      <c r="U623" s="21">
        <f>IF($A623="","",$R623-$S623-$T623-N($K623))</f>
        <v>0</v>
      </c>
      <c r="V623" s="31">
        <f>IF(OR($A623="",N($R623)&lt;=0),"",$U623/$R623)</f>
        <v>0</v>
      </c>
      <c r="W623" s="27">
        <f>IF($A623="","",IF(OR($I623="Finalizado",$I623="Entregue"),MAX(0,$R623-N($O623)),0))</f>
        <v>0</v>
      </c>
      <c r="X623" s="32">
        <f>IF(OR($A623="",$B623=""),"",IF(OR($I623="Entregue",$I623="Cancelada"),"",Hoje-$B623))</f>
        <v>0</v>
      </c>
      <c r="Y623" s="24">
        <f>IF($A623="","",IF(AND(OR($I623="Aprovado",$I623="Em execução",$I623="Aguardando peça"),N($X623)&gt;PrazoMax),"ATRASADA",IF(AND(OR($I623="Finalizado",$I623="Entregue"),$W623&gt;0.005),"Cobrar",IF($I623="Orçamento","Aguardando aprovação",""))))</f>
        <v>0</v>
      </c>
      <c r="Z623" s="33">
        <f>IF(AND($I623="Entregue",$M623&lt;&gt;""),DATE(YEAR($M623),MONTH($M623),1),"")</f>
        <v>0</v>
      </c>
      <c r="AA623" s="34">
        <f>IF(AND($C623&lt;&gt;"",$C623=HistPlaca),COUNTIF($C$5:$C623,HistPlaca),"")</f>
        <v>0</v>
      </c>
    </row>
    <row r="624" spans="1:27">
      <c r="A624" s="17"/>
      <c r="B624" s="25"/>
      <c r="C624" s="13"/>
      <c r="D624" s="26">
        <f>IF($C624="","",IFERROR(INDEX(VeicCli,MATCH($C624,VeicPlaca,0)),"Placa não cadastrada"))</f>
        <v>0</v>
      </c>
      <c r="E624" s="26">
        <f>IF($C624="","",IFERROR(INDEX(VeicModelo,MATCH($C624,VeicPlaca,0)),""))</f>
        <v>0</v>
      </c>
      <c r="F624" s="28"/>
      <c r="G624" s="13"/>
      <c r="H624" s="13"/>
      <c r="I624" s="13"/>
      <c r="J624" s="29"/>
      <c r="K624" s="19"/>
      <c r="L624" s="19"/>
      <c r="M624" s="25"/>
      <c r="N624" s="13"/>
      <c r="O624" s="19"/>
      <c r="P624" s="27">
        <f>IF($A624="","",N($J624)*ValorHora)</f>
        <v>0</v>
      </c>
      <c r="Q624" s="27">
        <f>IF($A624="","",SUMIFS(ItTotal,ItOS,$A624))</f>
        <v>0</v>
      </c>
      <c r="R624" s="30">
        <f>IF($A624="","",$P624+$Q624+N($K624)-N($L624))</f>
        <v>0</v>
      </c>
      <c r="S624" s="27">
        <f>IF($A624="","",SUMIFS(ItCusto,ItOS,$A624))</f>
        <v>0</v>
      </c>
      <c r="T624" s="27">
        <f>IF($A624="","",$P624*ComMec)</f>
        <v>0</v>
      </c>
      <c r="U624" s="21">
        <f>IF($A624="","",$R624-$S624-$T624-N($K624))</f>
        <v>0</v>
      </c>
      <c r="V624" s="31">
        <f>IF(OR($A624="",N($R624)&lt;=0),"",$U624/$R624)</f>
        <v>0</v>
      </c>
      <c r="W624" s="27">
        <f>IF($A624="","",IF(OR($I624="Finalizado",$I624="Entregue"),MAX(0,$R624-N($O624)),0))</f>
        <v>0</v>
      </c>
      <c r="X624" s="32">
        <f>IF(OR($A624="",$B624=""),"",IF(OR($I624="Entregue",$I624="Cancelada"),"",Hoje-$B624))</f>
        <v>0</v>
      </c>
      <c r="Y624" s="24">
        <f>IF($A624="","",IF(AND(OR($I624="Aprovado",$I624="Em execução",$I624="Aguardando peça"),N($X624)&gt;PrazoMax),"ATRASADA",IF(AND(OR($I624="Finalizado",$I624="Entregue"),$W624&gt;0.005),"Cobrar",IF($I624="Orçamento","Aguardando aprovação",""))))</f>
        <v>0</v>
      </c>
      <c r="Z624" s="33">
        <f>IF(AND($I624="Entregue",$M624&lt;&gt;""),DATE(YEAR($M624),MONTH($M624),1),"")</f>
        <v>0</v>
      </c>
      <c r="AA624" s="34">
        <f>IF(AND($C624&lt;&gt;"",$C624=HistPlaca),COUNTIF($C$5:$C624,HistPlaca),"")</f>
        <v>0</v>
      </c>
    </row>
    <row r="625" spans="1:27">
      <c r="A625" s="17"/>
      <c r="B625" s="25"/>
      <c r="C625" s="13"/>
      <c r="D625" s="26">
        <f>IF($C625="","",IFERROR(INDEX(VeicCli,MATCH($C625,VeicPlaca,0)),"Placa não cadastrada"))</f>
        <v>0</v>
      </c>
      <c r="E625" s="26">
        <f>IF($C625="","",IFERROR(INDEX(VeicModelo,MATCH($C625,VeicPlaca,0)),""))</f>
        <v>0</v>
      </c>
      <c r="F625" s="28"/>
      <c r="G625" s="13"/>
      <c r="H625" s="13"/>
      <c r="I625" s="13"/>
      <c r="J625" s="29"/>
      <c r="K625" s="19"/>
      <c r="L625" s="19"/>
      <c r="M625" s="25"/>
      <c r="N625" s="13"/>
      <c r="O625" s="19"/>
      <c r="P625" s="27">
        <f>IF($A625="","",N($J625)*ValorHora)</f>
        <v>0</v>
      </c>
      <c r="Q625" s="27">
        <f>IF($A625="","",SUMIFS(ItTotal,ItOS,$A625))</f>
        <v>0</v>
      </c>
      <c r="R625" s="30">
        <f>IF($A625="","",$P625+$Q625+N($K625)-N($L625))</f>
        <v>0</v>
      </c>
      <c r="S625" s="27">
        <f>IF($A625="","",SUMIFS(ItCusto,ItOS,$A625))</f>
        <v>0</v>
      </c>
      <c r="T625" s="27">
        <f>IF($A625="","",$P625*ComMec)</f>
        <v>0</v>
      </c>
      <c r="U625" s="21">
        <f>IF($A625="","",$R625-$S625-$T625-N($K625))</f>
        <v>0</v>
      </c>
      <c r="V625" s="31">
        <f>IF(OR($A625="",N($R625)&lt;=0),"",$U625/$R625)</f>
        <v>0</v>
      </c>
      <c r="W625" s="27">
        <f>IF($A625="","",IF(OR($I625="Finalizado",$I625="Entregue"),MAX(0,$R625-N($O625)),0))</f>
        <v>0</v>
      </c>
      <c r="X625" s="32">
        <f>IF(OR($A625="",$B625=""),"",IF(OR($I625="Entregue",$I625="Cancelada"),"",Hoje-$B625))</f>
        <v>0</v>
      </c>
      <c r="Y625" s="24">
        <f>IF($A625="","",IF(AND(OR($I625="Aprovado",$I625="Em execução",$I625="Aguardando peça"),N($X625)&gt;PrazoMax),"ATRASADA",IF(AND(OR($I625="Finalizado",$I625="Entregue"),$W625&gt;0.005),"Cobrar",IF($I625="Orçamento","Aguardando aprovação",""))))</f>
        <v>0</v>
      </c>
      <c r="Z625" s="33">
        <f>IF(AND($I625="Entregue",$M625&lt;&gt;""),DATE(YEAR($M625),MONTH($M625),1),"")</f>
        <v>0</v>
      </c>
      <c r="AA625" s="34">
        <f>IF(AND($C625&lt;&gt;"",$C625=HistPlaca),COUNTIF($C$5:$C625,HistPlaca),"")</f>
        <v>0</v>
      </c>
    </row>
    <row r="626" spans="1:27">
      <c r="A626" s="17"/>
      <c r="B626" s="25"/>
      <c r="C626" s="13"/>
      <c r="D626" s="26">
        <f>IF($C626="","",IFERROR(INDEX(VeicCli,MATCH($C626,VeicPlaca,0)),"Placa não cadastrada"))</f>
        <v>0</v>
      </c>
      <c r="E626" s="26">
        <f>IF($C626="","",IFERROR(INDEX(VeicModelo,MATCH($C626,VeicPlaca,0)),""))</f>
        <v>0</v>
      </c>
      <c r="F626" s="28"/>
      <c r="G626" s="13"/>
      <c r="H626" s="13"/>
      <c r="I626" s="13"/>
      <c r="J626" s="29"/>
      <c r="K626" s="19"/>
      <c r="L626" s="19"/>
      <c r="M626" s="25"/>
      <c r="N626" s="13"/>
      <c r="O626" s="19"/>
      <c r="P626" s="27">
        <f>IF($A626="","",N($J626)*ValorHora)</f>
        <v>0</v>
      </c>
      <c r="Q626" s="27">
        <f>IF($A626="","",SUMIFS(ItTotal,ItOS,$A626))</f>
        <v>0</v>
      </c>
      <c r="R626" s="30">
        <f>IF($A626="","",$P626+$Q626+N($K626)-N($L626))</f>
        <v>0</v>
      </c>
      <c r="S626" s="27">
        <f>IF($A626="","",SUMIFS(ItCusto,ItOS,$A626))</f>
        <v>0</v>
      </c>
      <c r="T626" s="27">
        <f>IF($A626="","",$P626*ComMec)</f>
        <v>0</v>
      </c>
      <c r="U626" s="21">
        <f>IF($A626="","",$R626-$S626-$T626-N($K626))</f>
        <v>0</v>
      </c>
      <c r="V626" s="31">
        <f>IF(OR($A626="",N($R626)&lt;=0),"",$U626/$R626)</f>
        <v>0</v>
      </c>
      <c r="W626" s="27">
        <f>IF($A626="","",IF(OR($I626="Finalizado",$I626="Entregue"),MAX(0,$R626-N($O626)),0))</f>
        <v>0</v>
      </c>
      <c r="X626" s="32">
        <f>IF(OR($A626="",$B626=""),"",IF(OR($I626="Entregue",$I626="Cancelada"),"",Hoje-$B626))</f>
        <v>0</v>
      </c>
      <c r="Y626" s="24">
        <f>IF($A626="","",IF(AND(OR($I626="Aprovado",$I626="Em execução",$I626="Aguardando peça"),N($X626)&gt;PrazoMax),"ATRASADA",IF(AND(OR($I626="Finalizado",$I626="Entregue"),$W626&gt;0.005),"Cobrar",IF($I626="Orçamento","Aguardando aprovação",""))))</f>
        <v>0</v>
      </c>
      <c r="Z626" s="33">
        <f>IF(AND($I626="Entregue",$M626&lt;&gt;""),DATE(YEAR($M626),MONTH($M626),1),"")</f>
        <v>0</v>
      </c>
      <c r="AA626" s="34">
        <f>IF(AND($C626&lt;&gt;"",$C626=HistPlaca),COUNTIF($C$5:$C626,HistPlaca),"")</f>
        <v>0</v>
      </c>
    </row>
    <row r="627" spans="1:27">
      <c r="A627" s="17"/>
      <c r="B627" s="25"/>
      <c r="C627" s="13"/>
      <c r="D627" s="26">
        <f>IF($C627="","",IFERROR(INDEX(VeicCli,MATCH($C627,VeicPlaca,0)),"Placa não cadastrada"))</f>
        <v>0</v>
      </c>
      <c r="E627" s="26">
        <f>IF($C627="","",IFERROR(INDEX(VeicModelo,MATCH($C627,VeicPlaca,0)),""))</f>
        <v>0</v>
      </c>
      <c r="F627" s="28"/>
      <c r="G627" s="13"/>
      <c r="H627" s="13"/>
      <c r="I627" s="13"/>
      <c r="J627" s="29"/>
      <c r="K627" s="19"/>
      <c r="L627" s="19"/>
      <c r="M627" s="25"/>
      <c r="N627" s="13"/>
      <c r="O627" s="19"/>
      <c r="P627" s="27">
        <f>IF($A627="","",N($J627)*ValorHora)</f>
        <v>0</v>
      </c>
      <c r="Q627" s="27">
        <f>IF($A627="","",SUMIFS(ItTotal,ItOS,$A627))</f>
        <v>0</v>
      </c>
      <c r="R627" s="30">
        <f>IF($A627="","",$P627+$Q627+N($K627)-N($L627))</f>
        <v>0</v>
      </c>
      <c r="S627" s="27">
        <f>IF($A627="","",SUMIFS(ItCusto,ItOS,$A627))</f>
        <v>0</v>
      </c>
      <c r="T627" s="27">
        <f>IF($A627="","",$P627*ComMec)</f>
        <v>0</v>
      </c>
      <c r="U627" s="21">
        <f>IF($A627="","",$R627-$S627-$T627-N($K627))</f>
        <v>0</v>
      </c>
      <c r="V627" s="31">
        <f>IF(OR($A627="",N($R627)&lt;=0),"",$U627/$R627)</f>
        <v>0</v>
      </c>
      <c r="W627" s="27">
        <f>IF($A627="","",IF(OR($I627="Finalizado",$I627="Entregue"),MAX(0,$R627-N($O627)),0))</f>
        <v>0</v>
      </c>
      <c r="X627" s="32">
        <f>IF(OR($A627="",$B627=""),"",IF(OR($I627="Entregue",$I627="Cancelada"),"",Hoje-$B627))</f>
        <v>0</v>
      </c>
      <c r="Y627" s="24">
        <f>IF($A627="","",IF(AND(OR($I627="Aprovado",$I627="Em execução",$I627="Aguardando peça"),N($X627)&gt;PrazoMax),"ATRASADA",IF(AND(OR($I627="Finalizado",$I627="Entregue"),$W627&gt;0.005),"Cobrar",IF($I627="Orçamento","Aguardando aprovação",""))))</f>
        <v>0</v>
      </c>
      <c r="Z627" s="33">
        <f>IF(AND($I627="Entregue",$M627&lt;&gt;""),DATE(YEAR($M627),MONTH($M627),1),"")</f>
        <v>0</v>
      </c>
      <c r="AA627" s="34">
        <f>IF(AND($C627&lt;&gt;"",$C627=HistPlaca),COUNTIF($C$5:$C627,HistPlaca),"")</f>
        <v>0</v>
      </c>
    </row>
    <row r="628" spans="1:27">
      <c r="A628" s="17"/>
      <c r="B628" s="25"/>
      <c r="C628" s="13"/>
      <c r="D628" s="26">
        <f>IF($C628="","",IFERROR(INDEX(VeicCli,MATCH($C628,VeicPlaca,0)),"Placa não cadastrada"))</f>
        <v>0</v>
      </c>
      <c r="E628" s="26">
        <f>IF($C628="","",IFERROR(INDEX(VeicModelo,MATCH($C628,VeicPlaca,0)),""))</f>
        <v>0</v>
      </c>
      <c r="F628" s="28"/>
      <c r="G628" s="13"/>
      <c r="H628" s="13"/>
      <c r="I628" s="13"/>
      <c r="J628" s="29"/>
      <c r="K628" s="19"/>
      <c r="L628" s="19"/>
      <c r="M628" s="25"/>
      <c r="N628" s="13"/>
      <c r="O628" s="19"/>
      <c r="P628" s="27">
        <f>IF($A628="","",N($J628)*ValorHora)</f>
        <v>0</v>
      </c>
      <c r="Q628" s="27">
        <f>IF($A628="","",SUMIFS(ItTotal,ItOS,$A628))</f>
        <v>0</v>
      </c>
      <c r="R628" s="30">
        <f>IF($A628="","",$P628+$Q628+N($K628)-N($L628))</f>
        <v>0</v>
      </c>
      <c r="S628" s="27">
        <f>IF($A628="","",SUMIFS(ItCusto,ItOS,$A628))</f>
        <v>0</v>
      </c>
      <c r="T628" s="27">
        <f>IF($A628="","",$P628*ComMec)</f>
        <v>0</v>
      </c>
      <c r="U628" s="21">
        <f>IF($A628="","",$R628-$S628-$T628-N($K628))</f>
        <v>0</v>
      </c>
      <c r="V628" s="31">
        <f>IF(OR($A628="",N($R628)&lt;=0),"",$U628/$R628)</f>
        <v>0</v>
      </c>
      <c r="W628" s="27">
        <f>IF($A628="","",IF(OR($I628="Finalizado",$I628="Entregue"),MAX(0,$R628-N($O628)),0))</f>
        <v>0</v>
      </c>
      <c r="X628" s="32">
        <f>IF(OR($A628="",$B628=""),"",IF(OR($I628="Entregue",$I628="Cancelada"),"",Hoje-$B628))</f>
        <v>0</v>
      </c>
      <c r="Y628" s="24">
        <f>IF($A628="","",IF(AND(OR($I628="Aprovado",$I628="Em execução",$I628="Aguardando peça"),N($X628)&gt;PrazoMax),"ATRASADA",IF(AND(OR($I628="Finalizado",$I628="Entregue"),$W628&gt;0.005),"Cobrar",IF($I628="Orçamento","Aguardando aprovação",""))))</f>
        <v>0</v>
      </c>
      <c r="Z628" s="33">
        <f>IF(AND($I628="Entregue",$M628&lt;&gt;""),DATE(YEAR($M628),MONTH($M628),1),"")</f>
        <v>0</v>
      </c>
      <c r="AA628" s="34">
        <f>IF(AND($C628&lt;&gt;"",$C628=HistPlaca),COUNTIF($C$5:$C628,HistPlaca),"")</f>
        <v>0</v>
      </c>
    </row>
    <row r="629" spans="1:27">
      <c r="A629" s="17"/>
      <c r="B629" s="25"/>
      <c r="C629" s="13"/>
      <c r="D629" s="26">
        <f>IF($C629="","",IFERROR(INDEX(VeicCli,MATCH($C629,VeicPlaca,0)),"Placa não cadastrada"))</f>
        <v>0</v>
      </c>
      <c r="E629" s="26">
        <f>IF($C629="","",IFERROR(INDEX(VeicModelo,MATCH($C629,VeicPlaca,0)),""))</f>
        <v>0</v>
      </c>
      <c r="F629" s="28"/>
      <c r="G629" s="13"/>
      <c r="H629" s="13"/>
      <c r="I629" s="13"/>
      <c r="J629" s="29"/>
      <c r="K629" s="19"/>
      <c r="L629" s="19"/>
      <c r="M629" s="25"/>
      <c r="N629" s="13"/>
      <c r="O629" s="19"/>
      <c r="P629" s="27">
        <f>IF($A629="","",N($J629)*ValorHora)</f>
        <v>0</v>
      </c>
      <c r="Q629" s="27">
        <f>IF($A629="","",SUMIFS(ItTotal,ItOS,$A629))</f>
        <v>0</v>
      </c>
      <c r="R629" s="30">
        <f>IF($A629="","",$P629+$Q629+N($K629)-N($L629))</f>
        <v>0</v>
      </c>
      <c r="S629" s="27">
        <f>IF($A629="","",SUMIFS(ItCusto,ItOS,$A629))</f>
        <v>0</v>
      </c>
      <c r="T629" s="27">
        <f>IF($A629="","",$P629*ComMec)</f>
        <v>0</v>
      </c>
      <c r="U629" s="21">
        <f>IF($A629="","",$R629-$S629-$T629-N($K629))</f>
        <v>0</v>
      </c>
      <c r="V629" s="31">
        <f>IF(OR($A629="",N($R629)&lt;=0),"",$U629/$R629)</f>
        <v>0</v>
      </c>
      <c r="W629" s="27">
        <f>IF($A629="","",IF(OR($I629="Finalizado",$I629="Entregue"),MAX(0,$R629-N($O629)),0))</f>
        <v>0</v>
      </c>
      <c r="X629" s="32">
        <f>IF(OR($A629="",$B629=""),"",IF(OR($I629="Entregue",$I629="Cancelada"),"",Hoje-$B629))</f>
        <v>0</v>
      </c>
      <c r="Y629" s="24">
        <f>IF($A629="","",IF(AND(OR($I629="Aprovado",$I629="Em execução",$I629="Aguardando peça"),N($X629)&gt;PrazoMax),"ATRASADA",IF(AND(OR($I629="Finalizado",$I629="Entregue"),$W629&gt;0.005),"Cobrar",IF($I629="Orçamento","Aguardando aprovação",""))))</f>
        <v>0</v>
      </c>
      <c r="Z629" s="33">
        <f>IF(AND($I629="Entregue",$M629&lt;&gt;""),DATE(YEAR($M629),MONTH($M629),1),"")</f>
        <v>0</v>
      </c>
      <c r="AA629" s="34">
        <f>IF(AND($C629&lt;&gt;"",$C629=HistPlaca),COUNTIF($C$5:$C629,HistPlaca),"")</f>
        <v>0</v>
      </c>
    </row>
    <row r="630" spans="1:27">
      <c r="A630" s="17"/>
      <c r="B630" s="25"/>
      <c r="C630" s="13"/>
      <c r="D630" s="26">
        <f>IF($C630="","",IFERROR(INDEX(VeicCli,MATCH($C630,VeicPlaca,0)),"Placa não cadastrada"))</f>
        <v>0</v>
      </c>
      <c r="E630" s="26">
        <f>IF($C630="","",IFERROR(INDEX(VeicModelo,MATCH($C630,VeicPlaca,0)),""))</f>
        <v>0</v>
      </c>
      <c r="F630" s="28"/>
      <c r="G630" s="13"/>
      <c r="H630" s="13"/>
      <c r="I630" s="13"/>
      <c r="J630" s="29"/>
      <c r="K630" s="19"/>
      <c r="L630" s="19"/>
      <c r="M630" s="25"/>
      <c r="N630" s="13"/>
      <c r="O630" s="19"/>
      <c r="P630" s="27">
        <f>IF($A630="","",N($J630)*ValorHora)</f>
        <v>0</v>
      </c>
      <c r="Q630" s="27">
        <f>IF($A630="","",SUMIFS(ItTotal,ItOS,$A630))</f>
        <v>0</v>
      </c>
      <c r="R630" s="30">
        <f>IF($A630="","",$P630+$Q630+N($K630)-N($L630))</f>
        <v>0</v>
      </c>
      <c r="S630" s="27">
        <f>IF($A630="","",SUMIFS(ItCusto,ItOS,$A630))</f>
        <v>0</v>
      </c>
      <c r="T630" s="27">
        <f>IF($A630="","",$P630*ComMec)</f>
        <v>0</v>
      </c>
      <c r="U630" s="21">
        <f>IF($A630="","",$R630-$S630-$T630-N($K630))</f>
        <v>0</v>
      </c>
      <c r="V630" s="31">
        <f>IF(OR($A630="",N($R630)&lt;=0),"",$U630/$R630)</f>
        <v>0</v>
      </c>
      <c r="W630" s="27">
        <f>IF($A630="","",IF(OR($I630="Finalizado",$I630="Entregue"),MAX(0,$R630-N($O630)),0))</f>
        <v>0</v>
      </c>
      <c r="X630" s="32">
        <f>IF(OR($A630="",$B630=""),"",IF(OR($I630="Entregue",$I630="Cancelada"),"",Hoje-$B630))</f>
        <v>0</v>
      </c>
      <c r="Y630" s="24">
        <f>IF($A630="","",IF(AND(OR($I630="Aprovado",$I630="Em execução",$I630="Aguardando peça"),N($X630)&gt;PrazoMax),"ATRASADA",IF(AND(OR($I630="Finalizado",$I630="Entregue"),$W630&gt;0.005),"Cobrar",IF($I630="Orçamento","Aguardando aprovação",""))))</f>
        <v>0</v>
      </c>
      <c r="Z630" s="33">
        <f>IF(AND($I630="Entregue",$M630&lt;&gt;""),DATE(YEAR($M630),MONTH($M630),1),"")</f>
        <v>0</v>
      </c>
      <c r="AA630" s="34">
        <f>IF(AND($C630&lt;&gt;"",$C630=HistPlaca),COUNTIF($C$5:$C630,HistPlaca),"")</f>
        <v>0</v>
      </c>
    </row>
    <row r="631" spans="1:27">
      <c r="A631" s="17"/>
      <c r="B631" s="25"/>
      <c r="C631" s="13"/>
      <c r="D631" s="26">
        <f>IF($C631="","",IFERROR(INDEX(VeicCli,MATCH($C631,VeicPlaca,0)),"Placa não cadastrada"))</f>
        <v>0</v>
      </c>
      <c r="E631" s="26">
        <f>IF($C631="","",IFERROR(INDEX(VeicModelo,MATCH($C631,VeicPlaca,0)),""))</f>
        <v>0</v>
      </c>
      <c r="F631" s="28"/>
      <c r="G631" s="13"/>
      <c r="H631" s="13"/>
      <c r="I631" s="13"/>
      <c r="J631" s="29"/>
      <c r="K631" s="19"/>
      <c r="L631" s="19"/>
      <c r="M631" s="25"/>
      <c r="N631" s="13"/>
      <c r="O631" s="19"/>
      <c r="P631" s="27">
        <f>IF($A631="","",N($J631)*ValorHora)</f>
        <v>0</v>
      </c>
      <c r="Q631" s="27">
        <f>IF($A631="","",SUMIFS(ItTotal,ItOS,$A631))</f>
        <v>0</v>
      </c>
      <c r="R631" s="30">
        <f>IF($A631="","",$P631+$Q631+N($K631)-N($L631))</f>
        <v>0</v>
      </c>
      <c r="S631" s="27">
        <f>IF($A631="","",SUMIFS(ItCusto,ItOS,$A631))</f>
        <v>0</v>
      </c>
      <c r="T631" s="27">
        <f>IF($A631="","",$P631*ComMec)</f>
        <v>0</v>
      </c>
      <c r="U631" s="21">
        <f>IF($A631="","",$R631-$S631-$T631-N($K631))</f>
        <v>0</v>
      </c>
      <c r="V631" s="31">
        <f>IF(OR($A631="",N($R631)&lt;=0),"",$U631/$R631)</f>
        <v>0</v>
      </c>
      <c r="W631" s="27">
        <f>IF($A631="","",IF(OR($I631="Finalizado",$I631="Entregue"),MAX(0,$R631-N($O631)),0))</f>
        <v>0</v>
      </c>
      <c r="X631" s="32">
        <f>IF(OR($A631="",$B631=""),"",IF(OR($I631="Entregue",$I631="Cancelada"),"",Hoje-$B631))</f>
        <v>0</v>
      </c>
      <c r="Y631" s="24">
        <f>IF($A631="","",IF(AND(OR($I631="Aprovado",$I631="Em execução",$I631="Aguardando peça"),N($X631)&gt;PrazoMax),"ATRASADA",IF(AND(OR($I631="Finalizado",$I631="Entregue"),$W631&gt;0.005),"Cobrar",IF($I631="Orçamento","Aguardando aprovação",""))))</f>
        <v>0</v>
      </c>
      <c r="Z631" s="33">
        <f>IF(AND($I631="Entregue",$M631&lt;&gt;""),DATE(YEAR($M631),MONTH($M631),1),"")</f>
        <v>0</v>
      </c>
      <c r="AA631" s="34">
        <f>IF(AND($C631&lt;&gt;"",$C631=HistPlaca),COUNTIF($C$5:$C631,HistPlaca),"")</f>
        <v>0</v>
      </c>
    </row>
    <row r="632" spans="1:27">
      <c r="A632" s="17"/>
      <c r="B632" s="25"/>
      <c r="C632" s="13"/>
      <c r="D632" s="26">
        <f>IF($C632="","",IFERROR(INDEX(VeicCli,MATCH($C632,VeicPlaca,0)),"Placa não cadastrada"))</f>
        <v>0</v>
      </c>
      <c r="E632" s="26">
        <f>IF($C632="","",IFERROR(INDEX(VeicModelo,MATCH($C632,VeicPlaca,0)),""))</f>
        <v>0</v>
      </c>
      <c r="F632" s="28"/>
      <c r="G632" s="13"/>
      <c r="H632" s="13"/>
      <c r="I632" s="13"/>
      <c r="J632" s="29"/>
      <c r="K632" s="19"/>
      <c r="L632" s="19"/>
      <c r="M632" s="25"/>
      <c r="N632" s="13"/>
      <c r="O632" s="19"/>
      <c r="P632" s="27">
        <f>IF($A632="","",N($J632)*ValorHora)</f>
        <v>0</v>
      </c>
      <c r="Q632" s="27">
        <f>IF($A632="","",SUMIFS(ItTotal,ItOS,$A632))</f>
        <v>0</v>
      </c>
      <c r="R632" s="30">
        <f>IF($A632="","",$P632+$Q632+N($K632)-N($L632))</f>
        <v>0</v>
      </c>
      <c r="S632" s="27">
        <f>IF($A632="","",SUMIFS(ItCusto,ItOS,$A632))</f>
        <v>0</v>
      </c>
      <c r="T632" s="27">
        <f>IF($A632="","",$P632*ComMec)</f>
        <v>0</v>
      </c>
      <c r="U632" s="21">
        <f>IF($A632="","",$R632-$S632-$T632-N($K632))</f>
        <v>0</v>
      </c>
      <c r="V632" s="31">
        <f>IF(OR($A632="",N($R632)&lt;=0),"",$U632/$R632)</f>
        <v>0</v>
      </c>
      <c r="W632" s="27">
        <f>IF($A632="","",IF(OR($I632="Finalizado",$I632="Entregue"),MAX(0,$R632-N($O632)),0))</f>
        <v>0</v>
      </c>
      <c r="X632" s="32">
        <f>IF(OR($A632="",$B632=""),"",IF(OR($I632="Entregue",$I632="Cancelada"),"",Hoje-$B632))</f>
        <v>0</v>
      </c>
      <c r="Y632" s="24">
        <f>IF($A632="","",IF(AND(OR($I632="Aprovado",$I632="Em execução",$I632="Aguardando peça"),N($X632)&gt;PrazoMax),"ATRASADA",IF(AND(OR($I632="Finalizado",$I632="Entregue"),$W632&gt;0.005),"Cobrar",IF($I632="Orçamento","Aguardando aprovação",""))))</f>
        <v>0</v>
      </c>
      <c r="Z632" s="33">
        <f>IF(AND($I632="Entregue",$M632&lt;&gt;""),DATE(YEAR($M632),MONTH($M632),1),"")</f>
        <v>0</v>
      </c>
      <c r="AA632" s="34">
        <f>IF(AND($C632&lt;&gt;"",$C632=HistPlaca),COUNTIF($C$5:$C632,HistPlaca),"")</f>
        <v>0</v>
      </c>
    </row>
    <row r="633" spans="1:27">
      <c r="A633" s="17"/>
      <c r="B633" s="25"/>
      <c r="C633" s="13"/>
      <c r="D633" s="26">
        <f>IF($C633="","",IFERROR(INDEX(VeicCli,MATCH($C633,VeicPlaca,0)),"Placa não cadastrada"))</f>
        <v>0</v>
      </c>
      <c r="E633" s="26">
        <f>IF($C633="","",IFERROR(INDEX(VeicModelo,MATCH($C633,VeicPlaca,0)),""))</f>
        <v>0</v>
      </c>
      <c r="F633" s="28"/>
      <c r="G633" s="13"/>
      <c r="H633" s="13"/>
      <c r="I633" s="13"/>
      <c r="J633" s="29"/>
      <c r="K633" s="19"/>
      <c r="L633" s="19"/>
      <c r="M633" s="25"/>
      <c r="N633" s="13"/>
      <c r="O633" s="19"/>
      <c r="P633" s="27">
        <f>IF($A633="","",N($J633)*ValorHora)</f>
        <v>0</v>
      </c>
      <c r="Q633" s="27">
        <f>IF($A633="","",SUMIFS(ItTotal,ItOS,$A633))</f>
        <v>0</v>
      </c>
      <c r="R633" s="30">
        <f>IF($A633="","",$P633+$Q633+N($K633)-N($L633))</f>
        <v>0</v>
      </c>
      <c r="S633" s="27">
        <f>IF($A633="","",SUMIFS(ItCusto,ItOS,$A633))</f>
        <v>0</v>
      </c>
      <c r="T633" s="27">
        <f>IF($A633="","",$P633*ComMec)</f>
        <v>0</v>
      </c>
      <c r="U633" s="21">
        <f>IF($A633="","",$R633-$S633-$T633-N($K633))</f>
        <v>0</v>
      </c>
      <c r="V633" s="31">
        <f>IF(OR($A633="",N($R633)&lt;=0),"",$U633/$R633)</f>
        <v>0</v>
      </c>
      <c r="W633" s="27">
        <f>IF($A633="","",IF(OR($I633="Finalizado",$I633="Entregue"),MAX(0,$R633-N($O633)),0))</f>
        <v>0</v>
      </c>
      <c r="X633" s="32">
        <f>IF(OR($A633="",$B633=""),"",IF(OR($I633="Entregue",$I633="Cancelada"),"",Hoje-$B633))</f>
        <v>0</v>
      </c>
      <c r="Y633" s="24">
        <f>IF($A633="","",IF(AND(OR($I633="Aprovado",$I633="Em execução",$I633="Aguardando peça"),N($X633)&gt;PrazoMax),"ATRASADA",IF(AND(OR($I633="Finalizado",$I633="Entregue"),$W633&gt;0.005),"Cobrar",IF($I633="Orçamento","Aguardando aprovação",""))))</f>
        <v>0</v>
      </c>
      <c r="Z633" s="33">
        <f>IF(AND($I633="Entregue",$M633&lt;&gt;""),DATE(YEAR($M633),MONTH($M633),1),"")</f>
        <v>0</v>
      </c>
      <c r="AA633" s="34">
        <f>IF(AND($C633&lt;&gt;"",$C633=HistPlaca),COUNTIF($C$5:$C633,HistPlaca),"")</f>
        <v>0</v>
      </c>
    </row>
    <row r="634" spans="1:27">
      <c r="A634" s="17"/>
      <c r="B634" s="25"/>
      <c r="C634" s="13"/>
      <c r="D634" s="26">
        <f>IF($C634="","",IFERROR(INDEX(VeicCli,MATCH($C634,VeicPlaca,0)),"Placa não cadastrada"))</f>
        <v>0</v>
      </c>
      <c r="E634" s="26">
        <f>IF($C634="","",IFERROR(INDEX(VeicModelo,MATCH($C634,VeicPlaca,0)),""))</f>
        <v>0</v>
      </c>
      <c r="F634" s="28"/>
      <c r="G634" s="13"/>
      <c r="H634" s="13"/>
      <c r="I634" s="13"/>
      <c r="J634" s="29"/>
      <c r="K634" s="19"/>
      <c r="L634" s="19"/>
      <c r="M634" s="25"/>
      <c r="N634" s="13"/>
      <c r="O634" s="19"/>
      <c r="P634" s="27">
        <f>IF($A634="","",N($J634)*ValorHora)</f>
        <v>0</v>
      </c>
      <c r="Q634" s="27">
        <f>IF($A634="","",SUMIFS(ItTotal,ItOS,$A634))</f>
        <v>0</v>
      </c>
      <c r="R634" s="30">
        <f>IF($A634="","",$P634+$Q634+N($K634)-N($L634))</f>
        <v>0</v>
      </c>
      <c r="S634" s="27">
        <f>IF($A634="","",SUMIFS(ItCusto,ItOS,$A634))</f>
        <v>0</v>
      </c>
      <c r="T634" s="27">
        <f>IF($A634="","",$P634*ComMec)</f>
        <v>0</v>
      </c>
      <c r="U634" s="21">
        <f>IF($A634="","",$R634-$S634-$T634-N($K634))</f>
        <v>0</v>
      </c>
      <c r="V634" s="31">
        <f>IF(OR($A634="",N($R634)&lt;=0),"",$U634/$R634)</f>
        <v>0</v>
      </c>
      <c r="W634" s="27">
        <f>IF($A634="","",IF(OR($I634="Finalizado",$I634="Entregue"),MAX(0,$R634-N($O634)),0))</f>
        <v>0</v>
      </c>
      <c r="X634" s="32">
        <f>IF(OR($A634="",$B634=""),"",IF(OR($I634="Entregue",$I634="Cancelada"),"",Hoje-$B634))</f>
        <v>0</v>
      </c>
      <c r="Y634" s="24">
        <f>IF($A634="","",IF(AND(OR($I634="Aprovado",$I634="Em execução",$I634="Aguardando peça"),N($X634)&gt;PrazoMax),"ATRASADA",IF(AND(OR($I634="Finalizado",$I634="Entregue"),$W634&gt;0.005),"Cobrar",IF($I634="Orçamento","Aguardando aprovação",""))))</f>
        <v>0</v>
      </c>
      <c r="Z634" s="33">
        <f>IF(AND($I634="Entregue",$M634&lt;&gt;""),DATE(YEAR($M634),MONTH($M634),1),"")</f>
        <v>0</v>
      </c>
      <c r="AA634" s="34">
        <f>IF(AND($C634&lt;&gt;"",$C634=HistPlaca),COUNTIF($C$5:$C634,HistPlaca),"")</f>
        <v>0</v>
      </c>
    </row>
    <row r="635" spans="1:27">
      <c r="A635" s="17"/>
      <c r="B635" s="25"/>
      <c r="C635" s="13"/>
      <c r="D635" s="26">
        <f>IF($C635="","",IFERROR(INDEX(VeicCli,MATCH($C635,VeicPlaca,0)),"Placa não cadastrada"))</f>
        <v>0</v>
      </c>
      <c r="E635" s="26">
        <f>IF($C635="","",IFERROR(INDEX(VeicModelo,MATCH($C635,VeicPlaca,0)),""))</f>
        <v>0</v>
      </c>
      <c r="F635" s="28"/>
      <c r="G635" s="13"/>
      <c r="H635" s="13"/>
      <c r="I635" s="13"/>
      <c r="J635" s="29"/>
      <c r="K635" s="19"/>
      <c r="L635" s="19"/>
      <c r="M635" s="25"/>
      <c r="N635" s="13"/>
      <c r="O635" s="19"/>
      <c r="P635" s="27">
        <f>IF($A635="","",N($J635)*ValorHora)</f>
        <v>0</v>
      </c>
      <c r="Q635" s="27">
        <f>IF($A635="","",SUMIFS(ItTotal,ItOS,$A635))</f>
        <v>0</v>
      </c>
      <c r="R635" s="30">
        <f>IF($A635="","",$P635+$Q635+N($K635)-N($L635))</f>
        <v>0</v>
      </c>
      <c r="S635" s="27">
        <f>IF($A635="","",SUMIFS(ItCusto,ItOS,$A635))</f>
        <v>0</v>
      </c>
      <c r="T635" s="27">
        <f>IF($A635="","",$P635*ComMec)</f>
        <v>0</v>
      </c>
      <c r="U635" s="21">
        <f>IF($A635="","",$R635-$S635-$T635-N($K635))</f>
        <v>0</v>
      </c>
      <c r="V635" s="31">
        <f>IF(OR($A635="",N($R635)&lt;=0),"",$U635/$R635)</f>
        <v>0</v>
      </c>
      <c r="W635" s="27">
        <f>IF($A635="","",IF(OR($I635="Finalizado",$I635="Entregue"),MAX(0,$R635-N($O635)),0))</f>
        <v>0</v>
      </c>
      <c r="X635" s="32">
        <f>IF(OR($A635="",$B635=""),"",IF(OR($I635="Entregue",$I635="Cancelada"),"",Hoje-$B635))</f>
        <v>0</v>
      </c>
      <c r="Y635" s="24">
        <f>IF($A635="","",IF(AND(OR($I635="Aprovado",$I635="Em execução",$I635="Aguardando peça"),N($X635)&gt;PrazoMax),"ATRASADA",IF(AND(OR($I635="Finalizado",$I635="Entregue"),$W635&gt;0.005),"Cobrar",IF($I635="Orçamento","Aguardando aprovação",""))))</f>
        <v>0</v>
      </c>
      <c r="Z635" s="33">
        <f>IF(AND($I635="Entregue",$M635&lt;&gt;""),DATE(YEAR($M635),MONTH($M635),1),"")</f>
        <v>0</v>
      </c>
      <c r="AA635" s="34">
        <f>IF(AND($C635&lt;&gt;"",$C635=HistPlaca),COUNTIF($C$5:$C635,HistPlaca),"")</f>
        <v>0</v>
      </c>
    </row>
    <row r="636" spans="1:27">
      <c r="A636" s="17"/>
      <c r="B636" s="25"/>
      <c r="C636" s="13"/>
      <c r="D636" s="26">
        <f>IF($C636="","",IFERROR(INDEX(VeicCli,MATCH($C636,VeicPlaca,0)),"Placa não cadastrada"))</f>
        <v>0</v>
      </c>
      <c r="E636" s="26">
        <f>IF($C636="","",IFERROR(INDEX(VeicModelo,MATCH($C636,VeicPlaca,0)),""))</f>
        <v>0</v>
      </c>
      <c r="F636" s="28"/>
      <c r="G636" s="13"/>
      <c r="H636" s="13"/>
      <c r="I636" s="13"/>
      <c r="J636" s="29"/>
      <c r="K636" s="19"/>
      <c r="L636" s="19"/>
      <c r="M636" s="25"/>
      <c r="N636" s="13"/>
      <c r="O636" s="19"/>
      <c r="P636" s="27">
        <f>IF($A636="","",N($J636)*ValorHora)</f>
        <v>0</v>
      </c>
      <c r="Q636" s="27">
        <f>IF($A636="","",SUMIFS(ItTotal,ItOS,$A636))</f>
        <v>0</v>
      </c>
      <c r="R636" s="30">
        <f>IF($A636="","",$P636+$Q636+N($K636)-N($L636))</f>
        <v>0</v>
      </c>
      <c r="S636" s="27">
        <f>IF($A636="","",SUMIFS(ItCusto,ItOS,$A636))</f>
        <v>0</v>
      </c>
      <c r="T636" s="27">
        <f>IF($A636="","",$P636*ComMec)</f>
        <v>0</v>
      </c>
      <c r="U636" s="21">
        <f>IF($A636="","",$R636-$S636-$T636-N($K636))</f>
        <v>0</v>
      </c>
      <c r="V636" s="31">
        <f>IF(OR($A636="",N($R636)&lt;=0),"",$U636/$R636)</f>
        <v>0</v>
      </c>
      <c r="W636" s="27">
        <f>IF($A636="","",IF(OR($I636="Finalizado",$I636="Entregue"),MAX(0,$R636-N($O636)),0))</f>
        <v>0</v>
      </c>
      <c r="X636" s="32">
        <f>IF(OR($A636="",$B636=""),"",IF(OR($I636="Entregue",$I636="Cancelada"),"",Hoje-$B636))</f>
        <v>0</v>
      </c>
      <c r="Y636" s="24">
        <f>IF($A636="","",IF(AND(OR($I636="Aprovado",$I636="Em execução",$I636="Aguardando peça"),N($X636)&gt;PrazoMax),"ATRASADA",IF(AND(OR($I636="Finalizado",$I636="Entregue"),$W636&gt;0.005),"Cobrar",IF($I636="Orçamento","Aguardando aprovação",""))))</f>
        <v>0</v>
      </c>
      <c r="Z636" s="33">
        <f>IF(AND($I636="Entregue",$M636&lt;&gt;""),DATE(YEAR($M636),MONTH($M636),1),"")</f>
        <v>0</v>
      </c>
      <c r="AA636" s="34">
        <f>IF(AND($C636&lt;&gt;"",$C636=HistPlaca),COUNTIF($C$5:$C636,HistPlaca),"")</f>
        <v>0</v>
      </c>
    </row>
    <row r="637" spans="1:27">
      <c r="A637" s="17"/>
      <c r="B637" s="25"/>
      <c r="C637" s="13"/>
      <c r="D637" s="26">
        <f>IF($C637="","",IFERROR(INDEX(VeicCli,MATCH($C637,VeicPlaca,0)),"Placa não cadastrada"))</f>
        <v>0</v>
      </c>
      <c r="E637" s="26">
        <f>IF($C637="","",IFERROR(INDEX(VeicModelo,MATCH($C637,VeicPlaca,0)),""))</f>
        <v>0</v>
      </c>
      <c r="F637" s="28"/>
      <c r="G637" s="13"/>
      <c r="H637" s="13"/>
      <c r="I637" s="13"/>
      <c r="J637" s="29"/>
      <c r="K637" s="19"/>
      <c r="L637" s="19"/>
      <c r="M637" s="25"/>
      <c r="N637" s="13"/>
      <c r="O637" s="19"/>
      <c r="P637" s="27">
        <f>IF($A637="","",N($J637)*ValorHora)</f>
        <v>0</v>
      </c>
      <c r="Q637" s="27">
        <f>IF($A637="","",SUMIFS(ItTotal,ItOS,$A637))</f>
        <v>0</v>
      </c>
      <c r="R637" s="30">
        <f>IF($A637="","",$P637+$Q637+N($K637)-N($L637))</f>
        <v>0</v>
      </c>
      <c r="S637" s="27">
        <f>IF($A637="","",SUMIFS(ItCusto,ItOS,$A637))</f>
        <v>0</v>
      </c>
      <c r="T637" s="27">
        <f>IF($A637="","",$P637*ComMec)</f>
        <v>0</v>
      </c>
      <c r="U637" s="21">
        <f>IF($A637="","",$R637-$S637-$T637-N($K637))</f>
        <v>0</v>
      </c>
      <c r="V637" s="31">
        <f>IF(OR($A637="",N($R637)&lt;=0),"",$U637/$R637)</f>
        <v>0</v>
      </c>
      <c r="W637" s="27">
        <f>IF($A637="","",IF(OR($I637="Finalizado",$I637="Entregue"),MAX(0,$R637-N($O637)),0))</f>
        <v>0</v>
      </c>
      <c r="X637" s="32">
        <f>IF(OR($A637="",$B637=""),"",IF(OR($I637="Entregue",$I637="Cancelada"),"",Hoje-$B637))</f>
        <v>0</v>
      </c>
      <c r="Y637" s="24">
        <f>IF($A637="","",IF(AND(OR($I637="Aprovado",$I637="Em execução",$I637="Aguardando peça"),N($X637)&gt;PrazoMax),"ATRASADA",IF(AND(OR($I637="Finalizado",$I637="Entregue"),$W637&gt;0.005),"Cobrar",IF($I637="Orçamento","Aguardando aprovação",""))))</f>
        <v>0</v>
      </c>
      <c r="Z637" s="33">
        <f>IF(AND($I637="Entregue",$M637&lt;&gt;""),DATE(YEAR($M637),MONTH($M637),1),"")</f>
        <v>0</v>
      </c>
      <c r="AA637" s="34">
        <f>IF(AND($C637&lt;&gt;"",$C637=HistPlaca),COUNTIF($C$5:$C637,HistPlaca),"")</f>
        <v>0</v>
      </c>
    </row>
    <row r="638" spans="1:27">
      <c r="A638" s="17"/>
      <c r="B638" s="25"/>
      <c r="C638" s="13"/>
      <c r="D638" s="26">
        <f>IF($C638="","",IFERROR(INDEX(VeicCli,MATCH($C638,VeicPlaca,0)),"Placa não cadastrada"))</f>
        <v>0</v>
      </c>
      <c r="E638" s="26">
        <f>IF($C638="","",IFERROR(INDEX(VeicModelo,MATCH($C638,VeicPlaca,0)),""))</f>
        <v>0</v>
      </c>
      <c r="F638" s="28"/>
      <c r="G638" s="13"/>
      <c r="H638" s="13"/>
      <c r="I638" s="13"/>
      <c r="J638" s="29"/>
      <c r="K638" s="19"/>
      <c r="L638" s="19"/>
      <c r="M638" s="25"/>
      <c r="N638" s="13"/>
      <c r="O638" s="19"/>
      <c r="P638" s="27">
        <f>IF($A638="","",N($J638)*ValorHora)</f>
        <v>0</v>
      </c>
      <c r="Q638" s="27">
        <f>IF($A638="","",SUMIFS(ItTotal,ItOS,$A638))</f>
        <v>0</v>
      </c>
      <c r="R638" s="30">
        <f>IF($A638="","",$P638+$Q638+N($K638)-N($L638))</f>
        <v>0</v>
      </c>
      <c r="S638" s="27">
        <f>IF($A638="","",SUMIFS(ItCusto,ItOS,$A638))</f>
        <v>0</v>
      </c>
      <c r="T638" s="27">
        <f>IF($A638="","",$P638*ComMec)</f>
        <v>0</v>
      </c>
      <c r="U638" s="21">
        <f>IF($A638="","",$R638-$S638-$T638-N($K638))</f>
        <v>0</v>
      </c>
      <c r="V638" s="31">
        <f>IF(OR($A638="",N($R638)&lt;=0),"",$U638/$R638)</f>
        <v>0</v>
      </c>
      <c r="W638" s="27">
        <f>IF($A638="","",IF(OR($I638="Finalizado",$I638="Entregue"),MAX(0,$R638-N($O638)),0))</f>
        <v>0</v>
      </c>
      <c r="X638" s="32">
        <f>IF(OR($A638="",$B638=""),"",IF(OR($I638="Entregue",$I638="Cancelada"),"",Hoje-$B638))</f>
        <v>0</v>
      </c>
      <c r="Y638" s="24">
        <f>IF($A638="","",IF(AND(OR($I638="Aprovado",$I638="Em execução",$I638="Aguardando peça"),N($X638)&gt;PrazoMax),"ATRASADA",IF(AND(OR($I638="Finalizado",$I638="Entregue"),$W638&gt;0.005),"Cobrar",IF($I638="Orçamento","Aguardando aprovação",""))))</f>
        <v>0</v>
      </c>
      <c r="Z638" s="33">
        <f>IF(AND($I638="Entregue",$M638&lt;&gt;""),DATE(YEAR($M638),MONTH($M638),1),"")</f>
        <v>0</v>
      </c>
      <c r="AA638" s="34">
        <f>IF(AND($C638&lt;&gt;"",$C638=HistPlaca),COUNTIF($C$5:$C638,HistPlaca),"")</f>
        <v>0</v>
      </c>
    </row>
    <row r="639" spans="1:27">
      <c r="A639" s="17"/>
      <c r="B639" s="25"/>
      <c r="C639" s="13"/>
      <c r="D639" s="26">
        <f>IF($C639="","",IFERROR(INDEX(VeicCli,MATCH($C639,VeicPlaca,0)),"Placa não cadastrada"))</f>
        <v>0</v>
      </c>
      <c r="E639" s="26">
        <f>IF($C639="","",IFERROR(INDEX(VeicModelo,MATCH($C639,VeicPlaca,0)),""))</f>
        <v>0</v>
      </c>
      <c r="F639" s="28"/>
      <c r="G639" s="13"/>
      <c r="H639" s="13"/>
      <c r="I639" s="13"/>
      <c r="J639" s="29"/>
      <c r="K639" s="19"/>
      <c r="L639" s="19"/>
      <c r="M639" s="25"/>
      <c r="N639" s="13"/>
      <c r="O639" s="19"/>
      <c r="P639" s="27">
        <f>IF($A639="","",N($J639)*ValorHora)</f>
        <v>0</v>
      </c>
      <c r="Q639" s="27">
        <f>IF($A639="","",SUMIFS(ItTotal,ItOS,$A639))</f>
        <v>0</v>
      </c>
      <c r="R639" s="30">
        <f>IF($A639="","",$P639+$Q639+N($K639)-N($L639))</f>
        <v>0</v>
      </c>
      <c r="S639" s="27">
        <f>IF($A639="","",SUMIFS(ItCusto,ItOS,$A639))</f>
        <v>0</v>
      </c>
      <c r="T639" s="27">
        <f>IF($A639="","",$P639*ComMec)</f>
        <v>0</v>
      </c>
      <c r="U639" s="21">
        <f>IF($A639="","",$R639-$S639-$T639-N($K639))</f>
        <v>0</v>
      </c>
      <c r="V639" s="31">
        <f>IF(OR($A639="",N($R639)&lt;=0),"",$U639/$R639)</f>
        <v>0</v>
      </c>
      <c r="W639" s="27">
        <f>IF($A639="","",IF(OR($I639="Finalizado",$I639="Entregue"),MAX(0,$R639-N($O639)),0))</f>
        <v>0</v>
      </c>
      <c r="X639" s="32">
        <f>IF(OR($A639="",$B639=""),"",IF(OR($I639="Entregue",$I639="Cancelada"),"",Hoje-$B639))</f>
        <v>0</v>
      </c>
      <c r="Y639" s="24">
        <f>IF($A639="","",IF(AND(OR($I639="Aprovado",$I639="Em execução",$I639="Aguardando peça"),N($X639)&gt;PrazoMax),"ATRASADA",IF(AND(OR($I639="Finalizado",$I639="Entregue"),$W639&gt;0.005),"Cobrar",IF($I639="Orçamento","Aguardando aprovação",""))))</f>
        <v>0</v>
      </c>
      <c r="Z639" s="33">
        <f>IF(AND($I639="Entregue",$M639&lt;&gt;""),DATE(YEAR($M639),MONTH($M639),1),"")</f>
        <v>0</v>
      </c>
      <c r="AA639" s="34">
        <f>IF(AND($C639&lt;&gt;"",$C639=HistPlaca),COUNTIF($C$5:$C639,HistPlaca),"")</f>
        <v>0</v>
      </c>
    </row>
    <row r="640" spans="1:27">
      <c r="A640" s="17"/>
      <c r="B640" s="25"/>
      <c r="C640" s="13"/>
      <c r="D640" s="26">
        <f>IF($C640="","",IFERROR(INDEX(VeicCli,MATCH($C640,VeicPlaca,0)),"Placa não cadastrada"))</f>
        <v>0</v>
      </c>
      <c r="E640" s="26">
        <f>IF($C640="","",IFERROR(INDEX(VeicModelo,MATCH($C640,VeicPlaca,0)),""))</f>
        <v>0</v>
      </c>
      <c r="F640" s="28"/>
      <c r="G640" s="13"/>
      <c r="H640" s="13"/>
      <c r="I640" s="13"/>
      <c r="J640" s="29"/>
      <c r="K640" s="19"/>
      <c r="L640" s="19"/>
      <c r="M640" s="25"/>
      <c r="N640" s="13"/>
      <c r="O640" s="19"/>
      <c r="P640" s="27">
        <f>IF($A640="","",N($J640)*ValorHora)</f>
        <v>0</v>
      </c>
      <c r="Q640" s="27">
        <f>IF($A640="","",SUMIFS(ItTotal,ItOS,$A640))</f>
        <v>0</v>
      </c>
      <c r="R640" s="30">
        <f>IF($A640="","",$P640+$Q640+N($K640)-N($L640))</f>
        <v>0</v>
      </c>
      <c r="S640" s="27">
        <f>IF($A640="","",SUMIFS(ItCusto,ItOS,$A640))</f>
        <v>0</v>
      </c>
      <c r="T640" s="27">
        <f>IF($A640="","",$P640*ComMec)</f>
        <v>0</v>
      </c>
      <c r="U640" s="21">
        <f>IF($A640="","",$R640-$S640-$T640-N($K640))</f>
        <v>0</v>
      </c>
      <c r="V640" s="31">
        <f>IF(OR($A640="",N($R640)&lt;=0),"",$U640/$R640)</f>
        <v>0</v>
      </c>
      <c r="W640" s="27">
        <f>IF($A640="","",IF(OR($I640="Finalizado",$I640="Entregue"),MAX(0,$R640-N($O640)),0))</f>
        <v>0</v>
      </c>
      <c r="X640" s="32">
        <f>IF(OR($A640="",$B640=""),"",IF(OR($I640="Entregue",$I640="Cancelada"),"",Hoje-$B640))</f>
        <v>0</v>
      </c>
      <c r="Y640" s="24">
        <f>IF($A640="","",IF(AND(OR($I640="Aprovado",$I640="Em execução",$I640="Aguardando peça"),N($X640)&gt;PrazoMax),"ATRASADA",IF(AND(OR($I640="Finalizado",$I640="Entregue"),$W640&gt;0.005),"Cobrar",IF($I640="Orçamento","Aguardando aprovação",""))))</f>
        <v>0</v>
      </c>
      <c r="Z640" s="33">
        <f>IF(AND($I640="Entregue",$M640&lt;&gt;""),DATE(YEAR($M640),MONTH($M640),1),"")</f>
        <v>0</v>
      </c>
      <c r="AA640" s="34">
        <f>IF(AND($C640&lt;&gt;"",$C640=HistPlaca),COUNTIF($C$5:$C640,HistPlaca),"")</f>
        <v>0</v>
      </c>
    </row>
    <row r="641" spans="1:27">
      <c r="A641" s="17"/>
      <c r="B641" s="25"/>
      <c r="C641" s="13"/>
      <c r="D641" s="26">
        <f>IF($C641="","",IFERROR(INDEX(VeicCli,MATCH($C641,VeicPlaca,0)),"Placa não cadastrada"))</f>
        <v>0</v>
      </c>
      <c r="E641" s="26">
        <f>IF($C641="","",IFERROR(INDEX(VeicModelo,MATCH($C641,VeicPlaca,0)),""))</f>
        <v>0</v>
      </c>
      <c r="F641" s="28"/>
      <c r="G641" s="13"/>
      <c r="H641" s="13"/>
      <c r="I641" s="13"/>
      <c r="J641" s="29"/>
      <c r="K641" s="19"/>
      <c r="L641" s="19"/>
      <c r="M641" s="25"/>
      <c r="N641" s="13"/>
      <c r="O641" s="19"/>
      <c r="P641" s="27">
        <f>IF($A641="","",N($J641)*ValorHora)</f>
        <v>0</v>
      </c>
      <c r="Q641" s="27">
        <f>IF($A641="","",SUMIFS(ItTotal,ItOS,$A641))</f>
        <v>0</v>
      </c>
      <c r="R641" s="30">
        <f>IF($A641="","",$P641+$Q641+N($K641)-N($L641))</f>
        <v>0</v>
      </c>
      <c r="S641" s="27">
        <f>IF($A641="","",SUMIFS(ItCusto,ItOS,$A641))</f>
        <v>0</v>
      </c>
      <c r="T641" s="27">
        <f>IF($A641="","",$P641*ComMec)</f>
        <v>0</v>
      </c>
      <c r="U641" s="21">
        <f>IF($A641="","",$R641-$S641-$T641-N($K641))</f>
        <v>0</v>
      </c>
      <c r="V641" s="31">
        <f>IF(OR($A641="",N($R641)&lt;=0),"",$U641/$R641)</f>
        <v>0</v>
      </c>
      <c r="W641" s="27">
        <f>IF($A641="","",IF(OR($I641="Finalizado",$I641="Entregue"),MAX(0,$R641-N($O641)),0))</f>
        <v>0</v>
      </c>
      <c r="X641" s="32">
        <f>IF(OR($A641="",$B641=""),"",IF(OR($I641="Entregue",$I641="Cancelada"),"",Hoje-$B641))</f>
        <v>0</v>
      </c>
      <c r="Y641" s="24">
        <f>IF($A641="","",IF(AND(OR($I641="Aprovado",$I641="Em execução",$I641="Aguardando peça"),N($X641)&gt;PrazoMax),"ATRASADA",IF(AND(OR($I641="Finalizado",$I641="Entregue"),$W641&gt;0.005),"Cobrar",IF($I641="Orçamento","Aguardando aprovação",""))))</f>
        <v>0</v>
      </c>
      <c r="Z641" s="33">
        <f>IF(AND($I641="Entregue",$M641&lt;&gt;""),DATE(YEAR($M641),MONTH($M641),1),"")</f>
        <v>0</v>
      </c>
      <c r="AA641" s="34">
        <f>IF(AND($C641&lt;&gt;"",$C641=HistPlaca),COUNTIF($C$5:$C641,HistPlaca),"")</f>
        <v>0</v>
      </c>
    </row>
    <row r="642" spans="1:27">
      <c r="A642" s="17"/>
      <c r="B642" s="25"/>
      <c r="C642" s="13"/>
      <c r="D642" s="26">
        <f>IF($C642="","",IFERROR(INDEX(VeicCli,MATCH($C642,VeicPlaca,0)),"Placa não cadastrada"))</f>
        <v>0</v>
      </c>
      <c r="E642" s="26">
        <f>IF($C642="","",IFERROR(INDEX(VeicModelo,MATCH($C642,VeicPlaca,0)),""))</f>
        <v>0</v>
      </c>
      <c r="F642" s="28"/>
      <c r="G642" s="13"/>
      <c r="H642" s="13"/>
      <c r="I642" s="13"/>
      <c r="J642" s="29"/>
      <c r="K642" s="19"/>
      <c r="L642" s="19"/>
      <c r="M642" s="25"/>
      <c r="N642" s="13"/>
      <c r="O642" s="19"/>
      <c r="P642" s="27">
        <f>IF($A642="","",N($J642)*ValorHora)</f>
        <v>0</v>
      </c>
      <c r="Q642" s="27">
        <f>IF($A642="","",SUMIFS(ItTotal,ItOS,$A642))</f>
        <v>0</v>
      </c>
      <c r="R642" s="30">
        <f>IF($A642="","",$P642+$Q642+N($K642)-N($L642))</f>
        <v>0</v>
      </c>
      <c r="S642" s="27">
        <f>IF($A642="","",SUMIFS(ItCusto,ItOS,$A642))</f>
        <v>0</v>
      </c>
      <c r="T642" s="27">
        <f>IF($A642="","",$P642*ComMec)</f>
        <v>0</v>
      </c>
      <c r="U642" s="21">
        <f>IF($A642="","",$R642-$S642-$T642-N($K642))</f>
        <v>0</v>
      </c>
      <c r="V642" s="31">
        <f>IF(OR($A642="",N($R642)&lt;=0),"",$U642/$R642)</f>
        <v>0</v>
      </c>
      <c r="W642" s="27">
        <f>IF($A642="","",IF(OR($I642="Finalizado",$I642="Entregue"),MAX(0,$R642-N($O642)),0))</f>
        <v>0</v>
      </c>
      <c r="X642" s="32">
        <f>IF(OR($A642="",$B642=""),"",IF(OR($I642="Entregue",$I642="Cancelada"),"",Hoje-$B642))</f>
        <v>0</v>
      </c>
      <c r="Y642" s="24">
        <f>IF($A642="","",IF(AND(OR($I642="Aprovado",$I642="Em execução",$I642="Aguardando peça"),N($X642)&gt;PrazoMax),"ATRASADA",IF(AND(OR($I642="Finalizado",$I642="Entregue"),$W642&gt;0.005),"Cobrar",IF($I642="Orçamento","Aguardando aprovação",""))))</f>
        <v>0</v>
      </c>
      <c r="Z642" s="33">
        <f>IF(AND($I642="Entregue",$M642&lt;&gt;""),DATE(YEAR($M642),MONTH($M642),1),"")</f>
        <v>0</v>
      </c>
      <c r="AA642" s="34">
        <f>IF(AND($C642&lt;&gt;"",$C642=HistPlaca),COUNTIF($C$5:$C642,HistPlaca),"")</f>
        <v>0</v>
      </c>
    </row>
    <row r="643" spans="1:27">
      <c r="A643" s="17"/>
      <c r="B643" s="25"/>
      <c r="C643" s="13"/>
      <c r="D643" s="26">
        <f>IF($C643="","",IFERROR(INDEX(VeicCli,MATCH($C643,VeicPlaca,0)),"Placa não cadastrada"))</f>
        <v>0</v>
      </c>
      <c r="E643" s="26">
        <f>IF($C643="","",IFERROR(INDEX(VeicModelo,MATCH($C643,VeicPlaca,0)),""))</f>
        <v>0</v>
      </c>
      <c r="F643" s="28"/>
      <c r="G643" s="13"/>
      <c r="H643" s="13"/>
      <c r="I643" s="13"/>
      <c r="J643" s="29"/>
      <c r="K643" s="19"/>
      <c r="L643" s="19"/>
      <c r="M643" s="25"/>
      <c r="N643" s="13"/>
      <c r="O643" s="19"/>
      <c r="P643" s="27">
        <f>IF($A643="","",N($J643)*ValorHora)</f>
        <v>0</v>
      </c>
      <c r="Q643" s="27">
        <f>IF($A643="","",SUMIFS(ItTotal,ItOS,$A643))</f>
        <v>0</v>
      </c>
      <c r="R643" s="30">
        <f>IF($A643="","",$P643+$Q643+N($K643)-N($L643))</f>
        <v>0</v>
      </c>
      <c r="S643" s="27">
        <f>IF($A643="","",SUMIFS(ItCusto,ItOS,$A643))</f>
        <v>0</v>
      </c>
      <c r="T643" s="27">
        <f>IF($A643="","",$P643*ComMec)</f>
        <v>0</v>
      </c>
      <c r="U643" s="21">
        <f>IF($A643="","",$R643-$S643-$T643-N($K643))</f>
        <v>0</v>
      </c>
      <c r="V643" s="31">
        <f>IF(OR($A643="",N($R643)&lt;=0),"",$U643/$R643)</f>
        <v>0</v>
      </c>
      <c r="W643" s="27">
        <f>IF($A643="","",IF(OR($I643="Finalizado",$I643="Entregue"),MAX(0,$R643-N($O643)),0))</f>
        <v>0</v>
      </c>
      <c r="X643" s="32">
        <f>IF(OR($A643="",$B643=""),"",IF(OR($I643="Entregue",$I643="Cancelada"),"",Hoje-$B643))</f>
        <v>0</v>
      </c>
      <c r="Y643" s="24">
        <f>IF($A643="","",IF(AND(OR($I643="Aprovado",$I643="Em execução",$I643="Aguardando peça"),N($X643)&gt;PrazoMax),"ATRASADA",IF(AND(OR($I643="Finalizado",$I643="Entregue"),$W643&gt;0.005),"Cobrar",IF($I643="Orçamento","Aguardando aprovação",""))))</f>
        <v>0</v>
      </c>
      <c r="Z643" s="33">
        <f>IF(AND($I643="Entregue",$M643&lt;&gt;""),DATE(YEAR($M643),MONTH($M643),1),"")</f>
        <v>0</v>
      </c>
      <c r="AA643" s="34">
        <f>IF(AND($C643&lt;&gt;"",$C643=HistPlaca),COUNTIF($C$5:$C643,HistPlaca),"")</f>
        <v>0</v>
      </c>
    </row>
    <row r="644" spans="1:27">
      <c r="A644" s="17"/>
      <c r="B644" s="25"/>
      <c r="C644" s="13"/>
      <c r="D644" s="26">
        <f>IF($C644="","",IFERROR(INDEX(VeicCli,MATCH($C644,VeicPlaca,0)),"Placa não cadastrada"))</f>
        <v>0</v>
      </c>
      <c r="E644" s="26">
        <f>IF($C644="","",IFERROR(INDEX(VeicModelo,MATCH($C644,VeicPlaca,0)),""))</f>
        <v>0</v>
      </c>
      <c r="F644" s="28"/>
      <c r="G644" s="13"/>
      <c r="H644" s="13"/>
      <c r="I644" s="13"/>
      <c r="J644" s="29"/>
      <c r="K644" s="19"/>
      <c r="L644" s="19"/>
      <c r="M644" s="25"/>
      <c r="N644" s="13"/>
      <c r="O644" s="19"/>
      <c r="P644" s="27">
        <f>IF($A644="","",N($J644)*ValorHora)</f>
        <v>0</v>
      </c>
      <c r="Q644" s="27">
        <f>IF($A644="","",SUMIFS(ItTotal,ItOS,$A644))</f>
        <v>0</v>
      </c>
      <c r="R644" s="30">
        <f>IF($A644="","",$P644+$Q644+N($K644)-N($L644))</f>
        <v>0</v>
      </c>
      <c r="S644" s="27">
        <f>IF($A644="","",SUMIFS(ItCusto,ItOS,$A644))</f>
        <v>0</v>
      </c>
      <c r="T644" s="27">
        <f>IF($A644="","",$P644*ComMec)</f>
        <v>0</v>
      </c>
      <c r="U644" s="21">
        <f>IF($A644="","",$R644-$S644-$T644-N($K644))</f>
        <v>0</v>
      </c>
      <c r="V644" s="31">
        <f>IF(OR($A644="",N($R644)&lt;=0),"",$U644/$R644)</f>
        <v>0</v>
      </c>
      <c r="W644" s="27">
        <f>IF($A644="","",IF(OR($I644="Finalizado",$I644="Entregue"),MAX(0,$R644-N($O644)),0))</f>
        <v>0</v>
      </c>
      <c r="X644" s="32">
        <f>IF(OR($A644="",$B644=""),"",IF(OR($I644="Entregue",$I644="Cancelada"),"",Hoje-$B644))</f>
        <v>0</v>
      </c>
      <c r="Y644" s="24">
        <f>IF($A644="","",IF(AND(OR($I644="Aprovado",$I644="Em execução",$I644="Aguardando peça"),N($X644)&gt;PrazoMax),"ATRASADA",IF(AND(OR($I644="Finalizado",$I644="Entregue"),$W644&gt;0.005),"Cobrar",IF($I644="Orçamento","Aguardando aprovação",""))))</f>
        <v>0</v>
      </c>
      <c r="Z644" s="33">
        <f>IF(AND($I644="Entregue",$M644&lt;&gt;""),DATE(YEAR($M644),MONTH($M644),1),"")</f>
        <v>0</v>
      </c>
      <c r="AA644" s="34">
        <f>IF(AND($C644&lt;&gt;"",$C644=HistPlaca),COUNTIF($C$5:$C644,HistPlaca),"")</f>
        <v>0</v>
      </c>
    </row>
    <row r="645" spans="1:27">
      <c r="A645" s="17"/>
      <c r="B645" s="25"/>
      <c r="C645" s="13"/>
      <c r="D645" s="26">
        <f>IF($C645="","",IFERROR(INDEX(VeicCli,MATCH($C645,VeicPlaca,0)),"Placa não cadastrada"))</f>
        <v>0</v>
      </c>
      <c r="E645" s="26">
        <f>IF($C645="","",IFERROR(INDEX(VeicModelo,MATCH($C645,VeicPlaca,0)),""))</f>
        <v>0</v>
      </c>
      <c r="F645" s="28"/>
      <c r="G645" s="13"/>
      <c r="H645" s="13"/>
      <c r="I645" s="13"/>
      <c r="J645" s="29"/>
      <c r="K645" s="19"/>
      <c r="L645" s="19"/>
      <c r="M645" s="25"/>
      <c r="N645" s="13"/>
      <c r="O645" s="19"/>
      <c r="P645" s="27">
        <f>IF($A645="","",N($J645)*ValorHora)</f>
        <v>0</v>
      </c>
      <c r="Q645" s="27">
        <f>IF($A645="","",SUMIFS(ItTotal,ItOS,$A645))</f>
        <v>0</v>
      </c>
      <c r="R645" s="30">
        <f>IF($A645="","",$P645+$Q645+N($K645)-N($L645))</f>
        <v>0</v>
      </c>
      <c r="S645" s="27">
        <f>IF($A645="","",SUMIFS(ItCusto,ItOS,$A645))</f>
        <v>0</v>
      </c>
      <c r="T645" s="27">
        <f>IF($A645="","",$P645*ComMec)</f>
        <v>0</v>
      </c>
      <c r="U645" s="21">
        <f>IF($A645="","",$R645-$S645-$T645-N($K645))</f>
        <v>0</v>
      </c>
      <c r="V645" s="31">
        <f>IF(OR($A645="",N($R645)&lt;=0),"",$U645/$R645)</f>
        <v>0</v>
      </c>
      <c r="W645" s="27">
        <f>IF($A645="","",IF(OR($I645="Finalizado",$I645="Entregue"),MAX(0,$R645-N($O645)),0))</f>
        <v>0</v>
      </c>
      <c r="X645" s="32">
        <f>IF(OR($A645="",$B645=""),"",IF(OR($I645="Entregue",$I645="Cancelada"),"",Hoje-$B645))</f>
        <v>0</v>
      </c>
      <c r="Y645" s="24">
        <f>IF($A645="","",IF(AND(OR($I645="Aprovado",$I645="Em execução",$I645="Aguardando peça"),N($X645)&gt;PrazoMax),"ATRASADA",IF(AND(OR($I645="Finalizado",$I645="Entregue"),$W645&gt;0.005),"Cobrar",IF($I645="Orçamento","Aguardando aprovação",""))))</f>
        <v>0</v>
      </c>
      <c r="Z645" s="33">
        <f>IF(AND($I645="Entregue",$M645&lt;&gt;""),DATE(YEAR($M645),MONTH($M645),1),"")</f>
        <v>0</v>
      </c>
      <c r="AA645" s="34">
        <f>IF(AND($C645&lt;&gt;"",$C645=HistPlaca),COUNTIF($C$5:$C645,HistPlaca),"")</f>
        <v>0</v>
      </c>
    </row>
    <row r="646" spans="1:27">
      <c r="A646" s="17"/>
      <c r="B646" s="25"/>
      <c r="C646" s="13"/>
      <c r="D646" s="26">
        <f>IF($C646="","",IFERROR(INDEX(VeicCli,MATCH($C646,VeicPlaca,0)),"Placa não cadastrada"))</f>
        <v>0</v>
      </c>
      <c r="E646" s="26">
        <f>IF($C646="","",IFERROR(INDEX(VeicModelo,MATCH($C646,VeicPlaca,0)),""))</f>
        <v>0</v>
      </c>
      <c r="F646" s="28"/>
      <c r="G646" s="13"/>
      <c r="H646" s="13"/>
      <c r="I646" s="13"/>
      <c r="J646" s="29"/>
      <c r="K646" s="19"/>
      <c r="L646" s="19"/>
      <c r="M646" s="25"/>
      <c r="N646" s="13"/>
      <c r="O646" s="19"/>
      <c r="P646" s="27">
        <f>IF($A646="","",N($J646)*ValorHora)</f>
        <v>0</v>
      </c>
      <c r="Q646" s="27">
        <f>IF($A646="","",SUMIFS(ItTotal,ItOS,$A646))</f>
        <v>0</v>
      </c>
      <c r="R646" s="30">
        <f>IF($A646="","",$P646+$Q646+N($K646)-N($L646))</f>
        <v>0</v>
      </c>
      <c r="S646" s="27">
        <f>IF($A646="","",SUMIFS(ItCusto,ItOS,$A646))</f>
        <v>0</v>
      </c>
      <c r="T646" s="27">
        <f>IF($A646="","",$P646*ComMec)</f>
        <v>0</v>
      </c>
      <c r="U646" s="21">
        <f>IF($A646="","",$R646-$S646-$T646-N($K646))</f>
        <v>0</v>
      </c>
      <c r="V646" s="31">
        <f>IF(OR($A646="",N($R646)&lt;=0),"",$U646/$R646)</f>
        <v>0</v>
      </c>
      <c r="W646" s="27">
        <f>IF($A646="","",IF(OR($I646="Finalizado",$I646="Entregue"),MAX(0,$R646-N($O646)),0))</f>
        <v>0</v>
      </c>
      <c r="X646" s="32">
        <f>IF(OR($A646="",$B646=""),"",IF(OR($I646="Entregue",$I646="Cancelada"),"",Hoje-$B646))</f>
        <v>0</v>
      </c>
      <c r="Y646" s="24">
        <f>IF($A646="","",IF(AND(OR($I646="Aprovado",$I646="Em execução",$I646="Aguardando peça"),N($X646)&gt;PrazoMax),"ATRASADA",IF(AND(OR($I646="Finalizado",$I646="Entregue"),$W646&gt;0.005),"Cobrar",IF($I646="Orçamento","Aguardando aprovação",""))))</f>
        <v>0</v>
      </c>
      <c r="Z646" s="33">
        <f>IF(AND($I646="Entregue",$M646&lt;&gt;""),DATE(YEAR($M646),MONTH($M646),1),"")</f>
        <v>0</v>
      </c>
      <c r="AA646" s="34">
        <f>IF(AND($C646&lt;&gt;"",$C646=HistPlaca),COUNTIF($C$5:$C646,HistPlaca),"")</f>
        <v>0</v>
      </c>
    </row>
    <row r="647" spans="1:27">
      <c r="A647" s="17"/>
      <c r="B647" s="25"/>
      <c r="C647" s="13"/>
      <c r="D647" s="26">
        <f>IF($C647="","",IFERROR(INDEX(VeicCli,MATCH($C647,VeicPlaca,0)),"Placa não cadastrada"))</f>
        <v>0</v>
      </c>
      <c r="E647" s="26">
        <f>IF($C647="","",IFERROR(INDEX(VeicModelo,MATCH($C647,VeicPlaca,0)),""))</f>
        <v>0</v>
      </c>
      <c r="F647" s="28"/>
      <c r="G647" s="13"/>
      <c r="H647" s="13"/>
      <c r="I647" s="13"/>
      <c r="J647" s="29"/>
      <c r="K647" s="19"/>
      <c r="L647" s="19"/>
      <c r="M647" s="25"/>
      <c r="N647" s="13"/>
      <c r="O647" s="19"/>
      <c r="P647" s="27">
        <f>IF($A647="","",N($J647)*ValorHora)</f>
        <v>0</v>
      </c>
      <c r="Q647" s="27">
        <f>IF($A647="","",SUMIFS(ItTotal,ItOS,$A647))</f>
        <v>0</v>
      </c>
      <c r="R647" s="30">
        <f>IF($A647="","",$P647+$Q647+N($K647)-N($L647))</f>
        <v>0</v>
      </c>
      <c r="S647" s="27">
        <f>IF($A647="","",SUMIFS(ItCusto,ItOS,$A647))</f>
        <v>0</v>
      </c>
      <c r="T647" s="27">
        <f>IF($A647="","",$P647*ComMec)</f>
        <v>0</v>
      </c>
      <c r="U647" s="21">
        <f>IF($A647="","",$R647-$S647-$T647-N($K647))</f>
        <v>0</v>
      </c>
      <c r="V647" s="31">
        <f>IF(OR($A647="",N($R647)&lt;=0),"",$U647/$R647)</f>
        <v>0</v>
      </c>
      <c r="W647" s="27">
        <f>IF($A647="","",IF(OR($I647="Finalizado",$I647="Entregue"),MAX(0,$R647-N($O647)),0))</f>
        <v>0</v>
      </c>
      <c r="X647" s="32">
        <f>IF(OR($A647="",$B647=""),"",IF(OR($I647="Entregue",$I647="Cancelada"),"",Hoje-$B647))</f>
        <v>0</v>
      </c>
      <c r="Y647" s="24">
        <f>IF($A647="","",IF(AND(OR($I647="Aprovado",$I647="Em execução",$I647="Aguardando peça"),N($X647)&gt;PrazoMax),"ATRASADA",IF(AND(OR($I647="Finalizado",$I647="Entregue"),$W647&gt;0.005),"Cobrar",IF($I647="Orçamento","Aguardando aprovação",""))))</f>
        <v>0</v>
      </c>
      <c r="Z647" s="33">
        <f>IF(AND($I647="Entregue",$M647&lt;&gt;""),DATE(YEAR($M647),MONTH($M647),1),"")</f>
        <v>0</v>
      </c>
      <c r="AA647" s="34">
        <f>IF(AND($C647&lt;&gt;"",$C647=HistPlaca),COUNTIF($C$5:$C647,HistPlaca),"")</f>
        <v>0</v>
      </c>
    </row>
    <row r="648" spans="1:27">
      <c r="A648" s="17"/>
      <c r="B648" s="25"/>
      <c r="C648" s="13"/>
      <c r="D648" s="26">
        <f>IF($C648="","",IFERROR(INDEX(VeicCli,MATCH($C648,VeicPlaca,0)),"Placa não cadastrada"))</f>
        <v>0</v>
      </c>
      <c r="E648" s="26">
        <f>IF($C648="","",IFERROR(INDEX(VeicModelo,MATCH($C648,VeicPlaca,0)),""))</f>
        <v>0</v>
      </c>
      <c r="F648" s="28"/>
      <c r="G648" s="13"/>
      <c r="H648" s="13"/>
      <c r="I648" s="13"/>
      <c r="J648" s="29"/>
      <c r="K648" s="19"/>
      <c r="L648" s="19"/>
      <c r="M648" s="25"/>
      <c r="N648" s="13"/>
      <c r="O648" s="19"/>
      <c r="P648" s="27">
        <f>IF($A648="","",N($J648)*ValorHora)</f>
        <v>0</v>
      </c>
      <c r="Q648" s="27">
        <f>IF($A648="","",SUMIFS(ItTotal,ItOS,$A648))</f>
        <v>0</v>
      </c>
      <c r="R648" s="30">
        <f>IF($A648="","",$P648+$Q648+N($K648)-N($L648))</f>
        <v>0</v>
      </c>
      <c r="S648" s="27">
        <f>IF($A648="","",SUMIFS(ItCusto,ItOS,$A648))</f>
        <v>0</v>
      </c>
      <c r="T648" s="27">
        <f>IF($A648="","",$P648*ComMec)</f>
        <v>0</v>
      </c>
      <c r="U648" s="21">
        <f>IF($A648="","",$R648-$S648-$T648-N($K648))</f>
        <v>0</v>
      </c>
      <c r="V648" s="31">
        <f>IF(OR($A648="",N($R648)&lt;=0),"",$U648/$R648)</f>
        <v>0</v>
      </c>
      <c r="W648" s="27">
        <f>IF($A648="","",IF(OR($I648="Finalizado",$I648="Entregue"),MAX(0,$R648-N($O648)),0))</f>
        <v>0</v>
      </c>
      <c r="X648" s="32">
        <f>IF(OR($A648="",$B648=""),"",IF(OR($I648="Entregue",$I648="Cancelada"),"",Hoje-$B648))</f>
        <v>0</v>
      </c>
      <c r="Y648" s="24">
        <f>IF($A648="","",IF(AND(OR($I648="Aprovado",$I648="Em execução",$I648="Aguardando peça"),N($X648)&gt;PrazoMax),"ATRASADA",IF(AND(OR($I648="Finalizado",$I648="Entregue"),$W648&gt;0.005),"Cobrar",IF($I648="Orçamento","Aguardando aprovação",""))))</f>
        <v>0</v>
      </c>
      <c r="Z648" s="33">
        <f>IF(AND($I648="Entregue",$M648&lt;&gt;""),DATE(YEAR($M648),MONTH($M648),1),"")</f>
        <v>0</v>
      </c>
      <c r="AA648" s="34">
        <f>IF(AND($C648&lt;&gt;"",$C648=HistPlaca),COUNTIF($C$5:$C648,HistPlaca),"")</f>
        <v>0</v>
      </c>
    </row>
    <row r="649" spans="1:27">
      <c r="A649" s="17"/>
      <c r="B649" s="25"/>
      <c r="C649" s="13"/>
      <c r="D649" s="26">
        <f>IF($C649="","",IFERROR(INDEX(VeicCli,MATCH($C649,VeicPlaca,0)),"Placa não cadastrada"))</f>
        <v>0</v>
      </c>
      <c r="E649" s="26">
        <f>IF($C649="","",IFERROR(INDEX(VeicModelo,MATCH($C649,VeicPlaca,0)),""))</f>
        <v>0</v>
      </c>
      <c r="F649" s="28"/>
      <c r="G649" s="13"/>
      <c r="H649" s="13"/>
      <c r="I649" s="13"/>
      <c r="J649" s="29"/>
      <c r="K649" s="19"/>
      <c r="L649" s="19"/>
      <c r="M649" s="25"/>
      <c r="N649" s="13"/>
      <c r="O649" s="19"/>
      <c r="P649" s="27">
        <f>IF($A649="","",N($J649)*ValorHora)</f>
        <v>0</v>
      </c>
      <c r="Q649" s="27">
        <f>IF($A649="","",SUMIFS(ItTotal,ItOS,$A649))</f>
        <v>0</v>
      </c>
      <c r="R649" s="30">
        <f>IF($A649="","",$P649+$Q649+N($K649)-N($L649))</f>
        <v>0</v>
      </c>
      <c r="S649" s="27">
        <f>IF($A649="","",SUMIFS(ItCusto,ItOS,$A649))</f>
        <v>0</v>
      </c>
      <c r="T649" s="27">
        <f>IF($A649="","",$P649*ComMec)</f>
        <v>0</v>
      </c>
      <c r="U649" s="21">
        <f>IF($A649="","",$R649-$S649-$T649-N($K649))</f>
        <v>0</v>
      </c>
      <c r="V649" s="31">
        <f>IF(OR($A649="",N($R649)&lt;=0),"",$U649/$R649)</f>
        <v>0</v>
      </c>
      <c r="W649" s="27">
        <f>IF($A649="","",IF(OR($I649="Finalizado",$I649="Entregue"),MAX(0,$R649-N($O649)),0))</f>
        <v>0</v>
      </c>
      <c r="X649" s="32">
        <f>IF(OR($A649="",$B649=""),"",IF(OR($I649="Entregue",$I649="Cancelada"),"",Hoje-$B649))</f>
        <v>0</v>
      </c>
      <c r="Y649" s="24">
        <f>IF($A649="","",IF(AND(OR($I649="Aprovado",$I649="Em execução",$I649="Aguardando peça"),N($X649)&gt;PrazoMax),"ATRASADA",IF(AND(OR($I649="Finalizado",$I649="Entregue"),$W649&gt;0.005),"Cobrar",IF($I649="Orçamento","Aguardando aprovação",""))))</f>
        <v>0</v>
      </c>
      <c r="Z649" s="33">
        <f>IF(AND($I649="Entregue",$M649&lt;&gt;""),DATE(YEAR($M649),MONTH($M649),1),"")</f>
        <v>0</v>
      </c>
      <c r="AA649" s="34">
        <f>IF(AND($C649&lt;&gt;"",$C649=HistPlaca),COUNTIF($C$5:$C649,HistPlaca),"")</f>
        <v>0</v>
      </c>
    </row>
    <row r="650" spans="1:27">
      <c r="A650" s="17"/>
      <c r="B650" s="25"/>
      <c r="C650" s="13"/>
      <c r="D650" s="26">
        <f>IF($C650="","",IFERROR(INDEX(VeicCli,MATCH($C650,VeicPlaca,0)),"Placa não cadastrada"))</f>
        <v>0</v>
      </c>
      <c r="E650" s="26">
        <f>IF($C650="","",IFERROR(INDEX(VeicModelo,MATCH($C650,VeicPlaca,0)),""))</f>
        <v>0</v>
      </c>
      <c r="F650" s="28"/>
      <c r="G650" s="13"/>
      <c r="H650" s="13"/>
      <c r="I650" s="13"/>
      <c r="J650" s="29"/>
      <c r="K650" s="19"/>
      <c r="L650" s="19"/>
      <c r="M650" s="25"/>
      <c r="N650" s="13"/>
      <c r="O650" s="19"/>
      <c r="P650" s="27">
        <f>IF($A650="","",N($J650)*ValorHora)</f>
        <v>0</v>
      </c>
      <c r="Q650" s="27">
        <f>IF($A650="","",SUMIFS(ItTotal,ItOS,$A650))</f>
        <v>0</v>
      </c>
      <c r="R650" s="30">
        <f>IF($A650="","",$P650+$Q650+N($K650)-N($L650))</f>
        <v>0</v>
      </c>
      <c r="S650" s="27">
        <f>IF($A650="","",SUMIFS(ItCusto,ItOS,$A650))</f>
        <v>0</v>
      </c>
      <c r="T650" s="27">
        <f>IF($A650="","",$P650*ComMec)</f>
        <v>0</v>
      </c>
      <c r="U650" s="21">
        <f>IF($A650="","",$R650-$S650-$T650-N($K650))</f>
        <v>0</v>
      </c>
      <c r="V650" s="31">
        <f>IF(OR($A650="",N($R650)&lt;=0),"",$U650/$R650)</f>
        <v>0</v>
      </c>
      <c r="W650" s="27">
        <f>IF($A650="","",IF(OR($I650="Finalizado",$I650="Entregue"),MAX(0,$R650-N($O650)),0))</f>
        <v>0</v>
      </c>
      <c r="X650" s="32">
        <f>IF(OR($A650="",$B650=""),"",IF(OR($I650="Entregue",$I650="Cancelada"),"",Hoje-$B650))</f>
        <v>0</v>
      </c>
      <c r="Y650" s="24">
        <f>IF($A650="","",IF(AND(OR($I650="Aprovado",$I650="Em execução",$I650="Aguardando peça"),N($X650)&gt;PrazoMax),"ATRASADA",IF(AND(OR($I650="Finalizado",$I650="Entregue"),$W650&gt;0.005),"Cobrar",IF($I650="Orçamento","Aguardando aprovação",""))))</f>
        <v>0</v>
      </c>
      <c r="Z650" s="33">
        <f>IF(AND($I650="Entregue",$M650&lt;&gt;""),DATE(YEAR($M650),MONTH($M650),1),"")</f>
        <v>0</v>
      </c>
      <c r="AA650" s="34">
        <f>IF(AND($C650&lt;&gt;"",$C650=HistPlaca),COUNTIF($C$5:$C650,HistPlaca),"")</f>
        <v>0</v>
      </c>
    </row>
    <row r="651" spans="1:27">
      <c r="A651" s="17"/>
      <c r="B651" s="25"/>
      <c r="C651" s="13"/>
      <c r="D651" s="26">
        <f>IF($C651="","",IFERROR(INDEX(VeicCli,MATCH($C651,VeicPlaca,0)),"Placa não cadastrada"))</f>
        <v>0</v>
      </c>
      <c r="E651" s="26">
        <f>IF($C651="","",IFERROR(INDEX(VeicModelo,MATCH($C651,VeicPlaca,0)),""))</f>
        <v>0</v>
      </c>
      <c r="F651" s="28"/>
      <c r="G651" s="13"/>
      <c r="H651" s="13"/>
      <c r="I651" s="13"/>
      <c r="J651" s="29"/>
      <c r="K651" s="19"/>
      <c r="L651" s="19"/>
      <c r="M651" s="25"/>
      <c r="N651" s="13"/>
      <c r="O651" s="19"/>
      <c r="P651" s="27">
        <f>IF($A651="","",N($J651)*ValorHora)</f>
        <v>0</v>
      </c>
      <c r="Q651" s="27">
        <f>IF($A651="","",SUMIFS(ItTotal,ItOS,$A651))</f>
        <v>0</v>
      </c>
      <c r="R651" s="30">
        <f>IF($A651="","",$P651+$Q651+N($K651)-N($L651))</f>
        <v>0</v>
      </c>
      <c r="S651" s="27">
        <f>IF($A651="","",SUMIFS(ItCusto,ItOS,$A651))</f>
        <v>0</v>
      </c>
      <c r="T651" s="27">
        <f>IF($A651="","",$P651*ComMec)</f>
        <v>0</v>
      </c>
      <c r="U651" s="21">
        <f>IF($A651="","",$R651-$S651-$T651-N($K651))</f>
        <v>0</v>
      </c>
      <c r="V651" s="31">
        <f>IF(OR($A651="",N($R651)&lt;=0),"",$U651/$R651)</f>
        <v>0</v>
      </c>
      <c r="W651" s="27">
        <f>IF($A651="","",IF(OR($I651="Finalizado",$I651="Entregue"),MAX(0,$R651-N($O651)),0))</f>
        <v>0</v>
      </c>
      <c r="X651" s="32">
        <f>IF(OR($A651="",$B651=""),"",IF(OR($I651="Entregue",$I651="Cancelada"),"",Hoje-$B651))</f>
        <v>0</v>
      </c>
      <c r="Y651" s="24">
        <f>IF($A651="","",IF(AND(OR($I651="Aprovado",$I651="Em execução",$I651="Aguardando peça"),N($X651)&gt;PrazoMax),"ATRASADA",IF(AND(OR($I651="Finalizado",$I651="Entregue"),$W651&gt;0.005),"Cobrar",IF($I651="Orçamento","Aguardando aprovação",""))))</f>
        <v>0</v>
      </c>
      <c r="Z651" s="33">
        <f>IF(AND($I651="Entregue",$M651&lt;&gt;""),DATE(YEAR($M651),MONTH($M651),1),"")</f>
        <v>0</v>
      </c>
      <c r="AA651" s="34">
        <f>IF(AND($C651&lt;&gt;"",$C651=HistPlaca),COUNTIF($C$5:$C651,HistPlaca),"")</f>
        <v>0</v>
      </c>
    </row>
    <row r="652" spans="1:27">
      <c r="A652" s="17"/>
      <c r="B652" s="25"/>
      <c r="C652" s="13"/>
      <c r="D652" s="26">
        <f>IF($C652="","",IFERROR(INDEX(VeicCli,MATCH($C652,VeicPlaca,0)),"Placa não cadastrada"))</f>
        <v>0</v>
      </c>
      <c r="E652" s="26">
        <f>IF($C652="","",IFERROR(INDEX(VeicModelo,MATCH($C652,VeicPlaca,0)),""))</f>
        <v>0</v>
      </c>
      <c r="F652" s="28"/>
      <c r="G652" s="13"/>
      <c r="H652" s="13"/>
      <c r="I652" s="13"/>
      <c r="J652" s="29"/>
      <c r="K652" s="19"/>
      <c r="L652" s="19"/>
      <c r="M652" s="25"/>
      <c r="N652" s="13"/>
      <c r="O652" s="19"/>
      <c r="P652" s="27">
        <f>IF($A652="","",N($J652)*ValorHora)</f>
        <v>0</v>
      </c>
      <c r="Q652" s="27">
        <f>IF($A652="","",SUMIFS(ItTotal,ItOS,$A652))</f>
        <v>0</v>
      </c>
      <c r="R652" s="30">
        <f>IF($A652="","",$P652+$Q652+N($K652)-N($L652))</f>
        <v>0</v>
      </c>
      <c r="S652" s="27">
        <f>IF($A652="","",SUMIFS(ItCusto,ItOS,$A652))</f>
        <v>0</v>
      </c>
      <c r="T652" s="27">
        <f>IF($A652="","",$P652*ComMec)</f>
        <v>0</v>
      </c>
      <c r="U652" s="21">
        <f>IF($A652="","",$R652-$S652-$T652-N($K652))</f>
        <v>0</v>
      </c>
      <c r="V652" s="31">
        <f>IF(OR($A652="",N($R652)&lt;=0),"",$U652/$R652)</f>
        <v>0</v>
      </c>
      <c r="W652" s="27">
        <f>IF($A652="","",IF(OR($I652="Finalizado",$I652="Entregue"),MAX(0,$R652-N($O652)),0))</f>
        <v>0</v>
      </c>
      <c r="X652" s="32">
        <f>IF(OR($A652="",$B652=""),"",IF(OR($I652="Entregue",$I652="Cancelada"),"",Hoje-$B652))</f>
        <v>0</v>
      </c>
      <c r="Y652" s="24">
        <f>IF($A652="","",IF(AND(OR($I652="Aprovado",$I652="Em execução",$I652="Aguardando peça"),N($X652)&gt;PrazoMax),"ATRASADA",IF(AND(OR($I652="Finalizado",$I652="Entregue"),$W652&gt;0.005),"Cobrar",IF($I652="Orçamento","Aguardando aprovação",""))))</f>
        <v>0</v>
      </c>
      <c r="Z652" s="33">
        <f>IF(AND($I652="Entregue",$M652&lt;&gt;""),DATE(YEAR($M652),MONTH($M652),1),"")</f>
        <v>0</v>
      </c>
      <c r="AA652" s="34">
        <f>IF(AND($C652&lt;&gt;"",$C652=HistPlaca),COUNTIF($C$5:$C652,HistPlaca),"")</f>
        <v>0</v>
      </c>
    </row>
    <row r="653" spans="1:27">
      <c r="A653" s="17"/>
      <c r="B653" s="25"/>
      <c r="C653" s="13"/>
      <c r="D653" s="26">
        <f>IF($C653="","",IFERROR(INDEX(VeicCli,MATCH($C653,VeicPlaca,0)),"Placa não cadastrada"))</f>
        <v>0</v>
      </c>
      <c r="E653" s="26">
        <f>IF($C653="","",IFERROR(INDEX(VeicModelo,MATCH($C653,VeicPlaca,0)),""))</f>
        <v>0</v>
      </c>
      <c r="F653" s="28"/>
      <c r="G653" s="13"/>
      <c r="H653" s="13"/>
      <c r="I653" s="13"/>
      <c r="J653" s="29"/>
      <c r="K653" s="19"/>
      <c r="L653" s="19"/>
      <c r="M653" s="25"/>
      <c r="N653" s="13"/>
      <c r="O653" s="19"/>
      <c r="P653" s="27">
        <f>IF($A653="","",N($J653)*ValorHora)</f>
        <v>0</v>
      </c>
      <c r="Q653" s="27">
        <f>IF($A653="","",SUMIFS(ItTotal,ItOS,$A653))</f>
        <v>0</v>
      </c>
      <c r="R653" s="30">
        <f>IF($A653="","",$P653+$Q653+N($K653)-N($L653))</f>
        <v>0</v>
      </c>
      <c r="S653" s="27">
        <f>IF($A653="","",SUMIFS(ItCusto,ItOS,$A653))</f>
        <v>0</v>
      </c>
      <c r="T653" s="27">
        <f>IF($A653="","",$P653*ComMec)</f>
        <v>0</v>
      </c>
      <c r="U653" s="21">
        <f>IF($A653="","",$R653-$S653-$T653-N($K653))</f>
        <v>0</v>
      </c>
      <c r="V653" s="31">
        <f>IF(OR($A653="",N($R653)&lt;=0),"",$U653/$R653)</f>
        <v>0</v>
      </c>
      <c r="W653" s="27">
        <f>IF($A653="","",IF(OR($I653="Finalizado",$I653="Entregue"),MAX(0,$R653-N($O653)),0))</f>
        <v>0</v>
      </c>
      <c r="X653" s="32">
        <f>IF(OR($A653="",$B653=""),"",IF(OR($I653="Entregue",$I653="Cancelada"),"",Hoje-$B653))</f>
        <v>0</v>
      </c>
      <c r="Y653" s="24">
        <f>IF($A653="","",IF(AND(OR($I653="Aprovado",$I653="Em execução",$I653="Aguardando peça"),N($X653)&gt;PrazoMax),"ATRASADA",IF(AND(OR($I653="Finalizado",$I653="Entregue"),$W653&gt;0.005),"Cobrar",IF($I653="Orçamento","Aguardando aprovação",""))))</f>
        <v>0</v>
      </c>
      <c r="Z653" s="33">
        <f>IF(AND($I653="Entregue",$M653&lt;&gt;""),DATE(YEAR($M653),MONTH($M653),1),"")</f>
        <v>0</v>
      </c>
      <c r="AA653" s="34">
        <f>IF(AND($C653&lt;&gt;"",$C653=HistPlaca),COUNTIF($C$5:$C653,HistPlaca),"")</f>
        <v>0</v>
      </c>
    </row>
    <row r="654" spans="1:27">
      <c r="A654" s="17"/>
      <c r="B654" s="25"/>
      <c r="C654" s="13"/>
      <c r="D654" s="26">
        <f>IF($C654="","",IFERROR(INDEX(VeicCli,MATCH($C654,VeicPlaca,0)),"Placa não cadastrada"))</f>
        <v>0</v>
      </c>
      <c r="E654" s="26">
        <f>IF($C654="","",IFERROR(INDEX(VeicModelo,MATCH($C654,VeicPlaca,0)),""))</f>
        <v>0</v>
      </c>
      <c r="F654" s="28"/>
      <c r="G654" s="13"/>
      <c r="H654" s="13"/>
      <c r="I654" s="13"/>
      <c r="J654" s="29"/>
      <c r="K654" s="19"/>
      <c r="L654" s="19"/>
      <c r="M654" s="25"/>
      <c r="N654" s="13"/>
      <c r="O654" s="19"/>
      <c r="P654" s="27">
        <f>IF($A654="","",N($J654)*ValorHora)</f>
        <v>0</v>
      </c>
      <c r="Q654" s="27">
        <f>IF($A654="","",SUMIFS(ItTotal,ItOS,$A654))</f>
        <v>0</v>
      </c>
      <c r="R654" s="30">
        <f>IF($A654="","",$P654+$Q654+N($K654)-N($L654))</f>
        <v>0</v>
      </c>
      <c r="S654" s="27">
        <f>IF($A654="","",SUMIFS(ItCusto,ItOS,$A654))</f>
        <v>0</v>
      </c>
      <c r="T654" s="27">
        <f>IF($A654="","",$P654*ComMec)</f>
        <v>0</v>
      </c>
      <c r="U654" s="21">
        <f>IF($A654="","",$R654-$S654-$T654-N($K654))</f>
        <v>0</v>
      </c>
      <c r="V654" s="31">
        <f>IF(OR($A654="",N($R654)&lt;=0),"",$U654/$R654)</f>
        <v>0</v>
      </c>
      <c r="W654" s="27">
        <f>IF($A654="","",IF(OR($I654="Finalizado",$I654="Entregue"),MAX(0,$R654-N($O654)),0))</f>
        <v>0</v>
      </c>
      <c r="X654" s="32">
        <f>IF(OR($A654="",$B654=""),"",IF(OR($I654="Entregue",$I654="Cancelada"),"",Hoje-$B654))</f>
        <v>0</v>
      </c>
      <c r="Y654" s="24">
        <f>IF($A654="","",IF(AND(OR($I654="Aprovado",$I654="Em execução",$I654="Aguardando peça"),N($X654)&gt;PrazoMax),"ATRASADA",IF(AND(OR($I654="Finalizado",$I654="Entregue"),$W654&gt;0.005),"Cobrar",IF($I654="Orçamento","Aguardando aprovação",""))))</f>
        <v>0</v>
      </c>
      <c r="Z654" s="33">
        <f>IF(AND($I654="Entregue",$M654&lt;&gt;""),DATE(YEAR($M654),MONTH($M654),1),"")</f>
        <v>0</v>
      </c>
      <c r="AA654" s="34">
        <f>IF(AND($C654&lt;&gt;"",$C654=HistPlaca),COUNTIF($C$5:$C654,HistPlaca),"")</f>
        <v>0</v>
      </c>
    </row>
    <row r="655" spans="1:27">
      <c r="A655" s="17"/>
      <c r="B655" s="25"/>
      <c r="C655" s="13"/>
      <c r="D655" s="26">
        <f>IF($C655="","",IFERROR(INDEX(VeicCli,MATCH($C655,VeicPlaca,0)),"Placa não cadastrada"))</f>
        <v>0</v>
      </c>
      <c r="E655" s="26">
        <f>IF($C655="","",IFERROR(INDEX(VeicModelo,MATCH($C655,VeicPlaca,0)),""))</f>
        <v>0</v>
      </c>
      <c r="F655" s="28"/>
      <c r="G655" s="13"/>
      <c r="H655" s="13"/>
      <c r="I655" s="13"/>
      <c r="J655" s="29"/>
      <c r="K655" s="19"/>
      <c r="L655" s="19"/>
      <c r="M655" s="25"/>
      <c r="N655" s="13"/>
      <c r="O655" s="19"/>
      <c r="P655" s="27">
        <f>IF($A655="","",N($J655)*ValorHora)</f>
        <v>0</v>
      </c>
      <c r="Q655" s="27">
        <f>IF($A655="","",SUMIFS(ItTotal,ItOS,$A655))</f>
        <v>0</v>
      </c>
      <c r="R655" s="30">
        <f>IF($A655="","",$P655+$Q655+N($K655)-N($L655))</f>
        <v>0</v>
      </c>
      <c r="S655" s="27">
        <f>IF($A655="","",SUMIFS(ItCusto,ItOS,$A655))</f>
        <v>0</v>
      </c>
      <c r="T655" s="27">
        <f>IF($A655="","",$P655*ComMec)</f>
        <v>0</v>
      </c>
      <c r="U655" s="21">
        <f>IF($A655="","",$R655-$S655-$T655-N($K655))</f>
        <v>0</v>
      </c>
      <c r="V655" s="31">
        <f>IF(OR($A655="",N($R655)&lt;=0),"",$U655/$R655)</f>
        <v>0</v>
      </c>
      <c r="W655" s="27">
        <f>IF($A655="","",IF(OR($I655="Finalizado",$I655="Entregue"),MAX(0,$R655-N($O655)),0))</f>
        <v>0</v>
      </c>
      <c r="X655" s="32">
        <f>IF(OR($A655="",$B655=""),"",IF(OR($I655="Entregue",$I655="Cancelada"),"",Hoje-$B655))</f>
        <v>0</v>
      </c>
      <c r="Y655" s="24">
        <f>IF($A655="","",IF(AND(OR($I655="Aprovado",$I655="Em execução",$I655="Aguardando peça"),N($X655)&gt;PrazoMax),"ATRASADA",IF(AND(OR($I655="Finalizado",$I655="Entregue"),$W655&gt;0.005),"Cobrar",IF($I655="Orçamento","Aguardando aprovação",""))))</f>
        <v>0</v>
      </c>
      <c r="Z655" s="33">
        <f>IF(AND($I655="Entregue",$M655&lt;&gt;""),DATE(YEAR($M655),MONTH($M655),1),"")</f>
        <v>0</v>
      </c>
      <c r="AA655" s="34">
        <f>IF(AND($C655&lt;&gt;"",$C655=HistPlaca),COUNTIF($C$5:$C655,HistPlaca),"")</f>
        <v>0</v>
      </c>
    </row>
    <row r="656" spans="1:27">
      <c r="A656" s="17"/>
      <c r="B656" s="25"/>
      <c r="C656" s="13"/>
      <c r="D656" s="26">
        <f>IF($C656="","",IFERROR(INDEX(VeicCli,MATCH($C656,VeicPlaca,0)),"Placa não cadastrada"))</f>
        <v>0</v>
      </c>
      <c r="E656" s="26">
        <f>IF($C656="","",IFERROR(INDEX(VeicModelo,MATCH($C656,VeicPlaca,0)),""))</f>
        <v>0</v>
      </c>
      <c r="F656" s="28"/>
      <c r="G656" s="13"/>
      <c r="H656" s="13"/>
      <c r="I656" s="13"/>
      <c r="J656" s="29"/>
      <c r="K656" s="19"/>
      <c r="L656" s="19"/>
      <c r="M656" s="25"/>
      <c r="N656" s="13"/>
      <c r="O656" s="19"/>
      <c r="P656" s="27">
        <f>IF($A656="","",N($J656)*ValorHora)</f>
        <v>0</v>
      </c>
      <c r="Q656" s="27">
        <f>IF($A656="","",SUMIFS(ItTotal,ItOS,$A656))</f>
        <v>0</v>
      </c>
      <c r="R656" s="30">
        <f>IF($A656="","",$P656+$Q656+N($K656)-N($L656))</f>
        <v>0</v>
      </c>
      <c r="S656" s="27">
        <f>IF($A656="","",SUMIFS(ItCusto,ItOS,$A656))</f>
        <v>0</v>
      </c>
      <c r="T656" s="27">
        <f>IF($A656="","",$P656*ComMec)</f>
        <v>0</v>
      </c>
      <c r="U656" s="21">
        <f>IF($A656="","",$R656-$S656-$T656-N($K656))</f>
        <v>0</v>
      </c>
      <c r="V656" s="31">
        <f>IF(OR($A656="",N($R656)&lt;=0),"",$U656/$R656)</f>
        <v>0</v>
      </c>
      <c r="W656" s="27">
        <f>IF($A656="","",IF(OR($I656="Finalizado",$I656="Entregue"),MAX(0,$R656-N($O656)),0))</f>
        <v>0</v>
      </c>
      <c r="X656" s="32">
        <f>IF(OR($A656="",$B656=""),"",IF(OR($I656="Entregue",$I656="Cancelada"),"",Hoje-$B656))</f>
        <v>0</v>
      </c>
      <c r="Y656" s="24">
        <f>IF($A656="","",IF(AND(OR($I656="Aprovado",$I656="Em execução",$I656="Aguardando peça"),N($X656)&gt;PrazoMax),"ATRASADA",IF(AND(OR($I656="Finalizado",$I656="Entregue"),$W656&gt;0.005),"Cobrar",IF($I656="Orçamento","Aguardando aprovação",""))))</f>
        <v>0</v>
      </c>
      <c r="Z656" s="33">
        <f>IF(AND($I656="Entregue",$M656&lt;&gt;""),DATE(YEAR($M656),MONTH($M656),1),"")</f>
        <v>0</v>
      </c>
      <c r="AA656" s="34">
        <f>IF(AND($C656&lt;&gt;"",$C656=HistPlaca),COUNTIF($C$5:$C656,HistPlaca),"")</f>
        <v>0</v>
      </c>
    </row>
    <row r="657" spans="1:27">
      <c r="A657" s="17"/>
      <c r="B657" s="25"/>
      <c r="C657" s="13"/>
      <c r="D657" s="26">
        <f>IF($C657="","",IFERROR(INDEX(VeicCli,MATCH($C657,VeicPlaca,0)),"Placa não cadastrada"))</f>
        <v>0</v>
      </c>
      <c r="E657" s="26">
        <f>IF($C657="","",IFERROR(INDEX(VeicModelo,MATCH($C657,VeicPlaca,0)),""))</f>
        <v>0</v>
      </c>
      <c r="F657" s="28"/>
      <c r="G657" s="13"/>
      <c r="H657" s="13"/>
      <c r="I657" s="13"/>
      <c r="J657" s="29"/>
      <c r="K657" s="19"/>
      <c r="L657" s="19"/>
      <c r="M657" s="25"/>
      <c r="N657" s="13"/>
      <c r="O657" s="19"/>
      <c r="P657" s="27">
        <f>IF($A657="","",N($J657)*ValorHora)</f>
        <v>0</v>
      </c>
      <c r="Q657" s="27">
        <f>IF($A657="","",SUMIFS(ItTotal,ItOS,$A657))</f>
        <v>0</v>
      </c>
      <c r="R657" s="30">
        <f>IF($A657="","",$P657+$Q657+N($K657)-N($L657))</f>
        <v>0</v>
      </c>
      <c r="S657" s="27">
        <f>IF($A657="","",SUMIFS(ItCusto,ItOS,$A657))</f>
        <v>0</v>
      </c>
      <c r="T657" s="27">
        <f>IF($A657="","",$P657*ComMec)</f>
        <v>0</v>
      </c>
      <c r="U657" s="21">
        <f>IF($A657="","",$R657-$S657-$T657-N($K657))</f>
        <v>0</v>
      </c>
      <c r="V657" s="31">
        <f>IF(OR($A657="",N($R657)&lt;=0),"",$U657/$R657)</f>
        <v>0</v>
      </c>
      <c r="W657" s="27">
        <f>IF($A657="","",IF(OR($I657="Finalizado",$I657="Entregue"),MAX(0,$R657-N($O657)),0))</f>
        <v>0</v>
      </c>
      <c r="X657" s="32">
        <f>IF(OR($A657="",$B657=""),"",IF(OR($I657="Entregue",$I657="Cancelada"),"",Hoje-$B657))</f>
        <v>0</v>
      </c>
      <c r="Y657" s="24">
        <f>IF($A657="","",IF(AND(OR($I657="Aprovado",$I657="Em execução",$I657="Aguardando peça"),N($X657)&gt;PrazoMax),"ATRASADA",IF(AND(OR($I657="Finalizado",$I657="Entregue"),$W657&gt;0.005),"Cobrar",IF($I657="Orçamento","Aguardando aprovação",""))))</f>
        <v>0</v>
      </c>
      <c r="Z657" s="33">
        <f>IF(AND($I657="Entregue",$M657&lt;&gt;""),DATE(YEAR($M657),MONTH($M657),1),"")</f>
        <v>0</v>
      </c>
      <c r="AA657" s="34">
        <f>IF(AND($C657&lt;&gt;"",$C657=HistPlaca),COUNTIF($C$5:$C657,HistPlaca),"")</f>
        <v>0</v>
      </c>
    </row>
    <row r="658" spans="1:27">
      <c r="A658" s="17"/>
      <c r="B658" s="25"/>
      <c r="C658" s="13"/>
      <c r="D658" s="26">
        <f>IF($C658="","",IFERROR(INDEX(VeicCli,MATCH($C658,VeicPlaca,0)),"Placa não cadastrada"))</f>
        <v>0</v>
      </c>
      <c r="E658" s="26">
        <f>IF($C658="","",IFERROR(INDEX(VeicModelo,MATCH($C658,VeicPlaca,0)),""))</f>
        <v>0</v>
      </c>
      <c r="F658" s="28"/>
      <c r="G658" s="13"/>
      <c r="H658" s="13"/>
      <c r="I658" s="13"/>
      <c r="J658" s="29"/>
      <c r="K658" s="19"/>
      <c r="L658" s="19"/>
      <c r="M658" s="25"/>
      <c r="N658" s="13"/>
      <c r="O658" s="19"/>
      <c r="P658" s="27">
        <f>IF($A658="","",N($J658)*ValorHora)</f>
        <v>0</v>
      </c>
      <c r="Q658" s="27">
        <f>IF($A658="","",SUMIFS(ItTotal,ItOS,$A658))</f>
        <v>0</v>
      </c>
      <c r="R658" s="30">
        <f>IF($A658="","",$P658+$Q658+N($K658)-N($L658))</f>
        <v>0</v>
      </c>
      <c r="S658" s="27">
        <f>IF($A658="","",SUMIFS(ItCusto,ItOS,$A658))</f>
        <v>0</v>
      </c>
      <c r="T658" s="27">
        <f>IF($A658="","",$P658*ComMec)</f>
        <v>0</v>
      </c>
      <c r="U658" s="21">
        <f>IF($A658="","",$R658-$S658-$T658-N($K658))</f>
        <v>0</v>
      </c>
      <c r="V658" s="31">
        <f>IF(OR($A658="",N($R658)&lt;=0),"",$U658/$R658)</f>
        <v>0</v>
      </c>
      <c r="W658" s="27">
        <f>IF($A658="","",IF(OR($I658="Finalizado",$I658="Entregue"),MAX(0,$R658-N($O658)),0))</f>
        <v>0</v>
      </c>
      <c r="X658" s="32">
        <f>IF(OR($A658="",$B658=""),"",IF(OR($I658="Entregue",$I658="Cancelada"),"",Hoje-$B658))</f>
        <v>0</v>
      </c>
      <c r="Y658" s="24">
        <f>IF($A658="","",IF(AND(OR($I658="Aprovado",$I658="Em execução",$I658="Aguardando peça"),N($X658)&gt;PrazoMax),"ATRASADA",IF(AND(OR($I658="Finalizado",$I658="Entregue"),$W658&gt;0.005),"Cobrar",IF($I658="Orçamento","Aguardando aprovação",""))))</f>
        <v>0</v>
      </c>
      <c r="Z658" s="33">
        <f>IF(AND($I658="Entregue",$M658&lt;&gt;""),DATE(YEAR($M658),MONTH($M658),1),"")</f>
        <v>0</v>
      </c>
      <c r="AA658" s="34">
        <f>IF(AND($C658&lt;&gt;"",$C658=HistPlaca),COUNTIF($C$5:$C658,HistPlaca),"")</f>
        <v>0</v>
      </c>
    </row>
    <row r="659" spans="1:27">
      <c r="A659" s="17"/>
      <c r="B659" s="25"/>
      <c r="C659" s="13"/>
      <c r="D659" s="26">
        <f>IF($C659="","",IFERROR(INDEX(VeicCli,MATCH($C659,VeicPlaca,0)),"Placa não cadastrada"))</f>
        <v>0</v>
      </c>
      <c r="E659" s="26">
        <f>IF($C659="","",IFERROR(INDEX(VeicModelo,MATCH($C659,VeicPlaca,0)),""))</f>
        <v>0</v>
      </c>
      <c r="F659" s="28"/>
      <c r="G659" s="13"/>
      <c r="H659" s="13"/>
      <c r="I659" s="13"/>
      <c r="J659" s="29"/>
      <c r="K659" s="19"/>
      <c r="L659" s="19"/>
      <c r="M659" s="25"/>
      <c r="N659" s="13"/>
      <c r="O659" s="19"/>
      <c r="P659" s="27">
        <f>IF($A659="","",N($J659)*ValorHora)</f>
        <v>0</v>
      </c>
      <c r="Q659" s="27">
        <f>IF($A659="","",SUMIFS(ItTotal,ItOS,$A659))</f>
        <v>0</v>
      </c>
      <c r="R659" s="30">
        <f>IF($A659="","",$P659+$Q659+N($K659)-N($L659))</f>
        <v>0</v>
      </c>
      <c r="S659" s="27">
        <f>IF($A659="","",SUMIFS(ItCusto,ItOS,$A659))</f>
        <v>0</v>
      </c>
      <c r="T659" s="27">
        <f>IF($A659="","",$P659*ComMec)</f>
        <v>0</v>
      </c>
      <c r="U659" s="21">
        <f>IF($A659="","",$R659-$S659-$T659-N($K659))</f>
        <v>0</v>
      </c>
      <c r="V659" s="31">
        <f>IF(OR($A659="",N($R659)&lt;=0),"",$U659/$R659)</f>
        <v>0</v>
      </c>
      <c r="W659" s="27">
        <f>IF($A659="","",IF(OR($I659="Finalizado",$I659="Entregue"),MAX(0,$R659-N($O659)),0))</f>
        <v>0</v>
      </c>
      <c r="X659" s="32">
        <f>IF(OR($A659="",$B659=""),"",IF(OR($I659="Entregue",$I659="Cancelada"),"",Hoje-$B659))</f>
        <v>0</v>
      </c>
      <c r="Y659" s="24">
        <f>IF($A659="","",IF(AND(OR($I659="Aprovado",$I659="Em execução",$I659="Aguardando peça"),N($X659)&gt;PrazoMax),"ATRASADA",IF(AND(OR($I659="Finalizado",$I659="Entregue"),$W659&gt;0.005),"Cobrar",IF($I659="Orçamento","Aguardando aprovação",""))))</f>
        <v>0</v>
      </c>
      <c r="Z659" s="33">
        <f>IF(AND($I659="Entregue",$M659&lt;&gt;""),DATE(YEAR($M659),MONTH($M659),1),"")</f>
        <v>0</v>
      </c>
      <c r="AA659" s="34">
        <f>IF(AND($C659&lt;&gt;"",$C659=HistPlaca),COUNTIF($C$5:$C659,HistPlaca),"")</f>
        <v>0</v>
      </c>
    </row>
    <row r="660" spans="1:27">
      <c r="A660" s="17"/>
      <c r="B660" s="25"/>
      <c r="C660" s="13"/>
      <c r="D660" s="26">
        <f>IF($C660="","",IFERROR(INDEX(VeicCli,MATCH($C660,VeicPlaca,0)),"Placa não cadastrada"))</f>
        <v>0</v>
      </c>
      <c r="E660" s="26">
        <f>IF($C660="","",IFERROR(INDEX(VeicModelo,MATCH($C660,VeicPlaca,0)),""))</f>
        <v>0</v>
      </c>
      <c r="F660" s="28"/>
      <c r="G660" s="13"/>
      <c r="H660" s="13"/>
      <c r="I660" s="13"/>
      <c r="J660" s="29"/>
      <c r="K660" s="19"/>
      <c r="L660" s="19"/>
      <c r="M660" s="25"/>
      <c r="N660" s="13"/>
      <c r="O660" s="19"/>
      <c r="P660" s="27">
        <f>IF($A660="","",N($J660)*ValorHora)</f>
        <v>0</v>
      </c>
      <c r="Q660" s="27">
        <f>IF($A660="","",SUMIFS(ItTotal,ItOS,$A660))</f>
        <v>0</v>
      </c>
      <c r="R660" s="30">
        <f>IF($A660="","",$P660+$Q660+N($K660)-N($L660))</f>
        <v>0</v>
      </c>
      <c r="S660" s="27">
        <f>IF($A660="","",SUMIFS(ItCusto,ItOS,$A660))</f>
        <v>0</v>
      </c>
      <c r="T660" s="27">
        <f>IF($A660="","",$P660*ComMec)</f>
        <v>0</v>
      </c>
      <c r="U660" s="21">
        <f>IF($A660="","",$R660-$S660-$T660-N($K660))</f>
        <v>0</v>
      </c>
      <c r="V660" s="31">
        <f>IF(OR($A660="",N($R660)&lt;=0),"",$U660/$R660)</f>
        <v>0</v>
      </c>
      <c r="W660" s="27">
        <f>IF($A660="","",IF(OR($I660="Finalizado",$I660="Entregue"),MAX(0,$R660-N($O660)),0))</f>
        <v>0</v>
      </c>
      <c r="X660" s="32">
        <f>IF(OR($A660="",$B660=""),"",IF(OR($I660="Entregue",$I660="Cancelada"),"",Hoje-$B660))</f>
        <v>0</v>
      </c>
      <c r="Y660" s="24">
        <f>IF($A660="","",IF(AND(OR($I660="Aprovado",$I660="Em execução",$I660="Aguardando peça"),N($X660)&gt;PrazoMax),"ATRASADA",IF(AND(OR($I660="Finalizado",$I660="Entregue"),$W660&gt;0.005),"Cobrar",IF($I660="Orçamento","Aguardando aprovação",""))))</f>
        <v>0</v>
      </c>
      <c r="Z660" s="33">
        <f>IF(AND($I660="Entregue",$M660&lt;&gt;""),DATE(YEAR($M660),MONTH($M660),1),"")</f>
        <v>0</v>
      </c>
      <c r="AA660" s="34">
        <f>IF(AND($C660&lt;&gt;"",$C660=HistPlaca),COUNTIF($C$5:$C660,HistPlaca),"")</f>
        <v>0</v>
      </c>
    </row>
    <row r="661" spans="1:27">
      <c r="A661" s="17"/>
      <c r="B661" s="25"/>
      <c r="C661" s="13"/>
      <c r="D661" s="26">
        <f>IF($C661="","",IFERROR(INDEX(VeicCli,MATCH($C661,VeicPlaca,0)),"Placa não cadastrada"))</f>
        <v>0</v>
      </c>
      <c r="E661" s="26">
        <f>IF($C661="","",IFERROR(INDEX(VeicModelo,MATCH($C661,VeicPlaca,0)),""))</f>
        <v>0</v>
      </c>
      <c r="F661" s="28"/>
      <c r="G661" s="13"/>
      <c r="H661" s="13"/>
      <c r="I661" s="13"/>
      <c r="J661" s="29"/>
      <c r="K661" s="19"/>
      <c r="L661" s="19"/>
      <c r="M661" s="25"/>
      <c r="N661" s="13"/>
      <c r="O661" s="19"/>
      <c r="P661" s="27">
        <f>IF($A661="","",N($J661)*ValorHora)</f>
        <v>0</v>
      </c>
      <c r="Q661" s="27">
        <f>IF($A661="","",SUMIFS(ItTotal,ItOS,$A661))</f>
        <v>0</v>
      </c>
      <c r="R661" s="30">
        <f>IF($A661="","",$P661+$Q661+N($K661)-N($L661))</f>
        <v>0</v>
      </c>
      <c r="S661" s="27">
        <f>IF($A661="","",SUMIFS(ItCusto,ItOS,$A661))</f>
        <v>0</v>
      </c>
      <c r="T661" s="27">
        <f>IF($A661="","",$P661*ComMec)</f>
        <v>0</v>
      </c>
      <c r="U661" s="21">
        <f>IF($A661="","",$R661-$S661-$T661-N($K661))</f>
        <v>0</v>
      </c>
      <c r="V661" s="31">
        <f>IF(OR($A661="",N($R661)&lt;=0),"",$U661/$R661)</f>
        <v>0</v>
      </c>
      <c r="W661" s="27">
        <f>IF($A661="","",IF(OR($I661="Finalizado",$I661="Entregue"),MAX(0,$R661-N($O661)),0))</f>
        <v>0</v>
      </c>
      <c r="X661" s="32">
        <f>IF(OR($A661="",$B661=""),"",IF(OR($I661="Entregue",$I661="Cancelada"),"",Hoje-$B661))</f>
        <v>0</v>
      </c>
      <c r="Y661" s="24">
        <f>IF($A661="","",IF(AND(OR($I661="Aprovado",$I661="Em execução",$I661="Aguardando peça"),N($X661)&gt;PrazoMax),"ATRASADA",IF(AND(OR($I661="Finalizado",$I661="Entregue"),$W661&gt;0.005),"Cobrar",IF($I661="Orçamento","Aguardando aprovação",""))))</f>
        <v>0</v>
      </c>
      <c r="Z661" s="33">
        <f>IF(AND($I661="Entregue",$M661&lt;&gt;""),DATE(YEAR($M661),MONTH($M661),1),"")</f>
        <v>0</v>
      </c>
      <c r="AA661" s="34">
        <f>IF(AND($C661&lt;&gt;"",$C661=HistPlaca),COUNTIF($C$5:$C661,HistPlaca),"")</f>
        <v>0</v>
      </c>
    </row>
    <row r="662" spans="1:27">
      <c r="A662" s="17"/>
      <c r="B662" s="25"/>
      <c r="C662" s="13"/>
      <c r="D662" s="26">
        <f>IF($C662="","",IFERROR(INDEX(VeicCli,MATCH($C662,VeicPlaca,0)),"Placa não cadastrada"))</f>
        <v>0</v>
      </c>
      <c r="E662" s="26">
        <f>IF($C662="","",IFERROR(INDEX(VeicModelo,MATCH($C662,VeicPlaca,0)),""))</f>
        <v>0</v>
      </c>
      <c r="F662" s="28"/>
      <c r="G662" s="13"/>
      <c r="H662" s="13"/>
      <c r="I662" s="13"/>
      <c r="J662" s="29"/>
      <c r="K662" s="19"/>
      <c r="L662" s="19"/>
      <c r="M662" s="25"/>
      <c r="N662" s="13"/>
      <c r="O662" s="19"/>
      <c r="P662" s="27">
        <f>IF($A662="","",N($J662)*ValorHora)</f>
        <v>0</v>
      </c>
      <c r="Q662" s="27">
        <f>IF($A662="","",SUMIFS(ItTotal,ItOS,$A662))</f>
        <v>0</v>
      </c>
      <c r="R662" s="30">
        <f>IF($A662="","",$P662+$Q662+N($K662)-N($L662))</f>
        <v>0</v>
      </c>
      <c r="S662" s="27">
        <f>IF($A662="","",SUMIFS(ItCusto,ItOS,$A662))</f>
        <v>0</v>
      </c>
      <c r="T662" s="27">
        <f>IF($A662="","",$P662*ComMec)</f>
        <v>0</v>
      </c>
      <c r="U662" s="21">
        <f>IF($A662="","",$R662-$S662-$T662-N($K662))</f>
        <v>0</v>
      </c>
      <c r="V662" s="31">
        <f>IF(OR($A662="",N($R662)&lt;=0),"",$U662/$R662)</f>
        <v>0</v>
      </c>
      <c r="W662" s="27">
        <f>IF($A662="","",IF(OR($I662="Finalizado",$I662="Entregue"),MAX(0,$R662-N($O662)),0))</f>
        <v>0</v>
      </c>
      <c r="X662" s="32">
        <f>IF(OR($A662="",$B662=""),"",IF(OR($I662="Entregue",$I662="Cancelada"),"",Hoje-$B662))</f>
        <v>0</v>
      </c>
      <c r="Y662" s="24">
        <f>IF($A662="","",IF(AND(OR($I662="Aprovado",$I662="Em execução",$I662="Aguardando peça"),N($X662)&gt;PrazoMax),"ATRASADA",IF(AND(OR($I662="Finalizado",$I662="Entregue"),$W662&gt;0.005),"Cobrar",IF($I662="Orçamento","Aguardando aprovação",""))))</f>
        <v>0</v>
      </c>
      <c r="Z662" s="33">
        <f>IF(AND($I662="Entregue",$M662&lt;&gt;""),DATE(YEAR($M662),MONTH($M662),1),"")</f>
        <v>0</v>
      </c>
      <c r="AA662" s="34">
        <f>IF(AND($C662&lt;&gt;"",$C662=HistPlaca),COUNTIF($C$5:$C662,HistPlaca),"")</f>
        <v>0</v>
      </c>
    </row>
    <row r="663" spans="1:27">
      <c r="A663" s="17"/>
      <c r="B663" s="25"/>
      <c r="C663" s="13"/>
      <c r="D663" s="26">
        <f>IF($C663="","",IFERROR(INDEX(VeicCli,MATCH($C663,VeicPlaca,0)),"Placa não cadastrada"))</f>
        <v>0</v>
      </c>
      <c r="E663" s="26">
        <f>IF($C663="","",IFERROR(INDEX(VeicModelo,MATCH($C663,VeicPlaca,0)),""))</f>
        <v>0</v>
      </c>
      <c r="F663" s="28"/>
      <c r="G663" s="13"/>
      <c r="H663" s="13"/>
      <c r="I663" s="13"/>
      <c r="J663" s="29"/>
      <c r="K663" s="19"/>
      <c r="L663" s="19"/>
      <c r="M663" s="25"/>
      <c r="N663" s="13"/>
      <c r="O663" s="19"/>
      <c r="P663" s="27">
        <f>IF($A663="","",N($J663)*ValorHora)</f>
        <v>0</v>
      </c>
      <c r="Q663" s="27">
        <f>IF($A663="","",SUMIFS(ItTotal,ItOS,$A663))</f>
        <v>0</v>
      </c>
      <c r="R663" s="30">
        <f>IF($A663="","",$P663+$Q663+N($K663)-N($L663))</f>
        <v>0</v>
      </c>
      <c r="S663" s="27">
        <f>IF($A663="","",SUMIFS(ItCusto,ItOS,$A663))</f>
        <v>0</v>
      </c>
      <c r="T663" s="27">
        <f>IF($A663="","",$P663*ComMec)</f>
        <v>0</v>
      </c>
      <c r="U663" s="21">
        <f>IF($A663="","",$R663-$S663-$T663-N($K663))</f>
        <v>0</v>
      </c>
      <c r="V663" s="31">
        <f>IF(OR($A663="",N($R663)&lt;=0),"",$U663/$R663)</f>
        <v>0</v>
      </c>
      <c r="W663" s="27">
        <f>IF($A663="","",IF(OR($I663="Finalizado",$I663="Entregue"),MAX(0,$R663-N($O663)),0))</f>
        <v>0</v>
      </c>
      <c r="X663" s="32">
        <f>IF(OR($A663="",$B663=""),"",IF(OR($I663="Entregue",$I663="Cancelada"),"",Hoje-$B663))</f>
        <v>0</v>
      </c>
      <c r="Y663" s="24">
        <f>IF($A663="","",IF(AND(OR($I663="Aprovado",$I663="Em execução",$I663="Aguardando peça"),N($X663)&gt;PrazoMax),"ATRASADA",IF(AND(OR($I663="Finalizado",$I663="Entregue"),$W663&gt;0.005),"Cobrar",IF($I663="Orçamento","Aguardando aprovação",""))))</f>
        <v>0</v>
      </c>
      <c r="Z663" s="33">
        <f>IF(AND($I663="Entregue",$M663&lt;&gt;""),DATE(YEAR($M663),MONTH($M663),1),"")</f>
        <v>0</v>
      </c>
      <c r="AA663" s="34">
        <f>IF(AND($C663&lt;&gt;"",$C663=HistPlaca),COUNTIF($C$5:$C663,HistPlaca),"")</f>
        <v>0</v>
      </c>
    </row>
    <row r="664" spans="1:27">
      <c r="A664" s="17"/>
      <c r="B664" s="25"/>
      <c r="C664" s="13"/>
      <c r="D664" s="26">
        <f>IF($C664="","",IFERROR(INDEX(VeicCli,MATCH($C664,VeicPlaca,0)),"Placa não cadastrada"))</f>
        <v>0</v>
      </c>
      <c r="E664" s="26">
        <f>IF($C664="","",IFERROR(INDEX(VeicModelo,MATCH($C664,VeicPlaca,0)),""))</f>
        <v>0</v>
      </c>
      <c r="F664" s="28"/>
      <c r="G664" s="13"/>
      <c r="H664" s="13"/>
      <c r="I664" s="13"/>
      <c r="J664" s="29"/>
      <c r="K664" s="19"/>
      <c r="L664" s="19"/>
      <c r="M664" s="25"/>
      <c r="N664" s="13"/>
      <c r="O664" s="19"/>
      <c r="P664" s="27">
        <f>IF($A664="","",N($J664)*ValorHora)</f>
        <v>0</v>
      </c>
      <c r="Q664" s="27">
        <f>IF($A664="","",SUMIFS(ItTotal,ItOS,$A664))</f>
        <v>0</v>
      </c>
      <c r="R664" s="30">
        <f>IF($A664="","",$P664+$Q664+N($K664)-N($L664))</f>
        <v>0</v>
      </c>
      <c r="S664" s="27">
        <f>IF($A664="","",SUMIFS(ItCusto,ItOS,$A664))</f>
        <v>0</v>
      </c>
      <c r="T664" s="27">
        <f>IF($A664="","",$P664*ComMec)</f>
        <v>0</v>
      </c>
      <c r="U664" s="21">
        <f>IF($A664="","",$R664-$S664-$T664-N($K664))</f>
        <v>0</v>
      </c>
      <c r="V664" s="31">
        <f>IF(OR($A664="",N($R664)&lt;=0),"",$U664/$R664)</f>
        <v>0</v>
      </c>
      <c r="W664" s="27">
        <f>IF($A664="","",IF(OR($I664="Finalizado",$I664="Entregue"),MAX(0,$R664-N($O664)),0))</f>
        <v>0</v>
      </c>
      <c r="X664" s="32">
        <f>IF(OR($A664="",$B664=""),"",IF(OR($I664="Entregue",$I664="Cancelada"),"",Hoje-$B664))</f>
        <v>0</v>
      </c>
      <c r="Y664" s="24">
        <f>IF($A664="","",IF(AND(OR($I664="Aprovado",$I664="Em execução",$I664="Aguardando peça"),N($X664)&gt;PrazoMax),"ATRASADA",IF(AND(OR($I664="Finalizado",$I664="Entregue"),$W664&gt;0.005),"Cobrar",IF($I664="Orçamento","Aguardando aprovação",""))))</f>
        <v>0</v>
      </c>
      <c r="Z664" s="33">
        <f>IF(AND($I664="Entregue",$M664&lt;&gt;""),DATE(YEAR($M664),MONTH($M664),1),"")</f>
        <v>0</v>
      </c>
      <c r="AA664" s="34">
        <f>IF(AND($C664&lt;&gt;"",$C664=HistPlaca),COUNTIF($C$5:$C664,HistPlaca),"")</f>
        <v>0</v>
      </c>
    </row>
    <row r="665" spans="1:27">
      <c r="A665" s="17"/>
      <c r="B665" s="25"/>
      <c r="C665" s="13"/>
      <c r="D665" s="26">
        <f>IF($C665="","",IFERROR(INDEX(VeicCli,MATCH($C665,VeicPlaca,0)),"Placa não cadastrada"))</f>
        <v>0</v>
      </c>
      <c r="E665" s="26">
        <f>IF($C665="","",IFERROR(INDEX(VeicModelo,MATCH($C665,VeicPlaca,0)),""))</f>
        <v>0</v>
      </c>
      <c r="F665" s="28"/>
      <c r="G665" s="13"/>
      <c r="H665" s="13"/>
      <c r="I665" s="13"/>
      <c r="J665" s="29"/>
      <c r="K665" s="19"/>
      <c r="L665" s="19"/>
      <c r="M665" s="25"/>
      <c r="N665" s="13"/>
      <c r="O665" s="19"/>
      <c r="P665" s="27">
        <f>IF($A665="","",N($J665)*ValorHora)</f>
        <v>0</v>
      </c>
      <c r="Q665" s="27">
        <f>IF($A665="","",SUMIFS(ItTotal,ItOS,$A665))</f>
        <v>0</v>
      </c>
      <c r="R665" s="30">
        <f>IF($A665="","",$P665+$Q665+N($K665)-N($L665))</f>
        <v>0</v>
      </c>
      <c r="S665" s="27">
        <f>IF($A665="","",SUMIFS(ItCusto,ItOS,$A665))</f>
        <v>0</v>
      </c>
      <c r="T665" s="27">
        <f>IF($A665="","",$P665*ComMec)</f>
        <v>0</v>
      </c>
      <c r="U665" s="21">
        <f>IF($A665="","",$R665-$S665-$T665-N($K665))</f>
        <v>0</v>
      </c>
      <c r="V665" s="31">
        <f>IF(OR($A665="",N($R665)&lt;=0),"",$U665/$R665)</f>
        <v>0</v>
      </c>
      <c r="W665" s="27">
        <f>IF($A665="","",IF(OR($I665="Finalizado",$I665="Entregue"),MAX(0,$R665-N($O665)),0))</f>
        <v>0</v>
      </c>
      <c r="X665" s="32">
        <f>IF(OR($A665="",$B665=""),"",IF(OR($I665="Entregue",$I665="Cancelada"),"",Hoje-$B665))</f>
        <v>0</v>
      </c>
      <c r="Y665" s="24">
        <f>IF($A665="","",IF(AND(OR($I665="Aprovado",$I665="Em execução",$I665="Aguardando peça"),N($X665)&gt;PrazoMax),"ATRASADA",IF(AND(OR($I665="Finalizado",$I665="Entregue"),$W665&gt;0.005),"Cobrar",IF($I665="Orçamento","Aguardando aprovação",""))))</f>
        <v>0</v>
      </c>
      <c r="Z665" s="33">
        <f>IF(AND($I665="Entregue",$M665&lt;&gt;""),DATE(YEAR($M665),MONTH($M665),1),"")</f>
        <v>0</v>
      </c>
      <c r="AA665" s="34">
        <f>IF(AND($C665&lt;&gt;"",$C665=HistPlaca),COUNTIF($C$5:$C665,HistPlaca),"")</f>
        <v>0</v>
      </c>
    </row>
    <row r="666" spans="1:27">
      <c r="A666" s="17"/>
      <c r="B666" s="25"/>
      <c r="C666" s="13"/>
      <c r="D666" s="26">
        <f>IF($C666="","",IFERROR(INDEX(VeicCli,MATCH($C666,VeicPlaca,0)),"Placa não cadastrada"))</f>
        <v>0</v>
      </c>
      <c r="E666" s="26">
        <f>IF($C666="","",IFERROR(INDEX(VeicModelo,MATCH($C666,VeicPlaca,0)),""))</f>
        <v>0</v>
      </c>
      <c r="F666" s="28"/>
      <c r="G666" s="13"/>
      <c r="H666" s="13"/>
      <c r="I666" s="13"/>
      <c r="J666" s="29"/>
      <c r="K666" s="19"/>
      <c r="L666" s="19"/>
      <c r="M666" s="25"/>
      <c r="N666" s="13"/>
      <c r="O666" s="19"/>
      <c r="P666" s="27">
        <f>IF($A666="","",N($J666)*ValorHora)</f>
        <v>0</v>
      </c>
      <c r="Q666" s="27">
        <f>IF($A666="","",SUMIFS(ItTotal,ItOS,$A666))</f>
        <v>0</v>
      </c>
      <c r="R666" s="30">
        <f>IF($A666="","",$P666+$Q666+N($K666)-N($L666))</f>
        <v>0</v>
      </c>
      <c r="S666" s="27">
        <f>IF($A666="","",SUMIFS(ItCusto,ItOS,$A666))</f>
        <v>0</v>
      </c>
      <c r="T666" s="27">
        <f>IF($A666="","",$P666*ComMec)</f>
        <v>0</v>
      </c>
      <c r="U666" s="21">
        <f>IF($A666="","",$R666-$S666-$T666-N($K666))</f>
        <v>0</v>
      </c>
      <c r="V666" s="31">
        <f>IF(OR($A666="",N($R666)&lt;=0),"",$U666/$R666)</f>
        <v>0</v>
      </c>
      <c r="W666" s="27">
        <f>IF($A666="","",IF(OR($I666="Finalizado",$I666="Entregue"),MAX(0,$R666-N($O666)),0))</f>
        <v>0</v>
      </c>
      <c r="X666" s="32">
        <f>IF(OR($A666="",$B666=""),"",IF(OR($I666="Entregue",$I666="Cancelada"),"",Hoje-$B666))</f>
        <v>0</v>
      </c>
      <c r="Y666" s="24">
        <f>IF($A666="","",IF(AND(OR($I666="Aprovado",$I666="Em execução",$I666="Aguardando peça"),N($X666)&gt;PrazoMax),"ATRASADA",IF(AND(OR($I666="Finalizado",$I666="Entregue"),$W666&gt;0.005),"Cobrar",IF($I666="Orçamento","Aguardando aprovação",""))))</f>
        <v>0</v>
      </c>
      <c r="Z666" s="33">
        <f>IF(AND($I666="Entregue",$M666&lt;&gt;""),DATE(YEAR($M666),MONTH($M666),1),"")</f>
        <v>0</v>
      </c>
      <c r="AA666" s="34">
        <f>IF(AND($C666&lt;&gt;"",$C666=HistPlaca),COUNTIF($C$5:$C666,HistPlaca),"")</f>
        <v>0</v>
      </c>
    </row>
    <row r="667" spans="1:27">
      <c r="A667" s="17"/>
      <c r="B667" s="25"/>
      <c r="C667" s="13"/>
      <c r="D667" s="26">
        <f>IF($C667="","",IFERROR(INDEX(VeicCli,MATCH($C667,VeicPlaca,0)),"Placa não cadastrada"))</f>
        <v>0</v>
      </c>
      <c r="E667" s="26">
        <f>IF($C667="","",IFERROR(INDEX(VeicModelo,MATCH($C667,VeicPlaca,0)),""))</f>
        <v>0</v>
      </c>
      <c r="F667" s="28"/>
      <c r="G667" s="13"/>
      <c r="H667" s="13"/>
      <c r="I667" s="13"/>
      <c r="J667" s="29"/>
      <c r="K667" s="19"/>
      <c r="L667" s="19"/>
      <c r="M667" s="25"/>
      <c r="N667" s="13"/>
      <c r="O667" s="19"/>
      <c r="P667" s="27">
        <f>IF($A667="","",N($J667)*ValorHora)</f>
        <v>0</v>
      </c>
      <c r="Q667" s="27">
        <f>IF($A667="","",SUMIFS(ItTotal,ItOS,$A667))</f>
        <v>0</v>
      </c>
      <c r="R667" s="30">
        <f>IF($A667="","",$P667+$Q667+N($K667)-N($L667))</f>
        <v>0</v>
      </c>
      <c r="S667" s="27">
        <f>IF($A667="","",SUMIFS(ItCusto,ItOS,$A667))</f>
        <v>0</v>
      </c>
      <c r="T667" s="27">
        <f>IF($A667="","",$P667*ComMec)</f>
        <v>0</v>
      </c>
      <c r="U667" s="21">
        <f>IF($A667="","",$R667-$S667-$T667-N($K667))</f>
        <v>0</v>
      </c>
      <c r="V667" s="31">
        <f>IF(OR($A667="",N($R667)&lt;=0),"",$U667/$R667)</f>
        <v>0</v>
      </c>
      <c r="W667" s="27">
        <f>IF($A667="","",IF(OR($I667="Finalizado",$I667="Entregue"),MAX(0,$R667-N($O667)),0))</f>
        <v>0</v>
      </c>
      <c r="X667" s="32">
        <f>IF(OR($A667="",$B667=""),"",IF(OR($I667="Entregue",$I667="Cancelada"),"",Hoje-$B667))</f>
        <v>0</v>
      </c>
      <c r="Y667" s="24">
        <f>IF($A667="","",IF(AND(OR($I667="Aprovado",$I667="Em execução",$I667="Aguardando peça"),N($X667)&gt;PrazoMax),"ATRASADA",IF(AND(OR($I667="Finalizado",$I667="Entregue"),$W667&gt;0.005),"Cobrar",IF($I667="Orçamento","Aguardando aprovação",""))))</f>
        <v>0</v>
      </c>
      <c r="Z667" s="33">
        <f>IF(AND($I667="Entregue",$M667&lt;&gt;""),DATE(YEAR($M667),MONTH($M667),1),"")</f>
        <v>0</v>
      </c>
      <c r="AA667" s="34">
        <f>IF(AND($C667&lt;&gt;"",$C667=HistPlaca),COUNTIF($C$5:$C667,HistPlaca),"")</f>
        <v>0</v>
      </c>
    </row>
    <row r="668" spans="1:27">
      <c r="A668" s="17"/>
      <c r="B668" s="25"/>
      <c r="C668" s="13"/>
      <c r="D668" s="26">
        <f>IF($C668="","",IFERROR(INDEX(VeicCli,MATCH($C668,VeicPlaca,0)),"Placa não cadastrada"))</f>
        <v>0</v>
      </c>
      <c r="E668" s="26">
        <f>IF($C668="","",IFERROR(INDEX(VeicModelo,MATCH($C668,VeicPlaca,0)),""))</f>
        <v>0</v>
      </c>
      <c r="F668" s="28"/>
      <c r="G668" s="13"/>
      <c r="H668" s="13"/>
      <c r="I668" s="13"/>
      <c r="J668" s="29"/>
      <c r="K668" s="19"/>
      <c r="L668" s="19"/>
      <c r="M668" s="25"/>
      <c r="N668" s="13"/>
      <c r="O668" s="19"/>
      <c r="P668" s="27">
        <f>IF($A668="","",N($J668)*ValorHora)</f>
        <v>0</v>
      </c>
      <c r="Q668" s="27">
        <f>IF($A668="","",SUMIFS(ItTotal,ItOS,$A668))</f>
        <v>0</v>
      </c>
      <c r="R668" s="30">
        <f>IF($A668="","",$P668+$Q668+N($K668)-N($L668))</f>
        <v>0</v>
      </c>
      <c r="S668" s="27">
        <f>IF($A668="","",SUMIFS(ItCusto,ItOS,$A668))</f>
        <v>0</v>
      </c>
      <c r="T668" s="27">
        <f>IF($A668="","",$P668*ComMec)</f>
        <v>0</v>
      </c>
      <c r="U668" s="21">
        <f>IF($A668="","",$R668-$S668-$T668-N($K668))</f>
        <v>0</v>
      </c>
      <c r="V668" s="31">
        <f>IF(OR($A668="",N($R668)&lt;=0),"",$U668/$R668)</f>
        <v>0</v>
      </c>
      <c r="W668" s="27">
        <f>IF($A668="","",IF(OR($I668="Finalizado",$I668="Entregue"),MAX(0,$R668-N($O668)),0))</f>
        <v>0</v>
      </c>
      <c r="X668" s="32">
        <f>IF(OR($A668="",$B668=""),"",IF(OR($I668="Entregue",$I668="Cancelada"),"",Hoje-$B668))</f>
        <v>0</v>
      </c>
      <c r="Y668" s="24">
        <f>IF($A668="","",IF(AND(OR($I668="Aprovado",$I668="Em execução",$I668="Aguardando peça"),N($X668)&gt;PrazoMax),"ATRASADA",IF(AND(OR($I668="Finalizado",$I668="Entregue"),$W668&gt;0.005),"Cobrar",IF($I668="Orçamento","Aguardando aprovação",""))))</f>
        <v>0</v>
      </c>
      <c r="Z668" s="33">
        <f>IF(AND($I668="Entregue",$M668&lt;&gt;""),DATE(YEAR($M668),MONTH($M668),1),"")</f>
        <v>0</v>
      </c>
      <c r="AA668" s="34">
        <f>IF(AND($C668&lt;&gt;"",$C668=HistPlaca),COUNTIF($C$5:$C668,HistPlaca),"")</f>
        <v>0</v>
      </c>
    </row>
    <row r="669" spans="1:27">
      <c r="A669" s="17"/>
      <c r="B669" s="25"/>
      <c r="C669" s="13"/>
      <c r="D669" s="26">
        <f>IF($C669="","",IFERROR(INDEX(VeicCli,MATCH($C669,VeicPlaca,0)),"Placa não cadastrada"))</f>
        <v>0</v>
      </c>
      <c r="E669" s="26">
        <f>IF($C669="","",IFERROR(INDEX(VeicModelo,MATCH($C669,VeicPlaca,0)),""))</f>
        <v>0</v>
      </c>
      <c r="F669" s="28"/>
      <c r="G669" s="13"/>
      <c r="H669" s="13"/>
      <c r="I669" s="13"/>
      <c r="J669" s="29"/>
      <c r="K669" s="19"/>
      <c r="L669" s="19"/>
      <c r="M669" s="25"/>
      <c r="N669" s="13"/>
      <c r="O669" s="19"/>
      <c r="P669" s="27">
        <f>IF($A669="","",N($J669)*ValorHora)</f>
        <v>0</v>
      </c>
      <c r="Q669" s="27">
        <f>IF($A669="","",SUMIFS(ItTotal,ItOS,$A669))</f>
        <v>0</v>
      </c>
      <c r="R669" s="30">
        <f>IF($A669="","",$P669+$Q669+N($K669)-N($L669))</f>
        <v>0</v>
      </c>
      <c r="S669" s="27">
        <f>IF($A669="","",SUMIFS(ItCusto,ItOS,$A669))</f>
        <v>0</v>
      </c>
      <c r="T669" s="27">
        <f>IF($A669="","",$P669*ComMec)</f>
        <v>0</v>
      </c>
      <c r="U669" s="21">
        <f>IF($A669="","",$R669-$S669-$T669-N($K669))</f>
        <v>0</v>
      </c>
      <c r="V669" s="31">
        <f>IF(OR($A669="",N($R669)&lt;=0),"",$U669/$R669)</f>
        <v>0</v>
      </c>
      <c r="W669" s="27">
        <f>IF($A669="","",IF(OR($I669="Finalizado",$I669="Entregue"),MAX(0,$R669-N($O669)),0))</f>
        <v>0</v>
      </c>
      <c r="X669" s="32">
        <f>IF(OR($A669="",$B669=""),"",IF(OR($I669="Entregue",$I669="Cancelada"),"",Hoje-$B669))</f>
        <v>0</v>
      </c>
      <c r="Y669" s="24">
        <f>IF($A669="","",IF(AND(OR($I669="Aprovado",$I669="Em execução",$I669="Aguardando peça"),N($X669)&gt;PrazoMax),"ATRASADA",IF(AND(OR($I669="Finalizado",$I669="Entregue"),$W669&gt;0.005),"Cobrar",IF($I669="Orçamento","Aguardando aprovação",""))))</f>
        <v>0</v>
      </c>
      <c r="Z669" s="33">
        <f>IF(AND($I669="Entregue",$M669&lt;&gt;""),DATE(YEAR($M669),MONTH($M669),1),"")</f>
        <v>0</v>
      </c>
      <c r="AA669" s="34">
        <f>IF(AND($C669&lt;&gt;"",$C669=HistPlaca),COUNTIF($C$5:$C669,HistPlaca),"")</f>
        <v>0</v>
      </c>
    </row>
    <row r="670" spans="1:27">
      <c r="A670" s="17"/>
      <c r="B670" s="25"/>
      <c r="C670" s="13"/>
      <c r="D670" s="26">
        <f>IF($C670="","",IFERROR(INDEX(VeicCli,MATCH($C670,VeicPlaca,0)),"Placa não cadastrada"))</f>
        <v>0</v>
      </c>
      <c r="E670" s="26">
        <f>IF($C670="","",IFERROR(INDEX(VeicModelo,MATCH($C670,VeicPlaca,0)),""))</f>
        <v>0</v>
      </c>
      <c r="F670" s="28"/>
      <c r="G670" s="13"/>
      <c r="H670" s="13"/>
      <c r="I670" s="13"/>
      <c r="J670" s="29"/>
      <c r="K670" s="19"/>
      <c r="L670" s="19"/>
      <c r="M670" s="25"/>
      <c r="N670" s="13"/>
      <c r="O670" s="19"/>
      <c r="P670" s="27">
        <f>IF($A670="","",N($J670)*ValorHora)</f>
        <v>0</v>
      </c>
      <c r="Q670" s="27">
        <f>IF($A670="","",SUMIFS(ItTotal,ItOS,$A670))</f>
        <v>0</v>
      </c>
      <c r="R670" s="30">
        <f>IF($A670="","",$P670+$Q670+N($K670)-N($L670))</f>
        <v>0</v>
      </c>
      <c r="S670" s="27">
        <f>IF($A670="","",SUMIFS(ItCusto,ItOS,$A670))</f>
        <v>0</v>
      </c>
      <c r="T670" s="27">
        <f>IF($A670="","",$P670*ComMec)</f>
        <v>0</v>
      </c>
      <c r="U670" s="21">
        <f>IF($A670="","",$R670-$S670-$T670-N($K670))</f>
        <v>0</v>
      </c>
      <c r="V670" s="31">
        <f>IF(OR($A670="",N($R670)&lt;=0),"",$U670/$R670)</f>
        <v>0</v>
      </c>
      <c r="W670" s="27">
        <f>IF($A670="","",IF(OR($I670="Finalizado",$I670="Entregue"),MAX(0,$R670-N($O670)),0))</f>
        <v>0</v>
      </c>
      <c r="X670" s="32">
        <f>IF(OR($A670="",$B670=""),"",IF(OR($I670="Entregue",$I670="Cancelada"),"",Hoje-$B670))</f>
        <v>0</v>
      </c>
      <c r="Y670" s="24">
        <f>IF($A670="","",IF(AND(OR($I670="Aprovado",$I670="Em execução",$I670="Aguardando peça"),N($X670)&gt;PrazoMax),"ATRASADA",IF(AND(OR($I670="Finalizado",$I670="Entregue"),$W670&gt;0.005),"Cobrar",IF($I670="Orçamento","Aguardando aprovação",""))))</f>
        <v>0</v>
      </c>
      <c r="Z670" s="33">
        <f>IF(AND($I670="Entregue",$M670&lt;&gt;""),DATE(YEAR($M670),MONTH($M670),1),"")</f>
        <v>0</v>
      </c>
      <c r="AA670" s="34">
        <f>IF(AND($C670&lt;&gt;"",$C670=HistPlaca),COUNTIF($C$5:$C670,HistPlaca),"")</f>
        <v>0</v>
      </c>
    </row>
    <row r="671" spans="1:27">
      <c r="A671" s="17"/>
      <c r="B671" s="25"/>
      <c r="C671" s="13"/>
      <c r="D671" s="26">
        <f>IF($C671="","",IFERROR(INDEX(VeicCli,MATCH($C671,VeicPlaca,0)),"Placa não cadastrada"))</f>
        <v>0</v>
      </c>
      <c r="E671" s="26">
        <f>IF($C671="","",IFERROR(INDEX(VeicModelo,MATCH($C671,VeicPlaca,0)),""))</f>
        <v>0</v>
      </c>
      <c r="F671" s="28"/>
      <c r="G671" s="13"/>
      <c r="H671" s="13"/>
      <c r="I671" s="13"/>
      <c r="J671" s="29"/>
      <c r="K671" s="19"/>
      <c r="L671" s="19"/>
      <c r="M671" s="25"/>
      <c r="N671" s="13"/>
      <c r="O671" s="19"/>
      <c r="P671" s="27">
        <f>IF($A671="","",N($J671)*ValorHora)</f>
        <v>0</v>
      </c>
      <c r="Q671" s="27">
        <f>IF($A671="","",SUMIFS(ItTotal,ItOS,$A671))</f>
        <v>0</v>
      </c>
      <c r="R671" s="30">
        <f>IF($A671="","",$P671+$Q671+N($K671)-N($L671))</f>
        <v>0</v>
      </c>
      <c r="S671" s="27">
        <f>IF($A671="","",SUMIFS(ItCusto,ItOS,$A671))</f>
        <v>0</v>
      </c>
      <c r="T671" s="27">
        <f>IF($A671="","",$P671*ComMec)</f>
        <v>0</v>
      </c>
      <c r="U671" s="21">
        <f>IF($A671="","",$R671-$S671-$T671-N($K671))</f>
        <v>0</v>
      </c>
      <c r="V671" s="31">
        <f>IF(OR($A671="",N($R671)&lt;=0),"",$U671/$R671)</f>
        <v>0</v>
      </c>
      <c r="W671" s="27">
        <f>IF($A671="","",IF(OR($I671="Finalizado",$I671="Entregue"),MAX(0,$R671-N($O671)),0))</f>
        <v>0</v>
      </c>
      <c r="X671" s="32">
        <f>IF(OR($A671="",$B671=""),"",IF(OR($I671="Entregue",$I671="Cancelada"),"",Hoje-$B671))</f>
        <v>0</v>
      </c>
      <c r="Y671" s="24">
        <f>IF($A671="","",IF(AND(OR($I671="Aprovado",$I671="Em execução",$I671="Aguardando peça"),N($X671)&gt;PrazoMax),"ATRASADA",IF(AND(OR($I671="Finalizado",$I671="Entregue"),$W671&gt;0.005),"Cobrar",IF($I671="Orçamento","Aguardando aprovação",""))))</f>
        <v>0</v>
      </c>
      <c r="Z671" s="33">
        <f>IF(AND($I671="Entregue",$M671&lt;&gt;""),DATE(YEAR($M671),MONTH($M671),1),"")</f>
        <v>0</v>
      </c>
      <c r="AA671" s="34">
        <f>IF(AND($C671&lt;&gt;"",$C671=HistPlaca),COUNTIF($C$5:$C671,HistPlaca),"")</f>
        <v>0</v>
      </c>
    </row>
    <row r="672" spans="1:27">
      <c r="A672" s="17"/>
      <c r="B672" s="25"/>
      <c r="C672" s="13"/>
      <c r="D672" s="26">
        <f>IF($C672="","",IFERROR(INDEX(VeicCli,MATCH($C672,VeicPlaca,0)),"Placa não cadastrada"))</f>
        <v>0</v>
      </c>
      <c r="E672" s="26">
        <f>IF($C672="","",IFERROR(INDEX(VeicModelo,MATCH($C672,VeicPlaca,0)),""))</f>
        <v>0</v>
      </c>
      <c r="F672" s="28"/>
      <c r="G672" s="13"/>
      <c r="H672" s="13"/>
      <c r="I672" s="13"/>
      <c r="J672" s="29"/>
      <c r="K672" s="19"/>
      <c r="L672" s="19"/>
      <c r="M672" s="25"/>
      <c r="N672" s="13"/>
      <c r="O672" s="19"/>
      <c r="P672" s="27">
        <f>IF($A672="","",N($J672)*ValorHora)</f>
        <v>0</v>
      </c>
      <c r="Q672" s="27">
        <f>IF($A672="","",SUMIFS(ItTotal,ItOS,$A672))</f>
        <v>0</v>
      </c>
      <c r="R672" s="30">
        <f>IF($A672="","",$P672+$Q672+N($K672)-N($L672))</f>
        <v>0</v>
      </c>
      <c r="S672" s="27">
        <f>IF($A672="","",SUMIFS(ItCusto,ItOS,$A672))</f>
        <v>0</v>
      </c>
      <c r="T672" s="27">
        <f>IF($A672="","",$P672*ComMec)</f>
        <v>0</v>
      </c>
      <c r="U672" s="21">
        <f>IF($A672="","",$R672-$S672-$T672-N($K672))</f>
        <v>0</v>
      </c>
      <c r="V672" s="31">
        <f>IF(OR($A672="",N($R672)&lt;=0),"",$U672/$R672)</f>
        <v>0</v>
      </c>
      <c r="W672" s="27">
        <f>IF($A672="","",IF(OR($I672="Finalizado",$I672="Entregue"),MAX(0,$R672-N($O672)),0))</f>
        <v>0</v>
      </c>
      <c r="X672" s="32">
        <f>IF(OR($A672="",$B672=""),"",IF(OR($I672="Entregue",$I672="Cancelada"),"",Hoje-$B672))</f>
        <v>0</v>
      </c>
      <c r="Y672" s="24">
        <f>IF($A672="","",IF(AND(OR($I672="Aprovado",$I672="Em execução",$I672="Aguardando peça"),N($X672)&gt;PrazoMax),"ATRASADA",IF(AND(OR($I672="Finalizado",$I672="Entregue"),$W672&gt;0.005),"Cobrar",IF($I672="Orçamento","Aguardando aprovação",""))))</f>
        <v>0</v>
      </c>
      <c r="Z672" s="33">
        <f>IF(AND($I672="Entregue",$M672&lt;&gt;""),DATE(YEAR($M672),MONTH($M672),1),"")</f>
        <v>0</v>
      </c>
      <c r="AA672" s="34">
        <f>IF(AND($C672&lt;&gt;"",$C672=HistPlaca),COUNTIF($C$5:$C672,HistPlaca),"")</f>
        <v>0</v>
      </c>
    </row>
    <row r="673" spans="1:27">
      <c r="A673" s="17"/>
      <c r="B673" s="25"/>
      <c r="C673" s="13"/>
      <c r="D673" s="26">
        <f>IF($C673="","",IFERROR(INDEX(VeicCli,MATCH($C673,VeicPlaca,0)),"Placa não cadastrada"))</f>
        <v>0</v>
      </c>
      <c r="E673" s="26">
        <f>IF($C673="","",IFERROR(INDEX(VeicModelo,MATCH($C673,VeicPlaca,0)),""))</f>
        <v>0</v>
      </c>
      <c r="F673" s="28"/>
      <c r="G673" s="13"/>
      <c r="H673" s="13"/>
      <c r="I673" s="13"/>
      <c r="J673" s="29"/>
      <c r="K673" s="19"/>
      <c r="L673" s="19"/>
      <c r="M673" s="25"/>
      <c r="N673" s="13"/>
      <c r="O673" s="19"/>
      <c r="P673" s="27">
        <f>IF($A673="","",N($J673)*ValorHora)</f>
        <v>0</v>
      </c>
      <c r="Q673" s="27">
        <f>IF($A673="","",SUMIFS(ItTotal,ItOS,$A673))</f>
        <v>0</v>
      </c>
      <c r="R673" s="30">
        <f>IF($A673="","",$P673+$Q673+N($K673)-N($L673))</f>
        <v>0</v>
      </c>
      <c r="S673" s="27">
        <f>IF($A673="","",SUMIFS(ItCusto,ItOS,$A673))</f>
        <v>0</v>
      </c>
      <c r="T673" s="27">
        <f>IF($A673="","",$P673*ComMec)</f>
        <v>0</v>
      </c>
      <c r="U673" s="21">
        <f>IF($A673="","",$R673-$S673-$T673-N($K673))</f>
        <v>0</v>
      </c>
      <c r="V673" s="31">
        <f>IF(OR($A673="",N($R673)&lt;=0),"",$U673/$R673)</f>
        <v>0</v>
      </c>
      <c r="W673" s="27">
        <f>IF($A673="","",IF(OR($I673="Finalizado",$I673="Entregue"),MAX(0,$R673-N($O673)),0))</f>
        <v>0</v>
      </c>
      <c r="X673" s="32">
        <f>IF(OR($A673="",$B673=""),"",IF(OR($I673="Entregue",$I673="Cancelada"),"",Hoje-$B673))</f>
        <v>0</v>
      </c>
      <c r="Y673" s="24">
        <f>IF($A673="","",IF(AND(OR($I673="Aprovado",$I673="Em execução",$I673="Aguardando peça"),N($X673)&gt;PrazoMax),"ATRASADA",IF(AND(OR($I673="Finalizado",$I673="Entregue"),$W673&gt;0.005),"Cobrar",IF($I673="Orçamento","Aguardando aprovação",""))))</f>
        <v>0</v>
      </c>
      <c r="Z673" s="33">
        <f>IF(AND($I673="Entregue",$M673&lt;&gt;""),DATE(YEAR($M673),MONTH($M673),1),"")</f>
        <v>0</v>
      </c>
      <c r="AA673" s="34">
        <f>IF(AND($C673&lt;&gt;"",$C673=HistPlaca),COUNTIF($C$5:$C673,HistPlaca),"")</f>
        <v>0</v>
      </c>
    </row>
    <row r="674" spans="1:27">
      <c r="A674" s="17"/>
      <c r="B674" s="25"/>
      <c r="C674" s="13"/>
      <c r="D674" s="26">
        <f>IF($C674="","",IFERROR(INDEX(VeicCli,MATCH($C674,VeicPlaca,0)),"Placa não cadastrada"))</f>
        <v>0</v>
      </c>
      <c r="E674" s="26">
        <f>IF($C674="","",IFERROR(INDEX(VeicModelo,MATCH($C674,VeicPlaca,0)),""))</f>
        <v>0</v>
      </c>
      <c r="F674" s="28"/>
      <c r="G674" s="13"/>
      <c r="H674" s="13"/>
      <c r="I674" s="13"/>
      <c r="J674" s="29"/>
      <c r="K674" s="19"/>
      <c r="L674" s="19"/>
      <c r="M674" s="25"/>
      <c r="N674" s="13"/>
      <c r="O674" s="19"/>
      <c r="P674" s="27">
        <f>IF($A674="","",N($J674)*ValorHora)</f>
        <v>0</v>
      </c>
      <c r="Q674" s="27">
        <f>IF($A674="","",SUMIFS(ItTotal,ItOS,$A674))</f>
        <v>0</v>
      </c>
      <c r="R674" s="30">
        <f>IF($A674="","",$P674+$Q674+N($K674)-N($L674))</f>
        <v>0</v>
      </c>
      <c r="S674" s="27">
        <f>IF($A674="","",SUMIFS(ItCusto,ItOS,$A674))</f>
        <v>0</v>
      </c>
      <c r="T674" s="27">
        <f>IF($A674="","",$P674*ComMec)</f>
        <v>0</v>
      </c>
      <c r="U674" s="21">
        <f>IF($A674="","",$R674-$S674-$T674-N($K674))</f>
        <v>0</v>
      </c>
      <c r="V674" s="31">
        <f>IF(OR($A674="",N($R674)&lt;=0),"",$U674/$R674)</f>
        <v>0</v>
      </c>
      <c r="W674" s="27">
        <f>IF($A674="","",IF(OR($I674="Finalizado",$I674="Entregue"),MAX(0,$R674-N($O674)),0))</f>
        <v>0</v>
      </c>
      <c r="X674" s="32">
        <f>IF(OR($A674="",$B674=""),"",IF(OR($I674="Entregue",$I674="Cancelada"),"",Hoje-$B674))</f>
        <v>0</v>
      </c>
      <c r="Y674" s="24">
        <f>IF($A674="","",IF(AND(OR($I674="Aprovado",$I674="Em execução",$I674="Aguardando peça"),N($X674)&gt;PrazoMax),"ATRASADA",IF(AND(OR($I674="Finalizado",$I674="Entregue"),$W674&gt;0.005),"Cobrar",IF($I674="Orçamento","Aguardando aprovação",""))))</f>
        <v>0</v>
      </c>
      <c r="Z674" s="33">
        <f>IF(AND($I674="Entregue",$M674&lt;&gt;""),DATE(YEAR($M674),MONTH($M674),1),"")</f>
        <v>0</v>
      </c>
      <c r="AA674" s="34">
        <f>IF(AND($C674&lt;&gt;"",$C674=HistPlaca),COUNTIF($C$5:$C674,HistPlaca),"")</f>
        <v>0</v>
      </c>
    </row>
    <row r="675" spans="1:27">
      <c r="A675" s="17"/>
      <c r="B675" s="25"/>
      <c r="C675" s="13"/>
      <c r="D675" s="26">
        <f>IF($C675="","",IFERROR(INDEX(VeicCli,MATCH($C675,VeicPlaca,0)),"Placa não cadastrada"))</f>
        <v>0</v>
      </c>
      <c r="E675" s="26">
        <f>IF($C675="","",IFERROR(INDEX(VeicModelo,MATCH($C675,VeicPlaca,0)),""))</f>
        <v>0</v>
      </c>
      <c r="F675" s="28"/>
      <c r="G675" s="13"/>
      <c r="H675" s="13"/>
      <c r="I675" s="13"/>
      <c r="J675" s="29"/>
      <c r="K675" s="19"/>
      <c r="L675" s="19"/>
      <c r="M675" s="25"/>
      <c r="N675" s="13"/>
      <c r="O675" s="19"/>
      <c r="P675" s="27">
        <f>IF($A675="","",N($J675)*ValorHora)</f>
        <v>0</v>
      </c>
      <c r="Q675" s="27">
        <f>IF($A675="","",SUMIFS(ItTotal,ItOS,$A675))</f>
        <v>0</v>
      </c>
      <c r="R675" s="30">
        <f>IF($A675="","",$P675+$Q675+N($K675)-N($L675))</f>
        <v>0</v>
      </c>
      <c r="S675" s="27">
        <f>IF($A675="","",SUMIFS(ItCusto,ItOS,$A675))</f>
        <v>0</v>
      </c>
      <c r="T675" s="27">
        <f>IF($A675="","",$P675*ComMec)</f>
        <v>0</v>
      </c>
      <c r="U675" s="21">
        <f>IF($A675="","",$R675-$S675-$T675-N($K675))</f>
        <v>0</v>
      </c>
      <c r="V675" s="31">
        <f>IF(OR($A675="",N($R675)&lt;=0),"",$U675/$R675)</f>
        <v>0</v>
      </c>
      <c r="W675" s="27">
        <f>IF($A675="","",IF(OR($I675="Finalizado",$I675="Entregue"),MAX(0,$R675-N($O675)),0))</f>
        <v>0</v>
      </c>
      <c r="X675" s="32">
        <f>IF(OR($A675="",$B675=""),"",IF(OR($I675="Entregue",$I675="Cancelada"),"",Hoje-$B675))</f>
        <v>0</v>
      </c>
      <c r="Y675" s="24">
        <f>IF($A675="","",IF(AND(OR($I675="Aprovado",$I675="Em execução",$I675="Aguardando peça"),N($X675)&gt;PrazoMax),"ATRASADA",IF(AND(OR($I675="Finalizado",$I675="Entregue"),$W675&gt;0.005),"Cobrar",IF($I675="Orçamento","Aguardando aprovação",""))))</f>
        <v>0</v>
      </c>
      <c r="Z675" s="33">
        <f>IF(AND($I675="Entregue",$M675&lt;&gt;""),DATE(YEAR($M675),MONTH($M675),1),"")</f>
        <v>0</v>
      </c>
      <c r="AA675" s="34">
        <f>IF(AND($C675&lt;&gt;"",$C675=HistPlaca),COUNTIF($C$5:$C675,HistPlaca),"")</f>
        <v>0</v>
      </c>
    </row>
    <row r="676" spans="1:27">
      <c r="A676" s="17"/>
      <c r="B676" s="25"/>
      <c r="C676" s="13"/>
      <c r="D676" s="26">
        <f>IF($C676="","",IFERROR(INDEX(VeicCli,MATCH($C676,VeicPlaca,0)),"Placa não cadastrada"))</f>
        <v>0</v>
      </c>
      <c r="E676" s="26">
        <f>IF($C676="","",IFERROR(INDEX(VeicModelo,MATCH($C676,VeicPlaca,0)),""))</f>
        <v>0</v>
      </c>
      <c r="F676" s="28"/>
      <c r="G676" s="13"/>
      <c r="H676" s="13"/>
      <c r="I676" s="13"/>
      <c r="J676" s="29"/>
      <c r="K676" s="19"/>
      <c r="L676" s="19"/>
      <c r="M676" s="25"/>
      <c r="N676" s="13"/>
      <c r="O676" s="19"/>
      <c r="P676" s="27">
        <f>IF($A676="","",N($J676)*ValorHora)</f>
        <v>0</v>
      </c>
      <c r="Q676" s="27">
        <f>IF($A676="","",SUMIFS(ItTotal,ItOS,$A676))</f>
        <v>0</v>
      </c>
      <c r="R676" s="30">
        <f>IF($A676="","",$P676+$Q676+N($K676)-N($L676))</f>
        <v>0</v>
      </c>
      <c r="S676" s="27">
        <f>IF($A676="","",SUMIFS(ItCusto,ItOS,$A676))</f>
        <v>0</v>
      </c>
      <c r="T676" s="27">
        <f>IF($A676="","",$P676*ComMec)</f>
        <v>0</v>
      </c>
      <c r="U676" s="21">
        <f>IF($A676="","",$R676-$S676-$T676-N($K676))</f>
        <v>0</v>
      </c>
      <c r="V676" s="31">
        <f>IF(OR($A676="",N($R676)&lt;=0),"",$U676/$R676)</f>
        <v>0</v>
      </c>
      <c r="W676" s="27">
        <f>IF($A676="","",IF(OR($I676="Finalizado",$I676="Entregue"),MAX(0,$R676-N($O676)),0))</f>
        <v>0</v>
      </c>
      <c r="X676" s="32">
        <f>IF(OR($A676="",$B676=""),"",IF(OR($I676="Entregue",$I676="Cancelada"),"",Hoje-$B676))</f>
        <v>0</v>
      </c>
      <c r="Y676" s="24">
        <f>IF($A676="","",IF(AND(OR($I676="Aprovado",$I676="Em execução",$I676="Aguardando peça"),N($X676)&gt;PrazoMax),"ATRASADA",IF(AND(OR($I676="Finalizado",$I676="Entregue"),$W676&gt;0.005),"Cobrar",IF($I676="Orçamento","Aguardando aprovação",""))))</f>
        <v>0</v>
      </c>
      <c r="Z676" s="33">
        <f>IF(AND($I676="Entregue",$M676&lt;&gt;""),DATE(YEAR($M676),MONTH($M676),1),"")</f>
        <v>0</v>
      </c>
      <c r="AA676" s="34">
        <f>IF(AND($C676&lt;&gt;"",$C676=HistPlaca),COUNTIF($C$5:$C676,HistPlaca),"")</f>
        <v>0</v>
      </c>
    </row>
    <row r="677" spans="1:27">
      <c r="A677" s="17"/>
      <c r="B677" s="25"/>
      <c r="C677" s="13"/>
      <c r="D677" s="26">
        <f>IF($C677="","",IFERROR(INDEX(VeicCli,MATCH($C677,VeicPlaca,0)),"Placa não cadastrada"))</f>
        <v>0</v>
      </c>
      <c r="E677" s="26">
        <f>IF($C677="","",IFERROR(INDEX(VeicModelo,MATCH($C677,VeicPlaca,0)),""))</f>
        <v>0</v>
      </c>
      <c r="F677" s="28"/>
      <c r="G677" s="13"/>
      <c r="H677" s="13"/>
      <c r="I677" s="13"/>
      <c r="J677" s="29"/>
      <c r="K677" s="19"/>
      <c r="L677" s="19"/>
      <c r="M677" s="25"/>
      <c r="N677" s="13"/>
      <c r="O677" s="19"/>
      <c r="P677" s="27">
        <f>IF($A677="","",N($J677)*ValorHora)</f>
        <v>0</v>
      </c>
      <c r="Q677" s="27">
        <f>IF($A677="","",SUMIFS(ItTotal,ItOS,$A677))</f>
        <v>0</v>
      </c>
      <c r="R677" s="30">
        <f>IF($A677="","",$P677+$Q677+N($K677)-N($L677))</f>
        <v>0</v>
      </c>
      <c r="S677" s="27">
        <f>IF($A677="","",SUMIFS(ItCusto,ItOS,$A677))</f>
        <v>0</v>
      </c>
      <c r="T677" s="27">
        <f>IF($A677="","",$P677*ComMec)</f>
        <v>0</v>
      </c>
      <c r="U677" s="21">
        <f>IF($A677="","",$R677-$S677-$T677-N($K677))</f>
        <v>0</v>
      </c>
      <c r="V677" s="31">
        <f>IF(OR($A677="",N($R677)&lt;=0),"",$U677/$R677)</f>
        <v>0</v>
      </c>
      <c r="W677" s="27">
        <f>IF($A677="","",IF(OR($I677="Finalizado",$I677="Entregue"),MAX(0,$R677-N($O677)),0))</f>
        <v>0</v>
      </c>
      <c r="X677" s="32">
        <f>IF(OR($A677="",$B677=""),"",IF(OR($I677="Entregue",$I677="Cancelada"),"",Hoje-$B677))</f>
        <v>0</v>
      </c>
      <c r="Y677" s="24">
        <f>IF($A677="","",IF(AND(OR($I677="Aprovado",$I677="Em execução",$I677="Aguardando peça"),N($X677)&gt;PrazoMax),"ATRASADA",IF(AND(OR($I677="Finalizado",$I677="Entregue"),$W677&gt;0.005),"Cobrar",IF($I677="Orçamento","Aguardando aprovação",""))))</f>
        <v>0</v>
      </c>
      <c r="Z677" s="33">
        <f>IF(AND($I677="Entregue",$M677&lt;&gt;""),DATE(YEAR($M677),MONTH($M677),1),"")</f>
        <v>0</v>
      </c>
      <c r="AA677" s="34">
        <f>IF(AND($C677&lt;&gt;"",$C677=HistPlaca),COUNTIF($C$5:$C677,HistPlaca),"")</f>
        <v>0</v>
      </c>
    </row>
    <row r="678" spans="1:27">
      <c r="A678" s="17"/>
      <c r="B678" s="25"/>
      <c r="C678" s="13"/>
      <c r="D678" s="26">
        <f>IF($C678="","",IFERROR(INDEX(VeicCli,MATCH($C678,VeicPlaca,0)),"Placa não cadastrada"))</f>
        <v>0</v>
      </c>
      <c r="E678" s="26">
        <f>IF($C678="","",IFERROR(INDEX(VeicModelo,MATCH($C678,VeicPlaca,0)),""))</f>
        <v>0</v>
      </c>
      <c r="F678" s="28"/>
      <c r="G678" s="13"/>
      <c r="H678" s="13"/>
      <c r="I678" s="13"/>
      <c r="J678" s="29"/>
      <c r="K678" s="19"/>
      <c r="L678" s="19"/>
      <c r="M678" s="25"/>
      <c r="N678" s="13"/>
      <c r="O678" s="19"/>
      <c r="P678" s="27">
        <f>IF($A678="","",N($J678)*ValorHora)</f>
        <v>0</v>
      </c>
      <c r="Q678" s="27">
        <f>IF($A678="","",SUMIFS(ItTotal,ItOS,$A678))</f>
        <v>0</v>
      </c>
      <c r="R678" s="30">
        <f>IF($A678="","",$P678+$Q678+N($K678)-N($L678))</f>
        <v>0</v>
      </c>
      <c r="S678" s="27">
        <f>IF($A678="","",SUMIFS(ItCusto,ItOS,$A678))</f>
        <v>0</v>
      </c>
      <c r="T678" s="27">
        <f>IF($A678="","",$P678*ComMec)</f>
        <v>0</v>
      </c>
      <c r="U678" s="21">
        <f>IF($A678="","",$R678-$S678-$T678-N($K678))</f>
        <v>0</v>
      </c>
      <c r="V678" s="31">
        <f>IF(OR($A678="",N($R678)&lt;=0),"",$U678/$R678)</f>
        <v>0</v>
      </c>
      <c r="W678" s="27">
        <f>IF($A678="","",IF(OR($I678="Finalizado",$I678="Entregue"),MAX(0,$R678-N($O678)),0))</f>
        <v>0</v>
      </c>
      <c r="X678" s="32">
        <f>IF(OR($A678="",$B678=""),"",IF(OR($I678="Entregue",$I678="Cancelada"),"",Hoje-$B678))</f>
        <v>0</v>
      </c>
      <c r="Y678" s="24">
        <f>IF($A678="","",IF(AND(OR($I678="Aprovado",$I678="Em execução",$I678="Aguardando peça"),N($X678)&gt;PrazoMax),"ATRASADA",IF(AND(OR($I678="Finalizado",$I678="Entregue"),$W678&gt;0.005),"Cobrar",IF($I678="Orçamento","Aguardando aprovação",""))))</f>
        <v>0</v>
      </c>
      <c r="Z678" s="33">
        <f>IF(AND($I678="Entregue",$M678&lt;&gt;""),DATE(YEAR($M678),MONTH($M678),1),"")</f>
        <v>0</v>
      </c>
      <c r="AA678" s="34">
        <f>IF(AND($C678&lt;&gt;"",$C678=HistPlaca),COUNTIF($C$5:$C678,HistPlaca),"")</f>
        <v>0</v>
      </c>
    </row>
    <row r="679" spans="1:27">
      <c r="A679" s="17"/>
      <c r="B679" s="25"/>
      <c r="C679" s="13"/>
      <c r="D679" s="26">
        <f>IF($C679="","",IFERROR(INDEX(VeicCli,MATCH($C679,VeicPlaca,0)),"Placa não cadastrada"))</f>
        <v>0</v>
      </c>
      <c r="E679" s="26">
        <f>IF($C679="","",IFERROR(INDEX(VeicModelo,MATCH($C679,VeicPlaca,0)),""))</f>
        <v>0</v>
      </c>
      <c r="F679" s="28"/>
      <c r="G679" s="13"/>
      <c r="H679" s="13"/>
      <c r="I679" s="13"/>
      <c r="J679" s="29"/>
      <c r="K679" s="19"/>
      <c r="L679" s="19"/>
      <c r="M679" s="25"/>
      <c r="N679" s="13"/>
      <c r="O679" s="19"/>
      <c r="P679" s="27">
        <f>IF($A679="","",N($J679)*ValorHora)</f>
        <v>0</v>
      </c>
      <c r="Q679" s="27">
        <f>IF($A679="","",SUMIFS(ItTotal,ItOS,$A679))</f>
        <v>0</v>
      </c>
      <c r="R679" s="30">
        <f>IF($A679="","",$P679+$Q679+N($K679)-N($L679))</f>
        <v>0</v>
      </c>
      <c r="S679" s="27">
        <f>IF($A679="","",SUMIFS(ItCusto,ItOS,$A679))</f>
        <v>0</v>
      </c>
      <c r="T679" s="27">
        <f>IF($A679="","",$P679*ComMec)</f>
        <v>0</v>
      </c>
      <c r="U679" s="21">
        <f>IF($A679="","",$R679-$S679-$T679-N($K679))</f>
        <v>0</v>
      </c>
      <c r="V679" s="31">
        <f>IF(OR($A679="",N($R679)&lt;=0),"",$U679/$R679)</f>
        <v>0</v>
      </c>
      <c r="W679" s="27">
        <f>IF($A679="","",IF(OR($I679="Finalizado",$I679="Entregue"),MAX(0,$R679-N($O679)),0))</f>
        <v>0</v>
      </c>
      <c r="X679" s="32">
        <f>IF(OR($A679="",$B679=""),"",IF(OR($I679="Entregue",$I679="Cancelada"),"",Hoje-$B679))</f>
        <v>0</v>
      </c>
      <c r="Y679" s="24">
        <f>IF($A679="","",IF(AND(OR($I679="Aprovado",$I679="Em execução",$I679="Aguardando peça"),N($X679)&gt;PrazoMax),"ATRASADA",IF(AND(OR($I679="Finalizado",$I679="Entregue"),$W679&gt;0.005),"Cobrar",IF($I679="Orçamento","Aguardando aprovação",""))))</f>
        <v>0</v>
      </c>
      <c r="Z679" s="33">
        <f>IF(AND($I679="Entregue",$M679&lt;&gt;""),DATE(YEAR($M679),MONTH($M679),1),"")</f>
        <v>0</v>
      </c>
      <c r="AA679" s="34">
        <f>IF(AND($C679&lt;&gt;"",$C679=HistPlaca),COUNTIF($C$5:$C679,HistPlaca),"")</f>
        <v>0</v>
      </c>
    </row>
    <row r="680" spans="1:27">
      <c r="A680" s="17"/>
      <c r="B680" s="25"/>
      <c r="C680" s="13"/>
      <c r="D680" s="26">
        <f>IF($C680="","",IFERROR(INDEX(VeicCli,MATCH($C680,VeicPlaca,0)),"Placa não cadastrada"))</f>
        <v>0</v>
      </c>
      <c r="E680" s="26">
        <f>IF($C680="","",IFERROR(INDEX(VeicModelo,MATCH($C680,VeicPlaca,0)),""))</f>
        <v>0</v>
      </c>
      <c r="F680" s="28"/>
      <c r="G680" s="13"/>
      <c r="H680" s="13"/>
      <c r="I680" s="13"/>
      <c r="J680" s="29"/>
      <c r="K680" s="19"/>
      <c r="L680" s="19"/>
      <c r="M680" s="25"/>
      <c r="N680" s="13"/>
      <c r="O680" s="19"/>
      <c r="P680" s="27">
        <f>IF($A680="","",N($J680)*ValorHora)</f>
        <v>0</v>
      </c>
      <c r="Q680" s="27">
        <f>IF($A680="","",SUMIFS(ItTotal,ItOS,$A680))</f>
        <v>0</v>
      </c>
      <c r="R680" s="30">
        <f>IF($A680="","",$P680+$Q680+N($K680)-N($L680))</f>
        <v>0</v>
      </c>
      <c r="S680" s="27">
        <f>IF($A680="","",SUMIFS(ItCusto,ItOS,$A680))</f>
        <v>0</v>
      </c>
      <c r="T680" s="27">
        <f>IF($A680="","",$P680*ComMec)</f>
        <v>0</v>
      </c>
      <c r="U680" s="21">
        <f>IF($A680="","",$R680-$S680-$T680-N($K680))</f>
        <v>0</v>
      </c>
      <c r="V680" s="31">
        <f>IF(OR($A680="",N($R680)&lt;=0),"",$U680/$R680)</f>
        <v>0</v>
      </c>
      <c r="W680" s="27">
        <f>IF($A680="","",IF(OR($I680="Finalizado",$I680="Entregue"),MAX(0,$R680-N($O680)),0))</f>
        <v>0</v>
      </c>
      <c r="X680" s="32">
        <f>IF(OR($A680="",$B680=""),"",IF(OR($I680="Entregue",$I680="Cancelada"),"",Hoje-$B680))</f>
        <v>0</v>
      </c>
      <c r="Y680" s="24">
        <f>IF($A680="","",IF(AND(OR($I680="Aprovado",$I680="Em execução",$I680="Aguardando peça"),N($X680)&gt;PrazoMax),"ATRASADA",IF(AND(OR($I680="Finalizado",$I680="Entregue"),$W680&gt;0.005),"Cobrar",IF($I680="Orçamento","Aguardando aprovação",""))))</f>
        <v>0</v>
      </c>
      <c r="Z680" s="33">
        <f>IF(AND($I680="Entregue",$M680&lt;&gt;""),DATE(YEAR($M680),MONTH($M680),1),"")</f>
        <v>0</v>
      </c>
      <c r="AA680" s="34">
        <f>IF(AND($C680&lt;&gt;"",$C680=HistPlaca),COUNTIF($C$5:$C680,HistPlaca),"")</f>
        <v>0</v>
      </c>
    </row>
    <row r="681" spans="1:27">
      <c r="A681" s="17"/>
      <c r="B681" s="25"/>
      <c r="C681" s="13"/>
      <c r="D681" s="26">
        <f>IF($C681="","",IFERROR(INDEX(VeicCli,MATCH($C681,VeicPlaca,0)),"Placa não cadastrada"))</f>
        <v>0</v>
      </c>
      <c r="E681" s="26">
        <f>IF($C681="","",IFERROR(INDEX(VeicModelo,MATCH($C681,VeicPlaca,0)),""))</f>
        <v>0</v>
      </c>
      <c r="F681" s="28"/>
      <c r="G681" s="13"/>
      <c r="H681" s="13"/>
      <c r="I681" s="13"/>
      <c r="J681" s="29"/>
      <c r="K681" s="19"/>
      <c r="L681" s="19"/>
      <c r="M681" s="25"/>
      <c r="N681" s="13"/>
      <c r="O681" s="19"/>
      <c r="P681" s="27">
        <f>IF($A681="","",N($J681)*ValorHora)</f>
        <v>0</v>
      </c>
      <c r="Q681" s="27">
        <f>IF($A681="","",SUMIFS(ItTotal,ItOS,$A681))</f>
        <v>0</v>
      </c>
      <c r="R681" s="30">
        <f>IF($A681="","",$P681+$Q681+N($K681)-N($L681))</f>
        <v>0</v>
      </c>
      <c r="S681" s="27">
        <f>IF($A681="","",SUMIFS(ItCusto,ItOS,$A681))</f>
        <v>0</v>
      </c>
      <c r="T681" s="27">
        <f>IF($A681="","",$P681*ComMec)</f>
        <v>0</v>
      </c>
      <c r="U681" s="21">
        <f>IF($A681="","",$R681-$S681-$T681-N($K681))</f>
        <v>0</v>
      </c>
      <c r="V681" s="31">
        <f>IF(OR($A681="",N($R681)&lt;=0),"",$U681/$R681)</f>
        <v>0</v>
      </c>
      <c r="W681" s="27">
        <f>IF($A681="","",IF(OR($I681="Finalizado",$I681="Entregue"),MAX(0,$R681-N($O681)),0))</f>
        <v>0</v>
      </c>
      <c r="X681" s="32">
        <f>IF(OR($A681="",$B681=""),"",IF(OR($I681="Entregue",$I681="Cancelada"),"",Hoje-$B681))</f>
        <v>0</v>
      </c>
      <c r="Y681" s="24">
        <f>IF($A681="","",IF(AND(OR($I681="Aprovado",$I681="Em execução",$I681="Aguardando peça"),N($X681)&gt;PrazoMax),"ATRASADA",IF(AND(OR($I681="Finalizado",$I681="Entregue"),$W681&gt;0.005),"Cobrar",IF($I681="Orçamento","Aguardando aprovação",""))))</f>
        <v>0</v>
      </c>
      <c r="Z681" s="33">
        <f>IF(AND($I681="Entregue",$M681&lt;&gt;""),DATE(YEAR($M681),MONTH($M681),1),"")</f>
        <v>0</v>
      </c>
      <c r="AA681" s="34">
        <f>IF(AND($C681&lt;&gt;"",$C681=HistPlaca),COUNTIF($C$5:$C681,HistPlaca),"")</f>
        <v>0</v>
      </c>
    </row>
    <row r="682" spans="1:27">
      <c r="A682" s="17"/>
      <c r="B682" s="25"/>
      <c r="C682" s="13"/>
      <c r="D682" s="26">
        <f>IF($C682="","",IFERROR(INDEX(VeicCli,MATCH($C682,VeicPlaca,0)),"Placa não cadastrada"))</f>
        <v>0</v>
      </c>
      <c r="E682" s="26">
        <f>IF($C682="","",IFERROR(INDEX(VeicModelo,MATCH($C682,VeicPlaca,0)),""))</f>
        <v>0</v>
      </c>
      <c r="F682" s="28"/>
      <c r="G682" s="13"/>
      <c r="H682" s="13"/>
      <c r="I682" s="13"/>
      <c r="J682" s="29"/>
      <c r="K682" s="19"/>
      <c r="L682" s="19"/>
      <c r="M682" s="25"/>
      <c r="N682" s="13"/>
      <c r="O682" s="19"/>
      <c r="P682" s="27">
        <f>IF($A682="","",N($J682)*ValorHora)</f>
        <v>0</v>
      </c>
      <c r="Q682" s="27">
        <f>IF($A682="","",SUMIFS(ItTotal,ItOS,$A682))</f>
        <v>0</v>
      </c>
      <c r="R682" s="30">
        <f>IF($A682="","",$P682+$Q682+N($K682)-N($L682))</f>
        <v>0</v>
      </c>
      <c r="S682" s="27">
        <f>IF($A682="","",SUMIFS(ItCusto,ItOS,$A682))</f>
        <v>0</v>
      </c>
      <c r="T682" s="27">
        <f>IF($A682="","",$P682*ComMec)</f>
        <v>0</v>
      </c>
      <c r="U682" s="21">
        <f>IF($A682="","",$R682-$S682-$T682-N($K682))</f>
        <v>0</v>
      </c>
      <c r="V682" s="31">
        <f>IF(OR($A682="",N($R682)&lt;=0),"",$U682/$R682)</f>
        <v>0</v>
      </c>
      <c r="W682" s="27">
        <f>IF($A682="","",IF(OR($I682="Finalizado",$I682="Entregue"),MAX(0,$R682-N($O682)),0))</f>
        <v>0</v>
      </c>
      <c r="X682" s="32">
        <f>IF(OR($A682="",$B682=""),"",IF(OR($I682="Entregue",$I682="Cancelada"),"",Hoje-$B682))</f>
        <v>0</v>
      </c>
      <c r="Y682" s="24">
        <f>IF($A682="","",IF(AND(OR($I682="Aprovado",$I682="Em execução",$I682="Aguardando peça"),N($X682)&gt;PrazoMax),"ATRASADA",IF(AND(OR($I682="Finalizado",$I682="Entregue"),$W682&gt;0.005),"Cobrar",IF($I682="Orçamento","Aguardando aprovação",""))))</f>
        <v>0</v>
      </c>
      <c r="Z682" s="33">
        <f>IF(AND($I682="Entregue",$M682&lt;&gt;""),DATE(YEAR($M682),MONTH($M682),1),"")</f>
        <v>0</v>
      </c>
      <c r="AA682" s="34">
        <f>IF(AND($C682&lt;&gt;"",$C682=HistPlaca),COUNTIF($C$5:$C682,HistPlaca),"")</f>
        <v>0</v>
      </c>
    </row>
    <row r="683" spans="1:27">
      <c r="A683" s="17"/>
      <c r="B683" s="25"/>
      <c r="C683" s="13"/>
      <c r="D683" s="26">
        <f>IF($C683="","",IFERROR(INDEX(VeicCli,MATCH($C683,VeicPlaca,0)),"Placa não cadastrada"))</f>
        <v>0</v>
      </c>
      <c r="E683" s="26">
        <f>IF($C683="","",IFERROR(INDEX(VeicModelo,MATCH($C683,VeicPlaca,0)),""))</f>
        <v>0</v>
      </c>
      <c r="F683" s="28"/>
      <c r="G683" s="13"/>
      <c r="H683" s="13"/>
      <c r="I683" s="13"/>
      <c r="J683" s="29"/>
      <c r="K683" s="19"/>
      <c r="L683" s="19"/>
      <c r="M683" s="25"/>
      <c r="N683" s="13"/>
      <c r="O683" s="19"/>
      <c r="P683" s="27">
        <f>IF($A683="","",N($J683)*ValorHora)</f>
        <v>0</v>
      </c>
      <c r="Q683" s="27">
        <f>IF($A683="","",SUMIFS(ItTotal,ItOS,$A683))</f>
        <v>0</v>
      </c>
      <c r="R683" s="30">
        <f>IF($A683="","",$P683+$Q683+N($K683)-N($L683))</f>
        <v>0</v>
      </c>
      <c r="S683" s="27">
        <f>IF($A683="","",SUMIFS(ItCusto,ItOS,$A683))</f>
        <v>0</v>
      </c>
      <c r="T683" s="27">
        <f>IF($A683="","",$P683*ComMec)</f>
        <v>0</v>
      </c>
      <c r="U683" s="21">
        <f>IF($A683="","",$R683-$S683-$T683-N($K683))</f>
        <v>0</v>
      </c>
      <c r="V683" s="31">
        <f>IF(OR($A683="",N($R683)&lt;=0),"",$U683/$R683)</f>
        <v>0</v>
      </c>
      <c r="W683" s="27">
        <f>IF($A683="","",IF(OR($I683="Finalizado",$I683="Entregue"),MAX(0,$R683-N($O683)),0))</f>
        <v>0</v>
      </c>
      <c r="X683" s="32">
        <f>IF(OR($A683="",$B683=""),"",IF(OR($I683="Entregue",$I683="Cancelada"),"",Hoje-$B683))</f>
        <v>0</v>
      </c>
      <c r="Y683" s="24">
        <f>IF($A683="","",IF(AND(OR($I683="Aprovado",$I683="Em execução",$I683="Aguardando peça"),N($X683)&gt;PrazoMax),"ATRASADA",IF(AND(OR($I683="Finalizado",$I683="Entregue"),$W683&gt;0.005),"Cobrar",IF($I683="Orçamento","Aguardando aprovação",""))))</f>
        <v>0</v>
      </c>
      <c r="Z683" s="33">
        <f>IF(AND($I683="Entregue",$M683&lt;&gt;""),DATE(YEAR($M683),MONTH($M683),1),"")</f>
        <v>0</v>
      </c>
      <c r="AA683" s="34">
        <f>IF(AND($C683&lt;&gt;"",$C683=HistPlaca),COUNTIF($C$5:$C683,HistPlaca),"")</f>
        <v>0</v>
      </c>
    </row>
    <row r="684" spans="1:27">
      <c r="A684" s="17"/>
      <c r="B684" s="25"/>
      <c r="C684" s="13"/>
      <c r="D684" s="26">
        <f>IF($C684="","",IFERROR(INDEX(VeicCli,MATCH($C684,VeicPlaca,0)),"Placa não cadastrada"))</f>
        <v>0</v>
      </c>
      <c r="E684" s="26">
        <f>IF($C684="","",IFERROR(INDEX(VeicModelo,MATCH($C684,VeicPlaca,0)),""))</f>
        <v>0</v>
      </c>
      <c r="F684" s="28"/>
      <c r="G684" s="13"/>
      <c r="H684" s="13"/>
      <c r="I684" s="13"/>
      <c r="J684" s="29"/>
      <c r="K684" s="19"/>
      <c r="L684" s="19"/>
      <c r="M684" s="25"/>
      <c r="N684" s="13"/>
      <c r="O684" s="19"/>
      <c r="P684" s="27">
        <f>IF($A684="","",N($J684)*ValorHora)</f>
        <v>0</v>
      </c>
      <c r="Q684" s="27">
        <f>IF($A684="","",SUMIFS(ItTotal,ItOS,$A684))</f>
        <v>0</v>
      </c>
      <c r="R684" s="30">
        <f>IF($A684="","",$P684+$Q684+N($K684)-N($L684))</f>
        <v>0</v>
      </c>
      <c r="S684" s="27">
        <f>IF($A684="","",SUMIFS(ItCusto,ItOS,$A684))</f>
        <v>0</v>
      </c>
      <c r="T684" s="27">
        <f>IF($A684="","",$P684*ComMec)</f>
        <v>0</v>
      </c>
      <c r="U684" s="21">
        <f>IF($A684="","",$R684-$S684-$T684-N($K684))</f>
        <v>0</v>
      </c>
      <c r="V684" s="31">
        <f>IF(OR($A684="",N($R684)&lt;=0),"",$U684/$R684)</f>
        <v>0</v>
      </c>
      <c r="W684" s="27">
        <f>IF($A684="","",IF(OR($I684="Finalizado",$I684="Entregue"),MAX(0,$R684-N($O684)),0))</f>
        <v>0</v>
      </c>
      <c r="X684" s="32">
        <f>IF(OR($A684="",$B684=""),"",IF(OR($I684="Entregue",$I684="Cancelada"),"",Hoje-$B684))</f>
        <v>0</v>
      </c>
      <c r="Y684" s="24">
        <f>IF($A684="","",IF(AND(OR($I684="Aprovado",$I684="Em execução",$I684="Aguardando peça"),N($X684)&gt;PrazoMax),"ATRASADA",IF(AND(OR($I684="Finalizado",$I684="Entregue"),$W684&gt;0.005),"Cobrar",IF($I684="Orçamento","Aguardando aprovação",""))))</f>
        <v>0</v>
      </c>
      <c r="Z684" s="33">
        <f>IF(AND($I684="Entregue",$M684&lt;&gt;""),DATE(YEAR($M684),MONTH($M684),1),"")</f>
        <v>0</v>
      </c>
      <c r="AA684" s="34">
        <f>IF(AND($C684&lt;&gt;"",$C684=HistPlaca),COUNTIF($C$5:$C684,HistPlaca),"")</f>
        <v>0</v>
      </c>
    </row>
    <row r="685" spans="1:27">
      <c r="A685" s="17"/>
      <c r="B685" s="25"/>
      <c r="C685" s="13"/>
      <c r="D685" s="26">
        <f>IF($C685="","",IFERROR(INDEX(VeicCli,MATCH($C685,VeicPlaca,0)),"Placa não cadastrada"))</f>
        <v>0</v>
      </c>
      <c r="E685" s="26">
        <f>IF($C685="","",IFERROR(INDEX(VeicModelo,MATCH($C685,VeicPlaca,0)),""))</f>
        <v>0</v>
      </c>
      <c r="F685" s="28"/>
      <c r="G685" s="13"/>
      <c r="H685" s="13"/>
      <c r="I685" s="13"/>
      <c r="J685" s="29"/>
      <c r="K685" s="19"/>
      <c r="L685" s="19"/>
      <c r="M685" s="25"/>
      <c r="N685" s="13"/>
      <c r="O685" s="19"/>
      <c r="P685" s="27">
        <f>IF($A685="","",N($J685)*ValorHora)</f>
        <v>0</v>
      </c>
      <c r="Q685" s="27">
        <f>IF($A685="","",SUMIFS(ItTotal,ItOS,$A685))</f>
        <v>0</v>
      </c>
      <c r="R685" s="30">
        <f>IF($A685="","",$P685+$Q685+N($K685)-N($L685))</f>
        <v>0</v>
      </c>
      <c r="S685" s="27">
        <f>IF($A685="","",SUMIFS(ItCusto,ItOS,$A685))</f>
        <v>0</v>
      </c>
      <c r="T685" s="27">
        <f>IF($A685="","",$P685*ComMec)</f>
        <v>0</v>
      </c>
      <c r="U685" s="21">
        <f>IF($A685="","",$R685-$S685-$T685-N($K685))</f>
        <v>0</v>
      </c>
      <c r="V685" s="31">
        <f>IF(OR($A685="",N($R685)&lt;=0),"",$U685/$R685)</f>
        <v>0</v>
      </c>
      <c r="W685" s="27">
        <f>IF($A685="","",IF(OR($I685="Finalizado",$I685="Entregue"),MAX(0,$R685-N($O685)),0))</f>
        <v>0</v>
      </c>
      <c r="X685" s="32">
        <f>IF(OR($A685="",$B685=""),"",IF(OR($I685="Entregue",$I685="Cancelada"),"",Hoje-$B685))</f>
        <v>0</v>
      </c>
      <c r="Y685" s="24">
        <f>IF($A685="","",IF(AND(OR($I685="Aprovado",$I685="Em execução",$I685="Aguardando peça"),N($X685)&gt;PrazoMax),"ATRASADA",IF(AND(OR($I685="Finalizado",$I685="Entregue"),$W685&gt;0.005),"Cobrar",IF($I685="Orçamento","Aguardando aprovação",""))))</f>
        <v>0</v>
      </c>
      <c r="Z685" s="33">
        <f>IF(AND($I685="Entregue",$M685&lt;&gt;""),DATE(YEAR($M685),MONTH($M685),1),"")</f>
        <v>0</v>
      </c>
      <c r="AA685" s="34">
        <f>IF(AND($C685&lt;&gt;"",$C685=HistPlaca),COUNTIF($C$5:$C685,HistPlaca),"")</f>
        <v>0</v>
      </c>
    </row>
    <row r="686" spans="1:27">
      <c r="A686" s="17"/>
      <c r="B686" s="25"/>
      <c r="C686" s="13"/>
      <c r="D686" s="26">
        <f>IF($C686="","",IFERROR(INDEX(VeicCli,MATCH($C686,VeicPlaca,0)),"Placa não cadastrada"))</f>
        <v>0</v>
      </c>
      <c r="E686" s="26">
        <f>IF($C686="","",IFERROR(INDEX(VeicModelo,MATCH($C686,VeicPlaca,0)),""))</f>
        <v>0</v>
      </c>
      <c r="F686" s="28"/>
      <c r="G686" s="13"/>
      <c r="H686" s="13"/>
      <c r="I686" s="13"/>
      <c r="J686" s="29"/>
      <c r="K686" s="19"/>
      <c r="L686" s="19"/>
      <c r="M686" s="25"/>
      <c r="N686" s="13"/>
      <c r="O686" s="19"/>
      <c r="P686" s="27">
        <f>IF($A686="","",N($J686)*ValorHora)</f>
        <v>0</v>
      </c>
      <c r="Q686" s="27">
        <f>IF($A686="","",SUMIFS(ItTotal,ItOS,$A686))</f>
        <v>0</v>
      </c>
      <c r="R686" s="30">
        <f>IF($A686="","",$P686+$Q686+N($K686)-N($L686))</f>
        <v>0</v>
      </c>
      <c r="S686" s="27">
        <f>IF($A686="","",SUMIFS(ItCusto,ItOS,$A686))</f>
        <v>0</v>
      </c>
      <c r="T686" s="27">
        <f>IF($A686="","",$P686*ComMec)</f>
        <v>0</v>
      </c>
      <c r="U686" s="21">
        <f>IF($A686="","",$R686-$S686-$T686-N($K686))</f>
        <v>0</v>
      </c>
      <c r="V686" s="31">
        <f>IF(OR($A686="",N($R686)&lt;=0),"",$U686/$R686)</f>
        <v>0</v>
      </c>
      <c r="W686" s="27">
        <f>IF($A686="","",IF(OR($I686="Finalizado",$I686="Entregue"),MAX(0,$R686-N($O686)),0))</f>
        <v>0</v>
      </c>
      <c r="X686" s="32">
        <f>IF(OR($A686="",$B686=""),"",IF(OR($I686="Entregue",$I686="Cancelada"),"",Hoje-$B686))</f>
        <v>0</v>
      </c>
      <c r="Y686" s="24">
        <f>IF($A686="","",IF(AND(OR($I686="Aprovado",$I686="Em execução",$I686="Aguardando peça"),N($X686)&gt;PrazoMax),"ATRASADA",IF(AND(OR($I686="Finalizado",$I686="Entregue"),$W686&gt;0.005),"Cobrar",IF($I686="Orçamento","Aguardando aprovação",""))))</f>
        <v>0</v>
      </c>
      <c r="Z686" s="33">
        <f>IF(AND($I686="Entregue",$M686&lt;&gt;""),DATE(YEAR($M686),MONTH($M686),1),"")</f>
        <v>0</v>
      </c>
      <c r="AA686" s="34">
        <f>IF(AND($C686&lt;&gt;"",$C686=HistPlaca),COUNTIF($C$5:$C686,HistPlaca),"")</f>
        <v>0</v>
      </c>
    </row>
    <row r="687" spans="1:27">
      <c r="A687" s="17"/>
      <c r="B687" s="25"/>
      <c r="C687" s="13"/>
      <c r="D687" s="26">
        <f>IF($C687="","",IFERROR(INDEX(VeicCli,MATCH($C687,VeicPlaca,0)),"Placa não cadastrada"))</f>
        <v>0</v>
      </c>
      <c r="E687" s="26">
        <f>IF($C687="","",IFERROR(INDEX(VeicModelo,MATCH($C687,VeicPlaca,0)),""))</f>
        <v>0</v>
      </c>
      <c r="F687" s="28"/>
      <c r="G687" s="13"/>
      <c r="H687" s="13"/>
      <c r="I687" s="13"/>
      <c r="J687" s="29"/>
      <c r="K687" s="19"/>
      <c r="L687" s="19"/>
      <c r="M687" s="25"/>
      <c r="N687" s="13"/>
      <c r="O687" s="19"/>
      <c r="P687" s="27">
        <f>IF($A687="","",N($J687)*ValorHora)</f>
        <v>0</v>
      </c>
      <c r="Q687" s="27">
        <f>IF($A687="","",SUMIFS(ItTotal,ItOS,$A687))</f>
        <v>0</v>
      </c>
      <c r="R687" s="30">
        <f>IF($A687="","",$P687+$Q687+N($K687)-N($L687))</f>
        <v>0</v>
      </c>
      <c r="S687" s="27">
        <f>IF($A687="","",SUMIFS(ItCusto,ItOS,$A687))</f>
        <v>0</v>
      </c>
      <c r="T687" s="27">
        <f>IF($A687="","",$P687*ComMec)</f>
        <v>0</v>
      </c>
      <c r="U687" s="21">
        <f>IF($A687="","",$R687-$S687-$T687-N($K687))</f>
        <v>0</v>
      </c>
      <c r="V687" s="31">
        <f>IF(OR($A687="",N($R687)&lt;=0),"",$U687/$R687)</f>
        <v>0</v>
      </c>
      <c r="W687" s="27">
        <f>IF($A687="","",IF(OR($I687="Finalizado",$I687="Entregue"),MAX(0,$R687-N($O687)),0))</f>
        <v>0</v>
      </c>
      <c r="X687" s="32">
        <f>IF(OR($A687="",$B687=""),"",IF(OR($I687="Entregue",$I687="Cancelada"),"",Hoje-$B687))</f>
        <v>0</v>
      </c>
      <c r="Y687" s="24">
        <f>IF($A687="","",IF(AND(OR($I687="Aprovado",$I687="Em execução",$I687="Aguardando peça"),N($X687)&gt;PrazoMax),"ATRASADA",IF(AND(OR($I687="Finalizado",$I687="Entregue"),$W687&gt;0.005),"Cobrar",IF($I687="Orçamento","Aguardando aprovação",""))))</f>
        <v>0</v>
      </c>
      <c r="Z687" s="33">
        <f>IF(AND($I687="Entregue",$M687&lt;&gt;""),DATE(YEAR($M687),MONTH($M687),1),"")</f>
        <v>0</v>
      </c>
      <c r="AA687" s="34">
        <f>IF(AND($C687&lt;&gt;"",$C687=HistPlaca),COUNTIF($C$5:$C687,HistPlaca),"")</f>
        <v>0</v>
      </c>
    </row>
    <row r="688" spans="1:27">
      <c r="A688" s="17"/>
      <c r="B688" s="25"/>
      <c r="C688" s="13"/>
      <c r="D688" s="26">
        <f>IF($C688="","",IFERROR(INDEX(VeicCli,MATCH($C688,VeicPlaca,0)),"Placa não cadastrada"))</f>
        <v>0</v>
      </c>
      <c r="E688" s="26">
        <f>IF($C688="","",IFERROR(INDEX(VeicModelo,MATCH($C688,VeicPlaca,0)),""))</f>
        <v>0</v>
      </c>
      <c r="F688" s="28"/>
      <c r="G688" s="13"/>
      <c r="H688" s="13"/>
      <c r="I688" s="13"/>
      <c r="J688" s="29"/>
      <c r="K688" s="19"/>
      <c r="L688" s="19"/>
      <c r="M688" s="25"/>
      <c r="N688" s="13"/>
      <c r="O688" s="19"/>
      <c r="P688" s="27">
        <f>IF($A688="","",N($J688)*ValorHora)</f>
        <v>0</v>
      </c>
      <c r="Q688" s="27">
        <f>IF($A688="","",SUMIFS(ItTotal,ItOS,$A688))</f>
        <v>0</v>
      </c>
      <c r="R688" s="30">
        <f>IF($A688="","",$P688+$Q688+N($K688)-N($L688))</f>
        <v>0</v>
      </c>
      <c r="S688" s="27">
        <f>IF($A688="","",SUMIFS(ItCusto,ItOS,$A688))</f>
        <v>0</v>
      </c>
      <c r="T688" s="27">
        <f>IF($A688="","",$P688*ComMec)</f>
        <v>0</v>
      </c>
      <c r="U688" s="21">
        <f>IF($A688="","",$R688-$S688-$T688-N($K688))</f>
        <v>0</v>
      </c>
      <c r="V688" s="31">
        <f>IF(OR($A688="",N($R688)&lt;=0),"",$U688/$R688)</f>
        <v>0</v>
      </c>
      <c r="W688" s="27">
        <f>IF($A688="","",IF(OR($I688="Finalizado",$I688="Entregue"),MAX(0,$R688-N($O688)),0))</f>
        <v>0</v>
      </c>
      <c r="X688" s="32">
        <f>IF(OR($A688="",$B688=""),"",IF(OR($I688="Entregue",$I688="Cancelada"),"",Hoje-$B688))</f>
        <v>0</v>
      </c>
      <c r="Y688" s="24">
        <f>IF($A688="","",IF(AND(OR($I688="Aprovado",$I688="Em execução",$I688="Aguardando peça"),N($X688)&gt;PrazoMax),"ATRASADA",IF(AND(OR($I688="Finalizado",$I688="Entregue"),$W688&gt;0.005),"Cobrar",IF($I688="Orçamento","Aguardando aprovação",""))))</f>
        <v>0</v>
      </c>
      <c r="Z688" s="33">
        <f>IF(AND($I688="Entregue",$M688&lt;&gt;""),DATE(YEAR($M688),MONTH($M688),1),"")</f>
        <v>0</v>
      </c>
      <c r="AA688" s="34">
        <f>IF(AND($C688&lt;&gt;"",$C688=HistPlaca),COUNTIF($C$5:$C688,HistPlaca),"")</f>
        <v>0</v>
      </c>
    </row>
    <row r="689" spans="1:27">
      <c r="A689" s="17"/>
      <c r="B689" s="25"/>
      <c r="C689" s="13"/>
      <c r="D689" s="26">
        <f>IF($C689="","",IFERROR(INDEX(VeicCli,MATCH($C689,VeicPlaca,0)),"Placa não cadastrada"))</f>
        <v>0</v>
      </c>
      <c r="E689" s="26">
        <f>IF($C689="","",IFERROR(INDEX(VeicModelo,MATCH($C689,VeicPlaca,0)),""))</f>
        <v>0</v>
      </c>
      <c r="F689" s="28"/>
      <c r="G689" s="13"/>
      <c r="H689" s="13"/>
      <c r="I689" s="13"/>
      <c r="J689" s="29"/>
      <c r="K689" s="19"/>
      <c r="L689" s="19"/>
      <c r="M689" s="25"/>
      <c r="N689" s="13"/>
      <c r="O689" s="19"/>
      <c r="P689" s="27">
        <f>IF($A689="","",N($J689)*ValorHora)</f>
        <v>0</v>
      </c>
      <c r="Q689" s="27">
        <f>IF($A689="","",SUMIFS(ItTotal,ItOS,$A689))</f>
        <v>0</v>
      </c>
      <c r="R689" s="30">
        <f>IF($A689="","",$P689+$Q689+N($K689)-N($L689))</f>
        <v>0</v>
      </c>
      <c r="S689" s="27">
        <f>IF($A689="","",SUMIFS(ItCusto,ItOS,$A689))</f>
        <v>0</v>
      </c>
      <c r="T689" s="27">
        <f>IF($A689="","",$P689*ComMec)</f>
        <v>0</v>
      </c>
      <c r="U689" s="21">
        <f>IF($A689="","",$R689-$S689-$T689-N($K689))</f>
        <v>0</v>
      </c>
      <c r="V689" s="31">
        <f>IF(OR($A689="",N($R689)&lt;=0),"",$U689/$R689)</f>
        <v>0</v>
      </c>
      <c r="W689" s="27">
        <f>IF($A689="","",IF(OR($I689="Finalizado",$I689="Entregue"),MAX(0,$R689-N($O689)),0))</f>
        <v>0</v>
      </c>
      <c r="X689" s="32">
        <f>IF(OR($A689="",$B689=""),"",IF(OR($I689="Entregue",$I689="Cancelada"),"",Hoje-$B689))</f>
        <v>0</v>
      </c>
      <c r="Y689" s="24">
        <f>IF($A689="","",IF(AND(OR($I689="Aprovado",$I689="Em execução",$I689="Aguardando peça"),N($X689)&gt;PrazoMax),"ATRASADA",IF(AND(OR($I689="Finalizado",$I689="Entregue"),$W689&gt;0.005),"Cobrar",IF($I689="Orçamento","Aguardando aprovação",""))))</f>
        <v>0</v>
      </c>
      <c r="Z689" s="33">
        <f>IF(AND($I689="Entregue",$M689&lt;&gt;""),DATE(YEAR($M689),MONTH($M689),1),"")</f>
        <v>0</v>
      </c>
      <c r="AA689" s="34">
        <f>IF(AND($C689&lt;&gt;"",$C689=HistPlaca),COUNTIF($C$5:$C689,HistPlaca),"")</f>
        <v>0</v>
      </c>
    </row>
    <row r="690" spans="1:27">
      <c r="A690" s="17"/>
      <c r="B690" s="25"/>
      <c r="C690" s="13"/>
      <c r="D690" s="26">
        <f>IF($C690="","",IFERROR(INDEX(VeicCli,MATCH($C690,VeicPlaca,0)),"Placa não cadastrada"))</f>
        <v>0</v>
      </c>
      <c r="E690" s="26">
        <f>IF($C690="","",IFERROR(INDEX(VeicModelo,MATCH($C690,VeicPlaca,0)),""))</f>
        <v>0</v>
      </c>
      <c r="F690" s="28"/>
      <c r="G690" s="13"/>
      <c r="H690" s="13"/>
      <c r="I690" s="13"/>
      <c r="J690" s="29"/>
      <c r="K690" s="19"/>
      <c r="L690" s="19"/>
      <c r="M690" s="25"/>
      <c r="N690" s="13"/>
      <c r="O690" s="19"/>
      <c r="P690" s="27">
        <f>IF($A690="","",N($J690)*ValorHora)</f>
        <v>0</v>
      </c>
      <c r="Q690" s="27">
        <f>IF($A690="","",SUMIFS(ItTotal,ItOS,$A690))</f>
        <v>0</v>
      </c>
      <c r="R690" s="30">
        <f>IF($A690="","",$P690+$Q690+N($K690)-N($L690))</f>
        <v>0</v>
      </c>
      <c r="S690" s="27">
        <f>IF($A690="","",SUMIFS(ItCusto,ItOS,$A690))</f>
        <v>0</v>
      </c>
      <c r="T690" s="27">
        <f>IF($A690="","",$P690*ComMec)</f>
        <v>0</v>
      </c>
      <c r="U690" s="21">
        <f>IF($A690="","",$R690-$S690-$T690-N($K690))</f>
        <v>0</v>
      </c>
      <c r="V690" s="31">
        <f>IF(OR($A690="",N($R690)&lt;=0),"",$U690/$R690)</f>
        <v>0</v>
      </c>
      <c r="W690" s="27">
        <f>IF($A690="","",IF(OR($I690="Finalizado",$I690="Entregue"),MAX(0,$R690-N($O690)),0))</f>
        <v>0</v>
      </c>
      <c r="X690" s="32">
        <f>IF(OR($A690="",$B690=""),"",IF(OR($I690="Entregue",$I690="Cancelada"),"",Hoje-$B690))</f>
        <v>0</v>
      </c>
      <c r="Y690" s="24">
        <f>IF($A690="","",IF(AND(OR($I690="Aprovado",$I690="Em execução",$I690="Aguardando peça"),N($X690)&gt;PrazoMax),"ATRASADA",IF(AND(OR($I690="Finalizado",$I690="Entregue"),$W690&gt;0.005),"Cobrar",IF($I690="Orçamento","Aguardando aprovação",""))))</f>
        <v>0</v>
      </c>
      <c r="Z690" s="33">
        <f>IF(AND($I690="Entregue",$M690&lt;&gt;""),DATE(YEAR($M690),MONTH($M690),1),"")</f>
        <v>0</v>
      </c>
      <c r="AA690" s="34">
        <f>IF(AND($C690&lt;&gt;"",$C690=HistPlaca),COUNTIF($C$5:$C690,HistPlaca),"")</f>
        <v>0</v>
      </c>
    </row>
    <row r="691" spans="1:27">
      <c r="A691" s="17"/>
      <c r="B691" s="25"/>
      <c r="C691" s="13"/>
      <c r="D691" s="26">
        <f>IF($C691="","",IFERROR(INDEX(VeicCli,MATCH($C691,VeicPlaca,0)),"Placa não cadastrada"))</f>
        <v>0</v>
      </c>
      <c r="E691" s="26">
        <f>IF($C691="","",IFERROR(INDEX(VeicModelo,MATCH($C691,VeicPlaca,0)),""))</f>
        <v>0</v>
      </c>
      <c r="F691" s="28"/>
      <c r="G691" s="13"/>
      <c r="H691" s="13"/>
      <c r="I691" s="13"/>
      <c r="J691" s="29"/>
      <c r="K691" s="19"/>
      <c r="L691" s="19"/>
      <c r="M691" s="25"/>
      <c r="N691" s="13"/>
      <c r="O691" s="19"/>
      <c r="P691" s="27">
        <f>IF($A691="","",N($J691)*ValorHora)</f>
        <v>0</v>
      </c>
      <c r="Q691" s="27">
        <f>IF($A691="","",SUMIFS(ItTotal,ItOS,$A691))</f>
        <v>0</v>
      </c>
      <c r="R691" s="30">
        <f>IF($A691="","",$P691+$Q691+N($K691)-N($L691))</f>
        <v>0</v>
      </c>
      <c r="S691" s="27">
        <f>IF($A691="","",SUMIFS(ItCusto,ItOS,$A691))</f>
        <v>0</v>
      </c>
      <c r="T691" s="27">
        <f>IF($A691="","",$P691*ComMec)</f>
        <v>0</v>
      </c>
      <c r="U691" s="21">
        <f>IF($A691="","",$R691-$S691-$T691-N($K691))</f>
        <v>0</v>
      </c>
      <c r="V691" s="31">
        <f>IF(OR($A691="",N($R691)&lt;=0),"",$U691/$R691)</f>
        <v>0</v>
      </c>
      <c r="W691" s="27">
        <f>IF($A691="","",IF(OR($I691="Finalizado",$I691="Entregue"),MAX(0,$R691-N($O691)),0))</f>
        <v>0</v>
      </c>
      <c r="X691" s="32">
        <f>IF(OR($A691="",$B691=""),"",IF(OR($I691="Entregue",$I691="Cancelada"),"",Hoje-$B691))</f>
        <v>0</v>
      </c>
      <c r="Y691" s="24">
        <f>IF($A691="","",IF(AND(OR($I691="Aprovado",$I691="Em execução",$I691="Aguardando peça"),N($X691)&gt;PrazoMax),"ATRASADA",IF(AND(OR($I691="Finalizado",$I691="Entregue"),$W691&gt;0.005),"Cobrar",IF($I691="Orçamento","Aguardando aprovação",""))))</f>
        <v>0</v>
      </c>
      <c r="Z691" s="33">
        <f>IF(AND($I691="Entregue",$M691&lt;&gt;""),DATE(YEAR($M691),MONTH($M691),1),"")</f>
        <v>0</v>
      </c>
      <c r="AA691" s="34">
        <f>IF(AND($C691&lt;&gt;"",$C691=HistPlaca),COUNTIF($C$5:$C691,HistPlaca),"")</f>
        <v>0</v>
      </c>
    </row>
    <row r="692" spans="1:27">
      <c r="A692" s="17"/>
      <c r="B692" s="25"/>
      <c r="C692" s="13"/>
      <c r="D692" s="26">
        <f>IF($C692="","",IFERROR(INDEX(VeicCli,MATCH($C692,VeicPlaca,0)),"Placa não cadastrada"))</f>
        <v>0</v>
      </c>
      <c r="E692" s="26">
        <f>IF($C692="","",IFERROR(INDEX(VeicModelo,MATCH($C692,VeicPlaca,0)),""))</f>
        <v>0</v>
      </c>
      <c r="F692" s="28"/>
      <c r="G692" s="13"/>
      <c r="H692" s="13"/>
      <c r="I692" s="13"/>
      <c r="J692" s="29"/>
      <c r="K692" s="19"/>
      <c r="L692" s="19"/>
      <c r="M692" s="25"/>
      <c r="N692" s="13"/>
      <c r="O692" s="19"/>
      <c r="P692" s="27">
        <f>IF($A692="","",N($J692)*ValorHora)</f>
        <v>0</v>
      </c>
      <c r="Q692" s="27">
        <f>IF($A692="","",SUMIFS(ItTotal,ItOS,$A692))</f>
        <v>0</v>
      </c>
      <c r="R692" s="30">
        <f>IF($A692="","",$P692+$Q692+N($K692)-N($L692))</f>
        <v>0</v>
      </c>
      <c r="S692" s="27">
        <f>IF($A692="","",SUMIFS(ItCusto,ItOS,$A692))</f>
        <v>0</v>
      </c>
      <c r="T692" s="27">
        <f>IF($A692="","",$P692*ComMec)</f>
        <v>0</v>
      </c>
      <c r="U692" s="21">
        <f>IF($A692="","",$R692-$S692-$T692-N($K692))</f>
        <v>0</v>
      </c>
      <c r="V692" s="31">
        <f>IF(OR($A692="",N($R692)&lt;=0),"",$U692/$R692)</f>
        <v>0</v>
      </c>
      <c r="W692" s="27">
        <f>IF($A692="","",IF(OR($I692="Finalizado",$I692="Entregue"),MAX(0,$R692-N($O692)),0))</f>
        <v>0</v>
      </c>
      <c r="X692" s="32">
        <f>IF(OR($A692="",$B692=""),"",IF(OR($I692="Entregue",$I692="Cancelada"),"",Hoje-$B692))</f>
        <v>0</v>
      </c>
      <c r="Y692" s="24">
        <f>IF($A692="","",IF(AND(OR($I692="Aprovado",$I692="Em execução",$I692="Aguardando peça"),N($X692)&gt;PrazoMax),"ATRASADA",IF(AND(OR($I692="Finalizado",$I692="Entregue"),$W692&gt;0.005),"Cobrar",IF($I692="Orçamento","Aguardando aprovação",""))))</f>
        <v>0</v>
      </c>
      <c r="Z692" s="33">
        <f>IF(AND($I692="Entregue",$M692&lt;&gt;""),DATE(YEAR($M692),MONTH($M692),1),"")</f>
        <v>0</v>
      </c>
      <c r="AA692" s="34">
        <f>IF(AND($C692&lt;&gt;"",$C692=HistPlaca),COUNTIF($C$5:$C692,HistPlaca),"")</f>
        <v>0</v>
      </c>
    </row>
    <row r="693" spans="1:27">
      <c r="A693" s="17"/>
      <c r="B693" s="25"/>
      <c r="C693" s="13"/>
      <c r="D693" s="26">
        <f>IF($C693="","",IFERROR(INDEX(VeicCli,MATCH($C693,VeicPlaca,0)),"Placa não cadastrada"))</f>
        <v>0</v>
      </c>
      <c r="E693" s="26">
        <f>IF($C693="","",IFERROR(INDEX(VeicModelo,MATCH($C693,VeicPlaca,0)),""))</f>
        <v>0</v>
      </c>
      <c r="F693" s="28"/>
      <c r="G693" s="13"/>
      <c r="H693" s="13"/>
      <c r="I693" s="13"/>
      <c r="J693" s="29"/>
      <c r="K693" s="19"/>
      <c r="L693" s="19"/>
      <c r="M693" s="25"/>
      <c r="N693" s="13"/>
      <c r="O693" s="19"/>
      <c r="P693" s="27">
        <f>IF($A693="","",N($J693)*ValorHora)</f>
        <v>0</v>
      </c>
      <c r="Q693" s="27">
        <f>IF($A693="","",SUMIFS(ItTotal,ItOS,$A693))</f>
        <v>0</v>
      </c>
      <c r="R693" s="30">
        <f>IF($A693="","",$P693+$Q693+N($K693)-N($L693))</f>
        <v>0</v>
      </c>
      <c r="S693" s="27">
        <f>IF($A693="","",SUMIFS(ItCusto,ItOS,$A693))</f>
        <v>0</v>
      </c>
      <c r="T693" s="27">
        <f>IF($A693="","",$P693*ComMec)</f>
        <v>0</v>
      </c>
      <c r="U693" s="21">
        <f>IF($A693="","",$R693-$S693-$T693-N($K693))</f>
        <v>0</v>
      </c>
      <c r="V693" s="31">
        <f>IF(OR($A693="",N($R693)&lt;=0),"",$U693/$R693)</f>
        <v>0</v>
      </c>
      <c r="W693" s="27">
        <f>IF($A693="","",IF(OR($I693="Finalizado",$I693="Entregue"),MAX(0,$R693-N($O693)),0))</f>
        <v>0</v>
      </c>
      <c r="X693" s="32">
        <f>IF(OR($A693="",$B693=""),"",IF(OR($I693="Entregue",$I693="Cancelada"),"",Hoje-$B693))</f>
        <v>0</v>
      </c>
      <c r="Y693" s="24">
        <f>IF($A693="","",IF(AND(OR($I693="Aprovado",$I693="Em execução",$I693="Aguardando peça"),N($X693)&gt;PrazoMax),"ATRASADA",IF(AND(OR($I693="Finalizado",$I693="Entregue"),$W693&gt;0.005),"Cobrar",IF($I693="Orçamento","Aguardando aprovação",""))))</f>
        <v>0</v>
      </c>
      <c r="Z693" s="33">
        <f>IF(AND($I693="Entregue",$M693&lt;&gt;""),DATE(YEAR($M693),MONTH($M693),1),"")</f>
        <v>0</v>
      </c>
      <c r="AA693" s="34">
        <f>IF(AND($C693&lt;&gt;"",$C693=HistPlaca),COUNTIF($C$5:$C693,HistPlaca),"")</f>
        <v>0</v>
      </c>
    </row>
    <row r="694" spans="1:27">
      <c r="A694" s="17"/>
      <c r="B694" s="25"/>
      <c r="C694" s="13"/>
      <c r="D694" s="26">
        <f>IF($C694="","",IFERROR(INDEX(VeicCli,MATCH($C694,VeicPlaca,0)),"Placa não cadastrada"))</f>
        <v>0</v>
      </c>
      <c r="E694" s="26">
        <f>IF($C694="","",IFERROR(INDEX(VeicModelo,MATCH($C694,VeicPlaca,0)),""))</f>
        <v>0</v>
      </c>
      <c r="F694" s="28"/>
      <c r="G694" s="13"/>
      <c r="H694" s="13"/>
      <c r="I694" s="13"/>
      <c r="J694" s="29"/>
      <c r="K694" s="19"/>
      <c r="L694" s="19"/>
      <c r="M694" s="25"/>
      <c r="N694" s="13"/>
      <c r="O694" s="19"/>
      <c r="P694" s="27">
        <f>IF($A694="","",N($J694)*ValorHora)</f>
        <v>0</v>
      </c>
      <c r="Q694" s="27">
        <f>IF($A694="","",SUMIFS(ItTotal,ItOS,$A694))</f>
        <v>0</v>
      </c>
      <c r="R694" s="30">
        <f>IF($A694="","",$P694+$Q694+N($K694)-N($L694))</f>
        <v>0</v>
      </c>
      <c r="S694" s="27">
        <f>IF($A694="","",SUMIFS(ItCusto,ItOS,$A694))</f>
        <v>0</v>
      </c>
      <c r="T694" s="27">
        <f>IF($A694="","",$P694*ComMec)</f>
        <v>0</v>
      </c>
      <c r="U694" s="21">
        <f>IF($A694="","",$R694-$S694-$T694-N($K694))</f>
        <v>0</v>
      </c>
      <c r="V694" s="31">
        <f>IF(OR($A694="",N($R694)&lt;=0),"",$U694/$R694)</f>
        <v>0</v>
      </c>
      <c r="W694" s="27">
        <f>IF($A694="","",IF(OR($I694="Finalizado",$I694="Entregue"),MAX(0,$R694-N($O694)),0))</f>
        <v>0</v>
      </c>
      <c r="X694" s="32">
        <f>IF(OR($A694="",$B694=""),"",IF(OR($I694="Entregue",$I694="Cancelada"),"",Hoje-$B694))</f>
        <v>0</v>
      </c>
      <c r="Y694" s="24">
        <f>IF($A694="","",IF(AND(OR($I694="Aprovado",$I694="Em execução",$I694="Aguardando peça"),N($X694)&gt;PrazoMax),"ATRASADA",IF(AND(OR($I694="Finalizado",$I694="Entregue"),$W694&gt;0.005),"Cobrar",IF($I694="Orçamento","Aguardando aprovação",""))))</f>
        <v>0</v>
      </c>
      <c r="Z694" s="33">
        <f>IF(AND($I694="Entregue",$M694&lt;&gt;""),DATE(YEAR($M694),MONTH($M694),1),"")</f>
        <v>0</v>
      </c>
      <c r="AA694" s="34">
        <f>IF(AND($C694&lt;&gt;"",$C694=HistPlaca),COUNTIF($C$5:$C694,HistPlaca),"")</f>
        <v>0</v>
      </c>
    </row>
    <row r="695" spans="1:27">
      <c r="A695" s="17"/>
      <c r="B695" s="25"/>
      <c r="C695" s="13"/>
      <c r="D695" s="26">
        <f>IF($C695="","",IFERROR(INDEX(VeicCli,MATCH($C695,VeicPlaca,0)),"Placa não cadastrada"))</f>
        <v>0</v>
      </c>
      <c r="E695" s="26">
        <f>IF($C695="","",IFERROR(INDEX(VeicModelo,MATCH($C695,VeicPlaca,0)),""))</f>
        <v>0</v>
      </c>
      <c r="F695" s="28"/>
      <c r="G695" s="13"/>
      <c r="H695" s="13"/>
      <c r="I695" s="13"/>
      <c r="J695" s="29"/>
      <c r="K695" s="19"/>
      <c r="L695" s="19"/>
      <c r="M695" s="25"/>
      <c r="N695" s="13"/>
      <c r="O695" s="19"/>
      <c r="P695" s="27">
        <f>IF($A695="","",N($J695)*ValorHora)</f>
        <v>0</v>
      </c>
      <c r="Q695" s="27">
        <f>IF($A695="","",SUMIFS(ItTotal,ItOS,$A695))</f>
        <v>0</v>
      </c>
      <c r="R695" s="30">
        <f>IF($A695="","",$P695+$Q695+N($K695)-N($L695))</f>
        <v>0</v>
      </c>
      <c r="S695" s="27">
        <f>IF($A695="","",SUMIFS(ItCusto,ItOS,$A695))</f>
        <v>0</v>
      </c>
      <c r="T695" s="27">
        <f>IF($A695="","",$P695*ComMec)</f>
        <v>0</v>
      </c>
      <c r="U695" s="21">
        <f>IF($A695="","",$R695-$S695-$T695-N($K695))</f>
        <v>0</v>
      </c>
      <c r="V695" s="31">
        <f>IF(OR($A695="",N($R695)&lt;=0),"",$U695/$R695)</f>
        <v>0</v>
      </c>
      <c r="W695" s="27">
        <f>IF($A695="","",IF(OR($I695="Finalizado",$I695="Entregue"),MAX(0,$R695-N($O695)),0))</f>
        <v>0</v>
      </c>
      <c r="X695" s="32">
        <f>IF(OR($A695="",$B695=""),"",IF(OR($I695="Entregue",$I695="Cancelada"),"",Hoje-$B695))</f>
        <v>0</v>
      </c>
      <c r="Y695" s="24">
        <f>IF($A695="","",IF(AND(OR($I695="Aprovado",$I695="Em execução",$I695="Aguardando peça"),N($X695)&gt;PrazoMax),"ATRASADA",IF(AND(OR($I695="Finalizado",$I695="Entregue"),$W695&gt;0.005),"Cobrar",IF($I695="Orçamento","Aguardando aprovação",""))))</f>
        <v>0</v>
      </c>
      <c r="Z695" s="33">
        <f>IF(AND($I695="Entregue",$M695&lt;&gt;""),DATE(YEAR($M695),MONTH($M695),1),"")</f>
        <v>0</v>
      </c>
      <c r="AA695" s="34">
        <f>IF(AND($C695&lt;&gt;"",$C695=HistPlaca),COUNTIF($C$5:$C695,HistPlaca),"")</f>
        <v>0</v>
      </c>
    </row>
    <row r="696" spans="1:27">
      <c r="A696" s="17"/>
      <c r="B696" s="25"/>
      <c r="C696" s="13"/>
      <c r="D696" s="26">
        <f>IF($C696="","",IFERROR(INDEX(VeicCli,MATCH($C696,VeicPlaca,0)),"Placa não cadastrada"))</f>
        <v>0</v>
      </c>
      <c r="E696" s="26">
        <f>IF($C696="","",IFERROR(INDEX(VeicModelo,MATCH($C696,VeicPlaca,0)),""))</f>
        <v>0</v>
      </c>
      <c r="F696" s="28"/>
      <c r="G696" s="13"/>
      <c r="H696" s="13"/>
      <c r="I696" s="13"/>
      <c r="J696" s="29"/>
      <c r="K696" s="19"/>
      <c r="L696" s="19"/>
      <c r="M696" s="25"/>
      <c r="N696" s="13"/>
      <c r="O696" s="19"/>
      <c r="P696" s="27">
        <f>IF($A696="","",N($J696)*ValorHora)</f>
        <v>0</v>
      </c>
      <c r="Q696" s="27">
        <f>IF($A696="","",SUMIFS(ItTotal,ItOS,$A696))</f>
        <v>0</v>
      </c>
      <c r="R696" s="30">
        <f>IF($A696="","",$P696+$Q696+N($K696)-N($L696))</f>
        <v>0</v>
      </c>
      <c r="S696" s="27">
        <f>IF($A696="","",SUMIFS(ItCusto,ItOS,$A696))</f>
        <v>0</v>
      </c>
      <c r="T696" s="27">
        <f>IF($A696="","",$P696*ComMec)</f>
        <v>0</v>
      </c>
      <c r="U696" s="21">
        <f>IF($A696="","",$R696-$S696-$T696-N($K696))</f>
        <v>0</v>
      </c>
      <c r="V696" s="31">
        <f>IF(OR($A696="",N($R696)&lt;=0),"",$U696/$R696)</f>
        <v>0</v>
      </c>
      <c r="W696" s="27">
        <f>IF($A696="","",IF(OR($I696="Finalizado",$I696="Entregue"),MAX(0,$R696-N($O696)),0))</f>
        <v>0</v>
      </c>
      <c r="X696" s="32">
        <f>IF(OR($A696="",$B696=""),"",IF(OR($I696="Entregue",$I696="Cancelada"),"",Hoje-$B696))</f>
        <v>0</v>
      </c>
      <c r="Y696" s="24">
        <f>IF($A696="","",IF(AND(OR($I696="Aprovado",$I696="Em execução",$I696="Aguardando peça"),N($X696)&gt;PrazoMax),"ATRASADA",IF(AND(OR($I696="Finalizado",$I696="Entregue"),$W696&gt;0.005),"Cobrar",IF($I696="Orçamento","Aguardando aprovação",""))))</f>
        <v>0</v>
      </c>
      <c r="Z696" s="33">
        <f>IF(AND($I696="Entregue",$M696&lt;&gt;""),DATE(YEAR($M696),MONTH($M696),1),"")</f>
        <v>0</v>
      </c>
      <c r="AA696" s="34">
        <f>IF(AND($C696&lt;&gt;"",$C696=HistPlaca),COUNTIF($C$5:$C696,HistPlaca),"")</f>
        <v>0</v>
      </c>
    </row>
    <row r="697" spans="1:27">
      <c r="A697" s="17"/>
      <c r="B697" s="25"/>
      <c r="C697" s="13"/>
      <c r="D697" s="26">
        <f>IF($C697="","",IFERROR(INDEX(VeicCli,MATCH($C697,VeicPlaca,0)),"Placa não cadastrada"))</f>
        <v>0</v>
      </c>
      <c r="E697" s="26">
        <f>IF($C697="","",IFERROR(INDEX(VeicModelo,MATCH($C697,VeicPlaca,0)),""))</f>
        <v>0</v>
      </c>
      <c r="F697" s="28"/>
      <c r="G697" s="13"/>
      <c r="H697" s="13"/>
      <c r="I697" s="13"/>
      <c r="J697" s="29"/>
      <c r="K697" s="19"/>
      <c r="L697" s="19"/>
      <c r="M697" s="25"/>
      <c r="N697" s="13"/>
      <c r="O697" s="19"/>
      <c r="P697" s="27">
        <f>IF($A697="","",N($J697)*ValorHora)</f>
        <v>0</v>
      </c>
      <c r="Q697" s="27">
        <f>IF($A697="","",SUMIFS(ItTotal,ItOS,$A697))</f>
        <v>0</v>
      </c>
      <c r="R697" s="30">
        <f>IF($A697="","",$P697+$Q697+N($K697)-N($L697))</f>
        <v>0</v>
      </c>
      <c r="S697" s="27">
        <f>IF($A697="","",SUMIFS(ItCusto,ItOS,$A697))</f>
        <v>0</v>
      </c>
      <c r="T697" s="27">
        <f>IF($A697="","",$P697*ComMec)</f>
        <v>0</v>
      </c>
      <c r="U697" s="21">
        <f>IF($A697="","",$R697-$S697-$T697-N($K697))</f>
        <v>0</v>
      </c>
      <c r="V697" s="31">
        <f>IF(OR($A697="",N($R697)&lt;=0),"",$U697/$R697)</f>
        <v>0</v>
      </c>
      <c r="W697" s="27">
        <f>IF($A697="","",IF(OR($I697="Finalizado",$I697="Entregue"),MAX(0,$R697-N($O697)),0))</f>
        <v>0</v>
      </c>
      <c r="X697" s="32">
        <f>IF(OR($A697="",$B697=""),"",IF(OR($I697="Entregue",$I697="Cancelada"),"",Hoje-$B697))</f>
        <v>0</v>
      </c>
      <c r="Y697" s="24">
        <f>IF($A697="","",IF(AND(OR($I697="Aprovado",$I697="Em execução",$I697="Aguardando peça"),N($X697)&gt;PrazoMax),"ATRASADA",IF(AND(OR($I697="Finalizado",$I697="Entregue"),$W697&gt;0.005),"Cobrar",IF($I697="Orçamento","Aguardando aprovação",""))))</f>
        <v>0</v>
      </c>
      <c r="Z697" s="33">
        <f>IF(AND($I697="Entregue",$M697&lt;&gt;""),DATE(YEAR($M697),MONTH($M697),1),"")</f>
        <v>0</v>
      </c>
      <c r="AA697" s="34">
        <f>IF(AND($C697&lt;&gt;"",$C697=HistPlaca),COUNTIF($C$5:$C697,HistPlaca),"")</f>
        <v>0</v>
      </c>
    </row>
    <row r="698" spans="1:27">
      <c r="A698" s="17"/>
      <c r="B698" s="25"/>
      <c r="C698" s="13"/>
      <c r="D698" s="26">
        <f>IF($C698="","",IFERROR(INDEX(VeicCli,MATCH($C698,VeicPlaca,0)),"Placa não cadastrada"))</f>
        <v>0</v>
      </c>
      <c r="E698" s="26">
        <f>IF($C698="","",IFERROR(INDEX(VeicModelo,MATCH($C698,VeicPlaca,0)),""))</f>
        <v>0</v>
      </c>
      <c r="F698" s="28"/>
      <c r="G698" s="13"/>
      <c r="H698" s="13"/>
      <c r="I698" s="13"/>
      <c r="J698" s="29"/>
      <c r="K698" s="19"/>
      <c r="L698" s="19"/>
      <c r="M698" s="25"/>
      <c r="N698" s="13"/>
      <c r="O698" s="19"/>
      <c r="P698" s="27">
        <f>IF($A698="","",N($J698)*ValorHora)</f>
        <v>0</v>
      </c>
      <c r="Q698" s="27">
        <f>IF($A698="","",SUMIFS(ItTotal,ItOS,$A698))</f>
        <v>0</v>
      </c>
      <c r="R698" s="30">
        <f>IF($A698="","",$P698+$Q698+N($K698)-N($L698))</f>
        <v>0</v>
      </c>
      <c r="S698" s="27">
        <f>IF($A698="","",SUMIFS(ItCusto,ItOS,$A698))</f>
        <v>0</v>
      </c>
      <c r="T698" s="27">
        <f>IF($A698="","",$P698*ComMec)</f>
        <v>0</v>
      </c>
      <c r="U698" s="21">
        <f>IF($A698="","",$R698-$S698-$T698-N($K698))</f>
        <v>0</v>
      </c>
      <c r="V698" s="31">
        <f>IF(OR($A698="",N($R698)&lt;=0),"",$U698/$R698)</f>
        <v>0</v>
      </c>
      <c r="W698" s="27">
        <f>IF($A698="","",IF(OR($I698="Finalizado",$I698="Entregue"),MAX(0,$R698-N($O698)),0))</f>
        <v>0</v>
      </c>
      <c r="X698" s="32">
        <f>IF(OR($A698="",$B698=""),"",IF(OR($I698="Entregue",$I698="Cancelada"),"",Hoje-$B698))</f>
        <v>0</v>
      </c>
      <c r="Y698" s="24">
        <f>IF($A698="","",IF(AND(OR($I698="Aprovado",$I698="Em execução",$I698="Aguardando peça"),N($X698)&gt;PrazoMax),"ATRASADA",IF(AND(OR($I698="Finalizado",$I698="Entregue"),$W698&gt;0.005),"Cobrar",IF($I698="Orçamento","Aguardando aprovação",""))))</f>
        <v>0</v>
      </c>
      <c r="Z698" s="33">
        <f>IF(AND($I698="Entregue",$M698&lt;&gt;""),DATE(YEAR($M698),MONTH($M698),1),"")</f>
        <v>0</v>
      </c>
      <c r="AA698" s="34">
        <f>IF(AND($C698&lt;&gt;"",$C698=HistPlaca),COUNTIF($C$5:$C698,HistPlaca),"")</f>
        <v>0</v>
      </c>
    </row>
    <row r="699" spans="1:27">
      <c r="A699" s="17"/>
      <c r="B699" s="25"/>
      <c r="C699" s="13"/>
      <c r="D699" s="26">
        <f>IF($C699="","",IFERROR(INDEX(VeicCli,MATCH($C699,VeicPlaca,0)),"Placa não cadastrada"))</f>
        <v>0</v>
      </c>
      <c r="E699" s="26">
        <f>IF($C699="","",IFERROR(INDEX(VeicModelo,MATCH($C699,VeicPlaca,0)),""))</f>
        <v>0</v>
      </c>
      <c r="F699" s="28"/>
      <c r="G699" s="13"/>
      <c r="H699" s="13"/>
      <c r="I699" s="13"/>
      <c r="J699" s="29"/>
      <c r="K699" s="19"/>
      <c r="L699" s="19"/>
      <c r="M699" s="25"/>
      <c r="N699" s="13"/>
      <c r="O699" s="19"/>
      <c r="P699" s="27">
        <f>IF($A699="","",N($J699)*ValorHora)</f>
        <v>0</v>
      </c>
      <c r="Q699" s="27">
        <f>IF($A699="","",SUMIFS(ItTotal,ItOS,$A699))</f>
        <v>0</v>
      </c>
      <c r="R699" s="30">
        <f>IF($A699="","",$P699+$Q699+N($K699)-N($L699))</f>
        <v>0</v>
      </c>
      <c r="S699" s="27">
        <f>IF($A699="","",SUMIFS(ItCusto,ItOS,$A699))</f>
        <v>0</v>
      </c>
      <c r="T699" s="27">
        <f>IF($A699="","",$P699*ComMec)</f>
        <v>0</v>
      </c>
      <c r="U699" s="21">
        <f>IF($A699="","",$R699-$S699-$T699-N($K699))</f>
        <v>0</v>
      </c>
      <c r="V699" s="31">
        <f>IF(OR($A699="",N($R699)&lt;=0),"",$U699/$R699)</f>
        <v>0</v>
      </c>
      <c r="W699" s="27">
        <f>IF($A699="","",IF(OR($I699="Finalizado",$I699="Entregue"),MAX(0,$R699-N($O699)),0))</f>
        <v>0</v>
      </c>
      <c r="X699" s="32">
        <f>IF(OR($A699="",$B699=""),"",IF(OR($I699="Entregue",$I699="Cancelada"),"",Hoje-$B699))</f>
        <v>0</v>
      </c>
      <c r="Y699" s="24">
        <f>IF($A699="","",IF(AND(OR($I699="Aprovado",$I699="Em execução",$I699="Aguardando peça"),N($X699)&gt;PrazoMax),"ATRASADA",IF(AND(OR($I699="Finalizado",$I699="Entregue"),$W699&gt;0.005),"Cobrar",IF($I699="Orçamento","Aguardando aprovação",""))))</f>
        <v>0</v>
      </c>
      <c r="Z699" s="33">
        <f>IF(AND($I699="Entregue",$M699&lt;&gt;""),DATE(YEAR($M699),MONTH($M699),1),"")</f>
        <v>0</v>
      </c>
      <c r="AA699" s="34">
        <f>IF(AND($C699&lt;&gt;"",$C699=HistPlaca),COUNTIF($C$5:$C699,HistPlaca),"")</f>
        <v>0</v>
      </c>
    </row>
    <row r="700" spans="1:27">
      <c r="A700" s="17"/>
      <c r="B700" s="25"/>
      <c r="C700" s="13"/>
      <c r="D700" s="26">
        <f>IF($C700="","",IFERROR(INDEX(VeicCli,MATCH($C700,VeicPlaca,0)),"Placa não cadastrada"))</f>
        <v>0</v>
      </c>
      <c r="E700" s="26">
        <f>IF($C700="","",IFERROR(INDEX(VeicModelo,MATCH($C700,VeicPlaca,0)),""))</f>
        <v>0</v>
      </c>
      <c r="F700" s="28"/>
      <c r="G700" s="13"/>
      <c r="H700" s="13"/>
      <c r="I700" s="13"/>
      <c r="J700" s="29"/>
      <c r="K700" s="19"/>
      <c r="L700" s="19"/>
      <c r="M700" s="25"/>
      <c r="N700" s="13"/>
      <c r="O700" s="19"/>
      <c r="P700" s="27">
        <f>IF($A700="","",N($J700)*ValorHora)</f>
        <v>0</v>
      </c>
      <c r="Q700" s="27">
        <f>IF($A700="","",SUMIFS(ItTotal,ItOS,$A700))</f>
        <v>0</v>
      </c>
      <c r="R700" s="30">
        <f>IF($A700="","",$P700+$Q700+N($K700)-N($L700))</f>
        <v>0</v>
      </c>
      <c r="S700" s="27">
        <f>IF($A700="","",SUMIFS(ItCusto,ItOS,$A700))</f>
        <v>0</v>
      </c>
      <c r="T700" s="27">
        <f>IF($A700="","",$P700*ComMec)</f>
        <v>0</v>
      </c>
      <c r="U700" s="21">
        <f>IF($A700="","",$R700-$S700-$T700-N($K700))</f>
        <v>0</v>
      </c>
      <c r="V700" s="31">
        <f>IF(OR($A700="",N($R700)&lt;=0),"",$U700/$R700)</f>
        <v>0</v>
      </c>
      <c r="W700" s="27">
        <f>IF($A700="","",IF(OR($I700="Finalizado",$I700="Entregue"),MAX(0,$R700-N($O700)),0))</f>
        <v>0</v>
      </c>
      <c r="X700" s="32">
        <f>IF(OR($A700="",$B700=""),"",IF(OR($I700="Entregue",$I700="Cancelada"),"",Hoje-$B700))</f>
        <v>0</v>
      </c>
      <c r="Y700" s="24">
        <f>IF($A700="","",IF(AND(OR($I700="Aprovado",$I700="Em execução",$I700="Aguardando peça"),N($X700)&gt;PrazoMax),"ATRASADA",IF(AND(OR($I700="Finalizado",$I700="Entregue"),$W700&gt;0.005),"Cobrar",IF($I700="Orçamento","Aguardando aprovação",""))))</f>
        <v>0</v>
      </c>
      <c r="Z700" s="33">
        <f>IF(AND($I700="Entregue",$M700&lt;&gt;""),DATE(YEAR($M700),MONTH($M700),1),"")</f>
        <v>0</v>
      </c>
      <c r="AA700" s="34">
        <f>IF(AND($C700&lt;&gt;"",$C700=HistPlaca),COUNTIF($C$5:$C700,HistPlaca),"")</f>
        <v>0</v>
      </c>
    </row>
    <row r="701" spans="1:27">
      <c r="A701" s="17"/>
      <c r="B701" s="25"/>
      <c r="C701" s="13"/>
      <c r="D701" s="26">
        <f>IF($C701="","",IFERROR(INDEX(VeicCli,MATCH($C701,VeicPlaca,0)),"Placa não cadastrada"))</f>
        <v>0</v>
      </c>
      <c r="E701" s="26">
        <f>IF($C701="","",IFERROR(INDEX(VeicModelo,MATCH($C701,VeicPlaca,0)),""))</f>
        <v>0</v>
      </c>
      <c r="F701" s="28"/>
      <c r="G701" s="13"/>
      <c r="H701" s="13"/>
      <c r="I701" s="13"/>
      <c r="J701" s="29"/>
      <c r="K701" s="19"/>
      <c r="L701" s="19"/>
      <c r="M701" s="25"/>
      <c r="N701" s="13"/>
      <c r="O701" s="19"/>
      <c r="P701" s="27">
        <f>IF($A701="","",N($J701)*ValorHora)</f>
        <v>0</v>
      </c>
      <c r="Q701" s="27">
        <f>IF($A701="","",SUMIFS(ItTotal,ItOS,$A701))</f>
        <v>0</v>
      </c>
      <c r="R701" s="30">
        <f>IF($A701="","",$P701+$Q701+N($K701)-N($L701))</f>
        <v>0</v>
      </c>
      <c r="S701" s="27">
        <f>IF($A701="","",SUMIFS(ItCusto,ItOS,$A701))</f>
        <v>0</v>
      </c>
      <c r="T701" s="27">
        <f>IF($A701="","",$P701*ComMec)</f>
        <v>0</v>
      </c>
      <c r="U701" s="21">
        <f>IF($A701="","",$R701-$S701-$T701-N($K701))</f>
        <v>0</v>
      </c>
      <c r="V701" s="31">
        <f>IF(OR($A701="",N($R701)&lt;=0),"",$U701/$R701)</f>
        <v>0</v>
      </c>
      <c r="W701" s="27">
        <f>IF($A701="","",IF(OR($I701="Finalizado",$I701="Entregue"),MAX(0,$R701-N($O701)),0))</f>
        <v>0</v>
      </c>
      <c r="X701" s="32">
        <f>IF(OR($A701="",$B701=""),"",IF(OR($I701="Entregue",$I701="Cancelada"),"",Hoje-$B701))</f>
        <v>0</v>
      </c>
      <c r="Y701" s="24">
        <f>IF($A701="","",IF(AND(OR($I701="Aprovado",$I701="Em execução",$I701="Aguardando peça"),N($X701)&gt;PrazoMax),"ATRASADA",IF(AND(OR($I701="Finalizado",$I701="Entregue"),$W701&gt;0.005),"Cobrar",IF($I701="Orçamento","Aguardando aprovação",""))))</f>
        <v>0</v>
      </c>
      <c r="Z701" s="33">
        <f>IF(AND($I701="Entregue",$M701&lt;&gt;""),DATE(YEAR($M701),MONTH($M701),1),"")</f>
        <v>0</v>
      </c>
      <c r="AA701" s="34">
        <f>IF(AND($C701&lt;&gt;"",$C701=HistPlaca),COUNTIF($C$5:$C701,HistPlaca),"")</f>
        <v>0</v>
      </c>
    </row>
    <row r="702" spans="1:27">
      <c r="A702" s="17"/>
      <c r="B702" s="25"/>
      <c r="C702" s="13"/>
      <c r="D702" s="26">
        <f>IF($C702="","",IFERROR(INDEX(VeicCli,MATCH($C702,VeicPlaca,0)),"Placa não cadastrada"))</f>
        <v>0</v>
      </c>
      <c r="E702" s="26">
        <f>IF($C702="","",IFERROR(INDEX(VeicModelo,MATCH($C702,VeicPlaca,0)),""))</f>
        <v>0</v>
      </c>
      <c r="F702" s="28"/>
      <c r="G702" s="13"/>
      <c r="H702" s="13"/>
      <c r="I702" s="13"/>
      <c r="J702" s="29"/>
      <c r="K702" s="19"/>
      <c r="L702" s="19"/>
      <c r="M702" s="25"/>
      <c r="N702" s="13"/>
      <c r="O702" s="19"/>
      <c r="P702" s="27">
        <f>IF($A702="","",N($J702)*ValorHora)</f>
        <v>0</v>
      </c>
      <c r="Q702" s="27">
        <f>IF($A702="","",SUMIFS(ItTotal,ItOS,$A702))</f>
        <v>0</v>
      </c>
      <c r="R702" s="30">
        <f>IF($A702="","",$P702+$Q702+N($K702)-N($L702))</f>
        <v>0</v>
      </c>
      <c r="S702" s="27">
        <f>IF($A702="","",SUMIFS(ItCusto,ItOS,$A702))</f>
        <v>0</v>
      </c>
      <c r="T702" s="27">
        <f>IF($A702="","",$P702*ComMec)</f>
        <v>0</v>
      </c>
      <c r="U702" s="21">
        <f>IF($A702="","",$R702-$S702-$T702-N($K702))</f>
        <v>0</v>
      </c>
      <c r="V702" s="31">
        <f>IF(OR($A702="",N($R702)&lt;=0),"",$U702/$R702)</f>
        <v>0</v>
      </c>
      <c r="W702" s="27">
        <f>IF($A702="","",IF(OR($I702="Finalizado",$I702="Entregue"),MAX(0,$R702-N($O702)),0))</f>
        <v>0</v>
      </c>
      <c r="X702" s="32">
        <f>IF(OR($A702="",$B702=""),"",IF(OR($I702="Entregue",$I702="Cancelada"),"",Hoje-$B702))</f>
        <v>0</v>
      </c>
      <c r="Y702" s="24">
        <f>IF($A702="","",IF(AND(OR($I702="Aprovado",$I702="Em execução",$I702="Aguardando peça"),N($X702)&gt;PrazoMax),"ATRASADA",IF(AND(OR($I702="Finalizado",$I702="Entregue"),$W702&gt;0.005),"Cobrar",IF($I702="Orçamento","Aguardando aprovação",""))))</f>
        <v>0</v>
      </c>
      <c r="Z702" s="33">
        <f>IF(AND($I702="Entregue",$M702&lt;&gt;""),DATE(YEAR($M702),MONTH($M702),1),"")</f>
        <v>0</v>
      </c>
      <c r="AA702" s="34">
        <f>IF(AND($C702&lt;&gt;"",$C702=HistPlaca),COUNTIF($C$5:$C702,HistPlaca),"")</f>
        <v>0</v>
      </c>
    </row>
    <row r="703" spans="1:27">
      <c r="A703" s="17"/>
      <c r="B703" s="25"/>
      <c r="C703" s="13"/>
      <c r="D703" s="26">
        <f>IF($C703="","",IFERROR(INDEX(VeicCli,MATCH($C703,VeicPlaca,0)),"Placa não cadastrada"))</f>
        <v>0</v>
      </c>
      <c r="E703" s="26">
        <f>IF($C703="","",IFERROR(INDEX(VeicModelo,MATCH($C703,VeicPlaca,0)),""))</f>
        <v>0</v>
      </c>
      <c r="F703" s="28"/>
      <c r="G703" s="13"/>
      <c r="H703" s="13"/>
      <c r="I703" s="13"/>
      <c r="J703" s="29"/>
      <c r="K703" s="19"/>
      <c r="L703" s="19"/>
      <c r="M703" s="25"/>
      <c r="N703" s="13"/>
      <c r="O703" s="19"/>
      <c r="P703" s="27">
        <f>IF($A703="","",N($J703)*ValorHora)</f>
        <v>0</v>
      </c>
      <c r="Q703" s="27">
        <f>IF($A703="","",SUMIFS(ItTotal,ItOS,$A703))</f>
        <v>0</v>
      </c>
      <c r="R703" s="30">
        <f>IF($A703="","",$P703+$Q703+N($K703)-N($L703))</f>
        <v>0</v>
      </c>
      <c r="S703" s="27">
        <f>IF($A703="","",SUMIFS(ItCusto,ItOS,$A703))</f>
        <v>0</v>
      </c>
      <c r="T703" s="27">
        <f>IF($A703="","",$P703*ComMec)</f>
        <v>0</v>
      </c>
      <c r="U703" s="21">
        <f>IF($A703="","",$R703-$S703-$T703-N($K703))</f>
        <v>0</v>
      </c>
      <c r="V703" s="31">
        <f>IF(OR($A703="",N($R703)&lt;=0),"",$U703/$R703)</f>
        <v>0</v>
      </c>
      <c r="W703" s="27">
        <f>IF($A703="","",IF(OR($I703="Finalizado",$I703="Entregue"),MAX(0,$R703-N($O703)),0))</f>
        <v>0</v>
      </c>
      <c r="X703" s="32">
        <f>IF(OR($A703="",$B703=""),"",IF(OR($I703="Entregue",$I703="Cancelada"),"",Hoje-$B703))</f>
        <v>0</v>
      </c>
      <c r="Y703" s="24">
        <f>IF($A703="","",IF(AND(OR($I703="Aprovado",$I703="Em execução",$I703="Aguardando peça"),N($X703)&gt;PrazoMax),"ATRASADA",IF(AND(OR($I703="Finalizado",$I703="Entregue"),$W703&gt;0.005),"Cobrar",IF($I703="Orçamento","Aguardando aprovação",""))))</f>
        <v>0</v>
      </c>
      <c r="Z703" s="33">
        <f>IF(AND($I703="Entregue",$M703&lt;&gt;""),DATE(YEAR($M703),MONTH($M703),1),"")</f>
        <v>0</v>
      </c>
      <c r="AA703" s="34">
        <f>IF(AND($C703&lt;&gt;"",$C703=HistPlaca),COUNTIF($C$5:$C703,HistPlaca),"")</f>
        <v>0</v>
      </c>
    </row>
    <row r="704" spans="1:27">
      <c r="A704" s="17"/>
      <c r="B704" s="25"/>
      <c r="C704" s="13"/>
      <c r="D704" s="26">
        <f>IF($C704="","",IFERROR(INDEX(VeicCli,MATCH($C704,VeicPlaca,0)),"Placa não cadastrada"))</f>
        <v>0</v>
      </c>
      <c r="E704" s="26">
        <f>IF($C704="","",IFERROR(INDEX(VeicModelo,MATCH($C704,VeicPlaca,0)),""))</f>
        <v>0</v>
      </c>
      <c r="F704" s="28"/>
      <c r="G704" s="13"/>
      <c r="H704" s="13"/>
      <c r="I704" s="13"/>
      <c r="J704" s="29"/>
      <c r="K704" s="19"/>
      <c r="L704" s="19"/>
      <c r="M704" s="25"/>
      <c r="N704" s="13"/>
      <c r="O704" s="19"/>
      <c r="P704" s="27">
        <f>IF($A704="","",N($J704)*ValorHora)</f>
        <v>0</v>
      </c>
      <c r="Q704" s="27">
        <f>IF($A704="","",SUMIFS(ItTotal,ItOS,$A704))</f>
        <v>0</v>
      </c>
      <c r="R704" s="30">
        <f>IF($A704="","",$P704+$Q704+N($K704)-N($L704))</f>
        <v>0</v>
      </c>
      <c r="S704" s="27">
        <f>IF($A704="","",SUMIFS(ItCusto,ItOS,$A704))</f>
        <v>0</v>
      </c>
      <c r="T704" s="27">
        <f>IF($A704="","",$P704*ComMec)</f>
        <v>0</v>
      </c>
      <c r="U704" s="21">
        <f>IF($A704="","",$R704-$S704-$T704-N($K704))</f>
        <v>0</v>
      </c>
      <c r="V704" s="31">
        <f>IF(OR($A704="",N($R704)&lt;=0),"",$U704/$R704)</f>
        <v>0</v>
      </c>
      <c r="W704" s="27">
        <f>IF($A704="","",IF(OR($I704="Finalizado",$I704="Entregue"),MAX(0,$R704-N($O704)),0))</f>
        <v>0</v>
      </c>
      <c r="X704" s="32">
        <f>IF(OR($A704="",$B704=""),"",IF(OR($I704="Entregue",$I704="Cancelada"),"",Hoje-$B704))</f>
        <v>0</v>
      </c>
      <c r="Y704" s="24">
        <f>IF($A704="","",IF(AND(OR($I704="Aprovado",$I704="Em execução",$I704="Aguardando peça"),N($X704)&gt;PrazoMax),"ATRASADA",IF(AND(OR($I704="Finalizado",$I704="Entregue"),$W704&gt;0.005),"Cobrar",IF($I704="Orçamento","Aguardando aprovação",""))))</f>
        <v>0</v>
      </c>
      <c r="Z704" s="33">
        <f>IF(AND($I704="Entregue",$M704&lt;&gt;""),DATE(YEAR($M704),MONTH($M704),1),"")</f>
        <v>0</v>
      </c>
      <c r="AA704" s="34">
        <f>IF(AND($C704&lt;&gt;"",$C704=HistPlaca),COUNTIF($C$5:$C704,HistPlaca),"")</f>
        <v>0</v>
      </c>
    </row>
    <row r="705" spans="1:27">
      <c r="A705" s="17"/>
      <c r="B705" s="25"/>
      <c r="C705" s="13"/>
      <c r="D705" s="26">
        <f>IF($C705="","",IFERROR(INDEX(VeicCli,MATCH($C705,VeicPlaca,0)),"Placa não cadastrada"))</f>
        <v>0</v>
      </c>
      <c r="E705" s="26">
        <f>IF($C705="","",IFERROR(INDEX(VeicModelo,MATCH($C705,VeicPlaca,0)),""))</f>
        <v>0</v>
      </c>
      <c r="F705" s="28"/>
      <c r="G705" s="13"/>
      <c r="H705" s="13"/>
      <c r="I705" s="13"/>
      <c r="J705" s="29"/>
      <c r="K705" s="19"/>
      <c r="L705" s="19"/>
      <c r="M705" s="25"/>
      <c r="N705" s="13"/>
      <c r="O705" s="19"/>
      <c r="P705" s="27">
        <f>IF($A705="","",N($J705)*ValorHora)</f>
        <v>0</v>
      </c>
      <c r="Q705" s="27">
        <f>IF($A705="","",SUMIFS(ItTotal,ItOS,$A705))</f>
        <v>0</v>
      </c>
      <c r="R705" s="30">
        <f>IF($A705="","",$P705+$Q705+N($K705)-N($L705))</f>
        <v>0</v>
      </c>
      <c r="S705" s="27">
        <f>IF($A705="","",SUMIFS(ItCusto,ItOS,$A705))</f>
        <v>0</v>
      </c>
      <c r="T705" s="27">
        <f>IF($A705="","",$P705*ComMec)</f>
        <v>0</v>
      </c>
      <c r="U705" s="21">
        <f>IF($A705="","",$R705-$S705-$T705-N($K705))</f>
        <v>0</v>
      </c>
      <c r="V705" s="31">
        <f>IF(OR($A705="",N($R705)&lt;=0),"",$U705/$R705)</f>
        <v>0</v>
      </c>
      <c r="W705" s="27">
        <f>IF($A705="","",IF(OR($I705="Finalizado",$I705="Entregue"),MAX(0,$R705-N($O705)),0))</f>
        <v>0</v>
      </c>
      <c r="X705" s="32">
        <f>IF(OR($A705="",$B705=""),"",IF(OR($I705="Entregue",$I705="Cancelada"),"",Hoje-$B705))</f>
        <v>0</v>
      </c>
      <c r="Y705" s="24">
        <f>IF($A705="","",IF(AND(OR($I705="Aprovado",$I705="Em execução",$I705="Aguardando peça"),N($X705)&gt;PrazoMax),"ATRASADA",IF(AND(OR($I705="Finalizado",$I705="Entregue"),$W705&gt;0.005),"Cobrar",IF($I705="Orçamento","Aguardando aprovação",""))))</f>
        <v>0</v>
      </c>
      <c r="Z705" s="33">
        <f>IF(AND($I705="Entregue",$M705&lt;&gt;""),DATE(YEAR($M705),MONTH($M705),1),"")</f>
        <v>0</v>
      </c>
      <c r="AA705" s="34">
        <f>IF(AND($C705&lt;&gt;"",$C705=HistPlaca),COUNTIF($C$5:$C705,HistPlaca),"")</f>
        <v>0</v>
      </c>
    </row>
    <row r="706" spans="1:27">
      <c r="A706" s="17"/>
      <c r="B706" s="25"/>
      <c r="C706" s="13"/>
      <c r="D706" s="26">
        <f>IF($C706="","",IFERROR(INDEX(VeicCli,MATCH($C706,VeicPlaca,0)),"Placa não cadastrada"))</f>
        <v>0</v>
      </c>
      <c r="E706" s="26">
        <f>IF($C706="","",IFERROR(INDEX(VeicModelo,MATCH($C706,VeicPlaca,0)),""))</f>
        <v>0</v>
      </c>
      <c r="F706" s="28"/>
      <c r="G706" s="13"/>
      <c r="H706" s="13"/>
      <c r="I706" s="13"/>
      <c r="J706" s="29"/>
      <c r="K706" s="19"/>
      <c r="L706" s="19"/>
      <c r="M706" s="25"/>
      <c r="N706" s="13"/>
      <c r="O706" s="19"/>
      <c r="P706" s="27">
        <f>IF($A706="","",N($J706)*ValorHora)</f>
        <v>0</v>
      </c>
      <c r="Q706" s="27">
        <f>IF($A706="","",SUMIFS(ItTotal,ItOS,$A706))</f>
        <v>0</v>
      </c>
      <c r="R706" s="30">
        <f>IF($A706="","",$P706+$Q706+N($K706)-N($L706))</f>
        <v>0</v>
      </c>
      <c r="S706" s="27">
        <f>IF($A706="","",SUMIFS(ItCusto,ItOS,$A706))</f>
        <v>0</v>
      </c>
      <c r="T706" s="27">
        <f>IF($A706="","",$P706*ComMec)</f>
        <v>0</v>
      </c>
      <c r="U706" s="21">
        <f>IF($A706="","",$R706-$S706-$T706-N($K706))</f>
        <v>0</v>
      </c>
      <c r="V706" s="31">
        <f>IF(OR($A706="",N($R706)&lt;=0),"",$U706/$R706)</f>
        <v>0</v>
      </c>
      <c r="W706" s="27">
        <f>IF($A706="","",IF(OR($I706="Finalizado",$I706="Entregue"),MAX(0,$R706-N($O706)),0))</f>
        <v>0</v>
      </c>
      <c r="X706" s="32">
        <f>IF(OR($A706="",$B706=""),"",IF(OR($I706="Entregue",$I706="Cancelada"),"",Hoje-$B706))</f>
        <v>0</v>
      </c>
      <c r="Y706" s="24">
        <f>IF($A706="","",IF(AND(OR($I706="Aprovado",$I706="Em execução",$I706="Aguardando peça"),N($X706)&gt;PrazoMax),"ATRASADA",IF(AND(OR($I706="Finalizado",$I706="Entregue"),$W706&gt;0.005),"Cobrar",IF($I706="Orçamento","Aguardando aprovação",""))))</f>
        <v>0</v>
      </c>
      <c r="Z706" s="33">
        <f>IF(AND($I706="Entregue",$M706&lt;&gt;""),DATE(YEAR($M706),MONTH($M706),1),"")</f>
        <v>0</v>
      </c>
      <c r="AA706" s="34">
        <f>IF(AND($C706&lt;&gt;"",$C706=HistPlaca),COUNTIF($C$5:$C706,HistPlaca),"")</f>
        <v>0</v>
      </c>
    </row>
    <row r="707" spans="1:27">
      <c r="A707" s="17"/>
      <c r="B707" s="25"/>
      <c r="C707" s="13"/>
      <c r="D707" s="26">
        <f>IF($C707="","",IFERROR(INDEX(VeicCli,MATCH($C707,VeicPlaca,0)),"Placa não cadastrada"))</f>
        <v>0</v>
      </c>
      <c r="E707" s="26">
        <f>IF($C707="","",IFERROR(INDEX(VeicModelo,MATCH($C707,VeicPlaca,0)),""))</f>
        <v>0</v>
      </c>
      <c r="F707" s="28"/>
      <c r="G707" s="13"/>
      <c r="H707" s="13"/>
      <c r="I707" s="13"/>
      <c r="J707" s="29"/>
      <c r="K707" s="19"/>
      <c r="L707" s="19"/>
      <c r="M707" s="25"/>
      <c r="N707" s="13"/>
      <c r="O707" s="19"/>
      <c r="P707" s="27">
        <f>IF($A707="","",N($J707)*ValorHora)</f>
        <v>0</v>
      </c>
      <c r="Q707" s="27">
        <f>IF($A707="","",SUMIFS(ItTotal,ItOS,$A707))</f>
        <v>0</v>
      </c>
      <c r="R707" s="30">
        <f>IF($A707="","",$P707+$Q707+N($K707)-N($L707))</f>
        <v>0</v>
      </c>
      <c r="S707" s="27">
        <f>IF($A707="","",SUMIFS(ItCusto,ItOS,$A707))</f>
        <v>0</v>
      </c>
      <c r="T707" s="27">
        <f>IF($A707="","",$P707*ComMec)</f>
        <v>0</v>
      </c>
      <c r="U707" s="21">
        <f>IF($A707="","",$R707-$S707-$T707-N($K707))</f>
        <v>0</v>
      </c>
      <c r="V707" s="31">
        <f>IF(OR($A707="",N($R707)&lt;=0),"",$U707/$R707)</f>
        <v>0</v>
      </c>
      <c r="W707" s="27">
        <f>IF($A707="","",IF(OR($I707="Finalizado",$I707="Entregue"),MAX(0,$R707-N($O707)),0))</f>
        <v>0</v>
      </c>
      <c r="X707" s="32">
        <f>IF(OR($A707="",$B707=""),"",IF(OR($I707="Entregue",$I707="Cancelada"),"",Hoje-$B707))</f>
        <v>0</v>
      </c>
      <c r="Y707" s="24">
        <f>IF($A707="","",IF(AND(OR($I707="Aprovado",$I707="Em execução",$I707="Aguardando peça"),N($X707)&gt;PrazoMax),"ATRASADA",IF(AND(OR($I707="Finalizado",$I707="Entregue"),$W707&gt;0.005),"Cobrar",IF($I707="Orçamento","Aguardando aprovação",""))))</f>
        <v>0</v>
      </c>
      <c r="Z707" s="33">
        <f>IF(AND($I707="Entregue",$M707&lt;&gt;""),DATE(YEAR($M707),MONTH($M707),1),"")</f>
        <v>0</v>
      </c>
      <c r="AA707" s="34">
        <f>IF(AND($C707&lt;&gt;"",$C707=HistPlaca),COUNTIF($C$5:$C707,HistPlaca),"")</f>
        <v>0</v>
      </c>
    </row>
    <row r="708" spans="1:27">
      <c r="A708" s="17"/>
      <c r="B708" s="25"/>
      <c r="C708" s="13"/>
      <c r="D708" s="26">
        <f>IF($C708="","",IFERROR(INDEX(VeicCli,MATCH($C708,VeicPlaca,0)),"Placa não cadastrada"))</f>
        <v>0</v>
      </c>
      <c r="E708" s="26">
        <f>IF($C708="","",IFERROR(INDEX(VeicModelo,MATCH($C708,VeicPlaca,0)),""))</f>
        <v>0</v>
      </c>
      <c r="F708" s="28"/>
      <c r="G708" s="13"/>
      <c r="H708" s="13"/>
      <c r="I708" s="13"/>
      <c r="J708" s="29"/>
      <c r="K708" s="19"/>
      <c r="L708" s="19"/>
      <c r="M708" s="25"/>
      <c r="N708" s="13"/>
      <c r="O708" s="19"/>
      <c r="P708" s="27">
        <f>IF($A708="","",N($J708)*ValorHora)</f>
        <v>0</v>
      </c>
      <c r="Q708" s="27">
        <f>IF($A708="","",SUMIFS(ItTotal,ItOS,$A708))</f>
        <v>0</v>
      </c>
      <c r="R708" s="30">
        <f>IF($A708="","",$P708+$Q708+N($K708)-N($L708))</f>
        <v>0</v>
      </c>
      <c r="S708" s="27">
        <f>IF($A708="","",SUMIFS(ItCusto,ItOS,$A708))</f>
        <v>0</v>
      </c>
      <c r="T708" s="27">
        <f>IF($A708="","",$P708*ComMec)</f>
        <v>0</v>
      </c>
      <c r="U708" s="21">
        <f>IF($A708="","",$R708-$S708-$T708-N($K708))</f>
        <v>0</v>
      </c>
      <c r="V708" s="31">
        <f>IF(OR($A708="",N($R708)&lt;=0),"",$U708/$R708)</f>
        <v>0</v>
      </c>
      <c r="W708" s="27">
        <f>IF($A708="","",IF(OR($I708="Finalizado",$I708="Entregue"),MAX(0,$R708-N($O708)),0))</f>
        <v>0</v>
      </c>
      <c r="X708" s="32">
        <f>IF(OR($A708="",$B708=""),"",IF(OR($I708="Entregue",$I708="Cancelada"),"",Hoje-$B708))</f>
        <v>0</v>
      </c>
      <c r="Y708" s="24">
        <f>IF($A708="","",IF(AND(OR($I708="Aprovado",$I708="Em execução",$I708="Aguardando peça"),N($X708)&gt;PrazoMax),"ATRASADA",IF(AND(OR($I708="Finalizado",$I708="Entregue"),$W708&gt;0.005),"Cobrar",IF($I708="Orçamento","Aguardando aprovação",""))))</f>
        <v>0</v>
      </c>
      <c r="Z708" s="33">
        <f>IF(AND($I708="Entregue",$M708&lt;&gt;""),DATE(YEAR($M708),MONTH($M708),1),"")</f>
        <v>0</v>
      </c>
      <c r="AA708" s="34">
        <f>IF(AND($C708&lt;&gt;"",$C708=HistPlaca),COUNTIF($C$5:$C708,HistPlaca),"")</f>
        <v>0</v>
      </c>
    </row>
    <row r="709" spans="1:27">
      <c r="A709" s="17"/>
      <c r="B709" s="25"/>
      <c r="C709" s="13"/>
      <c r="D709" s="26">
        <f>IF($C709="","",IFERROR(INDEX(VeicCli,MATCH($C709,VeicPlaca,0)),"Placa não cadastrada"))</f>
        <v>0</v>
      </c>
      <c r="E709" s="26">
        <f>IF($C709="","",IFERROR(INDEX(VeicModelo,MATCH($C709,VeicPlaca,0)),""))</f>
        <v>0</v>
      </c>
      <c r="F709" s="28"/>
      <c r="G709" s="13"/>
      <c r="H709" s="13"/>
      <c r="I709" s="13"/>
      <c r="J709" s="29"/>
      <c r="K709" s="19"/>
      <c r="L709" s="19"/>
      <c r="M709" s="25"/>
      <c r="N709" s="13"/>
      <c r="O709" s="19"/>
      <c r="P709" s="27">
        <f>IF($A709="","",N($J709)*ValorHora)</f>
        <v>0</v>
      </c>
      <c r="Q709" s="27">
        <f>IF($A709="","",SUMIFS(ItTotal,ItOS,$A709))</f>
        <v>0</v>
      </c>
      <c r="R709" s="30">
        <f>IF($A709="","",$P709+$Q709+N($K709)-N($L709))</f>
        <v>0</v>
      </c>
      <c r="S709" s="27">
        <f>IF($A709="","",SUMIFS(ItCusto,ItOS,$A709))</f>
        <v>0</v>
      </c>
      <c r="T709" s="27">
        <f>IF($A709="","",$P709*ComMec)</f>
        <v>0</v>
      </c>
      <c r="U709" s="21">
        <f>IF($A709="","",$R709-$S709-$T709-N($K709))</f>
        <v>0</v>
      </c>
      <c r="V709" s="31">
        <f>IF(OR($A709="",N($R709)&lt;=0),"",$U709/$R709)</f>
        <v>0</v>
      </c>
      <c r="W709" s="27">
        <f>IF($A709="","",IF(OR($I709="Finalizado",$I709="Entregue"),MAX(0,$R709-N($O709)),0))</f>
        <v>0</v>
      </c>
      <c r="X709" s="32">
        <f>IF(OR($A709="",$B709=""),"",IF(OR($I709="Entregue",$I709="Cancelada"),"",Hoje-$B709))</f>
        <v>0</v>
      </c>
      <c r="Y709" s="24">
        <f>IF($A709="","",IF(AND(OR($I709="Aprovado",$I709="Em execução",$I709="Aguardando peça"),N($X709)&gt;PrazoMax),"ATRASADA",IF(AND(OR($I709="Finalizado",$I709="Entregue"),$W709&gt;0.005),"Cobrar",IF($I709="Orçamento","Aguardando aprovação",""))))</f>
        <v>0</v>
      </c>
      <c r="Z709" s="33">
        <f>IF(AND($I709="Entregue",$M709&lt;&gt;""),DATE(YEAR($M709),MONTH($M709),1),"")</f>
        <v>0</v>
      </c>
      <c r="AA709" s="34">
        <f>IF(AND($C709&lt;&gt;"",$C709=HistPlaca),COUNTIF($C$5:$C709,HistPlaca),"")</f>
        <v>0</v>
      </c>
    </row>
    <row r="710" spans="1:27">
      <c r="A710" s="17"/>
      <c r="B710" s="25"/>
      <c r="C710" s="13"/>
      <c r="D710" s="26">
        <f>IF($C710="","",IFERROR(INDEX(VeicCli,MATCH($C710,VeicPlaca,0)),"Placa não cadastrada"))</f>
        <v>0</v>
      </c>
      <c r="E710" s="26">
        <f>IF($C710="","",IFERROR(INDEX(VeicModelo,MATCH($C710,VeicPlaca,0)),""))</f>
        <v>0</v>
      </c>
      <c r="F710" s="28"/>
      <c r="G710" s="13"/>
      <c r="H710" s="13"/>
      <c r="I710" s="13"/>
      <c r="J710" s="29"/>
      <c r="K710" s="19"/>
      <c r="L710" s="19"/>
      <c r="M710" s="25"/>
      <c r="N710" s="13"/>
      <c r="O710" s="19"/>
      <c r="P710" s="27">
        <f>IF($A710="","",N($J710)*ValorHora)</f>
        <v>0</v>
      </c>
      <c r="Q710" s="27">
        <f>IF($A710="","",SUMIFS(ItTotal,ItOS,$A710))</f>
        <v>0</v>
      </c>
      <c r="R710" s="30">
        <f>IF($A710="","",$P710+$Q710+N($K710)-N($L710))</f>
        <v>0</v>
      </c>
      <c r="S710" s="27">
        <f>IF($A710="","",SUMIFS(ItCusto,ItOS,$A710))</f>
        <v>0</v>
      </c>
      <c r="T710" s="27">
        <f>IF($A710="","",$P710*ComMec)</f>
        <v>0</v>
      </c>
      <c r="U710" s="21">
        <f>IF($A710="","",$R710-$S710-$T710-N($K710))</f>
        <v>0</v>
      </c>
      <c r="V710" s="31">
        <f>IF(OR($A710="",N($R710)&lt;=0),"",$U710/$R710)</f>
        <v>0</v>
      </c>
      <c r="W710" s="27">
        <f>IF($A710="","",IF(OR($I710="Finalizado",$I710="Entregue"),MAX(0,$R710-N($O710)),0))</f>
        <v>0</v>
      </c>
      <c r="X710" s="32">
        <f>IF(OR($A710="",$B710=""),"",IF(OR($I710="Entregue",$I710="Cancelada"),"",Hoje-$B710))</f>
        <v>0</v>
      </c>
      <c r="Y710" s="24">
        <f>IF($A710="","",IF(AND(OR($I710="Aprovado",$I710="Em execução",$I710="Aguardando peça"),N($X710)&gt;PrazoMax),"ATRASADA",IF(AND(OR($I710="Finalizado",$I710="Entregue"),$W710&gt;0.005),"Cobrar",IF($I710="Orçamento","Aguardando aprovação",""))))</f>
        <v>0</v>
      </c>
      <c r="Z710" s="33">
        <f>IF(AND($I710="Entregue",$M710&lt;&gt;""),DATE(YEAR($M710),MONTH($M710),1),"")</f>
        <v>0</v>
      </c>
      <c r="AA710" s="34">
        <f>IF(AND($C710&lt;&gt;"",$C710=HistPlaca),COUNTIF($C$5:$C710,HistPlaca),"")</f>
        <v>0</v>
      </c>
    </row>
    <row r="711" spans="1:27">
      <c r="A711" s="17"/>
      <c r="B711" s="25"/>
      <c r="C711" s="13"/>
      <c r="D711" s="26">
        <f>IF($C711="","",IFERROR(INDEX(VeicCli,MATCH($C711,VeicPlaca,0)),"Placa não cadastrada"))</f>
        <v>0</v>
      </c>
      <c r="E711" s="26">
        <f>IF($C711="","",IFERROR(INDEX(VeicModelo,MATCH($C711,VeicPlaca,0)),""))</f>
        <v>0</v>
      </c>
      <c r="F711" s="28"/>
      <c r="G711" s="13"/>
      <c r="H711" s="13"/>
      <c r="I711" s="13"/>
      <c r="J711" s="29"/>
      <c r="K711" s="19"/>
      <c r="L711" s="19"/>
      <c r="M711" s="25"/>
      <c r="N711" s="13"/>
      <c r="O711" s="19"/>
      <c r="P711" s="27">
        <f>IF($A711="","",N($J711)*ValorHora)</f>
        <v>0</v>
      </c>
      <c r="Q711" s="27">
        <f>IF($A711="","",SUMIFS(ItTotal,ItOS,$A711))</f>
        <v>0</v>
      </c>
      <c r="R711" s="30">
        <f>IF($A711="","",$P711+$Q711+N($K711)-N($L711))</f>
        <v>0</v>
      </c>
      <c r="S711" s="27">
        <f>IF($A711="","",SUMIFS(ItCusto,ItOS,$A711))</f>
        <v>0</v>
      </c>
      <c r="T711" s="27">
        <f>IF($A711="","",$P711*ComMec)</f>
        <v>0</v>
      </c>
      <c r="U711" s="21">
        <f>IF($A711="","",$R711-$S711-$T711-N($K711))</f>
        <v>0</v>
      </c>
      <c r="V711" s="31">
        <f>IF(OR($A711="",N($R711)&lt;=0),"",$U711/$R711)</f>
        <v>0</v>
      </c>
      <c r="W711" s="27">
        <f>IF($A711="","",IF(OR($I711="Finalizado",$I711="Entregue"),MAX(0,$R711-N($O711)),0))</f>
        <v>0</v>
      </c>
      <c r="X711" s="32">
        <f>IF(OR($A711="",$B711=""),"",IF(OR($I711="Entregue",$I711="Cancelada"),"",Hoje-$B711))</f>
        <v>0</v>
      </c>
      <c r="Y711" s="24">
        <f>IF($A711="","",IF(AND(OR($I711="Aprovado",$I711="Em execução",$I711="Aguardando peça"),N($X711)&gt;PrazoMax),"ATRASADA",IF(AND(OR($I711="Finalizado",$I711="Entregue"),$W711&gt;0.005),"Cobrar",IF($I711="Orçamento","Aguardando aprovação",""))))</f>
        <v>0</v>
      </c>
      <c r="Z711" s="33">
        <f>IF(AND($I711="Entregue",$M711&lt;&gt;""),DATE(YEAR($M711),MONTH($M711),1),"")</f>
        <v>0</v>
      </c>
      <c r="AA711" s="34">
        <f>IF(AND($C711&lt;&gt;"",$C711=HistPlaca),COUNTIF($C$5:$C711,HistPlaca),"")</f>
        <v>0</v>
      </c>
    </row>
    <row r="712" spans="1:27">
      <c r="A712" s="17"/>
      <c r="B712" s="25"/>
      <c r="C712" s="13"/>
      <c r="D712" s="26">
        <f>IF($C712="","",IFERROR(INDEX(VeicCli,MATCH($C712,VeicPlaca,0)),"Placa não cadastrada"))</f>
        <v>0</v>
      </c>
      <c r="E712" s="26">
        <f>IF($C712="","",IFERROR(INDEX(VeicModelo,MATCH($C712,VeicPlaca,0)),""))</f>
        <v>0</v>
      </c>
      <c r="F712" s="28"/>
      <c r="G712" s="13"/>
      <c r="H712" s="13"/>
      <c r="I712" s="13"/>
      <c r="J712" s="29"/>
      <c r="K712" s="19"/>
      <c r="L712" s="19"/>
      <c r="M712" s="25"/>
      <c r="N712" s="13"/>
      <c r="O712" s="19"/>
      <c r="P712" s="27">
        <f>IF($A712="","",N($J712)*ValorHora)</f>
        <v>0</v>
      </c>
      <c r="Q712" s="27">
        <f>IF($A712="","",SUMIFS(ItTotal,ItOS,$A712))</f>
        <v>0</v>
      </c>
      <c r="R712" s="30">
        <f>IF($A712="","",$P712+$Q712+N($K712)-N($L712))</f>
        <v>0</v>
      </c>
      <c r="S712" s="27">
        <f>IF($A712="","",SUMIFS(ItCusto,ItOS,$A712))</f>
        <v>0</v>
      </c>
      <c r="T712" s="27">
        <f>IF($A712="","",$P712*ComMec)</f>
        <v>0</v>
      </c>
      <c r="U712" s="21">
        <f>IF($A712="","",$R712-$S712-$T712-N($K712))</f>
        <v>0</v>
      </c>
      <c r="V712" s="31">
        <f>IF(OR($A712="",N($R712)&lt;=0),"",$U712/$R712)</f>
        <v>0</v>
      </c>
      <c r="W712" s="27">
        <f>IF($A712="","",IF(OR($I712="Finalizado",$I712="Entregue"),MAX(0,$R712-N($O712)),0))</f>
        <v>0</v>
      </c>
      <c r="X712" s="32">
        <f>IF(OR($A712="",$B712=""),"",IF(OR($I712="Entregue",$I712="Cancelada"),"",Hoje-$B712))</f>
        <v>0</v>
      </c>
      <c r="Y712" s="24">
        <f>IF($A712="","",IF(AND(OR($I712="Aprovado",$I712="Em execução",$I712="Aguardando peça"),N($X712)&gt;PrazoMax),"ATRASADA",IF(AND(OR($I712="Finalizado",$I712="Entregue"),$W712&gt;0.005),"Cobrar",IF($I712="Orçamento","Aguardando aprovação",""))))</f>
        <v>0</v>
      </c>
      <c r="Z712" s="33">
        <f>IF(AND($I712="Entregue",$M712&lt;&gt;""),DATE(YEAR($M712),MONTH($M712),1),"")</f>
        <v>0</v>
      </c>
      <c r="AA712" s="34">
        <f>IF(AND($C712&lt;&gt;"",$C712=HistPlaca),COUNTIF($C$5:$C712,HistPlaca),"")</f>
        <v>0</v>
      </c>
    </row>
    <row r="713" spans="1:27">
      <c r="A713" s="17"/>
      <c r="B713" s="25"/>
      <c r="C713" s="13"/>
      <c r="D713" s="26">
        <f>IF($C713="","",IFERROR(INDEX(VeicCli,MATCH($C713,VeicPlaca,0)),"Placa não cadastrada"))</f>
        <v>0</v>
      </c>
      <c r="E713" s="26">
        <f>IF($C713="","",IFERROR(INDEX(VeicModelo,MATCH($C713,VeicPlaca,0)),""))</f>
        <v>0</v>
      </c>
      <c r="F713" s="28"/>
      <c r="G713" s="13"/>
      <c r="H713" s="13"/>
      <c r="I713" s="13"/>
      <c r="J713" s="29"/>
      <c r="K713" s="19"/>
      <c r="L713" s="19"/>
      <c r="M713" s="25"/>
      <c r="N713" s="13"/>
      <c r="O713" s="19"/>
      <c r="P713" s="27">
        <f>IF($A713="","",N($J713)*ValorHora)</f>
        <v>0</v>
      </c>
      <c r="Q713" s="27">
        <f>IF($A713="","",SUMIFS(ItTotal,ItOS,$A713))</f>
        <v>0</v>
      </c>
      <c r="R713" s="30">
        <f>IF($A713="","",$P713+$Q713+N($K713)-N($L713))</f>
        <v>0</v>
      </c>
      <c r="S713" s="27">
        <f>IF($A713="","",SUMIFS(ItCusto,ItOS,$A713))</f>
        <v>0</v>
      </c>
      <c r="T713" s="27">
        <f>IF($A713="","",$P713*ComMec)</f>
        <v>0</v>
      </c>
      <c r="U713" s="21">
        <f>IF($A713="","",$R713-$S713-$T713-N($K713))</f>
        <v>0</v>
      </c>
      <c r="V713" s="31">
        <f>IF(OR($A713="",N($R713)&lt;=0),"",$U713/$R713)</f>
        <v>0</v>
      </c>
      <c r="W713" s="27">
        <f>IF($A713="","",IF(OR($I713="Finalizado",$I713="Entregue"),MAX(0,$R713-N($O713)),0))</f>
        <v>0</v>
      </c>
      <c r="X713" s="32">
        <f>IF(OR($A713="",$B713=""),"",IF(OR($I713="Entregue",$I713="Cancelada"),"",Hoje-$B713))</f>
        <v>0</v>
      </c>
      <c r="Y713" s="24">
        <f>IF($A713="","",IF(AND(OR($I713="Aprovado",$I713="Em execução",$I713="Aguardando peça"),N($X713)&gt;PrazoMax),"ATRASADA",IF(AND(OR($I713="Finalizado",$I713="Entregue"),$W713&gt;0.005),"Cobrar",IF($I713="Orçamento","Aguardando aprovação",""))))</f>
        <v>0</v>
      </c>
      <c r="Z713" s="33">
        <f>IF(AND($I713="Entregue",$M713&lt;&gt;""),DATE(YEAR($M713),MONTH($M713),1),"")</f>
        <v>0</v>
      </c>
      <c r="AA713" s="34">
        <f>IF(AND($C713&lt;&gt;"",$C713=HistPlaca),COUNTIF($C$5:$C713,HistPlaca),"")</f>
        <v>0</v>
      </c>
    </row>
    <row r="714" spans="1:27">
      <c r="A714" s="17"/>
      <c r="B714" s="25"/>
      <c r="C714" s="13"/>
      <c r="D714" s="26">
        <f>IF($C714="","",IFERROR(INDEX(VeicCli,MATCH($C714,VeicPlaca,0)),"Placa não cadastrada"))</f>
        <v>0</v>
      </c>
      <c r="E714" s="26">
        <f>IF($C714="","",IFERROR(INDEX(VeicModelo,MATCH($C714,VeicPlaca,0)),""))</f>
        <v>0</v>
      </c>
      <c r="F714" s="28"/>
      <c r="G714" s="13"/>
      <c r="H714" s="13"/>
      <c r="I714" s="13"/>
      <c r="J714" s="29"/>
      <c r="K714" s="19"/>
      <c r="L714" s="19"/>
      <c r="M714" s="25"/>
      <c r="N714" s="13"/>
      <c r="O714" s="19"/>
      <c r="P714" s="27">
        <f>IF($A714="","",N($J714)*ValorHora)</f>
        <v>0</v>
      </c>
      <c r="Q714" s="27">
        <f>IF($A714="","",SUMIFS(ItTotal,ItOS,$A714))</f>
        <v>0</v>
      </c>
      <c r="R714" s="30">
        <f>IF($A714="","",$P714+$Q714+N($K714)-N($L714))</f>
        <v>0</v>
      </c>
      <c r="S714" s="27">
        <f>IF($A714="","",SUMIFS(ItCusto,ItOS,$A714))</f>
        <v>0</v>
      </c>
      <c r="T714" s="27">
        <f>IF($A714="","",$P714*ComMec)</f>
        <v>0</v>
      </c>
      <c r="U714" s="21">
        <f>IF($A714="","",$R714-$S714-$T714-N($K714))</f>
        <v>0</v>
      </c>
      <c r="V714" s="31">
        <f>IF(OR($A714="",N($R714)&lt;=0),"",$U714/$R714)</f>
        <v>0</v>
      </c>
      <c r="W714" s="27">
        <f>IF($A714="","",IF(OR($I714="Finalizado",$I714="Entregue"),MAX(0,$R714-N($O714)),0))</f>
        <v>0</v>
      </c>
      <c r="X714" s="32">
        <f>IF(OR($A714="",$B714=""),"",IF(OR($I714="Entregue",$I714="Cancelada"),"",Hoje-$B714))</f>
        <v>0</v>
      </c>
      <c r="Y714" s="24">
        <f>IF($A714="","",IF(AND(OR($I714="Aprovado",$I714="Em execução",$I714="Aguardando peça"),N($X714)&gt;PrazoMax),"ATRASADA",IF(AND(OR($I714="Finalizado",$I714="Entregue"),$W714&gt;0.005),"Cobrar",IF($I714="Orçamento","Aguardando aprovação",""))))</f>
        <v>0</v>
      </c>
      <c r="Z714" s="33">
        <f>IF(AND($I714="Entregue",$M714&lt;&gt;""),DATE(YEAR($M714),MONTH($M714),1),"")</f>
        <v>0</v>
      </c>
      <c r="AA714" s="34">
        <f>IF(AND($C714&lt;&gt;"",$C714=HistPlaca),COUNTIF($C$5:$C714,HistPlaca),"")</f>
        <v>0</v>
      </c>
    </row>
    <row r="715" spans="1:27">
      <c r="A715" s="17"/>
      <c r="B715" s="25"/>
      <c r="C715" s="13"/>
      <c r="D715" s="26">
        <f>IF($C715="","",IFERROR(INDEX(VeicCli,MATCH($C715,VeicPlaca,0)),"Placa não cadastrada"))</f>
        <v>0</v>
      </c>
      <c r="E715" s="26">
        <f>IF($C715="","",IFERROR(INDEX(VeicModelo,MATCH($C715,VeicPlaca,0)),""))</f>
        <v>0</v>
      </c>
      <c r="F715" s="28"/>
      <c r="G715" s="13"/>
      <c r="H715" s="13"/>
      <c r="I715" s="13"/>
      <c r="J715" s="29"/>
      <c r="K715" s="19"/>
      <c r="L715" s="19"/>
      <c r="M715" s="25"/>
      <c r="N715" s="13"/>
      <c r="O715" s="19"/>
      <c r="P715" s="27">
        <f>IF($A715="","",N($J715)*ValorHora)</f>
        <v>0</v>
      </c>
      <c r="Q715" s="27">
        <f>IF($A715="","",SUMIFS(ItTotal,ItOS,$A715))</f>
        <v>0</v>
      </c>
      <c r="R715" s="30">
        <f>IF($A715="","",$P715+$Q715+N($K715)-N($L715))</f>
        <v>0</v>
      </c>
      <c r="S715" s="27">
        <f>IF($A715="","",SUMIFS(ItCusto,ItOS,$A715))</f>
        <v>0</v>
      </c>
      <c r="T715" s="27">
        <f>IF($A715="","",$P715*ComMec)</f>
        <v>0</v>
      </c>
      <c r="U715" s="21">
        <f>IF($A715="","",$R715-$S715-$T715-N($K715))</f>
        <v>0</v>
      </c>
      <c r="V715" s="31">
        <f>IF(OR($A715="",N($R715)&lt;=0),"",$U715/$R715)</f>
        <v>0</v>
      </c>
      <c r="W715" s="27">
        <f>IF($A715="","",IF(OR($I715="Finalizado",$I715="Entregue"),MAX(0,$R715-N($O715)),0))</f>
        <v>0</v>
      </c>
      <c r="X715" s="32">
        <f>IF(OR($A715="",$B715=""),"",IF(OR($I715="Entregue",$I715="Cancelada"),"",Hoje-$B715))</f>
        <v>0</v>
      </c>
      <c r="Y715" s="24">
        <f>IF($A715="","",IF(AND(OR($I715="Aprovado",$I715="Em execução",$I715="Aguardando peça"),N($X715)&gt;PrazoMax),"ATRASADA",IF(AND(OR($I715="Finalizado",$I715="Entregue"),$W715&gt;0.005),"Cobrar",IF($I715="Orçamento","Aguardando aprovação",""))))</f>
        <v>0</v>
      </c>
      <c r="Z715" s="33">
        <f>IF(AND($I715="Entregue",$M715&lt;&gt;""),DATE(YEAR($M715),MONTH($M715),1),"")</f>
        <v>0</v>
      </c>
      <c r="AA715" s="34">
        <f>IF(AND($C715&lt;&gt;"",$C715=HistPlaca),COUNTIF($C$5:$C715,HistPlaca),"")</f>
        <v>0</v>
      </c>
    </row>
    <row r="716" spans="1:27">
      <c r="A716" s="17"/>
      <c r="B716" s="25"/>
      <c r="C716" s="13"/>
      <c r="D716" s="26">
        <f>IF($C716="","",IFERROR(INDEX(VeicCli,MATCH($C716,VeicPlaca,0)),"Placa não cadastrada"))</f>
        <v>0</v>
      </c>
      <c r="E716" s="26">
        <f>IF($C716="","",IFERROR(INDEX(VeicModelo,MATCH($C716,VeicPlaca,0)),""))</f>
        <v>0</v>
      </c>
      <c r="F716" s="28"/>
      <c r="G716" s="13"/>
      <c r="H716" s="13"/>
      <c r="I716" s="13"/>
      <c r="J716" s="29"/>
      <c r="K716" s="19"/>
      <c r="L716" s="19"/>
      <c r="M716" s="25"/>
      <c r="N716" s="13"/>
      <c r="O716" s="19"/>
      <c r="P716" s="27">
        <f>IF($A716="","",N($J716)*ValorHora)</f>
        <v>0</v>
      </c>
      <c r="Q716" s="27">
        <f>IF($A716="","",SUMIFS(ItTotal,ItOS,$A716))</f>
        <v>0</v>
      </c>
      <c r="R716" s="30">
        <f>IF($A716="","",$P716+$Q716+N($K716)-N($L716))</f>
        <v>0</v>
      </c>
      <c r="S716" s="27">
        <f>IF($A716="","",SUMIFS(ItCusto,ItOS,$A716))</f>
        <v>0</v>
      </c>
      <c r="T716" s="27">
        <f>IF($A716="","",$P716*ComMec)</f>
        <v>0</v>
      </c>
      <c r="U716" s="21">
        <f>IF($A716="","",$R716-$S716-$T716-N($K716))</f>
        <v>0</v>
      </c>
      <c r="V716" s="31">
        <f>IF(OR($A716="",N($R716)&lt;=0),"",$U716/$R716)</f>
        <v>0</v>
      </c>
      <c r="W716" s="27">
        <f>IF($A716="","",IF(OR($I716="Finalizado",$I716="Entregue"),MAX(0,$R716-N($O716)),0))</f>
        <v>0</v>
      </c>
      <c r="X716" s="32">
        <f>IF(OR($A716="",$B716=""),"",IF(OR($I716="Entregue",$I716="Cancelada"),"",Hoje-$B716))</f>
        <v>0</v>
      </c>
      <c r="Y716" s="24">
        <f>IF($A716="","",IF(AND(OR($I716="Aprovado",$I716="Em execução",$I716="Aguardando peça"),N($X716)&gt;PrazoMax),"ATRASADA",IF(AND(OR($I716="Finalizado",$I716="Entregue"),$W716&gt;0.005),"Cobrar",IF($I716="Orçamento","Aguardando aprovação",""))))</f>
        <v>0</v>
      </c>
      <c r="Z716" s="33">
        <f>IF(AND($I716="Entregue",$M716&lt;&gt;""),DATE(YEAR($M716),MONTH($M716),1),"")</f>
        <v>0</v>
      </c>
      <c r="AA716" s="34">
        <f>IF(AND($C716&lt;&gt;"",$C716=HistPlaca),COUNTIF($C$5:$C716,HistPlaca),"")</f>
        <v>0</v>
      </c>
    </row>
    <row r="717" spans="1:27">
      <c r="A717" s="17"/>
      <c r="B717" s="25"/>
      <c r="C717" s="13"/>
      <c r="D717" s="26">
        <f>IF($C717="","",IFERROR(INDEX(VeicCli,MATCH($C717,VeicPlaca,0)),"Placa não cadastrada"))</f>
        <v>0</v>
      </c>
      <c r="E717" s="26">
        <f>IF($C717="","",IFERROR(INDEX(VeicModelo,MATCH($C717,VeicPlaca,0)),""))</f>
        <v>0</v>
      </c>
      <c r="F717" s="28"/>
      <c r="G717" s="13"/>
      <c r="H717" s="13"/>
      <c r="I717" s="13"/>
      <c r="J717" s="29"/>
      <c r="K717" s="19"/>
      <c r="L717" s="19"/>
      <c r="M717" s="25"/>
      <c r="N717" s="13"/>
      <c r="O717" s="19"/>
      <c r="P717" s="27">
        <f>IF($A717="","",N($J717)*ValorHora)</f>
        <v>0</v>
      </c>
      <c r="Q717" s="27">
        <f>IF($A717="","",SUMIFS(ItTotal,ItOS,$A717))</f>
        <v>0</v>
      </c>
      <c r="R717" s="30">
        <f>IF($A717="","",$P717+$Q717+N($K717)-N($L717))</f>
        <v>0</v>
      </c>
      <c r="S717" s="27">
        <f>IF($A717="","",SUMIFS(ItCusto,ItOS,$A717))</f>
        <v>0</v>
      </c>
      <c r="T717" s="27">
        <f>IF($A717="","",$P717*ComMec)</f>
        <v>0</v>
      </c>
      <c r="U717" s="21">
        <f>IF($A717="","",$R717-$S717-$T717-N($K717))</f>
        <v>0</v>
      </c>
      <c r="V717" s="31">
        <f>IF(OR($A717="",N($R717)&lt;=0),"",$U717/$R717)</f>
        <v>0</v>
      </c>
      <c r="W717" s="27">
        <f>IF($A717="","",IF(OR($I717="Finalizado",$I717="Entregue"),MAX(0,$R717-N($O717)),0))</f>
        <v>0</v>
      </c>
      <c r="X717" s="32">
        <f>IF(OR($A717="",$B717=""),"",IF(OR($I717="Entregue",$I717="Cancelada"),"",Hoje-$B717))</f>
        <v>0</v>
      </c>
      <c r="Y717" s="24">
        <f>IF($A717="","",IF(AND(OR($I717="Aprovado",$I717="Em execução",$I717="Aguardando peça"),N($X717)&gt;PrazoMax),"ATRASADA",IF(AND(OR($I717="Finalizado",$I717="Entregue"),$W717&gt;0.005),"Cobrar",IF($I717="Orçamento","Aguardando aprovação",""))))</f>
        <v>0</v>
      </c>
      <c r="Z717" s="33">
        <f>IF(AND($I717="Entregue",$M717&lt;&gt;""),DATE(YEAR($M717),MONTH($M717),1),"")</f>
        <v>0</v>
      </c>
      <c r="AA717" s="34">
        <f>IF(AND($C717&lt;&gt;"",$C717=HistPlaca),COUNTIF($C$5:$C717,HistPlaca),"")</f>
        <v>0</v>
      </c>
    </row>
    <row r="718" spans="1:27">
      <c r="A718" s="17"/>
      <c r="B718" s="25"/>
      <c r="C718" s="13"/>
      <c r="D718" s="26">
        <f>IF($C718="","",IFERROR(INDEX(VeicCli,MATCH($C718,VeicPlaca,0)),"Placa não cadastrada"))</f>
        <v>0</v>
      </c>
      <c r="E718" s="26">
        <f>IF($C718="","",IFERROR(INDEX(VeicModelo,MATCH($C718,VeicPlaca,0)),""))</f>
        <v>0</v>
      </c>
      <c r="F718" s="28"/>
      <c r="G718" s="13"/>
      <c r="H718" s="13"/>
      <c r="I718" s="13"/>
      <c r="J718" s="29"/>
      <c r="K718" s="19"/>
      <c r="L718" s="19"/>
      <c r="M718" s="25"/>
      <c r="N718" s="13"/>
      <c r="O718" s="19"/>
      <c r="P718" s="27">
        <f>IF($A718="","",N($J718)*ValorHora)</f>
        <v>0</v>
      </c>
      <c r="Q718" s="27">
        <f>IF($A718="","",SUMIFS(ItTotal,ItOS,$A718))</f>
        <v>0</v>
      </c>
      <c r="R718" s="30">
        <f>IF($A718="","",$P718+$Q718+N($K718)-N($L718))</f>
        <v>0</v>
      </c>
      <c r="S718" s="27">
        <f>IF($A718="","",SUMIFS(ItCusto,ItOS,$A718))</f>
        <v>0</v>
      </c>
      <c r="T718" s="27">
        <f>IF($A718="","",$P718*ComMec)</f>
        <v>0</v>
      </c>
      <c r="U718" s="21">
        <f>IF($A718="","",$R718-$S718-$T718-N($K718))</f>
        <v>0</v>
      </c>
      <c r="V718" s="31">
        <f>IF(OR($A718="",N($R718)&lt;=0),"",$U718/$R718)</f>
        <v>0</v>
      </c>
      <c r="W718" s="27">
        <f>IF($A718="","",IF(OR($I718="Finalizado",$I718="Entregue"),MAX(0,$R718-N($O718)),0))</f>
        <v>0</v>
      </c>
      <c r="X718" s="32">
        <f>IF(OR($A718="",$B718=""),"",IF(OR($I718="Entregue",$I718="Cancelada"),"",Hoje-$B718))</f>
        <v>0</v>
      </c>
      <c r="Y718" s="24">
        <f>IF($A718="","",IF(AND(OR($I718="Aprovado",$I718="Em execução",$I718="Aguardando peça"),N($X718)&gt;PrazoMax),"ATRASADA",IF(AND(OR($I718="Finalizado",$I718="Entregue"),$W718&gt;0.005),"Cobrar",IF($I718="Orçamento","Aguardando aprovação",""))))</f>
        <v>0</v>
      </c>
      <c r="Z718" s="33">
        <f>IF(AND($I718="Entregue",$M718&lt;&gt;""),DATE(YEAR($M718),MONTH($M718),1),"")</f>
        <v>0</v>
      </c>
      <c r="AA718" s="34">
        <f>IF(AND($C718&lt;&gt;"",$C718=HistPlaca),COUNTIF($C$5:$C718,HistPlaca),"")</f>
        <v>0</v>
      </c>
    </row>
    <row r="719" spans="1:27">
      <c r="A719" s="17"/>
      <c r="B719" s="25"/>
      <c r="C719" s="13"/>
      <c r="D719" s="26">
        <f>IF($C719="","",IFERROR(INDEX(VeicCli,MATCH($C719,VeicPlaca,0)),"Placa não cadastrada"))</f>
        <v>0</v>
      </c>
      <c r="E719" s="26">
        <f>IF($C719="","",IFERROR(INDEX(VeicModelo,MATCH($C719,VeicPlaca,0)),""))</f>
        <v>0</v>
      </c>
      <c r="F719" s="28"/>
      <c r="G719" s="13"/>
      <c r="H719" s="13"/>
      <c r="I719" s="13"/>
      <c r="J719" s="29"/>
      <c r="K719" s="19"/>
      <c r="L719" s="19"/>
      <c r="M719" s="25"/>
      <c r="N719" s="13"/>
      <c r="O719" s="19"/>
      <c r="P719" s="27">
        <f>IF($A719="","",N($J719)*ValorHora)</f>
        <v>0</v>
      </c>
      <c r="Q719" s="27">
        <f>IF($A719="","",SUMIFS(ItTotal,ItOS,$A719))</f>
        <v>0</v>
      </c>
      <c r="R719" s="30">
        <f>IF($A719="","",$P719+$Q719+N($K719)-N($L719))</f>
        <v>0</v>
      </c>
      <c r="S719" s="27">
        <f>IF($A719="","",SUMIFS(ItCusto,ItOS,$A719))</f>
        <v>0</v>
      </c>
      <c r="T719" s="27">
        <f>IF($A719="","",$P719*ComMec)</f>
        <v>0</v>
      </c>
      <c r="U719" s="21">
        <f>IF($A719="","",$R719-$S719-$T719-N($K719))</f>
        <v>0</v>
      </c>
      <c r="V719" s="31">
        <f>IF(OR($A719="",N($R719)&lt;=0),"",$U719/$R719)</f>
        <v>0</v>
      </c>
      <c r="W719" s="27">
        <f>IF($A719="","",IF(OR($I719="Finalizado",$I719="Entregue"),MAX(0,$R719-N($O719)),0))</f>
        <v>0</v>
      </c>
      <c r="X719" s="32">
        <f>IF(OR($A719="",$B719=""),"",IF(OR($I719="Entregue",$I719="Cancelada"),"",Hoje-$B719))</f>
        <v>0</v>
      </c>
      <c r="Y719" s="24">
        <f>IF($A719="","",IF(AND(OR($I719="Aprovado",$I719="Em execução",$I719="Aguardando peça"),N($X719)&gt;PrazoMax),"ATRASADA",IF(AND(OR($I719="Finalizado",$I719="Entregue"),$W719&gt;0.005),"Cobrar",IF($I719="Orçamento","Aguardando aprovação",""))))</f>
        <v>0</v>
      </c>
      <c r="Z719" s="33">
        <f>IF(AND($I719="Entregue",$M719&lt;&gt;""),DATE(YEAR($M719),MONTH($M719),1),"")</f>
        <v>0</v>
      </c>
      <c r="AA719" s="34">
        <f>IF(AND($C719&lt;&gt;"",$C719=HistPlaca),COUNTIF($C$5:$C719,HistPlaca),"")</f>
        <v>0</v>
      </c>
    </row>
    <row r="720" spans="1:27">
      <c r="A720" s="17"/>
      <c r="B720" s="25"/>
      <c r="C720" s="13"/>
      <c r="D720" s="26">
        <f>IF($C720="","",IFERROR(INDEX(VeicCli,MATCH($C720,VeicPlaca,0)),"Placa não cadastrada"))</f>
        <v>0</v>
      </c>
      <c r="E720" s="26">
        <f>IF($C720="","",IFERROR(INDEX(VeicModelo,MATCH($C720,VeicPlaca,0)),""))</f>
        <v>0</v>
      </c>
      <c r="F720" s="28"/>
      <c r="G720" s="13"/>
      <c r="H720" s="13"/>
      <c r="I720" s="13"/>
      <c r="J720" s="29"/>
      <c r="K720" s="19"/>
      <c r="L720" s="19"/>
      <c r="M720" s="25"/>
      <c r="N720" s="13"/>
      <c r="O720" s="19"/>
      <c r="P720" s="27">
        <f>IF($A720="","",N($J720)*ValorHora)</f>
        <v>0</v>
      </c>
      <c r="Q720" s="27">
        <f>IF($A720="","",SUMIFS(ItTotal,ItOS,$A720))</f>
        <v>0</v>
      </c>
      <c r="R720" s="30">
        <f>IF($A720="","",$P720+$Q720+N($K720)-N($L720))</f>
        <v>0</v>
      </c>
      <c r="S720" s="27">
        <f>IF($A720="","",SUMIFS(ItCusto,ItOS,$A720))</f>
        <v>0</v>
      </c>
      <c r="T720" s="27">
        <f>IF($A720="","",$P720*ComMec)</f>
        <v>0</v>
      </c>
      <c r="U720" s="21">
        <f>IF($A720="","",$R720-$S720-$T720-N($K720))</f>
        <v>0</v>
      </c>
      <c r="V720" s="31">
        <f>IF(OR($A720="",N($R720)&lt;=0),"",$U720/$R720)</f>
        <v>0</v>
      </c>
      <c r="W720" s="27">
        <f>IF($A720="","",IF(OR($I720="Finalizado",$I720="Entregue"),MAX(0,$R720-N($O720)),0))</f>
        <v>0</v>
      </c>
      <c r="X720" s="32">
        <f>IF(OR($A720="",$B720=""),"",IF(OR($I720="Entregue",$I720="Cancelada"),"",Hoje-$B720))</f>
        <v>0</v>
      </c>
      <c r="Y720" s="24">
        <f>IF($A720="","",IF(AND(OR($I720="Aprovado",$I720="Em execução",$I720="Aguardando peça"),N($X720)&gt;PrazoMax),"ATRASADA",IF(AND(OR($I720="Finalizado",$I720="Entregue"),$W720&gt;0.005),"Cobrar",IF($I720="Orçamento","Aguardando aprovação",""))))</f>
        <v>0</v>
      </c>
      <c r="Z720" s="33">
        <f>IF(AND($I720="Entregue",$M720&lt;&gt;""),DATE(YEAR($M720),MONTH($M720),1),"")</f>
        <v>0</v>
      </c>
      <c r="AA720" s="34">
        <f>IF(AND($C720&lt;&gt;"",$C720=HistPlaca),COUNTIF($C$5:$C720,HistPlaca),"")</f>
        <v>0</v>
      </c>
    </row>
    <row r="721" spans="1:27">
      <c r="A721" s="17"/>
      <c r="B721" s="25"/>
      <c r="C721" s="13"/>
      <c r="D721" s="26">
        <f>IF($C721="","",IFERROR(INDEX(VeicCli,MATCH($C721,VeicPlaca,0)),"Placa não cadastrada"))</f>
        <v>0</v>
      </c>
      <c r="E721" s="26">
        <f>IF($C721="","",IFERROR(INDEX(VeicModelo,MATCH($C721,VeicPlaca,0)),""))</f>
        <v>0</v>
      </c>
      <c r="F721" s="28"/>
      <c r="G721" s="13"/>
      <c r="H721" s="13"/>
      <c r="I721" s="13"/>
      <c r="J721" s="29"/>
      <c r="K721" s="19"/>
      <c r="L721" s="19"/>
      <c r="M721" s="25"/>
      <c r="N721" s="13"/>
      <c r="O721" s="19"/>
      <c r="P721" s="27">
        <f>IF($A721="","",N($J721)*ValorHora)</f>
        <v>0</v>
      </c>
      <c r="Q721" s="27">
        <f>IF($A721="","",SUMIFS(ItTotal,ItOS,$A721))</f>
        <v>0</v>
      </c>
      <c r="R721" s="30">
        <f>IF($A721="","",$P721+$Q721+N($K721)-N($L721))</f>
        <v>0</v>
      </c>
      <c r="S721" s="27">
        <f>IF($A721="","",SUMIFS(ItCusto,ItOS,$A721))</f>
        <v>0</v>
      </c>
      <c r="T721" s="27">
        <f>IF($A721="","",$P721*ComMec)</f>
        <v>0</v>
      </c>
      <c r="U721" s="21">
        <f>IF($A721="","",$R721-$S721-$T721-N($K721))</f>
        <v>0</v>
      </c>
      <c r="V721" s="31">
        <f>IF(OR($A721="",N($R721)&lt;=0),"",$U721/$R721)</f>
        <v>0</v>
      </c>
      <c r="W721" s="27">
        <f>IF($A721="","",IF(OR($I721="Finalizado",$I721="Entregue"),MAX(0,$R721-N($O721)),0))</f>
        <v>0</v>
      </c>
      <c r="X721" s="32">
        <f>IF(OR($A721="",$B721=""),"",IF(OR($I721="Entregue",$I721="Cancelada"),"",Hoje-$B721))</f>
        <v>0</v>
      </c>
      <c r="Y721" s="24">
        <f>IF($A721="","",IF(AND(OR($I721="Aprovado",$I721="Em execução",$I721="Aguardando peça"),N($X721)&gt;PrazoMax),"ATRASADA",IF(AND(OR($I721="Finalizado",$I721="Entregue"),$W721&gt;0.005),"Cobrar",IF($I721="Orçamento","Aguardando aprovação",""))))</f>
        <v>0</v>
      </c>
      <c r="Z721" s="33">
        <f>IF(AND($I721="Entregue",$M721&lt;&gt;""),DATE(YEAR($M721),MONTH($M721),1),"")</f>
        <v>0</v>
      </c>
      <c r="AA721" s="34">
        <f>IF(AND($C721&lt;&gt;"",$C721=HistPlaca),COUNTIF($C$5:$C721,HistPlaca),"")</f>
        <v>0</v>
      </c>
    </row>
    <row r="722" spans="1:27">
      <c r="A722" s="17"/>
      <c r="B722" s="25"/>
      <c r="C722" s="13"/>
      <c r="D722" s="26">
        <f>IF($C722="","",IFERROR(INDEX(VeicCli,MATCH($C722,VeicPlaca,0)),"Placa não cadastrada"))</f>
        <v>0</v>
      </c>
      <c r="E722" s="26">
        <f>IF($C722="","",IFERROR(INDEX(VeicModelo,MATCH($C722,VeicPlaca,0)),""))</f>
        <v>0</v>
      </c>
      <c r="F722" s="28"/>
      <c r="G722" s="13"/>
      <c r="H722" s="13"/>
      <c r="I722" s="13"/>
      <c r="J722" s="29"/>
      <c r="K722" s="19"/>
      <c r="L722" s="19"/>
      <c r="M722" s="25"/>
      <c r="N722" s="13"/>
      <c r="O722" s="19"/>
      <c r="P722" s="27">
        <f>IF($A722="","",N($J722)*ValorHora)</f>
        <v>0</v>
      </c>
      <c r="Q722" s="27">
        <f>IF($A722="","",SUMIFS(ItTotal,ItOS,$A722))</f>
        <v>0</v>
      </c>
      <c r="R722" s="30">
        <f>IF($A722="","",$P722+$Q722+N($K722)-N($L722))</f>
        <v>0</v>
      </c>
      <c r="S722" s="27">
        <f>IF($A722="","",SUMIFS(ItCusto,ItOS,$A722))</f>
        <v>0</v>
      </c>
      <c r="T722" s="27">
        <f>IF($A722="","",$P722*ComMec)</f>
        <v>0</v>
      </c>
      <c r="U722" s="21">
        <f>IF($A722="","",$R722-$S722-$T722-N($K722))</f>
        <v>0</v>
      </c>
      <c r="V722" s="31">
        <f>IF(OR($A722="",N($R722)&lt;=0),"",$U722/$R722)</f>
        <v>0</v>
      </c>
      <c r="W722" s="27">
        <f>IF($A722="","",IF(OR($I722="Finalizado",$I722="Entregue"),MAX(0,$R722-N($O722)),0))</f>
        <v>0</v>
      </c>
      <c r="X722" s="32">
        <f>IF(OR($A722="",$B722=""),"",IF(OR($I722="Entregue",$I722="Cancelada"),"",Hoje-$B722))</f>
        <v>0</v>
      </c>
      <c r="Y722" s="24">
        <f>IF($A722="","",IF(AND(OR($I722="Aprovado",$I722="Em execução",$I722="Aguardando peça"),N($X722)&gt;PrazoMax),"ATRASADA",IF(AND(OR($I722="Finalizado",$I722="Entregue"),$W722&gt;0.005),"Cobrar",IF($I722="Orçamento","Aguardando aprovação",""))))</f>
        <v>0</v>
      </c>
      <c r="Z722" s="33">
        <f>IF(AND($I722="Entregue",$M722&lt;&gt;""),DATE(YEAR($M722),MONTH($M722),1),"")</f>
        <v>0</v>
      </c>
      <c r="AA722" s="34">
        <f>IF(AND($C722&lt;&gt;"",$C722=HistPlaca),COUNTIF($C$5:$C722,HistPlaca),"")</f>
        <v>0</v>
      </c>
    </row>
    <row r="723" spans="1:27">
      <c r="A723" s="17"/>
      <c r="B723" s="25"/>
      <c r="C723" s="13"/>
      <c r="D723" s="26">
        <f>IF($C723="","",IFERROR(INDEX(VeicCli,MATCH($C723,VeicPlaca,0)),"Placa não cadastrada"))</f>
        <v>0</v>
      </c>
      <c r="E723" s="26">
        <f>IF($C723="","",IFERROR(INDEX(VeicModelo,MATCH($C723,VeicPlaca,0)),""))</f>
        <v>0</v>
      </c>
      <c r="F723" s="28"/>
      <c r="G723" s="13"/>
      <c r="H723" s="13"/>
      <c r="I723" s="13"/>
      <c r="J723" s="29"/>
      <c r="K723" s="19"/>
      <c r="L723" s="19"/>
      <c r="M723" s="25"/>
      <c r="N723" s="13"/>
      <c r="O723" s="19"/>
      <c r="P723" s="27">
        <f>IF($A723="","",N($J723)*ValorHora)</f>
        <v>0</v>
      </c>
      <c r="Q723" s="27">
        <f>IF($A723="","",SUMIFS(ItTotal,ItOS,$A723))</f>
        <v>0</v>
      </c>
      <c r="R723" s="30">
        <f>IF($A723="","",$P723+$Q723+N($K723)-N($L723))</f>
        <v>0</v>
      </c>
      <c r="S723" s="27">
        <f>IF($A723="","",SUMIFS(ItCusto,ItOS,$A723))</f>
        <v>0</v>
      </c>
      <c r="T723" s="27">
        <f>IF($A723="","",$P723*ComMec)</f>
        <v>0</v>
      </c>
      <c r="U723" s="21">
        <f>IF($A723="","",$R723-$S723-$T723-N($K723))</f>
        <v>0</v>
      </c>
      <c r="V723" s="31">
        <f>IF(OR($A723="",N($R723)&lt;=0),"",$U723/$R723)</f>
        <v>0</v>
      </c>
      <c r="W723" s="27">
        <f>IF($A723="","",IF(OR($I723="Finalizado",$I723="Entregue"),MAX(0,$R723-N($O723)),0))</f>
        <v>0</v>
      </c>
      <c r="X723" s="32">
        <f>IF(OR($A723="",$B723=""),"",IF(OR($I723="Entregue",$I723="Cancelada"),"",Hoje-$B723))</f>
        <v>0</v>
      </c>
      <c r="Y723" s="24">
        <f>IF($A723="","",IF(AND(OR($I723="Aprovado",$I723="Em execução",$I723="Aguardando peça"),N($X723)&gt;PrazoMax),"ATRASADA",IF(AND(OR($I723="Finalizado",$I723="Entregue"),$W723&gt;0.005),"Cobrar",IF($I723="Orçamento","Aguardando aprovação",""))))</f>
        <v>0</v>
      </c>
      <c r="Z723" s="33">
        <f>IF(AND($I723="Entregue",$M723&lt;&gt;""),DATE(YEAR($M723),MONTH($M723),1),"")</f>
        <v>0</v>
      </c>
      <c r="AA723" s="34">
        <f>IF(AND($C723&lt;&gt;"",$C723=HistPlaca),COUNTIF($C$5:$C723,HistPlaca),"")</f>
        <v>0</v>
      </c>
    </row>
    <row r="724" spans="1:27">
      <c r="A724" s="17"/>
      <c r="B724" s="25"/>
      <c r="C724" s="13"/>
      <c r="D724" s="26">
        <f>IF($C724="","",IFERROR(INDEX(VeicCli,MATCH($C724,VeicPlaca,0)),"Placa não cadastrada"))</f>
        <v>0</v>
      </c>
      <c r="E724" s="26">
        <f>IF($C724="","",IFERROR(INDEX(VeicModelo,MATCH($C724,VeicPlaca,0)),""))</f>
        <v>0</v>
      </c>
      <c r="F724" s="28"/>
      <c r="G724" s="13"/>
      <c r="H724" s="13"/>
      <c r="I724" s="13"/>
      <c r="J724" s="29"/>
      <c r="K724" s="19"/>
      <c r="L724" s="19"/>
      <c r="M724" s="25"/>
      <c r="N724" s="13"/>
      <c r="O724" s="19"/>
      <c r="P724" s="27">
        <f>IF($A724="","",N($J724)*ValorHora)</f>
        <v>0</v>
      </c>
      <c r="Q724" s="27">
        <f>IF($A724="","",SUMIFS(ItTotal,ItOS,$A724))</f>
        <v>0</v>
      </c>
      <c r="R724" s="30">
        <f>IF($A724="","",$P724+$Q724+N($K724)-N($L724))</f>
        <v>0</v>
      </c>
      <c r="S724" s="27">
        <f>IF($A724="","",SUMIFS(ItCusto,ItOS,$A724))</f>
        <v>0</v>
      </c>
      <c r="T724" s="27">
        <f>IF($A724="","",$P724*ComMec)</f>
        <v>0</v>
      </c>
      <c r="U724" s="21">
        <f>IF($A724="","",$R724-$S724-$T724-N($K724))</f>
        <v>0</v>
      </c>
      <c r="V724" s="31">
        <f>IF(OR($A724="",N($R724)&lt;=0),"",$U724/$R724)</f>
        <v>0</v>
      </c>
      <c r="W724" s="27">
        <f>IF($A724="","",IF(OR($I724="Finalizado",$I724="Entregue"),MAX(0,$R724-N($O724)),0))</f>
        <v>0</v>
      </c>
      <c r="X724" s="32">
        <f>IF(OR($A724="",$B724=""),"",IF(OR($I724="Entregue",$I724="Cancelada"),"",Hoje-$B724))</f>
        <v>0</v>
      </c>
      <c r="Y724" s="24">
        <f>IF($A724="","",IF(AND(OR($I724="Aprovado",$I724="Em execução",$I724="Aguardando peça"),N($X724)&gt;PrazoMax),"ATRASADA",IF(AND(OR($I724="Finalizado",$I724="Entregue"),$W724&gt;0.005),"Cobrar",IF($I724="Orçamento","Aguardando aprovação",""))))</f>
        <v>0</v>
      </c>
      <c r="Z724" s="33">
        <f>IF(AND($I724="Entregue",$M724&lt;&gt;""),DATE(YEAR($M724),MONTH($M724),1),"")</f>
        <v>0</v>
      </c>
      <c r="AA724" s="34">
        <f>IF(AND($C724&lt;&gt;"",$C724=HistPlaca),COUNTIF($C$5:$C724,HistPlaca),"")</f>
        <v>0</v>
      </c>
    </row>
    <row r="725" spans="1:27">
      <c r="A725" s="17"/>
      <c r="B725" s="25"/>
      <c r="C725" s="13"/>
      <c r="D725" s="26">
        <f>IF($C725="","",IFERROR(INDEX(VeicCli,MATCH($C725,VeicPlaca,0)),"Placa não cadastrada"))</f>
        <v>0</v>
      </c>
      <c r="E725" s="26">
        <f>IF($C725="","",IFERROR(INDEX(VeicModelo,MATCH($C725,VeicPlaca,0)),""))</f>
        <v>0</v>
      </c>
      <c r="F725" s="28"/>
      <c r="G725" s="13"/>
      <c r="H725" s="13"/>
      <c r="I725" s="13"/>
      <c r="J725" s="29"/>
      <c r="K725" s="19"/>
      <c r="L725" s="19"/>
      <c r="M725" s="25"/>
      <c r="N725" s="13"/>
      <c r="O725" s="19"/>
      <c r="P725" s="27">
        <f>IF($A725="","",N($J725)*ValorHora)</f>
        <v>0</v>
      </c>
      <c r="Q725" s="27">
        <f>IF($A725="","",SUMIFS(ItTotal,ItOS,$A725))</f>
        <v>0</v>
      </c>
      <c r="R725" s="30">
        <f>IF($A725="","",$P725+$Q725+N($K725)-N($L725))</f>
        <v>0</v>
      </c>
      <c r="S725" s="27">
        <f>IF($A725="","",SUMIFS(ItCusto,ItOS,$A725))</f>
        <v>0</v>
      </c>
      <c r="T725" s="27">
        <f>IF($A725="","",$P725*ComMec)</f>
        <v>0</v>
      </c>
      <c r="U725" s="21">
        <f>IF($A725="","",$R725-$S725-$T725-N($K725))</f>
        <v>0</v>
      </c>
      <c r="V725" s="31">
        <f>IF(OR($A725="",N($R725)&lt;=0),"",$U725/$R725)</f>
        <v>0</v>
      </c>
      <c r="W725" s="27">
        <f>IF($A725="","",IF(OR($I725="Finalizado",$I725="Entregue"),MAX(0,$R725-N($O725)),0))</f>
        <v>0</v>
      </c>
      <c r="X725" s="32">
        <f>IF(OR($A725="",$B725=""),"",IF(OR($I725="Entregue",$I725="Cancelada"),"",Hoje-$B725))</f>
        <v>0</v>
      </c>
      <c r="Y725" s="24">
        <f>IF($A725="","",IF(AND(OR($I725="Aprovado",$I725="Em execução",$I725="Aguardando peça"),N($X725)&gt;PrazoMax),"ATRASADA",IF(AND(OR($I725="Finalizado",$I725="Entregue"),$W725&gt;0.005),"Cobrar",IF($I725="Orçamento","Aguardando aprovação",""))))</f>
        <v>0</v>
      </c>
      <c r="Z725" s="33">
        <f>IF(AND($I725="Entregue",$M725&lt;&gt;""),DATE(YEAR($M725),MONTH($M725),1),"")</f>
        <v>0</v>
      </c>
      <c r="AA725" s="34">
        <f>IF(AND($C725&lt;&gt;"",$C725=HistPlaca),COUNTIF($C$5:$C725,HistPlaca),"")</f>
        <v>0</v>
      </c>
    </row>
    <row r="726" spans="1:27">
      <c r="A726" s="17"/>
      <c r="B726" s="25"/>
      <c r="C726" s="13"/>
      <c r="D726" s="26">
        <f>IF($C726="","",IFERROR(INDEX(VeicCli,MATCH($C726,VeicPlaca,0)),"Placa não cadastrada"))</f>
        <v>0</v>
      </c>
      <c r="E726" s="26">
        <f>IF($C726="","",IFERROR(INDEX(VeicModelo,MATCH($C726,VeicPlaca,0)),""))</f>
        <v>0</v>
      </c>
      <c r="F726" s="28"/>
      <c r="G726" s="13"/>
      <c r="H726" s="13"/>
      <c r="I726" s="13"/>
      <c r="J726" s="29"/>
      <c r="K726" s="19"/>
      <c r="L726" s="19"/>
      <c r="M726" s="25"/>
      <c r="N726" s="13"/>
      <c r="O726" s="19"/>
      <c r="P726" s="27">
        <f>IF($A726="","",N($J726)*ValorHora)</f>
        <v>0</v>
      </c>
      <c r="Q726" s="27">
        <f>IF($A726="","",SUMIFS(ItTotal,ItOS,$A726))</f>
        <v>0</v>
      </c>
      <c r="R726" s="30">
        <f>IF($A726="","",$P726+$Q726+N($K726)-N($L726))</f>
        <v>0</v>
      </c>
      <c r="S726" s="27">
        <f>IF($A726="","",SUMIFS(ItCusto,ItOS,$A726))</f>
        <v>0</v>
      </c>
      <c r="T726" s="27">
        <f>IF($A726="","",$P726*ComMec)</f>
        <v>0</v>
      </c>
      <c r="U726" s="21">
        <f>IF($A726="","",$R726-$S726-$T726-N($K726))</f>
        <v>0</v>
      </c>
      <c r="V726" s="31">
        <f>IF(OR($A726="",N($R726)&lt;=0),"",$U726/$R726)</f>
        <v>0</v>
      </c>
      <c r="W726" s="27">
        <f>IF($A726="","",IF(OR($I726="Finalizado",$I726="Entregue"),MAX(0,$R726-N($O726)),0))</f>
        <v>0</v>
      </c>
      <c r="X726" s="32">
        <f>IF(OR($A726="",$B726=""),"",IF(OR($I726="Entregue",$I726="Cancelada"),"",Hoje-$B726))</f>
        <v>0</v>
      </c>
      <c r="Y726" s="24">
        <f>IF($A726="","",IF(AND(OR($I726="Aprovado",$I726="Em execução",$I726="Aguardando peça"),N($X726)&gt;PrazoMax),"ATRASADA",IF(AND(OR($I726="Finalizado",$I726="Entregue"),$W726&gt;0.005),"Cobrar",IF($I726="Orçamento","Aguardando aprovação",""))))</f>
        <v>0</v>
      </c>
      <c r="Z726" s="33">
        <f>IF(AND($I726="Entregue",$M726&lt;&gt;""),DATE(YEAR($M726),MONTH($M726),1),"")</f>
        <v>0</v>
      </c>
      <c r="AA726" s="34">
        <f>IF(AND($C726&lt;&gt;"",$C726=HistPlaca),COUNTIF($C$5:$C726,HistPlaca),"")</f>
        <v>0</v>
      </c>
    </row>
    <row r="727" spans="1:27">
      <c r="A727" s="17"/>
      <c r="B727" s="25"/>
      <c r="C727" s="13"/>
      <c r="D727" s="26">
        <f>IF($C727="","",IFERROR(INDEX(VeicCli,MATCH($C727,VeicPlaca,0)),"Placa não cadastrada"))</f>
        <v>0</v>
      </c>
      <c r="E727" s="26">
        <f>IF($C727="","",IFERROR(INDEX(VeicModelo,MATCH($C727,VeicPlaca,0)),""))</f>
        <v>0</v>
      </c>
      <c r="F727" s="28"/>
      <c r="G727" s="13"/>
      <c r="H727" s="13"/>
      <c r="I727" s="13"/>
      <c r="J727" s="29"/>
      <c r="K727" s="19"/>
      <c r="L727" s="19"/>
      <c r="M727" s="25"/>
      <c r="N727" s="13"/>
      <c r="O727" s="19"/>
      <c r="P727" s="27">
        <f>IF($A727="","",N($J727)*ValorHora)</f>
        <v>0</v>
      </c>
      <c r="Q727" s="27">
        <f>IF($A727="","",SUMIFS(ItTotal,ItOS,$A727))</f>
        <v>0</v>
      </c>
      <c r="R727" s="30">
        <f>IF($A727="","",$P727+$Q727+N($K727)-N($L727))</f>
        <v>0</v>
      </c>
      <c r="S727" s="27">
        <f>IF($A727="","",SUMIFS(ItCusto,ItOS,$A727))</f>
        <v>0</v>
      </c>
      <c r="T727" s="27">
        <f>IF($A727="","",$P727*ComMec)</f>
        <v>0</v>
      </c>
      <c r="U727" s="21">
        <f>IF($A727="","",$R727-$S727-$T727-N($K727))</f>
        <v>0</v>
      </c>
      <c r="V727" s="31">
        <f>IF(OR($A727="",N($R727)&lt;=0),"",$U727/$R727)</f>
        <v>0</v>
      </c>
      <c r="W727" s="27">
        <f>IF($A727="","",IF(OR($I727="Finalizado",$I727="Entregue"),MAX(0,$R727-N($O727)),0))</f>
        <v>0</v>
      </c>
      <c r="X727" s="32">
        <f>IF(OR($A727="",$B727=""),"",IF(OR($I727="Entregue",$I727="Cancelada"),"",Hoje-$B727))</f>
        <v>0</v>
      </c>
      <c r="Y727" s="24">
        <f>IF($A727="","",IF(AND(OR($I727="Aprovado",$I727="Em execução",$I727="Aguardando peça"),N($X727)&gt;PrazoMax),"ATRASADA",IF(AND(OR($I727="Finalizado",$I727="Entregue"),$W727&gt;0.005),"Cobrar",IF($I727="Orçamento","Aguardando aprovação",""))))</f>
        <v>0</v>
      </c>
      <c r="Z727" s="33">
        <f>IF(AND($I727="Entregue",$M727&lt;&gt;""),DATE(YEAR($M727),MONTH($M727),1),"")</f>
        <v>0</v>
      </c>
      <c r="AA727" s="34">
        <f>IF(AND($C727&lt;&gt;"",$C727=HistPlaca),COUNTIF($C$5:$C727,HistPlaca),"")</f>
        <v>0</v>
      </c>
    </row>
    <row r="728" spans="1:27">
      <c r="A728" s="17"/>
      <c r="B728" s="25"/>
      <c r="C728" s="13"/>
      <c r="D728" s="26">
        <f>IF($C728="","",IFERROR(INDEX(VeicCli,MATCH($C728,VeicPlaca,0)),"Placa não cadastrada"))</f>
        <v>0</v>
      </c>
      <c r="E728" s="26">
        <f>IF($C728="","",IFERROR(INDEX(VeicModelo,MATCH($C728,VeicPlaca,0)),""))</f>
        <v>0</v>
      </c>
      <c r="F728" s="28"/>
      <c r="G728" s="13"/>
      <c r="H728" s="13"/>
      <c r="I728" s="13"/>
      <c r="J728" s="29"/>
      <c r="K728" s="19"/>
      <c r="L728" s="19"/>
      <c r="M728" s="25"/>
      <c r="N728" s="13"/>
      <c r="O728" s="19"/>
      <c r="P728" s="27">
        <f>IF($A728="","",N($J728)*ValorHora)</f>
        <v>0</v>
      </c>
      <c r="Q728" s="27">
        <f>IF($A728="","",SUMIFS(ItTotal,ItOS,$A728))</f>
        <v>0</v>
      </c>
      <c r="R728" s="30">
        <f>IF($A728="","",$P728+$Q728+N($K728)-N($L728))</f>
        <v>0</v>
      </c>
      <c r="S728" s="27">
        <f>IF($A728="","",SUMIFS(ItCusto,ItOS,$A728))</f>
        <v>0</v>
      </c>
      <c r="T728" s="27">
        <f>IF($A728="","",$P728*ComMec)</f>
        <v>0</v>
      </c>
      <c r="U728" s="21">
        <f>IF($A728="","",$R728-$S728-$T728-N($K728))</f>
        <v>0</v>
      </c>
      <c r="V728" s="31">
        <f>IF(OR($A728="",N($R728)&lt;=0),"",$U728/$R728)</f>
        <v>0</v>
      </c>
      <c r="W728" s="27">
        <f>IF($A728="","",IF(OR($I728="Finalizado",$I728="Entregue"),MAX(0,$R728-N($O728)),0))</f>
        <v>0</v>
      </c>
      <c r="X728" s="32">
        <f>IF(OR($A728="",$B728=""),"",IF(OR($I728="Entregue",$I728="Cancelada"),"",Hoje-$B728))</f>
        <v>0</v>
      </c>
      <c r="Y728" s="24">
        <f>IF($A728="","",IF(AND(OR($I728="Aprovado",$I728="Em execução",$I728="Aguardando peça"),N($X728)&gt;PrazoMax),"ATRASADA",IF(AND(OR($I728="Finalizado",$I728="Entregue"),$W728&gt;0.005),"Cobrar",IF($I728="Orçamento","Aguardando aprovação",""))))</f>
        <v>0</v>
      </c>
      <c r="Z728" s="33">
        <f>IF(AND($I728="Entregue",$M728&lt;&gt;""),DATE(YEAR($M728),MONTH($M728),1),"")</f>
        <v>0</v>
      </c>
      <c r="AA728" s="34">
        <f>IF(AND($C728&lt;&gt;"",$C728=HistPlaca),COUNTIF($C$5:$C728,HistPlaca),"")</f>
        <v>0</v>
      </c>
    </row>
    <row r="729" spans="1:27">
      <c r="A729" s="17"/>
      <c r="B729" s="25"/>
      <c r="C729" s="13"/>
      <c r="D729" s="26">
        <f>IF($C729="","",IFERROR(INDEX(VeicCli,MATCH($C729,VeicPlaca,0)),"Placa não cadastrada"))</f>
        <v>0</v>
      </c>
      <c r="E729" s="26">
        <f>IF($C729="","",IFERROR(INDEX(VeicModelo,MATCH($C729,VeicPlaca,0)),""))</f>
        <v>0</v>
      </c>
      <c r="F729" s="28"/>
      <c r="G729" s="13"/>
      <c r="H729" s="13"/>
      <c r="I729" s="13"/>
      <c r="J729" s="29"/>
      <c r="K729" s="19"/>
      <c r="L729" s="19"/>
      <c r="M729" s="25"/>
      <c r="N729" s="13"/>
      <c r="O729" s="19"/>
      <c r="P729" s="27">
        <f>IF($A729="","",N($J729)*ValorHora)</f>
        <v>0</v>
      </c>
      <c r="Q729" s="27">
        <f>IF($A729="","",SUMIFS(ItTotal,ItOS,$A729))</f>
        <v>0</v>
      </c>
      <c r="R729" s="30">
        <f>IF($A729="","",$P729+$Q729+N($K729)-N($L729))</f>
        <v>0</v>
      </c>
      <c r="S729" s="27">
        <f>IF($A729="","",SUMIFS(ItCusto,ItOS,$A729))</f>
        <v>0</v>
      </c>
      <c r="T729" s="27">
        <f>IF($A729="","",$P729*ComMec)</f>
        <v>0</v>
      </c>
      <c r="U729" s="21">
        <f>IF($A729="","",$R729-$S729-$T729-N($K729))</f>
        <v>0</v>
      </c>
      <c r="V729" s="31">
        <f>IF(OR($A729="",N($R729)&lt;=0),"",$U729/$R729)</f>
        <v>0</v>
      </c>
      <c r="W729" s="27">
        <f>IF($A729="","",IF(OR($I729="Finalizado",$I729="Entregue"),MAX(0,$R729-N($O729)),0))</f>
        <v>0</v>
      </c>
      <c r="X729" s="32">
        <f>IF(OR($A729="",$B729=""),"",IF(OR($I729="Entregue",$I729="Cancelada"),"",Hoje-$B729))</f>
        <v>0</v>
      </c>
      <c r="Y729" s="24">
        <f>IF($A729="","",IF(AND(OR($I729="Aprovado",$I729="Em execução",$I729="Aguardando peça"),N($X729)&gt;PrazoMax),"ATRASADA",IF(AND(OR($I729="Finalizado",$I729="Entregue"),$W729&gt;0.005),"Cobrar",IF($I729="Orçamento","Aguardando aprovação",""))))</f>
        <v>0</v>
      </c>
      <c r="Z729" s="33">
        <f>IF(AND($I729="Entregue",$M729&lt;&gt;""),DATE(YEAR($M729),MONTH($M729),1),"")</f>
        <v>0</v>
      </c>
      <c r="AA729" s="34">
        <f>IF(AND($C729&lt;&gt;"",$C729=HistPlaca),COUNTIF($C$5:$C729,HistPlaca),"")</f>
        <v>0</v>
      </c>
    </row>
    <row r="730" spans="1:27">
      <c r="A730" s="17"/>
      <c r="B730" s="25"/>
      <c r="C730" s="13"/>
      <c r="D730" s="26">
        <f>IF($C730="","",IFERROR(INDEX(VeicCli,MATCH($C730,VeicPlaca,0)),"Placa não cadastrada"))</f>
        <v>0</v>
      </c>
      <c r="E730" s="26">
        <f>IF($C730="","",IFERROR(INDEX(VeicModelo,MATCH($C730,VeicPlaca,0)),""))</f>
        <v>0</v>
      </c>
      <c r="F730" s="28"/>
      <c r="G730" s="13"/>
      <c r="H730" s="13"/>
      <c r="I730" s="13"/>
      <c r="J730" s="29"/>
      <c r="K730" s="19"/>
      <c r="L730" s="19"/>
      <c r="M730" s="25"/>
      <c r="N730" s="13"/>
      <c r="O730" s="19"/>
      <c r="P730" s="27">
        <f>IF($A730="","",N($J730)*ValorHora)</f>
        <v>0</v>
      </c>
      <c r="Q730" s="27">
        <f>IF($A730="","",SUMIFS(ItTotal,ItOS,$A730))</f>
        <v>0</v>
      </c>
      <c r="R730" s="30">
        <f>IF($A730="","",$P730+$Q730+N($K730)-N($L730))</f>
        <v>0</v>
      </c>
      <c r="S730" s="27">
        <f>IF($A730="","",SUMIFS(ItCusto,ItOS,$A730))</f>
        <v>0</v>
      </c>
      <c r="T730" s="27">
        <f>IF($A730="","",$P730*ComMec)</f>
        <v>0</v>
      </c>
      <c r="U730" s="21">
        <f>IF($A730="","",$R730-$S730-$T730-N($K730))</f>
        <v>0</v>
      </c>
      <c r="V730" s="31">
        <f>IF(OR($A730="",N($R730)&lt;=0),"",$U730/$R730)</f>
        <v>0</v>
      </c>
      <c r="W730" s="27">
        <f>IF($A730="","",IF(OR($I730="Finalizado",$I730="Entregue"),MAX(0,$R730-N($O730)),0))</f>
        <v>0</v>
      </c>
      <c r="X730" s="32">
        <f>IF(OR($A730="",$B730=""),"",IF(OR($I730="Entregue",$I730="Cancelada"),"",Hoje-$B730))</f>
        <v>0</v>
      </c>
      <c r="Y730" s="24">
        <f>IF($A730="","",IF(AND(OR($I730="Aprovado",$I730="Em execução",$I730="Aguardando peça"),N($X730)&gt;PrazoMax),"ATRASADA",IF(AND(OR($I730="Finalizado",$I730="Entregue"),$W730&gt;0.005),"Cobrar",IF($I730="Orçamento","Aguardando aprovação",""))))</f>
        <v>0</v>
      </c>
      <c r="Z730" s="33">
        <f>IF(AND($I730="Entregue",$M730&lt;&gt;""),DATE(YEAR($M730),MONTH($M730),1),"")</f>
        <v>0</v>
      </c>
      <c r="AA730" s="34">
        <f>IF(AND($C730&lt;&gt;"",$C730=HistPlaca),COUNTIF($C$5:$C730,HistPlaca),"")</f>
        <v>0</v>
      </c>
    </row>
    <row r="731" spans="1:27">
      <c r="A731" s="17"/>
      <c r="B731" s="25"/>
      <c r="C731" s="13"/>
      <c r="D731" s="26">
        <f>IF($C731="","",IFERROR(INDEX(VeicCli,MATCH($C731,VeicPlaca,0)),"Placa não cadastrada"))</f>
        <v>0</v>
      </c>
      <c r="E731" s="26">
        <f>IF($C731="","",IFERROR(INDEX(VeicModelo,MATCH($C731,VeicPlaca,0)),""))</f>
        <v>0</v>
      </c>
      <c r="F731" s="28"/>
      <c r="G731" s="13"/>
      <c r="H731" s="13"/>
      <c r="I731" s="13"/>
      <c r="J731" s="29"/>
      <c r="K731" s="19"/>
      <c r="L731" s="19"/>
      <c r="M731" s="25"/>
      <c r="N731" s="13"/>
      <c r="O731" s="19"/>
      <c r="P731" s="27">
        <f>IF($A731="","",N($J731)*ValorHora)</f>
        <v>0</v>
      </c>
      <c r="Q731" s="27">
        <f>IF($A731="","",SUMIFS(ItTotal,ItOS,$A731))</f>
        <v>0</v>
      </c>
      <c r="R731" s="30">
        <f>IF($A731="","",$P731+$Q731+N($K731)-N($L731))</f>
        <v>0</v>
      </c>
      <c r="S731" s="27">
        <f>IF($A731="","",SUMIFS(ItCusto,ItOS,$A731))</f>
        <v>0</v>
      </c>
      <c r="T731" s="27">
        <f>IF($A731="","",$P731*ComMec)</f>
        <v>0</v>
      </c>
      <c r="U731" s="21">
        <f>IF($A731="","",$R731-$S731-$T731-N($K731))</f>
        <v>0</v>
      </c>
      <c r="V731" s="31">
        <f>IF(OR($A731="",N($R731)&lt;=0),"",$U731/$R731)</f>
        <v>0</v>
      </c>
      <c r="W731" s="27">
        <f>IF($A731="","",IF(OR($I731="Finalizado",$I731="Entregue"),MAX(0,$R731-N($O731)),0))</f>
        <v>0</v>
      </c>
      <c r="X731" s="32">
        <f>IF(OR($A731="",$B731=""),"",IF(OR($I731="Entregue",$I731="Cancelada"),"",Hoje-$B731))</f>
        <v>0</v>
      </c>
      <c r="Y731" s="24">
        <f>IF($A731="","",IF(AND(OR($I731="Aprovado",$I731="Em execução",$I731="Aguardando peça"),N($X731)&gt;PrazoMax),"ATRASADA",IF(AND(OR($I731="Finalizado",$I731="Entregue"),$W731&gt;0.005),"Cobrar",IF($I731="Orçamento","Aguardando aprovação",""))))</f>
        <v>0</v>
      </c>
      <c r="Z731" s="33">
        <f>IF(AND($I731="Entregue",$M731&lt;&gt;""),DATE(YEAR($M731),MONTH($M731),1),"")</f>
        <v>0</v>
      </c>
      <c r="AA731" s="34">
        <f>IF(AND($C731&lt;&gt;"",$C731=HistPlaca),COUNTIF($C$5:$C731,HistPlaca),"")</f>
        <v>0</v>
      </c>
    </row>
    <row r="732" spans="1:27">
      <c r="A732" s="17"/>
      <c r="B732" s="25"/>
      <c r="C732" s="13"/>
      <c r="D732" s="26">
        <f>IF($C732="","",IFERROR(INDEX(VeicCli,MATCH($C732,VeicPlaca,0)),"Placa não cadastrada"))</f>
        <v>0</v>
      </c>
      <c r="E732" s="26">
        <f>IF($C732="","",IFERROR(INDEX(VeicModelo,MATCH($C732,VeicPlaca,0)),""))</f>
        <v>0</v>
      </c>
      <c r="F732" s="28"/>
      <c r="G732" s="13"/>
      <c r="H732" s="13"/>
      <c r="I732" s="13"/>
      <c r="J732" s="29"/>
      <c r="K732" s="19"/>
      <c r="L732" s="19"/>
      <c r="M732" s="25"/>
      <c r="N732" s="13"/>
      <c r="O732" s="19"/>
      <c r="P732" s="27">
        <f>IF($A732="","",N($J732)*ValorHora)</f>
        <v>0</v>
      </c>
      <c r="Q732" s="27">
        <f>IF($A732="","",SUMIFS(ItTotal,ItOS,$A732))</f>
        <v>0</v>
      </c>
      <c r="R732" s="30">
        <f>IF($A732="","",$P732+$Q732+N($K732)-N($L732))</f>
        <v>0</v>
      </c>
      <c r="S732" s="27">
        <f>IF($A732="","",SUMIFS(ItCusto,ItOS,$A732))</f>
        <v>0</v>
      </c>
      <c r="T732" s="27">
        <f>IF($A732="","",$P732*ComMec)</f>
        <v>0</v>
      </c>
      <c r="U732" s="21">
        <f>IF($A732="","",$R732-$S732-$T732-N($K732))</f>
        <v>0</v>
      </c>
      <c r="V732" s="31">
        <f>IF(OR($A732="",N($R732)&lt;=0),"",$U732/$R732)</f>
        <v>0</v>
      </c>
      <c r="W732" s="27">
        <f>IF($A732="","",IF(OR($I732="Finalizado",$I732="Entregue"),MAX(0,$R732-N($O732)),0))</f>
        <v>0</v>
      </c>
      <c r="X732" s="32">
        <f>IF(OR($A732="",$B732=""),"",IF(OR($I732="Entregue",$I732="Cancelada"),"",Hoje-$B732))</f>
        <v>0</v>
      </c>
      <c r="Y732" s="24">
        <f>IF($A732="","",IF(AND(OR($I732="Aprovado",$I732="Em execução",$I732="Aguardando peça"),N($X732)&gt;PrazoMax),"ATRASADA",IF(AND(OR($I732="Finalizado",$I732="Entregue"),$W732&gt;0.005),"Cobrar",IF($I732="Orçamento","Aguardando aprovação",""))))</f>
        <v>0</v>
      </c>
      <c r="Z732" s="33">
        <f>IF(AND($I732="Entregue",$M732&lt;&gt;""),DATE(YEAR($M732),MONTH($M732),1),"")</f>
        <v>0</v>
      </c>
      <c r="AA732" s="34">
        <f>IF(AND($C732&lt;&gt;"",$C732=HistPlaca),COUNTIF($C$5:$C732,HistPlaca),"")</f>
        <v>0</v>
      </c>
    </row>
    <row r="733" spans="1:27">
      <c r="A733" s="17"/>
      <c r="B733" s="25"/>
      <c r="C733" s="13"/>
      <c r="D733" s="26">
        <f>IF($C733="","",IFERROR(INDEX(VeicCli,MATCH($C733,VeicPlaca,0)),"Placa não cadastrada"))</f>
        <v>0</v>
      </c>
      <c r="E733" s="26">
        <f>IF($C733="","",IFERROR(INDEX(VeicModelo,MATCH($C733,VeicPlaca,0)),""))</f>
        <v>0</v>
      </c>
      <c r="F733" s="28"/>
      <c r="G733" s="13"/>
      <c r="H733" s="13"/>
      <c r="I733" s="13"/>
      <c r="J733" s="29"/>
      <c r="K733" s="19"/>
      <c r="L733" s="19"/>
      <c r="M733" s="25"/>
      <c r="N733" s="13"/>
      <c r="O733" s="19"/>
      <c r="P733" s="27">
        <f>IF($A733="","",N($J733)*ValorHora)</f>
        <v>0</v>
      </c>
      <c r="Q733" s="27">
        <f>IF($A733="","",SUMIFS(ItTotal,ItOS,$A733))</f>
        <v>0</v>
      </c>
      <c r="R733" s="30">
        <f>IF($A733="","",$P733+$Q733+N($K733)-N($L733))</f>
        <v>0</v>
      </c>
      <c r="S733" s="27">
        <f>IF($A733="","",SUMIFS(ItCusto,ItOS,$A733))</f>
        <v>0</v>
      </c>
      <c r="T733" s="27">
        <f>IF($A733="","",$P733*ComMec)</f>
        <v>0</v>
      </c>
      <c r="U733" s="21">
        <f>IF($A733="","",$R733-$S733-$T733-N($K733))</f>
        <v>0</v>
      </c>
      <c r="V733" s="31">
        <f>IF(OR($A733="",N($R733)&lt;=0),"",$U733/$R733)</f>
        <v>0</v>
      </c>
      <c r="W733" s="27">
        <f>IF($A733="","",IF(OR($I733="Finalizado",$I733="Entregue"),MAX(0,$R733-N($O733)),0))</f>
        <v>0</v>
      </c>
      <c r="X733" s="32">
        <f>IF(OR($A733="",$B733=""),"",IF(OR($I733="Entregue",$I733="Cancelada"),"",Hoje-$B733))</f>
        <v>0</v>
      </c>
      <c r="Y733" s="24">
        <f>IF($A733="","",IF(AND(OR($I733="Aprovado",$I733="Em execução",$I733="Aguardando peça"),N($X733)&gt;PrazoMax),"ATRASADA",IF(AND(OR($I733="Finalizado",$I733="Entregue"),$W733&gt;0.005),"Cobrar",IF($I733="Orçamento","Aguardando aprovação",""))))</f>
        <v>0</v>
      </c>
      <c r="Z733" s="33">
        <f>IF(AND($I733="Entregue",$M733&lt;&gt;""),DATE(YEAR($M733),MONTH($M733),1),"")</f>
        <v>0</v>
      </c>
      <c r="AA733" s="34">
        <f>IF(AND($C733&lt;&gt;"",$C733=HistPlaca),COUNTIF($C$5:$C733,HistPlaca),"")</f>
        <v>0</v>
      </c>
    </row>
    <row r="734" spans="1:27">
      <c r="A734" s="17"/>
      <c r="B734" s="25"/>
      <c r="C734" s="13"/>
      <c r="D734" s="26">
        <f>IF($C734="","",IFERROR(INDEX(VeicCli,MATCH($C734,VeicPlaca,0)),"Placa não cadastrada"))</f>
        <v>0</v>
      </c>
      <c r="E734" s="26">
        <f>IF($C734="","",IFERROR(INDEX(VeicModelo,MATCH($C734,VeicPlaca,0)),""))</f>
        <v>0</v>
      </c>
      <c r="F734" s="28"/>
      <c r="G734" s="13"/>
      <c r="H734" s="13"/>
      <c r="I734" s="13"/>
      <c r="J734" s="29"/>
      <c r="K734" s="19"/>
      <c r="L734" s="19"/>
      <c r="M734" s="25"/>
      <c r="N734" s="13"/>
      <c r="O734" s="19"/>
      <c r="P734" s="27">
        <f>IF($A734="","",N($J734)*ValorHora)</f>
        <v>0</v>
      </c>
      <c r="Q734" s="27">
        <f>IF($A734="","",SUMIFS(ItTotal,ItOS,$A734))</f>
        <v>0</v>
      </c>
      <c r="R734" s="30">
        <f>IF($A734="","",$P734+$Q734+N($K734)-N($L734))</f>
        <v>0</v>
      </c>
      <c r="S734" s="27">
        <f>IF($A734="","",SUMIFS(ItCusto,ItOS,$A734))</f>
        <v>0</v>
      </c>
      <c r="T734" s="27">
        <f>IF($A734="","",$P734*ComMec)</f>
        <v>0</v>
      </c>
      <c r="U734" s="21">
        <f>IF($A734="","",$R734-$S734-$T734-N($K734))</f>
        <v>0</v>
      </c>
      <c r="V734" s="31">
        <f>IF(OR($A734="",N($R734)&lt;=0),"",$U734/$R734)</f>
        <v>0</v>
      </c>
      <c r="W734" s="27">
        <f>IF($A734="","",IF(OR($I734="Finalizado",$I734="Entregue"),MAX(0,$R734-N($O734)),0))</f>
        <v>0</v>
      </c>
      <c r="X734" s="32">
        <f>IF(OR($A734="",$B734=""),"",IF(OR($I734="Entregue",$I734="Cancelada"),"",Hoje-$B734))</f>
        <v>0</v>
      </c>
      <c r="Y734" s="24">
        <f>IF($A734="","",IF(AND(OR($I734="Aprovado",$I734="Em execução",$I734="Aguardando peça"),N($X734)&gt;PrazoMax),"ATRASADA",IF(AND(OR($I734="Finalizado",$I734="Entregue"),$W734&gt;0.005),"Cobrar",IF($I734="Orçamento","Aguardando aprovação",""))))</f>
        <v>0</v>
      </c>
      <c r="Z734" s="33">
        <f>IF(AND($I734="Entregue",$M734&lt;&gt;""),DATE(YEAR($M734),MONTH($M734),1),"")</f>
        <v>0</v>
      </c>
      <c r="AA734" s="34">
        <f>IF(AND($C734&lt;&gt;"",$C734=HistPlaca),COUNTIF($C$5:$C734,HistPlaca),"")</f>
        <v>0</v>
      </c>
    </row>
    <row r="735" spans="1:27">
      <c r="A735" s="17"/>
      <c r="B735" s="25"/>
      <c r="C735" s="13"/>
      <c r="D735" s="26">
        <f>IF($C735="","",IFERROR(INDEX(VeicCli,MATCH($C735,VeicPlaca,0)),"Placa não cadastrada"))</f>
        <v>0</v>
      </c>
      <c r="E735" s="26">
        <f>IF($C735="","",IFERROR(INDEX(VeicModelo,MATCH($C735,VeicPlaca,0)),""))</f>
        <v>0</v>
      </c>
      <c r="F735" s="28"/>
      <c r="G735" s="13"/>
      <c r="H735" s="13"/>
      <c r="I735" s="13"/>
      <c r="J735" s="29"/>
      <c r="K735" s="19"/>
      <c r="L735" s="19"/>
      <c r="M735" s="25"/>
      <c r="N735" s="13"/>
      <c r="O735" s="19"/>
      <c r="P735" s="27">
        <f>IF($A735="","",N($J735)*ValorHora)</f>
        <v>0</v>
      </c>
      <c r="Q735" s="27">
        <f>IF($A735="","",SUMIFS(ItTotal,ItOS,$A735))</f>
        <v>0</v>
      </c>
      <c r="R735" s="30">
        <f>IF($A735="","",$P735+$Q735+N($K735)-N($L735))</f>
        <v>0</v>
      </c>
      <c r="S735" s="27">
        <f>IF($A735="","",SUMIFS(ItCusto,ItOS,$A735))</f>
        <v>0</v>
      </c>
      <c r="T735" s="27">
        <f>IF($A735="","",$P735*ComMec)</f>
        <v>0</v>
      </c>
      <c r="U735" s="21">
        <f>IF($A735="","",$R735-$S735-$T735-N($K735))</f>
        <v>0</v>
      </c>
      <c r="V735" s="31">
        <f>IF(OR($A735="",N($R735)&lt;=0),"",$U735/$R735)</f>
        <v>0</v>
      </c>
      <c r="W735" s="27">
        <f>IF($A735="","",IF(OR($I735="Finalizado",$I735="Entregue"),MAX(0,$R735-N($O735)),0))</f>
        <v>0</v>
      </c>
      <c r="X735" s="32">
        <f>IF(OR($A735="",$B735=""),"",IF(OR($I735="Entregue",$I735="Cancelada"),"",Hoje-$B735))</f>
        <v>0</v>
      </c>
      <c r="Y735" s="24">
        <f>IF($A735="","",IF(AND(OR($I735="Aprovado",$I735="Em execução",$I735="Aguardando peça"),N($X735)&gt;PrazoMax),"ATRASADA",IF(AND(OR($I735="Finalizado",$I735="Entregue"),$W735&gt;0.005),"Cobrar",IF($I735="Orçamento","Aguardando aprovação",""))))</f>
        <v>0</v>
      </c>
      <c r="Z735" s="33">
        <f>IF(AND($I735="Entregue",$M735&lt;&gt;""),DATE(YEAR($M735),MONTH($M735),1),"")</f>
        <v>0</v>
      </c>
      <c r="AA735" s="34">
        <f>IF(AND($C735&lt;&gt;"",$C735=HistPlaca),COUNTIF($C$5:$C735,HistPlaca),"")</f>
        <v>0</v>
      </c>
    </row>
    <row r="736" spans="1:27">
      <c r="A736" s="17"/>
      <c r="B736" s="25"/>
      <c r="C736" s="13"/>
      <c r="D736" s="26">
        <f>IF($C736="","",IFERROR(INDEX(VeicCli,MATCH($C736,VeicPlaca,0)),"Placa não cadastrada"))</f>
        <v>0</v>
      </c>
      <c r="E736" s="26">
        <f>IF($C736="","",IFERROR(INDEX(VeicModelo,MATCH($C736,VeicPlaca,0)),""))</f>
        <v>0</v>
      </c>
      <c r="F736" s="28"/>
      <c r="G736" s="13"/>
      <c r="H736" s="13"/>
      <c r="I736" s="13"/>
      <c r="J736" s="29"/>
      <c r="K736" s="19"/>
      <c r="L736" s="19"/>
      <c r="M736" s="25"/>
      <c r="N736" s="13"/>
      <c r="O736" s="19"/>
      <c r="P736" s="27">
        <f>IF($A736="","",N($J736)*ValorHora)</f>
        <v>0</v>
      </c>
      <c r="Q736" s="27">
        <f>IF($A736="","",SUMIFS(ItTotal,ItOS,$A736))</f>
        <v>0</v>
      </c>
      <c r="R736" s="30">
        <f>IF($A736="","",$P736+$Q736+N($K736)-N($L736))</f>
        <v>0</v>
      </c>
      <c r="S736" s="27">
        <f>IF($A736="","",SUMIFS(ItCusto,ItOS,$A736))</f>
        <v>0</v>
      </c>
      <c r="T736" s="27">
        <f>IF($A736="","",$P736*ComMec)</f>
        <v>0</v>
      </c>
      <c r="U736" s="21">
        <f>IF($A736="","",$R736-$S736-$T736-N($K736))</f>
        <v>0</v>
      </c>
      <c r="V736" s="31">
        <f>IF(OR($A736="",N($R736)&lt;=0),"",$U736/$R736)</f>
        <v>0</v>
      </c>
      <c r="W736" s="27">
        <f>IF($A736="","",IF(OR($I736="Finalizado",$I736="Entregue"),MAX(0,$R736-N($O736)),0))</f>
        <v>0</v>
      </c>
      <c r="X736" s="32">
        <f>IF(OR($A736="",$B736=""),"",IF(OR($I736="Entregue",$I736="Cancelada"),"",Hoje-$B736))</f>
        <v>0</v>
      </c>
      <c r="Y736" s="24">
        <f>IF($A736="","",IF(AND(OR($I736="Aprovado",$I736="Em execução",$I736="Aguardando peça"),N($X736)&gt;PrazoMax),"ATRASADA",IF(AND(OR($I736="Finalizado",$I736="Entregue"),$W736&gt;0.005),"Cobrar",IF($I736="Orçamento","Aguardando aprovação",""))))</f>
        <v>0</v>
      </c>
      <c r="Z736" s="33">
        <f>IF(AND($I736="Entregue",$M736&lt;&gt;""),DATE(YEAR($M736),MONTH($M736),1),"")</f>
        <v>0</v>
      </c>
      <c r="AA736" s="34">
        <f>IF(AND($C736&lt;&gt;"",$C736=HistPlaca),COUNTIF($C$5:$C736,HistPlaca),"")</f>
        <v>0</v>
      </c>
    </row>
    <row r="737" spans="1:27">
      <c r="A737" s="17"/>
      <c r="B737" s="25"/>
      <c r="C737" s="13"/>
      <c r="D737" s="26">
        <f>IF($C737="","",IFERROR(INDEX(VeicCli,MATCH($C737,VeicPlaca,0)),"Placa não cadastrada"))</f>
        <v>0</v>
      </c>
      <c r="E737" s="26">
        <f>IF($C737="","",IFERROR(INDEX(VeicModelo,MATCH($C737,VeicPlaca,0)),""))</f>
        <v>0</v>
      </c>
      <c r="F737" s="28"/>
      <c r="G737" s="13"/>
      <c r="H737" s="13"/>
      <c r="I737" s="13"/>
      <c r="J737" s="29"/>
      <c r="K737" s="19"/>
      <c r="L737" s="19"/>
      <c r="M737" s="25"/>
      <c r="N737" s="13"/>
      <c r="O737" s="19"/>
      <c r="P737" s="27">
        <f>IF($A737="","",N($J737)*ValorHora)</f>
        <v>0</v>
      </c>
      <c r="Q737" s="27">
        <f>IF($A737="","",SUMIFS(ItTotal,ItOS,$A737))</f>
        <v>0</v>
      </c>
      <c r="R737" s="30">
        <f>IF($A737="","",$P737+$Q737+N($K737)-N($L737))</f>
        <v>0</v>
      </c>
      <c r="S737" s="27">
        <f>IF($A737="","",SUMIFS(ItCusto,ItOS,$A737))</f>
        <v>0</v>
      </c>
      <c r="T737" s="27">
        <f>IF($A737="","",$P737*ComMec)</f>
        <v>0</v>
      </c>
      <c r="U737" s="21">
        <f>IF($A737="","",$R737-$S737-$T737-N($K737))</f>
        <v>0</v>
      </c>
      <c r="V737" s="31">
        <f>IF(OR($A737="",N($R737)&lt;=0),"",$U737/$R737)</f>
        <v>0</v>
      </c>
      <c r="W737" s="27">
        <f>IF($A737="","",IF(OR($I737="Finalizado",$I737="Entregue"),MAX(0,$R737-N($O737)),0))</f>
        <v>0</v>
      </c>
      <c r="X737" s="32">
        <f>IF(OR($A737="",$B737=""),"",IF(OR($I737="Entregue",$I737="Cancelada"),"",Hoje-$B737))</f>
        <v>0</v>
      </c>
      <c r="Y737" s="24">
        <f>IF($A737="","",IF(AND(OR($I737="Aprovado",$I737="Em execução",$I737="Aguardando peça"),N($X737)&gt;PrazoMax),"ATRASADA",IF(AND(OR($I737="Finalizado",$I737="Entregue"),$W737&gt;0.005),"Cobrar",IF($I737="Orçamento","Aguardando aprovação",""))))</f>
        <v>0</v>
      </c>
      <c r="Z737" s="33">
        <f>IF(AND($I737="Entregue",$M737&lt;&gt;""),DATE(YEAR($M737),MONTH($M737),1),"")</f>
        <v>0</v>
      </c>
      <c r="AA737" s="34">
        <f>IF(AND($C737&lt;&gt;"",$C737=HistPlaca),COUNTIF($C$5:$C737,HistPlaca),"")</f>
        <v>0</v>
      </c>
    </row>
    <row r="738" spans="1:27">
      <c r="A738" s="17"/>
      <c r="B738" s="25"/>
      <c r="C738" s="13"/>
      <c r="D738" s="26">
        <f>IF($C738="","",IFERROR(INDEX(VeicCli,MATCH($C738,VeicPlaca,0)),"Placa não cadastrada"))</f>
        <v>0</v>
      </c>
      <c r="E738" s="26">
        <f>IF($C738="","",IFERROR(INDEX(VeicModelo,MATCH($C738,VeicPlaca,0)),""))</f>
        <v>0</v>
      </c>
      <c r="F738" s="28"/>
      <c r="G738" s="13"/>
      <c r="H738" s="13"/>
      <c r="I738" s="13"/>
      <c r="J738" s="29"/>
      <c r="K738" s="19"/>
      <c r="L738" s="19"/>
      <c r="M738" s="25"/>
      <c r="N738" s="13"/>
      <c r="O738" s="19"/>
      <c r="P738" s="27">
        <f>IF($A738="","",N($J738)*ValorHora)</f>
        <v>0</v>
      </c>
      <c r="Q738" s="27">
        <f>IF($A738="","",SUMIFS(ItTotal,ItOS,$A738))</f>
        <v>0</v>
      </c>
      <c r="R738" s="30">
        <f>IF($A738="","",$P738+$Q738+N($K738)-N($L738))</f>
        <v>0</v>
      </c>
      <c r="S738" s="27">
        <f>IF($A738="","",SUMIFS(ItCusto,ItOS,$A738))</f>
        <v>0</v>
      </c>
      <c r="T738" s="27">
        <f>IF($A738="","",$P738*ComMec)</f>
        <v>0</v>
      </c>
      <c r="U738" s="21">
        <f>IF($A738="","",$R738-$S738-$T738-N($K738))</f>
        <v>0</v>
      </c>
      <c r="V738" s="31">
        <f>IF(OR($A738="",N($R738)&lt;=0),"",$U738/$R738)</f>
        <v>0</v>
      </c>
      <c r="W738" s="27">
        <f>IF($A738="","",IF(OR($I738="Finalizado",$I738="Entregue"),MAX(0,$R738-N($O738)),0))</f>
        <v>0</v>
      </c>
      <c r="X738" s="32">
        <f>IF(OR($A738="",$B738=""),"",IF(OR($I738="Entregue",$I738="Cancelada"),"",Hoje-$B738))</f>
        <v>0</v>
      </c>
      <c r="Y738" s="24">
        <f>IF($A738="","",IF(AND(OR($I738="Aprovado",$I738="Em execução",$I738="Aguardando peça"),N($X738)&gt;PrazoMax),"ATRASADA",IF(AND(OR($I738="Finalizado",$I738="Entregue"),$W738&gt;0.005),"Cobrar",IF($I738="Orçamento","Aguardando aprovação",""))))</f>
        <v>0</v>
      </c>
      <c r="Z738" s="33">
        <f>IF(AND($I738="Entregue",$M738&lt;&gt;""),DATE(YEAR($M738),MONTH($M738),1),"")</f>
        <v>0</v>
      </c>
      <c r="AA738" s="34">
        <f>IF(AND($C738&lt;&gt;"",$C738=HistPlaca),COUNTIF($C$5:$C738,HistPlaca),"")</f>
        <v>0</v>
      </c>
    </row>
    <row r="739" spans="1:27">
      <c r="A739" s="17"/>
      <c r="B739" s="25"/>
      <c r="C739" s="13"/>
      <c r="D739" s="26">
        <f>IF($C739="","",IFERROR(INDEX(VeicCli,MATCH($C739,VeicPlaca,0)),"Placa não cadastrada"))</f>
        <v>0</v>
      </c>
      <c r="E739" s="26">
        <f>IF($C739="","",IFERROR(INDEX(VeicModelo,MATCH($C739,VeicPlaca,0)),""))</f>
        <v>0</v>
      </c>
      <c r="F739" s="28"/>
      <c r="G739" s="13"/>
      <c r="H739" s="13"/>
      <c r="I739" s="13"/>
      <c r="J739" s="29"/>
      <c r="K739" s="19"/>
      <c r="L739" s="19"/>
      <c r="M739" s="25"/>
      <c r="N739" s="13"/>
      <c r="O739" s="19"/>
      <c r="P739" s="27">
        <f>IF($A739="","",N($J739)*ValorHora)</f>
        <v>0</v>
      </c>
      <c r="Q739" s="27">
        <f>IF($A739="","",SUMIFS(ItTotal,ItOS,$A739))</f>
        <v>0</v>
      </c>
      <c r="R739" s="30">
        <f>IF($A739="","",$P739+$Q739+N($K739)-N($L739))</f>
        <v>0</v>
      </c>
      <c r="S739" s="27">
        <f>IF($A739="","",SUMIFS(ItCusto,ItOS,$A739))</f>
        <v>0</v>
      </c>
      <c r="T739" s="27">
        <f>IF($A739="","",$P739*ComMec)</f>
        <v>0</v>
      </c>
      <c r="U739" s="21">
        <f>IF($A739="","",$R739-$S739-$T739-N($K739))</f>
        <v>0</v>
      </c>
      <c r="V739" s="31">
        <f>IF(OR($A739="",N($R739)&lt;=0),"",$U739/$R739)</f>
        <v>0</v>
      </c>
      <c r="W739" s="27">
        <f>IF($A739="","",IF(OR($I739="Finalizado",$I739="Entregue"),MAX(0,$R739-N($O739)),0))</f>
        <v>0</v>
      </c>
      <c r="X739" s="32">
        <f>IF(OR($A739="",$B739=""),"",IF(OR($I739="Entregue",$I739="Cancelada"),"",Hoje-$B739))</f>
        <v>0</v>
      </c>
      <c r="Y739" s="24">
        <f>IF($A739="","",IF(AND(OR($I739="Aprovado",$I739="Em execução",$I739="Aguardando peça"),N($X739)&gt;PrazoMax),"ATRASADA",IF(AND(OR($I739="Finalizado",$I739="Entregue"),$W739&gt;0.005),"Cobrar",IF($I739="Orçamento","Aguardando aprovação",""))))</f>
        <v>0</v>
      </c>
      <c r="Z739" s="33">
        <f>IF(AND($I739="Entregue",$M739&lt;&gt;""),DATE(YEAR($M739),MONTH($M739),1),"")</f>
        <v>0</v>
      </c>
      <c r="AA739" s="34">
        <f>IF(AND($C739&lt;&gt;"",$C739=HistPlaca),COUNTIF($C$5:$C739,HistPlaca),"")</f>
        <v>0</v>
      </c>
    </row>
    <row r="740" spans="1:27">
      <c r="A740" s="17"/>
      <c r="B740" s="25"/>
      <c r="C740" s="13"/>
      <c r="D740" s="26">
        <f>IF($C740="","",IFERROR(INDEX(VeicCli,MATCH($C740,VeicPlaca,0)),"Placa não cadastrada"))</f>
        <v>0</v>
      </c>
      <c r="E740" s="26">
        <f>IF($C740="","",IFERROR(INDEX(VeicModelo,MATCH($C740,VeicPlaca,0)),""))</f>
        <v>0</v>
      </c>
      <c r="F740" s="28"/>
      <c r="G740" s="13"/>
      <c r="H740" s="13"/>
      <c r="I740" s="13"/>
      <c r="J740" s="29"/>
      <c r="K740" s="19"/>
      <c r="L740" s="19"/>
      <c r="M740" s="25"/>
      <c r="N740" s="13"/>
      <c r="O740" s="19"/>
      <c r="P740" s="27">
        <f>IF($A740="","",N($J740)*ValorHora)</f>
        <v>0</v>
      </c>
      <c r="Q740" s="27">
        <f>IF($A740="","",SUMIFS(ItTotal,ItOS,$A740))</f>
        <v>0</v>
      </c>
      <c r="R740" s="30">
        <f>IF($A740="","",$P740+$Q740+N($K740)-N($L740))</f>
        <v>0</v>
      </c>
      <c r="S740" s="27">
        <f>IF($A740="","",SUMIFS(ItCusto,ItOS,$A740))</f>
        <v>0</v>
      </c>
      <c r="T740" s="27">
        <f>IF($A740="","",$P740*ComMec)</f>
        <v>0</v>
      </c>
      <c r="U740" s="21">
        <f>IF($A740="","",$R740-$S740-$T740-N($K740))</f>
        <v>0</v>
      </c>
      <c r="V740" s="31">
        <f>IF(OR($A740="",N($R740)&lt;=0),"",$U740/$R740)</f>
        <v>0</v>
      </c>
      <c r="W740" s="27">
        <f>IF($A740="","",IF(OR($I740="Finalizado",$I740="Entregue"),MAX(0,$R740-N($O740)),0))</f>
        <v>0</v>
      </c>
      <c r="X740" s="32">
        <f>IF(OR($A740="",$B740=""),"",IF(OR($I740="Entregue",$I740="Cancelada"),"",Hoje-$B740))</f>
        <v>0</v>
      </c>
      <c r="Y740" s="24">
        <f>IF($A740="","",IF(AND(OR($I740="Aprovado",$I740="Em execução",$I740="Aguardando peça"),N($X740)&gt;PrazoMax),"ATRASADA",IF(AND(OR($I740="Finalizado",$I740="Entregue"),$W740&gt;0.005),"Cobrar",IF($I740="Orçamento","Aguardando aprovação",""))))</f>
        <v>0</v>
      </c>
      <c r="Z740" s="33">
        <f>IF(AND($I740="Entregue",$M740&lt;&gt;""),DATE(YEAR($M740),MONTH($M740),1),"")</f>
        <v>0</v>
      </c>
      <c r="AA740" s="34">
        <f>IF(AND($C740&lt;&gt;"",$C740=HistPlaca),COUNTIF($C$5:$C740,HistPlaca),"")</f>
        <v>0</v>
      </c>
    </row>
    <row r="741" spans="1:27">
      <c r="A741" s="17"/>
      <c r="B741" s="25"/>
      <c r="C741" s="13"/>
      <c r="D741" s="26">
        <f>IF($C741="","",IFERROR(INDEX(VeicCli,MATCH($C741,VeicPlaca,0)),"Placa não cadastrada"))</f>
        <v>0</v>
      </c>
      <c r="E741" s="26">
        <f>IF($C741="","",IFERROR(INDEX(VeicModelo,MATCH($C741,VeicPlaca,0)),""))</f>
        <v>0</v>
      </c>
      <c r="F741" s="28"/>
      <c r="G741" s="13"/>
      <c r="H741" s="13"/>
      <c r="I741" s="13"/>
      <c r="J741" s="29"/>
      <c r="K741" s="19"/>
      <c r="L741" s="19"/>
      <c r="M741" s="25"/>
      <c r="N741" s="13"/>
      <c r="O741" s="19"/>
      <c r="P741" s="27">
        <f>IF($A741="","",N($J741)*ValorHora)</f>
        <v>0</v>
      </c>
      <c r="Q741" s="27">
        <f>IF($A741="","",SUMIFS(ItTotal,ItOS,$A741))</f>
        <v>0</v>
      </c>
      <c r="R741" s="30">
        <f>IF($A741="","",$P741+$Q741+N($K741)-N($L741))</f>
        <v>0</v>
      </c>
      <c r="S741" s="27">
        <f>IF($A741="","",SUMIFS(ItCusto,ItOS,$A741))</f>
        <v>0</v>
      </c>
      <c r="T741" s="27">
        <f>IF($A741="","",$P741*ComMec)</f>
        <v>0</v>
      </c>
      <c r="U741" s="21">
        <f>IF($A741="","",$R741-$S741-$T741-N($K741))</f>
        <v>0</v>
      </c>
      <c r="V741" s="31">
        <f>IF(OR($A741="",N($R741)&lt;=0),"",$U741/$R741)</f>
        <v>0</v>
      </c>
      <c r="W741" s="27">
        <f>IF($A741="","",IF(OR($I741="Finalizado",$I741="Entregue"),MAX(0,$R741-N($O741)),0))</f>
        <v>0</v>
      </c>
      <c r="X741" s="32">
        <f>IF(OR($A741="",$B741=""),"",IF(OR($I741="Entregue",$I741="Cancelada"),"",Hoje-$B741))</f>
        <v>0</v>
      </c>
      <c r="Y741" s="24">
        <f>IF($A741="","",IF(AND(OR($I741="Aprovado",$I741="Em execução",$I741="Aguardando peça"),N($X741)&gt;PrazoMax),"ATRASADA",IF(AND(OR($I741="Finalizado",$I741="Entregue"),$W741&gt;0.005),"Cobrar",IF($I741="Orçamento","Aguardando aprovação",""))))</f>
        <v>0</v>
      </c>
      <c r="Z741" s="33">
        <f>IF(AND($I741="Entregue",$M741&lt;&gt;""),DATE(YEAR($M741),MONTH($M741),1),"")</f>
        <v>0</v>
      </c>
      <c r="AA741" s="34">
        <f>IF(AND($C741&lt;&gt;"",$C741=HistPlaca),COUNTIF($C$5:$C741,HistPlaca),"")</f>
        <v>0</v>
      </c>
    </row>
    <row r="742" spans="1:27">
      <c r="A742" s="17"/>
      <c r="B742" s="25"/>
      <c r="C742" s="13"/>
      <c r="D742" s="26">
        <f>IF($C742="","",IFERROR(INDEX(VeicCli,MATCH($C742,VeicPlaca,0)),"Placa não cadastrada"))</f>
        <v>0</v>
      </c>
      <c r="E742" s="26">
        <f>IF($C742="","",IFERROR(INDEX(VeicModelo,MATCH($C742,VeicPlaca,0)),""))</f>
        <v>0</v>
      </c>
      <c r="F742" s="28"/>
      <c r="G742" s="13"/>
      <c r="H742" s="13"/>
      <c r="I742" s="13"/>
      <c r="J742" s="29"/>
      <c r="K742" s="19"/>
      <c r="L742" s="19"/>
      <c r="M742" s="25"/>
      <c r="N742" s="13"/>
      <c r="O742" s="19"/>
      <c r="P742" s="27">
        <f>IF($A742="","",N($J742)*ValorHora)</f>
        <v>0</v>
      </c>
      <c r="Q742" s="27">
        <f>IF($A742="","",SUMIFS(ItTotal,ItOS,$A742))</f>
        <v>0</v>
      </c>
      <c r="R742" s="30">
        <f>IF($A742="","",$P742+$Q742+N($K742)-N($L742))</f>
        <v>0</v>
      </c>
      <c r="S742" s="27">
        <f>IF($A742="","",SUMIFS(ItCusto,ItOS,$A742))</f>
        <v>0</v>
      </c>
      <c r="T742" s="27">
        <f>IF($A742="","",$P742*ComMec)</f>
        <v>0</v>
      </c>
      <c r="U742" s="21">
        <f>IF($A742="","",$R742-$S742-$T742-N($K742))</f>
        <v>0</v>
      </c>
      <c r="V742" s="31">
        <f>IF(OR($A742="",N($R742)&lt;=0),"",$U742/$R742)</f>
        <v>0</v>
      </c>
      <c r="W742" s="27">
        <f>IF($A742="","",IF(OR($I742="Finalizado",$I742="Entregue"),MAX(0,$R742-N($O742)),0))</f>
        <v>0</v>
      </c>
      <c r="X742" s="32">
        <f>IF(OR($A742="",$B742=""),"",IF(OR($I742="Entregue",$I742="Cancelada"),"",Hoje-$B742))</f>
        <v>0</v>
      </c>
      <c r="Y742" s="24">
        <f>IF($A742="","",IF(AND(OR($I742="Aprovado",$I742="Em execução",$I742="Aguardando peça"),N($X742)&gt;PrazoMax),"ATRASADA",IF(AND(OR($I742="Finalizado",$I742="Entregue"),$W742&gt;0.005),"Cobrar",IF($I742="Orçamento","Aguardando aprovação",""))))</f>
        <v>0</v>
      </c>
      <c r="Z742" s="33">
        <f>IF(AND($I742="Entregue",$M742&lt;&gt;""),DATE(YEAR($M742),MONTH($M742),1),"")</f>
        <v>0</v>
      </c>
      <c r="AA742" s="34">
        <f>IF(AND($C742&lt;&gt;"",$C742=HistPlaca),COUNTIF($C$5:$C742,HistPlaca),"")</f>
        <v>0</v>
      </c>
    </row>
    <row r="743" spans="1:27">
      <c r="A743" s="17"/>
      <c r="B743" s="25"/>
      <c r="C743" s="13"/>
      <c r="D743" s="26">
        <f>IF($C743="","",IFERROR(INDEX(VeicCli,MATCH($C743,VeicPlaca,0)),"Placa não cadastrada"))</f>
        <v>0</v>
      </c>
      <c r="E743" s="26">
        <f>IF($C743="","",IFERROR(INDEX(VeicModelo,MATCH($C743,VeicPlaca,0)),""))</f>
        <v>0</v>
      </c>
      <c r="F743" s="28"/>
      <c r="G743" s="13"/>
      <c r="H743" s="13"/>
      <c r="I743" s="13"/>
      <c r="J743" s="29"/>
      <c r="K743" s="19"/>
      <c r="L743" s="19"/>
      <c r="M743" s="25"/>
      <c r="N743" s="13"/>
      <c r="O743" s="19"/>
      <c r="P743" s="27">
        <f>IF($A743="","",N($J743)*ValorHora)</f>
        <v>0</v>
      </c>
      <c r="Q743" s="27">
        <f>IF($A743="","",SUMIFS(ItTotal,ItOS,$A743))</f>
        <v>0</v>
      </c>
      <c r="R743" s="30">
        <f>IF($A743="","",$P743+$Q743+N($K743)-N($L743))</f>
        <v>0</v>
      </c>
      <c r="S743" s="27">
        <f>IF($A743="","",SUMIFS(ItCusto,ItOS,$A743))</f>
        <v>0</v>
      </c>
      <c r="T743" s="27">
        <f>IF($A743="","",$P743*ComMec)</f>
        <v>0</v>
      </c>
      <c r="U743" s="21">
        <f>IF($A743="","",$R743-$S743-$T743-N($K743))</f>
        <v>0</v>
      </c>
      <c r="V743" s="31">
        <f>IF(OR($A743="",N($R743)&lt;=0),"",$U743/$R743)</f>
        <v>0</v>
      </c>
      <c r="W743" s="27">
        <f>IF($A743="","",IF(OR($I743="Finalizado",$I743="Entregue"),MAX(0,$R743-N($O743)),0))</f>
        <v>0</v>
      </c>
      <c r="X743" s="32">
        <f>IF(OR($A743="",$B743=""),"",IF(OR($I743="Entregue",$I743="Cancelada"),"",Hoje-$B743))</f>
        <v>0</v>
      </c>
      <c r="Y743" s="24">
        <f>IF($A743="","",IF(AND(OR($I743="Aprovado",$I743="Em execução",$I743="Aguardando peça"),N($X743)&gt;PrazoMax),"ATRASADA",IF(AND(OR($I743="Finalizado",$I743="Entregue"),$W743&gt;0.005),"Cobrar",IF($I743="Orçamento","Aguardando aprovação",""))))</f>
        <v>0</v>
      </c>
      <c r="Z743" s="33">
        <f>IF(AND($I743="Entregue",$M743&lt;&gt;""),DATE(YEAR($M743),MONTH($M743),1),"")</f>
        <v>0</v>
      </c>
      <c r="AA743" s="34">
        <f>IF(AND($C743&lt;&gt;"",$C743=HistPlaca),COUNTIF($C$5:$C743,HistPlaca),"")</f>
        <v>0</v>
      </c>
    </row>
    <row r="744" spans="1:27">
      <c r="A744" s="17"/>
      <c r="B744" s="25"/>
      <c r="C744" s="13"/>
      <c r="D744" s="26">
        <f>IF($C744="","",IFERROR(INDEX(VeicCli,MATCH($C744,VeicPlaca,0)),"Placa não cadastrada"))</f>
        <v>0</v>
      </c>
      <c r="E744" s="26">
        <f>IF($C744="","",IFERROR(INDEX(VeicModelo,MATCH($C744,VeicPlaca,0)),""))</f>
        <v>0</v>
      </c>
      <c r="F744" s="28"/>
      <c r="G744" s="13"/>
      <c r="H744" s="13"/>
      <c r="I744" s="13"/>
      <c r="J744" s="29"/>
      <c r="K744" s="19"/>
      <c r="L744" s="19"/>
      <c r="M744" s="25"/>
      <c r="N744" s="13"/>
      <c r="O744" s="19"/>
      <c r="P744" s="27">
        <f>IF($A744="","",N($J744)*ValorHora)</f>
        <v>0</v>
      </c>
      <c r="Q744" s="27">
        <f>IF($A744="","",SUMIFS(ItTotal,ItOS,$A744))</f>
        <v>0</v>
      </c>
      <c r="R744" s="30">
        <f>IF($A744="","",$P744+$Q744+N($K744)-N($L744))</f>
        <v>0</v>
      </c>
      <c r="S744" s="27">
        <f>IF($A744="","",SUMIFS(ItCusto,ItOS,$A744))</f>
        <v>0</v>
      </c>
      <c r="T744" s="27">
        <f>IF($A744="","",$P744*ComMec)</f>
        <v>0</v>
      </c>
      <c r="U744" s="21">
        <f>IF($A744="","",$R744-$S744-$T744-N($K744))</f>
        <v>0</v>
      </c>
      <c r="V744" s="31">
        <f>IF(OR($A744="",N($R744)&lt;=0),"",$U744/$R744)</f>
        <v>0</v>
      </c>
      <c r="W744" s="27">
        <f>IF($A744="","",IF(OR($I744="Finalizado",$I744="Entregue"),MAX(0,$R744-N($O744)),0))</f>
        <v>0</v>
      </c>
      <c r="X744" s="32">
        <f>IF(OR($A744="",$B744=""),"",IF(OR($I744="Entregue",$I744="Cancelada"),"",Hoje-$B744))</f>
        <v>0</v>
      </c>
      <c r="Y744" s="24">
        <f>IF($A744="","",IF(AND(OR($I744="Aprovado",$I744="Em execução",$I744="Aguardando peça"),N($X744)&gt;PrazoMax),"ATRASADA",IF(AND(OR($I744="Finalizado",$I744="Entregue"),$W744&gt;0.005),"Cobrar",IF($I744="Orçamento","Aguardando aprovação",""))))</f>
        <v>0</v>
      </c>
      <c r="Z744" s="33">
        <f>IF(AND($I744="Entregue",$M744&lt;&gt;""),DATE(YEAR($M744),MONTH($M744),1),"")</f>
        <v>0</v>
      </c>
      <c r="AA744" s="34">
        <f>IF(AND($C744&lt;&gt;"",$C744=HistPlaca),COUNTIF($C$5:$C744,HistPlaca),"")</f>
        <v>0</v>
      </c>
    </row>
    <row r="745" spans="1:27">
      <c r="A745" s="17"/>
      <c r="B745" s="25"/>
      <c r="C745" s="13"/>
      <c r="D745" s="26">
        <f>IF($C745="","",IFERROR(INDEX(VeicCli,MATCH($C745,VeicPlaca,0)),"Placa não cadastrada"))</f>
        <v>0</v>
      </c>
      <c r="E745" s="26">
        <f>IF($C745="","",IFERROR(INDEX(VeicModelo,MATCH($C745,VeicPlaca,0)),""))</f>
        <v>0</v>
      </c>
      <c r="F745" s="28"/>
      <c r="G745" s="13"/>
      <c r="H745" s="13"/>
      <c r="I745" s="13"/>
      <c r="J745" s="29"/>
      <c r="K745" s="19"/>
      <c r="L745" s="19"/>
      <c r="M745" s="25"/>
      <c r="N745" s="13"/>
      <c r="O745" s="19"/>
      <c r="P745" s="27">
        <f>IF($A745="","",N($J745)*ValorHora)</f>
        <v>0</v>
      </c>
      <c r="Q745" s="27">
        <f>IF($A745="","",SUMIFS(ItTotal,ItOS,$A745))</f>
        <v>0</v>
      </c>
      <c r="R745" s="30">
        <f>IF($A745="","",$P745+$Q745+N($K745)-N($L745))</f>
        <v>0</v>
      </c>
      <c r="S745" s="27">
        <f>IF($A745="","",SUMIFS(ItCusto,ItOS,$A745))</f>
        <v>0</v>
      </c>
      <c r="T745" s="27">
        <f>IF($A745="","",$P745*ComMec)</f>
        <v>0</v>
      </c>
      <c r="U745" s="21">
        <f>IF($A745="","",$R745-$S745-$T745-N($K745))</f>
        <v>0</v>
      </c>
      <c r="V745" s="31">
        <f>IF(OR($A745="",N($R745)&lt;=0),"",$U745/$R745)</f>
        <v>0</v>
      </c>
      <c r="W745" s="27">
        <f>IF($A745="","",IF(OR($I745="Finalizado",$I745="Entregue"),MAX(0,$R745-N($O745)),0))</f>
        <v>0</v>
      </c>
      <c r="X745" s="32">
        <f>IF(OR($A745="",$B745=""),"",IF(OR($I745="Entregue",$I745="Cancelada"),"",Hoje-$B745))</f>
        <v>0</v>
      </c>
      <c r="Y745" s="24">
        <f>IF($A745="","",IF(AND(OR($I745="Aprovado",$I745="Em execução",$I745="Aguardando peça"),N($X745)&gt;PrazoMax),"ATRASADA",IF(AND(OR($I745="Finalizado",$I745="Entregue"),$W745&gt;0.005),"Cobrar",IF($I745="Orçamento","Aguardando aprovação",""))))</f>
        <v>0</v>
      </c>
      <c r="Z745" s="33">
        <f>IF(AND($I745="Entregue",$M745&lt;&gt;""),DATE(YEAR($M745),MONTH($M745),1),"")</f>
        <v>0</v>
      </c>
      <c r="AA745" s="34">
        <f>IF(AND($C745&lt;&gt;"",$C745=HistPlaca),COUNTIF($C$5:$C745,HistPlaca),"")</f>
        <v>0</v>
      </c>
    </row>
    <row r="746" spans="1:27">
      <c r="A746" s="17"/>
      <c r="B746" s="25"/>
      <c r="C746" s="13"/>
      <c r="D746" s="26">
        <f>IF($C746="","",IFERROR(INDEX(VeicCli,MATCH($C746,VeicPlaca,0)),"Placa não cadastrada"))</f>
        <v>0</v>
      </c>
      <c r="E746" s="26">
        <f>IF($C746="","",IFERROR(INDEX(VeicModelo,MATCH($C746,VeicPlaca,0)),""))</f>
        <v>0</v>
      </c>
      <c r="F746" s="28"/>
      <c r="G746" s="13"/>
      <c r="H746" s="13"/>
      <c r="I746" s="13"/>
      <c r="J746" s="29"/>
      <c r="K746" s="19"/>
      <c r="L746" s="19"/>
      <c r="M746" s="25"/>
      <c r="N746" s="13"/>
      <c r="O746" s="19"/>
      <c r="P746" s="27">
        <f>IF($A746="","",N($J746)*ValorHora)</f>
        <v>0</v>
      </c>
      <c r="Q746" s="27">
        <f>IF($A746="","",SUMIFS(ItTotal,ItOS,$A746))</f>
        <v>0</v>
      </c>
      <c r="R746" s="30">
        <f>IF($A746="","",$P746+$Q746+N($K746)-N($L746))</f>
        <v>0</v>
      </c>
      <c r="S746" s="27">
        <f>IF($A746="","",SUMIFS(ItCusto,ItOS,$A746))</f>
        <v>0</v>
      </c>
      <c r="T746" s="27">
        <f>IF($A746="","",$P746*ComMec)</f>
        <v>0</v>
      </c>
      <c r="U746" s="21">
        <f>IF($A746="","",$R746-$S746-$T746-N($K746))</f>
        <v>0</v>
      </c>
      <c r="V746" s="31">
        <f>IF(OR($A746="",N($R746)&lt;=0),"",$U746/$R746)</f>
        <v>0</v>
      </c>
      <c r="W746" s="27">
        <f>IF($A746="","",IF(OR($I746="Finalizado",$I746="Entregue"),MAX(0,$R746-N($O746)),0))</f>
        <v>0</v>
      </c>
      <c r="X746" s="32">
        <f>IF(OR($A746="",$B746=""),"",IF(OR($I746="Entregue",$I746="Cancelada"),"",Hoje-$B746))</f>
        <v>0</v>
      </c>
      <c r="Y746" s="24">
        <f>IF($A746="","",IF(AND(OR($I746="Aprovado",$I746="Em execução",$I746="Aguardando peça"),N($X746)&gt;PrazoMax),"ATRASADA",IF(AND(OR($I746="Finalizado",$I746="Entregue"),$W746&gt;0.005),"Cobrar",IF($I746="Orçamento","Aguardando aprovação",""))))</f>
        <v>0</v>
      </c>
      <c r="Z746" s="33">
        <f>IF(AND($I746="Entregue",$M746&lt;&gt;""),DATE(YEAR($M746),MONTH($M746),1),"")</f>
        <v>0</v>
      </c>
      <c r="AA746" s="34">
        <f>IF(AND($C746&lt;&gt;"",$C746=HistPlaca),COUNTIF($C$5:$C746,HistPlaca),"")</f>
        <v>0</v>
      </c>
    </row>
    <row r="747" spans="1:27">
      <c r="A747" s="17"/>
      <c r="B747" s="25"/>
      <c r="C747" s="13"/>
      <c r="D747" s="26">
        <f>IF($C747="","",IFERROR(INDEX(VeicCli,MATCH($C747,VeicPlaca,0)),"Placa não cadastrada"))</f>
        <v>0</v>
      </c>
      <c r="E747" s="26">
        <f>IF($C747="","",IFERROR(INDEX(VeicModelo,MATCH($C747,VeicPlaca,0)),""))</f>
        <v>0</v>
      </c>
      <c r="F747" s="28"/>
      <c r="G747" s="13"/>
      <c r="H747" s="13"/>
      <c r="I747" s="13"/>
      <c r="J747" s="29"/>
      <c r="K747" s="19"/>
      <c r="L747" s="19"/>
      <c r="M747" s="25"/>
      <c r="N747" s="13"/>
      <c r="O747" s="19"/>
      <c r="P747" s="27">
        <f>IF($A747="","",N($J747)*ValorHora)</f>
        <v>0</v>
      </c>
      <c r="Q747" s="27">
        <f>IF($A747="","",SUMIFS(ItTotal,ItOS,$A747))</f>
        <v>0</v>
      </c>
      <c r="R747" s="30">
        <f>IF($A747="","",$P747+$Q747+N($K747)-N($L747))</f>
        <v>0</v>
      </c>
      <c r="S747" s="27">
        <f>IF($A747="","",SUMIFS(ItCusto,ItOS,$A747))</f>
        <v>0</v>
      </c>
      <c r="T747" s="27">
        <f>IF($A747="","",$P747*ComMec)</f>
        <v>0</v>
      </c>
      <c r="U747" s="21">
        <f>IF($A747="","",$R747-$S747-$T747-N($K747))</f>
        <v>0</v>
      </c>
      <c r="V747" s="31">
        <f>IF(OR($A747="",N($R747)&lt;=0),"",$U747/$R747)</f>
        <v>0</v>
      </c>
      <c r="W747" s="27">
        <f>IF($A747="","",IF(OR($I747="Finalizado",$I747="Entregue"),MAX(0,$R747-N($O747)),0))</f>
        <v>0</v>
      </c>
      <c r="X747" s="32">
        <f>IF(OR($A747="",$B747=""),"",IF(OR($I747="Entregue",$I747="Cancelada"),"",Hoje-$B747))</f>
        <v>0</v>
      </c>
      <c r="Y747" s="24">
        <f>IF($A747="","",IF(AND(OR($I747="Aprovado",$I747="Em execução",$I747="Aguardando peça"),N($X747)&gt;PrazoMax),"ATRASADA",IF(AND(OR($I747="Finalizado",$I747="Entregue"),$W747&gt;0.005),"Cobrar",IF($I747="Orçamento","Aguardando aprovação",""))))</f>
        <v>0</v>
      </c>
      <c r="Z747" s="33">
        <f>IF(AND($I747="Entregue",$M747&lt;&gt;""),DATE(YEAR($M747),MONTH($M747),1),"")</f>
        <v>0</v>
      </c>
      <c r="AA747" s="34">
        <f>IF(AND($C747&lt;&gt;"",$C747=HistPlaca),COUNTIF($C$5:$C747,HistPlaca),"")</f>
        <v>0</v>
      </c>
    </row>
    <row r="748" spans="1:27">
      <c r="A748" s="17"/>
      <c r="B748" s="25"/>
      <c r="C748" s="13"/>
      <c r="D748" s="26">
        <f>IF($C748="","",IFERROR(INDEX(VeicCli,MATCH($C748,VeicPlaca,0)),"Placa não cadastrada"))</f>
        <v>0</v>
      </c>
      <c r="E748" s="26">
        <f>IF($C748="","",IFERROR(INDEX(VeicModelo,MATCH($C748,VeicPlaca,0)),""))</f>
        <v>0</v>
      </c>
      <c r="F748" s="28"/>
      <c r="G748" s="13"/>
      <c r="H748" s="13"/>
      <c r="I748" s="13"/>
      <c r="J748" s="29"/>
      <c r="K748" s="19"/>
      <c r="L748" s="19"/>
      <c r="M748" s="25"/>
      <c r="N748" s="13"/>
      <c r="O748" s="19"/>
      <c r="P748" s="27">
        <f>IF($A748="","",N($J748)*ValorHora)</f>
        <v>0</v>
      </c>
      <c r="Q748" s="27">
        <f>IF($A748="","",SUMIFS(ItTotal,ItOS,$A748))</f>
        <v>0</v>
      </c>
      <c r="R748" s="30">
        <f>IF($A748="","",$P748+$Q748+N($K748)-N($L748))</f>
        <v>0</v>
      </c>
      <c r="S748" s="27">
        <f>IF($A748="","",SUMIFS(ItCusto,ItOS,$A748))</f>
        <v>0</v>
      </c>
      <c r="T748" s="27">
        <f>IF($A748="","",$P748*ComMec)</f>
        <v>0</v>
      </c>
      <c r="U748" s="21">
        <f>IF($A748="","",$R748-$S748-$T748-N($K748))</f>
        <v>0</v>
      </c>
      <c r="V748" s="31">
        <f>IF(OR($A748="",N($R748)&lt;=0),"",$U748/$R748)</f>
        <v>0</v>
      </c>
      <c r="W748" s="27">
        <f>IF($A748="","",IF(OR($I748="Finalizado",$I748="Entregue"),MAX(0,$R748-N($O748)),0))</f>
        <v>0</v>
      </c>
      <c r="X748" s="32">
        <f>IF(OR($A748="",$B748=""),"",IF(OR($I748="Entregue",$I748="Cancelada"),"",Hoje-$B748))</f>
        <v>0</v>
      </c>
      <c r="Y748" s="24">
        <f>IF($A748="","",IF(AND(OR($I748="Aprovado",$I748="Em execução",$I748="Aguardando peça"),N($X748)&gt;PrazoMax),"ATRASADA",IF(AND(OR($I748="Finalizado",$I748="Entregue"),$W748&gt;0.005),"Cobrar",IF($I748="Orçamento","Aguardando aprovação",""))))</f>
        <v>0</v>
      </c>
      <c r="Z748" s="33">
        <f>IF(AND($I748="Entregue",$M748&lt;&gt;""),DATE(YEAR($M748),MONTH($M748),1),"")</f>
        <v>0</v>
      </c>
      <c r="AA748" s="34">
        <f>IF(AND($C748&lt;&gt;"",$C748=HistPlaca),COUNTIF($C$5:$C748,HistPlaca),"")</f>
        <v>0</v>
      </c>
    </row>
    <row r="749" spans="1:27">
      <c r="A749" s="17"/>
      <c r="B749" s="25"/>
      <c r="C749" s="13"/>
      <c r="D749" s="26">
        <f>IF($C749="","",IFERROR(INDEX(VeicCli,MATCH($C749,VeicPlaca,0)),"Placa não cadastrada"))</f>
        <v>0</v>
      </c>
      <c r="E749" s="26">
        <f>IF($C749="","",IFERROR(INDEX(VeicModelo,MATCH($C749,VeicPlaca,0)),""))</f>
        <v>0</v>
      </c>
      <c r="F749" s="28"/>
      <c r="G749" s="13"/>
      <c r="H749" s="13"/>
      <c r="I749" s="13"/>
      <c r="J749" s="29"/>
      <c r="K749" s="19"/>
      <c r="L749" s="19"/>
      <c r="M749" s="25"/>
      <c r="N749" s="13"/>
      <c r="O749" s="19"/>
      <c r="P749" s="27">
        <f>IF($A749="","",N($J749)*ValorHora)</f>
        <v>0</v>
      </c>
      <c r="Q749" s="27">
        <f>IF($A749="","",SUMIFS(ItTotal,ItOS,$A749))</f>
        <v>0</v>
      </c>
      <c r="R749" s="30">
        <f>IF($A749="","",$P749+$Q749+N($K749)-N($L749))</f>
        <v>0</v>
      </c>
      <c r="S749" s="27">
        <f>IF($A749="","",SUMIFS(ItCusto,ItOS,$A749))</f>
        <v>0</v>
      </c>
      <c r="T749" s="27">
        <f>IF($A749="","",$P749*ComMec)</f>
        <v>0</v>
      </c>
      <c r="U749" s="21">
        <f>IF($A749="","",$R749-$S749-$T749-N($K749))</f>
        <v>0</v>
      </c>
      <c r="V749" s="31">
        <f>IF(OR($A749="",N($R749)&lt;=0),"",$U749/$R749)</f>
        <v>0</v>
      </c>
      <c r="W749" s="27">
        <f>IF($A749="","",IF(OR($I749="Finalizado",$I749="Entregue"),MAX(0,$R749-N($O749)),0))</f>
        <v>0</v>
      </c>
      <c r="X749" s="32">
        <f>IF(OR($A749="",$B749=""),"",IF(OR($I749="Entregue",$I749="Cancelada"),"",Hoje-$B749))</f>
        <v>0</v>
      </c>
      <c r="Y749" s="24">
        <f>IF($A749="","",IF(AND(OR($I749="Aprovado",$I749="Em execução",$I749="Aguardando peça"),N($X749)&gt;PrazoMax),"ATRASADA",IF(AND(OR($I749="Finalizado",$I749="Entregue"),$W749&gt;0.005),"Cobrar",IF($I749="Orçamento","Aguardando aprovação",""))))</f>
        <v>0</v>
      </c>
      <c r="Z749" s="33">
        <f>IF(AND($I749="Entregue",$M749&lt;&gt;""),DATE(YEAR($M749),MONTH($M749),1),"")</f>
        <v>0</v>
      </c>
      <c r="AA749" s="34">
        <f>IF(AND($C749&lt;&gt;"",$C749=HistPlaca),COUNTIF($C$5:$C749,HistPlaca),"")</f>
        <v>0</v>
      </c>
    </row>
    <row r="750" spans="1:27">
      <c r="A750" s="17"/>
      <c r="B750" s="25"/>
      <c r="C750" s="13"/>
      <c r="D750" s="26">
        <f>IF($C750="","",IFERROR(INDEX(VeicCli,MATCH($C750,VeicPlaca,0)),"Placa não cadastrada"))</f>
        <v>0</v>
      </c>
      <c r="E750" s="26">
        <f>IF($C750="","",IFERROR(INDEX(VeicModelo,MATCH($C750,VeicPlaca,0)),""))</f>
        <v>0</v>
      </c>
      <c r="F750" s="28"/>
      <c r="G750" s="13"/>
      <c r="H750" s="13"/>
      <c r="I750" s="13"/>
      <c r="J750" s="29"/>
      <c r="K750" s="19"/>
      <c r="L750" s="19"/>
      <c r="M750" s="25"/>
      <c r="N750" s="13"/>
      <c r="O750" s="19"/>
      <c r="P750" s="27">
        <f>IF($A750="","",N($J750)*ValorHora)</f>
        <v>0</v>
      </c>
      <c r="Q750" s="27">
        <f>IF($A750="","",SUMIFS(ItTotal,ItOS,$A750))</f>
        <v>0</v>
      </c>
      <c r="R750" s="30">
        <f>IF($A750="","",$P750+$Q750+N($K750)-N($L750))</f>
        <v>0</v>
      </c>
      <c r="S750" s="27">
        <f>IF($A750="","",SUMIFS(ItCusto,ItOS,$A750))</f>
        <v>0</v>
      </c>
      <c r="T750" s="27">
        <f>IF($A750="","",$P750*ComMec)</f>
        <v>0</v>
      </c>
      <c r="U750" s="21">
        <f>IF($A750="","",$R750-$S750-$T750-N($K750))</f>
        <v>0</v>
      </c>
      <c r="V750" s="31">
        <f>IF(OR($A750="",N($R750)&lt;=0),"",$U750/$R750)</f>
        <v>0</v>
      </c>
      <c r="W750" s="27">
        <f>IF($A750="","",IF(OR($I750="Finalizado",$I750="Entregue"),MAX(0,$R750-N($O750)),0))</f>
        <v>0</v>
      </c>
      <c r="X750" s="32">
        <f>IF(OR($A750="",$B750=""),"",IF(OR($I750="Entregue",$I750="Cancelada"),"",Hoje-$B750))</f>
        <v>0</v>
      </c>
      <c r="Y750" s="24">
        <f>IF($A750="","",IF(AND(OR($I750="Aprovado",$I750="Em execução",$I750="Aguardando peça"),N($X750)&gt;PrazoMax),"ATRASADA",IF(AND(OR($I750="Finalizado",$I750="Entregue"),$W750&gt;0.005),"Cobrar",IF($I750="Orçamento","Aguardando aprovação",""))))</f>
        <v>0</v>
      </c>
      <c r="Z750" s="33">
        <f>IF(AND($I750="Entregue",$M750&lt;&gt;""),DATE(YEAR($M750),MONTH($M750),1),"")</f>
        <v>0</v>
      </c>
      <c r="AA750" s="34">
        <f>IF(AND($C750&lt;&gt;"",$C750=HistPlaca),COUNTIF($C$5:$C750,HistPlaca),"")</f>
        <v>0</v>
      </c>
    </row>
    <row r="751" spans="1:27">
      <c r="A751" s="17"/>
      <c r="B751" s="25"/>
      <c r="C751" s="13"/>
      <c r="D751" s="26">
        <f>IF($C751="","",IFERROR(INDEX(VeicCli,MATCH($C751,VeicPlaca,0)),"Placa não cadastrada"))</f>
        <v>0</v>
      </c>
      <c r="E751" s="26">
        <f>IF($C751="","",IFERROR(INDEX(VeicModelo,MATCH($C751,VeicPlaca,0)),""))</f>
        <v>0</v>
      </c>
      <c r="F751" s="28"/>
      <c r="G751" s="13"/>
      <c r="H751" s="13"/>
      <c r="I751" s="13"/>
      <c r="J751" s="29"/>
      <c r="K751" s="19"/>
      <c r="L751" s="19"/>
      <c r="M751" s="25"/>
      <c r="N751" s="13"/>
      <c r="O751" s="19"/>
      <c r="P751" s="27">
        <f>IF($A751="","",N($J751)*ValorHora)</f>
        <v>0</v>
      </c>
      <c r="Q751" s="27">
        <f>IF($A751="","",SUMIFS(ItTotal,ItOS,$A751))</f>
        <v>0</v>
      </c>
      <c r="R751" s="30">
        <f>IF($A751="","",$P751+$Q751+N($K751)-N($L751))</f>
        <v>0</v>
      </c>
      <c r="S751" s="27">
        <f>IF($A751="","",SUMIFS(ItCusto,ItOS,$A751))</f>
        <v>0</v>
      </c>
      <c r="T751" s="27">
        <f>IF($A751="","",$P751*ComMec)</f>
        <v>0</v>
      </c>
      <c r="U751" s="21">
        <f>IF($A751="","",$R751-$S751-$T751-N($K751))</f>
        <v>0</v>
      </c>
      <c r="V751" s="31">
        <f>IF(OR($A751="",N($R751)&lt;=0),"",$U751/$R751)</f>
        <v>0</v>
      </c>
      <c r="W751" s="27">
        <f>IF($A751="","",IF(OR($I751="Finalizado",$I751="Entregue"),MAX(0,$R751-N($O751)),0))</f>
        <v>0</v>
      </c>
      <c r="X751" s="32">
        <f>IF(OR($A751="",$B751=""),"",IF(OR($I751="Entregue",$I751="Cancelada"),"",Hoje-$B751))</f>
        <v>0</v>
      </c>
      <c r="Y751" s="24">
        <f>IF($A751="","",IF(AND(OR($I751="Aprovado",$I751="Em execução",$I751="Aguardando peça"),N($X751)&gt;PrazoMax),"ATRASADA",IF(AND(OR($I751="Finalizado",$I751="Entregue"),$W751&gt;0.005),"Cobrar",IF($I751="Orçamento","Aguardando aprovação",""))))</f>
        <v>0</v>
      </c>
      <c r="Z751" s="33">
        <f>IF(AND($I751="Entregue",$M751&lt;&gt;""),DATE(YEAR($M751),MONTH($M751),1),"")</f>
        <v>0</v>
      </c>
      <c r="AA751" s="34">
        <f>IF(AND($C751&lt;&gt;"",$C751=HistPlaca),COUNTIF($C$5:$C751,HistPlaca),"")</f>
        <v>0</v>
      </c>
    </row>
    <row r="752" spans="1:27">
      <c r="A752" s="17"/>
      <c r="B752" s="25"/>
      <c r="C752" s="13"/>
      <c r="D752" s="26">
        <f>IF($C752="","",IFERROR(INDEX(VeicCli,MATCH($C752,VeicPlaca,0)),"Placa não cadastrada"))</f>
        <v>0</v>
      </c>
      <c r="E752" s="26">
        <f>IF($C752="","",IFERROR(INDEX(VeicModelo,MATCH($C752,VeicPlaca,0)),""))</f>
        <v>0</v>
      </c>
      <c r="F752" s="28"/>
      <c r="G752" s="13"/>
      <c r="H752" s="13"/>
      <c r="I752" s="13"/>
      <c r="J752" s="29"/>
      <c r="K752" s="19"/>
      <c r="L752" s="19"/>
      <c r="M752" s="25"/>
      <c r="N752" s="13"/>
      <c r="O752" s="19"/>
      <c r="P752" s="27">
        <f>IF($A752="","",N($J752)*ValorHora)</f>
        <v>0</v>
      </c>
      <c r="Q752" s="27">
        <f>IF($A752="","",SUMIFS(ItTotal,ItOS,$A752))</f>
        <v>0</v>
      </c>
      <c r="R752" s="30">
        <f>IF($A752="","",$P752+$Q752+N($K752)-N($L752))</f>
        <v>0</v>
      </c>
      <c r="S752" s="27">
        <f>IF($A752="","",SUMIFS(ItCusto,ItOS,$A752))</f>
        <v>0</v>
      </c>
      <c r="T752" s="27">
        <f>IF($A752="","",$P752*ComMec)</f>
        <v>0</v>
      </c>
      <c r="U752" s="21">
        <f>IF($A752="","",$R752-$S752-$T752-N($K752))</f>
        <v>0</v>
      </c>
      <c r="V752" s="31">
        <f>IF(OR($A752="",N($R752)&lt;=0),"",$U752/$R752)</f>
        <v>0</v>
      </c>
      <c r="W752" s="27">
        <f>IF($A752="","",IF(OR($I752="Finalizado",$I752="Entregue"),MAX(0,$R752-N($O752)),0))</f>
        <v>0</v>
      </c>
      <c r="X752" s="32">
        <f>IF(OR($A752="",$B752=""),"",IF(OR($I752="Entregue",$I752="Cancelada"),"",Hoje-$B752))</f>
        <v>0</v>
      </c>
      <c r="Y752" s="24">
        <f>IF($A752="","",IF(AND(OR($I752="Aprovado",$I752="Em execução",$I752="Aguardando peça"),N($X752)&gt;PrazoMax),"ATRASADA",IF(AND(OR($I752="Finalizado",$I752="Entregue"),$W752&gt;0.005),"Cobrar",IF($I752="Orçamento","Aguardando aprovação",""))))</f>
        <v>0</v>
      </c>
      <c r="Z752" s="33">
        <f>IF(AND($I752="Entregue",$M752&lt;&gt;""),DATE(YEAR($M752),MONTH($M752),1),"")</f>
        <v>0</v>
      </c>
      <c r="AA752" s="34">
        <f>IF(AND($C752&lt;&gt;"",$C752=HistPlaca),COUNTIF($C$5:$C752,HistPlaca),"")</f>
        <v>0</v>
      </c>
    </row>
    <row r="753" spans="1:27">
      <c r="A753" s="17"/>
      <c r="B753" s="25"/>
      <c r="C753" s="13"/>
      <c r="D753" s="26">
        <f>IF($C753="","",IFERROR(INDEX(VeicCli,MATCH($C753,VeicPlaca,0)),"Placa não cadastrada"))</f>
        <v>0</v>
      </c>
      <c r="E753" s="26">
        <f>IF($C753="","",IFERROR(INDEX(VeicModelo,MATCH($C753,VeicPlaca,0)),""))</f>
        <v>0</v>
      </c>
      <c r="F753" s="28"/>
      <c r="G753" s="13"/>
      <c r="H753" s="13"/>
      <c r="I753" s="13"/>
      <c r="J753" s="29"/>
      <c r="K753" s="19"/>
      <c r="L753" s="19"/>
      <c r="M753" s="25"/>
      <c r="N753" s="13"/>
      <c r="O753" s="19"/>
      <c r="P753" s="27">
        <f>IF($A753="","",N($J753)*ValorHora)</f>
        <v>0</v>
      </c>
      <c r="Q753" s="27">
        <f>IF($A753="","",SUMIFS(ItTotal,ItOS,$A753))</f>
        <v>0</v>
      </c>
      <c r="R753" s="30">
        <f>IF($A753="","",$P753+$Q753+N($K753)-N($L753))</f>
        <v>0</v>
      </c>
      <c r="S753" s="27">
        <f>IF($A753="","",SUMIFS(ItCusto,ItOS,$A753))</f>
        <v>0</v>
      </c>
      <c r="T753" s="27">
        <f>IF($A753="","",$P753*ComMec)</f>
        <v>0</v>
      </c>
      <c r="U753" s="21">
        <f>IF($A753="","",$R753-$S753-$T753-N($K753))</f>
        <v>0</v>
      </c>
      <c r="V753" s="31">
        <f>IF(OR($A753="",N($R753)&lt;=0),"",$U753/$R753)</f>
        <v>0</v>
      </c>
      <c r="W753" s="27">
        <f>IF($A753="","",IF(OR($I753="Finalizado",$I753="Entregue"),MAX(0,$R753-N($O753)),0))</f>
        <v>0</v>
      </c>
      <c r="X753" s="32">
        <f>IF(OR($A753="",$B753=""),"",IF(OR($I753="Entregue",$I753="Cancelada"),"",Hoje-$B753))</f>
        <v>0</v>
      </c>
      <c r="Y753" s="24">
        <f>IF($A753="","",IF(AND(OR($I753="Aprovado",$I753="Em execução",$I753="Aguardando peça"),N($X753)&gt;PrazoMax),"ATRASADA",IF(AND(OR($I753="Finalizado",$I753="Entregue"),$W753&gt;0.005),"Cobrar",IF($I753="Orçamento","Aguardando aprovação",""))))</f>
        <v>0</v>
      </c>
      <c r="Z753" s="33">
        <f>IF(AND($I753="Entregue",$M753&lt;&gt;""),DATE(YEAR($M753),MONTH($M753),1),"")</f>
        <v>0</v>
      </c>
      <c r="AA753" s="34">
        <f>IF(AND($C753&lt;&gt;"",$C753=HistPlaca),COUNTIF($C$5:$C753,HistPlaca),"")</f>
        <v>0</v>
      </c>
    </row>
    <row r="754" spans="1:27">
      <c r="A754" s="17"/>
      <c r="B754" s="25"/>
      <c r="C754" s="13"/>
      <c r="D754" s="26">
        <f>IF($C754="","",IFERROR(INDEX(VeicCli,MATCH($C754,VeicPlaca,0)),"Placa não cadastrada"))</f>
        <v>0</v>
      </c>
      <c r="E754" s="26">
        <f>IF($C754="","",IFERROR(INDEX(VeicModelo,MATCH($C754,VeicPlaca,0)),""))</f>
        <v>0</v>
      </c>
      <c r="F754" s="28"/>
      <c r="G754" s="13"/>
      <c r="H754" s="13"/>
      <c r="I754" s="13"/>
      <c r="J754" s="29"/>
      <c r="K754" s="19"/>
      <c r="L754" s="19"/>
      <c r="M754" s="25"/>
      <c r="N754" s="13"/>
      <c r="O754" s="19"/>
      <c r="P754" s="27">
        <f>IF($A754="","",N($J754)*ValorHora)</f>
        <v>0</v>
      </c>
      <c r="Q754" s="27">
        <f>IF($A754="","",SUMIFS(ItTotal,ItOS,$A754))</f>
        <v>0</v>
      </c>
      <c r="R754" s="30">
        <f>IF($A754="","",$P754+$Q754+N($K754)-N($L754))</f>
        <v>0</v>
      </c>
      <c r="S754" s="27">
        <f>IF($A754="","",SUMIFS(ItCusto,ItOS,$A754))</f>
        <v>0</v>
      </c>
      <c r="T754" s="27">
        <f>IF($A754="","",$P754*ComMec)</f>
        <v>0</v>
      </c>
      <c r="U754" s="21">
        <f>IF($A754="","",$R754-$S754-$T754-N($K754))</f>
        <v>0</v>
      </c>
      <c r="V754" s="31">
        <f>IF(OR($A754="",N($R754)&lt;=0),"",$U754/$R754)</f>
        <v>0</v>
      </c>
      <c r="W754" s="27">
        <f>IF($A754="","",IF(OR($I754="Finalizado",$I754="Entregue"),MAX(0,$R754-N($O754)),0))</f>
        <v>0</v>
      </c>
      <c r="X754" s="32">
        <f>IF(OR($A754="",$B754=""),"",IF(OR($I754="Entregue",$I754="Cancelada"),"",Hoje-$B754))</f>
        <v>0</v>
      </c>
      <c r="Y754" s="24">
        <f>IF($A754="","",IF(AND(OR($I754="Aprovado",$I754="Em execução",$I754="Aguardando peça"),N($X754)&gt;PrazoMax),"ATRASADA",IF(AND(OR($I754="Finalizado",$I754="Entregue"),$W754&gt;0.005),"Cobrar",IF($I754="Orçamento","Aguardando aprovação",""))))</f>
        <v>0</v>
      </c>
      <c r="Z754" s="33">
        <f>IF(AND($I754="Entregue",$M754&lt;&gt;""),DATE(YEAR($M754),MONTH($M754),1),"")</f>
        <v>0</v>
      </c>
      <c r="AA754" s="34">
        <f>IF(AND($C754&lt;&gt;"",$C754=HistPlaca),COUNTIF($C$5:$C754,HistPlaca),"")</f>
        <v>0</v>
      </c>
    </row>
    <row r="755" spans="1:27">
      <c r="A755" s="17"/>
      <c r="B755" s="25"/>
      <c r="C755" s="13"/>
      <c r="D755" s="26">
        <f>IF($C755="","",IFERROR(INDEX(VeicCli,MATCH($C755,VeicPlaca,0)),"Placa não cadastrada"))</f>
        <v>0</v>
      </c>
      <c r="E755" s="26">
        <f>IF($C755="","",IFERROR(INDEX(VeicModelo,MATCH($C755,VeicPlaca,0)),""))</f>
        <v>0</v>
      </c>
      <c r="F755" s="28"/>
      <c r="G755" s="13"/>
      <c r="H755" s="13"/>
      <c r="I755" s="13"/>
      <c r="J755" s="29"/>
      <c r="K755" s="19"/>
      <c r="L755" s="19"/>
      <c r="M755" s="25"/>
      <c r="N755" s="13"/>
      <c r="O755" s="19"/>
      <c r="P755" s="27">
        <f>IF($A755="","",N($J755)*ValorHora)</f>
        <v>0</v>
      </c>
      <c r="Q755" s="27">
        <f>IF($A755="","",SUMIFS(ItTotal,ItOS,$A755))</f>
        <v>0</v>
      </c>
      <c r="R755" s="30">
        <f>IF($A755="","",$P755+$Q755+N($K755)-N($L755))</f>
        <v>0</v>
      </c>
      <c r="S755" s="27">
        <f>IF($A755="","",SUMIFS(ItCusto,ItOS,$A755))</f>
        <v>0</v>
      </c>
      <c r="T755" s="27">
        <f>IF($A755="","",$P755*ComMec)</f>
        <v>0</v>
      </c>
      <c r="U755" s="21">
        <f>IF($A755="","",$R755-$S755-$T755-N($K755))</f>
        <v>0</v>
      </c>
      <c r="V755" s="31">
        <f>IF(OR($A755="",N($R755)&lt;=0),"",$U755/$R755)</f>
        <v>0</v>
      </c>
      <c r="W755" s="27">
        <f>IF($A755="","",IF(OR($I755="Finalizado",$I755="Entregue"),MAX(0,$R755-N($O755)),0))</f>
        <v>0</v>
      </c>
      <c r="X755" s="32">
        <f>IF(OR($A755="",$B755=""),"",IF(OR($I755="Entregue",$I755="Cancelada"),"",Hoje-$B755))</f>
        <v>0</v>
      </c>
      <c r="Y755" s="24">
        <f>IF($A755="","",IF(AND(OR($I755="Aprovado",$I755="Em execução",$I755="Aguardando peça"),N($X755)&gt;PrazoMax),"ATRASADA",IF(AND(OR($I755="Finalizado",$I755="Entregue"),$W755&gt;0.005),"Cobrar",IF($I755="Orçamento","Aguardando aprovação",""))))</f>
        <v>0</v>
      </c>
      <c r="Z755" s="33">
        <f>IF(AND($I755="Entregue",$M755&lt;&gt;""),DATE(YEAR($M755),MONTH($M755),1),"")</f>
        <v>0</v>
      </c>
      <c r="AA755" s="34">
        <f>IF(AND($C755&lt;&gt;"",$C755=HistPlaca),COUNTIF($C$5:$C755,HistPlaca),"")</f>
        <v>0</v>
      </c>
    </row>
    <row r="756" spans="1:27">
      <c r="A756" s="17"/>
      <c r="B756" s="25"/>
      <c r="C756" s="13"/>
      <c r="D756" s="26">
        <f>IF($C756="","",IFERROR(INDEX(VeicCli,MATCH($C756,VeicPlaca,0)),"Placa não cadastrada"))</f>
        <v>0</v>
      </c>
      <c r="E756" s="26">
        <f>IF($C756="","",IFERROR(INDEX(VeicModelo,MATCH($C756,VeicPlaca,0)),""))</f>
        <v>0</v>
      </c>
      <c r="F756" s="28"/>
      <c r="G756" s="13"/>
      <c r="H756" s="13"/>
      <c r="I756" s="13"/>
      <c r="J756" s="29"/>
      <c r="K756" s="19"/>
      <c r="L756" s="19"/>
      <c r="M756" s="25"/>
      <c r="N756" s="13"/>
      <c r="O756" s="19"/>
      <c r="P756" s="27">
        <f>IF($A756="","",N($J756)*ValorHora)</f>
        <v>0</v>
      </c>
      <c r="Q756" s="27">
        <f>IF($A756="","",SUMIFS(ItTotal,ItOS,$A756))</f>
        <v>0</v>
      </c>
      <c r="R756" s="30">
        <f>IF($A756="","",$P756+$Q756+N($K756)-N($L756))</f>
        <v>0</v>
      </c>
      <c r="S756" s="27">
        <f>IF($A756="","",SUMIFS(ItCusto,ItOS,$A756))</f>
        <v>0</v>
      </c>
      <c r="T756" s="27">
        <f>IF($A756="","",$P756*ComMec)</f>
        <v>0</v>
      </c>
      <c r="U756" s="21">
        <f>IF($A756="","",$R756-$S756-$T756-N($K756))</f>
        <v>0</v>
      </c>
      <c r="V756" s="31">
        <f>IF(OR($A756="",N($R756)&lt;=0),"",$U756/$R756)</f>
        <v>0</v>
      </c>
      <c r="W756" s="27">
        <f>IF($A756="","",IF(OR($I756="Finalizado",$I756="Entregue"),MAX(0,$R756-N($O756)),0))</f>
        <v>0</v>
      </c>
      <c r="X756" s="32">
        <f>IF(OR($A756="",$B756=""),"",IF(OR($I756="Entregue",$I756="Cancelada"),"",Hoje-$B756))</f>
        <v>0</v>
      </c>
      <c r="Y756" s="24">
        <f>IF($A756="","",IF(AND(OR($I756="Aprovado",$I756="Em execução",$I756="Aguardando peça"),N($X756)&gt;PrazoMax),"ATRASADA",IF(AND(OR($I756="Finalizado",$I756="Entregue"),$W756&gt;0.005),"Cobrar",IF($I756="Orçamento","Aguardando aprovação",""))))</f>
        <v>0</v>
      </c>
      <c r="Z756" s="33">
        <f>IF(AND($I756="Entregue",$M756&lt;&gt;""),DATE(YEAR($M756),MONTH($M756),1),"")</f>
        <v>0</v>
      </c>
      <c r="AA756" s="34">
        <f>IF(AND($C756&lt;&gt;"",$C756=HistPlaca),COUNTIF($C$5:$C756,HistPlaca),"")</f>
        <v>0</v>
      </c>
    </row>
    <row r="757" spans="1:27">
      <c r="A757" s="17"/>
      <c r="B757" s="25"/>
      <c r="C757" s="13"/>
      <c r="D757" s="26">
        <f>IF($C757="","",IFERROR(INDEX(VeicCli,MATCH($C757,VeicPlaca,0)),"Placa não cadastrada"))</f>
        <v>0</v>
      </c>
      <c r="E757" s="26">
        <f>IF($C757="","",IFERROR(INDEX(VeicModelo,MATCH($C757,VeicPlaca,0)),""))</f>
        <v>0</v>
      </c>
      <c r="F757" s="28"/>
      <c r="G757" s="13"/>
      <c r="H757" s="13"/>
      <c r="I757" s="13"/>
      <c r="J757" s="29"/>
      <c r="K757" s="19"/>
      <c r="L757" s="19"/>
      <c r="M757" s="25"/>
      <c r="N757" s="13"/>
      <c r="O757" s="19"/>
      <c r="P757" s="27">
        <f>IF($A757="","",N($J757)*ValorHora)</f>
        <v>0</v>
      </c>
      <c r="Q757" s="27">
        <f>IF($A757="","",SUMIFS(ItTotal,ItOS,$A757))</f>
        <v>0</v>
      </c>
      <c r="R757" s="30">
        <f>IF($A757="","",$P757+$Q757+N($K757)-N($L757))</f>
        <v>0</v>
      </c>
      <c r="S757" s="27">
        <f>IF($A757="","",SUMIFS(ItCusto,ItOS,$A757))</f>
        <v>0</v>
      </c>
      <c r="T757" s="27">
        <f>IF($A757="","",$P757*ComMec)</f>
        <v>0</v>
      </c>
      <c r="U757" s="21">
        <f>IF($A757="","",$R757-$S757-$T757-N($K757))</f>
        <v>0</v>
      </c>
      <c r="V757" s="31">
        <f>IF(OR($A757="",N($R757)&lt;=0),"",$U757/$R757)</f>
        <v>0</v>
      </c>
      <c r="W757" s="27">
        <f>IF($A757="","",IF(OR($I757="Finalizado",$I757="Entregue"),MAX(0,$R757-N($O757)),0))</f>
        <v>0</v>
      </c>
      <c r="X757" s="32">
        <f>IF(OR($A757="",$B757=""),"",IF(OR($I757="Entregue",$I757="Cancelada"),"",Hoje-$B757))</f>
        <v>0</v>
      </c>
      <c r="Y757" s="24">
        <f>IF($A757="","",IF(AND(OR($I757="Aprovado",$I757="Em execução",$I757="Aguardando peça"),N($X757)&gt;PrazoMax),"ATRASADA",IF(AND(OR($I757="Finalizado",$I757="Entregue"),$W757&gt;0.005),"Cobrar",IF($I757="Orçamento","Aguardando aprovação",""))))</f>
        <v>0</v>
      </c>
      <c r="Z757" s="33">
        <f>IF(AND($I757="Entregue",$M757&lt;&gt;""),DATE(YEAR($M757),MONTH($M757),1),"")</f>
        <v>0</v>
      </c>
      <c r="AA757" s="34">
        <f>IF(AND($C757&lt;&gt;"",$C757=HistPlaca),COUNTIF($C$5:$C757,HistPlaca),"")</f>
        <v>0</v>
      </c>
    </row>
    <row r="758" spans="1:27">
      <c r="A758" s="17"/>
      <c r="B758" s="25"/>
      <c r="C758" s="13"/>
      <c r="D758" s="26">
        <f>IF($C758="","",IFERROR(INDEX(VeicCli,MATCH($C758,VeicPlaca,0)),"Placa não cadastrada"))</f>
        <v>0</v>
      </c>
      <c r="E758" s="26">
        <f>IF($C758="","",IFERROR(INDEX(VeicModelo,MATCH($C758,VeicPlaca,0)),""))</f>
        <v>0</v>
      </c>
      <c r="F758" s="28"/>
      <c r="G758" s="13"/>
      <c r="H758" s="13"/>
      <c r="I758" s="13"/>
      <c r="J758" s="29"/>
      <c r="K758" s="19"/>
      <c r="L758" s="19"/>
      <c r="M758" s="25"/>
      <c r="N758" s="13"/>
      <c r="O758" s="19"/>
      <c r="P758" s="27">
        <f>IF($A758="","",N($J758)*ValorHora)</f>
        <v>0</v>
      </c>
      <c r="Q758" s="27">
        <f>IF($A758="","",SUMIFS(ItTotal,ItOS,$A758))</f>
        <v>0</v>
      </c>
      <c r="R758" s="30">
        <f>IF($A758="","",$P758+$Q758+N($K758)-N($L758))</f>
        <v>0</v>
      </c>
      <c r="S758" s="27">
        <f>IF($A758="","",SUMIFS(ItCusto,ItOS,$A758))</f>
        <v>0</v>
      </c>
      <c r="T758" s="27">
        <f>IF($A758="","",$P758*ComMec)</f>
        <v>0</v>
      </c>
      <c r="U758" s="21">
        <f>IF($A758="","",$R758-$S758-$T758-N($K758))</f>
        <v>0</v>
      </c>
      <c r="V758" s="31">
        <f>IF(OR($A758="",N($R758)&lt;=0),"",$U758/$R758)</f>
        <v>0</v>
      </c>
      <c r="W758" s="27">
        <f>IF($A758="","",IF(OR($I758="Finalizado",$I758="Entregue"),MAX(0,$R758-N($O758)),0))</f>
        <v>0</v>
      </c>
      <c r="X758" s="32">
        <f>IF(OR($A758="",$B758=""),"",IF(OR($I758="Entregue",$I758="Cancelada"),"",Hoje-$B758))</f>
        <v>0</v>
      </c>
      <c r="Y758" s="24">
        <f>IF($A758="","",IF(AND(OR($I758="Aprovado",$I758="Em execução",$I758="Aguardando peça"),N($X758)&gt;PrazoMax),"ATRASADA",IF(AND(OR($I758="Finalizado",$I758="Entregue"),$W758&gt;0.005),"Cobrar",IF($I758="Orçamento","Aguardando aprovação",""))))</f>
        <v>0</v>
      </c>
      <c r="Z758" s="33">
        <f>IF(AND($I758="Entregue",$M758&lt;&gt;""),DATE(YEAR($M758),MONTH($M758),1),"")</f>
        <v>0</v>
      </c>
      <c r="AA758" s="34">
        <f>IF(AND($C758&lt;&gt;"",$C758=HistPlaca),COUNTIF($C$5:$C758,HistPlaca),"")</f>
        <v>0</v>
      </c>
    </row>
    <row r="759" spans="1:27">
      <c r="A759" s="17"/>
      <c r="B759" s="25"/>
      <c r="C759" s="13"/>
      <c r="D759" s="26">
        <f>IF($C759="","",IFERROR(INDEX(VeicCli,MATCH($C759,VeicPlaca,0)),"Placa não cadastrada"))</f>
        <v>0</v>
      </c>
      <c r="E759" s="26">
        <f>IF($C759="","",IFERROR(INDEX(VeicModelo,MATCH($C759,VeicPlaca,0)),""))</f>
        <v>0</v>
      </c>
      <c r="F759" s="28"/>
      <c r="G759" s="13"/>
      <c r="H759" s="13"/>
      <c r="I759" s="13"/>
      <c r="J759" s="29"/>
      <c r="K759" s="19"/>
      <c r="L759" s="19"/>
      <c r="M759" s="25"/>
      <c r="N759" s="13"/>
      <c r="O759" s="19"/>
      <c r="P759" s="27">
        <f>IF($A759="","",N($J759)*ValorHora)</f>
        <v>0</v>
      </c>
      <c r="Q759" s="27">
        <f>IF($A759="","",SUMIFS(ItTotal,ItOS,$A759))</f>
        <v>0</v>
      </c>
      <c r="R759" s="30">
        <f>IF($A759="","",$P759+$Q759+N($K759)-N($L759))</f>
        <v>0</v>
      </c>
      <c r="S759" s="27">
        <f>IF($A759="","",SUMIFS(ItCusto,ItOS,$A759))</f>
        <v>0</v>
      </c>
      <c r="T759" s="27">
        <f>IF($A759="","",$P759*ComMec)</f>
        <v>0</v>
      </c>
      <c r="U759" s="21">
        <f>IF($A759="","",$R759-$S759-$T759-N($K759))</f>
        <v>0</v>
      </c>
      <c r="V759" s="31">
        <f>IF(OR($A759="",N($R759)&lt;=0),"",$U759/$R759)</f>
        <v>0</v>
      </c>
      <c r="W759" s="27">
        <f>IF($A759="","",IF(OR($I759="Finalizado",$I759="Entregue"),MAX(0,$R759-N($O759)),0))</f>
        <v>0</v>
      </c>
      <c r="X759" s="32">
        <f>IF(OR($A759="",$B759=""),"",IF(OR($I759="Entregue",$I759="Cancelada"),"",Hoje-$B759))</f>
        <v>0</v>
      </c>
      <c r="Y759" s="24">
        <f>IF($A759="","",IF(AND(OR($I759="Aprovado",$I759="Em execução",$I759="Aguardando peça"),N($X759)&gt;PrazoMax),"ATRASADA",IF(AND(OR($I759="Finalizado",$I759="Entregue"),$W759&gt;0.005),"Cobrar",IF($I759="Orçamento","Aguardando aprovação",""))))</f>
        <v>0</v>
      </c>
      <c r="Z759" s="33">
        <f>IF(AND($I759="Entregue",$M759&lt;&gt;""),DATE(YEAR($M759),MONTH($M759),1),"")</f>
        <v>0</v>
      </c>
      <c r="AA759" s="34">
        <f>IF(AND($C759&lt;&gt;"",$C759=HistPlaca),COUNTIF($C$5:$C759,HistPlaca),"")</f>
        <v>0</v>
      </c>
    </row>
    <row r="760" spans="1:27">
      <c r="A760" s="17"/>
      <c r="B760" s="25"/>
      <c r="C760" s="13"/>
      <c r="D760" s="26">
        <f>IF($C760="","",IFERROR(INDEX(VeicCli,MATCH($C760,VeicPlaca,0)),"Placa não cadastrada"))</f>
        <v>0</v>
      </c>
      <c r="E760" s="26">
        <f>IF($C760="","",IFERROR(INDEX(VeicModelo,MATCH($C760,VeicPlaca,0)),""))</f>
        <v>0</v>
      </c>
      <c r="F760" s="28"/>
      <c r="G760" s="13"/>
      <c r="H760" s="13"/>
      <c r="I760" s="13"/>
      <c r="J760" s="29"/>
      <c r="K760" s="19"/>
      <c r="L760" s="19"/>
      <c r="M760" s="25"/>
      <c r="N760" s="13"/>
      <c r="O760" s="19"/>
      <c r="P760" s="27">
        <f>IF($A760="","",N($J760)*ValorHora)</f>
        <v>0</v>
      </c>
      <c r="Q760" s="27">
        <f>IF($A760="","",SUMIFS(ItTotal,ItOS,$A760))</f>
        <v>0</v>
      </c>
      <c r="R760" s="30">
        <f>IF($A760="","",$P760+$Q760+N($K760)-N($L760))</f>
        <v>0</v>
      </c>
      <c r="S760" s="27">
        <f>IF($A760="","",SUMIFS(ItCusto,ItOS,$A760))</f>
        <v>0</v>
      </c>
      <c r="T760" s="27">
        <f>IF($A760="","",$P760*ComMec)</f>
        <v>0</v>
      </c>
      <c r="U760" s="21">
        <f>IF($A760="","",$R760-$S760-$T760-N($K760))</f>
        <v>0</v>
      </c>
      <c r="V760" s="31">
        <f>IF(OR($A760="",N($R760)&lt;=0),"",$U760/$R760)</f>
        <v>0</v>
      </c>
      <c r="W760" s="27">
        <f>IF($A760="","",IF(OR($I760="Finalizado",$I760="Entregue"),MAX(0,$R760-N($O760)),0))</f>
        <v>0</v>
      </c>
      <c r="X760" s="32">
        <f>IF(OR($A760="",$B760=""),"",IF(OR($I760="Entregue",$I760="Cancelada"),"",Hoje-$B760))</f>
        <v>0</v>
      </c>
      <c r="Y760" s="24">
        <f>IF($A760="","",IF(AND(OR($I760="Aprovado",$I760="Em execução",$I760="Aguardando peça"),N($X760)&gt;PrazoMax),"ATRASADA",IF(AND(OR($I760="Finalizado",$I760="Entregue"),$W760&gt;0.005),"Cobrar",IF($I760="Orçamento","Aguardando aprovação",""))))</f>
        <v>0</v>
      </c>
      <c r="Z760" s="33">
        <f>IF(AND($I760="Entregue",$M760&lt;&gt;""),DATE(YEAR($M760),MONTH($M760),1),"")</f>
        <v>0</v>
      </c>
      <c r="AA760" s="34">
        <f>IF(AND($C760&lt;&gt;"",$C760=HistPlaca),COUNTIF($C$5:$C760,HistPlaca),"")</f>
        <v>0</v>
      </c>
    </row>
    <row r="761" spans="1:27">
      <c r="A761" s="17"/>
      <c r="B761" s="25"/>
      <c r="C761" s="13"/>
      <c r="D761" s="26">
        <f>IF($C761="","",IFERROR(INDEX(VeicCli,MATCH($C761,VeicPlaca,0)),"Placa não cadastrada"))</f>
        <v>0</v>
      </c>
      <c r="E761" s="26">
        <f>IF($C761="","",IFERROR(INDEX(VeicModelo,MATCH($C761,VeicPlaca,0)),""))</f>
        <v>0</v>
      </c>
      <c r="F761" s="28"/>
      <c r="G761" s="13"/>
      <c r="H761" s="13"/>
      <c r="I761" s="13"/>
      <c r="J761" s="29"/>
      <c r="K761" s="19"/>
      <c r="L761" s="19"/>
      <c r="M761" s="25"/>
      <c r="N761" s="13"/>
      <c r="O761" s="19"/>
      <c r="P761" s="27">
        <f>IF($A761="","",N($J761)*ValorHora)</f>
        <v>0</v>
      </c>
      <c r="Q761" s="27">
        <f>IF($A761="","",SUMIFS(ItTotal,ItOS,$A761))</f>
        <v>0</v>
      </c>
      <c r="R761" s="30">
        <f>IF($A761="","",$P761+$Q761+N($K761)-N($L761))</f>
        <v>0</v>
      </c>
      <c r="S761" s="27">
        <f>IF($A761="","",SUMIFS(ItCusto,ItOS,$A761))</f>
        <v>0</v>
      </c>
      <c r="T761" s="27">
        <f>IF($A761="","",$P761*ComMec)</f>
        <v>0</v>
      </c>
      <c r="U761" s="21">
        <f>IF($A761="","",$R761-$S761-$T761-N($K761))</f>
        <v>0</v>
      </c>
      <c r="V761" s="31">
        <f>IF(OR($A761="",N($R761)&lt;=0),"",$U761/$R761)</f>
        <v>0</v>
      </c>
      <c r="W761" s="27">
        <f>IF($A761="","",IF(OR($I761="Finalizado",$I761="Entregue"),MAX(0,$R761-N($O761)),0))</f>
        <v>0</v>
      </c>
      <c r="X761" s="32">
        <f>IF(OR($A761="",$B761=""),"",IF(OR($I761="Entregue",$I761="Cancelada"),"",Hoje-$B761))</f>
        <v>0</v>
      </c>
      <c r="Y761" s="24">
        <f>IF($A761="","",IF(AND(OR($I761="Aprovado",$I761="Em execução",$I761="Aguardando peça"),N($X761)&gt;PrazoMax),"ATRASADA",IF(AND(OR($I761="Finalizado",$I761="Entregue"),$W761&gt;0.005),"Cobrar",IF($I761="Orçamento","Aguardando aprovação",""))))</f>
        <v>0</v>
      </c>
      <c r="Z761" s="33">
        <f>IF(AND($I761="Entregue",$M761&lt;&gt;""),DATE(YEAR($M761),MONTH($M761),1),"")</f>
        <v>0</v>
      </c>
      <c r="AA761" s="34">
        <f>IF(AND($C761&lt;&gt;"",$C761=HistPlaca),COUNTIF($C$5:$C761,HistPlaca),"")</f>
        <v>0</v>
      </c>
    </row>
    <row r="762" spans="1:27">
      <c r="A762" s="17"/>
      <c r="B762" s="25"/>
      <c r="C762" s="13"/>
      <c r="D762" s="26">
        <f>IF($C762="","",IFERROR(INDEX(VeicCli,MATCH($C762,VeicPlaca,0)),"Placa não cadastrada"))</f>
        <v>0</v>
      </c>
      <c r="E762" s="26">
        <f>IF($C762="","",IFERROR(INDEX(VeicModelo,MATCH($C762,VeicPlaca,0)),""))</f>
        <v>0</v>
      </c>
      <c r="F762" s="28"/>
      <c r="G762" s="13"/>
      <c r="H762" s="13"/>
      <c r="I762" s="13"/>
      <c r="J762" s="29"/>
      <c r="K762" s="19"/>
      <c r="L762" s="19"/>
      <c r="M762" s="25"/>
      <c r="N762" s="13"/>
      <c r="O762" s="19"/>
      <c r="P762" s="27">
        <f>IF($A762="","",N($J762)*ValorHora)</f>
        <v>0</v>
      </c>
      <c r="Q762" s="27">
        <f>IF($A762="","",SUMIFS(ItTotal,ItOS,$A762))</f>
        <v>0</v>
      </c>
      <c r="R762" s="30">
        <f>IF($A762="","",$P762+$Q762+N($K762)-N($L762))</f>
        <v>0</v>
      </c>
      <c r="S762" s="27">
        <f>IF($A762="","",SUMIFS(ItCusto,ItOS,$A762))</f>
        <v>0</v>
      </c>
      <c r="T762" s="27">
        <f>IF($A762="","",$P762*ComMec)</f>
        <v>0</v>
      </c>
      <c r="U762" s="21">
        <f>IF($A762="","",$R762-$S762-$T762-N($K762))</f>
        <v>0</v>
      </c>
      <c r="V762" s="31">
        <f>IF(OR($A762="",N($R762)&lt;=0),"",$U762/$R762)</f>
        <v>0</v>
      </c>
      <c r="W762" s="27">
        <f>IF($A762="","",IF(OR($I762="Finalizado",$I762="Entregue"),MAX(0,$R762-N($O762)),0))</f>
        <v>0</v>
      </c>
      <c r="X762" s="32">
        <f>IF(OR($A762="",$B762=""),"",IF(OR($I762="Entregue",$I762="Cancelada"),"",Hoje-$B762))</f>
        <v>0</v>
      </c>
      <c r="Y762" s="24">
        <f>IF($A762="","",IF(AND(OR($I762="Aprovado",$I762="Em execução",$I762="Aguardando peça"),N($X762)&gt;PrazoMax),"ATRASADA",IF(AND(OR($I762="Finalizado",$I762="Entregue"),$W762&gt;0.005),"Cobrar",IF($I762="Orçamento","Aguardando aprovação",""))))</f>
        <v>0</v>
      </c>
      <c r="Z762" s="33">
        <f>IF(AND($I762="Entregue",$M762&lt;&gt;""),DATE(YEAR($M762),MONTH($M762),1),"")</f>
        <v>0</v>
      </c>
      <c r="AA762" s="34">
        <f>IF(AND($C762&lt;&gt;"",$C762=HistPlaca),COUNTIF($C$5:$C762,HistPlaca),"")</f>
        <v>0</v>
      </c>
    </row>
    <row r="763" spans="1:27">
      <c r="A763" s="17"/>
      <c r="B763" s="25"/>
      <c r="C763" s="13"/>
      <c r="D763" s="26">
        <f>IF($C763="","",IFERROR(INDEX(VeicCli,MATCH($C763,VeicPlaca,0)),"Placa não cadastrada"))</f>
        <v>0</v>
      </c>
      <c r="E763" s="26">
        <f>IF($C763="","",IFERROR(INDEX(VeicModelo,MATCH($C763,VeicPlaca,0)),""))</f>
        <v>0</v>
      </c>
      <c r="F763" s="28"/>
      <c r="G763" s="13"/>
      <c r="H763" s="13"/>
      <c r="I763" s="13"/>
      <c r="J763" s="29"/>
      <c r="K763" s="19"/>
      <c r="L763" s="19"/>
      <c r="M763" s="25"/>
      <c r="N763" s="13"/>
      <c r="O763" s="19"/>
      <c r="P763" s="27">
        <f>IF($A763="","",N($J763)*ValorHora)</f>
        <v>0</v>
      </c>
      <c r="Q763" s="27">
        <f>IF($A763="","",SUMIFS(ItTotal,ItOS,$A763))</f>
        <v>0</v>
      </c>
      <c r="R763" s="30">
        <f>IF($A763="","",$P763+$Q763+N($K763)-N($L763))</f>
        <v>0</v>
      </c>
      <c r="S763" s="27">
        <f>IF($A763="","",SUMIFS(ItCusto,ItOS,$A763))</f>
        <v>0</v>
      </c>
      <c r="T763" s="27">
        <f>IF($A763="","",$P763*ComMec)</f>
        <v>0</v>
      </c>
      <c r="U763" s="21">
        <f>IF($A763="","",$R763-$S763-$T763-N($K763))</f>
        <v>0</v>
      </c>
      <c r="V763" s="31">
        <f>IF(OR($A763="",N($R763)&lt;=0),"",$U763/$R763)</f>
        <v>0</v>
      </c>
      <c r="W763" s="27">
        <f>IF($A763="","",IF(OR($I763="Finalizado",$I763="Entregue"),MAX(0,$R763-N($O763)),0))</f>
        <v>0</v>
      </c>
      <c r="X763" s="32">
        <f>IF(OR($A763="",$B763=""),"",IF(OR($I763="Entregue",$I763="Cancelada"),"",Hoje-$B763))</f>
        <v>0</v>
      </c>
      <c r="Y763" s="24">
        <f>IF($A763="","",IF(AND(OR($I763="Aprovado",$I763="Em execução",$I763="Aguardando peça"),N($X763)&gt;PrazoMax),"ATRASADA",IF(AND(OR($I763="Finalizado",$I763="Entregue"),$W763&gt;0.005),"Cobrar",IF($I763="Orçamento","Aguardando aprovação",""))))</f>
        <v>0</v>
      </c>
      <c r="Z763" s="33">
        <f>IF(AND($I763="Entregue",$M763&lt;&gt;""),DATE(YEAR($M763),MONTH($M763),1),"")</f>
        <v>0</v>
      </c>
      <c r="AA763" s="34">
        <f>IF(AND($C763&lt;&gt;"",$C763=HistPlaca),COUNTIF($C$5:$C763,HistPlaca),"")</f>
        <v>0</v>
      </c>
    </row>
    <row r="764" spans="1:27">
      <c r="A764" s="17"/>
      <c r="B764" s="25"/>
      <c r="C764" s="13"/>
      <c r="D764" s="26">
        <f>IF($C764="","",IFERROR(INDEX(VeicCli,MATCH($C764,VeicPlaca,0)),"Placa não cadastrada"))</f>
        <v>0</v>
      </c>
      <c r="E764" s="26">
        <f>IF($C764="","",IFERROR(INDEX(VeicModelo,MATCH($C764,VeicPlaca,0)),""))</f>
        <v>0</v>
      </c>
      <c r="F764" s="28"/>
      <c r="G764" s="13"/>
      <c r="H764" s="13"/>
      <c r="I764" s="13"/>
      <c r="J764" s="29"/>
      <c r="K764" s="19"/>
      <c r="L764" s="19"/>
      <c r="M764" s="25"/>
      <c r="N764" s="13"/>
      <c r="O764" s="19"/>
      <c r="P764" s="27">
        <f>IF($A764="","",N($J764)*ValorHora)</f>
        <v>0</v>
      </c>
      <c r="Q764" s="27">
        <f>IF($A764="","",SUMIFS(ItTotal,ItOS,$A764))</f>
        <v>0</v>
      </c>
      <c r="R764" s="30">
        <f>IF($A764="","",$P764+$Q764+N($K764)-N($L764))</f>
        <v>0</v>
      </c>
      <c r="S764" s="27">
        <f>IF($A764="","",SUMIFS(ItCusto,ItOS,$A764))</f>
        <v>0</v>
      </c>
      <c r="T764" s="27">
        <f>IF($A764="","",$P764*ComMec)</f>
        <v>0</v>
      </c>
      <c r="U764" s="21">
        <f>IF($A764="","",$R764-$S764-$T764-N($K764))</f>
        <v>0</v>
      </c>
      <c r="V764" s="31">
        <f>IF(OR($A764="",N($R764)&lt;=0),"",$U764/$R764)</f>
        <v>0</v>
      </c>
      <c r="W764" s="27">
        <f>IF($A764="","",IF(OR($I764="Finalizado",$I764="Entregue"),MAX(0,$R764-N($O764)),0))</f>
        <v>0</v>
      </c>
      <c r="X764" s="32">
        <f>IF(OR($A764="",$B764=""),"",IF(OR($I764="Entregue",$I764="Cancelada"),"",Hoje-$B764))</f>
        <v>0</v>
      </c>
      <c r="Y764" s="24">
        <f>IF($A764="","",IF(AND(OR($I764="Aprovado",$I764="Em execução",$I764="Aguardando peça"),N($X764)&gt;PrazoMax),"ATRASADA",IF(AND(OR($I764="Finalizado",$I764="Entregue"),$W764&gt;0.005),"Cobrar",IF($I764="Orçamento","Aguardando aprovação",""))))</f>
        <v>0</v>
      </c>
      <c r="Z764" s="33">
        <f>IF(AND($I764="Entregue",$M764&lt;&gt;""),DATE(YEAR($M764),MONTH($M764),1),"")</f>
        <v>0</v>
      </c>
      <c r="AA764" s="34">
        <f>IF(AND($C764&lt;&gt;"",$C764=HistPlaca),COUNTIF($C$5:$C764,HistPlaca),"")</f>
        <v>0</v>
      </c>
    </row>
    <row r="765" spans="1:27">
      <c r="A765" s="17"/>
      <c r="B765" s="25"/>
      <c r="C765" s="13"/>
      <c r="D765" s="26">
        <f>IF($C765="","",IFERROR(INDEX(VeicCli,MATCH($C765,VeicPlaca,0)),"Placa não cadastrada"))</f>
        <v>0</v>
      </c>
      <c r="E765" s="26">
        <f>IF($C765="","",IFERROR(INDEX(VeicModelo,MATCH($C765,VeicPlaca,0)),""))</f>
        <v>0</v>
      </c>
      <c r="F765" s="28"/>
      <c r="G765" s="13"/>
      <c r="H765" s="13"/>
      <c r="I765" s="13"/>
      <c r="J765" s="29"/>
      <c r="K765" s="19"/>
      <c r="L765" s="19"/>
      <c r="M765" s="25"/>
      <c r="N765" s="13"/>
      <c r="O765" s="19"/>
      <c r="P765" s="27">
        <f>IF($A765="","",N($J765)*ValorHora)</f>
        <v>0</v>
      </c>
      <c r="Q765" s="27">
        <f>IF($A765="","",SUMIFS(ItTotal,ItOS,$A765))</f>
        <v>0</v>
      </c>
      <c r="R765" s="30">
        <f>IF($A765="","",$P765+$Q765+N($K765)-N($L765))</f>
        <v>0</v>
      </c>
      <c r="S765" s="27">
        <f>IF($A765="","",SUMIFS(ItCusto,ItOS,$A765))</f>
        <v>0</v>
      </c>
      <c r="T765" s="27">
        <f>IF($A765="","",$P765*ComMec)</f>
        <v>0</v>
      </c>
      <c r="U765" s="21">
        <f>IF($A765="","",$R765-$S765-$T765-N($K765))</f>
        <v>0</v>
      </c>
      <c r="V765" s="31">
        <f>IF(OR($A765="",N($R765)&lt;=0),"",$U765/$R765)</f>
        <v>0</v>
      </c>
      <c r="W765" s="27">
        <f>IF($A765="","",IF(OR($I765="Finalizado",$I765="Entregue"),MAX(0,$R765-N($O765)),0))</f>
        <v>0</v>
      </c>
      <c r="X765" s="32">
        <f>IF(OR($A765="",$B765=""),"",IF(OR($I765="Entregue",$I765="Cancelada"),"",Hoje-$B765))</f>
        <v>0</v>
      </c>
      <c r="Y765" s="24">
        <f>IF($A765="","",IF(AND(OR($I765="Aprovado",$I765="Em execução",$I765="Aguardando peça"),N($X765)&gt;PrazoMax),"ATRASADA",IF(AND(OR($I765="Finalizado",$I765="Entregue"),$W765&gt;0.005),"Cobrar",IF($I765="Orçamento","Aguardando aprovação",""))))</f>
        <v>0</v>
      </c>
      <c r="Z765" s="33">
        <f>IF(AND($I765="Entregue",$M765&lt;&gt;""),DATE(YEAR($M765),MONTH($M765),1),"")</f>
        <v>0</v>
      </c>
      <c r="AA765" s="34">
        <f>IF(AND($C765&lt;&gt;"",$C765=HistPlaca),COUNTIF($C$5:$C765,HistPlaca),"")</f>
        <v>0</v>
      </c>
    </row>
    <row r="766" spans="1:27">
      <c r="A766" s="17"/>
      <c r="B766" s="25"/>
      <c r="C766" s="13"/>
      <c r="D766" s="26">
        <f>IF($C766="","",IFERROR(INDEX(VeicCli,MATCH($C766,VeicPlaca,0)),"Placa não cadastrada"))</f>
        <v>0</v>
      </c>
      <c r="E766" s="26">
        <f>IF($C766="","",IFERROR(INDEX(VeicModelo,MATCH($C766,VeicPlaca,0)),""))</f>
        <v>0</v>
      </c>
      <c r="F766" s="28"/>
      <c r="G766" s="13"/>
      <c r="H766" s="13"/>
      <c r="I766" s="13"/>
      <c r="J766" s="29"/>
      <c r="K766" s="19"/>
      <c r="L766" s="19"/>
      <c r="M766" s="25"/>
      <c r="N766" s="13"/>
      <c r="O766" s="19"/>
      <c r="P766" s="27">
        <f>IF($A766="","",N($J766)*ValorHora)</f>
        <v>0</v>
      </c>
      <c r="Q766" s="27">
        <f>IF($A766="","",SUMIFS(ItTotal,ItOS,$A766))</f>
        <v>0</v>
      </c>
      <c r="R766" s="30">
        <f>IF($A766="","",$P766+$Q766+N($K766)-N($L766))</f>
        <v>0</v>
      </c>
      <c r="S766" s="27">
        <f>IF($A766="","",SUMIFS(ItCusto,ItOS,$A766))</f>
        <v>0</v>
      </c>
      <c r="T766" s="27">
        <f>IF($A766="","",$P766*ComMec)</f>
        <v>0</v>
      </c>
      <c r="U766" s="21">
        <f>IF($A766="","",$R766-$S766-$T766-N($K766))</f>
        <v>0</v>
      </c>
      <c r="V766" s="31">
        <f>IF(OR($A766="",N($R766)&lt;=0),"",$U766/$R766)</f>
        <v>0</v>
      </c>
      <c r="W766" s="27">
        <f>IF($A766="","",IF(OR($I766="Finalizado",$I766="Entregue"),MAX(0,$R766-N($O766)),0))</f>
        <v>0</v>
      </c>
      <c r="X766" s="32">
        <f>IF(OR($A766="",$B766=""),"",IF(OR($I766="Entregue",$I766="Cancelada"),"",Hoje-$B766))</f>
        <v>0</v>
      </c>
      <c r="Y766" s="24">
        <f>IF($A766="","",IF(AND(OR($I766="Aprovado",$I766="Em execução",$I766="Aguardando peça"),N($X766)&gt;PrazoMax),"ATRASADA",IF(AND(OR($I766="Finalizado",$I766="Entregue"),$W766&gt;0.005),"Cobrar",IF($I766="Orçamento","Aguardando aprovação",""))))</f>
        <v>0</v>
      </c>
      <c r="Z766" s="33">
        <f>IF(AND($I766="Entregue",$M766&lt;&gt;""),DATE(YEAR($M766),MONTH($M766),1),"")</f>
        <v>0</v>
      </c>
      <c r="AA766" s="34">
        <f>IF(AND($C766&lt;&gt;"",$C766=HistPlaca),COUNTIF($C$5:$C766,HistPlaca),"")</f>
        <v>0</v>
      </c>
    </row>
    <row r="767" spans="1:27">
      <c r="A767" s="17"/>
      <c r="B767" s="25"/>
      <c r="C767" s="13"/>
      <c r="D767" s="26">
        <f>IF($C767="","",IFERROR(INDEX(VeicCli,MATCH($C767,VeicPlaca,0)),"Placa não cadastrada"))</f>
        <v>0</v>
      </c>
      <c r="E767" s="26">
        <f>IF($C767="","",IFERROR(INDEX(VeicModelo,MATCH($C767,VeicPlaca,0)),""))</f>
        <v>0</v>
      </c>
      <c r="F767" s="28"/>
      <c r="G767" s="13"/>
      <c r="H767" s="13"/>
      <c r="I767" s="13"/>
      <c r="J767" s="29"/>
      <c r="K767" s="19"/>
      <c r="L767" s="19"/>
      <c r="M767" s="25"/>
      <c r="N767" s="13"/>
      <c r="O767" s="19"/>
      <c r="P767" s="27">
        <f>IF($A767="","",N($J767)*ValorHora)</f>
        <v>0</v>
      </c>
      <c r="Q767" s="27">
        <f>IF($A767="","",SUMIFS(ItTotal,ItOS,$A767))</f>
        <v>0</v>
      </c>
      <c r="R767" s="30">
        <f>IF($A767="","",$P767+$Q767+N($K767)-N($L767))</f>
        <v>0</v>
      </c>
      <c r="S767" s="27">
        <f>IF($A767="","",SUMIFS(ItCusto,ItOS,$A767))</f>
        <v>0</v>
      </c>
      <c r="T767" s="27">
        <f>IF($A767="","",$P767*ComMec)</f>
        <v>0</v>
      </c>
      <c r="U767" s="21">
        <f>IF($A767="","",$R767-$S767-$T767-N($K767))</f>
        <v>0</v>
      </c>
      <c r="V767" s="31">
        <f>IF(OR($A767="",N($R767)&lt;=0),"",$U767/$R767)</f>
        <v>0</v>
      </c>
      <c r="W767" s="27">
        <f>IF($A767="","",IF(OR($I767="Finalizado",$I767="Entregue"),MAX(0,$R767-N($O767)),0))</f>
        <v>0</v>
      </c>
      <c r="X767" s="32">
        <f>IF(OR($A767="",$B767=""),"",IF(OR($I767="Entregue",$I767="Cancelada"),"",Hoje-$B767))</f>
        <v>0</v>
      </c>
      <c r="Y767" s="24">
        <f>IF($A767="","",IF(AND(OR($I767="Aprovado",$I767="Em execução",$I767="Aguardando peça"),N($X767)&gt;PrazoMax),"ATRASADA",IF(AND(OR($I767="Finalizado",$I767="Entregue"),$W767&gt;0.005),"Cobrar",IF($I767="Orçamento","Aguardando aprovação",""))))</f>
        <v>0</v>
      </c>
      <c r="Z767" s="33">
        <f>IF(AND($I767="Entregue",$M767&lt;&gt;""),DATE(YEAR($M767),MONTH($M767),1),"")</f>
        <v>0</v>
      </c>
      <c r="AA767" s="34">
        <f>IF(AND($C767&lt;&gt;"",$C767=HistPlaca),COUNTIF($C$5:$C767,HistPlaca),"")</f>
        <v>0</v>
      </c>
    </row>
    <row r="768" spans="1:27">
      <c r="A768" s="17"/>
      <c r="B768" s="25"/>
      <c r="C768" s="13"/>
      <c r="D768" s="26">
        <f>IF($C768="","",IFERROR(INDEX(VeicCli,MATCH($C768,VeicPlaca,0)),"Placa não cadastrada"))</f>
        <v>0</v>
      </c>
      <c r="E768" s="26">
        <f>IF($C768="","",IFERROR(INDEX(VeicModelo,MATCH($C768,VeicPlaca,0)),""))</f>
        <v>0</v>
      </c>
      <c r="F768" s="28"/>
      <c r="G768" s="13"/>
      <c r="H768" s="13"/>
      <c r="I768" s="13"/>
      <c r="J768" s="29"/>
      <c r="K768" s="19"/>
      <c r="L768" s="19"/>
      <c r="M768" s="25"/>
      <c r="N768" s="13"/>
      <c r="O768" s="19"/>
      <c r="P768" s="27">
        <f>IF($A768="","",N($J768)*ValorHora)</f>
        <v>0</v>
      </c>
      <c r="Q768" s="27">
        <f>IF($A768="","",SUMIFS(ItTotal,ItOS,$A768))</f>
        <v>0</v>
      </c>
      <c r="R768" s="30">
        <f>IF($A768="","",$P768+$Q768+N($K768)-N($L768))</f>
        <v>0</v>
      </c>
      <c r="S768" s="27">
        <f>IF($A768="","",SUMIFS(ItCusto,ItOS,$A768))</f>
        <v>0</v>
      </c>
      <c r="T768" s="27">
        <f>IF($A768="","",$P768*ComMec)</f>
        <v>0</v>
      </c>
      <c r="U768" s="21">
        <f>IF($A768="","",$R768-$S768-$T768-N($K768))</f>
        <v>0</v>
      </c>
      <c r="V768" s="31">
        <f>IF(OR($A768="",N($R768)&lt;=0),"",$U768/$R768)</f>
        <v>0</v>
      </c>
      <c r="W768" s="27">
        <f>IF($A768="","",IF(OR($I768="Finalizado",$I768="Entregue"),MAX(0,$R768-N($O768)),0))</f>
        <v>0</v>
      </c>
      <c r="X768" s="32">
        <f>IF(OR($A768="",$B768=""),"",IF(OR($I768="Entregue",$I768="Cancelada"),"",Hoje-$B768))</f>
        <v>0</v>
      </c>
      <c r="Y768" s="24">
        <f>IF($A768="","",IF(AND(OR($I768="Aprovado",$I768="Em execução",$I768="Aguardando peça"),N($X768)&gt;PrazoMax),"ATRASADA",IF(AND(OR($I768="Finalizado",$I768="Entregue"),$W768&gt;0.005),"Cobrar",IF($I768="Orçamento","Aguardando aprovação",""))))</f>
        <v>0</v>
      </c>
      <c r="Z768" s="33">
        <f>IF(AND($I768="Entregue",$M768&lt;&gt;""),DATE(YEAR($M768),MONTH($M768),1),"")</f>
        <v>0</v>
      </c>
      <c r="AA768" s="34">
        <f>IF(AND($C768&lt;&gt;"",$C768=HistPlaca),COUNTIF($C$5:$C768,HistPlaca),"")</f>
        <v>0</v>
      </c>
    </row>
    <row r="769" spans="1:27">
      <c r="A769" s="17"/>
      <c r="B769" s="25"/>
      <c r="C769" s="13"/>
      <c r="D769" s="26">
        <f>IF($C769="","",IFERROR(INDEX(VeicCli,MATCH($C769,VeicPlaca,0)),"Placa não cadastrada"))</f>
        <v>0</v>
      </c>
      <c r="E769" s="26">
        <f>IF($C769="","",IFERROR(INDEX(VeicModelo,MATCH($C769,VeicPlaca,0)),""))</f>
        <v>0</v>
      </c>
      <c r="F769" s="28"/>
      <c r="G769" s="13"/>
      <c r="H769" s="13"/>
      <c r="I769" s="13"/>
      <c r="J769" s="29"/>
      <c r="K769" s="19"/>
      <c r="L769" s="19"/>
      <c r="M769" s="25"/>
      <c r="N769" s="13"/>
      <c r="O769" s="19"/>
      <c r="P769" s="27">
        <f>IF($A769="","",N($J769)*ValorHora)</f>
        <v>0</v>
      </c>
      <c r="Q769" s="27">
        <f>IF($A769="","",SUMIFS(ItTotal,ItOS,$A769))</f>
        <v>0</v>
      </c>
      <c r="R769" s="30">
        <f>IF($A769="","",$P769+$Q769+N($K769)-N($L769))</f>
        <v>0</v>
      </c>
      <c r="S769" s="27">
        <f>IF($A769="","",SUMIFS(ItCusto,ItOS,$A769))</f>
        <v>0</v>
      </c>
      <c r="T769" s="27">
        <f>IF($A769="","",$P769*ComMec)</f>
        <v>0</v>
      </c>
      <c r="U769" s="21">
        <f>IF($A769="","",$R769-$S769-$T769-N($K769))</f>
        <v>0</v>
      </c>
      <c r="V769" s="31">
        <f>IF(OR($A769="",N($R769)&lt;=0),"",$U769/$R769)</f>
        <v>0</v>
      </c>
      <c r="W769" s="27">
        <f>IF($A769="","",IF(OR($I769="Finalizado",$I769="Entregue"),MAX(0,$R769-N($O769)),0))</f>
        <v>0</v>
      </c>
      <c r="X769" s="32">
        <f>IF(OR($A769="",$B769=""),"",IF(OR($I769="Entregue",$I769="Cancelada"),"",Hoje-$B769))</f>
        <v>0</v>
      </c>
      <c r="Y769" s="24">
        <f>IF($A769="","",IF(AND(OR($I769="Aprovado",$I769="Em execução",$I769="Aguardando peça"),N($X769)&gt;PrazoMax),"ATRASADA",IF(AND(OR($I769="Finalizado",$I769="Entregue"),$W769&gt;0.005),"Cobrar",IF($I769="Orçamento","Aguardando aprovação",""))))</f>
        <v>0</v>
      </c>
      <c r="Z769" s="33">
        <f>IF(AND($I769="Entregue",$M769&lt;&gt;""),DATE(YEAR($M769),MONTH($M769),1),"")</f>
        <v>0</v>
      </c>
      <c r="AA769" s="34">
        <f>IF(AND($C769&lt;&gt;"",$C769=HistPlaca),COUNTIF($C$5:$C769,HistPlaca),"")</f>
        <v>0</v>
      </c>
    </row>
    <row r="770" spans="1:27">
      <c r="A770" s="17"/>
      <c r="B770" s="25"/>
      <c r="C770" s="13"/>
      <c r="D770" s="26">
        <f>IF($C770="","",IFERROR(INDEX(VeicCli,MATCH($C770,VeicPlaca,0)),"Placa não cadastrada"))</f>
        <v>0</v>
      </c>
      <c r="E770" s="26">
        <f>IF($C770="","",IFERROR(INDEX(VeicModelo,MATCH($C770,VeicPlaca,0)),""))</f>
        <v>0</v>
      </c>
      <c r="F770" s="28"/>
      <c r="G770" s="13"/>
      <c r="H770" s="13"/>
      <c r="I770" s="13"/>
      <c r="J770" s="29"/>
      <c r="K770" s="19"/>
      <c r="L770" s="19"/>
      <c r="M770" s="25"/>
      <c r="N770" s="13"/>
      <c r="O770" s="19"/>
      <c r="P770" s="27">
        <f>IF($A770="","",N($J770)*ValorHora)</f>
        <v>0</v>
      </c>
      <c r="Q770" s="27">
        <f>IF($A770="","",SUMIFS(ItTotal,ItOS,$A770))</f>
        <v>0</v>
      </c>
      <c r="R770" s="30">
        <f>IF($A770="","",$P770+$Q770+N($K770)-N($L770))</f>
        <v>0</v>
      </c>
      <c r="S770" s="27">
        <f>IF($A770="","",SUMIFS(ItCusto,ItOS,$A770))</f>
        <v>0</v>
      </c>
      <c r="T770" s="27">
        <f>IF($A770="","",$P770*ComMec)</f>
        <v>0</v>
      </c>
      <c r="U770" s="21">
        <f>IF($A770="","",$R770-$S770-$T770-N($K770))</f>
        <v>0</v>
      </c>
      <c r="V770" s="31">
        <f>IF(OR($A770="",N($R770)&lt;=0),"",$U770/$R770)</f>
        <v>0</v>
      </c>
      <c r="W770" s="27">
        <f>IF($A770="","",IF(OR($I770="Finalizado",$I770="Entregue"),MAX(0,$R770-N($O770)),0))</f>
        <v>0</v>
      </c>
      <c r="X770" s="32">
        <f>IF(OR($A770="",$B770=""),"",IF(OR($I770="Entregue",$I770="Cancelada"),"",Hoje-$B770))</f>
        <v>0</v>
      </c>
      <c r="Y770" s="24">
        <f>IF($A770="","",IF(AND(OR($I770="Aprovado",$I770="Em execução",$I770="Aguardando peça"),N($X770)&gt;PrazoMax),"ATRASADA",IF(AND(OR($I770="Finalizado",$I770="Entregue"),$W770&gt;0.005),"Cobrar",IF($I770="Orçamento","Aguardando aprovação",""))))</f>
        <v>0</v>
      </c>
      <c r="Z770" s="33">
        <f>IF(AND($I770="Entregue",$M770&lt;&gt;""),DATE(YEAR($M770),MONTH($M770),1),"")</f>
        <v>0</v>
      </c>
      <c r="AA770" s="34">
        <f>IF(AND($C770&lt;&gt;"",$C770=HistPlaca),COUNTIF($C$5:$C770,HistPlaca),"")</f>
        <v>0</v>
      </c>
    </row>
    <row r="771" spans="1:27">
      <c r="A771" s="17"/>
      <c r="B771" s="25"/>
      <c r="C771" s="13"/>
      <c r="D771" s="26">
        <f>IF($C771="","",IFERROR(INDEX(VeicCli,MATCH($C771,VeicPlaca,0)),"Placa não cadastrada"))</f>
        <v>0</v>
      </c>
      <c r="E771" s="26">
        <f>IF($C771="","",IFERROR(INDEX(VeicModelo,MATCH($C771,VeicPlaca,0)),""))</f>
        <v>0</v>
      </c>
      <c r="F771" s="28"/>
      <c r="G771" s="13"/>
      <c r="H771" s="13"/>
      <c r="I771" s="13"/>
      <c r="J771" s="29"/>
      <c r="K771" s="19"/>
      <c r="L771" s="19"/>
      <c r="M771" s="25"/>
      <c r="N771" s="13"/>
      <c r="O771" s="19"/>
      <c r="P771" s="27">
        <f>IF($A771="","",N($J771)*ValorHora)</f>
        <v>0</v>
      </c>
      <c r="Q771" s="27">
        <f>IF($A771="","",SUMIFS(ItTotal,ItOS,$A771))</f>
        <v>0</v>
      </c>
      <c r="R771" s="30">
        <f>IF($A771="","",$P771+$Q771+N($K771)-N($L771))</f>
        <v>0</v>
      </c>
      <c r="S771" s="27">
        <f>IF($A771="","",SUMIFS(ItCusto,ItOS,$A771))</f>
        <v>0</v>
      </c>
      <c r="T771" s="27">
        <f>IF($A771="","",$P771*ComMec)</f>
        <v>0</v>
      </c>
      <c r="U771" s="21">
        <f>IF($A771="","",$R771-$S771-$T771-N($K771))</f>
        <v>0</v>
      </c>
      <c r="V771" s="31">
        <f>IF(OR($A771="",N($R771)&lt;=0),"",$U771/$R771)</f>
        <v>0</v>
      </c>
      <c r="W771" s="27">
        <f>IF($A771="","",IF(OR($I771="Finalizado",$I771="Entregue"),MAX(0,$R771-N($O771)),0))</f>
        <v>0</v>
      </c>
      <c r="X771" s="32">
        <f>IF(OR($A771="",$B771=""),"",IF(OR($I771="Entregue",$I771="Cancelada"),"",Hoje-$B771))</f>
        <v>0</v>
      </c>
      <c r="Y771" s="24">
        <f>IF($A771="","",IF(AND(OR($I771="Aprovado",$I771="Em execução",$I771="Aguardando peça"),N($X771)&gt;PrazoMax),"ATRASADA",IF(AND(OR($I771="Finalizado",$I771="Entregue"),$W771&gt;0.005),"Cobrar",IF($I771="Orçamento","Aguardando aprovação",""))))</f>
        <v>0</v>
      </c>
      <c r="Z771" s="33">
        <f>IF(AND($I771="Entregue",$M771&lt;&gt;""),DATE(YEAR($M771),MONTH($M771),1),"")</f>
        <v>0</v>
      </c>
      <c r="AA771" s="34">
        <f>IF(AND($C771&lt;&gt;"",$C771=HistPlaca),COUNTIF($C$5:$C771,HistPlaca),"")</f>
        <v>0</v>
      </c>
    </row>
    <row r="772" spans="1:27">
      <c r="A772" s="17"/>
      <c r="B772" s="25"/>
      <c r="C772" s="13"/>
      <c r="D772" s="26">
        <f>IF($C772="","",IFERROR(INDEX(VeicCli,MATCH($C772,VeicPlaca,0)),"Placa não cadastrada"))</f>
        <v>0</v>
      </c>
      <c r="E772" s="26">
        <f>IF($C772="","",IFERROR(INDEX(VeicModelo,MATCH($C772,VeicPlaca,0)),""))</f>
        <v>0</v>
      </c>
      <c r="F772" s="28"/>
      <c r="G772" s="13"/>
      <c r="H772" s="13"/>
      <c r="I772" s="13"/>
      <c r="J772" s="29"/>
      <c r="K772" s="19"/>
      <c r="L772" s="19"/>
      <c r="M772" s="25"/>
      <c r="N772" s="13"/>
      <c r="O772" s="19"/>
      <c r="P772" s="27">
        <f>IF($A772="","",N($J772)*ValorHora)</f>
        <v>0</v>
      </c>
      <c r="Q772" s="27">
        <f>IF($A772="","",SUMIFS(ItTotal,ItOS,$A772))</f>
        <v>0</v>
      </c>
      <c r="R772" s="30">
        <f>IF($A772="","",$P772+$Q772+N($K772)-N($L772))</f>
        <v>0</v>
      </c>
      <c r="S772" s="27">
        <f>IF($A772="","",SUMIFS(ItCusto,ItOS,$A772))</f>
        <v>0</v>
      </c>
      <c r="T772" s="27">
        <f>IF($A772="","",$P772*ComMec)</f>
        <v>0</v>
      </c>
      <c r="U772" s="21">
        <f>IF($A772="","",$R772-$S772-$T772-N($K772))</f>
        <v>0</v>
      </c>
      <c r="V772" s="31">
        <f>IF(OR($A772="",N($R772)&lt;=0),"",$U772/$R772)</f>
        <v>0</v>
      </c>
      <c r="W772" s="27">
        <f>IF($A772="","",IF(OR($I772="Finalizado",$I772="Entregue"),MAX(0,$R772-N($O772)),0))</f>
        <v>0</v>
      </c>
      <c r="X772" s="32">
        <f>IF(OR($A772="",$B772=""),"",IF(OR($I772="Entregue",$I772="Cancelada"),"",Hoje-$B772))</f>
        <v>0</v>
      </c>
      <c r="Y772" s="24">
        <f>IF($A772="","",IF(AND(OR($I772="Aprovado",$I772="Em execução",$I772="Aguardando peça"),N($X772)&gt;PrazoMax),"ATRASADA",IF(AND(OR($I772="Finalizado",$I772="Entregue"),$W772&gt;0.005),"Cobrar",IF($I772="Orçamento","Aguardando aprovação",""))))</f>
        <v>0</v>
      </c>
      <c r="Z772" s="33">
        <f>IF(AND($I772="Entregue",$M772&lt;&gt;""),DATE(YEAR($M772),MONTH($M772),1),"")</f>
        <v>0</v>
      </c>
      <c r="AA772" s="34">
        <f>IF(AND($C772&lt;&gt;"",$C772=HistPlaca),COUNTIF($C$5:$C772,HistPlaca),"")</f>
        <v>0</v>
      </c>
    </row>
    <row r="773" spans="1:27">
      <c r="A773" s="17"/>
      <c r="B773" s="25"/>
      <c r="C773" s="13"/>
      <c r="D773" s="26">
        <f>IF($C773="","",IFERROR(INDEX(VeicCli,MATCH($C773,VeicPlaca,0)),"Placa não cadastrada"))</f>
        <v>0</v>
      </c>
      <c r="E773" s="26">
        <f>IF($C773="","",IFERROR(INDEX(VeicModelo,MATCH($C773,VeicPlaca,0)),""))</f>
        <v>0</v>
      </c>
      <c r="F773" s="28"/>
      <c r="G773" s="13"/>
      <c r="H773" s="13"/>
      <c r="I773" s="13"/>
      <c r="J773" s="29"/>
      <c r="K773" s="19"/>
      <c r="L773" s="19"/>
      <c r="M773" s="25"/>
      <c r="N773" s="13"/>
      <c r="O773" s="19"/>
      <c r="P773" s="27">
        <f>IF($A773="","",N($J773)*ValorHora)</f>
        <v>0</v>
      </c>
      <c r="Q773" s="27">
        <f>IF($A773="","",SUMIFS(ItTotal,ItOS,$A773))</f>
        <v>0</v>
      </c>
      <c r="R773" s="30">
        <f>IF($A773="","",$P773+$Q773+N($K773)-N($L773))</f>
        <v>0</v>
      </c>
      <c r="S773" s="27">
        <f>IF($A773="","",SUMIFS(ItCusto,ItOS,$A773))</f>
        <v>0</v>
      </c>
      <c r="T773" s="27">
        <f>IF($A773="","",$P773*ComMec)</f>
        <v>0</v>
      </c>
      <c r="U773" s="21">
        <f>IF($A773="","",$R773-$S773-$T773-N($K773))</f>
        <v>0</v>
      </c>
      <c r="V773" s="31">
        <f>IF(OR($A773="",N($R773)&lt;=0),"",$U773/$R773)</f>
        <v>0</v>
      </c>
      <c r="W773" s="27">
        <f>IF($A773="","",IF(OR($I773="Finalizado",$I773="Entregue"),MAX(0,$R773-N($O773)),0))</f>
        <v>0</v>
      </c>
      <c r="X773" s="32">
        <f>IF(OR($A773="",$B773=""),"",IF(OR($I773="Entregue",$I773="Cancelada"),"",Hoje-$B773))</f>
        <v>0</v>
      </c>
      <c r="Y773" s="24">
        <f>IF($A773="","",IF(AND(OR($I773="Aprovado",$I773="Em execução",$I773="Aguardando peça"),N($X773)&gt;PrazoMax),"ATRASADA",IF(AND(OR($I773="Finalizado",$I773="Entregue"),$W773&gt;0.005),"Cobrar",IF($I773="Orçamento","Aguardando aprovação",""))))</f>
        <v>0</v>
      </c>
      <c r="Z773" s="33">
        <f>IF(AND($I773="Entregue",$M773&lt;&gt;""),DATE(YEAR($M773),MONTH($M773),1),"")</f>
        <v>0</v>
      </c>
      <c r="AA773" s="34">
        <f>IF(AND($C773&lt;&gt;"",$C773=HistPlaca),COUNTIF($C$5:$C773,HistPlaca),"")</f>
        <v>0</v>
      </c>
    </row>
    <row r="774" spans="1:27">
      <c r="A774" s="17"/>
      <c r="B774" s="25"/>
      <c r="C774" s="13"/>
      <c r="D774" s="26">
        <f>IF($C774="","",IFERROR(INDEX(VeicCli,MATCH($C774,VeicPlaca,0)),"Placa não cadastrada"))</f>
        <v>0</v>
      </c>
      <c r="E774" s="26">
        <f>IF($C774="","",IFERROR(INDEX(VeicModelo,MATCH($C774,VeicPlaca,0)),""))</f>
        <v>0</v>
      </c>
      <c r="F774" s="28"/>
      <c r="G774" s="13"/>
      <c r="H774" s="13"/>
      <c r="I774" s="13"/>
      <c r="J774" s="29"/>
      <c r="K774" s="19"/>
      <c r="L774" s="19"/>
      <c r="M774" s="25"/>
      <c r="N774" s="13"/>
      <c r="O774" s="19"/>
      <c r="P774" s="27">
        <f>IF($A774="","",N($J774)*ValorHora)</f>
        <v>0</v>
      </c>
      <c r="Q774" s="27">
        <f>IF($A774="","",SUMIFS(ItTotal,ItOS,$A774))</f>
        <v>0</v>
      </c>
      <c r="R774" s="30">
        <f>IF($A774="","",$P774+$Q774+N($K774)-N($L774))</f>
        <v>0</v>
      </c>
      <c r="S774" s="27">
        <f>IF($A774="","",SUMIFS(ItCusto,ItOS,$A774))</f>
        <v>0</v>
      </c>
      <c r="T774" s="27">
        <f>IF($A774="","",$P774*ComMec)</f>
        <v>0</v>
      </c>
      <c r="U774" s="21">
        <f>IF($A774="","",$R774-$S774-$T774-N($K774))</f>
        <v>0</v>
      </c>
      <c r="V774" s="31">
        <f>IF(OR($A774="",N($R774)&lt;=0),"",$U774/$R774)</f>
        <v>0</v>
      </c>
      <c r="W774" s="27">
        <f>IF($A774="","",IF(OR($I774="Finalizado",$I774="Entregue"),MAX(0,$R774-N($O774)),0))</f>
        <v>0</v>
      </c>
      <c r="X774" s="32">
        <f>IF(OR($A774="",$B774=""),"",IF(OR($I774="Entregue",$I774="Cancelada"),"",Hoje-$B774))</f>
        <v>0</v>
      </c>
      <c r="Y774" s="24">
        <f>IF($A774="","",IF(AND(OR($I774="Aprovado",$I774="Em execução",$I774="Aguardando peça"),N($X774)&gt;PrazoMax),"ATRASADA",IF(AND(OR($I774="Finalizado",$I774="Entregue"),$W774&gt;0.005),"Cobrar",IF($I774="Orçamento","Aguardando aprovação",""))))</f>
        <v>0</v>
      </c>
      <c r="Z774" s="33">
        <f>IF(AND($I774="Entregue",$M774&lt;&gt;""),DATE(YEAR($M774),MONTH($M774),1),"")</f>
        <v>0</v>
      </c>
      <c r="AA774" s="34">
        <f>IF(AND($C774&lt;&gt;"",$C774=HistPlaca),COUNTIF($C$5:$C774,HistPlaca),"")</f>
        <v>0</v>
      </c>
    </row>
    <row r="775" spans="1:27">
      <c r="A775" s="17"/>
      <c r="B775" s="25"/>
      <c r="C775" s="13"/>
      <c r="D775" s="26">
        <f>IF($C775="","",IFERROR(INDEX(VeicCli,MATCH($C775,VeicPlaca,0)),"Placa não cadastrada"))</f>
        <v>0</v>
      </c>
      <c r="E775" s="26">
        <f>IF($C775="","",IFERROR(INDEX(VeicModelo,MATCH($C775,VeicPlaca,0)),""))</f>
        <v>0</v>
      </c>
      <c r="F775" s="28"/>
      <c r="G775" s="13"/>
      <c r="H775" s="13"/>
      <c r="I775" s="13"/>
      <c r="J775" s="29"/>
      <c r="K775" s="19"/>
      <c r="L775" s="19"/>
      <c r="M775" s="25"/>
      <c r="N775" s="13"/>
      <c r="O775" s="19"/>
      <c r="P775" s="27">
        <f>IF($A775="","",N($J775)*ValorHora)</f>
        <v>0</v>
      </c>
      <c r="Q775" s="27">
        <f>IF($A775="","",SUMIFS(ItTotal,ItOS,$A775))</f>
        <v>0</v>
      </c>
      <c r="R775" s="30">
        <f>IF($A775="","",$P775+$Q775+N($K775)-N($L775))</f>
        <v>0</v>
      </c>
      <c r="S775" s="27">
        <f>IF($A775="","",SUMIFS(ItCusto,ItOS,$A775))</f>
        <v>0</v>
      </c>
      <c r="T775" s="27">
        <f>IF($A775="","",$P775*ComMec)</f>
        <v>0</v>
      </c>
      <c r="U775" s="21">
        <f>IF($A775="","",$R775-$S775-$T775-N($K775))</f>
        <v>0</v>
      </c>
      <c r="V775" s="31">
        <f>IF(OR($A775="",N($R775)&lt;=0),"",$U775/$R775)</f>
        <v>0</v>
      </c>
      <c r="W775" s="27">
        <f>IF($A775="","",IF(OR($I775="Finalizado",$I775="Entregue"),MAX(0,$R775-N($O775)),0))</f>
        <v>0</v>
      </c>
      <c r="X775" s="32">
        <f>IF(OR($A775="",$B775=""),"",IF(OR($I775="Entregue",$I775="Cancelada"),"",Hoje-$B775))</f>
        <v>0</v>
      </c>
      <c r="Y775" s="24">
        <f>IF($A775="","",IF(AND(OR($I775="Aprovado",$I775="Em execução",$I775="Aguardando peça"),N($X775)&gt;PrazoMax),"ATRASADA",IF(AND(OR($I775="Finalizado",$I775="Entregue"),$W775&gt;0.005),"Cobrar",IF($I775="Orçamento","Aguardando aprovação",""))))</f>
        <v>0</v>
      </c>
      <c r="Z775" s="33">
        <f>IF(AND($I775="Entregue",$M775&lt;&gt;""),DATE(YEAR($M775),MONTH($M775),1),"")</f>
        <v>0</v>
      </c>
      <c r="AA775" s="34">
        <f>IF(AND($C775&lt;&gt;"",$C775=HistPlaca),COUNTIF($C$5:$C775,HistPlaca),"")</f>
        <v>0</v>
      </c>
    </row>
    <row r="776" spans="1:27">
      <c r="A776" s="17"/>
      <c r="B776" s="25"/>
      <c r="C776" s="13"/>
      <c r="D776" s="26">
        <f>IF($C776="","",IFERROR(INDEX(VeicCli,MATCH($C776,VeicPlaca,0)),"Placa não cadastrada"))</f>
        <v>0</v>
      </c>
      <c r="E776" s="26">
        <f>IF($C776="","",IFERROR(INDEX(VeicModelo,MATCH($C776,VeicPlaca,0)),""))</f>
        <v>0</v>
      </c>
      <c r="F776" s="28"/>
      <c r="G776" s="13"/>
      <c r="H776" s="13"/>
      <c r="I776" s="13"/>
      <c r="J776" s="29"/>
      <c r="K776" s="19"/>
      <c r="L776" s="19"/>
      <c r="M776" s="25"/>
      <c r="N776" s="13"/>
      <c r="O776" s="19"/>
      <c r="P776" s="27">
        <f>IF($A776="","",N($J776)*ValorHora)</f>
        <v>0</v>
      </c>
      <c r="Q776" s="27">
        <f>IF($A776="","",SUMIFS(ItTotal,ItOS,$A776))</f>
        <v>0</v>
      </c>
      <c r="R776" s="30">
        <f>IF($A776="","",$P776+$Q776+N($K776)-N($L776))</f>
        <v>0</v>
      </c>
      <c r="S776" s="27">
        <f>IF($A776="","",SUMIFS(ItCusto,ItOS,$A776))</f>
        <v>0</v>
      </c>
      <c r="T776" s="27">
        <f>IF($A776="","",$P776*ComMec)</f>
        <v>0</v>
      </c>
      <c r="U776" s="21">
        <f>IF($A776="","",$R776-$S776-$T776-N($K776))</f>
        <v>0</v>
      </c>
      <c r="V776" s="31">
        <f>IF(OR($A776="",N($R776)&lt;=0),"",$U776/$R776)</f>
        <v>0</v>
      </c>
      <c r="W776" s="27">
        <f>IF($A776="","",IF(OR($I776="Finalizado",$I776="Entregue"),MAX(0,$R776-N($O776)),0))</f>
        <v>0</v>
      </c>
      <c r="X776" s="32">
        <f>IF(OR($A776="",$B776=""),"",IF(OR($I776="Entregue",$I776="Cancelada"),"",Hoje-$B776))</f>
        <v>0</v>
      </c>
      <c r="Y776" s="24">
        <f>IF($A776="","",IF(AND(OR($I776="Aprovado",$I776="Em execução",$I776="Aguardando peça"),N($X776)&gt;PrazoMax),"ATRASADA",IF(AND(OR($I776="Finalizado",$I776="Entregue"),$W776&gt;0.005),"Cobrar",IF($I776="Orçamento","Aguardando aprovação",""))))</f>
        <v>0</v>
      </c>
      <c r="Z776" s="33">
        <f>IF(AND($I776="Entregue",$M776&lt;&gt;""),DATE(YEAR($M776),MONTH($M776),1),"")</f>
        <v>0</v>
      </c>
      <c r="AA776" s="34">
        <f>IF(AND($C776&lt;&gt;"",$C776=HistPlaca),COUNTIF($C$5:$C776,HistPlaca),"")</f>
        <v>0</v>
      </c>
    </row>
    <row r="777" spans="1:27">
      <c r="A777" s="17"/>
      <c r="B777" s="25"/>
      <c r="C777" s="13"/>
      <c r="D777" s="26">
        <f>IF($C777="","",IFERROR(INDEX(VeicCli,MATCH($C777,VeicPlaca,0)),"Placa não cadastrada"))</f>
        <v>0</v>
      </c>
      <c r="E777" s="26">
        <f>IF($C777="","",IFERROR(INDEX(VeicModelo,MATCH($C777,VeicPlaca,0)),""))</f>
        <v>0</v>
      </c>
      <c r="F777" s="28"/>
      <c r="G777" s="13"/>
      <c r="H777" s="13"/>
      <c r="I777" s="13"/>
      <c r="J777" s="29"/>
      <c r="K777" s="19"/>
      <c r="L777" s="19"/>
      <c r="M777" s="25"/>
      <c r="N777" s="13"/>
      <c r="O777" s="19"/>
      <c r="P777" s="27">
        <f>IF($A777="","",N($J777)*ValorHora)</f>
        <v>0</v>
      </c>
      <c r="Q777" s="27">
        <f>IF($A777="","",SUMIFS(ItTotal,ItOS,$A777))</f>
        <v>0</v>
      </c>
      <c r="R777" s="30">
        <f>IF($A777="","",$P777+$Q777+N($K777)-N($L777))</f>
        <v>0</v>
      </c>
      <c r="S777" s="27">
        <f>IF($A777="","",SUMIFS(ItCusto,ItOS,$A777))</f>
        <v>0</v>
      </c>
      <c r="T777" s="27">
        <f>IF($A777="","",$P777*ComMec)</f>
        <v>0</v>
      </c>
      <c r="U777" s="21">
        <f>IF($A777="","",$R777-$S777-$T777-N($K777))</f>
        <v>0</v>
      </c>
      <c r="V777" s="31">
        <f>IF(OR($A777="",N($R777)&lt;=0),"",$U777/$R777)</f>
        <v>0</v>
      </c>
      <c r="W777" s="27">
        <f>IF($A777="","",IF(OR($I777="Finalizado",$I777="Entregue"),MAX(0,$R777-N($O777)),0))</f>
        <v>0</v>
      </c>
      <c r="X777" s="32">
        <f>IF(OR($A777="",$B777=""),"",IF(OR($I777="Entregue",$I777="Cancelada"),"",Hoje-$B777))</f>
        <v>0</v>
      </c>
      <c r="Y777" s="24">
        <f>IF($A777="","",IF(AND(OR($I777="Aprovado",$I777="Em execução",$I777="Aguardando peça"),N($X777)&gt;PrazoMax),"ATRASADA",IF(AND(OR($I777="Finalizado",$I777="Entregue"),$W777&gt;0.005),"Cobrar",IF($I777="Orçamento","Aguardando aprovação",""))))</f>
        <v>0</v>
      </c>
      <c r="Z777" s="33">
        <f>IF(AND($I777="Entregue",$M777&lt;&gt;""),DATE(YEAR($M777),MONTH($M777),1),"")</f>
        <v>0</v>
      </c>
      <c r="AA777" s="34">
        <f>IF(AND($C777&lt;&gt;"",$C777=HistPlaca),COUNTIF($C$5:$C777,HistPlaca),"")</f>
        <v>0</v>
      </c>
    </row>
    <row r="778" spans="1:27">
      <c r="A778" s="17"/>
      <c r="B778" s="25"/>
      <c r="C778" s="13"/>
      <c r="D778" s="26">
        <f>IF($C778="","",IFERROR(INDEX(VeicCli,MATCH($C778,VeicPlaca,0)),"Placa não cadastrada"))</f>
        <v>0</v>
      </c>
      <c r="E778" s="26">
        <f>IF($C778="","",IFERROR(INDEX(VeicModelo,MATCH($C778,VeicPlaca,0)),""))</f>
        <v>0</v>
      </c>
      <c r="F778" s="28"/>
      <c r="G778" s="13"/>
      <c r="H778" s="13"/>
      <c r="I778" s="13"/>
      <c r="J778" s="29"/>
      <c r="K778" s="19"/>
      <c r="L778" s="19"/>
      <c r="M778" s="25"/>
      <c r="N778" s="13"/>
      <c r="O778" s="19"/>
      <c r="P778" s="27">
        <f>IF($A778="","",N($J778)*ValorHora)</f>
        <v>0</v>
      </c>
      <c r="Q778" s="27">
        <f>IF($A778="","",SUMIFS(ItTotal,ItOS,$A778))</f>
        <v>0</v>
      </c>
      <c r="R778" s="30">
        <f>IF($A778="","",$P778+$Q778+N($K778)-N($L778))</f>
        <v>0</v>
      </c>
      <c r="S778" s="27">
        <f>IF($A778="","",SUMIFS(ItCusto,ItOS,$A778))</f>
        <v>0</v>
      </c>
      <c r="T778" s="27">
        <f>IF($A778="","",$P778*ComMec)</f>
        <v>0</v>
      </c>
      <c r="U778" s="21">
        <f>IF($A778="","",$R778-$S778-$T778-N($K778))</f>
        <v>0</v>
      </c>
      <c r="V778" s="31">
        <f>IF(OR($A778="",N($R778)&lt;=0),"",$U778/$R778)</f>
        <v>0</v>
      </c>
      <c r="W778" s="27">
        <f>IF($A778="","",IF(OR($I778="Finalizado",$I778="Entregue"),MAX(0,$R778-N($O778)),0))</f>
        <v>0</v>
      </c>
      <c r="X778" s="32">
        <f>IF(OR($A778="",$B778=""),"",IF(OR($I778="Entregue",$I778="Cancelada"),"",Hoje-$B778))</f>
        <v>0</v>
      </c>
      <c r="Y778" s="24">
        <f>IF($A778="","",IF(AND(OR($I778="Aprovado",$I778="Em execução",$I778="Aguardando peça"),N($X778)&gt;PrazoMax),"ATRASADA",IF(AND(OR($I778="Finalizado",$I778="Entregue"),$W778&gt;0.005),"Cobrar",IF($I778="Orçamento","Aguardando aprovação",""))))</f>
        <v>0</v>
      </c>
      <c r="Z778" s="33">
        <f>IF(AND($I778="Entregue",$M778&lt;&gt;""),DATE(YEAR($M778),MONTH($M778),1),"")</f>
        <v>0</v>
      </c>
      <c r="AA778" s="34">
        <f>IF(AND($C778&lt;&gt;"",$C778=HistPlaca),COUNTIF($C$5:$C778,HistPlaca),"")</f>
        <v>0</v>
      </c>
    </row>
    <row r="779" spans="1:27">
      <c r="A779" s="17"/>
      <c r="B779" s="25"/>
      <c r="C779" s="13"/>
      <c r="D779" s="26">
        <f>IF($C779="","",IFERROR(INDEX(VeicCli,MATCH($C779,VeicPlaca,0)),"Placa não cadastrada"))</f>
        <v>0</v>
      </c>
      <c r="E779" s="26">
        <f>IF($C779="","",IFERROR(INDEX(VeicModelo,MATCH($C779,VeicPlaca,0)),""))</f>
        <v>0</v>
      </c>
      <c r="F779" s="28"/>
      <c r="G779" s="13"/>
      <c r="H779" s="13"/>
      <c r="I779" s="13"/>
      <c r="J779" s="29"/>
      <c r="K779" s="19"/>
      <c r="L779" s="19"/>
      <c r="M779" s="25"/>
      <c r="N779" s="13"/>
      <c r="O779" s="19"/>
      <c r="P779" s="27">
        <f>IF($A779="","",N($J779)*ValorHora)</f>
        <v>0</v>
      </c>
      <c r="Q779" s="27">
        <f>IF($A779="","",SUMIFS(ItTotal,ItOS,$A779))</f>
        <v>0</v>
      </c>
      <c r="R779" s="30">
        <f>IF($A779="","",$P779+$Q779+N($K779)-N($L779))</f>
        <v>0</v>
      </c>
      <c r="S779" s="27">
        <f>IF($A779="","",SUMIFS(ItCusto,ItOS,$A779))</f>
        <v>0</v>
      </c>
      <c r="T779" s="27">
        <f>IF($A779="","",$P779*ComMec)</f>
        <v>0</v>
      </c>
      <c r="U779" s="21">
        <f>IF($A779="","",$R779-$S779-$T779-N($K779))</f>
        <v>0</v>
      </c>
      <c r="V779" s="31">
        <f>IF(OR($A779="",N($R779)&lt;=0),"",$U779/$R779)</f>
        <v>0</v>
      </c>
      <c r="W779" s="27">
        <f>IF($A779="","",IF(OR($I779="Finalizado",$I779="Entregue"),MAX(0,$R779-N($O779)),0))</f>
        <v>0</v>
      </c>
      <c r="X779" s="32">
        <f>IF(OR($A779="",$B779=""),"",IF(OR($I779="Entregue",$I779="Cancelada"),"",Hoje-$B779))</f>
        <v>0</v>
      </c>
      <c r="Y779" s="24">
        <f>IF($A779="","",IF(AND(OR($I779="Aprovado",$I779="Em execução",$I779="Aguardando peça"),N($X779)&gt;PrazoMax),"ATRASADA",IF(AND(OR($I779="Finalizado",$I779="Entregue"),$W779&gt;0.005),"Cobrar",IF($I779="Orçamento","Aguardando aprovação",""))))</f>
        <v>0</v>
      </c>
      <c r="Z779" s="33">
        <f>IF(AND($I779="Entregue",$M779&lt;&gt;""),DATE(YEAR($M779),MONTH($M779),1),"")</f>
        <v>0</v>
      </c>
      <c r="AA779" s="34">
        <f>IF(AND($C779&lt;&gt;"",$C779=HistPlaca),COUNTIF($C$5:$C779,HistPlaca),"")</f>
        <v>0</v>
      </c>
    </row>
    <row r="780" spans="1:27">
      <c r="A780" s="17"/>
      <c r="B780" s="25"/>
      <c r="C780" s="13"/>
      <c r="D780" s="26">
        <f>IF($C780="","",IFERROR(INDEX(VeicCli,MATCH($C780,VeicPlaca,0)),"Placa não cadastrada"))</f>
        <v>0</v>
      </c>
      <c r="E780" s="26">
        <f>IF($C780="","",IFERROR(INDEX(VeicModelo,MATCH($C780,VeicPlaca,0)),""))</f>
        <v>0</v>
      </c>
      <c r="F780" s="28"/>
      <c r="G780" s="13"/>
      <c r="H780" s="13"/>
      <c r="I780" s="13"/>
      <c r="J780" s="29"/>
      <c r="K780" s="19"/>
      <c r="L780" s="19"/>
      <c r="M780" s="25"/>
      <c r="N780" s="13"/>
      <c r="O780" s="19"/>
      <c r="P780" s="27">
        <f>IF($A780="","",N($J780)*ValorHora)</f>
        <v>0</v>
      </c>
      <c r="Q780" s="27">
        <f>IF($A780="","",SUMIFS(ItTotal,ItOS,$A780))</f>
        <v>0</v>
      </c>
      <c r="R780" s="30">
        <f>IF($A780="","",$P780+$Q780+N($K780)-N($L780))</f>
        <v>0</v>
      </c>
      <c r="S780" s="27">
        <f>IF($A780="","",SUMIFS(ItCusto,ItOS,$A780))</f>
        <v>0</v>
      </c>
      <c r="T780" s="27">
        <f>IF($A780="","",$P780*ComMec)</f>
        <v>0</v>
      </c>
      <c r="U780" s="21">
        <f>IF($A780="","",$R780-$S780-$T780-N($K780))</f>
        <v>0</v>
      </c>
      <c r="V780" s="31">
        <f>IF(OR($A780="",N($R780)&lt;=0),"",$U780/$R780)</f>
        <v>0</v>
      </c>
      <c r="W780" s="27">
        <f>IF($A780="","",IF(OR($I780="Finalizado",$I780="Entregue"),MAX(0,$R780-N($O780)),0))</f>
        <v>0</v>
      </c>
      <c r="X780" s="32">
        <f>IF(OR($A780="",$B780=""),"",IF(OR($I780="Entregue",$I780="Cancelada"),"",Hoje-$B780))</f>
        <v>0</v>
      </c>
      <c r="Y780" s="24">
        <f>IF($A780="","",IF(AND(OR($I780="Aprovado",$I780="Em execução",$I780="Aguardando peça"),N($X780)&gt;PrazoMax),"ATRASADA",IF(AND(OR($I780="Finalizado",$I780="Entregue"),$W780&gt;0.005),"Cobrar",IF($I780="Orçamento","Aguardando aprovação",""))))</f>
        <v>0</v>
      </c>
      <c r="Z780" s="33">
        <f>IF(AND($I780="Entregue",$M780&lt;&gt;""),DATE(YEAR($M780),MONTH($M780),1),"")</f>
        <v>0</v>
      </c>
      <c r="AA780" s="34">
        <f>IF(AND($C780&lt;&gt;"",$C780=HistPlaca),COUNTIF($C$5:$C780,HistPlaca),"")</f>
        <v>0</v>
      </c>
    </row>
    <row r="781" spans="1:27">
      <c r="A781" s="17"/>
      <c r="B781" s="25"/>
      <c r="C781" s="13"/>
      <c r="D781" s="26">
        <f>IF($C781="","",IFERROR(INDEX(VeicCli,MATCH($C781,VeicPlaca,0)),"Placa não cadastrada"))</f>
        <v>0</v>
      </c>
      <c r="E781" s="26">
        <f>IF($C781="","",IFERROR(INDEX(VeicModelo,MATCH($C781,VeicPlaca,0)),""))</f>
        <v>0</v>
      </c>
      <c r="F781" s="28"/>
      <c r="G781" s="13"/>
      <c r="H781" s="13"/>
      <c r="I781" s="13"/>
      <c r="J781" s="29"/>
      <c r="K781" s="19"/>
      <c r="L781" s="19"/>
      <c r="M781" s="25"/>
      <c r="N781" s="13"/>
      <c r="O781" s="19"/>
      <c r="P781" s="27">
        <f>IF($A781="","",N($J781)*ValorHora)</f>
        <v>0</v>
      </c>
      <c r="Q781" s="27">
        <f>IF($A781="","",SUMIFS(ItTotal,ItOS,$A781))</f>
        <v>0</v>
      </c>
      <c r="R781" s="30">
        <f>IF($A781="","",$P781+$Q781+N($K781)-N($L781))</f>
        <v>0</v>
      </c>
      <c r="S781" s="27">
        <f>IF($A781="","",SUMIFS(ItCusto,ItOS,$A781))</f>
        <v>0</v>
      </c>
      <c r="T781" s="27">
        <f>IF($A781="","",$P781*ComMec)</f>
        <v>0</v>
      </c>
      <c r="U781" s="21">
        <f>IF($A781="","",$R781-$S781-$T781-N($K781))</f>
        <v>0</v>
      </c>
      <c r="V781" s="31">
        <f>IF(OR($A781="",N($R781)&lt;=0),"",$U781/$R781)</f>
        <v>0</v>
      </c>
      <c r="W781" s="27">
        <f>IF($A781="","",IF(OR($I781="Finalizado",$I781="Entregue"),MAX(0,$R781-N($O781)),0))</f>
        <v>0</v>
      </c>
      <c r="X781" s="32">
        <f>IF(OR($A781="",$B781=""),"",IF(OR($I781="Entregue",$I781="Cancelada"),"",Hoje-$B781))</f>
        <v>0</v>
      </c>
      <c r="Y781" s="24">
        <f>IF($A781="","",IF(AND(OR($I781="Aprovado",$I781="Em execução",$I781="Aguardando peça"),N($X781)&gt;PrazoMax),"ATRASADA",IF(AND(OR($I781="Finalizado",$I781="Entregue"),$W781&gt;0.005),"Cobrar",IF($I781="Orçamento","Aguardando aprovação",""))))</f>
        <v>0</v>
      </c>
      <c r="Z781" s="33">
        <f>IF(AND($I781="Entregue",$M781&lt;&gt;""),DATE(YEAR($M781),MONTH($M781),1),"")</f>
        <v>0</v>
      </c>
      <c r="AA781" s="34">
        <f>IF(AND($C781&lt;&gt;"",$C781=HistPlaca),COUNTIF($C$5:$C781,HistPlaca),"")</f>
        <v>0</v>
      </c>
    </row>
    <row r="782" spans="1:27">
      <c r="A782" s="17"/>
      <c r="B782" s="25"/>
      <c r="C782" s="13"/>
      <c r="D782" s="26">
        <f>IF($C782="","",IFERROR(INDEX(VeicCli,MATCH($C782,VeicPlaca,0)),"Placa não cadastrada"))</f>
        <v>0</v>
      </c>
      <c r="E782" s="26">
        <f>IF($C782="","",IFERROR(INDEX(VeicModelo,MATCH($C782,VeicPlaca,0)),""))</f>
        <v>0</v>
      </c>
      <c r="F782" s="28"/>
      <c r="G782" s="13"/>
      <c r="H782" s="13"/>
      <c r="I782" s="13"/>
      <c r="J782" s="29"/>
      <c r="K782" s="19"/>
      <c r="L782" s="19"/>
      <c r="M782" s="25"/>
      <c r="N782" s="13"/>
      <c r="O782" s="19"/>
      <c r="P782" s="27">
        <f>IF($A782="","",N($J782)*ValorHora)</f>
        <v>0</v>
      </c>
      <c r="Q782" s="27">
        <f>IF($A782="","",SUMIFS(ItTotal,ItOS,$A782))</f>
        <v>0</v>
      </c>
      <c r="R782" s="30">
        <f>IF($A782="","",$P782+$Q782+N($K782)-N($L782))</f>
        <v>0</v>
      </c>
      <c r="S782" s="27">
        <f>IF($A782="","",SUMIFS(ItCusto,ItOS,$A782))</f>
        <v>0</v>
      </c>
      <c r="T782" s="27">
        <f>IF($A782="","",$P782*ComMec)</f>
        <v>0</v>
      </c>
      <c r="U782" s="21">
        <f>IF($A782="","",$R782-$S782-$T782-N($K782))</f>
        <v>0</v>
      </c>
      <c r="V782" s="31">
        <f>IF(OR($A782="",N($R782)&lt;=0),"",$U782/$R782)</f>
        <v>0</v>
      </c>
      <c r="W782" s="27">
        <f>IF($A782="","",IF(OR($I782="Finalizado",$I782="Entregue"),MAX(0,$R782-N($O782)),0))</f>
        <v>0</v>
      </c>
      <c r="X782" s="32">
        <f>IF(OR($A782="",$B782=""),"",IF(OR($I782="Entregue",$I782="Cancelada"),"",Hoje-$B782))</f>
        <v>0</v>
      </c>
      <c r="Y782" s="24">
        <f>IF($A782="","",IF(AND(OR($I782="Aprovado",$I782="Em execução",$I782="Aguardando peça"),N($X782)&gt;PrazoMax),"ATRASADA",IF(AND(OR($I782="Finalizado",$I782="Entregue"),$W782&gt;0.005),"Cobrar",IF($I782="Orçamento","Aguardando aprovação",""))))</f>
        <v>0</v>
      </c>
      <c r="Z782" s="33">
        <f>IF(AND($I782="Entregue",$M782&lt;&gt;""),DATE(YEAR($M782),MONTH($M782),1),"")</f>
        <v>0</v>
      </c>
      <c r="AA782" s="34">
        <f>IF(AND($C782&lt;&gt;"",$C782=HistPlaca),COUNTIF($C$5:$C782,HistPlaca),"")</f>
        <v>0</v>
      </c>
    </row>
    <row r="783" spans="1:27">
      <c r="A783" s="17"/>
      <c r="B783" s="25"/>
      <c r="C783" s="13"/>
      <c r="D783" s="26">
        <f>IF($C783="","",IFERROR(INDEX(VeicCli,MATCH($C783,VeicPlaca,0)),"Placa não cadastrada"))</f>
        <v>0</v>
      </c>
      <c r="E783" s="26">
        <f>IF($C783="","",IFERROR(INDEX(VeicModelo,MATCH($C783,VeicPlaca,0)),""))</f>
        <v>0</v>
      </c>
      <c r="F783" s="28"/>
      <c r="G783" s="13"/>
      <c r="H783" s="13"/>
      <c r="I783" s="13"/>
      <c r="J783" s="29"/>
      <c r="K783" s="19"/>
      <c r="L783" s="19"/>
      <c r="M783" s="25"/>
      <c r="N783" s="13"/>
      <c r="O783" s="19"/>
      <c r="P783" s="27">
        <f>IF($A783="","",N($J783)*ValorHora)</f>
        <v>0</v>
      </c>
      <c r="Q783" s="27">
        <f>IF($A783="","",SUMIFS(ItTotal,ItOS,$A783))</f>
        <v>0</v>
      </c>
      <c r="R783" s="30">
        <f>IF($A783="","",$P783+$Q783+N($K783)-N($L783))</f>
        <v>0</v>
      </c>
      <c r="S783" s="27">
        <f>IF($A783="","",SUMIFS(ItCusto,ItOS,$A783))</f>
        <v>0</v>
      </c>
      <c r="T783" s="27">
        <f>IF($A783="","",$P783*ComMec)</f>
        <v>0</v>
      </c>
      <c r="U783" s="21">
        <f>IF($A783="","",$R783-$S783-$T783-N($K783))</f>
        <v>0</v>
      </c>
      <c r="V783" s="31">
        <f>IF(OR($A783="",N($R783)&lt;=0),"",$U783/$R783)</f>
        <v>0</v>
      </c>
      <c r="W783" s="27">
        <f>IF($A783="","",IF(OR($I783="Finalizado",$I783="Entregue"),MAX(0,$R783-N($O783)),0))</f>
        <v>0</v>
      </c>
      <c r="X783" s="32">
        <f>IF(OR($A783="",$B783=""),"",IF(OR($I783="Entregue",$I783="Cancelada"),"",Hoje-$B783))</f>
        <v>0</v>
      </c>
      <c r="Y783" s="24">
        <f>IF($A783="","",IF(AND(OR($I783="Aprovado",$I783="Em execução",$I783="Aguardando peça"),N($X783)&gt;PrazoMax),"ATRASADA",IF(AND(OR($I783="Finalizado",$I783="Entregue"),$W783&gt;0.005),"Cobrar",IF($I783="Orçamento","Aguardando aprovação",""))))</f>
        <v>0</v>
      </c>
      <c r="Z783" s="33">
        <f>IF(AND($I783="Entregue",$M783&lt;&gt;""),DATE(YEAR($M783),MONTH($M783),1),"")</f>
        <v>0</v>
      </c>
      <c r="AA783" s="34">
        <f>IF(AND($C783&lt;&gt;"",$C783=HistPlaca),COUNTIF($C$5:$C783,HistPlaca),"")</f>
        <v>0</v>
      </c>
    </row>
    <row r="784" spans="1:27">
      <c r="A784" s="17"/>
      <c r="B784" s="25"/>
      <c r="C784" s="13"/>
      <c r="D784" s="26">
        <f>IF($C784="","",IFERROR(INDEX(VeicCli,MATCH($C784,VeicPlaca,0)),"Placa não cadastrada"))</f>
        <v>0</v>
      </c>
      <c r="E784" s="26">
        <f>IF($C784="","",IFERROR(INDEX(VeicModelo,MATCH($C784,VeicPlaca,0)),""))</f>
        <v>0</v>
      </c>
      <c r="F784" s="28"/>
      <c r="G784" s="13"/>
      <c r="H784" s="13"/>
      <c r="I784" s="13"/>
      <c r="J784" s="29"/>
      <c r="K784" s="19"/>
      <c r="L784" s="19"/>
      <c r="M784" s="25"/>
      <c r="N784" s="13"/>
      <c r="O784" s="19"/>
      <c r="P784" s="27">
        <f>IF($A784="","",N($J784)*ValorHora)</f>
        <v>0</v>
      </c>
      <c r="Q784" s="27">
        <f>IF($A784="","",SUMIFS(ItTotal,ItOS,$A784))</f>
        <v>0</v>
      </c>
      <c r="R784" s="30">
        <f>IF($A784="","",$P784+$Q784+N($K784)-N($L784))</f>
        <v>0</v>
      </c>
      <c r="S784" s="27">
        <f>IF($A784="","",SUMIFS(ItCusto,ItOS,$A784))</f>
        <v>0</v>
      </c>
      <c r="T784" s="27">
        <f>IF($A784="","",$P784*ComMec)</f>
        <v>0</v>
      </c>
      <c r="U784" s="21">
        <f>IF($A784="","",$R784-$S784-$T784-N($K784))</f>
        <v>0</v>
      </c>
      <c r="V784" s="31">
        <f>IF(OR($A784="",N($R784)&lt;=0),"",$U784/$R784)</f>
        <v>0</v>
      </c>
      <c r="W784" s="27">
        <f>IF($A784="","",IF(OR($I784="Finalizado",$I784="Entregue"),MAX(0,$R784-N($O784)),0))</f>
        <v>0</v>
      </c>
      <c r="X784" s="32">
        <f>IF(OR($A784="",$B784=""),"",IF(OR($I784="Entregue",$I784="Cancelada"),"",Hoje-$B784))</f>
        <v>0</v>
      </c>
      <c r="Y784" s="24">
        <f>IF($A784="","",IF(AND(OR($I784="Aprovado",$I784="Em execução",$I784="Aguardando peça"),N($X784)&gt;PrazoMax),"ATRASADA",IF(AND(OR($I784="Finalizado",$I784="Entregue"),$W784&gt;0.005),"Cobrar",IF($I784="Orçamento","Aguardando aprovação",""))))</f>
        <v>0</v>
      </c>
      <c r="Z784" s="33">
        <f>IF(AND($I784="Entregue",$M784&lt;&gt;""),DATE(YEAR($M784),MONTH($M784),1),"")</f>
        <v>0</v>
      </c>
      <c r="AA784" s="34">
        <f>IF(AND($C784&lt;&gt;"",$C784=HistPlaca),COUNTIF($C$5:$C784,HistPlaca),"")</f>
        <v>0</v>
      </c>
    </row>
    <row r="785" spans="1:27">
      <c r="A785" s="17"/>
      <c r="B785" s="25"/>
      <c r="C785" s="13"/>
      <c r="D785" s="26">
        <f>IF($C785="","",IFERROR(INDEX(VeicCli,MATCH($C785,VeicPlaca,0)),"Placa não cadastrada"))</f>
        <v>0</v>
      </c>
      <c r="E785" s="26">
        <f>IF($C785="","",IFERROR(INDEX(VeicModelo,MATCH($C785,VeicPlaca,0)),""))</f>
        <v>0</v>
      </c>
      <c r="F785" s="28"/>
      <c r="G785" s="13"/>
      <c r="H785" s="13"/>
      <c r="I785" s="13"/>
      <c r="J785" s="29"/>
      <c r="K785" s="19"/>
      <c r="L785" s="19"/>
      <c r="M785" s="25"/>
      <c r="N785" s="13"/>
      <c r="O785" s="19"/>
      <c r="P785" s="27">
        <f>IF($A785="","",N($J785)*ValorHora)</f>
        <v>0</v>
      </c>
      <c r="Q785" s="27">
        <f>IF($A785="","",SUMIFS(ItTotal,ItOS,$A785))</f>
        <v>0</v>
      </c>
      <c r="R785" s="30">
        <f>IF($A785="","",$P785+$Q785+N($K785)-N($L785))</f>
        <v>0</v>
      </c>
      <c r="S785" s="27">
        <f>IF($A785="","",SUMIFS(ItCusto,ItOS,$A785))</f>
        <v>0</v>
      </c>
      <c r="T785" s="27">
        <f>IF($A785="","",$P785*ComMec)</f>
        <v>0</v>
      </c>
      <c r="U785" s="21">
        <f>IF($A785="","",$R785-$S785-$T785-N($K785))</f>
        <v>0</v>
      </c>
      <c r="V785" s="31">
        <f>IF(OR($A785="",N($R785)&lt;=0),"",$U785/$R785)</f>
        <v>0</v>
      </c>
      <c r="W785" s="27">
        <f>IF($A785="","",IF(OR($I785="Finalizado",$I785="Entregue"),MAX(0,$R785-N($O785)),0))</f>
        <v>0</v>
      </c>
      <c r="X785" s="32">
        <f>IF(OR($A785="",$B785=""),"",IF(OR($I785="Entregue",$I785="Cancelada"),"",Hoje-$B785))</f>
        <v>0</v>
      </c>
      <c r="Y785" s="24">
        <f>IF($A785="","",IF(AND(OR($I785="Aprovado",$I785="Em execução",$I785="Aguardando peça"),N($X785)&gt;PrazoMax),"ATRASADA",IF(AND(OR($I785="Finalizado",$I785="Entregue"),$W785&gt;0.005),"Cobrar",IF($I785="Orçamento","Aguardando aprovação",""))))</f>
        <v>0</v>
      </c>
      <c r="Z785" s="33">
        <f>IF(AND($I785="Entregue",$M785&lt;&gt;""),DATE(YEAR($M785),MONTH($M785),1),"")</f>
        <v>0</v>
      </c>
      <c r="AA785" s="34">
        <f>IF(AND($C785&lt;&gt;"",$C785=HistPlaca),COUNTIF($C$5:$C785,HistPlaca),"")</f>
        <v>0</v>
      </c>
    </row>
    <row r="786" spans="1:27">
      <c r="A786" s="17"/>
      <c r="B786" s="25"/>
      <c r="C786" s="13"/>
      <c r="D786" s="26">
        <f>IF($C786="","",IFERROR(INDEX(VeicCli,MATCH($C786,VeicPlaca,0)),"Placa não cadastrada"))</f>
        <v>0</v>
      </c>
      <c r="E786" s="26">
        <f>IF($C786="","",IFERROR(INDEX(VeicModelo,MATCH($C786,VeicPlaca,0)),""))</f>
        <v>0</v>
      </c>
      <c r="F786" s="28"/>
      <c r="G786" s="13"/>
      <c r="H786" s="13"/>
      <c r="I786" s="13"/>
      <c r="J786" s="29"/>
      <c r="K786" s="19"/>
      <c r="L786" s="19"/>
      <c r="M786" s="25"/>
      <c r="N786" s="13"/>
      <c r="O786" s="19"/>
      <c r="P786" s="27">
        <f>IF($A786="","",N($J786)*ValorHora)</f>
        <v>0</v>
      </c>
      <c r="Q786" s="27">
        <f>IF($A786="","",SUMIFS(ItTotal,ItOS,$A786))</f>
        <v>0</v>
      </c>
      <c r="R786" s="30">
        <f>IF($A786="","",$P786+$Q786+N($K786)-N($L786))</f>
        <v>0</v>
      </c>
      <c r="S786" s="27">
        <f>IF($A786="","",SUMIFS(ItCusto,ItOS,$A786))</f>
        <v>0</v>
      </c>
      <c r="T786" s="27">
        <f>IF($A786="","",$P786*ComMec)</f>
        <v>0</v>
      </c>
      <c r="U786" s="21">
        <f>IF($A786="","",$R786-$S786-$T786-N($K786))</f>
        <v>0</v>
      </c>
      <c r="V786" s="31">
        <f>IF(OR($A786="",N($R786)&lt;=0),"",$U786/$R786)</f>
        <v>0</v>
      </c>
      <c r="W786" s="27">
        <f>IF($A786="","",IF(OR($I786="Finalizado",$I786="Entregue"),MAX(0,$R786-N($O786)),0))</f>
        <v>0</v>
      </c>
      <c r="X786" s="32">
        <f>IF(OR($A786="",$B786=""),"",IF(OR($I786="Entregue",$I786="Cancelada"),"",Hoje-$B786))</f>
        <v>0</v>
      </c>
      <c r="Y786" s="24">
        <f>IF($A786="","",IF(AND(OR($I786="Aprovado",$I786="Em execução",$I786="Aguardando peça"),N($X786)&gt;PrazoMax),"ATRASADA",IF(AND(OR($I786="Finalizado",$I786="Entregue"),$W786&gt;0.005),"Cobrar",IF($I786="Orçamento","Aguardando aprovação",""))))</f>
        <v>0</v>
      </c>
      <c r="Z786" s="33">
        <f>IF(AND($I786="Entregue",$M786&lt;&gt;""),DATE(YEAR($M786),MONTH($M786),1),"")</f>
        <v>0</v>
      </c>
      <c r="AA786" s="34">
        <f>IF(AND($C786&lt;&gt;"",$C786=HistPlaca),COUNTIF($C$5:$C786,HistPlaca),"")</f>
        <v>0</v>
      </c>
    </row>
    <row r="787" spans="1:27">
      <c r="A787" s="17"/>
      <c r="B787" s="25"/>
      <c r="C787" s="13"/>
      <c r="D787" s="26">
        <f>IF($C787="","",IFERROR(INDEX(VeicCli,MATCH($C787,VeicPlaca,0)),"Placa não cadastrada"))</f>
        <v>0</v>
      </c>
      <c r="E787" s="26">
        <f>IF($C787="","",IFERROR(INDEX(VeicModelo,MATCH($C787,VeicPlaca,0)),""))</f>
        <v>0</v>
      </c>
      <c r="F787" s="28"/>
      <c r="G787" s="13"/>
      <c r="H787" s="13"/>
      <c r="I787" s="13"/>
      <c r="J787" s="29"/>
      <c r="K787" s="19"/>
      <c r="L787" s="19"/>
      <c r="M787" s="25"/>
      <c r="N787" s="13"/>
      <c r="O787" s="19"/>
      <c r="P787" s="27">
        <f>IF($A787="","",N($J787)*ValorHora)</f>
        <v>0</v>
      </c>
      <c r="Q787" s="27">
        <f>IF($A787="","",SUMIFS(ItTotal,ItOS,$A787))</f>
        <v>0</v>
      </c>
      <c r="R787" s="30">
        <f>IF($A787="","",$P787+$Q787+N($K787)-N($L787))</f>
        <v>0</v>
      </c>
      <c r="S787" s="27">
        <f>IF($A787="","",SUMIFS(ItCusto,ItOS,$A787))</f>
        <v>0</v>
      </c>
      <c r="T787" s="27">
        <f>IF($A787="","",$P787*ComMec)</f>
        <v>0</v>
      </c>
      <c r="U787" s="21">
        <f>IF($A787="","",$R787-$S787-$T787-N($K787))</f>
        <v>0</v>
      </c>
      <c r="V787" s="31">
        <f>IF(OR($A787="",N($R787)&lt;=0),"",$U787/$R787)</f>
        <v>0</v>
      </c>
      <c r="W787" s="27">
        <f>IF($A787="","",IF(OR($I787="Finalizado",$I787="Entregue"),MAX(0,$R787-N($O787)),0))</f>
        <v>0</v>
      </c>
      <c r="X787" s="32">
        <f>IF(OR($A787="",$B787=""),"",IF(OR($I787="Entregue",$I787="Cancelada"),"",Hoje-$B787))</f>
        <v>0</v>
      </c>
      <c r="Y787" s="24">
        <f>IF($A787="","",IF(AND(OR($I787="Aprovado",$I787="Em execução",$I787="Aguardando peça"),N($X787)&gt;PrazoMax),"ATRASADA",IF(AND(OR($I787="Finalizado",$I787="Entregue"),$W787&gt;0.005),"Cobrar",IF($I787="Orçamento","Aguardando aprovação",""))))</f>
        <v>0</v>
      </c>
      <c r="Z787" s="33">
        <f>IF(AND($I787="Entregue",$M787&lt;&gt;""),DATE(YEAR($M787),MONTH($M787),1),"")</f>
        <v>0</v>
      </c>
      <c r="AA787" s="34">
        <f>IF(AND($C787&lt;&gt;"",$C787=HistPlaca),COUNTIF($C$5:$C787,HistPlaca),"")</f>
        <v>0</v>
      </c>
    </row>
    <row r="788" spans="1:27">
      <c r="A788" s="17"/>
      <c r="B788" s="25"/>
      <c r="C788" s="13"/>
      <c r="D788" s="26">
        <f>IF($C788="","",IFERROR(INDEX(VeicCli,MATCH($C788,VeicPlaca,0)),"Placa não cadastrada"))</f>
        <v>0</v>
      </c>
      <c r="E788" s="26">
        <f>IF($C788="","",IFERROR(INDEX(VeicModelo,MATCH($C788,VeicPlaca,0)),""))</f>
        <v>0</v>
      </c>
      <c r="F788" s="28"/>
      <c r="G788" s="13"/>
      <c r="H788" s="13"/>
      <c r="I788" s="13"/>
      <c r="J788" s="29"/>
      <c r="K788" s="19"/>
      <c r="L788" s="19"/>
      <c r="M788" s="25"/>
      <c r="N788" s="13"/>
      <c r="O788" s="19"/>
      <c r="P788" s="27">
        <f>IF($A788="","",N($J788)*ValorHora)</f>
        <v>0</v>
      </c>
      <c r="Q788" s="27">
        <f>IF($A788="","",SUMIFS(ItTotal,ItOS,$A788))</f>
        <v>0</v>
      </c>
      <c r="R788" s="30">
        <f>IF($A788="","",$P788+$Q788+N($K788)-N($L788))</f>
        <v>0</v>
      </c>
      <c r="S788" s="27">
        <f>IF($A788="","",SUMIFS(ItCusto,ItOS,$A788))</f>
        <v>0</v>
      </c>
      <c r="T788" s="27">
        <f>IF($A788="","",$P788*ComMec)</f>
        <v>0</v>
      </c>
      <c r="U788" s="21">
        <f>IF($A788="","",$R788-$S788-$T788-N($K788))</f>
        <v>0</v>
      </c>
      <c r="V788" s="31">
        <f>IF(OR($A788="",N($R788)&lt;=0),"",$U788/$R788)</f>
        <v>0</v>
      </c>
      <c r="W788" s="27">
        <f>IF($A788="","",IF(OR($I788="Finalizado",$I788="Entregue"),MAX(0,$R788-N($O788)),0))</f>
        <v>0</v>
      </c>
      <c r="X788" s="32">
        <f>IF(OR($A788="",$B788=""),"",IF(OR($I788="Entregue",$I788="Cancelada"),"",Hoje-$B788))</f>
        <v>0</v>
      </c>
      <c r="Y788" s="24">
        <f>IF($A788="","",IF(AND(OR($I788="Aprovado",$I788="Em execução",$I788="Aguardando peça"),N($X788)&gt;PrazoMax),"ATRASADA",IF(AND(OR($I788="Finalizado",$I788="Entregue"),$W788&gt;0.005),"Cobrar",IF($I788="Orçamento","Aguardando aprovação",""))))</f>
        <v>0</v>
      </c>
      <c r="Z788" s="33">
        <f>IF(AND($I788="Entregue",$M788&lt;&gt;""),DATE(YEAR($M788),MONTH($M788),1),"")</f>
        <v>0</v>
      </c>
      <c r="AA788" s="34">
        <f>IF(AND($C788&lt;&gt;"",$C788=HistPlaca),COUNTIF($C$5:$C788,HistPlaca),"")</f>
        <v>0</v>
      </c>
    </row>
    <row r="789" spans="1:27">
      <c r="A789" s="17"/>
      <c r="B789" s="25"/>
      <c r="C789" s="13"/>
      <c r="D789" s="26">
        <f>IF($C789="","",IFERROR(INDEX(VeicCli,MATCH($C789,VeicPlaca,0)),"Placa não cadastrada"))</f>
        <v>0</v>
      </c>
      <c r="E789" s="26">
        <f>IF($C789="","",IFERROR(INDEX(VeicModelo,MATCH($C789,VeicPlaca,0)),""))</f>
        <v>0</v>
      </c>
      <c r="F789" s="28"/>
      <c r="G789" s="13"/>
      <c r="H789" s="13"/>
      <c r="I789" s="13"/>
      <c r="J789" s="29"/>
      <c r="K789" s="19"/>
      <c r="L789" s="19"/>
      <c r="M789" s="25"/>
      <c r="N789" s="13"/>
      <c r="O789" s="19"/>
      <c r="P789" s="27">
        <f>IF($A789="","",N($J789)*ValorHora)</f>
        <v>0</v>
      </c>
      <c r="Q789" s="27">
        <f>IF($A789="","",SUMIFS(ItTotal,ItOS,$A789))</f>
        <v>0</v>
      </c>
      <c r="R789" s="30">
        <f>IF($A789="","",$P789+$Q789+N($K789)-N($L789))</f>
        <v>0</v>
      </c>
      <c r="S789" s="27">
        <f>IF($A789="","",SUMIFS(ItCusto,ItOS,$A789))</f>
        <v>0</v>
      </c>
      <c r="T789" s="27">
        <f>IF($A789="","",$P789*ComMec)</f>
        <v>0</v>
      </c>
      <c r="U789" s="21">
        <f>IF($A789="","",$R789-$S789-$T789-N($K789))</f>
        <v>0</v>
      </c>
      <c r="V789" s="31">
        <f>IF(OR($A789="",N($R789)&lt;=0),"",$U789/$R789)</f>
        <v>0</v>
      </c>
      <c r="W789" s="27">
        <f>IF($A789="","",IF(OR($I789="Finalizado",$I789="Entregue"),MAX(0,$R789-N($O789)),0))</f>
        <v>0</v>
      </c>
      <c r="X789" s="32">
        <f>IF(OR($A789="",$B789=""),"",IF(OR($I789="Entregue",$I789="Cancelada"),"",Hoje-$B789))</f>
        <v>0</v>
      </c>
      <c r="Y789" s="24">
        <f>IF($A789="","",IF(AND(OR($I789="Aprovado",$I789="Em execução",$I789="Aguardando peça"),N($X789)&gt;PrazoMax),"ATRASADA",IF(AND(OR($I789="Finalizado",$I789="Entregue"),$W789&gt;0.005),"Cobrar",IF($I789="Orçamento","Aguardando aprovação",""))))</f>
        <v>0</v>
      </c>
      <c r="Z789" s="33">
        <f>IF(AND($I789="Entregue",$M789&lt;&gt;""),DATE(YEAR($M789),MONTH($M789),1),"")</f>
        <v>0</v>
      </c>
      <c r="AA789" s="34">
        <f>IF(AND($C789&lt;&gt;"",$C789=HistPlaca),COUNTIF($C$5:$C789,HistPlaca),"")</f>
        <v>0</v>
      </c>
    </row>
    <row r="790" spans="1:27">
      <c r="A790" s="17"/>
      <c r="B790" s="25"/>
      <c r="C790" s="13"/>
      <c r="D790" s="26">
        <f>IF($C790="","",IFERROR(INDEX(VeicCli,MATCH($C790,VeicPlaca,0)),"Placa não cadastrada"))</f>
        <v>0</v>
      </c>
      <c r="E790" s="26">
        <f>IF($C790="","",IFERROR(INDEX(VeicModelo,MATCH($C790,VeicPlaca,0)),""))</f>
        <v>0</v>
      </c>
      <c r="F790" s="28"/>
      <c r="G790" s="13"/>
      <c r="H790" s="13"/>
      <c r="I790" s="13"/>
      <c r="J790" s="29"/>
      <c r="K790" s="19"/>
      <c r="L790" s="19"/>
      <c r="M790" s="25"/>
      <c r="N790" s="13"/>
      <c r="O790" s="19"/>
      <c r="P790" s="27">
        <f>IF($A790="","",N($J790)*ValorHora)</f>
        <v>0</v>
      </c>
      <c r="Q790" s="27">
        <f>IF($A790="","",SUMIFS(ItTotal,ItOS,$A790))</f>
        <v>0</v>
      </c>
      <c r="R790" s="30">
        <f>IF($A790="","",$P790+$Q790+N($K790)-N($L790))</f>
        <v>0</v>
      </c>
      <c r="S790" s="27">
        <f>IF($A790="","",SUMIFS(ItCusto,ItOS,$A790))</f>
        <v>0</v>
      </c>
      <c r="T790" s="27">
        <f>IF($A790="","",$P790*ComMec)</f>
        <v>0</v>
      </c>
      <c r="U790" s="21">
        <f>IF($A790="","",$R790-$S790-$T790-N($K790))</f>
        <v>0</v>
      </c>
      <c r="V790" s="31">
        <f>IF(OR($A790="",N($R790)&lt;=0),"",$U790/$R790)</f>
        <v>0</v>
      </c>
      <c r="W790" s="27">
        <f>IF($A790="","",IF(OR($I790="Finalizado",$I790="Entregue"),MAX(0,$R790-N($O790)),0))</f>
        <v>0</v>
      </c>
      <c r="X790" s="32">
        <f>IF(OR($A790="",$B790=""),"",IF(OR($I790="Entregue",$I790="Cancelada"),"",Hoje-$B790))</f>
        <v>0</v>
      </c>
      <c r="Y790" s="24">
        <f>IF($A790="","",IF(AND(OR($I790="Aprovado",$I790="Em execução",$I790="Aguardando peça"),N($X790)&gt;PrazoMax),"ATRASADA",IF(AND(OR($I790="Finalizado",$I790="Entregue"),$W790&gt;0.005),"Cobrar",IF($I790="Orçamento","Aguardando aprovação",""))))</f>
        <v>0</v>
      </c>
      <c r="Z790" s="33">
        <f>IF(AND($I790="Entregue",$M790&lt;&gt;""),DATE(YEAR($M790),MONTH($M790),1),"")</f>
        <v>0</v>
      </c>
      <c r="AA790" s="34">
        <f>IF(AND($C790&lt;&gt;"",$C790=HistPlaca),COUNTIF($C$5:$C790,HistPlaca),"")</f>
        <v>0</v>
      </c>
    </row>
    <row r="791" spans="1:27">
      <c r="A791" s="17"/>
      <c r="B791" s="25"/>
      <c r="C791" s="13"/>
      <c r="D791" s="26">
        <f>IF($C791="","",IFERROR(INDEX(VeicCli,MATCH($C791,VeicPlaca,0)),"Placa não cadastrada"))</f>
        <v>0</v>
      </c>
      <c r="E791" s="26">
        <f>IF($C791="","",IFERROR(INDEX(VeicModelo,MATCH($C791,VeicPlaca,0)),""))</f>
        <v>0</v>
      </c>
      <c r="F791" s="28"/>
      <c r="G791" s="13"/>
      <c r="H791" s="13"/>
      <c r="I791" s="13"/>
      <c r="J791" s="29"/>
      <c r="K791" s="19"/>
      <c r="L791" s="19"/>
      <c r="M791" s="25"/>
      <c r="N791" s="13"/>
      <c r="O791" s="19"/>
      <c r="P791" s="27">
        <f>IF($A791="","",N($J791)*ValorHora)</f>
        <v>0</v>
      </c>
      <c r="Q791" s="27">
        <f>IF($A791="","",SUMIFS(ItTotal,ItOS,$A791))</f>
        <v>0</v>
      </c>
      <c r="R791" s="30">
        <f>IF($A791="","",$P791+$Q791+N($K791)-N($L791))</f>
        <v>0</v>
      </c>
      <c r="S791" s="27">
        <f>IF($A791="","",SUMIFS(ItCusto,ItOS,$A791))</f>
        <v>0</v>
      </c>
      <c r="T791" s="27">
        <f>IF($A791="","",$P791*ComMec)</f>
        <v>0</v>
      </c>
      <c r="U791" s="21">
        <f>IF($A791="","",$R791-$S791-$T791-N($K791))</f>
        <v>0</v>
      </c>
      <c r="V791" s="31">
        <f>IF(OR($A791="",N($R791)&lt;=0),"",$U791/$R791)</f>
        <v>0</v>
      </c>
      <c r="W791" s="27">
        <f>IF($A791="","",IF(OR($I791="Finalizado",$I791="Entregue"),MAX(0,$R791-N($O791)),0))</f>
        <v>0</v>
      </c>
      <c r="X791" s="32">
        <f>IF(OR($A791="",$B791=""),"",IF(OR($I791="Entregue",$I791="Cancelada"),"",Hoje-$B791))</f>
        <v>0</v>
      </c>
      <c r="Y791" s="24">
        <f>IF($A791="","",IF(AND(OR($I791="Aprovado",$I791="Em execução",$I791="Aguardando peça"),N($X791)&gt;PrazoMax),"ATRASADA",IF(AND(OR($I791="Finalizado",$I791="Entregue"),$W791&gt;0.005),"Cobrar",IF($I791="Orçamento","Aguardando aprovação",""))))</f>
        <v>0</v>
      </c>
      <c r="Z791" s="33">
        <f>IF(AND($I791="Entregue",$M791&lt;&gt;""),DATE(YEAR($M791),MONTH($M791),1),"")</f>
        <v>0</v>
      </c>
      <c r="AA791" s="34">
        <f>IF(AND($C791&lt;&gt;"",$C791=HistPlaca),COUNTIF($C$5:$C791,HistPlaca),"")</f>
        <v>0</v>
      </c>
    </row>
    <row r="792" spans="1:27">
      <c r="A792" s="17"/>
      <c r="B792" s="25"/>
      <c r="C792" s="13"/>
      <c r="D792" s="26">
        <f>IF($C792="","",IFERROR(INDEX(VeicCli,MATCH($C792,VeicPlaca,0)),"Placa não cadastrada"))</f>
        <v>0</v>
      </c>
      <c r="E792" s="26">
        <f>IF($C792="","",IFERROR(INDEX(VeicModelo,MATCH($C792,VeicPlaca,0)),""))</f>
        <v>0</v>
      </c>
      <c r="F792" s="28"/>
      <c r="G792" s="13"/>
      <c r="H792" s="13"/>
      <c r="I792" s="13"/>
      <c r="J792" s="29"/>
      <c r="K792" s="19"/>
      <c r="L792" s="19"/>
      <c r="M792" s="25"/>
      <c r="N792" s="13"/>
      <c r="O792" s="19"/>
      <c r="P792" s="27">
        <f>IF($A792="","",N($J792)*ValorHora)</f>
        <v>0</v>
      </c>
      <c r="Q792" s="27">
        <f>IF($A792="","",SUMIFS(ItTotal,ItOS,$A792))</f>
        <v>0</v>
      </c>
      <c r="R792" s="30">
        <f>IF($A792="","",$P792+$Q792+N($K792)-N($L792))</f>
        <v>0</v>
      </c>
      <c r="S792" s="27">
        <f>IF($A792="","",SUMIFS(ItCusto,ItOS,$A792))</f>
        <v>0</v>
      </c>
      <c r="T792" s="27">
        <f>IF($A792="","",$P792*ComMec)</f>
        <v>0</v>
      </c>
      <c r="U792" s="21">
        <f>IF($A792="","",$R792-$S792-$T792-N($K792))</f>
        <v>0</v>
      </c>
      <c r="V792" s="31">
        <f>IF(OR($A792="",N($R792)&lt;=0),"",$U792/$R792)</f>
        <v>0</v>
      </c>
      <c r="W792" s="27">
        <f>IF($A792="","",IF(OR($I792="Finalizado",$I792="Entregue"),MAX(0,$R792-N($O792)),0))</f>
        <v>0</v>
      </c>
      <c r="X792" s="32">
        <f>IF(OR($A792="",$B792=""),"",IF(OR($I792="Entregue",$I792="Cancelada"),"",Hoje-$B792))</f>
        <v>0</v>
      </c>
      <c r="Y792" s="24">
        <f>IF($A792="","",IF(AND(OR($I792="Aprovado",$I792="Em execução",$I792="Aguardando peça"),N($X792)&gt;PrazoMax),"ATRASADA",IF(AND(OR($I792="Finalizado",$I792="Entregue"),$W792&gt;0.005),"Cobrar",IF($I792="Orçamento","Aguardando aprovação",""))))</f>
        <v>0</v>
      </c>
      <c r="Z792" s="33">
        <f>IF(AND($I792="Entregue",$M792&lt;&gt;""),DATE(YEAR($M792),MONTH($M792),1),"")</f>
        <v>0</v>
      </c>
      <c r="AA792" s="34">
        <f>IF(AND($C792&lt;&gt;"",$C792=HistPlaca),COUNTIF($C$5:$C792,HistPlaca),"")</f>
        <v>0</v>
      </c>
    </row>
    <row r="793" spans="1:27">
      <c r="A793" s="17"/>
      <c r="B793" s="25"/>
      <c r="C793" s="13"/>
      <c r="D793" s="26">
        <f>IF($C793="","",IFERROR(INDEX(VeicCli,MATCH($C793,VeicPlaca,0)),"Placa não cadastrada"))</f>
        <v>0</v>
      </c>
      <c r="E793" s="26">
        <f>IF($C793="","",IFERROR(INDEX(VeicModelo,MATCH($C793,VeicPlaca,0)),""))</f>
        <v>0</v>
      </c>
      <c r="F793" s="28"/>
      <c r="G793" s="13"/>
      <c r="H793" s="13"/>
      <c r="I793" s="13"/>
      <c r="J793" s="29"/>
      <c r="K793" s="19"/>
      <c r="L793" s="19"/>
      <c r="M793" s="25"/>
      <c r="N793" s="13"/>
      <c r="O793" s="19"/>
      <c r="P793" s="27">
        <f>IF($A793="","",N($J793)*ValorHora)</f>
        <v>0</v>
      </c>
      <c r="Q793" s="27">
        <f>IF($A793="","",SUMIFS(ItTotal,ItOS,$A793))</f>
        <v>0</v>
      </c>
      <c r="R793" s="30">
        <f>IF($A793="","",$P793+$Q793+N($K793)-N($L793))</f>
        <v>0</v>
      </c>
      <c r="S793" s="27">
        <f>IF($A793="","",SUMIFS(ItCusto,ItOS,$A793))</f>
        <v>0</v>
      </c>
      <c r="T793" s="27">
        <f>IF($A793="","",$P793*ComMec)</f>
        <v>0</v>
      </c>
      <c r="U793" s="21">
        <f>IF($A793="","",$R793-$S793-$T793-N($K793))</f>
        <v>0</v>
      </c>
      <c r="V793" s="31">
        <f>IF(OR($A793="",N($R793)&lt;=0),"",$U793/$R793)</f>
        <v>0</v>
      </c>
      <c r="W793" s="27">
        <f>IF($A793="","",IF(OR($I793="Finalizado",$I793="Entregue"),MAX(0,$R793-N($O793)),0))</f>
        <v>0</v>
      </c>
      <c r="X793" s="32">
        <f>IF(OR($A793="",$B793=""),"",IF(OR($I793="Entregue",$I793="Cancelada"),"",Hoje-$B793))</f>
        <v>0</v>
      </c>
      <c r="Y793" s="24">
        <f>IF($A793="","",IF(AND(OR($I793="Aprovado",$I793="Em execução",$I793="Aguardando peça"),N($X793)&gt;PrazoMax),"ATRASADA",IF(AND(OR($I793="Finalizado",$I793="Entregue"),$W793&gt;0.005),"Cobrar",IF($I793="Orçamento","Aguardando aprovação",""))))</f>
        <v>0</v>
      </c>
      <c r="Z793" s="33">
        <f>IF(AND($I793="Entregue",$M793&lt;&gt;""),DATE(YEAR($M793),MONTH($M793),1),"")</f>
        <v>0</v>
      </c>
      <c r="AA793" s="34">
        <f>IF(AND($C793&lt;&gt;"",$C793=HistPlaca),COUNTIF($C$5:$C793,HistPlaca),"")</f>
        <v>0</v>
      </c>
    </row>
    <row r="794" spans="1:27">
      <c r="A794" s="17"/>
      <c r="B794" s="25"/>
      <c r="C794" s="13"/>
      <c r="D794" s="26">
        <f>IF($C794="","",IFERROR(INDEX(VeicCli,MATCH($C794,VeicPlaca,0)),"Placa não cadastrada"))</f>
        <v>0</v>
      </c>
      <c r="E794" s="26">
        <f>IF($C794="","",IFERROR(INDEX(VeicModelo,MATCH($C794,VeicPlaca,0)),""))</f>
        <v>0</v>
      </c>
      <c r="F794" s="28"/>
      <c r="G794" s="13"/>
      <c r="H794" s="13"/>
      <c r="I794" s="13"/>
      <c r="J794" s="29"/>
      <c r="K794" s="19"/>
      <c r="L794" s="19"/>
      <c r="M794" s="25"/>
      <c r="N794" s="13"/>
      <c r="O794" s="19"/>
      <c r="P794" s="27">
        <f>IF($A794="","",N($J794)*ValorHora)</f>
        <v>0</v>
      </c>
      <c r="Q794" s="27">
        <f>IF($A794="","",SUMIFS(ItTotal,ItOS,$A794))</f>
        <v>0</v>
      </c>
      <c r="R794" s="30">
        <f>IF($A794="","",$P794+$Q794+N($K794)-N($L794))</f>
        <v>0</v>
      </c>
      <c r="S794" s="27">
        <f>IF($A794="","",SUMIFS(ItCusto,ItOS,$A794))</f>
        <v>0</v>
      </c>
      <c r="T794" s="27">
        <f>IF($A794="","",$P794*ComMec)</f>
        <v>0</v>
      </c>
      <c r="U794" s="21">
        <f>IF($A794="","",$R794-$S794-$T794-N($K794))</f>
        <v>0</v>
      </c>
      <c r="V794" s="31">
        <f>IF(OR($A794="",N($R794)&lt;=0),"",$U794/$R794)</f>
        <v>0</v>
      </c>
      <c r="W794" s="27">
        <f>IF($A794="","",IF(OR($I794="Finalizado",$I794="Entregue"),MAX(0,$R794-N($O794)),0))</f>
        <v>0</v>
      </c>
      <c r="X794" s="32">
        <f>IF(OR($A794="",$B794=""),"",IF(OR($I794="Entregue",$I794="Cancelada"),"",Hoje-$B794))</f>
        <v>0</v>
      </c>
      <c r="Y794" s="24">
        <f>IF($A794="","",IF(AND(OR($I794="Aprovado",$I794="Em execução",$I794="Aguardando peça"),N($X794)&gt;PrazoMax),"ATRASADA",IF(AND(OR($I794="Finalizado",$I794="Entregue"),$W794&gt;0.005),"Cobrar",IF($I794="Orçamento","Aguardando aprovação",""))))</f>
        <v>0</v>
      </c>
      <c r="Z794" s="33">
        <f>IF(AND($I794="Entregue",$M794&lt;&gt;""),DATE(YEAR($M794),MONTH($M794),1),"")</f>
        <v>0</v>
      </c>
      <c r="AA794" s="34">
        <f>IF(AND($C794&lt;&gt;"",$C794=HistPlaca),COUNTIF($C$5:$C794,HistPlaca),"")</f>
        <v>0</v>
      </c>
    </row>
    <row r="795" spans="1:27">
      <c r="A795" s="17"/>
      <c r="B795" s="25"/>
      <c r="C795" s="13"/>
      <c r="D795" s="26">
        <f>IF($C795="","",IFERROR(INDEX(VeicCli,MATCH($C795,VeicPlaca,0)),"Placa não cadastrada"))</f>
        <v>0</v>
      </c>
      <c r="E795" s="26">
        <f>IF($C795="","",IFERROR(INDEX(VeicModelo,MATCH($C795,VeicPlaca,0)),""))</f>
        <v>0</v>
      </c>
      <c r="F795" s="28"/>
      <c r="G795" s="13"/>
      <c r="H795" s="13"/>
      <c r="I795" s="13"/>
      <c r="J795" s="29"/>
      <c r="K795" s="19"/>
      <c r="L795" s="19"/>
      <c r="M795" s="25"/>
      <c r="N795" s="13"/>
      <c r="O795" s="19"/>
      <c r="P795" s="27">
        <f>IF($A795="","",N($J795)*ValorHora)</f>
        <v>0</v>
      </c>
      <c r="Q795" s="27">
        <f>IF($A795="","",SUMIFS(ItTotal,ItOS,$A795))</f>
        <v>0</v>
      </c>
      <c r="R795" s="30">
        <f>IF($A795="","",$P795+$Q795+N($K795)-N($L795))</f>
        <v>0</v>
      </c>
      <c r="S795" s="27">
        <f>IF($A795="","",SUMIFS(ItCusto,ItOS,$A795))</f>
        <v>0</v>
      </c>
      <c r="T795" s="27">
        <f>IF($A795="","",$P795*ComMec)</f>
        <v>0</v>
      </c>
      <c r="U795" s="21">
        <f>IF($A795="","",$R795-$S795-$T795-N($K795))</f>
        <v>0</v>
      </c>
      <c r="V795" s="31">
        <f>IF(OR($A795="",N($R795)&lt;=0),"",$U795/$R795)</f>
        <v>0</v>
      </c>
      <c r="W795" s="27">
        <f>IF($A795="","",IF(OR($I795="Finalizado",$I795="Entregue"),MAX(0,$R795-N($O795)),0))</f>
        <v>0</v>
      </c>
      <c r="X795" s="32">
        <f>IF(OR($A795="",$B795=""),"",IF(OR($I795="Entregue",$I795="Cancelada"),"",Hoje-$B795))</f>
        <v>0</v>
      </c>
      <c r="Y795" s="24">
        <f>IF($A795="","",IF(AND(OR($I795="Aprovado",$I795="Em execução",$I795="Aguardando peça"),N($X795)&gt;PrazoMax),"ATRASADA",IF(AND(OR($I795="Finalizado",$I795="Entregue"),$W795&gt;0.005),"Cobrar",IF($I795="Orçamento","Aguardando aprovação",""))))</f>
        <v>0</v>
      </c>
      <c r="Z795" s="33">
        <f>IF(AND($I795="Entregue",$M795&lt;&gt;""),DATE(YEAR($M795),MONTH($M795),1),"")</f>
        <v>0</v>
      </c>
      <c r="AA795" s="34">
        <f>IF(AND($C795&lt;&gt;"",$C795=HistPlaca),COUNTIF($C$5:$C795,HistPlaca),"")</f>
        <v>0</v>
      </c>
    </row>
    <row r="796" spans="1:27">
      <c r="A796" s="17"/>
      <c r="B796" s="25"/>
      <c r="C796" s="13"/>
      <c r="D796" s="26">
        <f>IF($C796="","",IFERROR(INDEX(VeicCli,MATCH($C796,VeicPlaca,0)),"Placa não cadastrada"))</f>
        <v>0</v>
      </c>
      <c r="E796" s="26">
        <f>IF($C796="","",IFERROR(INDEX(VeicModelo,MATCH($C796,VeicPlaca,0)),""))</f>
        <v>0</v>
      </c>
      <c r="F796" s="28"/>
      <c r="G796" s="13"/>
      <c r="H796" s="13"/>
      <c r="I796" s="13"/>
      <c r="J796" s="29"/>
      <c r="K796" s="19"/>
      <c r="L796" s="19"/>
      <c r="M796" s="25"/>
      <c r="N796" s="13"/>
      <c r="O796" s="19"/>
      <c r="P796" s="27">
        <f>IF($A796="","",N($J796)*ValorHora)</f>
        <v>0</v>
      </c>
      <c r="Q796" s="27">
        <f>IF($A796="","",SUMIFS(ItTotal,ItOS,$A796))</f>
        <v>0</v>
      </c>
      <c r="R796" s="30">
        <f>IF($A796="","",$P796+$Q796+N($K796)-N($L796))</f>
        <v>0</v>
      </c>
      <c r="S796" s="27">
        <f>IF($A796="","",SUMIFS(ItCusto,ItOS,$A796))</f>
        <v>0</v>
      </c>
      <c r="T796" s="27">
        <f>IF($A796="","",$P796*ComMec)</f>
        <v>0</v>
      </c>
      <c r="U796" s="21">
        <f>IF($A796="","",$R796-$S796-$T796-N($K796))</f>
        <v>0</v>
      </c>
      <c r="V796" s="31">
        <f>IF(OR($A796="",N($R796)&lt;=0),"",$U796/$R796)</f>
        <v>0</v>
      </c>
      <c r="W796" s="27">
        <f>IF($A796="","",IF(OR($I796="Finalizado",$I796="Entregue"),MAX(0,$R796-N($O796)),0))</f>
        <v>0</v>
      </c>
      <c r="X796" s="32">
        <f>IF(OR($A796="",$B796=""),"",IF(OR($I796="Entregue",$I796="Cancelada"),"",Hoje-$B796))</f>
        <v>0</v>
      </c>
      <c r="Y796" s="24">
        <f>IF($A796="","",IF(AND(OR($I796="Aprovado",$I796="Em execução",$I796="Aguardando peça"),N($X796)&gt;PrazoMax),"ATRASADA",IF(AND(OR($I796="Finalizado",$I796="Entregue"),$W796&gt;0.005),"Cobrar",IF($I796="Orçamento","Aguardando aprovação",""))))</f>
        <v>0</v>
      </c>
      <c r="Z796" s="33">
        <f>IF(AND($I796="Entregue",$M796&lt;&gt;""),DATE(YEAR($M796),MONTH($M796),1),"")</f>
        <v>0</v>
      </c>
      <c r="AA796" s="34">
        <f>IF(AND($C796&lt;&gt;"",$C796=HistPlaca),COUNTIF($C$5:$C796,HistPlaca),"")</f>
        <v>0</v>
      </c>
    </row>
    <row r="797" spans="1:27">
      <c r="A797" s="17"/>
      <c r="B797" s="25"/>
      <c r="C797" s="13"/>
      <c r="D797" s="26">
        <f>IF($C797="","",IFERROR(INDEX(VeicCli,MATCH($C797,VeicPlaca,0)),"Placa não cadastrada"))</f>
        <v>0</v>
      </c>
      <c r="E797" s="26">
        <f>IF($C797="","",IFERROR(INDEX(VeicModelo,MATCH($C797,VeicPlaca,0)),""))</f>
        <v>0</v>
      </c>
      <c r="F797" s="28"/>
      <c r="G797" s="13"/>
      <c r="H797" s="13"/>
      <c r="I797" s="13"/>
      <c r="J797" s="29"/>
      <c r="K797" s="19"/>
      <c r="L797" s="19"/>
      <c r="M797" s="25"/>
      <c r="N797" s="13"/>
      <c r="O797" s="19"/>
      <c r="P797" s="27">
        <f>IF($A797="","",N($J797)*ValorHora)</f>
        <v>0</v>
      </c>
      <c r="Q797" s="27">
        <f>IF($A797="","",SUMIFS(ItTotal,ItOS,$A797))</f>
        <v>0</v>
      </c>
      <c r="R797" s="30">
        <f>IF($A797="","",$P797+$Q797+N($K797)-N($L797))</f>
        <v>0</v>
      </c>
      <c r="S797" s="27">
        <f>IF($A797="","",SUMIFS(ItCusto,ItOS,$A797))</f>
        <v>0</v>
      </c>
      <c r="T797" s="27">
        <f>IF($A797="","",$P797*ComMec)</f>
        <v>0</v>
      </c>
      <c r="U797" s="21">
        <f>IF($A797="","",$R797-$S797-$T797-N($K797))</f>
        <v>0</v>
      </c>
      <c r="V797" s="31">
        <f>IF(OR($A797="",N($R797)&lt;=0),"",$U797/$R797)</f>
        <v>0</v>
      </c>
      <c r="W797" s="27">
        <f>IF($A797="","",IF(OR($I797="Finalizado",$I797="Entregue"),MAX(0,$R797-N($O797)),0))</f>
        <v>0</v>
      </c>
      <c r="X797" s="32">
        <f>IF(OR($A797="",$B797=""),"",IF(OR($I797="Entregue",$I797="Cancelada"),"",Hoje-$B797))</f>
        <v>0</v>
      </c>
      <c r="Y797" s="24">
        <f>IF($A797="","",IF(AND(OR($I797="Aprovado",$I797="Em execução",$I797="Aguardando peça"),N($X797)&gt;PrazoMax),"ATRASADA",IF(AND(OR($I797="Finalizado",$I797="Entregue"),$W797&gt;0.005),"Cobrar",IF($I797="Orçamento","Aguardando aprovação",""))))</f>
        <v>0</v>
      </c>
      <c r="Z797" s="33">
        <f>IF(AND($I797="Entregue",$M797&lt;&gt;""),DATE(YEAR($M797),MONTH($M797),1),"")</f>
        <v>0</v>
      </c>
      <c r="AA797" s="34">
        <f>IF(AND($C797&lt;&gt;"",$C797=HistPlaca),COUNTIF($C$5:$C797,HistPlaca),"")</f>
        <v>0</v>
      </c>
    </row>
    <row r="798" spans="1:27">
      <c r="A798" s="17"/>
      <c r="B798" s="25"/>
      <c r="C798" s="13"/>
      <c r="D798" s="26">
        <f>IF($C798="","",IFERROR(INDEX(VeicCli,MATCH($C798,VeicPlaca,0)),"Placa não cadastrada"))</f>
        <v>0</v>
      </c>
      <c r="E798" s="26">
        <f>IF($C798="","",IFERROR(INDEX(VeicModelo,MATCH($C798,VeicPlaca,0)),""))</f>
        <v>0</v>
      </c>
      <c r="F798" s="28"/>
      <c r="G798" s="13"/>
      <c r="H798" s="13"/>
      <c r="I798" s="13"/>
      <c r="J798" s="29"/>
      <c r="K798" s="19"/>
      <c r="L798" s="19"/>
      <c r="M798" s="25"/>
      <c r="N798" s="13"/>
      <c r="O798" s="19"/>
      <c r="P798" s="27">
        <f>IF($A798="","",N($J798)*ValorHora)</f>
        <v>0</v>
      </c>
      <c r="Q798" s="27">
        <f>IF($A798="","",SUMIFS(ItTotal,ItOS,$A798))</f>
        <v>0</v>
      </c>
      <c r="R798" s="30">
        <f>IF($A798="","",$P798+$Q798+N($K798)-N($L798))</f>
        <v>0</v>
      </c>
      <c r="S798" s="27">
        <f>IF($A798="","",SUMIFS(ItCusto,ItOS,$A798))</f>
        <v>0</v>
      </c>
      <c r="T798" s="27">
        <f>IF($A798="","",$P798*ComMec)</f>
        <v>0</v>
      </c>
      <c r="U798" s="21">
        <f>IF($A798="","",$R798-$S798-$T798-N($K798))</f>
        <v>0</v>
      </c>
      <c r="V798" s="31">
        <f>IF(OR($A798="",N($R798)&lt;=0),"",$U798/$R798)</f>
        <v>0</v>
      </c>
      <c r="W798" s="27">
        <f>IF($A798="","",IF(OR($I798="Finalizado",$I798="Entregue"),MAX(0,$R798-N($O798)),0))</f>
        <v>0</v>
      </c>
      <c r="X798" s="32">
        <f>IF(OR($A798="",$B798=""),"",IF(OR($I798="Entregue",$I798="Cancelada"),"",Hoje-$B798))</f>
        <v>0</v>
      </c>
      <c r="Y798" s="24">
        <f>IF($A798="","",IF(AND(OR($I798="Aprovado",$I798="Em execução",$I798="Aguardando peça"),N($X798)&gt;PrazoMax),"ATRASADA",IF(AND(OR($I798="Finalizado",$I798="Entregue"),$W798&gt;0.005),"Cobrar",IF($I798="Orçamento","Aguardando aprovação",""))))</f>
        <v>0</v>
      </c>
      <c r="Z798" s="33">
        <f>IF(AND($I798="Entregue",$M798&lt;&gt;""),DATE(YEAR($M798),MONTH($M798),1),"")</f>
        <v>0</v>
      </c>
      <c r="AA798" s="34">
        <f>IF(AND($C798&lt;&gt;"",$C798=HistPlaca),COUNTIF($C$5:$C798,HistPlaca),"")</f>
        <v>0</v>
      </c>
    </row>
    <row r="799" spans="1:27">
      <c r="A799" s="17"/>
      <c r="B799" s="25"/>
      <c r="C799" s="13"/>
      <c r="D799" s="26">
        <f>IF($C799="","",IFERROR(INDEX(VeicCli,MATCH($C799,VeicPlaca,0)),"Placa não cadastrada"))</f>
        <v>0</v>
      </c>
      <c r="E799" s="26">
        <f>IF($C799="","",IFERROR(INDEX(VeicModelo,MATCH($C799,VeicPlaca,0)),""))</f>
        <v>0</v>
      </c>
      <c r="F799" s="28"/>
      <c r="G799" s="13"/>
      <c r="H799" s="13"/>
      <c r="I799" s="13"/>
      <c r="J799" s="29"/>
      <c r="K799" s="19"/>
      <c r="L799" s="19"/>
      <c r="M799" s="25"/>
      <c r="N799" s="13"/>
      <c r="O799" s="19"/>
      <c r="P799" s="27">
        <f>IF($A799="","",N($J799)*ValorHora)</f>
        <v>0</v>
      </c>
      <c r="Q799" s="27">
        <f>IF($A799="","",SUMIFS(ItTotal,ItOS,$A799))</f>
        <v>0</v>
      </c>
      <c r="R799" s="30">
        <f>IF($A799="","",$P799+$Q799+N($K799)-N($L799))</f>
        <v>0</v>
      </c>
      <c r="S799" s="27">
        <f>IF($A799="","",SUMIFS(ItCusto,ItOS,$A799))</f>
        <v>0</v>
      </c>
      <c r="T799" s="27">
        <f>IF($A799="","",$P799*ComMec)</f>
        <v>0</v>
      </c>
      <c r="U799" s="21">
        <f>IF($A799="","",$R799-$S799-$T799-N($K799))</f>
        <v>0</v>
      </c>
      <c r="V799" s="31">
        <f>IF(OR($A799="",N($R799)&lt;=0),"",$U799/$R799)</f>
        <v>0</v>
      </c>
      <c r="W799" s="27">
        <f>IF($A799="","",IF(OR($I799="Finalizado",$I799="Entregue"),MAX(0,$R799-N($O799)),0))</f>
        <v>0</v>
      </c>
      <c r="X799" s="32">
        <f>IF(OR($A799="",$B799=""),"",IF(OR($I799="Entregue",$I799="Cancelada"),"",Hoje-$B799))</f>
        <v>0</v>
      </c>
      <c r="Y799" s="24">
        <f>IF($A799="","",IF(AND(OR($I799="Aprovado",$I799="Em execução",$I799="Aguardando peça"),N($X799)&gt;PrazoMax),"ATRASADA",IF(AND(OR($I799="Finalizado",$I799="Entregue"),$W799&gt;0.005),"Cobrar",IF($I799="Orçamento","Aguardando aprovação",""))))</f>
        <v>0</v>
      </c>
      <c r="Z799" s="33">
        <f>IF(AND($I799="Entregue",$M799&lt;&gt;""),DATE(YEAR($M799),MONTH($M799),1),"")</f>
        <v>0</v>
      </c>
      <c r="AA799" s="34">
        <f>IF(AND($C799&lt;&gt;"",$C799=HistPlaca),COUNTIF($C$5:$C799,HistPlaca),"")</f>
        <v>0</v>
      </c>
    </row>
    <row r="800" spans="1:27">
      <c r="A800" s="17"/>
      <c r="B800" s="25"/>
      <c r="C800" s="13"/>
      <c r="D800" s="26">
        <f>IF($C800="","",IFERROR(INDEX(VeicCli,MATCH($C800,VeicPlaca,0)),"Placa não cadastrada"))</f>
        <v>0</v>
      </c>
      <c r="E800" s="26">
        <f>IF($C800="","",IFERROR(INDEX(VeicModelo,MATCH($C800,VeicPlaca,0)),""))</f>
        <v>0</v>
      </c>
      <c r="F800" s="28"/>
      <c r="G800" s="13"/>
      <c r="H800" s="13"/>
      <c r="I800" s="13"/>
      <c r="J800" s="29"/>
      <c r="K800" s="19"/>
      <c r="L800" s="19"/>
      <c r="M800" s="25"/>
      <c r="N800" s="13"/>
      <c r="O800" s="19"/>
      <c r="P800" s="27">
        <f>IF($A800="","",N($J800)*ValorHora)</f>
        <v>0</v>
      </c>
      <c r="Q800" s="27">
        <f>IF($A800="","",SUMIFS(ItTotal,ItOS,$A800))</f>
        <v>0</v>
      </c>
      <c r="R800" s="30">
        <f>IF($A800="","",$P800+$Q800+N($K800)-N($L800))</f>
        <v>0</v>
      </c>
      <c r="S800" s="27">
        <f>IF($A800="","",SUMIFS(ItCusto,ItOS,$A800))</f>
        <v>0</v>
      </c>
      <c r="T800" s="27">
        <f>IF($A800="","",$P800*ComMec)</f>
        <v>0</v>
      </c>
      <c r="U800" s="21">
        <f>IF($A800="","",$R800-$S800-$T800-N($K800))</f>
        <v>0</v>
      </c>
      <c r="V800" s="31">
        <f>IF(OR($A800="",N($R800)&lt;=0),"",$U800/$R800)</f>
        <v>0</v>
      </c>
      <c r="W800" s="27">
        <f>IF($A800="","",IF(OR($I800="Finalizado",$I800="Entregue"),MAX(0,$R800-N($O800)),0))</f>
        <v>0</v>
      </c>
      <c r="X800" s="32">
        <f>IF(OR($A800="",$B800=""),"",IF(OR($I800="Entregue",$I800="Cancelada"),"",Hoje-$B800))</f>
        <v>0</v>
      </c>
      <c r="Y800" s="24">
        <f>IF($A800="","",IF(AND(OR($I800="Aprovado",$I800="Em execução",$I800="Aguardando peça"),N($X800)&gt;PrazoMax),"ATRASADA",IF(AND(OR($I800="Finalizado",$I800="Entregue"),$W800&gt;0.005),"Cobrar",IF($I800="Orçamento","Aguardando aprovação",""))))</f>
        <v>0</v>
      </c>
      <c r="Z800" s="33">
        <f>IF(AND($I800="Entregue",$M800&lt;&gt;""),DATE(YEAR($M800),MONTH($M800),1),"")</f>
        <v>0</v>
      </c>
      <c r="AA800" s="34">
        <f>IF(AND($C800&lt;&gt;"",$C800=HistPlaca),COUNTIF($C$5:$C800,HistPlaca),"")</f>
        <v>0</v>
      </c>
    </row>
    <row r="801" spans="1:27">
      <c r="A801" s="17"/>
      <c r="B801" s="25"/>
      <c r="C801" s="13"/>
      <c r="D801" s="26">
        <f>IF($C801="","",IFERROR(INDEX(VeicCli,MATCH($C801,VeicPlaca,0)),"Placa não cadastrada"))</f>
        <v>0</v>
      </c>
      <c r="E801" s="26">
        <f>IF($C801="","",IFERROR(INDEX(VeicModelo,MATCH($C801,VeicPlaca,0)),""))</f>
        <v>0</v>
      </c>
      <c r="F801" s="28"/>
      <c r="G801" s="13"/>
      <c r="H801" s="13"/>
      <c r="I801" s="13"/>
      <c r="J801" s="29"/>
      <c r="K801" s="19"/>
      <c r="L801" s="19"/>
      <c r="M801" s="25"/>
      <c r="N801" s="13"/>
      <c r="O801" s="19"/>
      <c r="P801" s="27">
        <f>IF($A801="","",N($J801)*ValorHora)</f>
        <v>0</v>
      </c>
      <c r="Q801" s="27">
        <f>IF($A801="","",SUMIFS(ItTotal,ItOS,$A801))</f>
        <v>0</v>
      </c>
      <c r="R801" s="30">
        <f>IF($A801="","",$P801+$Q801+N($K801)-N($L801))</f>
        <v>0</v>
      </c>
      <c r="S801" s="27">
        <f>IF($A801="","",SUMIFS(ItCusto,ItOS,$A801))</f>
        <v>0</v>
      </c>
      <c r="T801" s="27">
        <f>IF($A801="","",$P801*ComMec)</f>
        <v>0</v>
      </c>
      <c r="U801" s="21">
        <f>IF($A801="","",$R801-$S801-$T801-N($K801))</f>
        <v>0</v>
      </c>
      <c r="V801" s="31">
        <f>IF(OR($A801="",N($R801)&lt;=0),"",$U801/$R801)</f>
        <v>0</v>
      </c>
      <c r="W801" s="27">
        <f>IF($A801="","",IF(OR($I801="Finalizado",$I801="Entregue"),MAX(0,$R801-N($O801)),0))</f>
        <v>0</v>
      </c>
      <c r="X801" s="32">
        <f>IF(OR($A801="",$B801=""),"",IF(OR($I801="Entregue",$I801="Cancelada"),"",Hoje-$B801))</f>
        <v>0</v>
      </c>
      <c r="Y801" s="24">
        <f>IF($A801="","",IF(AND(OR($I801="Aprovado",$I801="Em execução",$I801="Aguardando peça"),N($X801)&gt;PrazoMax),"ATRASADA",IF(AND(OR($I801="Finalizado",$I801="Entregue"),$W801&gt;0.005),"Cobrar",IF($I801="Orçamento","Aguardando aprovação",""))))</f>
        <v>0</v>
      </c>
      <c r="Z801" s="33">
        <f>IF(AND($I801="Entregue",$M801&lt;&gt;""),DATE(YEAR($M801),MONTH($M801),1),"")</f>
        <v>0</v>
      </c>
      <c r="AA801" s="34">
        <f>IF(AND($C801&lt;&gt;"",$C801=HistPlaca),COUNTIF($C$5:$C801,HistPlaca),"")</f>
        <v>0</v>
      </c>
    </row>
    <row r="802" spans="1:27">
      <c r="A802" s="17"/>
      <c r="B802" s="25"/>
      <c r="C802" s="13"/>
      <c r="D802" s="26">
        <f>IF($C802="","",IFERROR(INDEX(VeicCli,MATCH($C802,VeicPlaca,0)),"Placa não cadastrada"))</f>
        <v>0</v>
      </c>
      <c r="E802" s="26">
        <f>IF($C802="","",IFERROR(INDEX(VeicModelo,MATCH($C802,VeicPlaca,0)),""))</f>
        <v>0</v>
      </c>
      <c r="F802" s="28"/>
      <c r="G802" s="13"/>
      <c r="H802" s="13"/>
      <c r="I802" s="13"/>
      <c r="J802" s="29"/>
      <c r="K802" s="19"/>
      <c r="L802" s="19"/>
      <c r="M802" s="25"/>
      <c r="N802" s="13"/>
      <c r="O802" s="19"/>
      <c r="P802" s="27">
        <f>IF($A802="","",N($J802)*ValorHora)</f>
        <v>0</v>
      </c>
      <c r="Q802" s="27">
        <f>IF($A802="","",SUMIFS(ItTotal,ItOS,$A802))</f>
        <v>0</v>
      </c>
      <c r="R802" s="30">
        <f>IF($A802="","",$P802+$Q802+N($K802)-N($L802))</f>
        <v>0</v>
      </c>
      <c r="S802" s="27">
        <f>IF($A802="","",SUMIFS(ItCusto,ItOS,$A802))</f>
        <v>0</v>
      </c>
      <c r="T802" s="27">
        <f>IF($A802="","",$P802*ComMec)</f>
        <v>0</v>
      </c>
      <c r="U802" s="21">
        <f>IF($A802="","",$R802-$S802-$T802-N($K802))</f>
        <v>0</v>
      </c>
      <c r="V802" s="31">
        <f>IF(OR($A802="",N($R802)&lt;=0),"",$U802/$R802)</f>
        <v>0</v>
      </c>
      <c r="W802" s="27">
        <f>IF($A802="","",IF(OR($I802="Finalizado",$I802="Entregue"),MAX(0,$R802-N($O802)),0))</f>
        <v>0</v>
      </c>
      <c r="X802" s="32">
        <f>IF(OR($A802="",$B802=""),"",IF(OR($I802="Entregue",$I802="Cancelada"),"",Hoje-$B802))</f>
        <v>0</v>
      </c>
      <c r="Y802" s="24">
        <f>IF($A802="","",IF(AND(OR($I802="Aprovado",$I802="Em execução",$I802="Aguardando peça"),N($X802)&gt;PrazoMax),"ATRASADA",IF(AND(OR($I802="Finalizado",$I802="Entregue"),$W802&gt;0.005),"Cobrar",IF($I802="Orçamento","Aguardando aprovação",""))))</f>
        <v>0</v>
      </c>
      <c r="Z802" s="33">
        <f>IF(AND($I802="Entregue",$M802&lt;&gt;""),DATE(YEAR($M802),MONTH($M802),1),"")</f>
        <v>0</v>
      </c>
      <c r="AA802" s="34">
        <f>IF(AND($C802&lt;&gt;"",$C802=HistPlaca),COUNTIF($C$5:$C802,HistPlaca),"")</f>
        <v>0</v>
      </c>
    </row>
    <row r="803" spans="1:27">
      <c r="A803" s="17"/>
      <c r="B803" s="25"/>
      <c r="C803" s="13"/>
      <c r="D803" s="26">
        <f>IF($C803="","",IFERROR(INDEX(VeicCli,MATCH($C803,VeicPlaca,0)),"Placa não cadastrada"))</f>
        <v>0</v>
      </c>
      <c r="E803" s="26">
        <f>IF($C803="","",IFERROR(INDEX(VeicModelo,MATCH($C803,VeicPlaca,0)),""))</f>
        <v>0</v>
      </c>
      <c r="F803" s="28"/>
      <c r="G803" s="13"/>
      <c r="H803" s="13"/>
      <c r="I803" s="13"/>
      <c r="J803" s="29"/>
      <c r="K803" s="19"/>
      <c r="L803" s="19"/>
      <c r="M803" s="25"/>
      <c r="N803" s="13"/>
      <c r="O803" s="19"/>
      <c r="P803" s="27">
        <f>IF($A803="","",N($J803)*ValorHora)</f>
        <v>0</v>
      </c>
      <c r="Q803" s="27">
        <f>IF($A803="","",SUMIFS(ItTotal,ItOS,$A803))</f>
        <v>0</v>
      </c>
      <c r="R803" s="30">
        <f>IF($A803="","",$P803+$Q803+N($K803)-N($L803))</f>
        <v>0</v>
      </c>
      <c r="S803" s="27">
        <f>IF($A803="","",SUMIFS(ItCusto,ItOS,$A803))</f>
        <v>0</v>
      </c>
      <c r="T803" s="27">
        <f>IF($A803="","",$P803*ComMec)</f>
        <v>0</v>
      </c>
      <c r="U803" s="21">
        <f>IF($A803="","",$R803-$S803-$T803-N($K803))</f>
        <v>0</v>
      </c>
      <c r="V803" s="31">
        <f>IF(OR($A803="",N($R803)&lt;=0),"",$U803/$R803)</f>
        <v>0</v>
      </c>
      <c r="W803" s="27">
        <f>IF($A803="","",IF(OR($I803="Finalizado",$I803="Entregue"),MAX(0,$R803-N($O803)),0))</f>
        <v>0</v>
      </c>
      <c r="X803" s="32">
        <f>IF(OR($A803="",$B803=""),"",IF(OR($I803="Entregue",$I803="Cancelada"),"",Hoje-$B803))</f>
        <v>0</v>
      </c>
      <c r="Y803" s="24">
        <f>IF($A803="","",IF(AND(OR($I803="Aprovado",$I803="Em execução",$I803="Aguardando peça"),N($X803)&gt;PrazoMax),"ATRASADA",IF(AND(OR($I803="Finalizado",$I803="Entregue"),$W803&gt;0.005),"Cobrar",IF($I803="Orçamento","Aguardando aprovação",""))))</f>
        <v>0</v>
      </c>
      <c r="Z803" s="33">
        <f>IF(AND($I803="Entregue",$M803&lt;&gt;""),DATE(YEAR($M803),MONTH($M803),1),"")</f>
        <v>0</v>
      </c>
      <c r="AA803" s="34">
        <f>IF(AND($C803&lt;&gt;"",$C803=HistPlaca),COUNTIF($C$5:$C803,HistPlaca),"")</f>
        <v>0</v>
      </c>
    </row>
    <row r="804" spans="1:27">
      <c r="A804" s="17"/>
      <c r="B804" s="25"/>
      <c r="C804" s="13"/>
      <c r="D804" s="26">
        <f>IF($C804="","",IFERROR(INDEX(VeicCli,MATCH($C804,VeicPlaca,0)),"Placa não cadastrada"))</f>
        <v>0</v>
      </c>
      <c r="E804" s="26">
        <f>IF($C804="","",IFERROR(INDEX(VeicModelo,MATCH($C804,VeicPlaca,0)),""))</f>
        <v>0</v>
      </c>
      <c r="F804" s="28"/>
      <c r="G804" s="13"/>
      <c r="H804" s="13"/>
      <c r="I804" s="13"/>
      <c r="J804" s="29"/>
      <c r="K804" s="19"/>
      <c r="L804" s="19"/>
      <c r="M804" s="25"/>
      <c r="N804" s="13"/>
      <c r="O804" s="19"/>
      <c r="P804" s="27">
        <f>IF($A804="","",N($J804)*ValorHora)</f>
        <v>0</v>
      </c>
      <c r="Q804" s="27">
        <f>IF($A804="","",SUMIFS(ItTotal,ItOS,$A804))</f>
        <v>0</v>
      </c>
      <c r="R804" s="30">
        <f>IF($A804="","",$P804+$Q804+N($K804)-N($L804))</f>
        <v>0</v>
      </c>
      <c r="S804" s="27">
        <f>IF($A804="","",SUMIFS(ItCusto,ItOS,$A804))</f>
        <v>0</v>
      </c>
      <c r="T804" s="27">
        <f>IF($A804="","",$P804*ComMec)</f>
        <v>0</v>
      </c>
      <c r="U804" s="21">
        <f>IF($A804="","",$R804-$S804-$T804-N($K804))</f>
        <v>0</v>
      </c>
      <c r="V804" s="31">
        <f>IF(OR($A804="",N($R804)&lt;=0),"",$U804/$R804)</f>
        <v>0</v>
      </c>
      <c r="W804" s="27">
        <f>IF($A804="","",IF(OR($I804="Finalizado",$I804="Entregue"),MAX(0,$R804-N($O804)),0))</f>
        <v>0</v>
      </c>
      <c r="X804" s="32">
        <f>IF(OR($A804="",$B804=""),"",IF(OR($I804="Entregue",$I804="Cancelada"),"",Hoje-$B804))</f>
        <v>0</v>
      </c>
      <c r="Y804" s="24">
        <f>IF($A804="","",IF(AND(OR($I804="Aprovado",$I804="Em execução",$I804="Aguardando peça"),N($X804)&gt;PrazoMax),"ATRASADA",IF(AND(OR($I804="Finalizado",$I804="Entregue"),$W804&gt;0.005),"Cobrar",IF($I804="Orçamento","Aguardando aprovação",""))))</f>
        <v>0</v>
      </c>
      <c r="Z804" s="33">
        <f>IF(AND($I804="Entregue",$M804&lt;&gt;""),DATE(YEAR($M804),MONTH($M804),1),"")</f>
        <v>0</v>
      </c>
      <c r="AA804" s="34">
        <f>IF(AND($C804&lt;&gt;"",$C804=HistPlaca),COUNTIF($C$5:$C804,HistPlaca),"")</f>
        <v>0</v>
      </c>
    </row>
    <row r="805" spans="1:27">
      <c r="A805" s="17"/>
      <c r="B805" s="25"/>
      <c r="C805" s="13"/>
      <c r="D805" s="26">
        <f>IF($C805="","",IFERROR(INDEX(VeicCli,MATCH($C805,VeicPlaca,0)),"Placa não cadastrada"))</f>
        <v>0</v>
      </c>
      <c r="E805" s="26">
        <f>IF($C805="","",IFERROR(INDEX(VeicModelo,MATCH($C805,VeicPlaca,0)),""))</f>
        <v>0</v>
      </c>
      <c r="F805" s="28"/>
      <c r="G805" s="13"/>
      <c r="H805" s="13"/>
      <c r="I805" s="13"/>
      <c r="J805" s="29"/>
      <c r="K805" s="19"/>
      <c r="L805" s="19"/>
      <c r="M805" s="25"/>
      <c r="N805" s="13"/>
      <c r="O805" s="19"/>
      <c r="P805" s="27">
        <f>IF($A805="","",N($J805)*ValorHora)</f>
        <v>0</v>
      </c>
      <c r="Q805" s="27">
        <f>IF($A805="","",SUMIFS(ItTotal,ItOS,$A805))</f>
        <v>0</v>
      </c>
      <c r="R805" s="30">
        <f>IF($A805="","",$P805+$Q805+N($K805)-N($L805))</f>
        <v>0</v>
      </c>
      <c r="S805" s="27">
        <f>IF($A805="","",SUMIFS(ItCusto,ItOS,$A805))</f>
        <v>0</v>
      </c>
      <c r="T805" s="27">
        <f>IF($A805="","",$P805*ComMec)</f>
        <v>0</v>
      </c>
      <c r="U805" s="21">
        <f>IF($A805="","",$R805-$S805-$T805-N($K805))</f>
        <v>0</v>
      </c>
      <c r="V805" s="31">
        <f>IF(OR($A805="",N($R805)&lt;=0),"",$U805/$R805)</f>
        <v>0</v>
      </c>
      <c r="W805" s="27">
        <f>IF($A805="","",IF(OR($I805="Finalizado",$I805="Entregue"),MAX(0,$R805-N($O805)),0))</f>
        <v>0</v>
      </c>
      <c r="X805" s="32">
        <f>IF(OR($A805="",$B805=""),"",IF(OR($I805="Entregue",$I805="Cancelada"),"",Hoje-$B805))</f>
        <v>0</v>
      </c>
      <c r="Y805" s="24">
        <f>IF($A805="","",IF(AND(OR($I805="Aprovado",$I805="Em execução",$I805="Aguardando peça"),N($X805)&gt;PrazoMax),"ATRASADA",IF(AND(OR($I805="Finalizado",$I805="Entregue"),$W805&gt;0.005),"Cobrar",IF($I805="Orçamento","Aguardando aprovação",""))))</f>
        <v>0</v>
      </c>
      <c r="Z805" s="33">
        <f>IF(AND($I805="Entregue",$M805&lt;&gt;""),DATE(YEAR($M805),MONTH($M805),1),"")</f>
        <v>0</v>
      </c>
      <c r="AA805" s="34">
        <f>IF(AND($C805&lt;&gt;"",$C805=HistPlaca),COUNTIF($C$5:$C805,HistPlaca),"")</f>
        <v>0</v>
      </c>
    </row>
    <row r="806" spans="1:27">
      <c r="A806" s="17"/>
      <c r="B806" s="25"/>
      <c r="C806" s="13"/>
      <c r="D806" s="26">
        <f>IF($C806="","",IFERROR(INDEX(VeicCli,MATCH($C806,VeicPlaca,0)),"Placa não cadastrada"))</f>
        <v>0</v>
      </c>
      <c r="E806" s="26">
        <f>IF($C806="","",IFERROR(INDEX(VeicModelo,MATCH($C806,VeicPlaca,0)),""))</f>
        <v>0</v>
      </c>
      <c r="F806" s="28"/>
      <c r="G806" s="13"/>
      <c r="H806" s="13"/>
      <c r="I806" s="13"/>
      <c r="J806" s="29"/>
      <c r="K806" s="19"/>
      <c r="L806" s="19"/>
      <c r="M806" s="25"/>
      <c r="N806" s="13"/>
      <c r="O806" s="19"/>
      <c r="P806" s="27">
        <f>IF($A806="","",N($J806)*ValorHora)</f>
        <v>0</v>
      </c>
      <c r="Q806" s="27">
        <f>IF($A806="","",SUMIFS(ItTotal,ItOS,$A806))</f>
        <v>0</v>
      </c>
      <c r="R806" s="30">
        <f>IF($A806="","",$P806+$Q806+N($K806)-N($L806))</f>
        <v>0</v>
      </c>
      <c r="S806" s="27">
        <f>IF($A806="","",SUMIFS(ItCusto,ItOS,$A806))</f>
        <v>0</v>
      </c>
      <c r="T806" s="27">
        <f>IF($A806="","",$P806*ComMec)</f>
        <v>0</v>
      </c>
      <c r="U806" s="21">
        <f>IF($A806="","",$R806-$S806-$T806-N($K806))</f>
        <v>0</v>
      </c>
      <c r="V806" s="31">
        <f>IF(OR($A806="",N($R806)&lt;=0),"",$U806/$R806)</f>
        <v>0</v>
      </c>
      <c r="W806" s="27">
        <f>IF($A806="","",IF(OR($I806="Finalizado",$I806="Entregue"),MAX(0,$R806-N($O806)),0))</f>
        <v>0</v>
      </c>
      <c r="X806" s="32">
        <f>IF(OR($A806="",$B806=""),"",IF(OR($I806="Entregue",$I806="Cancelada"),"",Hoje-$B806))</f>
        <v>0</v>
      </c>
      <c r="Y806" s="24">
        <f>IF($A806="","",IF(AND(OR($I806="Aprovado",$I806="Em execução",$I806="Aguardando peça"),N($X806)&gt;PrazoMax),"ATRASADA",IF(AND(OR($I806="Finalizado",$I806="Entregue"),$W806&gt;0.005),"Cobrar",IF($I806="Orçamento","Aguardando aprovação",""))))</f>
        <v>0</v>
      </c>
      <c r="Z806" s="33">
        <f>IF(AND($I806="Entregue",$M806&lt;&gt;""),DATE(YEAR($M806),MONTH($M806),1),"")</f>
        <v>0</v>
      </c>
      <c r="AA806" s="34">
        <f>IF(AND($C806&lt;&gt;"",$C806=HistPlaca),COUNTIF($C$5:$C806,HistPlaca),"")</f>
        <v>0</v>
      </c>
    </row>
    <row r="807" spans="1:27">
      <c r="A807" s="17"/>
      <c r="B807" s="25"/>
      <c r="C807" s="13"/>
      <c r="D807" s="26">
        <f>IF($C807="","",IFERROR(INDEX(VeicCli,MATCH($C807,VeicPlaca,0)),"Placa não cadastrada"))</f>
        <v>0</v>
      </c>
      <c r="E807" s="26">
        <f>IF($C807="","",IFERROR(INDEX(VeicModelo,MATCH($C807,VeicPlaca,0)),""))</f>
        <v>0</v>
      </c>
      <c r="F807" s="28"/>
      <c r="G807" s="13"/>
      <c r="H807" s="13"/>
      <c r="I807" s="13"/>
      <c r="J807" s="29"/>
      <c r="K807" s="19"/>
      <c r="L807" s="19"/>
      <c r="M807" s="25"/>
      <c r="N807" s="13"/>
      <c r="O807" s="19"/>
      <c r="P807" s="27">
        <f>IF($A807="","",N($J807)*ValorHora)</f>
        <v>0</v>
      </c>
      <c r="Q807" s="27">
        <f>IF($A807="","",SUMIFS(ItTotal,ItOS,$A807))</f>
        <v>0</v>
      </c>
      <c r="R807" s="30">
        <f>IF($A807="","",$P807+$Q807+N($K807)-N($L807))</f>
        <v>0</v>
      </c>
      <c r="S807" s="27">
        <f>IF($A807="","",SUMIFS(ItCusto,ItOS,$A807))</f>
        <v>0</v>
      </c>
      <c r="T807" s="27">
        <f>IF($A807="","",$P807*ComMec)</f>
        <v>0</v>
      </c>
      <c r="U807" s="21">
        <f>IF($A807="","",$R807-$S807-$T807-N($K807))</f>
        <v>0</v>
      </c>
      <c r="V807" s="31">
        <f>IF(OR($A807="",N($R807)&lt;=0),"",$U807/$R807)</f>
        <v>0</v>
      </c>
      <c r="W807" s="27">
        <f>IF($A807="","",IF(OR($I807="Finalizado",$I807="Entregue"),MAX(0,$R807-N($O807)),0))</f>
        <v>0</v>
      </c>
      <c r="X807" s="32">
        <f>IF(OR($A807="",$B807=""),"",IF(OR($I807="Entregue",$I807="Cancelada"),"",Hoje-$B807))</f>
        <v>0</v>
      </c>
      <c r="Y807" s="24">
        <f>IF($A807="","",IF(AND(OR($I807="Aprovado",$I807="Em execução",$I807="Aguardando peça"),N($X807)&gt;PrazoMax),"ATRASADA",IF(AND(OR($I807="Finalizado",$I807="Entregue"),$W807&gt;0.005),"Cobrar",IF($I807="Orçamento","Aguardando aprovação",""))))</f>
        <v>0</v>
      </c>
      <c r="Z807" s="33">
        <f>IF(AND($I807="Entregue",$M807&lt;&gt;""),DATE(YEAR($M807),MONTH($M807),1),"")</f>
        <v>0</v>
      </c>
      <c r="AA807" s="34">
        <f>IF(AND($C807&lt;&gt;"",$C807=HistPlaca),COUNTIF($C$5:$C807,HistPlaca),"")</f>
        <v>0</v>
      </c>
    </row>
    <row r="808" spans="1:27">
      <c r="A808" s="17"/>
      <c r="B808" s="25"/>
      <c r="C808" s="13"/>
      <c r="D808" s="26">
        <f>IF($C808="","",IFERROR(INDEX(VeicCli,MATCH($C808,VeicPlaca,0)),"Placa não cadastrada"))</f>
        <v>0</v>
      </c>
      <c r="E808" s="26">
        <f>IF($C808="","",IFERROR(INDEX(VeicModelo,MATCH($C808,VeicPlaca,0)),""))</f>
        <v>0</v>
      </c>
      <c r="F808" s="28"/>
      <c r="G808" s="13"/>
      <c r="H808" s="13"/>
      <c r="I808" s="13"/>
      <c r="J808" s="29"/>
      <c r="K808" s="19"/>
      <c r="L808" s="19"/>
      <c r="M808" s="25"/>
      <c r="N808" s="13"/>
      <c r="O808" s="19"/>
      <c r="P808" s="27">
        <f>IF($A808="","",N($J808)*ValorHora)</f>
        <v>0</v>
      </c>
      <c r="Q808" s="27">
        <f>IF($A808="","",SUMIFS(ItTotal,ItOS,$A808))</f>
        <v>0</v>
      </c>
      <c r="R808" s="30">
        <f>IF($A808="","",$P808+$Q808+N($K808)-N($L808))</f>
        <v>0</v>
      </c>
      <c r="S808" s="27">
        <f>IF($A808="","",SUMIFS(ItCusto,ItOS,$A808))</f>
        <v>0</v>
      </c>
      <c r="T808" s="27">
        <f>IF($A808="","",$P808*ComMec)</f>
        <v>0</v>
      </c>
      <c r="U808" s="21">
        <f>IF($A808="","",$R808-$S808-$T808-N($K808))</f>
        <v>0</v>
      </c>
      <c r="V808" s="31">
        <f>IF(OR($A808="",N($R808)&lt;=0),"",$U808/$R808)</f>
        <v>0</v>
      </c>
      <c r="W808" s="27">
        <f>IF($A808="","",IF(OR($I808="Finalizado",$I808="Entregue"),MAX(0,$R808-N($O808)),0))</f>
        <v>0</v>
      </c>
      <c r="X808" s="32">
        <f>IF(OR($A808="",$B808=""),"",IF(OR($I808="Entregue",$I808="Cancelada"),"",Hoje-$B808))</f>
        <v>0</v>
      </c>
      <c r="Y808" s="24">
        <f>IF($A808="","",IF(AND(OR($I808="Aprovado",$I808="Em execução",$I808="Aguardando peça"),N($X808)&gt;PrazoMax),"ATRASADA",IF(AND(OR($I808="Finalizado",$I808="Entregue"),$W808&gt;0.005),"Cobrar",IF($I808="Orçamento","Aguardando aprovação",""))))</f>
        <v>0</v>
      </c>
      <c r="Z808" s="33">
        <f>IF(AND($I808="Entregue",$M808&lt;&gt;""),DATE(YEAR($M808),MONTH($M808),1),"")</f>
        <v>0</v>
      </c>
      <c r="AA808" s="34">
        <f>IF(AND($C808&lt;&gt;"",$C808=HistPlaca),COUNTIF($C$5:$C808,HistPlaca),"")</f>
        <v>0</v>
      </c>
    </row>
    <row r="809" spans="1:27">
      <c r="A809" s="17"/>
      <c r="B809" s="25"/>
      <c r="C809" s="13"/>
      <c r="D809" s="26">
        <f>IF($C809="","",IFERROR(INDEX(VeicCli,MATCH($C809,VeicPlaca,0)),"Placa não cadastrada"))</f>
        <v>0</v>
      </c>
      <c r="E809" s="26">
        <f>IF($C809="","",IFERROR(INDEX(VeicModelo,MATCH($C809,VeicPlaca,0)),""))</f>
        <v>0</v>
      </c>
      <c r="F809" s="28"/>
      <c r="G809" s="13"/>
      <c r="H809" s="13"/>
      <c r="I809" s="13"/>
      <c r="J809" s="29"/>
      <c r="K809" s="19"/>
      <c r="L809" s="19"/>
      <c r="M809" s="25"/>
      <c r="N809" s="13"/>
      <c r="O809" s="19"/>
      <c r="P809" s="27">
        <f>IF($A809="","",N($J809)*ValorHora)</f>
        <v>0</v>
      </c>
      <c r="Q809" s="27">
        <f>IF($A809="","",SUMIFS(ItTotal,ItOS,$A809))</f>
        <v>0</v>
      </c>
      <c r="R809" s="30">
        <f>IF($A809="","",$P809+$Q809+N($K809)-N($L809))</f>
        <v>0</v>
      </c>
      <c r="S809" s="27">
        <f>IF($A809="","",SUMIFS(ItCusto,ItOS,$A809))</f>
        <v>0</v>
      </c>
      <c r="T809" s="27">
        <f>IF($A809="","",$P809*ComMec)</f>
        <v>0</v>
      </c>
      <c r="U809" s="21">
        <f>IF($A809="","",$R809-$S809-$T809-N($K809))</f>
        <v>0</v>
      </c>
      <c r="V809" s="31">
        <f>IF(OR($A809="",N($R809)&lt;=0),"",$U809/$R809)</f>
        <v>0</v>
      </c>
      <c r="W809" s="27">
        <f>IF($A809="","",IF(OR($I809="Finalizado",$I809="Entregue"),MAX(0,$R809-N($O809)),0))</f>
        <v>0</v>
      </c>
      <c r="X809" s="32">
        <f>IF(OR($A809="",$B809=""),"",IF(OR($I809="Entregue",$I809="Cancelada"),"",Hoje-$B809))</f>
        <v>0</v>
      </c>
      <c r="Y809" s="24">
        <f>IF($A809="","",IF(AND(OR($I809="Aprovado",$I809="Em execução",$I809="Aguardando peça"),N($X809)&gt;PrazoMax),"ATRASADA",IF(AND(OR($I809="Finalizado",$I809="Entregue"),$W809&gt;0.005),"Cobrar",IF($I809="Orçamento","Aguardando aprovação",""))))</f>
        <v>0</v>
      </c>
      <c r="Z809" s="33">
        <f>IF(AND($I809="Entregue",$M809&lt;&gt;""),DATE(YEAR($M809),MONTH($M809),1),"")</f>
        <v>0</v>
      </c>
      <c r="AA809" s="34">
        <f>IF(AND($C809&lt;&gt;"",$C809=HistPlaca),COUNTIF($C$5:$C809,HistPlaca),"")</f>
        <v>0</v>
      </c>
    </row>
    <row r="810" spans="1:27">
      <c r="A810" s="17"/>
      <c r="B810" s="25"/>
      <c r="C810" s="13"/>
      <c r="D810" s="26">
        <f>IF($C810="","",IFERROR(INDEX(VeicCli,MATCH($C810,VeicPlaca,0)),"Placa não cadastrada"))</f>
        <v>0</v>
      </c>
      <c r="E810" s="26">
        <f>IF($C810="","",IFERROR(INDEX(VeicModelo,MATCH($C810,VeicPlaca,0)),""))</f>
        <v>0</v>
      </c>
      <c r="F810" s="28"/>
      <c r="G810" s="13"/>
      <c r="H810" s="13"/>
      <c r="I810" s="13"/>
      <c r="J810" s="29"/>
      <c r="K810" s="19"/>
      <c r="L810" s="19"/>
      <c r="M810" s="25"/>
      <c r="N810" s="13"/>
      <c r="O810" s="19"/>
      <c r="P810" s="27">
        <f>IF($A810="","",N($J810)*ValorHora)</f>
        <v>0</v>
      </c>
      <c r="Q810" s="27">
        <f>IF($A810="","",SUMIFS(ItTotal,ItOS,$A810))</f>
        <v>0</v>
      </c>
      <c r="R810" s="30">
        <f>IF($A810="","",$P810+$Q810+N($K810)-N($L810))</f>
        <v>0</v>
      </c>
      <c r="S810" s="27">
        <f>IF($A810="","",SUMIFS(ItCusto,ItOS,$A810))</f>
        <v>0</v>
      </c>
      <c r="T810" s="27">
        <f>IF($A810="","",$P810*ComMec)</f>
        <v>0</v>
      </c>
      <c r="U810" s="21">
        <f>IF($A810="","",$R810-$S810-$T810-N($K810))</f>
        <v>0</v>
      </c>
      <c r="V810" s="31">
        <f>IF(OR($A810="",N($R810)&lt;=0),"",$U810/$R810)</f>
        <v>0</v>
      </c>
      <c r="W810" s="27">
        <f>IF($A810="","",IF(OR($I810="Finalizado",$I810="Entregue"),MAX(0,$R810-N($O810)),0))</f>
        <v>0</v>
      </c>
      <c r="X810" s="32">
        <f>IF(OR($A810="",$B810=""),"",IF(OR($I810="Entregue",$I810="Cancelada"),"",Hoje-$B810))</f>
        <v>0</v>
      </c>
      <c r="Y810" s="24">
        <f>IF($A810="","",IF(AND(OR($I810="Aprovado",$I810="Em execução",$I810="Aguardando peça"),N($X810)&gt;PrazoMax),"ATRASADA",IF(AND(OR($I810="Finalizado",$I810="Entregue"),$W810&gt;0.005),"Cobrar",IF($I810="Orçamento","Aguardando aprovação",""))))</f>
        <v>0</v>
      </c>
      <c r="Z810" s="33">
        <f>IF(AND($I810="Entregue",$M810&lt;&gt;""),DATE(YEAR($M810),MONTH($M810),1),"")</f>
        <v>0</v>
      </c>
      <c r="AA810" s="34">
        <f>IF(AND($C810&lt;&gt;"",$C810=HistPlaca),COUNTIF($C$5:$C810,HistPlaca),"")</f>
        <v>0</v>
      </c>
    </row>
    <row r="811" spans="1:27">
      <c r="A811" s="17"/>
      <c r="B811" s="25"/>
      <c r="C811" s="13"/>
      <c r="D811" s="26">
        <f>IF($C811="","",IFERROR(INDEX(VeicCli,MATCH($C811,VeicPlaca,0)),"Placa não cadastrada"))</f>
        <v>0</v>
      </c>
      <c r="E811" s="26">
        <f>IF($C811="","",IFERROR(INDEX(VeicModelo,MATCH($C811,VeicPlaca,0)),""))</f>
        <v>0</v>
      </c>
      <c r="F811" s="28"/>
      <c r="G811" s="13"/>
      <c r="H811" s="13"/>
      <c r="I811" s="13"/>
      <c r="J811" s="29"/>
      <c r="K811" s="19"/>
      <c r="L811" s="19"/>
      <c r="M811" s="25"/>
      <c r="N811" s="13"/>
      <c r="O811" s="19"/>
      <c r="P811" s="27">
        <f>IF($A811="","",N($J811)*ValorHora)</f>
        <v>0</v>
      </c>
      <c r="Q811" s="27">
        <f>IF($A811="","",SUMIFS(ItTotal,ItOS,$A811))</f>
        <v>0</v>
      </c>
      <c r="R811" s="30">
        <f>IF($A811="","",$P811+$Q811+N($K811)-N($L811))</f>
        <v>0</v>
      </c>
      <c r="S811" s="27">
        <f>IF($A811="","",SUMIFS(ItCusto,ItOS,$A811))</f>
        <v>0</v>
      </c>
      <c r="T811" s="27">
        <f>IF($A811="","",$P811*ComMec)</f>
        <v>0</v>
      </c>
      <c r="U811" s="21">
        <f>IF($A811="","",$R811-$S811-$T811-N($K811))</f>
        <v>0</v>
      </c>
      <c r="V811" s="31">
        <f>IF(OR($A811="",N($R811)&lt;=0),"",$U811/$R811)</f>
        <v>0</v>
      </c>
      <c r="W811" s="27">
        <f>IF($A811="","",IF(OR($I811="Finalizado",$I811="Entregue"),MAX(0,$R811-N($O811)),0))</f>
        <v>0</v>
      </c>
      <c r="X811" s="32">
        <f>IF(OR($A811="",$B811=""),"",IF(OR($I811="Entregue",$I811="Cancelada"),"",Hoje-$B811))</f>
        <v>0</v>
      </c>
      <c r="Y811" s="24">
        <f>IF($A811="","",IF(AND(OR($I811="Aprovado",$I811="Em execução",$I811="Aguardando peça"),N($X811)&gt;PrazoMax),"ATRASADA",IF(AND(OR($I811="Finalizado",$I811="Entregue"),$W811&gt;0.005),"Cobrar",IF($I811="Orçamento","Aguardando aprovação",""))))</f>
        <v>0</v>
      </c>
      <c r="Z811" s="33">
        <f>IF(AND($I811="Entregue",$M811&lt;&gt;""),DATE(YEAR($M811),MONTH($M811),1),"")</f>
        <v>0</v>
      </c>
      <c r="AA811" s="34">
        <f>IF(AND($C811&lt;&gt;"",$C811=HistPlaca),COUNTIF($C$5:$C811,HistPlaca),"")</f>
        <v>0</v>
      </c>
    </row>
    <row r="812" spans="1:27">
      <c r="A812" s="17"/>
      <c r="B812" s="25"/>
      <c r="C812" s="13"/>
      <c r="D812" s="26">
        <f>IF($C812="","",IFERROR(INDEX(VeicCli,MATCH($C812,VeicPlaca,0)),"Placa não cadastrada"))</f>
        <v>0</v>
      </c>
      <c r="E812" s="26">
        <f>IF($C812="","",IFERROR(INDEX(VeicModelo,MATCH($C812,VeicPlaca,0)),""))</f>
        <v>0</v>
      </c>
      <c r="F812" s="28"/>
      <c r="G812" s="13"/>
      <c r="H812" s="13"/>
      <c r="I812" s="13"/>
      <c r="J812" s="29"/>
      <c r="K812" s="19"/>
      <c r="L812" s="19"/>
      <c r="M812" s="25"/>
      <c r="N812" s="13"/>
      <c r="O812" s="19"/>
      <c r="P812" s="27">
        <f>IF($A812="","",N($J812)*ValorHora)</f>
        <v>0</v>
      </c>
      <c r="Q812" s="27">
        <f>IF($A812="","",SUMIFS(ItTotal,ItOS,$A812))</f>
        <v>0</v>
      </c>
      <c r="R812" s="30">
        <f>IF($A812="","",$P812+$Q812+N($K812)-N($L812))</f>
        <v>0</v>
      </c>
      <c r="S812" s="27">
        <f>IF($A812="","",SUMIFS(ItCusto,ItOS,$A812))</f>
        <v>0</v>
      </c>
      <c r="T812" s="27">
        <f>IF($A812="","",$P812*ComMec)</f>
        <v>0</v>
      </c>
      <c r="U812" s="21">
        <f>IF($A812="","",$R812-$S812-$T812-N($K812))</f>
        <v>0</v>
      </c>
      <c r="V812" s="31">
        <f>IF(OR($A812="",N($R812)&lt;=0),"",$U812/$R812)</f>
        <v>0</v>
      </c>
      <c r="W812" s="27">
        <f>IF($A812="","",IF(OR($I812="Finalizado",$I812="Entregue"),MAX(0,$R812-N($O812)),0))</f>
        <v>0</v>
      </c>
      <c r="X812" s="32">
        <f>IF(OR($A812="",$B812=""),"",IF(OR($I812="Entregue",$I812="Cancelada"),"",Hoje-$B812))</f>
        <v>0</v>
      </c>
      <c r="Y812" s="24">
        <f>IF($A812="","",IF(AND(OR($I812="Aprovado",$I812="Em execução",$I812="Aguardando peça"),N($X812)&gt;PrazoMax),"ATRASADA",IF(AND(OR($I812="Finalizado",$I812="Entregue"),$W812&gt;0.005),"Cobrar",IF($I812="Orçamento","Aguardando aprovação",""))))</f>
        <v>0</v>
      </c>
      <c r="Z812" s="33">
        <f>IF(AND($I812="Entregue",$M812&lt;&gt;""),DATE(YEAR($M812),MONTH($M812),1),"")</f>
        <v>0</v>
      </c>
      <c r="AA812" s="34">
        <f>IF(AND($C812&lt;&gt;"",$C812=HistPlaca),COUNTIF($C$5:$C812,HistPlaca),"")</f>
        <v>0</v>
      </c>
    </row>
    <row r="813" spans="1:27">
      <c r="A813" s="17"/>
      <c r="B813" s="25"/>
      <c r="C813" s="13"/>
      <c r="D813" s="26">
        <f>IF($C813="","",IFERROR(INDEX(VeicCli,MATCH($C813,VeicPlaca,0)),"Placa não cadastrada"))</f>
        <v>0</v>
      </c>
      <c r="E813" s="26">
        <f>IF($C813="","",IFERROR(INDEX(VeicModelo,MATCH($C813,VeicPlaca,0)),""))</f>
        <v>0</v>
      </c>
      <c r="F813" s="28"/>
      <c r="G813" s="13"/>
      <c r="H813" s="13"/>
      <c r="I813" s="13"/>
      <c r="J813" s="29"/>
      <c r="K813" s="19"/>
      <c r="L813" s="19"/>
      <c r="M813" s="25"/>
      <c r="N813" s="13"/>
      <c r="O813" s="19"/>
      <c r="P813" s="27">
        <f>IF($A813="","",N($J813)*ValorHora)</f>
        <v>0</v>
      </c>
      <c r="Q813" s="27">
        <f>IF($A813="","",SUMIFS(ItTotal,ItOS,$A813))</f>
        <v>0</v>
      </c>
      <c r="R813" s="30">
        <f>IF($A813="","",$P813+$Q813+N($K813)-N($L813))</f>
        <v>0</v>
      </c>
      <c r="S813" s="27">
        <f>IF($A813="","",SUMIFS(ItCusto,ItOS,$A813))</f>
        <v>0</v>
      </c>
      <c r="T813" s="27">
        <f>IF($A813="","",$P813*ComMec)</f>
        <v>0</v>
      </c>
      <c r="U813" s="21">
        <f>IF($A813="","",$R813-$S813-$T813-N($K813))</f>
        <v>0</v>
      </c>
      <c r="V813" s="31">
        <f>IF(OR($A813="",N($R813)&lt;=0),"",$U813/$R813)</f>
        <v>0</v>
      </c>
      <c r="W813" s="27">
        <f>IF($A813="","",IF(OR($I813="Finalizado",$I813="Entregue"),MAX(0,$R813-N($O813)),0))</f>
        <v>0</v>
      </c>
      <c r="X813" s="32">
        <f>IF(OR($A813="",$B813=""),"",IF(OR($I813="Entregue",$I813="Cancelada"),"",Hoje-$B813))</f>
        <v>0</v>
      </c>
      <c r="Y813" s="24">
        <f>IF($A813="","",IF(AND(OR($I813="Aprovado",$I813="Em execução",$I813="Aguardando peça"),N($X813)&gt;PrazoMax),"ATRASADA",IF(AND(OR($I813="Finalizado",$I813="Entregue"),$W813&gt;0.005),"Cobrar",IF($I813="Orçamento","Aguardando aprovação",""))))</f>
        <v>0</v>
      </c>
      <c r="Z813" s="33">
        <f>IF(AND($I813="Entregue",$M813&lt;&gt;""),DATE(YEAR($M813),MONTH($M813),1),"")</f>
        <v>0</v>
      </c>
      <c r="AA813" s="34">
        <f>IF(AND($C813&lt;&gt;"",$C813=HistPlaca),COUNTIF($C$5:$C813,HistPlaca),"")</f>
        <v>0</v>
      </c>
    </row>
    <row r="814" spans="1:27">
      <c r="A814" s="17"/>
      <c r="B814" s="25"/>
      <c r="C814" s="13"/>
      <c r="D814" s="26">
        <f>IF($C814="","",IFERROR(INDEX(VeicCli,MATCH($C814,VeicPlaca,0)),"Placa não cadastrada"))</f>
        <v>0</v>
      </c>
      <c r="E814" s="26">
        <f>IF($C814="","",IFERROR(INDEX(VeicModelo,MATCH($C814,VeicPlaca,0)),""))</f>
        <v>0</v>
      </c>
      <c r="F814" s="28"/>
      <c r="G814" s="13"/>
      <c r="H814" s="13"/>
      <c r="I814" s="13"/>
      <c r="J814" s="29"/>
      <c r="K814" s="19"/>
      <c r="L814" s="19"/>
      <c r="M814" s="25"/>
      <c r="N814" s="13"/>
      <c r="O814" s="19"/>
      <c r="P814" s="27">
        <f>IF($A814="","",N($J814)*ValorHora)</f>
        <v>0</v>
      </c>
      <c r="Q814" s="27">
        <f>IF($A814="","",SUMIFS(ItTotal,ItOS,$A814))</f>
        <v>0</v>
      </c>
      <c r="R814" s="30">
        <f>IF($A814="","",$P814+$Q814+N($K814)-N($L814))</f>
        <v>0</v>
      </c>
      <c r="S814" s="27">
        <f>IF($A814="","",SUMIFS(ItCusto,ItOS,$A814))</f>
        <v>0</v>
      </c>
      <c r="T814" s="27">
        <f>IF($A814="","",$P814*ComMec)</f>
        <v>0</v>
      </c>
      <c r="U814" s="21">
        <f>IF($A814="","",$R814-$S814-$T814-N($K814))</f>
        <v>0</v>
      </c>
      <c r="V814" s="31">
        <f>IF(OR($A814="",N($R814)&lt;=0),"",$U814/$R814)</f>
        <v>0</v>
      </c>
      <c r="W814" s="27">
        <f>IF($A814="","",IF(OR($I814="Finalizado",$I814="Entregue"),MAX(0,$R814-N($O814)),0))</f>
        <v>0</v>
      </c>
      <c r="X814" s="32">
        <f>IF(OR($A814="",$B814=""),"",IF(OR($I814="Entregue",$I814="Cancelada"),"",Hoje-$B814))</f>
        <v>0</v>
      </c>
      <c r="Y814" s="24">
        <f>IF($A814="","",IF(AND(OR($I814="Aprovado",$I814="Em execução",$I814="Aguardando peça"),N($X814)&gt;PrazoMax),"ATRASADA",IF(AND(OR($I814="Finalizado",$I814="Entregue"),$W814&gt;0.005),"Cobrar",IF($I814="Orçamento","Aguardando aprovação",""))))</f>
        <v>0</v>
      </c>
      <c r="Z814" s="33">
        <f>IF(AND($I814="Entregue",$M814&lt;&gt;""),DATE(YEAR($M814),MONTH($M814),1),"")</f>
        <v>0</v>
      </c>
      <c r="AA814" s="34">
        <f>IF(AND($C814&lt;&gt;"",$C814=HistPlaca),COUNTIF($C$5:$C814,HistPlaca),"")</f>
        <v>0</v>
      </c>
    </row>
    <row r="815" spans="1:27">
      <c r="A815" s="17"/>
      <c r="B815" s="25"/>
      <c r="C815" s="13"/>
      <c r="D815" s="26">
        <f>IF($C815="","",IFERROR(INDEX(VeicCli,MATCH($C815,VeicPlaca,0)),"Placa não cadastrada"))</f>
        <v>0</v>
      </c>
      <c r="E815" s="26">
        <f>IF($C815="","",IFERROR(INDEX(VeicModelo,MATCH($C815,VeicPlaca,0)),""))</f>
        <v>0</v>
      </c>
      <c r="F815" s="28"/>
      <c r="G815" s="13"/>
      <c r="H815" s="13"/>
      <c r="I815" s="13"/>
      <c r="J815" s="29"/>
      <c r="K815" s="19"/>
      <c r="L815" s="19"/>
      <c r="M815" s="25"/>
      <c r="N815" s="13"/>
      <c r="O815" s="19"/>
      <c r="P815" s="27">
        <f>IF($A815="","",N($J815)*ValorHora)</f>
        <v>0</v>
      </c>
      <c r="Q815" s="27">
        <f>IF($A815="","",SUMIFS(ItTotal,ItOS,$A815))</f>
        <v>0</v>
      </c>
      <c r="R815" s="30">
        <f>IF($A815="","",$P815+$Q815+N($K815)-N($L815))</f>
        <v>0</v>
      </c>
      <c r="S815" s="27">
        <f>IF($A815="","",SUMIFS(ItCusto,ItOS,$A815))</f>
        <v>0</v>
      </c>
      <c r="T815" s="27">
        <f>IF($A815="","",$P815*ComMec)</f>
        <v>0</v>
      </c>
      <c r="U815" s="21">
        <f>IF($A815="","",$R815-$S815-$T815-N($K815))</f>
        <v>0</v>
      </c>
      <c r="V815" s="31">
        <f>IF(OR($A815="",N($R815)&lt;=0),"",$U815/$R815)</f>
        <v>0</v>
      </c>
      <c r="W815" s="27">
        <f>IF($A815="","",IF(OR($I815="Finalizado",$I815="Entregue"),MAX(0,$R815-N($O815)),0))</f>
        <v>0</v>
      </c>
      <c r="X815" s="32">
        <f>IF(OR($A815="",$B815=""),"",IF(OR($I815="Entregue",$I815="Cancelada"),"",Hoje-$B815))</f>
        <v>0</v>
      </c>
      <c r="Y815" s="24">
        <f>IF($A815="","",IF(AND(OR($I815="Aprovado",$I815="Em execução",$I815="Aguardando peça"),N($X815)&gt;PrazoMax),"ATRASADA",IF(AND(OR($I815="Finalizado",$I815="Entregue"),$W815&gt;0.005),"Cobrar",IF($I815="Orçamento","Aguardando aprovação",""))))</f>
        <v>0</v>
      </c>
      <c r="Z815" s="33">
        <f>IF(AND($I815="Entregue",$M815&lt;&gt;""),DATE(YEAR($M815),MONTH($M815),1),"")</f>
        <v>0</v>
      </c>
      <c r="AA815" s="34">
        <f>IF(AND($C815&lt;&gt;"",$C815=HistPlaca),COUNTIF($C$5:$C815,HistPlaca),"")</f>
        <v>0</v>
      </c>
    </row>
    <row r="816" spans="1:27">
      <c r="A816" s="17"/>
      <c r="B816" s="25"/>
      <c r="C816" s="13"/>
      <c r="D816" s="26">
        <f>IF($C816="","",IFERROR(INDEX(VeicCli,MATCH($C816,VeicPlaca,0)),"Placa não cadastrada"))</f>
        <v>0</v>
      </c>
      <c r="E816" s="26">
        <f>IF($C816="","",IFERROR(INDEX(VeicModelo,MATCH($C816,VeicPlaca,0)),""))</f>
        <v>0</v>
      </c>
      <c r="F816" s="28"/>
      <c r="G816" s="13"/>
      <c r="H816" s="13"/>
      <c r="I816" s="13"/>
      <c r="J816" s="29"/>
      <c r="K816" s="19"/>
      <c r="L816" s="19"/>
      <c r="M816" s="25"/>
      <c r="N816" s="13"/>
      <c r="O816" s="19"/>
      <c r="P816" s="27">
        <f>IF($A816="","",N($J816)*ValorHora)</f>
        <v>0</v>
      </c>
      <c r="Q816" s="27">
        <f>IF($A816="","",SUMIFS(ItTotal,ItOS,$A816))</f>
        <v>0</v>
      </c>
      <c r="R816" s="30">
        <f>IF($A816="","",$P816+$Q816+N($K816)-N($L816))</f>
        <v>0</v>
      </c>
      <c r="S816" s="27">
        <f>IF($A816="","",SUMIFS(ItCusto,ItOS,$A816))</f>
        <v>0</v>
      </c>
      <c r="T816" s="27">
        <f>IF($A816="","",$P816*ComMec)</f>
        <v>0</v>
      </c>
      <c r="U816" s="21">
        <f>IF($A816="","",$R816-$S816-$T816-N($K816))</f>
        <v>0</v>
      </c>
      <c r="V816" s="31">
        <f>IF(OR($A816="",N($R816)&lt;=0),"",$U816/$R816)</f>
        <v>0</v>
      </c>
      <c r="W816" s="27">
        <f>IF($A816="","",IF(OR($I816="Finalizado",$I816="Entregue"),MAX(0,$R816-N($O816)),0))</f>
        <v>0</v>
      </c>
      <c r="X816" s="32">
        <f>IF(OR($A816="",$B816=""),"",IF(OR($I816="Entregue",$I816="Cancelada"),"",Hoje-$B816))</f>
        <v>0</v>
      </c>
      <c r="Y816" s="24">
        <f>IF($A816="","",IF(AND(OR($I816="Aprovado",$I816="Em execução",$I816="Aguardando peça"),N($X816)&gt;PrazoMax),"ATRASADA",IF(AND(OR($I816="Finalizado",$I816="Entregue"),$W816&gt;0.005),"Cobrar",IF($I816="Orçamento","Aguardando aprovação",""))))</f>
        <v>0</v>
      </c>
      <c r="Z816" s="33">
        <f>IF(AND($I816="Entregue",$M816&lt;&gt;""),DATE(YEAR($M816),MONTH($M816),1),"")</f>
        <v>0</v>
      </c>
      <c r="AA816" s="34">
        <f>IF(AND($C816&lt;&gt;"",$C816=HistPlaca),COUNTIF($C$5:$C816,HistPlaca),"")</f>
        <v>0</v>
      </c>
    </row>
    <row r="817" spans="1:27">
      <c r="A817" s="17"/>
      <c r="B817" s="25"/>
      <c r="C817" s="13"/>
      <c r="D817" s="26">
        <f>IF($C817="","",IFERROR(INDEX(VeicCli,MATCH($C817,VeicPlaca,0)),"Placa não cadastrada"))</f>
        <v>0</v>
      </c>
      <c r="E817" s="26">
        <f>IF($C817="","",IFERROR(INDEX(VeicModelo,MATCH($C817,VeicPlaca,0)),""))</f>
        <v>0</v>
      </c>
      <c r="F817" s="28"/>
      <c r="G817" s="13"/>
      <c r="H817" s="13"/>
      <c r="I817" s="13"/>
      <c r="J817" s="29"/>
      <c r="K817" s="19"/>
      <c r="L817" s="19"/>
      <c r="M817" s="25"/>
      <c r="N817" s="13"/>
      <c r="O817" s="19"/>
      <c r="P817" s="27">
        <f>IF($A817="","",N($J817)*ValorHora)</f>
        <v>0</v>
      </c>
      <c r="Q817" s="27">
        <f>IF($A817="","",SUMIFS(ItTotal,ItOS,$A817))</f>
        <v>0</v>
      </c>
      <c r="R817" s="30">
        <f>IF($A817="","",$P817+$Q817+N($K817)-N($L817))</f>
        <v>0</v>
      </c>
      <c r="S817" s="27">
        <f>IF($A817="","",SUMIFS(ItCusto,ItOS,$A817))</f>
        <v>0</v>
      </c>
      <c r="T817" s="27">
        <f>IF($A817="","",$P817*ComMec)</f>
        <v>0</v>
      </c>
      <c r="U817" s="21">
        <f>IF($A817="","",$R817-$S817-$T817-N($K817))</f>
        <v>0</v>
      </c>
      <c r="V817" s="31">
        <f>IF(OR($A817="",N($R817)&lt;=0),"",$U817/$R817)</f>
        <v>0</v>
      </c>
      <c r="W817" s="27">
        <f>IF($A817="","",IF(OR($I817="Finalizado",$I817="Entregue"),MAX(0,$R817-N($O817)),0))</f>
        <v>0</v>
      </c>
      <c r="X817" s="32">
        <f>IF(OR($A817="",$B817=""),"",IF(OR($I817="Entregue",$I817="Cancelada"),"",Hoje-$B817))</f>
        <v>0</v>
      </c>
      <c r="Y817" s="24">
        <f>IF($A817="","",IF(AND(OR($I817="Aprovado",$I817="Em execução",$I817="Aguardando peça"),N($X817)&gt;PrazoMax),"ATRASADA",IF(AND(OR($I817="Finalizado",$I817="Entregue"),$W817&gt;0.005),"Cobrar",IF($I817="Orçamento","Aguardando aprovação",""))))</f>
        <v>0</v>
      </c>
      <c r="Z817" s="33">
        <f>IF(AND($I817="Entregue",$M817&lt;&gt;""),DATE(YEAR($M817),MONTH($M817),1),"")</f>
        <v>0</v>
      </c>
      <c r="AA817" s="34">
        <f>IF(AND($C817&lt;&gt;"",$C817=HistPlaca),COUNTIF($C$5:$C817,HistPlaca),"")</f>
        <v>0</v>
      </c>
    </row>
    <row r="818" spans="1:27">
      <c r="A818" s="17"/>
      <c r="B818" s="25"/>
      <c r="C818" s="13"/>
      <c r="D818" s="26">
        <f>IF($C818="","",IFERROR(INDEX(VeicCli,MATCH($C818,VeicPlaca,0)),"Placa não cadastrada"))</f>
        <v>0</v>
      </c>
      <c r="E818" s="26">
        <f>IF($C818="","",IFERROR(INDEX(VeicModelo,MATCH($C818,VeicPlaca,0)),""))</f>
        <v>0</v>
      </c>
      <c r="F818" s="28"/>
      <c r="G818" s="13"/>
      <c r="H818" s="13"/>
      <c r="I818" s="13"/>
      <c r="J818" s="29"/>
      <c r="K818" s="19"/>
      <c r="L818" s="19"/>
      <c r="M818" s="25"/>
      <c r="N818" s="13"/>
      <c r="O818" s="19"/>
      <c r="P818" s="27">
        <f>IF($A818="","",N($J818)*ValorHora)</f>
        <v>0</v>
      </c>
      <c r="Q818" s="27">
        <f>IF($A818="","",SUMIFS(ItTotal,ItOS,$A818))</f>
        <v>0</v>
      </c>
      <c r="R818" s="30">
        <f>IF($A818="","",$P818+$Q818+N($K818)-N($L818))</f>
        <v>0</v>
      </c>
      <c r="S818" s="27">
        <f>IF($A818="","",SUMIFS(ItCusto,ItOS,$A818))</f>
        <v>0</v>
      </c>
      <c r="T818" s="27">
        <f>IF($A818="","",$P818*ComMec)</f>
        <v>0</v>
      </c>
      <c r="U818" s="21">
        <f>IF($A818="","",$R818-$S818-$T818-N($K818))</f>
        <v>0</v>
      </c>
      <c r="V818" s="31">
        <f>IF(OR($A818="",N($R818)&lt;=0),"",$U818/$R818)</f>
        <v>0</v>
      </c>
      <c r="W818" s="27">
        <f>IF($A818="","",IF(OR($I818="Finalizado",$I818="Entregue"),MAX(0,$R818-N($O818)),0))</f>
        <v>0</v>
      </c>
      <c r="X818" s="32">
        <f>IF(OR($A818="",$B818=""),"",IF(OR($I818="Entregue",$I818="Cancelada"),"",Hoje-$B818))</f>
        <v>0</v>
      </c>
      <c r="Y818" s="24">
        <f>IF($A818="","",IF(AND(OR($I818="Aprovado",$I818="Em execução",$I818="Aguardando peça"),N($X818)&gt;PrazoMax),"ATRASADA",IF(AND(OR($I818="Finalizado",$I818="Entregue"),$W818&gt;0.005),"Cobrar",IF($I818="Orçamento","Aguardando aprovação",""))))</f>
        <v>0</v>
      </c>
      <c r="Z818" s="33">
        <f>IF(AND($I818="Entregue",$M818&lt;&gt;""),DATE(YEAR($M818),MONTH($M818),1),"")</f>
        <v>0</v>
      </c>
      <c r="AA818" s="34">
        <f>IF(AND($C818&lt;&gt;"",$C818=HistPlaca),COUNTIF($C$5:$C818,HistPlaca),"")</f>
        <v>0</v>
      </c>
    </row>
    <row r="819" spans="1:27">
      <c r="A819" s="17"/>
      <c r="B819" s="25"/>
      <c r="C819" s="13"/>
      <c r="D819" s="26">
        <f>IF($C819="","",IFERROR(INDEX(VeicCli,MATCH($C819,VeicPlaca,0)),"Placa não cadastrada"))</f>
        <v>0</v>
      </c>
      <c r="E819" s="26">
        <f>IF($C819="","",IFERROR(INDEX(VeicModelo,MATCH($C819,VeicPlaca,0)),""))</f>
        <v>0</v>
      </c>
      <c r="F819" s="28"/>
      <c r="G819" s="13"/>
      <c r="H819" s="13"/>
      <c r="I819" s="13"/>
      <c r="J819" s="29"/>
      <c r="K819" s="19"/>
      <c r="L819" s="19"/>
      <c r="M819" s="25"/>
      <c r="N819" s="13"/>
      <c r="O819" s="19"/>
      <c r="P819" s="27">
        <f>IF($A819="","",N($J819)*ValorHora)</f>
        <v>0</v>
      </c>
      <c r="Q819" s="27">
        <f>IF($A819="","",SUMIFS(ItTotal,ItOS,$A819))</f>
        <v>0</v>
      </c>
      <c r="R819" s="30">
        <f>IF($A819="","",$P819+$Q819+N($K819)-N($L819))</f>
        <v>0</v>
      </c>
      <c r="S819" s="27">
        <f>IF($A819="","",SUMIFS(ItCusto,ItOS,$A819))</f>
        <v>0</v>
      </c>
      <c r="T819" s="27">
        <f>IF($A819="","",$P819*ComMec)</f>
        <v>0</v>
      </c>
      <c r="U819" s="21">
        <f>IF($A819="","",$R819-$S819-$T819-N($K819))</f>
        <v>0</v>
      </c>
      <c r="V819" s="31">
        <f>IF(OR($A819="",N($R819)&lt;=0),"",$U819/$R819)</f>
        <v>0</v>
      </c>
      <c r="W819" s="27">
        <f>IF($A819="","",IF(OR($I819="Finalizado",$I819="Entregue"),MAX(0,$R819-N($O819)),0))</f>
        <v>0</v>
      </c>
      <c r="X819" s="32">
        <f>IF(OR($A819="",$B819=""),"",IF(OR($I819="Entregue",$I819="Cancelada"),"",Hoje-$B819))</f>
        <v>0</v>
      </c>
      <c r="Y819" s="24">
        <f>IF($A819="","",IF(AND(OR($I819="Aprovado",$I819="Em execução",$I819="Aguardando peça"),N($X819)&gt;PrazoMax),"ATRASADA",IF(AND(OR($I819="Finalizado",$I819="Entregue"),$W819&gt;0.005),"Cobrar",IF($I819="Orçamento","Aguardando aprovação",""))))</f>
        <v>0</v>
      </c>
      <c r="Z819" s="33">
        <f>IF(AND($I819="Entregue",$M819&lt;&gt;""),DATE(YEAR($M819),MONTH($M819),1),"")</f>
        <v>0</v>
      </c>
      <c r="AA819" s="34">
        <f>IF(AND($C819&lt;&gt;"",$C819=HistPlaca),COUNTIF($C$5:$C819,HistPlaca),"")</f>
        <v>0</v>
      </c>
    </row>
    <row r="820" spans="1:27">
      <c r="A820" s="17"/>
      <c r="B820" s="25"/>
      <c r="C820" s="13"/>
      <c r="D820" s="26">
        <f>IF($C820="","",IFERROR(INDEX(VeicCli,MATCH($C820,VeicPlaca,0)),"Placa não cadastrada"))</f>
        <v>0</v>
      </c>
      <c r="E820" s="26">
        <f>IF($C820="","",IFERROR(INDEX(VeicModelo,MATCH($C820,VeicPlaca,0)),""))</f>
        <v>0</v>
      </c>
      <c r="F820" s="28"/>
      <c r="G820" s="13"/>
      <c r="H820" s="13"/>
      <c r="I820" s="13"/>
      <c r="J820" s="29"/>
      <c r="K820" s="19"/>
      <c r="L820" s="19"/>
      <c r="M820" s="25"/>
      <c r="N820" s="13"/>
      <c r="O820" s="19"/>
      <c r="P820" s="27">
        <f>IF($A820="","",N($J820)*ValorHora)</f>
        <v>0</v>
      </c>
      <c r="Q820" s="27">
        <f>IF($A820="","",SUMIFS(ItTotal,ItOS,$A820))</f>
        <v>0</v>
      </c>
      <c r="R820" s="30">
        <f>IF($A820="","",$P820+$Q820+N($K820)-N($L820))</f>
        <v>0</v>
      </c>
      <c r="S820" s="27">
        <f>IF($A820="","",SUMIFS(ItCusto,ItOS,$A820))</f>
        <v>0</v>
      </c>
      <c r="T820" s="27">
        <f>IF($A820="","",$P820*ComMec)</f>
        <v>0</v>
      </c>
      <c r="U820" s="21">
        <f>IF($A820="","",$R820-$S820-$T820-N($K820))</f>
        <v>0</v>
      </c>
      <c r="V820" s="31">
        <f>IF(OR($A820="",N($R820)&lt;=0),"",$U820/$R820)</f>
        <v>0</v>
      </c>
      <c r="W820" s="27">
        <f>IF($A820="","",IF(OR($I820="Finalizado",$I820="Entregue"),MAX(0,$R820-N($O820)),0))</f>
        <v>0</v>
      </c>
      <c r="X820" s="32">
        <f>IF(OR($A820="",$B820=""),"",IF(OR($I820="Entregue",$I820="Cancelada"),"",Hoje-$B820))</f>
        <v>0</v>
      </c>
      <c r="Y820" s="24">
        <f>IF($A820="","",IF(AND(OR($I820="Aprovado",$I820="Em execução",$I820="Aguardando peça"),N($X820)&gt;PrazoMax),"ATRASADA",IF(AND(OR($I820="Finalizado",$I820="Entregue"),$W820&gt;0.005),"Cobrar",IF($I820="Orçamento","Aguardando aprovação",""))))</f>
        <v>0</v>
      </c>
      <c r="Z820" s="33">
        <f>IF(AND($I820="Entregue",$M820&lt;&gt;""),DATE(YEAR($M820),MONTH($M820),1),"")</f>
        <v>0</v>
      </c>
      <c r="AA820" s="34">
        <f>IF(AND($C820&lt;&gt;"",$C820=HistPlaca),COUNTIF($C$5:$C820,HistPlaca),"")</f>
        <v>0</v>
      </c>
    </row>
    <row r="821" spans="1:27">
      <c r="A821" s="17"/>
      <c r="B821" s="25"/>
      <c r="C821" s="13"/>
      <c r="D821" s="26">
        <f>IF($C821="","",IFERROR(INDEX(VeicCli,MATCH($C821,VeicPlaca,0)),"Placa não cadastrada"))</f>
        <v>0</v>
      </c>
      <c r="E821" s="26">
        <f>IF($C821="","",IFERROR(INDEX(VeicModelo,MATCH($C821,VeicPlaca,0)),""))</f>
        <v>0</v>
      </c>
      <c r="F821" s="28"/>
      <c r="G821" s="13"/>
      <c r="H821" s="13"/>
      <c r="I821" s="13"/>
      <c r="J821" s="29"/>
      <c r="K821" s="19"/>
      <c r="L821" s="19"/>
      <c r="M821" s="25"/>
      <c r="N821" s="13"/>
      <c r="O821" s="19"/>
      <c r="P821" s="27">
        <f>IF($A821="","",N($J821)*ValorHora)</f>
        <v>0</v>
      </c>
      <c r="Q821" s="27">
        <f>IF($A821="","",SUMIFS(ItTotal,ItOS,$A821))</f>
        <v>0</v>
      </c>
      <c r="R821" s="30">
        <f>IF($A821="","",$P821+$Q821+N($K821)-N($L821))</f>
        <v>0</v>
      </c>
      <c r="S821" s="27">
        <f>IF($A821="","",SUMIFS(ItCusto,ItOS,$A821))</f>
        <v>0</v>
      </c>
      <c r="T821" s="27">
        <f>IF($A821="","",$P821*ComMec)</f>
        <v>0</v>
      </c>
      <c r="U821" s="21">
        <f>IF($A821="","",$R821-$S821-$T821-N($K821))</f>
        <v>0</v>
      </c>
      <c r="V821" s="31">
        <f>IF(OR($A821="",N($R821)&lt;=0),"",$U821/$R821)</f>
        <v>0</v>
      </c>
      <c r="W821" s="27">
        <f>IF($A821="","",IF(OR($I821="Finalizado",$I821="Entregue"),MAX(0,$R821-N($O821)),0))</f>
        <v>0</v>
      </c>
      <c r="X821" s="32">
        <f>IF(OR($A821="",$B821=""),"",IF(OR($I821="Entregue",$I821="Cancelada"),"",Hoje-$B821))</f>
        <v>0</v>
      </c>
      <c r="Y821" s="24">
        <f>IF($A821="","",IF(AND(OR($I821="Aprovado",$I821="Em execução",$I821="Aguardando peça"),N($X821)&gt;PrazoMax),"ATRASADA",IF(AND(OR($I821="Finalizado",$I821="Entregue"),$W821&gt;0.005),"Cobrar",IF($I821="Orçamento","Aguardando aprovação",""))))</f>
        <v>0</v>
      </c>
      <c r="Z821" s="33">
        <f>IF(AND($I821="Entregue",$M821&lt;&gt;""),DATE(YEAR($M821),MONTH($M821),1),"")</f>
        <v>0</v>
      </c>
      <c r="AA821" s="34">
        <f>IF(AND($C821&lt;&gt;"",$C821=HistPlaca),COUNTIF($C$5:$C821,HistPlaca),"")</f>
        <v>0</v>
      </c>
    </row>
    <row r="822" spans="1:27">
      <c r="A822" s="17"/>
      <c r="B822" s="25"/>
      <c r="C822" s="13"/>
      <c r="D822" s="26">
        <f>IF($C822="","",IFERROR(INDEX(VeicCli,MATCH($C822,VeicPlaca,0)),"Placa não cadastrada"))</f>
        <v>0</v>
      </c>
      <c r="E822" s="26">
        <f>IF($C822="","",IFERROR(INDEX(VeicModelo,MATCH($C822,VeicPlaca,0)),""))</f>
        <v>0</v>
      </c>
      <c r="F822" s="28"/>
      <c r="G822" s="13"/>
      <c r="H822" s="13"/>
      <c r="I822" s="13"/>
      <c r="J822" s="29"/>
      <c r="K822" s="19"/>
      <c r="L822" s="19"/>
      <c r="M822" s="25"/>
      <c r="N822" s="13"/>
      <c r="O822" s="19"/>
      <c r="P822" s="27">
        <f>IF($A822="","",N($J822)*ValorHora)</f>
        <v>0</v>
      </c>
      <c r="Q822" s="27">
        <f>IF($A822="","",SUMIFS(ItTotal,ItOS,$A822))</f>
        <v>0</v>
      </c>
      <c r="R822" s="30">
        <f>IF($A822="","",$P822+$Q822+N($K822)-N($L822))</f>
        <v>0</v>
      </c>
      <c r="S822" s="27">
        <f>IF($A822="","",SUMIFS(ItCusto,ItOS,$A822))</f>
        <v>0</v>
      </c>
      <c r="T822" s="27">
        <f>IF($A822="","",$P822*ComMec)</f>
        <v>0</v>
      </c>
      <c r="U822" s="21">
        <f>IF($A822="","",$R822-$S822-$T822-N($K822))</f>
        <v>0</v>
      </c>
      <c r="V822" s="31">
        <f>IF(OR($A822="",N($R822)&lt;=0),"",$U822/$R822)</f>
        <v>0</v>
      </c>
      <c r="W822" s="27">
        <f>IF($A822="","",IF(OR($I822="Finalizado",$I822="Entregue"),MAX(0,$R822-N($O822)),0))</f>
        <v>0</v>
      </c>
      <c r="X822" s="32">
        <f>IF(OR($A822="",$B822=""),"",IF(OR($I822="Entregue",$I822="Cancelada"),"",Hoje-$B822))</f>
        <v>0</v>
      </c>
      <c r="Y822" s="24">
        <f>IF($A822="","",IF(AND(OR($I822="Aprovado",$I822="Em execução",$I822="Aguardando peça"),N($X822)&gt;PrazoMax),"ATRASADA",IF(AND(OR($I822="Finalizado",$I822="Entregue"),$W822&gt;0.005),"Cobrar",IF($I822="Orçamento","Aguardando aprovação",""))))</f>
        <v>0</v>
      </c>
      <c r="Z822" s="33">
        <f>IF(AND($I822="Entregue",$M822&lt;&gt;""),DATE(YEAR($M822),MONTH($M822),1),"")</f>
        <v>0</v>
      </c>
      <c r="AA822" s="34">
        <f>IF(AND($C822&lt;&gt;"",$C822=HistPlaca),COUNTIF($C$5:$C822,HistPlaca),"")</f>
        <v>0</v>
      </c>
    </row>
    <row r="823" spans="1:27">
      <c r="A823" s="17"/>
      <c r="B823" s="25"/>
      <c r="C823" s="13"/>
      <c r="D823" s="26">
        <f>IF($C823="","",IFERROR(INDEX(VeicCli,MATCH($C823,VeicPlaca,0)),"Placa não cadastrada"))</f>
        <v>0</v>
      </c>
      <c r="E823" s="26">
        <f>IF($C823="","",IFERROR(INDEX(VeicModelo,MATCH($C823,VeicPlaca,0)),""))</f>
        <v>0</v>
      </c>
      <c r="F823" s="28"/>
      <c r="G823" s="13"/>
      <c r="H823" s="13"/>
      <c r="I823" s="13"/>
      <c r="J823" s="29"/>
      <c r="K823" s="19"/>
      <c r="L823" s="19"/>
      <c r="M823" s="25"/>
      <c r="N823" s="13"/>
      <c r="O823" s="19"/>
      <c r="P823" s="27">
        <f>IF($A823="","",N($J823)*ValorHora)</f>
        <v>0</v>
      </c>
      <c r="Q823" s="27">
        <f>IF($A823="","",SUMIFS(ItTotal,ItOS,$A823))</f>
        <v>0</v>
      </c>
      <c r="R823" s="30">
        <f>IF($A823="","",$P823+$Q823+N($K823)-N($L823))</f>
        <v>0</v>
      </c>
      <c r="S823" s="27">
        <f>IF($A823="","",SUMIFS(ItCusto,ItOS,$A823))</f>
        <v>0</v>
      </c>
      <c r="T823" s="27">
        <f>IF($A823="","",$P823*ComMec)</f>
        <v>0</v>
      </c>
      <c r="U823" s="21">
        <f>IF($A823="","",$R823-$S823-$T823-N($K823))</f>
        <v>0</v>
      </c>
      <c r="V823" s="31">
        <f>IF(OR($A823="",N($R823)&lt;=0),"",$U823/$R823)</f>
        <v>0</v>
      </c>
      <c r="W823" s="27">
        <f>IF($A823="","",IF(OR($I823="Finalizado",$I823="Entregue"),MAX(0,$R823-N($O823)),0))</f>
        <v>0</v>
      </c>
      <c r="X823" s="32">
        <f>IF(OR($A823="",$B823=""),"",IF(OR($I823="Entregue",$I823="Cancelada"),"",Hoje-$B823))</f>
        <v>0</v>
      </c>
      <c r="Y823" s="24">
        <f>IF($A823="","",IF(AND(OR($I823="Aprovado",$I823="Em execução",$I823="Aguardando peça"),N($X823)&gt;PrazoMax),"ATRASADA",IF(AND(OR($I823="Finalizado",$I823="Entregue"),$W823&gt;0.005),"Cobrar",IF($I823="Orçamento","Aguardando aprovação",""))))</f>
        <v>0</v>
      </c>
      <c r="Z823" s="33">
        <f>IF(AND($I823="Entregue",$M823&lt;&gt;""),DATE(YEAR($M823),MONTH($M823),1),"")</f>
        <v>0</v>
      </c>
      <c r="AA823" s="34">
        <f>IF(AND($C823&lt;&gt;"",$C823=HistPlaca),COUNTIF($C$5:$C823,HistPlaca),"")</f>
        <v>0</v>
      </c>
    </row>
    <row r="824" spans="1:27">
      <c r="A824" s="17"/>
      <c r="B824" s="25"/>
      <c r="C824" s="13"/>
      <c r="D824" s="26">
        <f>IF($C824="","",IFERROR(INDEX(VeicCli,MATCH($C824,VeicPlaca,0)),"Placa não cadastrada"))</f>
        <v>0</v>
      </c>
      <c r="E824" s="26">
        <f>IF($C824="","",IFERROR(INDEX(VeicModelo,MATCH($C824,VeicPlaca,0)),""))</f>
        <v>0</v>
      </c>
      <c r="F824" s="28"/>
      <c r="G824" s="13"/>
      <c r="H824" s="13"/>
      <c r="I824" s="13"/>
      <c r="J824" s="29"/>
      <c r="K824" s="19"/>
      <c r="L824" s="19"/>
      <c r="M824" s="25"/>
      <c r="N824" s="13"/>
      <c r="O824" s="19"/>
      <c r="P824" s="27">
        <f>IF($A824="","",N($J824)*ValorHora)</f>
        <v>0</v>
      </c>
      <c r="Q824" s="27">
        <f>IF($A824="","",SUMIFS(ItTotal,ItOS,$A824))</f>
        <v>0</v>
      </c>
      <c r="R824" s="30">
        <f>IF($A824="","",$P824+$Q824+N($K824)-N($L824))</f>
        <v>0</v>
      </c>
      <c r="S824" s="27">
        <f>IF($A824="","",SUMIFS(ItCusto,ItOS,$A824))</f>
        <v>0</v>
      </c>
      <c r="T824" s="27">
        <f>IF($A824="","",$P824*ComMec)</f>
        <v>0</v>
      </c>
      <c r="U824" s="21">
        <f>IF($A824="","",$R824-$S824-$T824-N($K824))</f>
        <v>0</v>
      </c>
      <c r="V824" s="31">
        <f>IF(OR($A824="",N($R824)&lt;=0),"",$U824/$R824)</f>
        <v>0</v>
      </c>
      <c r="W824" s="27">
        <f>IF($A824="","",IF(OR($I824="Finalizado",$I824="Entregue"),MAX(0,$R824-N($O824)),0))</f>
        <v>0</v>
      </c>
      <c r="X824" s="32">
        <f>IF(OR($A824="",$B824=""),"",IF(OR($I824="Entregue",$I824="Cancelada"),"",Hoje-$B824))</f>
        <v>0</v>
      </c>
      <c r="Y824" s="24">
        <f>IF($A824="","",IF(AND(OR($I824="Aprovado",$I824="Em execução",$I824="Aguardando peça"),N($X824)&gt;PrazoMax),"ATRASADA",IF(AND(OR($I824="Finalizado",$I824="Entregue"),$W824&gt;0.005),"Cobrar",IF($I824="Orçamento","Aguardando aprovação",""))))</f>
        <v>0</v>
      </c>
      <c r="Z824" s="33">
        <f>IF(AND($I824="Entregue",$M824&lt;&gt;""),DATE(YEAR($M824),MONTH($M824),1),"")</f>
        <v>0</v>
      </c>
      <c r="AA824" s="34">
        <f>IF(AND($C824&lt;&gt;"",$C824=HistPlaca),COUNTIF($C$5:$C824,HistPlaca),"")</f>
        <v>0</v>
      </c>
    </row>
    <row r="825" spans="1:27">
      <c r="A825" s="17"/>
      <c r="B825" s="25"/>
      <c r="C825" s="13"/>
      <c r="D825" s="26">
        <f>IF($C825="","",IFERROR(INDEX(VeicCli,MATCH($C825,VeicPlaca,0)),"Placa não cadastrada"))</f>
        <v>0</v>
      </c>
      <c r="E825" s="26">
        <f>IF($C825="","",IFERROR(INDEX(VeicModelo,MATCH($C825,VeicPlaca,0)),""))</f>
        <v>0</v>
      </c>
      <c r="F825" s="28"/>
      <c r="G825" s="13"/>
      <c r="H825" s="13"/>
      <c r="I825" s="13"/>
      <c r="J825" s="29"/>
      <c r="K825" s="19"/>
      <c r="L825" s="19"/>
      <c r="M825" s="25"/>
      <c r="N825" s="13"/>
      <c r="O825" s="19"/>
      <c r="P825" s="27">
        <f>IF($A825="","",N($J825)*ValorHora)</f>
        <v>0</v>
      </c>
      <c r="Q825" s="27">
        <f>IF($A825="","",SUMIFS(ItTotal,ItOS,$A825))</f>
        <v>0</v>
      </c>
      <c r="R825" s="30">
        <f>IF($A825="","",$P825+$Q825+N($K825)-N($L825))</f>
        <v>0</v>
      </c>
      <c r="S825" s="27">
        <f>IF($A825="","",SUMIFS(ItCusto,ItOS,$A825))</f>
        <v>0</v>
      </c>
      <c r="T825" s="27">
        <f>IF($A825="","",$P825*ComMec)</f>
        <v>0</v>
      </c>
      <c r="U825" s="21">
        <f>IF($A825="","",$R825-$S825-$T825-N($K825))</f>
        <v>0</v>
      </c>
      <c r="V825" s="31">
        <f>IF(OR($A825="",N($R825)&lt;=0),"",$U825/$R825)</f>
        <v>0</v>
      </c>
      <c r="W825" s="27">
        <f>IF($A825="","",IF(OR($I825="Finalizado",$I825="Entregue"),MAX(0,$R825-N($O825)),0))</f>
        <v>0</v>
      </c>
      <c r="X825" s="32">
        <f>IF(OR($A825="",$B825=""),"",IF(OR($I825="Entregue",$I825="Cancelada"),"",Hoje-$B825))</f>
        <v>0</v>
      </c>
      <c r="Y825" s="24">
        <f>IF($A825="","",IF(AND(OR($I825="Aprovado",$I825="Em execução",$I825="Aguardando peça"),N($X825)&gt;PrazoMax),"ATRASADA",IF(AND(OR($I825="Finalizado",$I825="Entregue"),$W825&gt;0.005),"Cobrar",IF($I825="Orçamento","Aguardando aprovação",""))))</f>
        <v>0</v>
      </c>
      <c r="Z825" s="33">
        <f>IF(AND($I825="Entregue",$M825&lt;&gt;""),DATE(YEAR($M825),MONTH($M825),1),"")</f>
        <v>0</v>
      </c>
      <c r="AA825" s="34">
        <f>IF(AND($C825&lt;&gt;"",$C825=HistPlaca),COUNTIF($C$5:$C825,HistPlaca),"")</f>
        <v>0</v>
      </c>
    </row>
    <row r="826" spans="1:27">
      <c r="A826" s="17"/>
      <c r="B826" s="25"/>
      <c r="C826" s="13"/>
      <c r="D826" s="26">
        <f>IF($C826="","",IFERROR(INDEX(VeicCli,MATCH($C826,VeicPlaca,0)),"Placa não cadastrada"))</f>
        <v>0</v>
      </c>
      <c r="E826" s="26">
        <f>IF($C826="","",IFERROR(INDEX(VeicModelo,MATCH($C826,VeicPlaca,0)),""))</f>
        <v>0</v>
      </c>
      <c r="F826" s="28"/>
      <c r="G826" s="13"/>
      <c r="H826" s="13"/>
      <c r="I826" s="13"/>
      <c r="J826" s="29"/>
      <c r="K826" s="19"/>
      <c r="L826" s="19"/>
      <c r="M826" s="25"/>
      <c r="N826" s="13"/>
      <c r="O826" s="19"/>
      <c r="P826" s="27">
        <f>IF($A826="","",N($J826)*ValorHora)</f>
        <v>0</v>
      </c>
      <c r="Q826" s="27">
        <f>IF($A826="","",SUMIFS(ItTotal,ItOS,$A826))</f>
        <v>0</v>
      </c>
      <c r="R826" s="30">
        <f>IF($A826="","",$P826+$Q826+N($K826)-N($L826))</f>
        <v>0</v>
      </c>
      <c r="S826" s="27">
        <f>IF($A826="","",SUMIFS(ItCusto,ItOS,$A826))</f>
        <v>0</v>
      </c>
      <c r="T826" s="27">
        <f>IF($A826="","",$P826*ComMec)</f>
        <v>0</v>
      </c>
      <c r="U826" s="21">
        <f>IF($A826="","",$R826-$S826-$T826-N($K826))</f>
        <v>0</v>
      </c>
      <c r="V826" s="31">
        <f>IF(OR($A826="",N($R826)&lt;=0),"",$U826/$R826)</f>
        <v>0</v>
      </c>
      <c r="W826" s="27">
        <f>IF($A826="","",IF(OR($I826="Finalizado",$I826="Entregue"),MAX(0,$R826-N($O826)),0))</f>
        <v>0</v>
      </c>
      <c r="X826" s="32">
        <f>IF(OR($A826="",$B826=""),"",IF(OR($I826="Entregue",$I826="Cancelada"),"",Hoje-$B826))</f>
        <v>0</v>
      </c>
      <c r="Y826" s="24">
        <f>IF($A826="","",IF(AND(OR($I826="Aprovado",$I826="Em execução",$I826="Aguardando peça"),N($X826)&gt;PrazoMax),"ATRASADA",IF(AND(OR($I826="Finalizado",$I826="Entregue"),$W826&gt;0.005),"Cobrar",IF($I826="Orçamento","Aguardando aprovação",""))))</f>
        <v>0</v>
      </c>
      <c r="Z826" s="33">
        <f>IF(AND($I826="Entregue",$M826&lt;&gt;""),DATE(YEAR($M826),MONTH($M826),1),"")</f>
        <v>0</v>
      </c>
      <c r="AA826" s="34">
        <f>IF(AND($C826&lt;&gt;"",$C826=HistPlaca),COUNTIF($C$5:$C826,HistPlaca),"")</f>
        <v>0</v>
      </c>
    </row>
    <row r="827" spans="1:27">
      <c r="A827" s="17"/>
      <c r="B827" s="25"/>
      <c r="C827" s="13"/>
      <c r="D827" s="26">
        <f>IF($C827="","",IFERROR(INDEX(VeicCli,MATCH($C827,VeicPlaca,0)),"Placa não cadastrada"))</f>
        <v>0</v>
      </c>
      <c r="E827" s="26">
        <f>IF($C827="","",IFERROR(INDEX(VeicModelo,MATCH($C827,VeicPlaca,0)),""))</f>
        <v>0</v>
      </c>
      <c r="F827" s="28"/>
      <c r="G827" s="13"/>
      <c r="H827" s="13"/>
      <c r="I827" s="13"/>
      <c r="J827" s="29"/>
      <c r="K827" s="19"/>
      <c r="L827" s="19"/>
      <c r="M827" s="25"/>
      <c r="N827" s="13"/>
      <c r="O827" s="19"/>
      <c r="P827" s="27">
        <f>IF($A827="","",N($J827)*ValorHora)</f>
        <v>0</v>
      </c>
      <c r="Q827" s="27">
        <f>IF($A827="","",SUMIFS(ItTotal,ItOS,$A827))</f>
        <v>0</v>
      </c>
      <c r="R827" s="30">
        <f>IF($A827="","",$P827+$Q827+N($K827)-N($L827))</f>
        <v>0</v>
      </c>
      <c r="S827" s="27">
        <f>IF($A827="","",SUMIFS(ItCusto,ItOS,$A827))</f>
        <v>0</v>
      </c>
      <c r="T827" s="27">
        <f>IF($A827="","",$P827*ComMec)</f>
        <v>0</v>
      </c>
      <c r="U827" s="21">
        <f>IF($A827="","",$R827-$S827-$T827-N($K827))</f>
        <v>0</v>
      </c>
      <c r="V827" s="31">
        <f>IF(OR($A827="",N($R827)&lt;=0),"",$U827/$R827)</f>
        <v>0</v>
      </c>
      <c r="W827" s="27">
        <f>IF($A827="","",IF(OR($I827="Finalizado",$I827="Entregue"),MAX(0,$R827-N($O827)),0))</f>
        <v>0</v>
      </c>
      <c r="X827" s="32">
        <f>IF(OR($A827="",$B827=""),"",IF(OR($I827="Entregue",$I827="Cancelada"),"",Hoje-$B827))</f>
        <v>0</v>
      </c>
      <c r="Y827" s="24">
        <f>IF($A827="","",IF(AND(OR($I827="Aprovado",$I827="Em execução",$I827="Aguardando peça"),N($X827)&gt;PrazoMax),"ATRASADA",IF(AND(OR($I827="Finalizado",$I827="Entregue"),$W827&gt;0.005),"Cobrar",IF($I827="Orçamento","Aguardando aprovação",""))))</f>
        <v>0</v>
      </c>
      <c r="Z827" s="33">
        <f>IF(AND($I827="Entregue",$M827&lt;&gt;""),DATE(YEAR($M827),MONTH($M827),1),"")</f>
        <v>0</v>
      </c>
      <c r="AA827" s="34">
        <f>IF(AND($C827&lt;&gt;"",$C827=HistPlaca),COUNTIF($C$5:$C827,HistPlaca),"")</f>
        <v>0</v>
      </c>
    </row>
    <row r="828" spans="1:27">
      <c r="A828" s="17"/>
      <c r="B828" s="25"/>
      <c r="C828" s="13"/>
      <c r="D828" s="26">
        <f>IF($C828="","",IFERROR(INDEX(VeicCli,MATCH($C828,VeicPlaca,0)),"Placa não cadastrada"))</f>
        <v>0</v>
      </c>
      <c r="E828" s="26">
        <f>IF($C828="","",IFERROR(INDEX(VeicModelo,MATCH($C828,VeicPlaca,0)),""))</f>
        <v>0</v>
      </c>
      <c r="F828" s="28"/>
      <c r="G828" s="13"/>
      <c r="H828" s="13"/>
      <c r="I828" s="13"/>
      <c r="J828" s="29"/>
      <c r="K828" s="19"/>
      <c r="L828" s="19"/>
      <c r="M828" s="25"/>
      <c r="N828" s="13"/>
      <c r="O828" s="19"/>
      <c r="P828" s="27">
        <f>IF($A828="","",N($J828)*ValorHora)</f>
        <v>0</v>
      </c>
      <c r="Q828" s="27">
        <f>IF($A828="","",SUMIFS(ItTotal,ItOS,$A828))</f>
        <v>0</v>
      </c>
      <c r="R828" s="30">
        <f>IF($A828="","",$P828+$Q828+N($K828)-N($L828))</f>
        <v>0</v>
      </c>
      <c r="S828" s="27">
        <f>IF($A828="","",SUMIFS(ItCusto,ItOS,$A828))</f>
        <v>0</v>
      </c>
      <c r="T828" s="27">
        <f>IF($A828="","",$P828*ComMec)</f>
        <v>0</v>
      </c>
      <c r="U828" s="21">
        <f>IF($A828="","",$R828-$S828-$T828-N($K828))</f>
        <v>0</v>
      </c>
      <c r="V828" s="31">
        <f>IF(OR($A828="",N($R828)&lt;=0),"",$U828/$R828)</f>
        <v>0</v>
      </c>
      <c r="W828" s="27">
        <f>IF($A828="","",IF(OR($I828="Finalizado",$I828="Entregue"),MAX(0,$R828-N($O828)),0))</f>
        <v>0</v>
      </c>
      <c r="X828" s="32">
        <f>IF(OR($A828="",$B828=""),"",IF(OR($I828="Entregue",$I828="Cancelada"),"",Hoje-$B828))</f>
        <v>0</v>
      </c>
      <c r="Y828" s="24">
        <f>IF($A828="","",IF(AND(OR($I828="Aprovado",$I828="Em execução",$I828="Aguardando peça"),N($X828)&gt;PrazoMax),"ATRASADA",IF(AND(OR($I828="Finalizado",$I828="Entregue"),$W828&gt;0.005),"Cobrar",IF($I828="Orçamento","Aguardando aprovação",""))))</f>
        <v>0</v>
      </c>
      <c r="Z828" s="33">
        <f>IF(AND($I828="Entregue",$M828&lt;&gt;""),DATE(YEAR($M828),MONTH($M828),1),"")</f>
        <v>0</v>
      </c>
      <c r="AA828" s="34">
        <f>IF(AND($C828&lt;&gt;"",$C828=HistPlaca),COUNTIF($C$5:$C828,HistPlaca),"")</f>
        <v>0</v>
      </c>
    </row>
    <row r="829" spans="1:27">
      <c r="A829" s="17"/>
      <c r="B829" s="25"/>
      <c r="C829" s="13"/>
      <c r="D829" s="26">
        <f>IF($C829="","",IFERROR(INDEX(VeicCli,MATCH($C829,VeicPlaca,0)),"Placa não cadastrada"))</f>
        <v>0</v>
      </c>
      <c r="E829" s="26">
        <f>IF($C829="","",IFERROR(INDEX(VeicModelo,MATCH($C829,VeicPlaca,0)),""))</f>
        <v>0</v>
      </c>
      <c r="F829" s="28"/>
      <c r="G829" s="13"/>
      <c r="H829" s="13"/>
      <c r="I829" s="13"/>
      <c r="J829" s="29"/>
      <c r="K829" s="19"/>
      <c r="L829" s="19"/>
      <c r="M829" s="25"/>
      <c r="N829" s="13"/>
      <c r="O829" s="19"/>
      <c r="P829" s="27">
        <f>IF($A829="","",N($J829)*ValorHora)</f>
        <v>0</v>
      </c>
      <c r="Q829" s="27">
        <f>IF($A829="","",SUMIFS(ItTotal,ItOS,$A829))</f>
        <v>0</v>
      </c>
      <c r="R829" s="30">
        <f>IF($A829="","",$P829+$Q829+N($K829)-N($L829))</f>
        <v>0</v>
      </c>
      <c r="S829" s="27">
        <f>IF($A829="","",SUMIFS(ItCusto,ItOS,$A829))</f>
        <v>0</v>
      </c>
      <c r="T829" s="27">
        <f>IF($A829="","",$P829*ComMec)</f>
        <v>0</v>
      </c>
      <c r="U829" s="21">
        <f>IF($A829="","",$R829-$S829-$T829-N($K829))</f>
        <v>0</v>
      </c>
      <c r="V829" s="31">
        <f>IF(OR($A829="",N($R829)&lt;=0),"",$U829/$R829)</f>
        <v>0</v>
      </c>
      <c r="W829" s="27">
        <f>IF($A829="","",IF(OR($I829="Finalizado",$I829="Entregue"),MAX(0,$R829-N($O829)),0))</f>
        <v>0</v>
      </c>
      <c r="X829" s="32">
        <f>IF(OR($A829="",$B829=""),"",IF(OR($I829="Entregue",$I829="Cancelada"),"",Hoje-$B829))</f>
        <v>0</v>
      </c>
      <c r="Y829" s="24">
        <f>IF($A829="","",IF(AND(OR($I829="Aprovado",$I829="Em execução",$I829="Aguardando peça"),N($X829)&gt;PrazoMax),"ATRASADA",IF(AND(OR($I829="Finalizado",$I829="Entregue"),$W829&gt;0.005),"Cobrar",IF($I829="Orçamento","Aguardando aprovação",""))))</f>
        <v>0</v>
      </c>
      <c r="Z829" s="33">
        <f>IF(AND($I829="Entregue",$M829&lt;&gt;""),DATE(YEAR($M829),MONTH($M829),1),"")</f>
        <v>0</v>
      </c>
      <c r="AA829" s="34">
        <f>IF(AND($C829&lt;&gt;"",$C829=HistPlaca),COUNTIF($C$5:$C829,HistPlaca),"")</f>
        <v>0</v>
      </c>
    </row>
    <row r="830" spans="1:27">
      <c r="A830" s="17"/>
      <c r="B830" s="25"/>
      <c r="C830" s="13"/>
      <c r="D830" s="26">
        <f>IF($C830="","",IFERROR(INDEX(VeicCli,MATCH($C830,VeicPlaca,0)),"Placa não cadastrada"))</f>
        <v>0</v>
      </c>
      <c r="E830" s="26">
        <f>IF($C830="","",IFERROR(INDEX(VeicModelo,MATCH($C830,VeicPlaca,0)),""))</f>
        <v>0</v>
      </c>
      <c r="F830" s="28"/>
      <c r="G830" s="13"/>
      <c r="H830" s="13"/>
      <c r="I830" s="13"/>
      <c r="J830" s="29"/>
      <c r="K830" s="19"/>
      <c r="L830" s="19"/>
      <c r="M830" s="25"/>
      <c r="N830" s="13"/>
      <c r="O830" s="19"/>
      <c r="P830" s="27">
        <f>IF($A830="","",N($J830)*ValorHora)</f>
        <v>0</v>
      </c>
      <c r="Q830" s="27">
        <f>IF($A830="","",SUMIFS(ItTotal,ItOS,$A830))</f>
        <v>0</v>
      </c>
      <c r="R830" s="30">
        <f>IF($A830="","",$P830+$Q830+N($K830)-N($L830))</f>
        <v>0</v>
      </c>
      <c r="S830" s="27">
        <f>IF($A830="","",SUMIFS(ItCusto,ItOS,$A830))</f>
        <v>0</v>
      </c>
      <c r="T830" s="27">
        <f>IF($A830="","",$P830*ComMec)</f>
        <v>0</v>
      </c>
      <c r="U830" s="21">
        <f>IF($A830="","",$R830-$S830-$T830-N($K830))</f>
        <v>0</v>
      </c>
      <c r="V830" s="31">
        <f>IF(OR($A830="",N($R830)&lt;=0),"",$U830/$R830)</f>
        <v>0</v>
      </c>
      <c r="W830" s="27">
        <f>IF($A830="","",IF(OR($I830="Finalizado",$I830="Entregue"),MAX(0,$R830-N($O830)),0))</f>
        <v>0</v>
      </c>
      <c r="X830" s="32">
        <f>IF(OR($A830="",$B830=""),"",IF(OR($I830="Entregue",$I830="Cancelada"),"",Hoje-$B830))</f>
        <v>0</v>
      </c>
      <c r="Y830" s="24">
        <f>IF($A830="","",IF(AND(OR($I830="Aprovado",$I830="Em execução",$I830="Aguardando peça"),N($X830)&gt;PrazoMax),"ATRASADA",IF(AND(OR($I830="Finalizado",$I830="Entregue"),$W830&gt;0.005),"Cobrar",IF($I830="Orçamento","Aguardando aprovação",""))))</f>
        <v>0</v>
      </c>
      <c r="Z830" s="33">
        <f>IF(AND($I830="Entregue",$M830&lt;&gt;""),DATE(YEAR($M830),MONTH($M830),1),"")</f>
        <v>0</v>
      </c>
      <c r="AA830" s="34">
        <f>IF(AND($C830&lt;&gt;"",$C830=HistPlaca),COUNTIF($C$5:$C830,HistPlaca),"")</f>
        <v>0</v>
      </c>
    </row>
    <row r="831" spans="1:27">
      <c r="A831" s="17"/>
      <c r="B831" s="25"/>
      <c r="C831" s="13"/>
      <c r="D831" s="26">
        <f>IF($C831="","",IFERROR(INDEX(VeicCli,MATCH($C831,VeicPlaca,0)),"Placa não cadastrada"))</f>
        <v>0</v>
      </c>
      <c r="E831" s="26">
        <f>IF($C831="","",IFERROR(INDEX(VeicModelo,MATCH($C831,VeicPlaca,0)),""))</f>
        <v>0</v>
      </c>
      <c r="F831" s="28"/>
      <c r="G831" s="13"/>
      <c r="H831" s="13"/>
      <c r="I831" s="13"/>
      <c r="J831" s="29"/>
      <c r="K831" s="19"/>
      <c r="L831" s="19"/>
      <c r="M831" s="25"/>
      <c r="N831" s="13"/>
      <c r="O831" s="19"/>
      <c r="P831" s="27">
        <f>IF($A831="","",N($J831)*ValorHora)</f>
        <v>0</v>
      </c>
      <c r="Q831" s="27">
        <f>IF($A831="","",SUMIFS(ItTotal,ItOS,$A831))</f>
        <v>0</v>
      </c>
      <c r="R831" s="30">
        <f>IF($A831="","",$P831+$Q831+N($K831)-N($L831))</f>
        <v>0</v>
      </c>
      <c r="S831" s="27">
        <f>IF($A831="","",SUMIFS(ItCusto,ItOS,$A831))</f>
        <v>0</v>
      </c>
      <c r="T831" s="27">
        <f>IF($A831="","",$P831*ComMec)</f>
        <v>0</v>
      </c>
      <c r="U831" s="21">
        <f>IF($A831="","",$R831-$S831-$T831-N($K831))</f>
        <v>0</v>
      </c>
      <c r="V831" s="31">
        <f>IF(OR($A831="",N($R831)&lt;=0),"",$U831/$R831)</f>
        <v>0</v>
      </c>
      <c r="W831" s="27">
        <f>IF($A831="","",IF(OR($I831="Finalizado",$I831="Entregue"),MAX(0,$R831-N($O831)),0))</f>
        <v>0</v>
      </c>
      <c r="X831" s="32">
        <f>IF(OR($A831="",$B831=""),"",IF(OR($I831="Entregue",$I831="Cancelada"),"",Hoje-$B831))</f>
        <v>0</v>
      </c>
      <c r="Y831" s="24">
        <f>IF($A831="","",IF(AND(OR($I831="Aprovado",$I831="Em execução",$I831="Aguardando peça"),N($X831)&gt;PrazoMax),"ATRASADA",IF(AND(OR($I831="Finalizado",$I831="Entregue"),$W831&gt;0.005),"Cobrar",IF($I831="Orçamento","Aguardando aprovação",""))))</f>
        <v>0</v>
      </c>
      <c r="Z831" s="33">
        <f>IF(AND($I831="Entregue",$M831&lt;&gt;""),DATE(YEAR($M831),MONTH($M831),1),"")</f>
        <v>0</v>
      </c>
      <c r="AA831" s="34">
        <f>IF(AND($C831&lt;&gt;"",$C831=HistPlaca),COUNTIF($C$5:$C831,HistPlaca),"")</f>
        <v>0</v>
      </c>
    </row>
    <row r="832" spans="1:27">
      <c r="A832" s="17"/>
      <c r="B832" s="25"/>
      <c r="C832" s="13"/>
      <c r="D832" s="26">
        <f>IF($C832="","",IFERROR(INDEX(VeicCli,MATCH($C832,VeicPlaca,0)),"Placa não cadastrada"))</f>
        <v>0</v>
      </c>
      <c r="E832" s="26">
        <f>IF($C832="","",IFERROR(INDEX(VeicModelo,MATCH($C832,VeicPlaca,0)),""))</f>
        <v>0</v>
      </c>
      <c r="F832" s="28"/>
      <c r="G832" s="13"/>
      <c r="H832" s="13"/>
      <c r="I832" s="13"/>
      <c r="J832" s="29"/>
      <c r="K832" s="19"/>
      <c r="L832" s="19"/>
      <c r="M832" s="25"/>
      <c r="N832" s="13"/>
      <c r="O832" s="19"/>
      <c r="P832" s="27">
        <f>IF($A832="","",N($J832)*ValorHora)</f>
        <v>0</v>
      </c>
      <c r="Q832" s="27">
        <f>IF($A832="","",SUMIFS(ItTotal,ItOS,$A832))</f>
        <v>0</v>
      </c>
      <c r="R832" s="30">
        <f>IF($A832="","",$P832+$Q832+N($K832)-N($L832))</f>
        <v>0</v>
      </c>
      <c r="S832" s="27">
        <f>IF($A832="","",SUMIFS(ItCusto,ItOS,$A832))</f>
        <v>0</v>
      </c>
      <c r="T832" s="27">
        <f>IF($A832="","",$P832*ComMec)</f>
        <v>0</v>
      </c>
      <c r="U832" s="21">
        <f>IF($A832="","",$R832-$S832-$T832-N($K832))</f>
        <v>0</v>
      </c>
      <c r="V832" s="31">
        <f>IF(OR($A832="",N($R832)&lt;=0),"",$U832/$R832)</f>
        <v>0</v>
      </c>
      <c r="W832" s="27">
        <f>IF($A832="","",IF(OR($I832="Finalizado",$I832="Entregue"),MAX(0,$R832-N($O832)),0))</f>
        <v>0</v>
      </c>
      <c r="X832" s="32">
        <f>IF(OR($A832="",$B832=""),"",IF(OR($I832="Entregue",$I832="Cancelada"),"",Hoje-$B832))</f>
        <v>0</v>
      </c>
      <c r="Y832" s="24">
        <f>IF($A832="","",IF(AND(OR($I832="Aprovado",$I832="Em execução",$I832="Aguardando peça"),N($X832)&gt;PrazoMax),"ATRASADA",IF(AND(OR($I832="Finalizado",$I832="Entregue"),$W832&gt;0.005),"Cobrar",IF($I832="Orçamento","Aguardando aprovação",""))))</f>
        <v>0</v>
      </c>
      <c r="Z832" s="33">
        <f>IF(AND($I832="Entregue",$M832&lt;&gt;""),DATE(YEAR($M832),MONTH($M832),1),"")</f>
        <v>0</v>
      </c>
      <c r="AA832" s="34">
        <f>IF(AND($C832&lt;&gt;"",$C832=HistPlaca),COUNTIF($C$5:$C832,HistPlaca),"")</f>
        <v>0</v>
      </c>
    </row>
    <row r="833" spans="1:27">
      <c r="A833" s="17"/>
      <c r="B833" s="25"/>
      <c r="C833" s="13"/>
      <c r="D833" s="26">
        <f>IF($C833="","",IFERROR(INDEX(VeicCli,MATCH($C833,VeicPlaca,0)),"Placa não cadastrada"))</f>
        <v>0</v>
      </c>
      <c r="E833" s="26">
        <f>IF($C833="","",IFERROR(INDEX(VeicModelo,MATCH($C833,VeicPlaca,0)),""))</f>
        <v>0</v>
      </c>
      <c r="F833" s="28"/>
      <c r="G833" s="13"/>
      <c r="H833" s="13"/>
      <c r="I833" s="13"/>
      <c r="J833" s="29"/>
      <c r="K833" s="19"/>
      <c r="L833" s="19"/>
      <c r="M833" s="25"/>
      <c r="N833" s="13"/>
      <c r="O833" s="19"/>
      <c r="P833" s="27">
        <f>IF($A833="","",N($J833)*ValorHora)</f>
        <v>0</v>
      </c>
      <c r="Q833" s="27">
        <f>IF($A833="","",SUMIFS(ItTotal,ItOS,$A833))</f>
        <v>0</v>
      </c>
      <c r="R833" s="30">
        <f>IF($A833="","",$P833+$Q833+N($K833)-N($L833))</f>
        <v>0</v>
      </c>
      <c r="S833" s="27">
        <f>IF($A833="","",SUMIFS(ItCusto,ItOS,$A833))</f>
        <v>0</v>
      </c>
      <c r="T833" s="27">
        <f>IF($A833="","",$P833*ComMec)</f>
        <v>0</v>
      </c>
      <c r="U833" s="21">
        <f>IF($A833="","",$R833-$S833-$T833-N($K833))</f>
        <v>0</v>
      </c>
      <c r="V833" s="31">
        <f>IF(OR($A833="",N($R833)&lt;=0),"",$U833/$R833)</f>
        <v>0</v>
      </c>
      <c r="W833" s="27">
        <f>IF($A833="","",IF(OR($I833="Finalizado",$I833="Entregue"),MAX(0,$R833-N($O833)),0))</f>
        <v>0</v>
      </c>
      <c r="X833" s="32">
        <f>IF(OR($A833="",$B833=""),"",IF(OR($I833="Entregue",$I833="Cancelada"),"",Hoje-$B833))</f>
        <v>0</v>
      </c>
      <c r="Y833" s="24">
        <f>IF($A833="","",IF(AND(OR($I833="Aprovado",$I833="Em execução",$I833="Aguardando peça"),N($X833)&gt;PrazoMax),"ATRASADA",IF(AND(OR($I833="Finalizado",$I833="Entregue"),$W833&gt;0.005),"Cobrar",IF($I833="Orçamento","Aguardando aprovação",""))))</f>
        <v>0</v>
      </c>
      <c r="Z833" s="33">
        <f>IF(AND($I833="Entregue",$M833&lt;&gt;""),DATE(YEAR($M833),MONTH($M833),1),"")</f>
        <v>0</v>
      </c>
      <c r="AA833" s="34">
        <f>IF(AND($C833&lt;&gt;"",$C833=HistPlaca),COUNTIF($C$5:$C833,HistPlaca),"")</f>
        <v>0</v>
      </c>
    </row>
    <row r="834" spans="1:27">
      <c r="A834" s="17"/>
      <c r="B834" s="25"/>
      <c r="C834" s="13"/>
      <c r="D834" s="26">
        <f>IF($C834="","",IFERROR(INDEX(VeicCli,MATCH($C834,VeicPlaca,0)),"Placa não cadastrada"))</f>
        <v>0</v>
      </c>
      <c r="E834" s="26">
        <f>IF($C834="","",IFERROR(INDEX(VeicModelo,MATCH($C834,VeicPlaca,0)),""))</f>
        <v>0</v>
      </c>
      <c r="F834" s="28"/>
      <c r="G834" s="13"/>
      <c r="H834" s="13"/>
      <c r="I834" s="13"/>
      <c r="J834" s="29"/>
      <c r="K834" s="19"/>
      <c r="L834" s="19"/>
      <c r="M834" s="25"/>
      <c r="N834" s="13"/>
      <c r="O834" s="19"/>
      <c r="P834" s="27">
        <f>IF($A834="","",N($J834)*ValorHora)</f>
        <v>0</v>
      </c>
      <c r="Q834" s="27">
        <f>IF($A834="","",SUMIFS(ItTotal,ItOS,$A834))</f>
        <v>0</v>
      </c>
      <c r="R834" s="30">
        <f>IF($A834="","",$P834+$Q834+N($K834)-N($L834))</f>
        <v>0</v>
      </c>
      <c r="S834" s="27">
        <f>IF($A834="","",SUMIFS(ItCusto,ItOS,$A834))</f>
        <v>0</v>
      </c>
      <c r="T834" s="27">
        <f>IF($A834="","",$P834*ComMec)</f>
        <v>0</v>
      </c>
      <c r="U834" s="21">
        <f>IF($A834="","",$R834-$S834-$T834-N($K834))</f>
        <v>0</v>
      </c>
      <c r="V834" s="31">
        <f>IF(OR($A834="",N($R834)&lt;=0),"",$U834/$R834)</f>
        <v>0</v>
      </c>
      <c r="W834" s="27">
        <f>IF($A834="","",IF(OR($I834="Finalizado",$I834="Entregue"),MAX(0,$R834-N($O834)),0))</f>
        <v>0</v>
      </c>
      <c r="X834" s="32">
        <f>IF(OR($A834="",$B834=""),"",IF(OR($I834="Entregue",$I834="Cancelada"),"",Hoje-$B834))</f>
        <v>0</v>
      </c>
      <c r="Y834" s="24">
        <f>IF($A834="","",IF(AND(OR($I834="Aprovado",$I834="Em execução",$I834="Aguardando peça"),N($X834)&gt;PrazoMax),"ATRASADA",IF(AND(OR($I834="Finalizado",$I834="Entregue"),$W834&gt;0.005),"Cobrar",IF($I834="Orçamento","Aguardando aprovação",""))))</f>
        <v>0</v>
      </c>
      <c r="Z834" s="33">
        <f>IF(AND($I834="Entregue",$M834&lt;&gt;""),DATE(YEAR($M834),MONTH($M834),1),"")</f>
        <v>0</v>
      </c>
      <c r="AA834" s="34">
        <f>IF(AND($C834&lt;&gt;"",$C834=HistPlaca),COUNTIF($C$5:$C834,HistPlaca),"")</f>
        <v>0</v>
      </c>
    </row>
    <row r="835" spans="1:27">
      <c r="A835" s="17"/>
      <c r="B835" s="25"/>
      <c r="C835" s="13"/>
      <c r="D835" s="26">
        <f>IF($C835="","",IFERROR(INDEX(VeicCli,MATCH($C835,VeicPlaca,0)),"Placa não cadastrada"))</f>
        <v>0</v>
      </c>
      <c r="E835" s="26">
        <f>IF($C835="","",IFERROR(INDEX(VeicModelo,MATCH($C835,VeicPlaca,0)),""))</f>
        <v>0</v>
      </c>
      <c r="F835" s="28"/>
      <c r="G835" s="13"/>
      <c r="H835" s="13"/>
      <c r="I835" s="13"/>
      <c r="J835" s="29"/>
      <c r="K835" s="19"/>
      <c r="L835" s="19"/>
      <c r="M835" s="25"/>
      <c r="N835" s="13"/>
      <c r="O835" s="19"/>
      <c r="P835" s="27">
        <f>IF($A835="","",N($J835)*ValorHora)</f>
        <v>0</v>
      </c>
      <c r="Q835" s="27">
        <f>IF($A835="","",SUMIFS(ItTotal,ItOS,$A835))</f>
        <v>0</v>
      </c>
      <c r="R835" s="30">
        <f>IF($A835="","",$P835+$Q835+N($K835)-N($L835))</f>
        <v>0</v>
      </c>
      <c r="S835" s="27">
        <f>IF($A835="","",SUMIFS(ItCusto,ItOS,$A835))</f>
        <v>0</v>
      </c>
      <c r="T835" s="27">
        <f>IF($A835="","",$P835*ComMec)</f>
        <v>0</v>
      </c>
      <c r="U835" s="21">
        <f>IF($A835="","",$R835-$S835-$T835-N($K835))</f>
        <v>0</v>
      </c>
      <c r="V835" s="31">
        <f>IF(OR($A835="",N($R835)&lt;=0),"",$U835/$R835)</f>
        <v>0</v>
      </c>
      <c r="W835" s="27">
        <f>IF($A835="","",IF(OR($I835="Finalizado",$I835="Entregue"),MAX(0,$R835-N($O835)),0))</f>
        <v>0</v>
      </c>
      <c r="X835" s="32">
        <f>IF(OR($A835="",$B835=""),"",IF(OR($I835="Entregue",$I835="Cancelada"),"",Hoje-$B835))</f>
        <v>0</v>
      </c>
      <c r="Y835" s="24">
        <f>IF($A835="","",IF(AND(OR($I835="Aprovado",$I835="Em execução",$I835="Aguardando peça"),N($X835)&gt;PrazoMax),"ATRASADA",IF(AND(OR($I835="Finalizado",$I835="Entregue"),$W835&gt;0.005),"Cobrar",IF($I835="Orçamento","Aguardando aprovação",""))))</f>
        <v>0</v>
      </c>
      <c r="Z835" s="33">
        <f>IF(AND($I835="Entregue",$M835&lt;&gt;""),DATE(YEAR($M835),MONTH($M835),1),"")</f>
        <v>0</v>
      </c>
      <c r="AA835" s="34">
        <f>IF(AND($C835&lt;&gt;"",$C835=HistPlaca),COUNTIF($C$5:$C835,HistPlaca),"")</f>
        <v>0</v>
      </c>
    </row>
    <row r="836" spans="1:27">
      <c r="A836" s="17"/>
      <c r="B836" s="25"/>
      <c r="C836" s="13"/>
      <c r="D836" s="26">
        <f>IF($C836="","",IFERROR(INDEX(VeicCli,MATCH($C836,VeicPlaca,0)),"Placa não cadastrada"))</f>
        <v>0</v>
      </c>
      <c r="E836" s="26">
        <f>IF($C836="","",IFERROR(INDEX(VeicModelo,MATCH($C836,VeicPlaca,0)),""))</f>
        <v>0</v>
      </c>
      <c r="F836" s="28"/>
      <c r="G836" s="13"/>
      <c r="H836" s="13"/>
      <c r="I836" s="13"/>
      <c r="J836" s="29"/>
      <c r="K836" s="19"/>
      <c r="L836" s="19"/>
      <c r="M836" s="25"/>
      <c r="N836" s="13"/>
      <c r="O836" s="19"/>
      <c r="P836" s="27">
        <f>IF($A836="","",N($J836)*ValorHora)</f>
        <v>0</v>
      </c>
      <c r="Q836" s="27">
        <f>IF($A836="","",SUMIFS(ItTotal,ItOS,$A836))</f>
        <v>0</v>
      </c>
      <c r="R836" s="30">
        <f>IF($A836="","",$P836+$Q836+N($K836)-N($L836))</f>
        <v>0</v>
      </c>
      <c r="S836" s="27">
        <f>IF($A836="","",SUMIFS(ItCusto,ItOS,$A836))</f>
        <v>0</v>
      </c>
      <c r="T836" s="27">
        <f>IF($A836="","",$P836*ComMec)</f>
        <v>0</v>
      </c>
      <c r="U836" s="21">
        <f>IF($A836="","",$R836-$S836-$T836-N($K836))</f>
        <v>0</v>
      </c>
      <c r="V836" s="31">
        <f>IF(OR($A836="",N($R836)&lt;=0),"",$U836/$R836)</f>
        <v>0</v>
      </c>
      <c r="W836" s="27">
        <f>IF($A836="","",IF(OR($I836="Finalizado",$I836="Entregue"),MAX(0,$R836-N($O836)),0))</f>
        <v>0</v>
      </c>
      <c r="X836" s="32">
        <f>IF(OR($A836="",$B836=""),"",IF(OR($I836="Entregue",$I836="Cancelada"),"",Hoje-$B836))</f>
        <v>0</v>
      </c>
      <c r="Y836" s="24">
        <f>IF($A836="","",IF(AND(OR($I836="Aprovado",$I836="Em execução",$I836="Aguardando peça"),N($X836)&gt;PrazoMax),"ATRASADA",IF(AND(OR($I836="Finalizado",$I836="Entregue"),$W836&gt;0.005),"Cobrar",IF($I836="Orçamento","Aguardando aprovação",""))))</f>
        <v>0</v>
      </c>
      <c r="Z836" s="33">
        <f>IF(AND($I836="Entregue",$M836&lt;&gt;""),DATE(YEAR($M836),MONTH($M836),1),"")</f>
        <v>0</v>
      </c>
      <c r="AA836" s="34">
        <f>IF(AND($C836&lt;&gt;"",$C836=HistPlaca),COUNTIF($C$5:$C836,HistPlaca),"")</f>
        <v>0</v>
      </c>
    </row>
    <row r="837" spans="1:27">
      <c r="A837" s="17"/>
      <c r="B837" s="25"/>
      <c r="C837" s="13"/>
      <c r="D837" s="26">
        <f>IF($C837="","",IFERROR(INDEX(VeicCli,MATCH($C837,VeicPlaca,0)),"Placa não cadastrada"))</f>
        <v>0</v>
      </c>
      <c r="E837" s="26">
        <f>IF($C837="","",IFERROR(INDEX(VeicModelo,MATCH($C837,VeicPlaca,0)),""))</f>
        <v>0</v>
      </c>
      <c r="F837" s="28"/>
      <c r="G837" s="13"/>
      <c r="H837" s="13"/>
      <c r="I837" s="13"/>
      <c r="J837" s="29"/>
      <c r="K837" s="19"/>
      <c r="L837" s="19"/>
      <c r="M837" s="25"/>
      <c r="N837" s="13"/>
      <c r="O837" s="19"/>
      <c r="P837" s="27">
        <f>IF($A837="","",N($J837)*ValorHora)</f>
        <v>0</v>
      </c>
      <c r="Q837" s="27">
        <f>IF($A837="","",SUMIFS(ItTotal,ItOS,$A837))</f>
        <v>0</v>
      </c>
      <c r="R837" s="30">
        <f>IF($A837="","",$P837+$Q837+N($K837)-N($L837))</f>
        <v>0</v>
      </c>
      <c r="S837" s="27">
        <f>IF($A837="","",SUMIFS(ItCusto,ItOS,$A837))</f>
        <v>0</v>
      </c>
      <c r="T837" s="27">
        <f>IF($A837="","",$P837*ComMec)</f>
        <v>0</v>
      </c>
      <c r="U837" s="21">
        <f>IF($A837="","",$R837-$S837-$T837-N($K837))</f>
        <v>0</v>
      </c>
      <c r="V837" s="31">
        <f>IF(OR($A837="",N($R837)&lt;=0),"",$U837/$R837)</f>
        <v>0</v>
      </c>
      <c r="W837" s="27">
        <f>IF($A837="","",IF(OR($I837="Finalizado",$I837="Entregue"),MAX(0,$R837-N($O837)),0))</f>
        <v>0</v>
      </c>
      <c r="X837" s="32">
        <f>IF(OR($A837="",$B837=""),"",IF(OR($I837="Entregue",$I837="Cancelada"),"",Hoje-$B837))</f>
        <v>0</v>
      </c>
      <c r="Y837" s="24">
        <f>IF($A837="","",IF(AND(OR($I837="Aprovado",$I837="Em execução",$I837="Aguardando peça"),N($X837)&gt;PrazoMax),"ATRASADA",IF(AND(OR($I837="Finalizado",$I837="Entregue"),$W837&gt;0.005),"Cobrar",IF($I837="Orçamento","Aguardando aprovação",""))))</f>
        <v>0</v>
      </c>
      <c r="Z837" s="33">
        <f>IF(AND($I837="Entregue",$M837&lt;&gt;""),DATE(YEAR($M837),MONTH($M837),1),"")</f>
        <v>0</v>
      </c>
      <c r="AA837" s="34">
        <f>IF(AND($C837&lt;&gt;"",$C837=HistPlaca),COUNTIF($C$5:$C837,HistPlaca),"")</f>
        <v>0</v>
      </c>
    </row>
    <row r="838" spans="1:27">
      <c r="A838" s="17"/>
      <c r="B838" s="25"/>
      <c r="C838" s="13"/>
      <c r="D838" s="26">
        <f>IF($C838="","",IFERROR(INDEX(VeicCli,MATCH($C838,VeicPlaca,0)),"Placa não cadastrada"))</f>
        <v>0</v>
      </c>
      <c r="E838" s="26">
        <f>IF($C838="","",IFERROR(INDEX(VeicModelo,MATCH($C838,VeicPlaca,0)),""))</f>
        <v>0</v>
      </c>
      <c r="F838" s="28"/>
      <c r="G838" s="13"/>
      <c r="H838" s="13"/>
      <c r="I838" s="13"/>
      <c r="J838" s="29"/>
      <c r="K838" s="19"/>
      <c r="L838" s="19"/>
      <c r="M838" s="25"/>
      <c r="N838" s="13"/>
      <c r="O838" s="19"/>
      <c r="P838" s="27">
        <f>IF($A838="","",N($J838)*ValorHora)</f>
        <v>0</v>
      </c>
      <c r="Q838" s="27">
        <f>IF($A838="","",SUMIFS(ItTotal,ItOS,$A838))</f>
        <v>0</v>
      </c>
      <c r="R838" s="30">
        <f>IF($A838="","",$P838+$Q838+N($K838)-N($L838))</f>
        <v>0</v>
      </c>
      <c r="S838" s="27">
        <f>IF($A838="","",SUMIFS(ItCusto,ItOS,$A838))</f>
        <v>0</v>
      </c>
      <c r="T838" s="27">
        <f>IF($A838="","",$P838*ComMec)</f>
        <v>0</v>
      </c>
      <c r="U838" s="21">
        <f>IF($A838="","",$R838-$S838-$T838-N($K838))</f>
        <v>0</v>
      </c>
      <c r="V838" s="31">
        <f>IF(OR($A838="",N($R838)&lt;=0),"",$U838/$R838)</f>
        <v>0</v>
      </c>
      <c r="W838" s="27">
        <f>IF($A838="","",IF(OR($I838="Finalizado",$I838="Entregue"),MAX(0,$R838-N($O838)),0))</f>
        <v>0</v>
      </c>
      <c r="X838" s="32">
        <f>IF(OR($A838="",$B838=""),"",IF(OR($I838="Entregue",$I838="Cancelada"),"",Hoje-$B838))</f>
        <v>0</v>
      </c>
      <c r="Y838" s="24">
        <f>IF($A838="","",IF(AND(OR($I838="Aprovado",$I838="Em execução",$I838="Aguardando peça"),N($X838)&gt;PrazoMax),"ATRASADA",IF(AND(OR($I838="Finalizado",$I838="Entregue"),$W838&gt;0.005),"Cobrar",IF($I838="Orçamento","Aguardando aprovação",""))))</f>
        <v>0</v>
      </c>
      <c r="Z838" s="33">
        <f>IF(AND($I838="Entregue",$M838&lt;&gt;""),DATE(YEAR($M838),MONTH($M838),1),"")</f>
        <v>0</v>
      </c>
      <c r="AA838" s="34">
        <f>IF(AND($C838&lt;&gt;"",$C838=HistPlaca),COUNTIF($C$5:$C838,HistPlaca),"")</f>
        <v>0</v>
      </c>
    </row>
    <row r="839" spans="1:27">
      <c r="A839" s="17"/>
      <c r="B839" s="25"/>
      <c r="C839" s="13"/>
      <c r="D839" s="26">
        <f>IF($C839="","",IFERROR(INDEX(VeicCli,MATCH($C839,VeicPlaca,0)),"Placa não cadastrada"))</f>
        <v>0</v>
      </c>
      <c r="E839" s="26">
        <f>IF($C839="","",IFERROR(INDEX(VeicModelo,MATCH($C839,VeicPlaca,0)),""))</f>
        <v>0</v>
      </c>
      <c r="F839" s="28"/>
      <c r="G839" s="13"/>
      <c r="H839" s="13"/>
      <c r="I839" s="13"/>
      <c r="J839" s="29"/>
      <c r="K839" s="19"/>
      <c r="L839" s="19"/>
      <c r="M839" s="25"/>
      <c r="N839" s="13"/>
      <c r="O839" s="19"/>
      <c r="P839" s="27">
        <f>IF($A839="","",N($J839)*ValorHora)</f>
        <v>0</v>
      </c>
      <c r="Q839" s="27">
        <f>IF($A839="","",SUMIFS(ItTotal,ItOS,$A839))</f>
        <v>0</v>
      </c>
      <c r="R839" s="30">
        <f>IF($A839="","",$P839+$Q839+N($K839)-N($L839))</f>
        <v>0</v>
      </c>
      <c r="S839" s="27">
        <f>IF($A839="","",SUMIFS(ItCusto,ItOS,$A839))</f>
        <v>0</v>
      </c>
      <c r="T839" s="27">
        <f>IF($A839="","",$P839*ComMec)</f>
        <v>0</v>
      </c>
      <c r="U839" s="21">
        <f>IF($A839="","",$R839-$S839-$T839-N($K839))</f>
        <v>0</v>
      </c>
      <c r="V839" s="31">
        <f>IF(OR($A839="",N($R839)&lt;=0),"",$U839/$R839)</f>
        <v>0</v>
      </c>
      <c r="W839" s="27">
        <f>IF($A839="","",IF(OR($I839="Finalizado",$I839="Entregue"),MAX(0,$R839-N($O839)),0))</f>
        <v>0</v>
      </c>
      <c r="X839" s="32">
        <f>IF(OR($A839="",$B839=""),"",IF(OR($I839="Entregue",$I839="Cancelada"),"",Hoje-$B839))</f>
        <v>0</v>
      </c>
      <c r="Y839" s="24">
        <f>IF($A839="","",IF(AND(OR($I839="Aprovado",$I839="Em execução",$I839="Aguardando peça"),N($X839)&gt;PrazoMax),"ATRASADA",IF(AND(OR($I839="Finalizado",$I839="Entregue"),$W839&gt;0.005),"Cobrar",IF($I839="Orçamento","Aguardando aprovação",""))))</f>
        <v>0</v>
      </c>
      <c r="Z839" s="33">
        <f>IF(AND($I839="Entregue",$M839&lt;&gt;""),DATE(YEAR($M839),MONTH($M839),1),"")</f>
        <v>0</v>
      </c>
      <c r="AA839" s="34">
        <f>IF(AND($C839&lt;&gt;"",$C839=HistPlaca),COUNTIF($C$5:$C839,HistPlaca),"")</f>
        <v>0</v>
      </c>
    </row>
    <row r="840" spans="1:27">
      <c r="A840" s="17"/>
      <c r="B840" s="25"/>
      <c r="C840" s="13"/>
      <c r="D840" s="26">
        <f>IF($C840="","",IFERROR(INDEX(VeicCli,MATCH($C840,VeicPlaca,0)),"Placa não cadastrada"))</f>
        <v>0</v>
      </c>
      <c r="E840" s="26">
        <f>IF($C840="","",IFERROR(INDEX(VeicModelo,MATCH($C840,VeicPlaca,0)),""))</f>
        <v>0</v>
      </c>
      <c r="F840" s="28"/>
      <c r="G840" s="13"/>
      <c r="H840" s="13"/>
      <c r="I840" s="13"/>
      <c r="J840" s="29"/>
      <c r="K840" s="19"/>
      <c r="L840" s="19"/>
      <c r="M840" s="25"/>
      <c r="N840" s="13"/>
      <c r="O840" s="19"/>
      <c r="P840" s="27">
        <f>IF($A840="","",N($J840)*ValorHora)</f>
        <v>0</v>
      </c>
      <c r="Q840" s="27">
        <f>IF($A840="","",SUMIFS(ItTotal,ItOS,$A840))</f>
        <v>0</v>
      </c>
      <c r="R840" s="30">
        <f>IF($A840="","",$P840+$Q840+N($K840)-N($L840))</f>
        <v>0</v>
      </c>
      <c r="S840" s="27">
        <f>IF($A840="","",SUMIFS(ItCusto,ItOS,$A840))</f>
        <v>0</v>
      </c>
      <c r="T840" s="27">
        <f>IF($A840="","",$P840*ComMec)</f>
        <v>0</v>
      </c>
      <c r="U840" s="21">
        <f>IF($A840="","",$R840-$S840-$T840-N($K840))</f>
        <v>0</v>
      </c>
      <c r="V840" s="31">
        <f>IF(OR($A840="",N($R840)&lt;=0),"",$U840/$R840)</f>
        <v>0</v>
      </c>
      <c r="W840" s="27">
        <f>IF($A840="","",IF(OR($I840="Finalizado",$I840="Entregue"),MAX(0,$R840-N($O840)),0))</f>
        <v>0</v>
      </c>
      <c r="X840" s="32">
        <f>IF(OR($A840="",$B840=""),"",IF(OR($I840="Entregue",$I840="Cancelada"),"",Hoje-$B840))</f>
        <v>0</v>
      </c>
      <c r="Y840" s="24">
        <f>IF($A840="","",IF(AND(OR($I840="Aprovado",$I840="Em execução",$I840="Aguardando peça"),N($X840)&gt;PrazoMax),"ATRASADA",IF(AND(OR($I840="Finalizado",$I840="Entregue"),$W840&gt;0.005),"Cobrar",IF($I840="Orçamento","Aguardando aprovação",""))))</f>
        <v>0</v>
      </c>
      <c r="Z840" s="33">
        <f>IF(AND($I840="Entregue",$M840&lt;&gt;""),DATE(YEAR($M840),MONTH($M840),1),"")</f>
        <v>0</v>
      </c>
      <c r="AA840" s="34">
        <f>IF(AND($C840&lt;&gt;"",$C840=HistPlaca),COUNTIF($C$5:$C840,HistPlaca),"")</f>
        <v>0</v>
      </c>
    </row>
    <row r="841" spans="1:27">
      <c r="A841" s="17"/>
      <c r="B841" s="25"/>
      <c r="C841" s="13"/>
      <c r="D841" s="26">
        <f>IF($C841="","",IFERROR(INDEX(VeicCli,MATCH($C841,VeicPlaca,0)),"Placa não cadastrada"))</f>
        <v>0</v>
      </c>
      <c r="E841" s="26">
        <f>IF($C841="","",IFERROR(INDEX(VeicModelo,MATCH($C841,VeicPlaca,0)),""))</f>
        <v>0</v>
      </c>
      <c r="F841" s="28"/>
      <c r="G841" s="13"/>
      <c r="H841" s="13"/>
      <c r="I841" s="13"/>
      <c r="J841" s="29"/>
      <c r="K841" s="19"/>
      <c r="L841" s="19"/>
      <c r="M841" s="25"/>
      <c r="N841" s="13"/>
      <c r="O841" s="19"/>
      <c r="P841" s="27">
        <f>IF($A841="","",N($J841)*ValorHora)</f>
        <v>0</v>
      </c>
      <c r="Q841" s="27">
        <f>IF($A841="","",SUMIFS(ItTotal,ItOS,$A841))</f>
        <v>0</v>
      </c>
      <c r="R841" s="30">
        <f>IF($A841="","",$P841+$Q841+N($K841)-N($L841))</f>
        <v>0</v>
      </c>
      <c r="S841" s="27">
        <f>IF($A841="","",SUMIFS(ItCusto,ItOS,$A841))</f>
        <v>0</v>
      </c>
      <c r="T841" s="27">
        <f>IF($A841="","",$P841*ComMec)</f>
        <v>0</v>
      </c>
      <c r="U841" s="21">
        <f>IF($A841="","",$R841-$S841-$T841-N($K841))</f>
        <v>0</v>
      </c>
      <c r="V841" s="31">
        <f>IF(OR($A841="",N($R841)&lt;=0),"",$U841/$R841)</f>
        <v>0</v>
      </c>
      <c r="W841" s="27">
        <f>IF($A841="","",IF(OR($I841="Finalizado",$I841="Entregue"),MAX(0,$R841-N($O841)),0))</f>
        <v>0</v>
      </c>
      <c r="X841" s="32">
        <f>IF(OR($A841="",$B841=""),"",IF(OR($I841="Entregue",$I841="Cancelada"),"",Hoje-$B841))</f>
        <v>0</v>
      </c>
      <c r="Y841" s="24">
        <f>IF($A841="","",IF(AND(OR($I841="Aprovado",$I841="Em execução",$I841="Aguardando peça"),N($X841)&gt;PrazoMax),"ATRASADA",IF(AND(OR($I841="Finalizado",$I841="Entregue"),$W841&gt;0.005),"Cobrar",IF($I841="Orçamento","Aguardando aprovação",""))))</f>
        <v>0</v>
      </c>
      <c r="Z841" s="33">
        <f>IF(AND($I841="Entregue",$M841&lt;&gt;""),DATE(YEAR($M841),MONTH($M841),1),"")</f>
        <v>0</v>
      </c>
      <c r="AA841" s="34">
        <f>IF(AND($C841&lt;&gt;"",$C841=HistPlaca),COUNTIF($C$5:$C841,HistPlaca),"")</f>
        <v>0</v>
      </c>
    </row>
    <row r="842" spans="1:27">
      <c r="A842" s="17"/>
      <c r="B842" s="25"/>
      <c r="C842" s="13"/>
      <c r="D842" s="26">
        <f>IF($C842="","",IFERROR(INDEX(VeicCli,MATCH($C842,VeicPlaca,0)),"Placa não cadastrada"))</f>
        <v>0</v>
      </c>
      <c r="E842" s="26">
        <f>IF($C842="","",IFERROR(INDEX(VeicModelo,MATCH($C842,VeicPlaca,0)),""))</f>
        <v>0</v>
      </c>
      <c r="F842" s="28"/>
      <c r="G842" s="13"/>
      <c r="H842" s="13"/>
      <c r="I842" s="13"/>
      <c r="J842" s="29"/>
      <c r="K842" s="19"/>
      <c r="L842" s="19"/>
      <c r="M842" s="25"/>
      <c r="N842" s="13"/>
      <c r="O842" s="19"/>
      <c r="P842" s="27">
        <f>IF($A842="","",N($J842)*ValorHora)</f>
        <v>0</v>
      </c>
      <c r="Q842" s="27">
        <f>IF($A842="","",SUMIFS(ItTotal,ItOS,$A842))</f>
        <v>0</v>
      </c>
      <c r="R842" s="30">
        <f>IF($A842="","",$P842+$Q842+N($K842)-N($L842))</f>
        <v>0</v>
      </c>
      <c r="S842" s="27">
        <f>IF($A842="","",SUMIFS(ItCusto,ItOS,$A842))</f>
        <v>0</v>
      </c>
      <c r="T842" s="27">
        <f>IF($A842="","",$P842*ComMec)</f>
        <v>0</v>
      </c>
      <c r="U842" s="21">
        <f>IF($A842="","",$R842-$S842-$T842-N($K842))</f>
        <v>0</v>
      </c>
      <c r="V842" s="31">
        <f>IF(OR($A842="",N($R842)&lt;=0),"",$U842/$R842)</f>
        <v>0</v>
      </c>
      <c r="W842" s="27">
        <f>IF($A842="","",IF(OR($I842="Finalizado",$I842="Entregue"),MAX(0,$R842-N($O842)),0))</f>
        <v>0</v>
      </c>
      <c r="X842" s="32">
        <f>IF(OR($A842="",$B842=""),"",IF(OR($I842="Entregue",$I842="Cancelada"),"",Hoje-$B842))</f>
        <v>0</v>
      </c>
      <c r="Y842" s="24">
        <f>IF($A842="","",IF(AND(OR($I842="Aprovado",$I842="Em execução",$I842="Aguardando peça"),N($X842)&gt;PrazoMax),"ATRASADA",IF(AND(OR($I842="Finalizado",$I842="Entregue"),$W842&gt;0.005),"Cobrar",IF($I842="Orçamento","Aguardando aprovação",""))))</f>
        <v>0</v>
      </c>
      <c r="Z842" s="33">
        <f>IF(AND($I842="Entregue",$M842&lt;&gt;""),DATE(YEAR($M842),MONTH($M842),1),"")</f>
        <v>0</v>
      </c>
      <c r="AA842" s="34">
        <f>IF(AND($C842&lt;&gt;"",$C842=HistPlaca),COUNTIF($C$5:$C842,HistPlaca),"")</f>
        <v>0</v>
      </c>
    </row>
    <row r="843" spans="1:27">
      <c r="A843" s="17"/>
      <c r="B843" s="25"/>
      <c r="C843" s="13"/>
      <c r="D843" s="26">
        <f>IF($C843="","",IFERROR(INDEX(VeicCli,MATCH($C843,VeicPlaca,0)),"Placa não cadastrada"))</f>
        <v>0</v>
      </c>
      <c r="E843" s="26">
        <f>IF($C843="","",IFERROR(INDEX(VeicModelo,MATCH($C843,VeicPlaca,0)),""))</f>
        <v>0</v>
      </c>
      <c r="F843" s="28"/>
      <c r="G843" s="13"/>
      <c r="H843" s="13"/>
      <c r="I843" s="13"/>
      <c r="J843" s="29"/>
      <c r="K843" s="19"/>
      <c r="L843" s="19"/>
      <c r="M843" s="25"/>
      <c r="N843" s="13"/>
      <c r="O843" s="19"/>
      <c r="P843" s="27">
        <f>IF($A843="","",N($J843)*ValorHora)</f>
        <v>0</v>
      </c>
      <c r="Q843" s="27">
        <f>IF($A843="","",SUMIFS(ItTotal,ItOS,$A843))</f>
        <v>0</v>
      </c>
      <c r="R843" s="30">
        <f>IF($A843="","",$P843+$Q843+N($K843)-N($L843))</f>
        <v>0</v>
      </c>
      <c r="S843" s="27">
        <f>IF($A843="","",SUMIFS(ItCusto,ItOS,$A843))</f>
        <v>0</v>
      </c>
      <c r="T843" s="27">
        <f>IF($A843="","",$P843*ComMec)</f>
        <v>0</v>
      </c>
      <c r="U843" s="21">
        <f>IF($A843="","",$R843-$S843-$T843-N($K843))</f>
        <v>0</v>
      </c>
      <c r="V843" s="31">
        <f>IF(OR($A843="",N($R843)&lt;=0),"",$U843/$R843)</f>
        <v>0</v>
      </c>
      <c r="W843" s="27">
        <f>IF($A843="","",IF(OR($I843="Finalizado",$I843="Entregue"),MAX(0,$R843-N($O843)),0))</f>
        <v>0</v>
      </c>
      <c r="X843" s="32">
        <f>IF(OR($A843="",$B843=""),"",IF(OR($I843="Entregue",$I843="Cancelada"),"",Hoje-$B843))</f>
        <v>0</v>
      </c>
      <c r="Y843" s="24">
        <f>IF($A843="","",IF(AND(OR($I843="Aprovado",$I843="Em execução",$I843="Aguardando peça"),N($X843)&gt;PrazoMax),"ATRASADA",IF(AND(OR($I843="Finalizado",$I843="Entregue"),$W843&gt;0.005),"Cobrar",IF($I843="Orçamento","Aguardando aprovação",""))))</f>
        <v>0</v>
      </c>
      <c r="Z843" s="33">
        <f>IF(AND($I843="Entregue",$M843&lt;&gt;""),DATE(YEAR($M843),MONTH($M843),1),"")</f>
        <v>0</v>
      </c>
      <c r="AA843" s="34">
        <f>IF(AND($C843&lt;&gt;"",$C843=HistPlaca),COUNTIF($C$5:$C843,HistPlaca),"")</f>
        <v>0</v>
      </c>
    </row>
    <row r="844" spans="1:27">
      <c r="A844" s="17"/>
      <c r="B844" s="25"/>
      <c r="C844" s="13"/>
      <c r="D844" s="26">
        <f>IF($C844="","",IFERROR(INDEX(VeicCli,MATCH($C844,VeicPlaca,0)),"Placa não cadastrada"))</f>
        <v>0</v>
      </c>
      <c r="E844" s="26">
        <f>IF($C844="","",IFERROR(INDEX(VeicModelo,MATCH($C844,VeicPlaca,0)),""))</f>
        <v>0</v>
      </c>
      <c r="F844" s="28"/>
      <c r="G844" s="13"/>
      <c r="H844" s="13"/>
      <c r="I844" s="13"/>
      <c r="J844" s="29"/>
      <c r="K844" s="19"/>
      <c r="L844" s="19"/>
      <c r="M844" s="25"/>
      <c r="N844" s="13"/>
      <c r="O844" s="19"/>
      <c r="P844" s="27">
        <f>IF($A844="","",N($J844)*ValorHora)</f>
        <v>0</v>
      </c>
      <c r="Q844" s="27">
        <f>IF($A844="","",SUMIFS(ItTotal,ItOS,$A844))</f>
        <v>0</v>
      </c>
      <c r="R844" s="30">
        <f>IF($A844="","",$P844+$Q844+N($K844)-N($L844))</f>
        <v>0</v>
      </c>
      <c r="S844" s="27">
        <f>IF($A844="","",SUMIFS(ItCusto,ItOS,$A844))</f>
        <v>0</v>
      </c>
      <c r="T844" s="27">
        <f>IF($A844="","",$P844*ComMec)</f>
        <v>0</v>
      </c>
      <c r="U844" s="21">
        <f>IF($A844="","",$R844-$S844-$T844-N($K844))</f>
        <v>0</v>
      </c>
      <c r="V844" s="31">
        <f>IF(OR($A844="",N($R844)&lt;=0),"",$U844/$R844)</f>
        <v>0</v>
      </c>
      <c r="W844" s="27">
        <f>IF($A844="","",IF(OR($I844="Finalizado",$I844="Entregue"),MAX(0,$R844-N($O844)),0))</f>
        <v>0</v>
      </c>
      <c r="X844" s="32">
        <f>IF(OR($A844="",$B844=""),"",IF(OR($I844="Entregue",$I844="Cancelada"),"",Hoje-$B844))</f>
        <v>0</v>
      </c>
      <c r="Y844" s="24">
        <f>IF($A844="","",IF(AND(OR($I844="Aprovado",$I844="Em execução",$I844="Aguardando peça"),N($X844)&gt;PrazoMax),"ATRASADA",IF(AND(OR($I844="Finalizado",$I844="Entregue"),$W844&gt;0.005),"Cobrar",IF($I844="Orçamento","Aguardando aprovação",""))))</f>
        <v>0</v>
      </c>
      <c r="Z844" s="33">
        <f>IF(AND($I844="Entregue",$M844&lt;&gt;""),DATE(YEAR($M844),MONTH($M844),1),"")</f>
        <v>0</v>
      </c>
      <c r="AA844" s="34">
        <f>IF(AND($C844&lt;&gt;"",$C844=HistPlaca),COUNTIF($C$5:$C844,HistPlaca),"")</f>
        <v>0</v>
      </c>
    </row>
    <row r="845" spans="1:27">
      <c r="A845" s="17"/>
      <c r="B845" s="25"/>
      <c r="C845" s="13"/>
      <c r="D845" s="26">
        <f>IF($C845="","",IFERROR(INDEX(VeicCli,MATCH($C845,VeicPlaca,0)),"Placa não cadastrada"))</f>
        <v>0</v>
      </c>
      <c r="E845" s="26">
        <f>IF($C845="","",IFERROR(INDEX(VeicModelo,MATCH($C845,VeicPlaca,0)),""))</f>
        <v>0</v>
      </c>
      <c r="F845" s="28"/>
      <c r="G845" s="13"/>
      <c r="H845" s="13"/>
      <c r="I845" s="13"/>
      <c r="J845" s="29"/>
      <c r="K845" s="19"/>
      <c r="L845" s="19"/>
      <c r="M845" s="25"/>
      <c r="N845" s="13"/>
      <c r="O845" s="19"/>
      <c r="P845" s="27">
        <f>IF($A845="","",N($J845)*ValorHora)</f>
        <v>0</v>
      </c>
      <c r="Q845" s="27">
        <f>IF($A845="","",SUMIFS(ItTotal,ItOS,$A845))</f>
        <v>0</v>
      </c>
      <c r="R845" s="30">
        <f>IF($A845="","",$P845+$Q845+N($K845)-N($L845))</f>
        <v>0</v>
      </c>
      <c r="S845" s="27">
        <f>IF($A845="","",SUMIFS(ItCusto,ItOS,$A845))</f>
        <v>0</v>
      </c>
      <c r="T845" s="27">
        <f>IF($A845="","",$P845*ComMec)</f>
        <v>0</v>
      </c>
      <c r="U845" s="21">
        <f>IF($A845="","",$R845-$S845-$T845-N($K845))</f>
        <v>0</v>
      </c>
      <c r="V845" s="31">
        <f>IF(OR($A845="",N($R845)&lt;=0),"",$U845/$R845)</f>
        <v>0</v>
      </c>
      <c r="W845" s="27">
        <f>IF($A845="","",IF(OR($I845="Finalizado",$I845="Entregue"),MAX(0,$R845-N($O845)),0))</f>
        <v>0</v>
      </c>
      <c r="X845" s="32">
        <f>IF(OR($A845="",$B845=""),"",IF(OR($I845="Entregue",$I845="Cancelada"),"",Hoje-$B845))</f>
        <v>0</v>
      </c>
      <c r="Y845" s="24">
        <f>IF($A845="","",IF(AND(OR($I845="Aprovado",$I845="Em execução",$I845="Aguardando peça"),N($X845)&gt;PrazoMax),"ATRASADA",IF(AND(OR($I845="Finalizado",$I845="Entregue"),$W845&gt;0.005),"Cobrar",IF($I845="Orçamento","Aguardando aprovação",""))))</f>
        <v>0</v>
      </c>
      <c r="Z845" s="33">
        <f>IF(AND($I845="Entregue",$M845&lt;&gt;""),DATE(YEAR($M845),MONTH($M845),1),"")</f>
        <v>0</v>
      </c>
      <c r="AA845" s="34">
        <f>IF(AND($C845&lt;&gt;"",$C845=HistPlaca),COUNTIF($C$5:$C845,HistPlaca),"")</f>
        <v>0</v>
      </c>
    </row>
    <row r="846" spans="1:27">
      <c r="A846" s="17"/>
      <c r="B846" s="25"/>
      <c r="C846" s="13"/>
      <c r="D846" s="26">
        <f>IF($C846="","",IFERROR(INDEX(VeicCli,MATCH($C846,VeicPlaca,0)),"Placa não cadastrada"))</f>
        <v>0</v>
      </c>
      <c r="E846" s="26">
        <f>IF($C846="","",IFERROR(INDEX(VeicModelo,MATCH($C846,VeicPlaca,0)),""))</f>
        <v>0</v>
      </c>
      <c r="F846" s="28"/>
      <c r="G846" s="13"/>
      <c r="H846" s="13"/>
      <c r="I846" s="13"/>
      <c r="J846" s="29"/>
      <c r="K846" s="19"/>
      <c r="L846" s="19"/>
      <c r="M846" s="25"/>
      <c r="N846" s="13"/>
      <c r="O846" s="19"/>
      <c r="P846" s="27">
        <f>IF($A846="","",N($J846)*ValorHora)</f>
        <v>0</v>
      </c>
      <c r="Q846" s="27">
        <f>IF($A846="","",SUMIFS(ItTotal,ItOS,$A846))</f>
        <v>0</v>
      </c>
      <c r="R846" s="30">
        <f>IF($A846="","",$P846+$Q846+N($K846)-N($L846))</f>
        <v>0</v>
      </c>
      <c r="S846" s="27">
        <f>IF($A846="","",SUMIFS(ItCusto,ItOS,$A846))</f>
        <v>0</v>
      </c>
      <c r="T846" s="27">
        <f>IF($A846="","",$P846*ComMec)</f>
        <v>0</v>
      </c>
      <c r="U846" s="21">
        <f>IF($A846="","",$R846-$S846-$T846-N($K846))</f>
        <v>0</v>
      </c>
      <c r="V846" s="31">
        <f>IF(OR($A846="",N($R846)&lt;=0),"",$U846/$R846)</f>
        <v>0</v>
      </c>
      <c r="W846" s="27">
        <f>IF($A846="","",IF(OR($I846="Finalizado",$I846="Entregue"),MAX(0,$R846-N($O846)),0))</f>
        <v>0</v>
      </c>
      <c r="X846" s="32">
        <f>IF(OR($A846="",$B846=""),"",IF(OR($I846="Entregue",$I846="Cancelada"),"",Hoje-$B846))</f>
        <v>0</v>
      </c>
      <c r="Y846" s="24">
        <f>IF($A846="","",IF(AND(OR($I846="Aprovado",$I846="Em execução",$I846="Aguardando peça"),N($X846)&gt;PrazoMax),"ATRASADA",IF(AND(OR($I846="Finalizado",$I846="Entregue"),$W846&gt;0.005),"Cobrar",IF($I846="Orçamento","Aguardando aprovação",""))))</f>
        <v>0</v>
      </c>
      <c r="Z846" s="33">
        <f>IF(AND($I846="Entregue",$M846&lt;&gt;""),DATE(YEAR($M846),MONTH($M846),1),"")</f>
        <v>0</v>
      </c>
      <c r="AA846" s="34">
        <f>IF(AND($C846&lt;&gt;"",$C846=HistPlaca),COUNTIF($C$5:$C846,HistPlaca),"")</f>
        <v>0</v>
      </c>
    </row>
    <row r="847" spans="1:27">
      <c r="A847" s="17"/>
      <c r="B847" s="25"/>
      <c r="C847" s="13"/>
      <c r="D847" s="26">
        <f>IF($C847="","",IFERROR(INDEX(VeicCli,MATCH($C847,VeicPlaca,0)),"Placa não cadastrada"))</f>
        <v>0</v>
      </c>
      <c r="E847" s="26">
        <f>IF($C847="","",IFERROR(INDEX(VeicModelo,MATCH($C847,VeicPlaca,0)),""))</f>
        <v>0</v>
      </c>
      <c r="F847" s="28"/>
      <c r="G847" s="13"/>
      <c r="H847" s="13"/>
      <c r="I847" s="13"/>
      <c r="J847" s="29"/>
      <c r="K847" s="19"/>
      <c r="L847" s="19"/>
      <c r="M847" s="25"/>
      <c r="N847" s="13"/>
      <c r="O847" s="19"/>
      <c r="P847" s="27">
        <f>IF($A847="","",N($J847)*ValorHora)</f>
        <v>0</v>
      </c>
      <c r="Q847" s="27">
        <f>IF($A847="","",SUMIFS(ItTotal,ItOS,$A847))</f>
        <v>0</v>
      </c>
      <c r="R847" s="30">
        <f>IF($A847="","",$P847+$Q847+N($K847)-N($L847))</f>
        <v>0</v>
      </c>
      <c r="S847" s="27">
        <f>IF($A847="","",SUMIFS(ItCusto,ItOS,$A847))</f>
        <v>0</v>
      </c>
      <c r="T847" s="27">
        <f>IF($A847="","",$P847*ComMec)</f>
        <v>0</v>
      </c>
      <c r="U847" s="21">
        <f>IF($A847="","",$R847-$S847-$T847-N($K847))</f>
        <v>0</v>
      </c>
      <c r="V847" s="31">
        <f>IF(OR($A847="",N($R847)&lt;=0),"",$U847/$R847)</f>
        <v>0</v>
      </c>
      <c r="W847" s="27">
        <f>IF($A847="","",IF(OR($I847="Finalizado",$I847="Entregue"),MAX(0,$R847-N($O847)),0))</f>
        <v>0</v>
      </c>
      <c r="X847" s="32">
        <f>IF(OR($A847="",$B847=""),"",IF(OR($I847="Entregue",$I847="Cancelada"),"",Hoje-$B847))</f>
        <v>0</v>
      </c>
      <c r="Y847" s="24">
        <f>IF($A847="","",IF(AND(OR($I847="Aprovado",$I847="Em execução",$I847="Aguardando peça"),N($X847)&gt;PrazoMax),"ATRASADA",IF(AND(OR($I847="Finalizado",$I847="Entregue"),$W847&gt;0.005),"Cobrar",IF($I847="Orçamento","Aguardando aprovação",""))))</f>
        <v>0</v>
      </c>
      <c r="Z847" s="33">
        <f>IF(AND($I847="Entregue",$M847&lt;&gt;""),DATE(YEAR($M847),MONTH($M847),1),"")</f>
        <v>0</v>
      </c>
      <c r="AA847" s="34">
        <f>IF(AND($C847&lt;&gt;"",$C847=HistPlaca),COUNTIF($C$5:$C847,HistPlaca),"")</f>
        <v>0</v>
      </c>
    </row>
    <row r="848" spans="1:27">
      <c r="A848" s="17"/>
      <c r="B848" s="25"/>
      <c r="C848" s="13"/>
      <c r="D848" s="26">
        <f>IF($C848="","",IFERROR(INDEX(VeicCli,MATCH($C848,VeicPlaca,0)),"Placa não cadastrada"))</f>
        <v>0</v>
      </c>
      <c r="E848" s="26">
        <f>IF($C848="","",IFERROR(INDEX(VeicModelo,MATCH($C848,VeicPlaca,0)),""))</f>
        <v>0</v>
      </c>
      <c r="F848" s="28"/>
      <c r="G848" s="13"/>
      <c r="H848" s="13"/>
      <c r="I848" s="13"/>
      <c r="J848" s="29"/>
      <c r="K848" s="19"/>
      <c r="L848" s="19"/>
      <c r="M848" s="25"/>
      <c r="N848" s="13"/>
      <c r="O848" s="19"/>
      <c r="P848" s="27">
        <f>IF($A848="","",N($J848)*ValorHora)</f>
        <v>0</v>
      </c>
      <c r="Q848" s="27">
        <f>IF($A848="","",SUMIFS(ItTotal,ItOS,$A848))</f>
        <v>0</v>
      </c>
      <c r="R848" s="30">
        <f>IF($A848="","",$P848+$Q848+N($K848)-N($L848))</f>
        <v>0</v>
      </c>
      <c r="S848" s="27">
        <f>IF($A848="","",SUMIFS(ItCusto,ItOS,$A848))</f>
        <v>0</v>
      </c>
      <c r="T848" s="27">
        <f>IF($A848="","",$P848*ComMec)</f>
        <v>0</v>
      </c>
      <c r="U848" s="21">
        <f>IF($A848="","",$R848-$S848-$T848-N($K848))</f>
        <v>0</v>
      </c>
      <c r="V848" s="31">
        <f>IF(OR($A848="",N($R848)&lt;=0),"",$U848/$R848)</f>
        <v>0</v>
      </c>
      <c r="W848" s="27">
        <f>IF($A848="","",IF(OR($I848="Finalizado",$I848="Entregue"),MAX(0,$R848-N($O848)),0))</f>
        <v>0</v>
      </c>
      <c r="X848" s="32">
        <f>IF(OR($A848="",$B848=""),"",IF(OR($I848="Entregue",$I848="Cancelada"),"",Hoje-$B848))</f>
        <v>0</v>
      </c>
      <c r="Y848" s="24">
        <f>IF($A848="","",IF(AND(OR($I848="Aprovado",$I848="Em execução",$I848="Aguardando peça"),N($X848)&gt;PrazoMax),"ATRASADA",IF(AND(OR($I848="Finalizado",$I848="Entregue"),$W848&gt;0.005),"Cobrar",IF($I848="Orçamento","Aguardando aprovação",""))))</f>
        <v>0</v>
      </c>
      <c r="Z848" s="33">
        <f>IF(AND($I848="Entregue",$M848&lt;&gt;""),DATE(YEAR($M848),MONTH($M848),1),"")</f>
        <v>0</v>
      </c>
      <c r="AA848" s="34">
        <f>IF(AND($C848&lt;&gt;"",$C848=HistPlaca),COUNTIF($C$5:$C848,HistPlaca),"")</f>
        <v>0</v>
      </c>
    </row>
    <row r="849" spans="1:27">
      <c r="A849" s="17"/>
      <c r="B849" s="25"/>
      <c r="C849" s="13"/>
      <c r="D849" s="26">
        <f>IF($C849="","",IFERROR(INDEX(VeicCli,MATCH($C849,VeicPlaca,0)),"Placa não cadastrada"))</f>
        <v>0</v>
      </c>
      <c r="E849" s="26">
        <f>IF($C849="","",IFERROR(INDEX(VeicModelo,MATCH($C849,VeicPlaca,0)),""))</f>
        <v>0</v>
      </c>
      <c r="F849" s="28"/>
      <c r="G849" s="13"/>
      <c r="H849" s="13"/>
      <c r="I849" s="13"/>
      <c r="J849" s="29"/>
      <c r="K849" s="19"/>
      <c r="L849" s="19"/>
      <c r="M849" s="25"/>
      <c r="N849" s="13"/>
      <c r="O849" s="19"/>
      <c r="P849" s="27">
        <f>IF($A849="","",N($J849)*ValorHora)</f>
        <v>0</v>
      </c>
      <c r="Q849" s="27">
        <f>IF($A849="","",SUMIFS(ItTotal,ItOS,$A849))</f>
        <v>0</v>
      </c>
      <c r="R849" s="30">
        <f>IF($A849="","",$P849+$Q849+N($K849)-N($L849))</f>
        <v>0</v>
      </c>
      <c r="S849" s="27">
        <f>IF($A849="","",SUMIFS(ItCusto,ItOS,$A849))</f>
        <v>0</v>
      </c>
      <c r="T849" s="27">
        <f>IF($A849="","",$P849*ComMec)</f>
        <v>0</v>
      </c>
      <c r="U849" s="21">
        <f>IF($A849="","",$R849-$S849-$T849-N($K849))</f>
        <v>0</v>
      </c>
      <c r="V849" s="31">
        <f>IF(OR($A849="",N($R849)&lt;=0),"",$U849/$R849)</f>
        <v>0</v>
      </c>
      <c r="W849" s="27">
        <f>IF($A849="","",IF(OR($I849="Finalizado",$I849="Entregue"),MAX(0,$R849-N($O849)),0))</f>
        <v>0</v>
      </c>
      <c r="X849" s="32">
        <f>IF(OR($A849="",$B849=""),"",IF(OR($I849="Entregue",$I849="Cancelada"),"",Hoje-$B849))</f>
        <v>0</v>
      </c>
      <c r="Y849" s="24">
        <f>IF($A849="","",IF(AND(OR($I849="Aprovado",$I849="Em execução",$I849="Aguardando peça"),N($X849)&gt;PrazoMax),"ATRASADA",IF(AND(OR($I849="Finalizado",$I849="Entregue"),$W849&gt;0.005),"Cobrar",IF($I849="Orçamento","Aguardando aprovação",""))))</f>
        <v>0</v>
      </c>
      <c r="Z849" s="33">
        <f>IF(AND($I849="Entregue",$M849&lt;&gt;""),DATE(YEAR($M849),MONTH($M849),1),"")</f>
        <v>0</v>
      </c>
      <c r="AA849" s="34">
        <f>IF(AND($C849&lt;&gt;"",$C849=HistPlaca),COUNTIF($C$5:$C849,HistPlaca),"")</f>
        <v>0</v>
      </c>
    </row>
    <row r="850" spans="1:27">
      <c r="A850" s="17"/>
      <c r="B850" s="25"/>
      <c r="C850" s="13"/>
      <c r="D850" s="26">
        <f>IF($C850="","",IFERROR(INDEX(VeicCli,MATCH($C850,VeicPlaca,0)),"Placa não cadastrada"))</f>
        <v>0</v>
      </c>
      <c r="E850" s="26">
        <f>IF($C850="","",IFERROR(INDEX(VeicModelo,MATCH($C850,VeicPlaca,0)),""))</f>
        <v>0</v>
      </c>
      <c r="F850" s="28"/>
      <c r="G850" s="13"/>
      <c r="H850" s="13"/>
      <c r="I850" s="13"/>
      <c r="J850" s="29"/>
      <c r="K850" s="19"/>
      <c r="L850" s="19"/>
      <c r="M850" s="25"/>
      <c r="N850" s="13"/>
      <c r="O850" s="19"/>
      <c r="P850" s="27">
        <f>IF($A850="","",N($J850)*ValorHora)</f>
        <v>0</v>
      </c>
      <c r="Q850" s="27">
        <f>IF($A850="","",SUMIFS(ItTotal,ItOS,$A850))</f>
        <v>0</v>
      </c>
      <c r="R850" s="30">
        <f>IF($A850="","",$P850+$Q850+N($K850)-N($L850))</f>
        <v>0</v>
      </c>
      <c r="S850" s="27">
        <f>IF($A850="","",SUMIFS(ItCusto,ItOS,$A850))</f>
        <v>0</v>
      </c>
      <c r="T850" s="27">
        <f>IF($A850="","",$P850*ComMec)</f>
        <v>0</v>
      </c>
      <c r="U850" s="21">
        <f>IF($A850="","",$R850-$S850-$T850-N($K850))</f>
        <v>0</v>
      </c>
      <c r="V850" s="31">
        <f>IF(OR($A850="",N($R850)&lt;=0),"",$U850/$R850)</f>
        <v>0</v>
      </c>
      <c r="W850" s="27">
        <f>IF($A850="","",IF(OR($I850="Finalizado",$I850="Entregue"),MAX(0,$R850-N($O850)),0))</f>
        <v>0</v>
      </c>
      <c r="X850" s="32">
        <f>IF(OR($A850="",$B850=""),"",IF(OR($I850="Entregue",$I850="Cancelada"),"",Hoje-$B850))</f>
        <v>0</v>
      </c>
      <c r="Y850" s="24">
        <f>IF($A850="","",IF(AND(OR($I850="Aprovado",$I850="Em execução",$I850="Aguardando peça"),N($X850)&gt;PrazoMax),"ATRASADA",IF(AND(OR($I850="Finalizado",$I850="Entregue"),$W850&gt;0.005),"Cobrar",IF($I850="Orçamento","Aguardando aprovação",""))))</f>
        <v>0</v>
      </c>
      <c r="Z850" s="33">
        <f>IF(AND($I850="Entregue",$M850&lt;&gt;""),DATE(YEAR($M850),MONTH($M850),1),"")</f>
        <v>0</v>
      </c>
      <c r="AA850" s="34">
        <f>IF(AND($C850&lt;&gt;"",$C850=HistPlaca),COUNTIF($C$5:$C850,HistPlaca),"")</f>
        <v>0</v>
      </c>
    </row>
    <row r="851" spans="1:27">
      <c r="A851" s="17"/>
      <c r="B851" s="25"/>
      <c r="C851" s="13"/>
      <c r="D851" s="26">
        <f>IF($C851="","",IFERROR(INDEX(VeicCli,MATCH($C851,VeicPlaca,0)),"Placa não cadastrada"))</f>
        <v>0</v>
      </c>
      <c r="E851" s="26">
        <f>IF($C851="","",IFERROR(INDEX(VeicModelo,MATCH($C851,VeicPlaca,0)),""))</f>
        <v>0</v>
      </c>
      <c r="F851" s="28"/>
      <c r="G851" s="13"/>
      <c r="H851" s="13"/>
      <c r="I851" s="13"/>
      <c r="J851" s="29"/>
      <c r="K851" s="19"/>
      <c r="L851" s="19"/>
      <c r="M851" s="25"/>
      <c r="N851" s="13"/>
      <c r="O851" s="19"/>
      <c r="P851" s="27">
        <f>IF($A851="","",N($J851)*ValorHora)</f>
        <v>0</v>
      </c>
      <c r="Q851" s="27">
        <f>IF($A851="","",SUMIFS(ItTotal,ItOS,$A851))</f>
        <v>0</v>
      </c>
      <c r="R851" s="30">
        <f>IF($A851="","",$P851+$Q851+N($K851)-N($L851))</f>
        <v>0</v>
      </c>
      <c r="S851" s="27">
        <f>IF($A851="","",SUMIFS(ItCusto,ItOS,$A851))</f>
        <v>0</v>
      </c>
      <c r="T851" s="27">
        <f>IF($A851="","",$P851*ComMec)</f>
        <v>0</v>
      </c>
      <c r="U851" s="21">
        <f>IF($A851="","",$R851-$S851-$T851-N($K851))</f>
        <v>0</v>
      </c>
      <c r="V851" s="31">
        <f>IF(OR($A851="",N($R851)&lt;=0),"",$U851/$R851)</f>
        <v>0</v>
      </c>
      <c r="W851" s="27">
        <f>IF($A851="","",IF(OR($I851="Finalizado",$I851="Entregue"),MAX(0,$R851-N($O851)),0))</f>
        <v>0</v>
      </c>
      <c r="X851" s="32">
        <f>IF(OR($A851="",$B851=""),"",IF(OR($I851="Entregue",$I851="Cancelada"),"",Hoje-$B851))</f>
        <v>0</v>
      </c>
      <c r="Y851" s="24">
        <f>IF($A851="","",IF(AND(OR($I851="Aprovado",$I851="Em execução",$I851="Aguardando peça"),N($X851)&gt;PrazoMax),"ATRASADA",IF(AND(OR($I851="Finalizado",$I851="Entregue"),$W851&gt;0.005),"Cobrar",IF($I851="Orçamento","Aguardando aprovação",""))))</f>
        <v>0</v>
      </c>
      <c r="Z851" s="33">
        <f>IF(AND($I851="Entregue",$M851&lt;&gt;""),DATE(YEAR($M851),MONTH($M851),1),"")</f>
        <v>0</v>
      </c>
      <c r="AA851" s="34">
        <f>IF(AND($C851&lt;&gt;"",$C851=HistPlaca),COUNTIF($C$5:$C851,HistPlaca),"")</f>
        <v>0</v>
      </c>
    </row>
    <row r="852" spans="1:27">
      <c r="A852" s="17"/>
      <c r="B852" s="25"/>
      <c r="C852" s="13"/>
      <c r="D852" s="26">
        <f>IF($C852="","",IFERROR(INDEX(VeicCli,MATCH($C852,VeicPlaca,0)),"Placa não cadastrada"))</f>
        <v>0</v>
      </c>
      <c r="E852" s="26">
        <f>IF($C852="","",IFERROR(INDEX(VeicModelo,MATCH($C852,VeicPlaca,0)),""))</f>
        <v>0</v>
      </c>
      <c r="F852" s="28"/>
      <c r="G852" s="13"/>
      <c r="H852" s="13"/>
      <c r="I852" s="13"/>
      <c r="J852" s="29"/>
      <c r="K852" s="19"/>
      <c r="L852" s="19"/>
      <c r="M852" s="25"/>
      <c r="N852" s="13"/>
      <c r="O852" s="19"/>
      <c r="P852" s="27">
        <f>IF($A852="","",N($J852)*ValorHora)</f>
        <v>0</v>
      </c>
      <c r="Q852" s="27">
        <f>IF($A852="","",SUMIFS(ItTotal,ItOS,$A852))</f>
        <v>0</v>
      </c>
      <c r="R852" s="30">
        <f>IF($A852="","",$P852+$Q852+N($K852)-N($L852))</f>
        <v>0</v>
      </c>
      <c r="S852" s="27">
        <f>IF($A852="","",SUMIFS(ItCusto,ItOS,$A852))</f>
        <v>0</v>
      </c>
      <c r="T852" s="27">
        <f>IF($A852="","",$P852*ComMec)</f>
        <v>0</v>
      </c>
      <c r="U852" s="21">
        <f>IF($A852="","",$R852-$S852-$T852-N($K852))</f>
        <v>0</v>
      </c>
      <c r="V852" s="31">
        <f>IF(OR($A852="",N($R852)&lt;=0),"",$U852/$R852)</f>
        <v>0</v>
      </c>
      <c r="W852" s="27">
        <f>IF($A852="","",IF(OR($I852="Finalizado",$I852="Entregue"),MAX(0,$R852-N($O852)),0))</f>
        <v>0</v>
      </c>
      <c r="X852" s="32">
        <f>IF(OR($A852="",$B852=""),"",IF(OR($I852="Entregue",$I852="Cancelada"),"",Hoje-$B852))</f>
        <v>0</v>
      </c>
      <c r="Y852" s="24">
        <f>IF($A852="","",IF(AND(OR($I852="Aprovado",$I852="Em execução",$I852="Aguardando peça"),N($X852)&gt;PrazoMax),"ATRASADA",IF(AND(OR($I852="Finalizado",$I852="Entregue"),$W852&gt;0.005),"Cobrar",IF($I852="Orçamento","Aguardando aprovação",""))))</f>
        <v>0</v>
      </c>
      <c r="Z852" s="33">
        <f>IF(AND($I852="Entregue",$M852&lt;&gt;""),DATE(YEAR($M852),MONTH($M852),1),"")</f>
        <v>0</v>
      </c>
      <c r="AA852" s="34">
        <f>IF(AND($C852&lt;&gt;"",$C852=HistPlaca),COUNTIF($C$5:$C852,HistPlaca),"")</f>
        <v>0</v>
      </c>
    </row>
    <row r="853" spans="1:27">
      <c r="A853" s="17"/>
      <c r="B853" s="25"/>
      <c r="C853" s="13"/>
      <c r="D853" s="26">
        <f>IF($C853="","",IFERROR(INDEX(VeicCli,MATCH($C853,VeicPlaca,0)),"Placa não cadastrada"))</f>
        <v>0</v>
      </c>
      <c r="E853" s="26">
        <f>IF($C853="","",IFERROR(INDEX(VeicModelo,MATCH($C853,VeicPlaca,0)),""))</f>
        <v>0</v>
      </c>
      <c r="F853" s="28"/>
      <c r="G853" s="13"/>
      <c r="H853" s="13"/>
      <c r="I853" s="13"/>
      <c r="J853" s="29"/>
      <c r="K853" s="19"/>
      <c r="L853" s="19"/>
      <c r="M853" s="25"/>
      <c r="N853" s="13"/>
      <c r="O853" s="19"/>
      <c r="P853" s="27">
        <f>IF($A853="","",N($J853)*ValorHora)</f>
        <v>0</v>
      </c>
      <c r="Q853" s="27">
        <f>IF($A853="","",SUMIFS(ItTotal,ItOS,$A853))</f>
        <v>0</v>
      </c>
      <c r="R853" s="30">
        <f>IF($A853="","",$P853+$Q853+N($K853)-N($L853))</f>
        <v>0</v>
      </c>
      <c r="S853" s="27">
        <f>IF($A853="","",SUMIFS(ItCusto,ItOS,$A853))</f>
        <v>0</v>
      </c>
      <c r="T853" s="27">
        <f>IF($A853="","",$P853*ComMec)</f>
        <v>0</v>
      </c>
      <c r="U853" s="21">
        <f>IF($A853="","",$R853-$S853-$T853-N($K853))</f>
        <v>0</v>
      </c>
      <c r="V853" s="31">
        <f>IF(OR($A853="",N($R853)&lt;=0),"",$U853/$R853)</f>
        <v>0</v>
      </c>
      <c r="W853" s="27">
        <f>IF($A853="","",IF(OR($I853="Finalizado",$I853="Entregue"),MAX(0,$R853-N($O853)),0))</f>
        <v>0</v>
      </c>
      <c r="X853" s="32">
        <f>IF(OR($A853="",$B853=""),"",IF(OR($I853="Entregue",$I853="Cancelada"),"",Hoje-$B853))</f>
        <v>0</v>
      </c>
      <c r="Y853" s="24">
        <f>IF($A853="","",IF(AND(OR($I853="Aprovado",$I853="Em execução",$I853="Aguardando peça"),N($X853)&gt;PrazoMax),"ATRASADA",IF(AND(OR($I853="Finalizado",$I853="Entregue"),$W853&gt;0.005),"Cobrar",IF($I853="Orçamento","Aguardando aprovação",""))))</f>
        <v>0</v>
      </c>
      <c r="Z853" s="33">
        <f>IF(AND($I853="Entregue",$M853&lt;&gt;""),DATE(YEAR($M853),MONTH($M853),1),"")</f>
        <v>0</v>
      </c>
      <c r="AA853" s="34">
        <f>IF(AND($C853&lt;&gt;"",$C853=HistPlaca),COUNTIF($C$5:$C853,HistPlaca),"")</f>
        <v>0</v>
      </c>
    </row>
    <row r="854" spans="1:27">
      <c r="A854" s="17"/>
      <c r="B854" s="25"/>
      <c r="C854" s="13"/>
      <c r="D854" s="26">
        <f>IF($C854="","",IFERROR(INDEX(VeicCli,MATCH($C854,VeicPlaca,0)),"Placa não cadastrada"))</f>
        <v>0</v>
      </c>
      <c r="E854" s="26">
        <f>IF($C854="","",IFERROR(INDEX(VeicModelo,MATCH($C854,VeicPlaca,0)),""))</f>
        <v>0</v>
      </c>
      <c r="F854" s="28"/>
      <c r="G854" s="13"/>
      <c r="H854" s="13"/>
      <c r="I854" s="13"/>
      <c r="J854" s="29"/>
      <c r="K854" s="19"/>
      <c r="L854" s="19"/>
      <c r="M854" s="25"/>
      <c r="N854" s="13"/>
      <c r="O854" s="19"/>
      <c r="P854" s="27">
        <f>IF($A854="","",N($J854)*ValorHora)</f>
        <v>0</v>
      </c>
      <c r="Q854" s="27">
        <f>IF($A854="","",SUMIFS(ItTotal,ItOS,$A854))</f>
        <v>0</v>
      </c>
      <c r="R854" s="30">
        <f>IF($A854="","",$P854+$Q854+N($K854)-N($L854))</f>
        <v>0</v>
      </c>
      <c r="S854" s="27">
        <f>IF($A854="","",SUMIFS(ItCusto,ItOS,$A854))</f>
        <v>0</v>
      </c>
      <c r="T854" s="27">
        <f>IF($A854="","",$P854*ComMec)</f>
        <v>0</v>
      </c>
      <c r="U854" s="21">
        <f>IF($A854="","",$R854-$S854-$T854-N($K854))</f>
        <v>0</v>
      </c>
      <c r="V854" s="31">
        <f>IF(OR($A854="",N($R854)&lt;=0),"",$U854/$R854)</f>
        <v>0</v>
      </c>
      <c r="W854" s="27">
        <f>IF($A854="","",IF(OR($I854="Finalizado",$I854="Entregue"),MAX(0,$R854-N($O854)),0))</f>
        <v>0</v>
      </c>
      <c r="X854" s="32">
        <f>IF(OR($A854="",$B854=""),"",IF(OR($I854="Entregue",$I854="Cancelada"),"",Hoje-$B854))</f>
        <v>0</v>
      </c>
      <c r="Y854" s="24">
        <f>IF($A854="","",IF(AND(OR($I854="Aprovado",$I854="Em execução",$I854="Aguardando peça"),N($X854)&gt;PrazoMax),"ATRASADA",IF(AND(OR($I854="Finalizado",$I854="Entregue"),$W854&gt;0.005),"Cobrar",IF($I854="Orçamento","Aguardando aprovação",""))))</f>
        <v>0</v>
      </c>
      <c r="Z854" s="33">
        <f>IF(AND($I854="Entregue",$M854&lt;&gt;""),DATE(YEAR($M854),MONTH($M854),1),"")</f>
        <v>0</v>
      </c>
      <c r="AA854" s="34">
        <f>IF(AND($C854&lt;&gt;"",$C854=HistPlaca),COUNTIF($C$5:$C854,HistPlaca),"")</f>
        <v>0</v>
      </c>
    </row>
    <row r="855" spans="1:27">
      <c r="A855" s="17"/>
      <c r="B855" s="25"/>
      <c r="C855" s="13"/>
      <c r="D855" s="26">
        <f>IF($C855="","",IFERROR(INDEX(VeicCli,MATCH($C855,VeicPlaca,0)),"Placa não cadastrada"))</f>
        <v>0</v>
      </c>
      <c r="E855" s="26">
        <f>IF($C855="","",IFERROR(INDEX(VeicModelo,MATCH($C855,VeicPlaca,0)),""))</f>
        <v>0</v>
      </c>
      <c r="F855" s="28"/>
      <c r="G855" s="13"/>
      <c r="H855" s="13"/>
      <c r="I855" s="13"/>
      <c r="J855" s="29"/>
      <c r="K855" s="19"/>
      <c r="L855" s="19"/>
      <c r="M855" s="25"/>
      <c r="N855" s="13"/>
      <c r="O855" s="19"/>
      <c r="P855" s="27">
        <f>IF($A855="","",N($J855)*ValorHora)</f>
        <v>0</v>
      </c>
      <c r="Q855" s="27">
        <f>IF($A855="","",SUMIFS(ItTotal,ItOS,$A855))</f>
        <v>0</v>
      </c>
      <c r="R855" s="30">
        <f>IF($A855="","",$P855+$Q855+N($K855)-N($L855))</f>
        <v>0</v>
      </c>
      <c r="S855" s="27">
        <f>IF($A855="","",SUMIFS(ItCusto,ItOS,$A855))</f>
        <v>0</v>
      </c>
      <c r="T855" s="27">
        <f>IF($A855="","",$P855*ComMec)</f>
        <v>0</v>
      </c>
      <c r="U855" s="21">
        <f>IF($A855="","",$R855-$S855-$T855-N($K855))</f>
        <v>0</v>
      </c>
      <c r="V855" s="31">
        <f>IF(OR($A855="",N($R855)&lt;=0),"",$U855/$R855)</f>
        <v>0</v>
      </c>
      <c r="W855" s="27">
        <f>IF($A855="","",IF(OR($I855="Finalizado",$I855="Entregue"),MAX(0,$R855-N($O855)),0))</f>
        <v>0</v>
      </c>
      <c r="X855" s="32">
        <f>IF(OR($A855="",$B855=""),"",IF(OR($I855="Entregue",$I855="Cancelada"),"",Hoje-$B855))</f>
        <v>0</v>
      </c>
      <c r="Y855" s="24">
        <f>IF($A855="","",IF(AND(OR($I855="Aprovado",$I855="Em execução",$I855="Aguardando peça"),N($X855)&gt;PrazoMax),"ATRASADA",IF(AND(OR($I855="Finalizado",$I855="Entregue"),$W855&gt;0.005),"Cobrar",IF($I855="Orçamento","Aguardando aprovação",""))))</f>
        <v>0</v>
      </c>
      <c r="Z855" s="33">
        <f>IF(AND($I855="Entregue",$M855&lt;&gt;""),DATE(YEAR($M855),MONTH($M855),1),"")</f>
        <v>0</v>
      </c>
      <c r="AA855" s="34">
        <f>IF(AND($C855&lt;&gt;"",$C855=HistPlaca),COUNTIF($C$5:$C855,HistPlaca),"")</f>
        <v>0</v>
      </c>
    </row>
    <row r="856" spans="1:27">
      <c r="A856" s="17"/>
      <c r="B856" s="25"/>
      <c r="C856" s="13"/>
      <c r="D856" s="26">
        <f>IF($C856="","",IFERROR(INDEX(VeicCli,MATCH($C856,VeicPlaca,0)),"Placa não cadastrada"))</f>
        <v>0</v>
      </c>
      <c r="E856" s="26">
        <f>IF($C856="","",IFERROR(INDEX(VeicModelo,MATCH($C856,VeicPlaca,0)),""))</f>
        <v>0</v>
      </c>
      <c r="F856" s="28"/>
      <c r="G856" s="13"/>
      <c r="H856" s="13"/>
      <c r="I856" s="13"/>
      <c r="J856" s="29"/>
      <c r="K856" s="19"/>
      <c r="L856" s="19"/>
      <c r="M856" s="25"/>
      <c r="N856" s="13"/>
      <c r="O856" s="19"/>
      <c r="P856" s="27">
        <f>IF($A856="","",N($J856)*ValorHora)</f>
        <v>0</v>
      </c>
      <c r="Q856" s="27">
        <f>IF($A856="","",SUMIFS(ItTotal,ItOS,$A856))</f>
        <v>0</v>
      </c>
      <c r="R856" s="30">
        <f>IF($A856="","",$P856+$Q856+N($K856)-N($L856))</f>
        <v>0</v>
      </c>
      <c r="S856" s="27">
        <f>IF($A856="","",SUMIFS(ItCusto,ItOS,$A856))</f>
        <v>0</v>
      </c>
      <c r="T856" s="27">
        <f>IF($A856="","",$P856*ComMec)</f>
        <v>0</v>
      </c>
      <c r="U856" s="21">
        <f>IF($A856="","",$R856-$S856-$T856-N($K856))</f>
        <v>0</v>
      </c>
      <c r="V856" s="31">
        <f>IF(OR($A856="",N($R856)&lt;=0),"",$U856/$R856)</f>
        <v>0</v>
      </c>
      <c r="W856" s="27">
        <f>IF($A856="","",IF(OR($I856="Finalizado",$I856="Entregue"),MAX(0,$R856-N($O856)),0))</f>
        <v>0</v>
      </c>
      <c r="X856" s="32">
        <f>IF(OR($A856="",$B856=""),"",IF(OR($I856="Entregue",$I856="Cancelada"),"",Hoje-$B856))</f>
        <v>0</v>
      </c>
      <c r="Y856" s="24">
        <f>IF($A856="","",IF(AND(OR($I856="Aprovado",$I856="Em execução",$I856="Aguardando peça"),N($X856)&gt;PrazoMax),"ATRASADA",IF(AND(OR($I856="Finalizado",$I856="Entregue"),$W856&gt;0.005),"Cobrar",IF($I856="Orçamento","Aguardando aprovação",""))))</f>
        <v>0</v>
      </c>
      <c r="Z856" s="33">
        <f>IF(AND($I856="Entregue",$M856&lt;&gt;""),DATE(YEAR($M856),MONTH($M856),1),"")</f>
        <v>0</v>
      </c>
      <c r="AA856" s="34">
        <f>IF(AND($C856&lt;&gt;"",$C856=HistPlaca),COUNTIF($C$5:$C856,HistPlaca),"")</f>
        <v>0</v>
      </c>
    </row>
    <row r="857" spans="1:27">
      <c r="A857" s="17"/>
      <c r="B857" s="25"/>
      <c r="C857" s="13"/>
      <c r="D857" s="26">
        <f>IF($C857="","",IFERROR(INDEX(VeicCli,MATCH($C857,VeicPlaca,0)),"Placa não cadastrada"))</f>
        <v>0</v>
      </c>
      <c r="E857" s="26">
        <f>IF($C857="","",IFERROR(INDEX(VeicModelo,MATCH($C857,VeicPlaca,0)),""))</f>
        <v>0</v>
      </c>
      <c r="F857" s="28"/>
      <c r="G857" s="13"/>
      <c r="H857" s="13"/>
      <c r="I857" s="13"/>
      <c r="J857" s="29"/>
      <c r="K857" s="19"/>
      <c r="L857" s="19"/>
      <c r="M857" s="25"/>
      <c r="N857" s="13"/>
      <c r="O857" s="19"/>
      <c r="P857" s="27">
        <f>IF($A857="","",N($J857)*ValorHora)</f>
        <v>0</v>
      </c>
      <c r="Q857" s="27">
        <f>IF($A857="","",SUMIFS(ItTotal,ItOS,$A857))</f>
        <v>0</v>
      </c>
      <c r="R857" s="30">
        <f>IF($A857="","",$P857+$Q857+N($K857)-N($L857))</f>
        <v>0</v>
      </c>
      <c r="S857" s="27">
        <f>IF($A857="","",SUMIFS(ItCusto,ItOS,$A857))</f>
        <v>0</v>
      </c>
      <c r="T857" s="27">
        <f>IF($A857="","",$P857*ComMec)</f>
        <v>0</v>
      </c>
      <c r="U857" s="21">
        <f>IF($A857="","",$R857-$S857-$T857-N($K857))</f>
        <v>0</v>
      </c>
      <c r="V857" s="31">
        <f>IF(OR($A857="",N($R857)&lt;=0),"",$U857/$R857)</f>
        <v>0</v>
      </c>
      <c r="W857" s="27">
        <f>IF($A857="","",IF(OR($I857="Finalizado",$I857="Entregue"),MAX(0,$R857-N($O857)),0))</f>
        <v>0</v>
      </c>
      <c r="X857" s="32">
        <f>IF(OR($A857="",$B857=""),"",IF(OR($I857="Entregue",$I857="Cancelada"),"",Hoje-$B857))</f>
        <v>0</v>
      </c>
      <c r="Y857" s="24">
        <f>IF($A857="","",IF(AND(OR($I857="Aprovado",$I857="Em execução",$I857="Aguardando peça"),N($X857)&gt;PrazoMax),"ATRASADA",IF(AND(OR($I857="Finalizado",$I857="Entregue"),$W857&gt;0.005),"Cobrar",IF($I857="Orçamento","Aguardando aprovação",""))))</f>
        <v>0</v>
      </c>
      <c r="Z857" s="33">
        <f>IF(AND($I857="Entregue",$M857&lt;&gt;""),DATE(YEAR($M857),MONTH($M857),1),"")</f>
        <v>0</v>
      </c>
      <c r="AA857" s="34">
        <f>IF(AND($C857&lt;&gt;"",$C857=HistPlaca),COUNTIF($C$5:$C857,HistPlaca),"")</f>
        <v>0</v>
      </c>
    </row>
    <row r="858" spans="1:27">
      <c r="A858" s="17"/>
      <c r="B858" s="25"/>
      <c r="C858" s="13"/>
      <c r="D858" s="26">
        <f>IF($C858="","",IFERROR(INDEX(VeicCli,MATCH($C858,VeicPlaca,0)),"Placa não cadastrada"))</f>
        <v>0</v>
      </c>
      <c r="E858" s="26">
        <f>IF($C858="","",IFERROR(INDEX(VeicModelo,MATCH($C858,VeicPlaca,0)),""))</f>
        <v>0</v>
      </c>
      <c r="F858" s="28"/>
      <c r="G858" s="13"/>
      <c r="H858" s="13"/>
      <c r="I858" s="13"/>
      <c r="J858" s="29"/>
      <c r="K858" s="19"/>
      <c r="L858" s="19"/>
      <c r="M858" s="25"/>
      <c r="N858" s="13"/>
      <c r="O858" s="19"/>
      <c r="P858" s="27">
        <f>IF($A858="","",N($J858)*ValorHora)</f>
        <v>0</v>
      </c>
      <c r="Q858" s="27">
        <f>IF($A858="","",SUMIFS(ItTotal,ItOS,$A858))</f>
        <v>0</v>
      </c>
      <c r="R858" s="30">
        <f>IF($A858="","",$P858+$Q858+N($K858)-N($L858))</f>
        <v>0</v>
      </c>
      <c r="S858" s="27">
        <f>IF($A858="","",SUMIFS(ItCusto,ItOS,$A858))</f>
        <v>0</v>
      </c>
      <c r="T858" s="27">
        <f>IF($A858="","",$P858*ComMec)</f>
        <v>0</v>
      </c>
      <c r="U858" s="21">
        <f>IF($A858="","",$R858-$S858-$T858-N($K858))</f>
        <v>0</v>
      </c>
      <c r="V858" s="31">
        <f>IF(OR($A858="",N($R858)&lt;=0),"",$U858/$R858)</f>
        <v>0</v>
      </c>
      <c r="W858" s="27">
        <f>IF($A858="","",IF(OR($I858="Finalizado",$I858="Entregue"),MAX(0,$R858-N($O858)),0))</f>
        <v>0</v>
      </c>
      <c r="X858" s="32">
        <f>IF(OR($A858="",$B858=""),"",IF(OR($I858="Entregue",$I858="Cancelada"),"",Hoje-$B858))</f>
        <v>0</v>
      </c>
      <c r="Y858" s="24">
        <f>IF($A858="","",IF(AND(OR($I858="Aprovado",$I858="Em execução",$I858="Aguardando peça"),N($X858)&gt;PrazoMax),"ATRASADA",IF(AND(OR($I858="Finalizado",$I858="Entregue"),$W858&gt;0.005),"Cobrar",IF($I858="Orçamento","Aguardando aprovação",""))))</f>
        <v>0</v>
      </c>
      <c r="Z858" s="33">
        <f>IF(AND($I858="Entregue",$M858&lt;&gt;""),DATE(YEAR($M858),MONTH($M858),1),"")</f>
        <v>0</v>
      </c>
      <c r="AA858" s="34">
        <f>IF(AND($C858&lt;&gt;"",$C858=HistPlaca),COUNTIF($C$5:$C858,HistPlaca),"")</f>
        <v>0</v>
      </c>
    </row>
    <row r="859" spans="1:27">
      <c r="A859" s="17"/>
      <c r="B859" s="25"/>
      <c r="C859" s="13"/>
      <c r="D859" s="26">
        <f>IF($C859="","",IFERROR(INDEX(VeicCli,MATCH($C859,VeicPlaca,0)),"Placa não cadastrada"))</f>
        <v>0</v>
      </c>
      <c r="E859" s="26">
        <f>IF($C859="","",IFERROR(INDEX(VeicModelo,MATCH($C859,VeicPlaca,0)),""))</f>
        <v>0</v>
      </c>
      <c r="F859" s="28"/>
      <c r="G859" s="13"/>
      <c r="H859" s="13"/>
      <c r="I859" s="13"/>
      <c r="J859" s="29"/>
      <c r="K859" s="19"/>
      <c r="L859" s="19"/>
      <c r="M859" s="25"/>
      <c r="N859" s="13"/>
      <c r="O859" s="19"/>
      <c r="P859" s="27">
        <f>IF($A859="","",N($J859)*ValorHora)</f>
        <v>0</v>
      </c>
      <c r="Q859" s="27">
        <f>IF($A859="","",SUMIFS(ItTotal,ItOS,$A859))</f>
        <v>0</v>
      </c>
      <c r="R859" s="30">
        <f>IF($A859="","",$P859+$Q859+N($K859)-N($L859))</f>
        <v>0</v>
      </c>
      <c r="S859" s="27">
        <f>IF($A859="","",SUMIFS(ItCusto,ItOS,$A859))</f>
        <v>0</v>
      </c>
      <c r="T859" s="27">
        <f>IF($A859="","",$P859*ComMec)</f>
        <v>0</v>
      </c>
      <c r="U859" s="21">
        <f>IF($A859="","",$R859-$S859-$T859-N($K859))</f>
        <v>0</v>
      </c>
      <c r="V859" s="31">
        <f>IF(OR($A859="",N($R859)&lt;=0),"",$U859/$R859)</f>
        <v>0</v>
      </c>
      <c r="W859" s="27">
        <f>IF($A859="","",IF(OR($I859="Finalizado",$I859="Entregue"),MAX(0,$R859-N($O859)),0))</f>
        <v>0</v>
      </c>
      <c r="X859" s="32">
        <f>IF(OR($A859="",$B859=""),"",IF(OR($I859="Entregue",$I859="Cancelada"),"",Hoje-$B859))</f>
        <v>0</v>
      </c>
      <c r="Y859" s="24">
        <f>IF($A859="","",IF(AND(OR($I859="Aprovado",$I859="Em execução",$I859="Aguardando peça"),N($X859)&gt;PrazoMax),"ATRASADA",IF(AND(OR($I859="Finalizado",$I859="Entregue"),$W859&gt;0.005),"Cobrar",IF($I859="Orçamento","Aguardando aprovação",""))))</f>
        <v>0</v>
      </c>
      <c r="Z859" s="33">
        <f>IF(AND($I859="Entregue",$M859&lt;&gt;""),DATE(YEAR($M859),MONTH($M859),1),"")</f>
        <v>0</v>
      </c>
      <c r="AA859" s="34">
        <f>IF(AND($C859&lt;&gt;"",$C859=HistPlaca),COUNTIF($C$5:$C859,HistPlaca),"")</f>
        <v>0</v>
      </c>
    </row>
    <row r="860" spans="1:27">
      <c r="A860" s="17"/>
      <c r="B860" s="25"/>
      <c r="C860" s="13"/>
      <c r="D860" s="26">
        <f>IF($C860="","",IFERROR(INDEX(VeicCli,MATCH($C860,VeicPlaca,0)),"Placa não cadastrada"))</f>
        <v>0</v>
      </c>
      <c r="E860" s="26">
        <f>IF($C860="","",IFERROR(INDEX(VeicModelo,MATCH($C860,VeicPlaca,0)),""))</f>
        <v>0</v>
      </c>
      <c r="F860" s="28"/>
      <c r="G860" s="13"/>
      <c r="H860" s="13"/>
      <c r="I860" s="13"/>
      <c r="J860" s="29"/>
      <c r="K860" s="19"/>
      <c r="L860" s="19"/>
      <c r="M860" s="25"/>
      <c r="N860" s="13"/>
      <c r="O860" s="19"/>
      <c r="P860" s="27">
        <f>IF($A860="","",N($J860)*ValorHora)</f>
        <v>0</v>
      </c>
      <c r="Q860" s="27">
        <f>IF($A860="","",SUMIFS(ItTotal,ItOS,$A860))</f>
        <v>0</v>
      </c>
      <c r="R860" s="30">
        <f>IF($A860="","",$P860+$Q860+N($K860)-N($L860))</f>
        <v>0</v>
      </c>
      <c r="S860" s="27">
        <f>IF($A860="","",SUMIFS(ItCusto,ItOS,$A860))</f>
        <v>0</v>
      </c>
      <c r="T860" s="27">
        <f>IF($A860="","",$P860*ComMec)</f>
        <v>0</v>
      </c>
      <c r="U860" s="21">
        <f>IF($A860="","",$R860-$S860-$T860-N($K860))</f>
        <v>0</v>
      </c>
      <c r="V860" s="31">
        <f>IF(OR($A860="",N($R860)&lt;=0),"",$U860/$R860)</f>
        <v>0</v>
      </c>
      <c r="W860" s="27">
        <f>IF($A860="","",IF(OR($I860="Finalizado",$I860="Entregue"),MAX(0,$R860-N($O860)),0))</f>
        <v>0</v>
      </c>
      <c r="X860" s="32">
        <f>IF(OR($A860="",$B860=""),"",IF(OR($I860="Entregue",$I860="Cancelada"),"",Hoje-$B860))</f>
        <v>0</v>
      </c>
      <c r="Y860" s="24">
        <f>IF($A860="","",IF(AND(OR($I860="Aprovado",$I860="Em execução",$I860="Aguardando peça"),N($X860)&gt;PrazoMax),"ATRASADA",IF(AND(OR($I860="Finalizado",$I860="Entregue"),$W860&gt;0.005),"Cobrar",IF($I860="Orçamento","Aguardando aprovação",""))))</f>
        <v>0</v>
      </c>
      <c r="Z860" s="33">
        <f>IF(AND($I860="Entregue",$M860&lt;&gt;""),DATE(YEAR($M860),MONTH($M860),1),"")</f>
        <v>0</v>
      </c>
      <c r="AA860" s="34">
        <f>IF(AND($C860&lt;&gt;"",$C860=HistPlaca),COUNTIF($C$5:$C860,HistPlaca),"")</f>
        <v>0</v>
      </c>
    </row>
    <row r="861" spans="1:27">
      <c r="A861" s="17"/>
      <c r="B861" s="25"/>
      <c r="C861" s="13"/>
      <c r="D861" s="26">
        <f>IF($C861="","",IFERROR(INDEX(VeicCli,MATCH($C861,VeicPlaca,0)),"Placa não cadastrada"))</f>
        <v>0</v>
      </c>
      <c r="E861" s="26">
        <f>IF($C861="","",IFERROR(INDEX(VeicModelo,MATCH($C861,VeicPlaca,0)),""))</f>
        <v>0</v>
      </c>
      <c r="F861" s="28"/>
      <c r="G861" s="13"/>
      <c r="H861" s="13"/>
      <c r="I861" s="13"/>
      <c r="J861" s="29"/>
      <c r="K861" s="19"/>
      <c r="L861" s="19"/>
      <c r="M861" s="25"/>
      <c r="N861" s="13"/>
      <c r="O861" s="19"/>
      <c r="P861" s="27">
        <f>IF($A861="","",N($J861)*ValorHora)</f>
        <v>0</v>
      </c>
      <c r="Q861" s="27">
        <f>IF($A861="","",SUMIFS(ItTotal,ItOS,$A861))</f>
        <v>0</v>
      </c>
      <c r="R861" s="30">
        <f>IF($A861="","",$P861+$Q861+N($K861)-N($L861))</f>
        <v>0</v>
      </c>
      <c r="S861" s="27">
        <f>IF($A861="","",SUMIFS(ItCusto,ItOS,$A861))</f>
        <v>0</v>
      </c>
      <c r="T861" s="27">
        <f>IF($A861="","",$P861*ComMec)</f>
        <v>0</v>
      </c>
      <c r="U861" s="21">
        <f>IF($A861="","",$R861-$S861-$T861-N($K861))</f>
        <v>0</v>
      </c>
      <c r="V861" s="31">
        <f>IF(OR($A861="",N($R861)&lt;=0),"",$U861/$R861)</f>
        <v>0</v>
      </c>
      <c r="W861" s="27">
        <f>IF($A861="","",IF(OR($I861="Finalizado",$I861="Entregue"),MAX(0,$R861-N($O861)),0))</f>
        <v>0</v>
      </c>
      <c r="X861" s="32">
        <f>IF(OR($A861="",$B861=""),"",IF(OR($I861="Entregue",$I861="Cancelada"),"",Hoje-$B861))</f>
        <v>0</v>
      </c>
      <c r="Y861" s="24">
        <f>IF($A861="","",IF(AND(OR($I861="Aprovado",$I861="Em execução",$I861="Aguardando peça"),N($X861)&gt;PrazoMax),"ATRASADA",IF(AND(OR($I861="Finalizado",$I861="Entregue"),$W861&gt;0.005),"Cobrar",IF($I861="Orçamento","Aguardando aprovação",""))))</f>
        <v>0</v>
      </c>
      <c r="Z861" s="33">
        <f>IF(AND($I861="Entregue",$M861&lt;&gt;""),DATE(YEAR($M861),MONTH($M861),1),"")</f>
        <v>0</v>
      </c>
      <c r="AA861" s="34">
        <f>IF(AND($C861&lt;&gt;"",$C861=HistPlaca),COUNTIF($C$5:$C861,HistPlaca),"")</f>
        <v>0</v>
      </c>
    </row>
    <row r="862" spans="1:27">
      <c r="A862" s="17"/>
      <c r="B862" s="25"/>
      <c r="C862" s="13"/>
      <c r="D862" s="26">
        <f>IF($C862="","",IFERROR(INDEX(VeicCli,MATCH($C862,VeicPlaca,0)),"Placa não cadastrada"))</f>
        <v>0</v>
      </c>
      <c r="E862" s="26">
        <f>IF($C862="","",IFERROR(INDEX(VeicModelo,MATCH($C862,VeicPlaca,0)),""))</f>
        <v>0</v>
      </c>
      <c r="F862" s="28"/>
      <c r="G862" s="13"/>
      <c r="H862" s="13"/>
      <c r="I862" s="13"/>
      <c r="J862" s="29"/>
      <c r="K862" s="19"/>
      <c r="L862" s="19"/>
      <c r="M862" s="25"/>
      <c r="N862" s="13"/>
      <c r="O862" s="19"/>
      <c r="P862" s="27">
        <f>IF($A862="","",N($J862)*ValorHora)</f>
        <v>0</v>
      </c>
      <c r="Q862" s="27">
        <f>IF($A862="","",SUMIFS(ItTotal,ItOS,$A862))</f>
        <v>0</v>
      </c>
      <c r="R862" s="30">
        <f>IF($A862="","",$P862+$Q862+N($K862)-N($L862))</f>
        <v>0</v>
      </c>
      <c r="S862" s="27">
        <f>IF($A862="","",SUMIFS(ItCusto,ItOS,$A862))</f>
        <v>0</v>
      </c>
      <c r="T862" s="27">
        <f>IF($A862="","",$P862*ComMec)</f>
        <v>0</v>
      </c>
      <c r="U862" s="21">
        <f>IF($A862="","",$R862-$S862-$T862-N($K862))</f>
        <v>0</v>
      </c>
      <c r="V862" s="31">
        <f>IF(OR($A862="",N($R862)&lt;=0),"",$U862/$R862)</f>
        <v>0</v>
      </c>
      <c r="W862" s="27">
        <f>IF($A862="","",IF(OR($I862="Finalizado",$I862="Entregue"),MAX(0,$R862-N($O862)),0))</f>
        <v>0</v>
      </c>
      <c r="X862" s="32">
        <f>IF(OR($A862="",$B862=""),"",IF(OR($I862="Entregue",$I862="Cancelada"),"",Hoje-$B862))</f>
        <v>0</v>
      </c>
      <c r="Y862" s="24">
        <f>IF($A862="","",IF(AND(OR($I862="Aprovado",$I862="Em execução",$I862="Aguardando peça"),N($X862)&gt;PrazoMax),"ATRASADA",IF(AND(OR($I862="Finalizado",$I862="Entregue"),$W862&gt;0.005),"Cobrar",IF($I862="Orçamento","Aguardando aprovação",""))))</f>
        <v>0</v>
      </c>
      <c r="Z862" s="33">
        <f>IF(AND($I862="Entregue",$M862&lt;&gt;""),DATE(YEAR($M862),MONTH($M862),1),"")</f>
        <v>0</v>
      </c>
      <c r="AA862" s="34">
        <f>IF(AND($C862&lt;&gt;"",$C862=HistPlaca),COUNTIF($C$5:$C862,HistPlaca),"")</f>
        <v>0</v>
      </c>
    </row>
    <row r="863" spans="1:27">
      <c r="A863" s="17"/>
      <c r="B863" s="25"/>
      <c r="C863" s="13"/>
      <c r="D863" s="26">
        <f>IF($C863="","",IFERROR(INDEX(VeicCli,MATCH($C863,VeicPlaca,0)),"Placa não cadastrada"))</f>
        <v>0</v>
      </c>
      <c r="E863" s="26">
        <f>IF($C863="","",IFERROR(INDEX(VeicModelo,MATCH($C863,VeicPlaca,0)),""))</f>
        <v>0</v>
      </c>
      <c r="F863" s="28"/>
      <c r="G863" s="13"/>
      <c r="H863" s="13"/>
      <c r="I863" s="13"/>
      <c r="J863" s="29"/>
      <c r="K863" s="19"/>
      <c r="L863" s="19"/>
      <c r="M863" s="25"/>
      <c r="N863" s="13"/>
      <c r="O863" s="19"/>
      <c r="P863" s="27">
        <f>IF($A863="","",N($J863)*ValorHora)</f>
        <v>0</v>
      </c>
      <c r="Q863" s="27">
        <f>IF($A863="","",SUMIFS(ItTotal,ItOS,$A863))</f>
        <v>0</v>
      </c>
      <c r="R863" s="30">
        <f>IF($A863="","",$P863+$Q863+N($K863)-N($L863))</f>
        <v>0</v>
      </c>
      <c r="S863" s="27">
        <f>IF($A863="","",SUMIFS(ItCusto,ItOS,$A863))</f>
        <v>0</v>
      </c>
      <c r="T863" s="27">
        <f>IF($A863="","",$P863*ComMec)</f>
        <v>0</v>
      </c>
      <c r="U863" s="21">
        <f>IF($A863="","",$R863-$S863-$T863-N($K863))</f>
        <v>0</v>
      </c>
      <c r="V863" s="31">
        <f>IF(OR($A863="",N($R863)&lt;=0),"",$U863/$R863)</f>
        <v>0</v>
      </c>
      <c r="W863" s="27">
        <f>IF($A863="","",IF(OR($I863="Finalizado",$I863="Entregue"),MAX(0,$R863-N($O863)),0))</f>
        <v>0</v>
      </c>
      <c r="X863" s="32">
        <f>IF(OR($A863="",$B863=""),"",IF(OR($I863="Entregue",$I863="Cancelada"),"",Hoje-$B863))</f>
        <v>0</v>
      </c>
      <c r="Y863" s="24">
        <f>IF($A863="","",IF(AND(OR($I863="Aprovado",$I863="Em execução",$I863="Aguardando peça"),N($X863)&gt;PrazoMax),"ATRASADA",IF(AND(OR($I863="Finalizado",$I863="Entregue"),$W863&gt;0.005),"Cobrar",IF($I863="Orçamento","Aguardando aprovação",""))))</f>
        <v>0</v>
      </c>
      <c r="Z863" s="33">
        <f>IF(AND($I863="Entregue",$M863&lt;&gt;""),DATE(YEAR($M863),MONTH($M863),1),"")</f>
        <v>0</v>
      </c>
      <c r="AA863" s="34">
        <f>IF(AND($C863&lt;&gt;"",$C863=HistPlaca),COUNTIF($C$5:$C863,HistPlaca),"")</f>
        <v>0</v>
      </c>
    </row>
    <row r="864" spans="1:27">
      <c r="A864" s="17"/>
      <c r="B864" s="25"/>
      <c r="C864" s="13"/>
      <c r="D864" s="26">
        <f>IF($C864="","",IFERROR(INDEX(VeicCli,MATCH($C864,VeicPlaca,0)),"Placa não cadastrada"))</f>
        <v>0</v>
      </c>
      <c r="E864" s="26">
        <f>IF($C864="","",IFERROR(INDEX(VeicModelo,MATCH($C864,VeicPlaca,0)),""))</f>
        <v>0</v>
      </c>
      <c r="F864" s="28"/>
      <c r="G864" s="13"/>
      <c r="H864" s="13"/>
      <c r="I864" s="13"/>
      <c r="J864" s="29"/>
      <c r="K864" s="19"/>
      <c r="L864" s="19"/>
      <c r="M864" s="25"/>
      <c r="N864" s="13"/>
      <c r="O864" s="19"/>
      <c r="P864" s="27">
        <f>IF($A864="","",N($J864)*ValorHora)</f>
        <v>0</v>
      </c>
      <c r="Q864" s="27">
        <f>IF($A864="","",SUMIFS(ItTotal,ItOS,$A864))</f>
        <v>0</v>
      </c>
      <c r="R864" s="30">
        <f>IF($A864="","",$P864+$Q864+N($K864)-N($L864))</f>
        <v>0</v>
      </c>
      <c r="S864" s="27">
        <f>IF($A864="","",SUMIFS(ItCusto,ItOS,$A864))</f>
        <v>0</v>
      </c>
      <c r="T864" s="27">
        <f>IF($A864="","",$P864*ComMec)</f>
        <v>0</v>
      </c>
      <c r="U864" s="21">
        <f>IF($A864="","",$R864-$S864-$T864-N($K864))</f>
        <v>0</v>
      </c>
      <c r="V864" s="31">
        <f>IF(OR($A864="",N($R864)&lt;=0),"",$U864/$R864)</f>
        <v>0</v>
      </c>
      <c r="W864" s="27">
        <f>IF($A864="","",IF(OR($I864="Finalizado",$I864="Entregue"),MAX(0,$R864-N($O864)),0))</f>
        <v>0</v>
      </c>
      <c r="X864" s="32">
        <f>IF(OR($A864="",$B864=""),"",IF(OR($I864="Entregue",$I864="Cancelada"),"",Hoje-$B864))</f>
        <v>0</v>
      </c>
      <c r="Y864" s="24">
        <f>IF($A864="","",IF(AND(OR($I864="Aprovado",$I864="Em execução",$I864="Aguardando peça"),N($X864)&gt;PrazoMax),"ATRASADA",IF(AND(OR($I864="Finalizado",$I864="Entregue"),$W864&gt;0.005),"Cobrar",IF($I864="Orçamento","Aguardando aprovação",""))))</f>
        <v>0</v>
      </c>
      <c r="Z864" s="33">
        <f>IF(AND($I864="Entregue",$M864&lt;&gt;""),DATE(YEAR($M864),MONTH($M864),1),"")</f>
        <v>0</v>
      </c>
      <c r="AA864" s="34">
        <f>IF(AND($C864&lt;&gt;"",$C864=HistPlaca),COUNTIF($C$5:$C864,HistPlaca),"")</f>
        <v>0</v>
      </c>
    </row>
    <row r="865" spans="1:27">
      <c r="A865" s="17"/>
      <c r="B865" s="25"/>
      <c r="C865" s="13"/>
      <c r="D865" s="26">
        <f>IF($C865="","",IFERROR(INDEX(VeicCli,MATCH($C865,VeicPlaca,0)),"Placa não cadastrada"))</f>
        <v>0</v>
      </c>
      <c r="E865" s="26">
        <f>IF($C865="","",IFERROR(INDEX(VeicModelo,MATCH($C865,VeicPlaca,0)),""))</f>
        <v>0</v>
      </c>
      <c r="F865" s="28"/>
      <c r="G865" s="13"/>
      <c r="H865" s="13"/>
      <c r="I865" s="13"/>
      <c r="J865" s="29"/>
      <c r="K865" s="19"/>
      <c r="L865" s="19"/>
      <c r="M865" s="25"/>
      <c r="N865" s="13"/>
      <c r="O865" s="19"/>
      <c r="P865" s="27">
        <f>IF($A865="","",N($J865)*ValorHora)</f>
        <v>0</v>
      </c>
      <c r="Q865" s="27">
        <f>IF($A865="","",SUMIFS(ItTotal,ItOS,$A865))</f>
        <v>0</v>
      </c>
      <c r="R865" s="30">
        <f>IF($A865="","",$P865+$Q865+N($K865)-N($L865))</f>
        <v>0</v>
      </c>
      <c r="S865" s="27">
        <f>IF($A865="","",SUMIFS(ItCusto,ItOS,$A865))</f>
        <v>0</v>
      </c>
      <c r="T865" s="27">
        <f>IF($A865="","",$P865*ComMec)</f>
        <v>0</v>
      </c>
      <c r="U865" s="21">
        <f>IF($A865="","",$R865-$S865-$T865-N($K865))</f>
        <v>0</v>
      </c>
      <c r="V865" s="31">
        <f>IF(OR($A865="",N($R865)&lt;=0),"",$U865/$R865)</f>
        <v>0</v>
      </c>
      <c r="W865" s="27">
        <f>IF($A865="","",IF(OR($I865="Finalizado",$I865="Entregue"),MAX(0,$R865-N($O865)),0))</f>
        <v>0</v>
      </c>
      <c r="X865" s="32">
        <f>IF(OR($A865="",$B865=""),"",IF(OR($I865="Entregue",$I865="Cancelada"),"",Hoje-$B865))</f>
        <v>0</v>
      </c>
      <c r="Y865" s="24">
        <f>IF($A865="","",IF(AND(OR($I865="Aprovado",$I865="Em execução",$I865="Aguardando peça"),N($X865)&gt;PrazoMax),"ATRASADA",IF(AND(OR($I865="Finalizado",$I865="Entregue"),$W865&gt;0.005),"Cobrar",IF($I865="Orçamento","Aguardando aprovação",""))))</f>
        <v>0</v>
      </c>
      <c r="Z865" s="33">
        <f>IF(AND($I865="Entregue",$M865&lt;&gt;""),DATE(YEAR($M865),MONTH($M865),1),"")</f>
        <v>0</v>
      </c>
      <c r="AA865" s="34">
        <f>IF(AND($C865&lt;&gt;"",$C865=HistPlaca),COUNTIF($C$5:$C865,HistPlaca),"")</f>
        <v>0</v>
      </c>
    </row>
    <row r="866" spans="1:27">
      <c r="A866" s="17"/>
      <c r="B866" s="25"/>
      <c r="C866" s="13"/>
      <c r="D866" s="26">
        <f>IF($C866="","",IFERROR(INDEX(VeicCli,MATCH($C866,VeicPlaca,0)),"Placa não cadastrada"))</f>
        <v>0</v>
      </c>
      <c r="E866" s="26">
        <f>IF($C866="","",IFERROR(INDEX(VeicModelo,MATCH($C866,VeicPlaca,0)),""))</f>
        <v>0</v>
      </c>
      <c r="F866" s="28"/>
      <c r="G866" s="13"/>
      <c r="H866" s="13"/>
      <c r="I866" s="13"/>
      <c r="J866" s="29"/>
      <c r="K866" s="19"/>
      <c r="L866" s="19"/>
      <c r="M866" s="25"/>
      <c r="N866" s="13"/>
      <c r="O866" s="19"/>
      <c r="P866" s="27">
        <f>IF($A866="","",N($J866)*ValorHora)</f>
        <v>0</v>
      </c>
      <c r="Q866" s="27">
        <f>IF($A866="","",SUMIFS(ItTotal,ItOS,$A866))</f>
        <v>0</v>
      </c>
      <c r="R866" s="30">
        <f>IF($A866="","",$P866+$Q866+N($K866)-N($L866))</f>
        <v>0</v>
      </c>
      <c r="S866" s="27">
        <f>IF($A866="","",SUMIFS(ItCusto,ItOS,$A866))</f>
        <v>0</v>
      </c>
      <c r="T866" s="27">
        <f>IF($A866="","",$P866*ComMec)</f>
        <v>0</v>
      </c>
      <c r="U866" s="21">
        <f>IF($A866="","",$R866-$S866-$T866-N($K866))</f>
        <v>0</v>
      </c>
      <c r="V866" s="31">
        <f>IF(OR($A866="",N($R866)&lt;=0),"",$U866/$R866)</f>
        <v>0</v>
      </c>
      <c r="W866" s="27">
        <f>IF($A866="","",IF(OR($I866="Finalizado",$I866="Entregue"),MAX(0,$R866-N($O866)),0))</f>
        <v>0</v>
      </c>
      <c r="X866" s="32">
        <f>IF(OR($A866="",$B866=""),"",IF(OR($I866="Entregue",$I866="Cancelada"),"",Hoje-$B866))</f>
        <v>0</v>
      </c>
      <c r="Y866" s="24">
        <f>IF($A866="","",IF(AND(OR($I866="Aprovado",$I866="Em execução",$I866="Aguardando peça"),N($X866)&gt;PrazoMax),"ATRASADA",IF(AND(OR($I866="Finalizado",$I866="Entregue"),$W866&gt;0.005),"Cobrar",IF($I866="Orçamento","Aguardando aprovação",""))))</f>
        <v>0</v>
      </c>
      <c r="Z866" s="33">
        <f>IF(AND($I866="Entregue",$M866&lt;&gt;""),DATE(YEAR($M866),MONTH($M866),1),"")</f>
        <v>0</v>
      </c>
      <c r="AA866" s="34">
        <f>IF(AND($C866&lt;&gt;"",$C866=HistPlaca),COUNTIF($C$5:$C866,HistPlaca),"")</f>
        <v>0</v>
      </c>
    </row>
    <row r="867" spans="1:27">
      <c r="A867" s="17"/>
      <c r="B867" s="25"/>
      <c r="C867" s="13"/>
      <c r="D867" s="26">
        <f>IF($C867="","",IFERROR(INDEX(VeicCli,MATCH($C867,VeicPlaca,0)),"Placa não cadastrada"))</f>
        <v>0</v>
      </c>
      <c r="E867" s="26">
        <f>IF($C867="","",IFERROR(INDEX(VeicModelo,MATCH($C867,VeicPlaca,0)),""))</f>
        <v>0</v>
      </c>
      <c r="F867" s="28"/>
      <c r="G867" s="13"/>
      <c r="H867" s="13"/>
      <c r="I867" s="13"/>
      <c r="J867" s="29"/>
      <c r="K867" s="19"/>
      <c r="L867" s="19"/>
      <c r="M867" s="25"/>
      <c r="N867" s="13"/>
      <c r="O867" s="19"/>
      <c r="P867" s="27">
        <f>IF($A867="","",N($J867)*ValorHora)</f>
        <v>0</v>
      </c>
      <c r="Q867" s="27">
        <f>IF($A867="","",SUMIFS(ItTotal,ItOS,$A867))</f>
        <v>0</v>
      </c>
      <c r="R867" s="30">
        <f>IF($A867="","",$P867+$Q867+N($K867)-N($L867))</f>
        <v>0</v>
      </c>
      <c r="S867" s="27">
        <f>IF($A867="","",SUMIFS(ItCusto,ItOS,$A867))</f>
        <v>0</v>
      </c>
      <c r="T867" s="27">
        <f>IF($A867="","",$P867*ComMec)</f>
        <v>0</v>
      </c>
      <c r="U867" s="21">
        <f>IF($A867="","",$R867-$S867-$T867-N($K867))</f>
        <v>0</v>
      </c>
      <c r="V867" s="31">
        <f>IF(OR($A867="",N($R867)&lt;=0),"",$U867/$R867)</f>
        <v>0</v>
      </c>
      <c r="W867" s="27">
        <f>IF($A867="","",IF(OR($I867="Finalizado",$I867="Entregue"),MAX(0,$R867-N($O867)),0))</f>
        <v>0</v>
      </c>
      <c r="X867" s="32">
        <f>IF(OR($A867="",$B867=""),"",IF(OR($I867="Entregue",$I867="Cancelada"),"",Hoje-$B867))</f>
        <v>0</v>
      </c>
      <c r="Y867" s="24">
        <f>IF($A867="","",IF(AND(OR($I867="Aprovado",$I867="Em execução",$I867="Aguardando peça"),N($X867)&gt;PrazoMax),"ATRASADA",IF(AND(OR($I867="Finalizado",$I867="Entregue"),$W867&gt;0.005),"Cobrar",IF($I867="Orçamento","Aguardando aprovação",""))))</f>
        <v>0</v>
      </c>
      <c r="Z867" s="33">
        <f>IF(AND($I867="Entregue",$M867&lt;&gt;""),DATE(YEAR($M867),MONTH($M867),1),"")</f>
        <v>0</v>
      </c>
      <c r="AA867" s="34">
        <f>IF(AND($C867&lt;&gt;"",$C867=HistPlaca),COUNTIF($C$5:$C867,HistPlaca),"")</f>
        <v>0</v>
      </c>
    </row>
    <row r="868" spans="1:27">
      <c r="A868" s="17"/>
      <c r="B868" s="25"/>
      <c r="C868" s="13"/>
      <c r="D868" s="26">
        <f>IF($C868="","",IFERROR(INDEX(VeicCli,MATCH($C868,VeicPlaca,0)),"Placa não cadastrada"))</f>
        <v>0</v>
      </c>
      <c r="E868" s="26">
        <f>IF($C868="","",IFERROR(INDEX(VeicModelo,MATCH($C868,VeicPlaca,0)),""))</f>
        <v>0</v>
      </c>
      <c r="F868" s="28"/>
      <c r="G868" s="13"/>
      <c r="H868" s="13"/>
      <c r="I868" s="13"/>
      <c r="J868" s="29"/>
      <c r="K868" s="19"/>
      <c r="L868" s="19"/>
      <c r="M868" s="25"/>
      <c r="N868" s="13"/>
      <c r="O868" s="19"/>
      <c r="P868" s="27">
        <f>IF($A868="","",N($J868)*ValorHora)</f>
        <v>0</v>
      </c>
      <c r="Q868" s="27">
        <f>IF($A868="","",SUMIFS(ItTotal,ItOS,$A868))</f>
        <v>0</v>
      </c>
      <c r="R868" s="30">
        <f>IF($A868="","",$P868+$Q868+N($K868)-N($L868))</f>
        <v>0</v>
      </c>
      <c r="S868" s="27">
        <f>IF($A868="","",SUMIFS(ItCusto,ItOS,$A868))</f>
        <v>0</v>
      </c>
      <c r="T868" s="27">
        <f>IF($A868="","",$P868*ComMec)</f>
        <v>0</v>
      </c>
      <c r="U868" s="21">
        <f>IF($A868="","",$R868-$S868-$T868-N($K868))</f>
        <v>0</v>
      </c>
      <c r="V868" s="31">
        <f>IF(OR($A868="",N($R868)&lt;=0),"",$U868/$R868)</f>
        <v>0</v>
      </c>
      <c r="W868" s="27">
        <f>IF($A868="","",IF(OR($I868="Finalizado",$I868="Entregue"),MAX(0,$R868-N($O868)),0))</f>
        <v>0</v>
      </c>
      <c r="X868" s="32">
        <f>IF(OR($A868="",$B868=""),"",IF(OR($I868="Entregue",$I868="Cancelada"),"",Hoje-$B868))</f>
        <v>0</v>
      </c>
      <c r="Y868" s="24">
        <f>IF($A868="","",IF(AND(OR($I868="Aprovado",$I868="Em execução",$I868="Aguardando peça"),N($X868)&gt;PrazoMax),"ATRASADA",IF(AND(OR($I868="Finalizado",$I868="Entregue"),$W868&gt;0.005),"Cobrar",IF($I868="Orçamento","Aguardando aprovação",""))))</f>
        <v>0</v>
      </c>
      <c r="Z868" s="33">
        <f>IF(AND($I868="Entregue",$M868&lt;&gt;""),DATE(YEAR($M868),MONTH($M868),1),"")</f>
        <v>0</v>
      </c>
      <c r="AA868" s="34">
        <f>IF(AND($C868&lt;&gt;"",$C868=HistPlaca),COUNTIF($C$5:$C868,HistPlaca),"")</f>
        <v>0</v>
      </c>
    </row>
    <row r="869" spans="1:27">
      <c r="A869" s="17"/>
      <c r="B869" s="25"/>
      <c r="C869" s="13"/>
      <c r="D869" s="26">
        <f>IF($C869="","",IFERROR(INDEX(VeicCli,MATCH($C869,VeicPlaca,0)),"Placa não cadastrada"))</f>
        <v>0</v>
      </c>
      <c r="E869" s="26">
        <f>IF($C869="","",IFERROR(INDEX(VeicModelo,MATCH($C869,VeicPlaca,0)),""))</f>
        <v>0</v>
      </c>
      <c r="F869" s="28"/>
      <c r="G869" s="13"/>
      <c r="H869" s="13"/>
      <c r="I869" s="13"/>
      <c r="J869" s="29"/>
      <c r="K869" s="19"/>
      <c r="L869" s="19"/>
      <c r="M869" s="25"/>
      <c r="N869" s="13"/>
      <c r="O869" s="19"/>
      <c r="P869" s="27">
        <f>IF($A869="","",N($J869)*ValorHora)</f>
        <v>0</v>
      </c>
      <c r="Q869" s="27">
        <f>IF($A869="","",SUMIFS(ItTotal,ItOS,$A869))</f>
        <v>0</v>
      </c>
      <c r="R869" s="30">
        <f>IF($A869="","",$P869+$Q869+N($K869)-N($L869))</f>
        <v>0</v>
      </c>
      <c r="S869" s="27">
        <f>IF($A869="","",SUMIFS(ItCusto,ItOS,$A869))</f>
        <v>0</v>
      </c>
      <c r="T869" s="27">
        <f>IF($A869="","",$P869*ComMec)</f>
        <v>0</v>
      </c>
      <c r="U869" s="21">
        <f>IF($A869="","",$R869-$S869-$T869-N($K869))</f>
        <v>0</v>
      </c>
      <c r="V869" s="31">
        <f>IF(OR($A869="",N($R869)&lt;=0),"",$U869/$R869)</f>
        <v>0</v>
      </c>
      <c r="W869" s="27">
        <f>IF($A869="","",IF(OR($I869="Finalizado",$I869="Entregue"),MAX(0,$R869-N($O869)),0))</f>
        <v>0</v>
      </c>
      <c r="X869" s="32">
        <f>IF(OR($A869="",$B869=""),"",IF(OR($I869="Entregue",$I869="Cancelada"),"",Hoje-$B869))</f>
        <v>0</v>
      </c>
      <c r="Y869" s="24">
        <f>IF($A869="","",IF(AND(OR($I869="Aprovado",$I869="Em execução",$I869="Aguardando peça"),N($X869)&gt;PrazoMax),"ATRASADA",IF(AND(OR($I869="Finalizado",$I869="Entregue"),$W869&gt;0.005),"Cobrar",IF($I869="Orçamento","Aguardando aprovação",""))))</f>
        <v>0</v>
      </c>
      <c r="Z869" s="33">
        <f>IF(AND($I869="Entregue",$M869&lt;&gt;""),DATE(YEAR($M869),MONTH($M869),1),"")</f>
        <v>0</v>
      </c>
      <c r="AA869" s="34">
        <f>IF(AND($C869&lt;&gt;"",$C869=HistPlaca),COUNTIF($C$5:$C869,HistPlaca),"")</f>
        <v>0</v>
      </c>
    </row>
    <row r="870" spans="1:27">
      <c r="A870" s="17"/>
      <c r="B870" s="25"/>
      <c r="C870" s="13"/>
      <c r="D870" s="26">
        <f>IF($C870="","",IFERROR(INDEX(VeicCli,MATCH($C870,VeicPlaca,0)),"Placa não cadastrada"))</f>
        <v>0</v>
      </c>
      <c r="E870" s="26">
        <f>IF($C870="","",IFERROR(INDEX(VeicModelo,MATCH($C870,VeicPlaca,0)),""))</f>
        <v>0</v>
      </c>
      <c r="F870" s="28"/>
      <c r="G870" s="13"/>
      <c r="H870" s="13"/>
      <c r="I870" s="13"/>
      <c r="J870" s="29"/>
      <c r="K870" s="19"/>
      <c r="L870" s="19"/>
      <c r="M870" s="25"/>
      <c r="N870" s="13"/>
      <c r="O870" s="19"/>
      <c r="P870" s="27">
        <f>IF($A870="","",N($J870)*ValorHora)</f>
        <v>0</v>
      </c>
      <c r="Q870" s="27">
        <f>IF($A870="","",SUMIFS(ItTotal,ItOS,$A870))</f>
        <v>0</v>
      </c>
      <c r="R870" s="30">
        <f>IF($A870="","",$P870+$Q870+N($K870)-N($L870))</f>
        <v>0</v>
      </c>
      <c r="S870" s="27">
        <f>IF($A870="","",SUMIFS(ItCusto,ItOS,$A870))</f>
        <v>0</v>
      </c>
      <c r="T870" s="27">
        <f>IF($A870="","",$P870*ComMec)</f>
        <v>0</v>
      </c>
      <c r="U870" s="21">
        <f>IF($A870="","",$R870-$S870-$T870-N($K870))</f>
        <v>0</v>
      </c>
      <c r="V870" s="31">
        <f>IF(OR($A870="",N($R870)&lt;=0),"",$U870/$R870)</f>
        <v>0</v>
      </c>
      <c r="W870" s="27">
        <f>IF($A870="","",IF(OR($I870="Finalizado",$I870="Entregue"),MAX(0,$R870-N($O870)),0))</f>
        <v>0</v>
      </c>
      <c r="X870" s="32">
        <f>IF(OR($A870="",$B870=""),"",IF(OR($I870="Entregue",$I870="Cancelada"),"",Hoje-$B870))</f>
        <v>0</v>
      </c>
      <c r="Y870" s="24">
        <f>IF($A870="","",IF(AND(OR($I870="Aprovado",$I870="Em execução",$I870="Aguardando peça"),N($X870)&gt;PrazoMax),"ATRASADA",IF(AND(OR($I870="Finalizado",$I870="Entregue"),$W870&gt;0.005),"Cobrar",IF($I870="Orçamento","Aguardando aprovação",""))))</f>
        <v>0</v>
      </c>
      <c r="Z870" s="33">
        <f>IF(AND($I870="Entregue",$M870&lt;&gt;""),DATE(YEAR($M870),MONTH($M870),1),"")</f>
        <v>0</v>
      </c>
      <c r="AA870" s="34">
        <f>IF(AND($C870&lt;&gt;"",$C870=HistPlaca),COUNTIF($C$5:$C870,HistPlaca),"")</f>
        <v>0</v>
      </c>
    </row>
    <row r="871" spans="1:27">
      <c r="A871" s="17"/>
      <c r="B871" s="25"/>
      <c r="C871" s="13"/>
      <c r="D871" s="26">
        <f>IF($C871="","",IFERROR(INDEX(VeicCli,MATCH($C871,VeicPlaca,0)),"Placa não cadastrada"))</f>
        <v>0</v>
      </c>
      <c r="E871" s="26">
        <f>IF($C871="","",IFERROR(INDEX(VeicModelo,MATCH($C871,VeicPlaca,0)),""))</f>
        <v>0</v>
      </c>
      <c r="F871" s="28"/>
      <c r="G871" s="13"/>
      <c r="H871" s="13"/>
      <c r="I871" s="13"/>
      <c r="J871" s="29"/>
      <c r="K871" s="19"/>
      <c r="L871" s="19"/>
      <c r="M871" s="25"/>
      <c r="N871" s="13"/>
      <c r="O871" s="19"/>
      <c r="P871" s="27">
        <f>IF($A871="","",N($J871)*ValorHora)</f>
        <v>0</v>
      </c>
      <c r="Q871" s="27">
        <f>IF($A871="","",SUMIFS(ItTotal,ItOS,$A871))</f>
        <v>0</v>
      </c>
      <c r="R871" s="30">
        <f>IF($A871="","",$P871+$Q871+N($K871)-N($L871))</f>
        <v>0</v>
      </c>
      <c r="S871" s="27">
        <f>IF($A871="","",SUMIFS(ItCusto,ItOS,$A871))</f>
        <v>0</v>
      </c>
      <c r="T871" s="27">
        <f>IF($A871="","",$P871*ComMec)</f>
        <v>0</v>
      </c>
      <c r="U871" s="21">
        <f>IF($A871="","",$R871-$S871-$T871-N($K871))</f>
        <v>0</v>
      </c>
      <c r="V871" s="31">
        <f>IF(OR($A871="",N($R871)&lt;=0),"",$U871/$R871)</f>
        <v>0</v>
      </c>
      <c r="W871" s="27">
        <f>IF($A871="","",IF(OR($I871="Finalizado",$I871="Entregue"),MAX(0,$R871-N($O871)),0))</f>
        <v>0</v>
      </c>
      <c r="X871" s="32">
        <f>IF(OR($A871="",$B871=""),"",IF(OR($I871="Entregue",$I871="Cancelada"),"",Hoje-$B871))</f>
        <v>0</v>
      </c>
      <c r="Y871" s="24">
        <f>IF($A871="","",IF(AND(OR($I871="Aprovado",$I871="Em execução",$I871="Aguardando peça"),N($X871)&gt;PrazoMax),"ATRASADA",IF(AND(OR($I871="Finalizado",$I871="Entregue"),$W871&gt;0.005),"Cobrar",IF($I871="Orçamento","Aguardando aprovação",""))))</f>
        <v>0</v>
      </c>
      <c r="Z871" s="33">
        <f>IF(AND($I871="Entregue",$M871&lt;&gt;""),DATE(YEAR($M871),MONTH($M871),1),"")</f>
        <v>0</v>
      </c>
      <c r="AA871" s="34">
        <f>IF(AND($C871&lt;&gt;"",$C871=HistPlaca),COUNTIF($C$5:$C871,HistPlaca),"")</f>
        <v>0</v>
      </c>
    </row>
    <row r="872" spans="1:27">
      <c r="A872" s="17"/>
      <c r="B872" s="25"/>
      <c r="C872" s="13"/>
      <c r="D872" s="26">
        <f>IF($C872="","",IFERROR(INDEX(VeicCli,MATCH($C872,VeicPlaca,0)),"Placa não cadastrada"))</f>
        <v>0</v>
      </c>
      <c r="E872" s="26">
        <f>IF($C872="","",IFERROR(INDEX(VeicModelo,MATCH($C872,VeicPlaca,0)),""))</f>
        <v>0</v>
      </c>
      <c r="F872" s="28"/>
      <c r="G872" s="13"/>
      <c r="H872" s="13"/>
      <c r="I872" s="13"/>
      <c r="J872" s="29"/>
      <c r="K872" s="19"/>
      <c r="L872" s="19"/>
      <c r="M872" s="25"/>
      <c r="N872" s="13"/>
      <c r="O872" s="19"/>
      <c r="P872" s="27">
        <f>IF($A872="","",N($J872)*ValorHora)</f>
        <v>0</v>
      </c>
      <c r="Q872" s="27">
        <f>IF($A872="","",SUMIFS(ItTotal,ItOS,$A872))</f>
        <v>0</v>
      </c>
      <c r="R872" s="30">
        <f>IF($A872="","",$P872+$Q872+N($K872)-N($L872))</f>
        <v>0</v>
      </c>
      <c r="S872" s="27">
        <f>IF($A872="","",SUMIFS(ItCusto,ItOS,$A872))</f>
        <v>0</v>
      </c>
      <c r="T872" s="27">
        <f>IF($A872="","",$P872*ComMec)</f>
        <v>0</v>
      </c>
      <c r="U872" s="21">
        <f>IF($A872="","",$R872-$S872-$T872-N($K872))</f>
        <v>0</v>
      </c>
      <c r="V872" s="31">
        <f>IF(OR($A872="",N($R872)&lt;=0),"",$U872/$R872)</f>
        <v>0</v>
      </c>
      <c r="W872" s="27">
        <f>IF($A872="","",IF(OR($I872="Finalizado",$I872="Entregue"),MAX(0,$R872-N($O872)),0))</f>
        <v>0</v>
      </c>
      <c r="X872" s="32">
        <f>IF(OR($A872="",$B872=""),"",IF(OR($I872="Entregue",$I872="Cancelada"),"",Hoje-$B872))</f>
        <v>0</v>
      </c>
      <c r="Y872" s="24">
        <f>IF($A872="","",IF(AND(OR($I872="Aprovado",$I872="Em execução",$I872="Aguardando peça"),N($X872)&gt;PrazoMax),"ATRASADA",IF(AND(OR($I872="Finalizado",$I872="Entregue"),$W872&gt;0.005),"Cobrar",IF($I872="Orçamento","Aguardando aprovação",""))))</f>
        <v>0</v>
      </c>
      <c r="Z872" s="33">
        <f>IF(AND($I872="Entregue",$M872&lt;&gt;""),DATE(YEAR($M872),MONTH($M872),1),"")</f>
        <v>0</v>
      </c>
      <c r="AA872" s="34">
        <f>IF(AND($C872&lt;&gt;"",$C872=HistPlaca),COUNTIF($C$5:$C872,HistPlaca),"")</f>
        <v>0</v>
      </c>
    </row>
    <row r="873" spans="1:27">
      <c r="A873" s="17"/>
      <c r="B873" s="25"/>
      <c r="C873" s="13"/>
      <c r="D873" s="26">
        <f>IF($C873="","",IFERROR(INDEX(VeicCli,MATCH($C873,VeicPlaca,0)),"Placa não cadastrada"))</f>
        <v>0</v>
      </c>
      <c r="E873" s="26">
        <f>IF($C873="","",IFERROR(INDEX(VeicModelo,MATCH($C873,VeicPlaca,0)),""))</f>
        <v>0</v>
      </c>
      <c r="F873" s="28"/>
      <c r="G873" s="13"/>
      <c r="H873" s="13"/>
      <c r="I873" s="13"/>
      <c r="J873" s="29"/>
      <c r="K873" s="19"/>
      <c r="L873" s="19"/>
      <c r="M873" s="25"/>
      <c r="N873" s="13"/>
      <c r="O873" s="19"/>
      <c r="P873" s="27">
        <f>IF($A873="","",N($J873)*ValorHora)</f>
        <v>0</v>
      </c>
      <c r="Q873" s="27">
        <f>IF($A873="","",SUMIFS(ItTotal,ItOS,$A873))</f>
        <v>0</v>
      </c>
      <c r="R873" s="30">
        <f>IF($A873="","",$P873+$Q873+N($K873)-N($L873))</f>
        <v>0</v>
      </c>
      <c r="S873" s="27">
        <f>IF($A873="","",SUMIFS(ItCusto,ItOS,$A873))</f>
        <v>0</v>
      </c>
      <c r="T873" s="27">
        <f>IF($A873="","",$P873*ComMec)</f>
        <v>0</v>
      </c>
      <c r="U873" s="21">
        <f>IF($A873="","",$R873-$S873-$T873-N($K873))</f>
        <v>0</v>
      </c>
      <c r="V873" s="31">
        <f>IF(OR($A873="",N($R873)&lt;=0),"",$U873/$R873)</f>
        <v>0</v>
      </c>
      <c r="W873" s="27">
        <f>IF($A873="","",IF(OR($I873="Finalizado",$I873="Entregue"),MAX(0,$R873-N($O873)),0))</f>
        <v>0</v>
      </c>
      <c r="X873" s="32">
        <f>IF(OR($A873="",$B873=""),"",IF(OR($I873="Entregue",$I873="Cancelada"),"",Hoje-$B873))</f>
        <v>0</v>
      </c>
      <c r="Y873" s="24">
        <f>IF($A873="","",IF(AND(OR($I873="Aprovado",$I873="Em execução",$I873="Aguardando peça"),N($X873)&gt;PrazoMax),"ATRASADA",IF(AND(OR($I873="Finalizado",$I873="Entregue"),$W873&gt;0.005),"Cobrar",IF($I873="Orçamento","Aguardando aprovação",""))))</f>
        <v>0</v>
      </c>
      <c r="Z873" s="33">
        <f>IF(AND($I873="Entregue",$M873&lt;&gt;""),DATE(YEAR($M873),MONTH($M873),1),"")</f>
        <v>0</v>
      </c>
      <c r="AA873" s="34">
        <f>IF(AND($C873&lt;&gt;"",$C873=HistPlaca),COUNTIF($C$5:$C873,HistPlaca),"")</f>
        <v>0</v>
      </c>
    </row>
    <row r="874" spans="1:27">
      <c r="A874" s="17"/>
      <c r="B874" s="25"/>
      <c r="C874" s="13"/>
      <c r="D874" s="26">
        <f>IF($C874="","",IFERROR(INDEX(VeicCli,MATCH($C874,VeicPlaca,0)),"Placa não cadastrada"))</f>
        <v>0</v>
      </c>
      <c r="E874" s="26">
        <f>IF($C874="","",IFERROR(INDEX(VeicModelo,MATCH($C874,VeicPlaca,0)),""))</f>
        <v>0</v>
      </c>
      <c r="F874" s="28"/>
      <c r="G874" s="13"/>
      <c r="H874" s="13"/>
      <c r="I874" s="13"/>
      <c r="J874" s="29"/>
      <c r="K874" s="19"/>
      <c r="L874" s="19"/>
      <c r="M874" s="25"/>
      <c r="N874" s="13"/>
      <c r="O874" s="19"/>
      <c r="P874" s="27">
        <f>IF($A874="","",N($J874)*ValorHora)</f>
        <v>0</v>
      </c>
      <c r="Q874" s="27">
        <f>IF($A874="","",SUMIFS(ItTotal,ItOS,$A874))</f>
        <v>0</v>
      </c>
      <c r="R874" s="30">
        <f>IF($A874="","",$P874+$Q874+N($K874)-N($L874))</f>
        <v>0</v>
      </c>
      <c r="S874" s="27">
        <f>IF($A874="","",SUMIFS(ItCusto,ItOS,$A874))</f>
        <v>0</v>
      </c>
      <c r="T874" s="27">
        <f>IF($A874="","",$P874*ComMec)</f>
        <v>0</v>
      </c>
      <c r="U874" s="21">
        <f>IF($A874="","",$R874-$S874-$T874-N($K874))</f>
        <v>0</v>
      </c>
      <c r="V874" s="31">
        <f>IF(OR($A874="",N($R874)&lt;=0),"",$U874/$R874)</f>
        <v>0</v>
      </c>
      <c r="W874" s="27">
        <f>IF($A874="","",IF(OR($I874="Finalizado",$I874="Entregue"),MAX(0,$R874-N($O874)),0))</f>
        <v>0</v>
      </c>
      <c r="X874" s="32">
        <f>IF(OR($A874="",$B874=""),"",IF(OR($I874="Entregue",$I874="Cancelada"),"",Hoje-$B874))</f>
        <v>0</v>
      </c>
      <c r="Y874" s="24">
        <f>IF($A874="","",IF(AND(OR($I874="Aprovado",$I874="Em execução",$I874="Aguardando peça"),N($X874)&gt;PrazoMax),"ATRASADA",IF(AND(OR($I874="Finalizado",$I874="Entregue"),$W874&gt;0.005),"Cobrar",IF($I874="Orçamento","Aguardando aprovação",""))))</f>
        <v>0</v>
      </c>
      <c r="Z874" s="33">
        <f>IF(AND($I874="Entregue",$M874&lt;&gt;""),DATE(YEAR($M874),MONTH($M874),1),"")</f>
        <v>0</v>
      </c>
      <c r="AA874" s="34">
        <f>IF(AND($C874&lt;&gt;"",$C874=HistPlaca),COUNTIF($C$5:$C874,HistPlaca),"")</f>
        <v>0</v>
      </c>
    </row>
    <row r="875" spans="1:27">
      <c r="A875" s="17"/>
      <c r="B875" s="25"/>
      <c r="C875" s="13"/>
      <c r="D875" s="26">
        <f>IF($C875="","",IFERROR(INDEX(VeicCli,MATCH($C875,VeicPlaca,0)),"Placa não cadastrada"))</f>
        <v>0</v>
      </c>
      <c r="E875" s="26">
        <f>IF($C875="","",IFERROR(INDEX(VeicModelo,MATCH($C875,VeicPlaca,0)),""))</f>
        <v>0</v>
      </c>
      <c r="F875" s="28"/>
      <c r="G875" s="13"/>
      <c r="H875" s="13"/>
      <c r="I875" s="13"/>
      <c r="J875" s="29"/>
      <c r="K875" s="19"/>
      <c r="L875" s="19"/>
      <c r="M875" s="25"/>
      <c r="N875" s="13"/>
      <c r="O875" s="19"/>
      <c r="P875" s="27">
        <f>IF($A875="","",N($J875)*ValorHora)</f>
        <v>0</v>
      </c>
      <c r="Q875" s="27">
        <f>IF($A875="","",SUMIFS(ItTotal,ItOS,$A875))</f>
        <v>0</v>
      </c>
      <c r="R875" s="30">
        <f>IF($A875="","",$P875+$Q875+N($K875)-N($L875))</f>
        <v>0</v>
      </c>
      <c r="S875" s="27">
        <f>IF($A875="","",SUMIFS(ItCusto,ItOS,$A875))</f>
        <v>0</v>
      </c>
      <c r="T875" s="27">
        <f>IF($A875="","",$P875*ComMec)</f>
        <v>0</v>
      </c>
      <c r="U875" s="21">
        <f>IF($A875="","",$R875-$S875-$T875-N($K875))</f>
        <v>0</v>
      </c>
      <c r="V875" s="31">
        <f>IF(OR($A875="",N($R875)&lt;=0),"",$U875/$R875)</f>
        <v>0</v>
      </c>
      <c r="W875" s="27">
        <f>IF($A875="","",IF(OR($I875="Finalizado",$I875="Entregue"),MAX(0,$R875-N($O875)),0))</f>
        <v>0</v>
      </c>
      <c r="X875" s="32">
        <f>IF(OR($A875="",$B875=""),"",IF(OR($I875="Entregue",$I875="Cancelada"),"",Hoje-$B875))</f>
        <v>0</v>
      </c>
      <c r="Y875" s="24">
        <f>IF($A875="","",IF(AND(OR($I875="Aprovado",$I875="Em execução",$I875="Aguardando peça"),N($X875)&gt;PrazoMax),"ATRASADA",IF(AND(OR($I875="Finalizado",$I875="Entregue"),$W875&gt;0.005),"Cobrar",IF($I875="Orçamento","Aguardando aprovação",""))))</f>
        <v>0</v>
      </c>
      <c r="Z875" s="33">
        <f>IF(AND($I875="Entregue",$M875&lt;&gt;""),DATE(YEAR($M875),MONTH($M875),1),"")</f>
        <v>0</v>
      </c>
      <c r="AA875" s="34">
        <f>IF(AND($C875&lt;&gt;"",$C875=HistPlaca),COUNTIF($C$5:$C875,HistPlaca),"")</f>
        <v>0</v>
      </c>
    </row>
    <row r="876" spans="1:27">
      <c r="A876" s="17"/>
      <c r="B876" s="25"/>
      <c r="C876" s="13"/>
      <c r="D876" s="26">
        <f>IF($C876="","",IFERROR(INDEX(VeicCli,MATCH($C876,VeicPlaca,0)),"Placa não cadastrada"))</f>
        <v>0</v>
      </c>
      <c r="E876" s="26">
        <f>IF($C876="","",IFERROR(INDEX(VeicModelo,MATCH($C876,VeicPlaca,0)),""))</f>
        <v>0</v>
      </c>
      <c r="F876" s="28"/>
      <c r="G876" s="13"/>
      <c r="H876" s="13"/>
      <c r="I876" s="13"/>
      <c r="J876" s="29"/>
      <c r="K876" s="19"/>
      <c r="L876" s="19"/>
      <c r="M876" s="25"/>
      <c r="N876" s="13"/>
      <c r="O876" s="19"/>
      <c r="P876" s="27">
        <f>IF($A876="","",N($J876)*ValorHora)</f>
        <v>0</v>
      </c>
      <c r="Q876" s="27">
        <f>IF($A876="","",SUMIFS(ItTotal,ItOS,$A876))</f>
        <v>0</v>
      </c>
      <c r="R876" s="30">
        <f>IF($A876="","",$P876+$Q876+N($K876)-N($L876))</f>
        <v>0</v>
      </c>
      <c r="S876" s="27">
        <f>IF($A876="","",SUMIFS(ItCusto,ItOS,$A876))</f>
        <v>0</v>
      </c>
      <c r="T876" s="27">
        <f>IF($A876="","",$P876*ComMec)</f>
        <v>0</v>
      </c>
      <c r="U876" s="21">
        <f>IF($A876="","",$R876-$S876-$T876-N($K876))</f>
        <v>0</v>
      </c>
      <c r="V876" s="31">
        <f>IF(OR($A876="",N($R876)&lt;=0),"",$U876/$R876)</f>
        <v>0</v>
      </c>
      <c r="W876" s="27">
        <f>IF($A876="","",IF(OR($I876="Finalizado",$I876="Entregue"),MAX(0,$R876-N($O876)),0))</f>
        <v>0</v>
      </c>
      <c r="X876" s="32">
        <f>IF(OR($A876="",$B876=""),"",IF(OR($I876="Entregue",$I876="Cancelada"),"",Hoje-$B876))</f>
        <v>0</v>
      </c>
      <c r="Y876" s="24">
        <f>IF($A876="","",IF(AND(OR($I876="Aprovado",$I876="Em execução",$I876="Aguardando peça"),N($X876)&gt;PrazoMax),"ATRASADA",IF(AND(OR($I876="Finalizado",$I876="Entregue"),$W876&gt;0.005),"Cobrar",IF($I876="Orçamento","Aguardando aprovação",""))))</f>
        <v>0</v>
      </c>
      <c r="Z876" s="33">
        <f>IF(AND($I876="Entregue",$M876&lt;&gt;""),DATE(YEAR($M876),MONTH($M876),1),"")</f>
        <v>0</v>
      </c>
      <c r="AA876" s="34">
        <f>IF(AND($C876&lt;&gt;"",$C876=HistPlaca),COUNTIF($C$5:$C876,HistPlaca),"")</f>
        <v>0</v>
      </c>
    </row>
    <row r="877" spans="1:27">
      <c r="A877" s="17"/>
      <c r="B877" s="25"/>
      <c r="C877" s="13"/>
      <c r="D877" s="26">
        <f>IF($C877="","",IFERROR(INDEX(VeicCli,MATCH($C877,VeicPlaca,0)),"Placa não cadastrada"))</f>
        <v>0</v>
      </c>
      <c r="E877" s="26">
        <f>IF($C877="","",IFERROR(INDEX(VeicModelo,MATCH($C877,VeicPlaca,0)),""))</f>
        <v>0</v>
      </c>
      <c r="F877" s="28"/>
      <c r="G877" s="13"/>
      <c r="H877" s="13"/>
      <c r="I877" s="13"/>
      <c r="J877" s="29"/>
      <c r="K877" s="19"/>
      <c r="L877" s="19"/>
      <c r="M877" s="25"/>
      <c r="N877" s="13"/>
      <c r="O877" s="19"/>
      <c r="P877" s="27">
        <f>IF($A877="","",N($J877)*ValorHora)</f>
        <v>0</v>
      </c>
      <c r="Q877" s="27">
        <f>IF($A877="","",SUMIFS(ItTotal,ItOS,$A877))</f>
        <v>0</v>
      </c>
      <c r="R877" s="30">
        <f>IF($A877="","",$P877+$Q877+N($K877)-N($L877))</f>
        <v>0</v>
      </c>
      <c r="S877" s="27">
        <f>IF($A877="","",SUMIFS(ItCusto,ItOS,$A877))</f>
        <v>0</v>
      </c>
      <c r="T877" s="27">
        <f>IF($A877="","",$P877*ComMec)</f>
        <v>0</v>
      </c>
      <c r="U877" s="21">
        <f>IF($A877="","",$R877-$S877-$T877-N($K877))</f>
        <v>0</v>
      </c>
      <c r="V877" s="31">
        <f>IF(OR($A877="",N($R877)&lt;=0),"",$U877/$R877)</f>
        <v>0</v>
      </c>
      <c r="W877" s="27">
        <f>IF($A877="","",IF(OR($I877="Finalizado",$I877="Entregue"),MAX(0,$R877-N($O877)),0))</f>
        <v>0</v>
      </c>
      <c r="X877" s="32">
        <f>IF(OR($A877="",$B877=""),"",IF(OR($I877="Entregue",$I877="Cancelada"),"",Hoje-$B877))</f>
        <v>0</v>
      </c>
      <c r="Y877" s="24">
        <f>IF($A877="","",IF(AND(OR($I877="Aprovado",$I877="Em execução",$I877="Aguardando peça"),N($X877)&gt;PrazoMax),"ATRASADA",IF(AND(OR($I877="Finalizado",$I877="Entregue"),$W877&gt;0.005),"Cobrar",IF($I877="Orçamento","Aguardando aprovação",""))))</f>
        <v>0</v>
      </c>
      <c r="Z877" s="33">
        <f>IF(AND($I877="Entregue",$M877&lt;&gt;""),DATE(YEAR($M877),MONTH($M877),1),"")</f>
        <v>0</v>
      </c>
      <c r="AA877" s="34">
        <f>IF(AND($C877&lt;&gt;"",$C877=HistPlaca),COUNTIF($C$5:$C877,HistPlaca),"")</f>
        <v>0</v>
      </c>
    </row>
    <row r="878" spans="1:27">
      <c r="A878" s="17"/>
      <c r="B878" s="25"/>
      <c r="C878" s="13"/>
      <c r="D878" s="26">
        <f>IF($C878="","",IFERROR(INDEX(VeicCli,MATCH($C878,VeicPlaca,0)),"Placa não cadastrada"))</f>
        <v>0</v>
      </c>
      <c r="E878" s="26">
        <f>IF($C878="","",IFERROR(INDEX(VeicModelo,MATCH($C878,VeicPlaca,0)),""))</f>
        <v>0</v>
      </c>
      <c r="F878" s="28"/>
      <c r="G878" s="13"/>
      <c r="H878" s="13"/>
      <c r="I878" s="13"/>
      <c r="J878" s="29"/>
      <c r="K878" s="19"/>
      <c r="L878" s="19"/>
      <c r="M878" s="25"/>
      <c r="N878" s="13"/>
      <c r="O878" s="19"/>
      <c r="P878" s="27">
        <f>IF($A878="","",N($J878)*ValorHora)</f>
        <v>0</v>
      </c>
      <c r="Q878" s="27">
        <f>IF($A878="","",SUMIFS(ItTotal,ItOS,$A878))</f>
        <v>0</v>
      </c>
      <c r="R878" s="30">
        <f>IF($A878="","",$P878+$Q878+N($K878)-N($L878))</f>
        <v>0</v>
      </c>
      <c r="S878" s="27">
        <f>IF($A878="","",SUMIFS(ItCusto,ItOS,$A878))</f>
        <v>0</v>
      </c>
      <c r="T878" s="27">
        <f>IF($A878="","",$P878*ComMec)</f>
        <v>0</v>
      </c>
      <c r="U878" s="21">
        <f>IF($A878="","",$R878-$S878-$T878-N($K878))</f>
        <v>0</v>
      </c>
      <c r="V878" s="31">
        <f>IF(OR($A878="",N($R878)&lt;=0),"",$U878/$R878)</f>
        <v>0</v>
      </c>
      <c r="W878" s="27">
        <f>IF($A878="","",IF(OR($I878="Finalizado",$I878="Entregue"),MAX(0,$R878-N($O878)),0))</f>
        <v>0</v>
      </c>
      <c r="X878" s="32">
        <f>IF(OR($A878="",$B878=""),"",IF(OR($I878="Entregue",$I878="Cancelada"),"",Hoje-$B878))</f>
        <v>0</v>
      </c>
      <c r="Y878" s="24">
        <f>IF($A878="","",IF(AND(OR($I878="Aprovado",$I878="Em execução",$I878="Aguardando peça"),N($X878)&gt;PrazoMax),"ATRASADA",IF(AND(OR($I878="Finalizado",$I878="Entregue"),$W878&gt;0.005),"Cobrar",IF($I878="Orçamento","Aguardando aprovação",""))))</f>
        <v>0</v>
      </c>
      <c r="Z878" s="33">
        <f>IF(AND($I878="Entregue",$M878&lt;&gt;""),DATE(YEAR($M878),MONTH($M878),1),"")</f>
        <v>0</v>
      </c>
      <c r="AA878" s="34">
        <f>IF(AND($C878&lt;&gt;"",$C878=HistPlaca),COUNTIF($C$5:$C878,HistPlaca),"")</f>
        <v>0</v>
      </c>
    </row>
    <row r="879" spans="1:27">
      <c r="A879" s="17"/>
      <c r="B879" s="25"/>
      <c r="C879" s="13"/>
      <c r="D879" s="26">
        <f>IF($C879="","",IFERROR(INDEX(VeicCli,MATCH($C879,VeicPlaca,0)),"Placa não cadastrada"))</f>
        <v>0</v>
      </c>
      <c r="E879" s="26">
        <f>IF($C879="","",IFERROR(INDEX(VeicModelo,MATCH($C879,VeicPlaca,0)),""))</f>
        <v>0</v>
      </c>
      <c r="F879" s="28"/>
      <c r="G879" s="13"/>
      <c r="H879" s="13"/>
      <c r="I879" s="13"/>
      <c r="J879" s="29"/>
      <c r="K879" s="19"/>
      <c r="L879" s="19"/>
      <c r="M879" s="25"/>
      <c r="N879" s="13"/>
      <c r="O879" s="19"/>
      <c r="P879" s="27">
        <f>IF($A879="","",N($J879)*ValorHora)</f>
        <v>0</v>
      </c>
      <c r="Q879" s="27">
        <f>IF($A879="","",SUMIFS(ItTotal,ItOS,$A879))</f>
        <v>0</v>
      </c>
      <c r="R879" s="30">
        <f>IF($A879="","",$P879+$Q879+N($K879)-N($L879))</f>
        <v>0</v>
      </c>
      <c r="S879" s="27">
        <f>IF($A879="","",SUMIFS(ItCusto,ItOS,$A879))</f>
        <v>0</v>
      </c>
      <c r="T879" s="27">
        <f>IF($A879="","",$P879*ComMec)</f>
        <v>0</v>
      </c>
      <c r="U879" s="21">
        <f>IF($A879="","",$R879-$S879-$T879-N($K879))</f>
        <v>0</v>
      </c>
      <c r="V879" s="31">
        <f>IF(OR($A879="",N($R879)&lt;=0),"",$U879/$R879)</f>
        <v>0</v>
      </c>
      <c r="W879" s="27">
        <f>IF($A879="","",IF(OR($I879="Finalizado",$I879="Entregue"),MAX(0,$R879-N($O879)),0))</f>
        <v>0</v>
      </c>
      <c r="X879" s="32">
        <f>IF(OR($A879="",$B879=""),"",IF(OR($I879="Entregue",$I879="Cancelada"),"",Hoje-$B879))</f>
        <v>0</v>
      </c>
      <c r="Y879" s="24">
        <f>IF($A879="","",IF(AND(OR($I879="Aprovado",$I879="Em execução",$I879="Aguardando peça"),N($X879)&gt;PrazoMax),"ATRASADA",IF(AND(OR($I879="Finalizado",$I879="Entregue"),$W879&gt;0.005),"Cobrar",IF($I879="Orçamento","Aguardando aprovação",""))))</f>
        <v>0</v>
      </c>
      <c r="Z879" s="33">
        <f>IF(AND($I879="Entregue",$M879&lt;&gt;""),DATE(YEAR($M879),MONTH($M879),1),"")</f>
        <v>0</v>
      </c>
      <c r="AA879" s="34">
        <f>IF(AND($C879&lt;&gt;"",$C879=HistPlaca),COUNTIF($C$5:$C879,HistPlaca),"")</f>
        <v>0</v>
      </c>
    </row>
    <row r="880" spans="1:27">
      <c r="A880" s="17"/>
      <c r="B880" s="25"/>
      <c r="C880" s="13"/>
      <c r="D880" s="26">
        <f>IF($C880="","",IFERROR(INDEX(VeicCli,MATCH($C880,VeicPlaca,0)),"Placa não cadastrada"))</f>
        <v>0</v>
      </c>
      <c r="E880" s="26">
        <f>IF($C880="","",IFERROR(INDEX(VeicModelo,MATCH($C880,VeicPlaca,0)),""))</f>
        <v>0</v>
      </c>
      <c r="F880" s="28"/>
      <c r="G880" s="13"/>
      <c r="H880" s="13"/>
      <c r="I880" s="13"/>
      <c r="J880" s="29"/>
      <c r="K880" s="19"/>
      <c r="L880" s="19"/>
      <c r="M880" s="25"/>
      <c r="N880" s="13"/>
      <c r="O880" s="19"/>
      <c r="P880" s="27">
        <f>IF($A880="","",N($J880)*ValorHora)</f>
        <v>0</v>
      </c>
      <c r="Q880" s="27">
        <f>IF($A880="","",SUMIFS(ItTotal,ItOS,$A880))</f>
        <v>0</v>
      </c>
      <c r="R880" s="30">
        <f>IF($A880="","",$P880+$Q880+N($K880)-N($L880))</f>
        <v>0</v>
      </c>
      <c r="S880" s="27">
        <f>IF($A880="","",SUMIFS(ItCusto,ItOS,$A880))</f>
        <v>0</v>
      </c>
      <c r="T880" s="27">
        <f>IF($A880="","",$P880*ComMec)</f>
        <v>0</v>
      </c>
      <c r="U880" s="21">
        <f>IF($A880="","",$R880-$S880-$T880-N($K880))</f>
        <v>0</v>
      </c>
      <c r="V880" s="31">
        <f>IF(OR($A880="",N($R880)&lt;=0),"",$U880/$R880)</f>
        <v>0</v>
      </c>
      <c r="W880" s="27">
        <f>IF($A880="","",IF(OR($I880="Finalizado",$I880="Entregue"),MAX(0,$R880-N($O880)),0))</f>
        <v>0</v>
      </c>
      <c r="X880" s="32">
        <f>IF(OR($A880="",$B880=""),"",IF(OR($I880="Entregue",$I880="Cancelada"),"",Hoje-$B880))</f>
        <v>0</v>
      </c>
      <c r="Y880" s="24">
        <f>IF($A880="","",IF(AND(OR($I880="Aprovado",$I880="Em execução",$I880="Aguardando peça"),N($X880)&gt;PrazoMax),"ATRASADA",IF(AND(OR($I880="Finalizado",$I880="Entregue"),$W880&gt;0.005),"Cobrar",IF($I880="Orçamento","Aguardando aprovação",""))))</f>
        <v>0</v>
      </c>
      <c r="Z880" s="33">
        <f>IF(AND($I880="Entregue",$M880&lt;&gt;""),DATE(YEAR($M880),MONTH($M880),1),"")</f>
        <v>0</v>
      </c>
      <c r="AA880" s="34">
        <f>IF(AND($C880&lt;&gt;"",$C880=HistPlaca),COUNTIF($C$5:$C880,HistPlaca),"")</f>
        <v>0</v>
      </c>
    </row>
    <row r="881" spans="1:27">
      <c r="A881" s="17"/>
      <c r="B881" s="25"/>
      <c r="C881" s="13"/>
      <c r="D881" s="26">
        <f>IF($C881="","",IFERROR(INDEX(VeicCli,MATCH($C881,VeicPlaca,0)),"Placa não cadastrada"))</f>
        <v>0</v>
      </c>
      <c r="E881" s="26">
        <f>IF($C881="","",IFERROR(INDEX(VeicModelo,MATCH($C881,VeicPlaca,0)),""))</f>
        <v>0</v>
      </c>
      <c r="F881" s="28"/>
      <c r="G881" s="13"/>
      <c r="H881" s="13"/>
      <c r="I881" s="13"/>
      <c r="J881" s="29"/>
      <c r="K881" s="19"/>
      <c r="L881" s="19"/>
      <c r="M881" s="25"/>
      <c r="N881" s="13"/>
      <c r="O881" s="19"/>
      <c r="P881" s="27">
        <f>IF($A881="","",N($J881)*ValorHora)</f>
        <v>0</v>
      </c>
      <c r="Q881" s="27">
        <f>IF($A881="","",SUMIFS(ItTotal,ItOS,$A881))</f>
        <v>0</v>
      </c>
      <c r="R881" s="30">
        <f>IF($A881="","",$P881+$Q881+N($K881)-N($L881))</f>
        <v>0</v>
      </c>
      <c r="S881" s="27">
        <f>IF($A881="","",SUMIFS(ItCusto,ItOS,$A881))</f>
        <v>0</v>
      </c>
      <c r="T881" s="27">
        <f>IF($A881="","",$P881*ComMec)</f>
        <v>0</v>
      </c>
      <c r="U881" s="21">
        <f>IF($A881="","",$R881-$S881-$T881-N($K881))</f>
        <v>0</v>
      </c>
      <c r="V881" s="31">
        <f>IF(OR($A881="",N($R881)&lt;=0),"",$U881/$R881)</f>
        <v>0</v>
      </c>
      <c r="W881" s="27">
        <f>IF($A881="","",IF(OR($I881="Finalizado",$I881="Entregue"),MAX(0,$R881-N($O881)),0))</f>
        <v>0</v>
      </c>
      <c r="X881" s="32">
        <f>IF(OR($A881="",$B881=""),"",IF(OR($I881="Entregue",$I881="Cancelada"),"",Hoje-$B881))</f>
        <v>0</v>
      </c>
      <c r="Y881" s="24">
        <f>IF($A881="","",IF(AND(OR($I881="Aprovado",$I881="Em execução",$I881="Aguardando peça"),N($X881)&gt;PrazoMax),"ATRASADA",IF(AND(OR($I881="Finalizado",$I881="Entregue"),$W881&gt;0.005),"Cobrar",IF($I881="Orçamento","Aguardando aprovação",""))))</f>
        <v>0</v>
      </c>
      <c r="Z881" s="33">
        <f>IF(AND($I881="Entregue",$M881&lt;&gt;""),DATE(YEAR($M881),MONTH($M881),1),"")</f>
        <v>0</v>
      </c>
      <c r="AA881" s="34">
        <f>IF(AND($C881&lt;&gt;"",$C881=HistPlaca),COUNTIF($C$5:$C881,HistPlaca),"")</f>
        <v>0</v>
      </c>
    </row>
    <row r="882" spans="1:27">
      <c r="A882" s="17"/>
      <c r="B882" s="25"/>
      <c r="C882" s="13"/>
      <c r="D882" s="26">
        <f>IF($C882="","",IFERROR(INDEX(VeicCli,MATCH($C882,VeicPlaca,0)),"Placa não cadastrada"))</f>
        <v>0</v>
      </c>
      <c r="E882" s="26">
        <f>IF($C882="","",IFERROR(INDEX(VeicModelo,MATCH($C882,VeicPlaca,0)),""))</f>
        <v>0</v>
      </c>
      <c r="F882" s="28"/>
      <c r="G882" s="13"/>
      <c r="H882" s="13"/>
      <c r="I882" s="13"/>
      <c r="J882" s="29"/>
      <c r="K882" s="19"/>
      <c r="L882" s="19"/>
      <c r="M882" s="25"/>
      <c r="N882" s="13"/>
      <c r="O882" s="19"/>
      <c r="P882" s="27">
        <f>IF($A882="","",N($J882)*ValorHora)</f>
        <v>0</v>
      </c>
      <c r="Q882" s="27">
        <f>IF($A882="","",SUMIFS(ItTotal,ItOS,$A882))</f>
        <v>0</v>
      </c>
      <c r="R882" s="30">
        <f>IF($A882="","",$P882+$Q882+N($K882)-N($L882))</f>
        <v>0</v>
      </c>
      <c r="S882" s="27">
        <f>IF($A882="","",SUMIFS(ItCusto,ItOS,$A882))</f>
        <v>0</v>
      </c>
      <c r="T882" s="27">
        <f>IF($A882="","",$P882*ComMec)</f>
        <v>0</v>
      </c>
      <c r="U882" s="21">
        <f>IF($A882="","",$R882-$S882-$T882-N($K882))</f>
        <v>0</v>
      </c>
      <c r="V882" s="31">
        <f>IF(OR($A882="",N($R882)&lt;=0),"",$U882/$R882)</f>
        <v>0</v>
      </c>
      <c r="W882" s="27">
        <f>IF($A882="","",IF(OR($I882="Finalizado",$I882="Entregue"),MAX(0,$R882-N($O882)),0))</f>
        <v>0</v>
      </c>
      <c r="X882" s="32">
        <f>IF(OR($A882="",$B882=""),"",IF(OR($I882="Entregue",$I882="Cancelada"),"",Hoje-$B882))</f>
        <v>0</v>
      </c>
      <c r="Y882" s="24">
        <f>IF($A882="","",IF(AND(OR($I882="Aprovado",$I882="Em execução",$I882="Aguardando peça"),N($X882)&gt;PrazoMax),"ATRASADA",IF(AND(OR($I882="Finalizado",$I882="Entregue"),$W882&gt;0.005),"Cobrar",IF($I882="Orçamento","Aguardando aprovação",""))))</f>
        <v>0</v>
      </c>
      <c r="Z882" s="33">
        <f>IF(AND($I882="Entregue",$M882&lt;&gt;""),DATE(YEAR($M882),MONTH($M882),1),"")</f>
        <v>0</v>
      </c>
      <c r="AA882" s="34">
        <f>IF(AND($C882&lt;&gt;"",$C882=HistPlaca),COUNTIF($C$5:$C882,HistPlaca),"")</f>
        <v>0</v>
      </c>
    </row>
    <row r="883" spans="1:27">
      <c r="A883" s="17"/>
      <c r="B883" s="25"/>
      <c r="C883" s="13"/>
      <c r="D883" s="26">
        <f>IF($C883="","",IFERROR(INDEX(VeicCli,MATCH($C883,VeicPlaca,0)),"Placa não cadastrada"))</f>
        <v>0</v>
      </c>
      <c r="E883" s="26">
        <f>IF($C883="","",IFERROR(INDEX(VeicModelo,MATCH($C883,VeicPlaca,0)),""))</f>
        <v>0</v>
      </c>
      <c r="F883" s="28"/>
      <c r="G883" s="13"/>
      <c r="H883" s="13"/>
      <c r="I883" s="13"/>
      <c r="J883" s="29"/>
      <c r="K883" s="19"/>
      <c r="L883" s="19"/>
      <c r="M883" s="25"/>
      <c r="N883" s="13"/>
      <c r="O883" s="19"/>
      <c r="P883" s="27">
        <f>IF($A883="","",N($J883)*ValorHora)</f>
        <v>0</v>
      </c>
      <c r="Q883" s="27">
        <f>IF($A883="","",SUMIFS(ItTotal,ItOS,$A883))</f>
        <v>0</v>
      </c>
      <c r="R883" s="30">
        <f>IF($A883="","",$P883+$Q883+N($K883)-N($L883))</f>
        <v>0</v>
      </c>
      <c r="S883" s="27">
        <f>IF($A883="","",SUMIFS(ItCusto,ItOS,$A883))</f>
        <v>0</v>
      </c>
      <c r="T883" s="27">
        <f>IF($A883="","",$P883*ComMec)</f>
        <v>0</v>
      </c>
      <c r="U883" s="21">
        <f>IF($A883="","",$R883-$S883-$T883-N($K883))</f>
        <v>0</v>
      </c>
      <c r="V883" s="31">
        <f>IF(OR($A883="",N($R883)&lt;=0),"",$U883/$R883)</f>
        <v>0</v>
      </c>
      <c r="W883" s="27">
        <f>IF($A883="","",IF(OR($I883="Finalizado",$I883="Entregue"),MAX(0,$R883-N($O883)),0))</f>
        <v>0</v>
      </c>
      <c r="X883" s="32">
        <f>IF(OR($A883="",$B883=""),"",IF(OR($I883="Entregue",$I883="Cancelada"),"",Hoje-$B883))</f>
        <v>0</v>
      </c>
      <c r="Y883" s="24">
        <f>IF($A883="","",IF(AND(OR($I883="Aprovado",$I883="Em execução",$I883="Aguardando peça"),N($X883)&gt;PrazoMax),"ATRASADA",IF(AND(OR($I883="Finalizado",$I883="Entregue"),$W883&gt;0.005),"Cobrar",IF($I883="Orçamento","Aguardando aprovação",""))))</f>
        <v>0</v>
      </c>
      <c r="Z883" s="33">
        <f>IF(AND($I883="Entregue",$M883&lt;&gt;""),DATE(YEAR($M883),MONTH($M883),1),"")</f>
        <v>0</v>
      </c>
      <c r="AA883" s="34">
        <f>IF(AND($C883&lt;&gt;"",$C883=HistPlaca),COUNTIF($C$5:$C883,HistPlaca),"")</f>
        <v>0</v>
      </c>
    </row>
    <row r="884" spans="1:27">
      <c r="A884" s="17"/>
      <c r="B884" s="25"/>
      <c r="C884" s="13"/>
      <c r="D884" s="26">
        <f>IF($C884="","",IFERROR(INDEX(VeicCli,MATCH($C884,VeicPlaca,0)),"Placa não cadastrada"))</f>
        <v>0</v>
      </c>
      <c r="E884" s="26">
        <f>IF($C884="","",IFERROR(INDEX(VeicModelo,MATCH($C884,VeicPlaca,0)),""))</f>
        <v>0</v>
      </c>
      <c r="F884" s="28"/>
      <c r="G884" s="13"/>
      <c r="H884" s="13"/>
      <c r="I884" s="13"/>
      <c r="J884" s="29"/>
      <c r="K884" s="19"/>
      <c r="L884" s="19"/>
      <c r="M884" s="25"/>
      <c r="N884" s="13"/>
      <c r="O884" s="19"/>
      <c r="P884" s="27">
        <f>IF($A884="","",N($J884)*ValorHora)</f>
        <v>0</v>
      </c>
      <c r="Q884" s="27">
        <f>IF($A884="","",SUMIFS(ItTotal,ItOS,$A884))</f>
        <v>0</v>
      </c>
      <c r="R884" s="30">
        <f>IF($A884="","",$P884+$Q884+N($K884)-N($L884))</f>
        <v>0</v>
      </c>
      <c r="S884" s="27">
        <f>IF($A884="","",SUMIFS(ItCusto,ItOS,$A884))</f>
        <v>0</v>
      </c>
      <c r="T884" s="27">
        <f>IF($A884="","",$P884*ComMec)</f>
        <v>0</v>
      </c>
      <c r="U884" s="21">
        <f>IF($A884="","",$R884-$S884-$T884-N($K884))</f>
        <v>0</v>
      </c>
      <c r="V884" s="31">
        <f>IF(OR($A884="",N($R884)&lt;=0),"",$U884/$R884)</f>
        <v>0</v>
      </c>
      <c r="W884" s="27">
        <f>IF($A884="","",IF(OR($I884="Finalizado",$I884="Entregue"),MAX(0,$R884-N($O884)),0))</f>
        <v>0</v>
      </c>
      <c r="X884" s="32">
        <f>IF(OR($A884="",$B884=""),"",IF(OR($I884="Entregue",$I884="Cancelada"),"",Hoje-$B884))</f>
        <v>0</v>
      </c>
      <c r="Y884" s="24">
        <f>IF($A884="","",IF(AND(OR($I884="Aprovado",$I884="Em execução",$I884="Aguardando peça"),N($X884)&gt;PrazoMax),"ATRASADA",IF(AND(OR($I884="Finalizado",$I884="Entregue"),$W884&gt;0.005),"Cobrar",IF($I884="Orçamento","Aguardando aprovação",""))))</f>
        <v>0</v>
      </c>
      <c r="Z884" s="33">
        <f>IF(AND($I884="Entregue",$M884&lt;&gt;""),DATE(YEAR($M884),MONTH($M884),1),"")</f>
        <v>0</v>
      </c>
      <c r="AA884" s="34">
        <f>IF(AND($C884&lt;&gt;"",$C884=HistPlaca),COUNTIF($C$5:$C884,HistPlaca),"")</f>
        <v>0</v>
      </c>
    </row>
    <row r="885" spans="1:27">
      <c r="A885" s="17"/>
      <c r="B885" s="25"/>
      <c r="C885" s="13"/>
      <c r="D885" s="26">
        <f>IF($C885="","",IFERROR(INDEX(VeicCli,MATCH($C885,VeicPlaca,0)),"Placa não cadastrada"))</f>
        <v>0</v>
      </c>
      <c r="E885" s="26">
        <f>IF($C885="","",IFERROR(INDEX(VeicModelo,MATCH($C885,VeicPlaca,0)),""))</f>
        <v>0</v>
      </c>
      <c r="F885" s="28"/>
      <c r="G885" s="13"/>
      <c r="H885" s="13"/>
      <c r="I885" s="13"/>
      <c r="J885" s="29"/>
      <c r="K885" s="19"/>
      <c r="L885" s="19"/>
      <c r="M885" s="25"/>
      <c r="N885" s="13"/>
      <c r="O885" s="19"/>
      <c r="P885" s="27">
        <f>IF($A885="","",N($J885)*ValorHora)</f>
        <v>0</v>
      </c>
      <c r="Q885" s="27">
        <f>IF($A885="","",SUMIFS(ItTotal,ItOS,$A885))</f>
        <v>0</v>
      </c>
      <c r="R885" s="30">
        <f>IF($A885="","",$P885+$Q885+N($K885)-N($L885))</f>
        <v>0</v>
      </c>
      <c r="S885" s="27">
        <f>IF($A885="","",SUMIFS(ItCusto,ItOS,$A885))</f>
        <v>0</v>
      </c>
      <c r="T885" s="27">
        <f>IF($A885="","",$P885*ComMec)</f>
        <v>0</v>
      </c>
      <c r="U885" s="21">
        <f>IF($A885="","",$R885-$S885-$T885-N($K885))</f>
        <v>0</v>
      </c>
      <c r="V885" s="31">
        <f>IF(OR($A885="",N($R885)&lt;=0),"",$U885/$R885)</f>
        <v>0</v>
      </c>
      <c r="W885" s="27">
        <f>IF($A885="","",IF(OR($I885="Finalizado",$I885="Entregue"),MAX(0,$R885-N($O885)),0))</f>
        <v>0</v>
      </c>
      <c r="X885" s="32">
        <f>IF(OR($A885="",$B885=""),"",IF(OR($I885="Entregue",$I885="Cancelada"),"",Hoje-$B885))</f>
        <v>0</v>
      </c>
      <c r="Y885" s="24">
        <f>IF($A885="","",IF(AND(OR($I885="Aprovado",$I885="Em execução",$I885="Aguardando peça"),N($X885)&gt;PrazoMax),"ATRASADA",IF(AND(OR($I885="Finalizado",$I885="Entregue"),$W885&gt;0.005),"Cobrar",IF($I885="Orçamento","Aguardando aprovação",""))))</f>
        <v>0</v>
      </c>
      <c r="Z885" s="33">
        <f>IF(AND($I885="Entregue",$M885&lt;&gt;""),DATE(YEAR($M885),MONTH($M885),1),"")</f>
        <v>0</v>
      </c>
      <c r="AA885" s="34">
        <f>IF(AND($C885&lt;&gt;"",$C885=HistPlaca),COUNTIF($C$5:$C885,HistPlaca),"")</f>
        <v>0</v>
      </c>
    </row>
    <row r="886" spans="1:27">
      <c r="A886" s="17"/>
      <c r="B886" s="25"/>
      <c r="C886" s="13"/>
      <c r="D886" s="26">
        <f>IF($C886="","",IFERROR(INDEX(VeicCli,MATCH($C886,VeicPlaca,0)),"Placa não cadastrada"))</f>
        <v>0</v>
      </c>
      <c r="E886" s="26">
        <f>IF($C886="","",IFERROR(INDEX(VeicModelo,MATCH($C886,VeicPlaca,0)),""))</f>
        <v>0</v>
      </c>
      <c r="F886" s="28"/>
      <c r="G886" s="13"/>
      <c r="H886" s="13"/>
      <c r="I886" s="13"/>
      <c r="J886" s="29"/>
      <c r="K886" s="19"/>
      <c r="L886" s="19"/>
      <c r="M886" s="25"/>
      <c r="N886" s="13"/>
      <c r="O886" s="19"/>
      <c r="P886" s="27">
        <f>IF($A886="","",N($J886)*ValorHora)</f>
        <v>0</v>
      </c>
      <c r="Q886" s="27">
        <f>IF($A886="","",SUMIFS(ItTotal,ItOS,$A886))</f>
        <v>0</v>
      </c>
      <c r="R886" s="30">
        <f>IF($A886="","",$P886+$Q886+N($K886)-N($L886))</f>
        <v>0</v>
      </c>
      <c r="S886" s="27">
        <f>IF($A886="","",SUMIFS(ItCusto,ItOS,$A886))</f>
        <v>0</v>
      </c>
      <c r="T886" s="27">
        <f>IF($A886="","",$P886*ComMec)</f>
        <v>0</v>
      </c>
      <c r="U886" s="21">
        <f>IF($A886="","",$R886-$S886-$T886-N($K886))</f>
        <v>0</v>
      </c>
      <c r="V886" s="31">
        <f>IF(OR($A886="",N($R886)&lt;=0),"",$U886/$R886)</f>
        <v>0</v>
      </c>
      <c r="W886" s="27">
        <f>IF($A886="","",IF(OR($I886="Finalizado",$I886="Entregue"),MAX(0,$R886-N($O886)),0))</f>
        <v>0</v>
      </c>
      <c r="X886" s="32">
        <f>IF(OR($A886="",$B886=""),"",IF(OR($I886="Entregue",$I886="Cancelada"),"",Hoje-$B886))</f>
        <v>0</v>
      </c>
      <c r="Y886" s="24">
        <f>IF($A886="","",IF(AND(OR($I886="Aprovado",$I886="Em execução",$I886="Aguardando peça"),N($X886)&gt;PrazoMax),"ATRASADA",IF(AND(OR($I886="Finalizado",$I886="Entregue"),$W886&gt;0.005),"Cobrar",IF($I886="Orçamento","Aguardando aprovação",""))))</f>
        <v>0</v>
      </c>
      <c r="Z886" s="33">
        <f>IF(AND($I886="Entregue",$M886&lt;&gt;""),DATE(YEAR($M886),MONTH($M886),1),"")</f>
        <v>0</v>
      </c>
      <c r="AA886" s="34">
        <f>IF(AND($C886&lt;&gt;"",$C886=HistPlaca),COUNTIF($C$5:$C886,HistPlaca),"")</f>
        <v>0</v>
      </c>
    </row>
    <row r="887" spans="1:27">
      <c r="A887" s="17"/>
      <c r="B887" s="25"/>
      <c r="C887" s="13"/>
      <c r="D887" s="26">
        <f>IF($C887="","",IFERROR(INDEX(VeicCli,MATCH($C887,VeicPlaca,0)),"Placa não cadastrada"))</f>
        <v>0</v>
      </c>
      <c r="E887" s="26">
        <f>IF($C887="","",IFERROR(INDEX(VeicModelo,MATCH($C887,VeicPlaca,0)),""))</f>
        <v>0</v>
      </c>
      <c r="F887" s="28"/>
      <c r="G887" s="13"/>
      <c r="H887" s="13"/>
      <c r="I887" s="13"/>
      <c r="J887" s="29"/>
      <c r="K887" s="19"/>
      <c r="L887" s="19"/>
      <c r="M887" s="25"/>
      <c r="N887" s="13"/>
      <c r="O887" s="19"/>
      <c r="P887" s="27">
        <f>IF($A887="","",N($J887)*ValorHora)</f>
        <v>0</v>
      </c>
      <c r="Q887" s="27">
        <f>IF($A887="","",SUMIFS(ItTotal,ItOS,$A887))</f>
        <v>0</v>
      </c>
      <c r="R887" s="30">
        <f>IF($A887="","",$P887+$Q887+N($K887)-N($L887))</f>
        <v>0</v>
      </c>
      <c r="S887" s="27">
        <f>IF($A887="","",SUMIFS(ItCusto,ItOS,$A887))</f>
        <v>0</v>
      </c>
      <c r="T887" s="27">
        <f>IF($A887="","",$P887*ComMec)</f>
        <v>0</v>
      </c>
      <c r="U887" s="21">
        <f>IF($A887="","",$R887-$S887-$T887-N($K887))</f>
        <v>0</v>
      </c>
      <c r="V887" s="31">
        <f>IF(OR($A887="",N($R887)&lt;=0),"",$U887/$R887)</f>
        <v>0</v>
      </c>
      <c r="W887" s="27">
        <f>IF($A887="","",IF(OR($I887="Finalizado",$I887="Entregue"),MAX(0,$R887-N($O887)),0))</f>
        <v>0</v>
      </c>
      <c r="X887" s="32">
        <f>IF(OR($A887="",$B887=""),"",IF(OR($I887="Entregue",$I887="Cancelada"),"",Hoje-$B887))</f>
        <v>0</v>
      </c>
      <c r="Y887" s="24">
        <f>IF($A887="","",IF(AND(OR($I887="Aprovado",$I887="Em execução",$I887="Aguardando peça"),N($X887)&gt;PrazoMax),"ATRASADA",IF(AND(OR($I887="Finalizado",$I887="Entregue"),$W887&gt;0.005),"Cobrar",IF($I887="Orçamento","Aguardando aprovação",""))))</f>
        <v>0</v>
      </c>
      <c r="Z887" s="33">
        <f>IF(AND($I887="Entregue",$M887&lt;&gt;""),DATE(YEAR($M887),MONTH($M887),1),"")</f>
        <v>0</v>
      </c>
      <c r="AA887" s="34">
        <f>IF(AND($C887&lt;&gt;"",$C887=HistPlaca),COUNTIF($C$5:$C887,HistPlaca),"")</f>
        <v>0</v>
      </c>
    </row>
    <row r="888" spans="1:27">
      <c r="A888" s="17"/>
      <c r="B888" s="25"/>
      <c r="C888" s="13"/>
      <c r="D888" s="26">
        <f>IF($C888="","",IFERROR(INDEX(VeicCli,MATCH($C888,VeicPlaca,0)),"Placa não cadastrada"))</f>
        <v>0</v>
      </c>
      <c r="E888" s="26">
        <f>IF($C888="","",IFERROR(INDEX(VeicModelo,MATCH($C888,VeicPlaca,0)),""))</f>
        <v>0</v>
      </c>
      <c r="F888" s="28"/>
      <c r="G888" s="13"/>
      <c r="H888" s="13"/>
      <c r="I888" s="13"/>
      <c r="J888" s="29"/>
      <c r="K888" s="19"/>
      <c r="L888" s="19"/>
      <c r="M888" s="25"/>
      <c r="N888" s="13"/>
      <c r="O888" s="19"/>
      <c r="P888" s="27">
        <f>IF($A888="","",N($J888)*ValorHora)</f>
        <v>0</v>
      </c>
      <c r="Q888" s="27">
        <f>IF($A888="","",SUMIFS(ItTotal,ItOS,$A888))</f>
        <v>0</v>
      </c>
      <c r="R888" s="30">
        <f>IF($A888="","",$P888+$Q888+N($K888)-N($L888))</f>
        <v>0</v>
      </c>
      <c r="S888" s="27">
        <f>IF($A888="","",SUMIFS(ItCusto,ItOS,$A888))</f>
        <v>0</v>
      </c>
      <c r="T888" s="27">
        <f>IF($A888="","",$P888*ComMec)</f>
        <v>0</v>
      </c>
      <c r="U888" s="21">
        <f>IF($A888="","",$R888-$S888-$T888-N($K888))</f>
        <v>0</v>
      </c>
      <c r="V888" s="31">
        <f>IF(OR($A888="",N($R888)&lt;=0),"",$U888/$R888)</f>
        <v>0</v>
      </c>
      <c r="W888" s="27">
        <f>IF($A888="","",IF(OR($I888="Finalizado",$I888="Entregue"),MAX(0,$R888-N($O888)),0))</f>
        <v>0</v>
      </c>
      <c r="X888" s="32">
        <f>IF(OR($A888="",$B888=""),"",IF(OR($I888="Entregue",$I888="Cancelada"),"",Hoje-$B888))</f>
        <v>0</v>
      </c>
      <c r="Y888" s="24">
        <f>IF($A888="","",IF(AND(OR($I888="Aprovado",$I888="Em execução",$I888="Aguardando peça"),N($X888)&gt;PrazoMax),"ATRASADA",IF(AND(OR($I888="Finalizado",$I888="Entregue"),$W888&gt;0.005),"Cobrar",IF($I888="Orçamento","Aguardando aprovação",""))))</f>
        <v>0</v>
      </c>
      <c r="Z888" s="33">
        <f>IF(AND($I888="Entregue",$M888&lt;&gt;""),DATE(YEAR($M888),MONTH($M888),1),"")</f>
        <v>0</v>
      </c>
      <c r="AA888" s="34">
        <f>IF(AND($C888&lt;&gt;"",$C888=HistPlaca),COUNTIF($C$5:$C888,HistPlaca),"")</f>
        <v>0</v>
      </c>
    </row>
    <row r="889" spans="1:27">
      <c r="A889" s="17"/>
      <c r="B889" s="25"/>
      <c r="C889" s="13"/>
      <c r="D889" s="26">
        <f>IF($C889="","",IFERROR(INDEX(VeicCli,MATCH($C889,VeicPlaca,0)),"Placa não cadastrada"))</f>
        <v>0</v>
      </c>
      <c r="E889" s="26">
        <f>IF($C889="","",IFERROR(INDEX(VeicModelo,MATCH($C889,VeicPlaca,0)),""))</f>
        <v>0</v>
      </c>
      <c r="F889" s="28"/>
      <c r="G889" s="13"/>
      <c r="H889" s="13"/>
      <c r="I889" s="13"/>
      <c r="J889" s="29"/>
      <c r="K889" s="19"/>
      <c r="L889" s="19"/>
      <c r="M889" s="25"/>
      <c r="N889" s="13"/>
      <c r="O889" s="19"/>
      <c r="P889" s="27">
        <f>IF($A889="","",N($J889)*ValorHora)</f>
        <v>0</v>
      </c>
      <c r="Q889" s="27">
        <f>IF($A889="","",SUMIFS(ItTotal,ItOS,$A889))</f>
        <v>0</v>
      </c>
      <c r="R889" s="30">
        <f>IF($A889="","",$P889+$Q889+N($K889)-N($L889))</f>
        <v>0</v>
      </c>
      <c r="S889" s="27">
        <f>IF($A889="","",SUMIFS(ItCusto,ItOS,$A889))</f>
        <v>0</v>
      </c>
      <c r="T889" s="27">
        <f>IF($A889="","",$P889*ComMec)</f>
        <v>0</v>
      </c>
      <c r="U889" s="21">
        <f>IF($A889="","",$R889-$S889-$T889-N($K889))</f>
        <v>0</v>
      </c>
      <c r="V889" s="31">
        <f>IF(OR($A889="",N($R889)&lt;=0),"",$U889/$R889)</f>
        <v>0</v>
      </c>
      <c r="W889" s="27">
        <f>IF($A889="","",IF(OR($I889="Finalizado",$I889="Entregue"),MAX(0,$R889-N($O889)),0))</f>
        <v>0</v>
      </c>
      <c r="X889" s="32">
        <f>IF(OR($A889="",$B889=""),"",IF(OR($I889="Entregue",$I889="Cancelada"),"",Hoje-$B889))</f>
        <v>0</v>
      </c>
      <c r="Y889" s="24">
        <f>IF($A889="","",IF(AND(OR($I889="Aprovado",$I889="Em execução",$I889="Aguardando peça"),N($X889)&gt;PrazoMax),"ATRASADA",IF(AND(OR($I889="Finalizado",$I889="Entregue"),$W889&gt;0.005),"Cobrar",IF($I889="Orçamento","Aguardando aprovação",""))))</f>
        <v>0</v>
      </c>
      <c r="Z889" s="33">
        <f>IF(AND($I889="Entregue",$M889&lt;&gt;""),DATE(YEAR($M889),MONTH($M889),1),"")</f>
        <v>0</v>
      </c>
      <c r="AA889" s="34">
        <f>IF(AND($C889&lt;&gt;"",$C889=HistPlaca),COUNTIF($C$5:$C889,HistPlaca),"")</f>
        <v>0</v>
      </c>
    </row>
    <row r="890" spans="1:27">
      <c r="A890" s="17"/>
      <c r="B890" s="25"/>
      <c r="C890" s="13"/>
      <c r="D890" s="26">
        <f>IF($C890="","",IFERROR(INDEX(VeicCli,MATCH($C890,VeicPlaca,0)),"Placa não cadastrada"))</f>
        <v>0</v>
      </c>
      <c r="E890" s="26">
        <f>IF($C890="","",IFERROR(INDEX(VeicModelo,MATCH($C890,VeicPlaca,0)),""))</f>
        <v>0</v>
      </c>
      <c r="F890" s="28"/>
      <c r="G890" s="13"/>
      <c r="H890" s="13"/>
      <c r="I890" s="13"/>
      <c r="J890" s="29"/>
      <c r="K890" s="19"/>
      <c r="L890" s="19"/>
      <c r="M890" s="25"/>
      <c r="N890" s="13"/>
      <c r="O890" s="19"/>
      <c r="P890" s="27">
        <f>IF($A890="","",N($J890)*ValorHora)</f>
        <v>0</v>
      </c>
      <c r="Q890" s="27">
        <f>IF($A890="","",SUMIFS(ItTotal,ItOS,$A890))</f>
        <v>0</v>
      </c>
      <c r="R890" s="30">
        <f>IF($A890="","",$P890+$Q890+N($K890)-N($L890))</f>
        <v>0</v>
      </c>
      <c r="S890" s="27">
        <f>IF($A890="","",SUMIFS(ItCusto,ItOS,$A890))</f>
        <v>0</v>
      </c>
      <c r="T890" s="27">
        <f>IF($A890="","",$P890*ComMec)</f>
        <v>0</v>
      </c>
      <c r="U890" s="21">
        <f>IF($A890="","",$R890-$S890-$T890-N($K890))</f>
        <v>0</v>
      </c>
      <c r="V890" s="31">
        <f>IF(OR($A890="",N($R890)&lt;=0),"",$U890/$R890)</f>
        <v>0</v>
      </c>
      <c r="W890" s="27">
        <f>IF($A890="","",IF(OR($I890="Finalizado",$I890="Entregue"),MAX(0,$R890-N($O890)),0))</f>
        <v>0</v>
      </c>
      <c r="X890" s="32">
        <f>IF(OR($A890="",$B890=""),"",IF(OR($I890="Entregue",$I890="Cancelada"),"",Hoje-$B890))</f>
        <v>0</v>
      </c>
      <c r="Y890" s="24">
        <f>IF($A890="","",IF(AND(OR($I890="Aprovado",$I890="Em execução",$I890="Aguardando peça"),N($X890)&gt;PrazoMax),"ATRASADA",IF(AND(OR($I890="Finalizado",$I890="Entregue"),$W890&gt;0.005),"Cobrar",IF($I890="Orçamento","Aguardando aprovação",""))))</f>
        <v>0</v>
      </c>
      <c r="Z890" s="33">
        <f>IF(AND($I890="Entregue",$M890&lt;&gt;""),DATE(YEAR($M890),MONTH($M890),1),"")</f>
        <v>0</v>
      </c>
      <c r="AA890" s="34">
        <f>IF(AND($C890&lt;&gt;"",$C890=HistPlaca),COUNTIF($C$5:$C890,HistPlaca),"")</f>
        <v>0</v>
      </c>
    </row>
    <row r="891" spans="1:27">
      <c r="A891" s="17"/>
      <c r="B891" s="25"/>
      <c r="C891" s="13"/>
      <c r="D891" s="26">
        <f>IF($C891="","",IFERROR(INDEX(VeicCli,MATCH($C891,VeicPlaca,0)),"Placa não cadastrada"))</f>
        <v>0</v>
      </c>
      <c r="E891" s="26">
        <f>IF($C891="","",IFERROR(INDEX(VeicModelo,MATCH($C891,VeicPlaca,0)),""))</f>
        <v>0</v>
      </c>
      <c r="F891" s="28"/>
      <c r="G891" s="13"/>
      <c r="H891" s="13"/>
      <c r="I891" s="13"/>
      <c r="J891" s="29"/>
      <c r="K891" s="19"/>
      <c r="L891" s="19"/>
      <c r="M891" s="25"/>
      <c r="N891" s="13"/>
      <c r="O891" s="19"/>
      <c r="P891" s="27">
        <f>IF($A891="","",N($J891)*ValorHora)</f>
        <v>0</v>
      </c>
      <c r="Q891" s="27">
        <f>IF($A891="","",SUMIFS(ItTotal,ItOS,$A891))</f>
        <v>0</v>
      </c>
      <c r="R891" s="30">
        <f>IF($A891="","",$P891+$Q891+N($K891)-N($L891))</f>
        <v>0</v>
      </c>
      <c r="S891" s="27">
        <f>IF($A891="","",SUMIFS(ItCusto,ItOS,$A891))</f>
        <v>0</v>
      </c>
      <c r="T891" s="27">
        <f>IF($A891="","",$P891*ComMec)</f>
        <v>0</v>
      </c>
      <c r="U891" s="21">
        <f>IF($A891="","",$R891-$S891-$T891-N($K891))</f>
        <v>0</v>
      </c>
      <c r="V891" s="31">
        <f>IF(OR($A891="",N($R891)&lt;=0),"",$U891/$R891)</f>
        <v>0</v>
      </c>
      <c r="W891" s="27">
        <f>IF($A891="","",IF(OR($I891="Finalizado",$I891="Entregue"),MAX(0,$R891-N($O891)),0))</f>
        <v>0</v>
      </c>
      <c r="X891" s="32">
        <f>IF(OR($A891="",$B891=""),"",IF(OR($I891="Entregue",$I891="Cancelada"),"",Hoje-$B891))</f>
        <v>0</v>
      </c>
      <c r="Y891" s="24">
        <f>IF($A891="","",IF(AND(OR($I891="Aprovado",$I891="Em execução",$I891="Aguardando peça"),N($X891)&gt;PrazoMax),"ATRASADA",IF(AND(OR($I891="Finalizado",$I891="Entregue"),$W891&gt;0.005),"Cobrar",IF($I891="Orçamento","Aguardando aprovação",""))))</f>
        <v>0</v>
      </c>
      <c r="Z891" s="33">
        <f>IF(AND($I891="Entregue",$M891&lt;&gt;""),DATE(YEAR($M891),MONTH($M891),1),"")</f>
        <v>0</v>
      </c>
      <c r="AA891" s="34">
        <f>IF(AND($C891&lt;&gt;"",$C891=HistPlaca),COUNTIF($C$5:$C891,HistPlaca),"")</f>
        <v>0</v>
      </c>
    </row>
    <row r="892" spans="1:27">
      <c r="A892" s="17"/>
      <c r="B892" s="25"/>
      <c r="C892" s="13"/>
      <c r="D892" s="26">
        <f>IF($C892="","",IFERROR(INDEX(VeicCli,MATCH($C892,VeicPlaca,0)),"Placa não cadastrada"))</f>
        <v>0</v>
      </c>
      <c r="E892" s="26">
        <f>IF($C892="","",IFERROR(INDEX(VeicModelo,MATCH($C892,VeicPlaca,0)),""))</f>
        <v>0</v>
      </c>
      <c r="F892" s="28"/>
      <c r="G892" s="13"/>
      <c r="H892" s="13"/>
      <c r="I892" s="13"/>
      <c r="J892" s="29"/>
      <c r="K892" s="19"/>
      <c r="L892" s="19"/>
      <c r="M892" s="25"/>
      <c r="N892" s="13"/>
      <c r="O892" s="19"/>
      <c r="P892" s="27">
        <f>IF($A892="","",N($J892)*ValorHora)</f>
        <v>0</v>
      </c>
      <c r="Q892" s="27">
        <f>IF($A892="","",SUMIFS(ItTotal,ItOS,$A892))</f>
        <v>0</v>
      </c>
      <c r="R892" s="30">
        <f>IF($A892="","",$P892+$Q892+N($K892)-N($L892))</f>
        <v>0</v>
      </c>
      <c r="S892" s="27">
        <f>IF($A892="","",SUMIFS(ItCusto,ItOS,$A892))</f>
        <v>0</v>
      </c>
      <c r="T892" s="27">
        <f>IF($A892="","",$P892*ComMec)</f>
        <v>0</v>
      </c>
      <c r="U892" s="21">
        <f>IF($A892="","",$R892-$S892-$T892-N($K892))</f>
        <v>0</v>
      </c>
      <c r="V892" s="31">
        <f>IF(OR($A892="",N($R892)&lt;=0),"",$U892/$R892)</f>
        <v>0</v>
      </c>
      <c r="W892" s="27">
        <f>IF($A892="","",IF(OR($I892="Finalizado",$I892="Entregue"),MAX(0,$R892-N($O892)),0))</f>
        <v>0</v>
      </c>
      <c r="X892" s="32">
        <f>IF(OR($A892="",$B892=""),"",IF(OR($I892="Entregue",$I892="Cancelada"),"",Hoje-$B892))</f>
        <v>0</v>
      </c>
      <c r="Y892" s="24">
        <f>IF($A892="","",IF(AND(OR($I892="Aprovado",$I892="Em execução",$I892="Aguardando peça"),N($X892)&gt;PrazoMax),"ATRASADA",IF(AND(OR($I892="Finalizado",$I892="Entregue"),$W892&gt;0.005),"Cobrar",IF($I892="Orçamento","Aguardando aprovação",""))))</f>
        <v>0</v>
      </c>
      <c r="Z892" s="33">
        <f>IF(AND($I892="Entregue",$M892&lt;&gt;""),DATE(YEAR($M892),MONTH($M892),1),"")</f>
        <v>0</v>
      </c>
      <c r="AA892" s="34">
        <f>IF(AND($C892&lt;&gt;"",$C892=HistPlaca),COUNTIF($C$5:$C892,HistPlaca),"")</f>
        <v>0</v>
      </c>
    </row>
    <row r="893" spans="1:27">
      <c r="A893" s="17"/>
      <c r="B893" s="25"/>
      <c r="C893" s="13"/>
      <c r="D893" s="26">
        <f>IF($C893="","",IFERROR(INDEX(VeicCli,MATCH($C893,VeicPlaca,0)),"Placa não cadastrada"))</f>
        <v>0</v>
      </c>
      <c r="E893" s="26">
        <f>IF($C893="","",IFERROR(INDEX(VeicModelo,MATCH($C893,VeicPlaca,0)),""))</f>
        <v>0</v>
      </c>
      <c r="F893" s="28"/>
      <c r="G893" s="13"/>
      <c r="H893" s="13"/>
      <c r="I893" s="13"/>
      <c r="J893" s="29"/>
      <c r="K893" s="19"/>
      <c r="L893" s="19"/>
      <c r="M893" s="25"/>
      <c r="N893" s="13"/>
      <c r="O893" s="19"/>
      <c r="P893" s="27">
        <f>IF($A893="","",N($J893)*ValorHora)</f>
        <v>0</v>
      </c>
      <c r="Q893" s="27">
        <f>IF($A893="","",SUMIFS(ItTotal,ItOS,$A893))</f>
        <v>0</v>
      </c>
      <c r="R893" s="30">
        <f>IF($A893="","",$P893+$Q893+N($K893)-N($L893))</f>
        <v>0</v>
      </c>
      <c r="S893" s="27">
        <f>IF($A893="","",SUMIFS(ItCusto,ItOS,$A893))</f>
        <v>0</v>
      </c>
      <c r="T893" s="27">
        <f>IF($A893="","",$P893*ComMec)</f>
        <v>0</v>
      </c>
      <c r="U893" s="21">
        <f>IF($A893="","",$R893-$S893-$T893-N($K893))</f>
        <v>0</v>
      </c>
      <c r="V893" s="31">
        <f>IF(OR($A893="",N($R893)&lt;=0),"",$U893/$R893)</f>
        <v>0</v>
      </c>
      <c r="W893" s="27">
        <f>IF($A893="","",IF(OR($I893="Finalizado",$I893="Entregue"),MAX(0,$R893-N($O893)),0))</f>
        <v>0</v>
      </c>
      <c r="X893" s="32">
        <f>IF(OR($A893="",$B893=""),"",IF(OR($I893="Entregue",$I893="Cancelada"),"",Hoje-$B893))</f>
        <v>0</v>
      </c>
      <c r="Y893" s="24">
        <f>IF($A893="","",IF(AND(OR($I893="Aprovado",$I893="Em execução",$I893="Aguardando peça"),N($X893)&gt;PrazoMax),"ATRASADA",IF(AND(OR($I893="Finalizado",$I893="Entregue"),$W893&gt;0.005),"Cobrar",IF($I893="Orçamento","Aguardando aprovação",""))))</f>
        <v>0</v>
      </c>
      <c r="Z893" s="33">
        <f>IF(AND($I893="Entregue",$M893&lt;&gt;""),DATE(YEAR($M893),MONTH($M893),1),"")</f>
        <v>0</v>
      </c>
      <c r="AA893" s="34">
        <f>IF(AND($C893&lt;&gt;"",$C893=HistPlaca),COUNTIF($C$5:$C893,HistPlaca),"")</f>
        <v>0</v>
      </c>
    </row>
    <row r="894" spans="1:27">
      <c r="A894" s="17"/>
      <c r="B894" s="25"/>
      <c r="C894" s="13"/>
      <c r="D894" s="26">
        <f>IF($C894="","",IFERROR(INDEX(VeicCli,MATCH($C894,VeicPlaca,0)),"Placa não cadastrada"))</f>
        <v>0</v>
      </c>
      <c r="E894" s="26">
        <f>IF($C894="","",IFERROR(INDEX(VeicModelo,MATCH($C894,VeicPlaca,0)),""))</f>
        <v>0</v>
      </c>
      <c r="F894" s="28"/>
      <c r="G894" s="13"/>
      <c r="H894" s="13"/>
      <c r="I894" s="13"/>
      <c r="J894" s="29"/>
      <c r="K894" s="19"/>
      <c r="L894" s="19"/>
      <c r="M894" s="25"/>
      <c r="N894" s="13"/>
      <c r="O894" s="19"/>
      <c r="P894" s="27">
        <f>IF($A894="","",N($J894)*ValorHora)</f>
        <v>0</v>
      </c>
      <c r="Q894" s="27">
        <f>IF($A894="","",SUMIFS(ItTotal,ItOS,$A894))</f>
        <v>0</v>
      </c>
      <c r="R894" s="30">
        <f>IF($A894="","",$P894+$Q894+N($K894)-N($L894))</f>
        <v>0</v>
      </c>
      <c r="S894" s="27">
        <f>IF($A894="","",SUMIFS(ItCusto,ItOS,$A894))</f>
        <v>0</v>
      </c>
      <c r="T894" s="27">
        <f>IF($A894="","",$P894*ComMec)</f>
        <v>0</v>
      </c>
      <c r="U894" s="21">
        <f>IF($A894="","",$R894-$S894-$T894-N($K894))</f>
        <v>0</v>
      </c>
      <c r="V894" s="31">
        <f>IF(OR($A894="",N($R894)&lt;=0),"",$U894/$R894)</f>
        <v>0</v>
      </c>
      <c r="W894" s="27">
        <f>IF($A894="","",IF(OR($I894="Finalizado",$I894="Entregue"),MAX(0,$R894-N($O894)),0))</f>
        <v>0</v>
      </c>
      <c r="X894" s="32">
        <f>IF(OR($A894="",$B894=""),"",IF(OR($I894="Entregue",$I894="Cancelada"),"",Hoje-$B894))</f>
        <v>0</v>
      </c>
      <c r="Y894" s="24">
        <f>IF($A894="","",IF(AND(OR($I894="Aprovado",$I894="Em execução",$I894="Aguardando peça"),N($X894)&gt;PrazoMax),"ATRASADA",IF(AND(OR($I894="Finalizado",$I894="Entregue"),$W894&gt;0.005),"Cobrar",IF($I894="Orçamento","Aguardando aprovação",""))))</f>
        <v>0</v>
      </c>
      <c r="Z894" s="33">
        <f>IF(AND($I894="Entregue",$M894&lt;&gt;""),DATE(YEAR($M894),MONTH($M894),1),"")</f>
        <v>0</v>
      </c>
      <c r="AA894" s="34">
        <f>IF(AND($C894&lt;&gt;"",$C894=HistPlaca),COUNTIF($C$5:$C894,HistPlaca),"")</f>
        <v>0</v>
      </c>
    </row>
    <row r="895" spans="1:27">
      <c r="A895" s="17"/>
      <c r="B895" s="25"/>
      <c r="C895" s="13"/>
      <c r="D895" s="26">
        <f>IF($C895="","",IFERROR(INDEX(VeicCli,MATCH($C895,VeicPlaca,0)),"Placa não cadastrada"))</f>
        <v>0</v>
      </c>
      <c r="E895" s="26">
        <f>IF($C895="","",IFERROR(INDEX(VeicModelo,MATCH($C895,VeicPlaca,0)),""))</f>
        <v>0</v>
      </c>
      <c r="F895" s="28"/>
      <c r="G895" s="13"/>
      <c r="H895" s="13"/>
      <c r="I895" s="13"/>
      <c r="J895" s="29"/>
      <c r="K895" s="19"/>
      <c r="L895" s="19"/>
      <c r="M895" s="25"/>
      <c r="N895" s="13"/>
      <c r="O895" s="19"/>
      <c r="P895" s="27">
        <f>IF($A895="","",N($J895)*ValorHora)</f>
        <v>0</v>
      </c>
      <c r="Q895" s="27">
        <f>IF($A895="","",SUMIFS(ItTotal,ItOS,$A895))</f>
        <v>0</v>
      </c>
      <c r="R895" s="30">
        <f>IF($A895="","",$P895+$Q895+N($K895)-N($L895))</f>
        <v>0</v>
      </c>
      <c r="S895" s="27">
        <f>IF($A895="","",SUMIFS(ItCusto,ItOS,$A895))</f>
        <v>0</v>
      </c>
      <c r="T895" s="27">
        <f>IF($A895="","",$P895*ComMec)</f>
        <v>0</v>
      </c>
      <c r="U895" s="21">
        <f>IF($A895="","",$R895-$S895-$T895-N($K895))</f>
        <v>0</v>
      </c>
      <c r="V895" s="31">
        <f>IF(OR($A895="",N($R895)&lt;=0),"",$U895/$R895)</f>
        <v>0</v>
      </c>
      <c r="W895" s="27">
        <f>IF($A895="","",IF(OR($I895="Finalizado",$I895="Entregue"),MAX(0,$R895-N($O895)),0))</f>
        <v>0</v>
      </c>
      <c r="X895" s="32">
        <f>IF(OR($A895="",$B895=""),"",IF(OR($I895="Entregue",$I895="Cancelada"),"",Hoje-$B895))</f>
        <v>0</v>
      </c>
      <c r="Y895" s="24">
        <f>IF($A895="","",IF(AND(OR($I895="Aprovado",$I895="Em execução",$I895="Aguardando peça"),N($X895)&gt;PrazoMax),"ATRASADA",IF(AND(OR($I895="Finalizado",$I895="Entregue"),$W895&gt;0.005),"Cobrar",IF($I895="Orçamento","Aguardando aprovação",""))))</f>
        <v>0</v>
      </c>
      <c r="Z895" s="33">
        <f>IF(AND($I895="Entregue",$M895&lt;&gt;""),DATE(YEAR($M895),MONTH($M895),1),"")</f>
        <v>0</v>
      </c>
      <c r="AA895" s="34">
        <f>IF(AND($C895&lt;&gt;"",$C895=HistPlaca),COUNTIF($C$5:$C895,HistPlaca),"")</f>
        <v>0</v>
      </c>
    </row>
    <row r="896" spans="1:27">
      <c r="A896" s="17"/>
      <c r="B896" s="25"/>
      <c r="C896" s="13"/>
      <c r="D896" s="26">
        <f>IF($C896="","",IFERROR(INDEX(VeicCli,MATCH($C896,VeicPlaca,0)),"Placa não cadastrada"))</f>
        <v>0</v>
      </c>
      <c r="E896" s="26">
        <f>IF($C896="","",IFERROR(INDEX(VeicModelo,MATCH($C896,VeicPlaca,0)),""))</f>
        <v>0</v>
      </c>
      <c r="F896" s="28"/>
      <c r="G896" s="13"/>
      <c r="H896" s="13"/>
      <c r="I896" s="13"/>
      <c r="J896" s="29"/>
      <c r="K896" s="19"/>
      <c r="L896" s="19"/>
      <c r="M896" s="25"/>
      <c r="N896" s="13"/>
      <c r="O896" s="19"/>
      <c r="P896" s="27">
        <f>IF($A896="","",N($J896)*ValorHora)</f>
        <v>0</v>
      </c>
      <c r="Q896" s="27">
        <f>IF($A896="","",SUMIFS(ItTotal,ItOS,$A896))</f>
        <v>0</v>
      </c>
      <c r="R896" s="30">
        <f>IF($A896="","",$P896+$Q896+N($K896)-N($L896))</f>
        <v>0</v>
      </c>
      <c r="S896" s="27">
        <f>IF($A896="","",SUMIFS(ItCusto,ItOS,$A896))</f>
        <v>0</v>
      </c>
      <c r="T896" s="27">
        <f>IF($A896="","",$P896*ComMec)</f>
        <v>0</v>
      </c>
      <c r="U896" s="21">
        <f>IF($A896="","",$R896-$S896-$T896-N($K896))</f>
        <v>0</v>
      </c>
      <c r="V896" s="31">
        <f>IF(OR($A896="",N($R896)&lt;=0),"",$U896/$R896)</f>
        <v>0</v>
      </c>
      <c r="W896" s="27">
        <f>IF($A896="","",IF(OR($I896="Finalizado",$I896="Entregue"),MAX(0,$R896-N($O896)),0))</f>
        <v>0</v>
      </c>
      <c r="X896" s="32">
        <f>IF(OR($A896="",$B896=""),"",IF(OR($I896="Entregue",$I896="Cancelada"),"",Hoje-$B896))</f>
        <v>0</v>
      </c>
      <c r="Y896" s="24">
        <f>IF($A896="","",IF(AND(OR($I896="Aprovado",$I896="Em execução",$I896="Aguardando peça"),N($X896)&gt;PrazoMax),"ATRASADA",IF(AND(OR($I896="Finalizado",$I896="Entregue"),$W896&gt;0.005),"Cobrar",IF($I896="Orçamento","Aguardando aprovação",""))))</f>
        <v>0</v>
      </c>
      <c r="Z896" s="33">
        <f>IF(AND($I896="Entregue",$M896&lt;&gt;""),DATE(YEAR($M896),MONTH($M896),1),"")</f>
        <v>0</v>
      </c>
      <c r="AA896" s="34">
        <f>IF(AND($C896&lt;&gt;"",$C896=HistPlaca),COUNTIF($C$5:$C896,HistPlaca),"")</f>
        <v>0</v>
      </c>
    </row>
    <row r="897" spans="1:27">
      <c r="A897" s="17"/>
      <c r="B897" s="25"/>
      <c r="C897" s="13"/>
      <c r="D897" s="26">
        <f>IF($C897="","",IFERROR(INDEX(VeicCli,MATCH($C897,VeicPlaca,0)),"Placa não cadastrada"))</f>
        <v>0</v>
      </c>
      <c r="E897" s="26">
        <f>IF($C897="","",IFERROR(INDEX(VeicModelo,MATCH($C897,VeicPlaca,0)),""))</f>
        <v>0</v>
      </c>
      <c r="F897" s="28"/>
      <c r="G897" s="13"/>
      <c r="H897" s="13"/>
      <c r="I897" s="13"/>
      <c r="J897" s="29"/>
      <c r="K897" s="19"/>
      <c r="L897" s="19"/>
      <c r="M897" s="25"/>
      <c r="N897" s="13"/>
      <c r="O897" s="19"/>
      <c r="P897" s="27">
        <f>IF($A897="","",N($J897)*ValorHora)</f>
        <v>0</v>
      </c>
      <c r="Q897" s="27">
        <f>IF($A897="","",SUMIFS(ItTotal,ItOS,$A897))</f>
        <v>0</v>
      </c>
      <c r="R897" s="30">
        <f>IF($A897="","",$P897+$Q897+N($K897)-N($L897))</f>
        <v>0</v>
      </c>
      <c r="S897" s="27">
        <f>IF($A897="","",SUMIFS(ItCusto,ItOS,$A897))</f>
        <v>0</v>
      </c>
      <c r="T897" s="27">
        <f>IF($A897="","",$P897*ComMec)</f>
        <v>0</v>
      </c>
      <c r="U897" s="21">
        <f>IF($A897="","",$R897-$S897-$T897-N($K897))</f>
        <v>0</v>
      </c>
      <c r="V897" s="31">
        <f>IF(OR($A897="",N($R897)&lt;=0),"",$U897/$R897)</f>
        <v>0</v>
      </c>
      <c r="W897" s="27">
        <f>IF($A897="","",IF(OR($I897="Finalizado",$I897="Entregue"),MAX(0,$R897-N($O897)),0))</f>
        <v>0</v>
      </c>
      <c r="X897" s="32">
        <f>IF(OR($A897="",$B897=""),"",IF(OR($I897="Entregue",$I897="Cancelada"),"",Hoje-$B897))</f>
        <v>0</v>
      </c>
      <c r="Y897" s="24">
        <f>IF($A897="","",IF(AND(OR($I897="Aprovado",$I897="Em execução",$I897="Aguardando peça"),N($X897)&gt;PrazoMax),"ATRASADA",IF(AND(OR($I897="Finalizado",$I897="Entregue"),$W897&gt;0.005),"Cobrar",IF($I897="Orçamento","Aguardando aprovação",""))))</f>
        <v>0</v>
      </c>
      <c r="Z897" s="33">
        <f>IF(AND($I897="Entregue",$M897&lt;&gt;""),DATE(YEAR($M897),MONTH($M897),1),"")</f>
        <v>0</v>
      </c>
      <c r="AA897" s="34">
        <f>IF(AND($C897&lt;&gt;"",$C897=HistPlaca),COUNTIF($C$5:$C897,HistPlaca),"")</f>
        <v>0</v>
      </c>
    </row>
    <row r="898" spans="1:27">
      <c r="A898" s="17"/>
      <c r="B898" s="25"/>
      <c r="C898" s="13"/>
      <c r="D898" s="26">
        <f>IF($C898="","",IFERROR(INDEX(VeicCli,MATCH($C898,VeicPlaca,0)),"Placa não cadastrada"))</f>
        <v>0</v>
      </c>
      <c r="E898" s="26">
        <f>IF($C898="","",IFERROR(INDEX(VeicModelo,MATCH($C898,VeicPlaca,0)),""))</f>
        <v>0</v>
      </c>
      <c r="F898" s="28"/>
      <c r="G898" s="13"/>
      <c r="H898" s="13"/>
      <c r="I898" s="13"/>
      <c r="J898" s="29"/>
      <c r="K898" s="19"/>
      <c r="L898" s="19"/>
      <c r="M898" s="25"/>
      <c r="N898" s="13"/>
      <c r="O898" s="19"/>
      <c r="P898" s="27">
        <f>IF($A898="","",N($J898)*ValorHora)</f>
        <v>0</v>
      </c>
      <c r="Q898" s="27">
        <f>IF($A898="","",SUMIFS(ItTotal,ItOS,$A898))</f>
        <v>0</v>
      </c>
      <c r="R898" s="30">
        <f>IF($A898="","",$P898+$Q898+N($K898)-N($L898))</f>
        <v>0</v>
      </c>
      <c r="S898" s="27">
        <f>IF($A898="","",SUMIFS(ItCusto,ItOS,$A898))</f>
        <v>0</v>
      </c>
      <c r="T898" s="27">
        <f>IF($A898="","",$P898*ComMec)</f>
        <v>0</v>
      </c>
      <c r="U898" s="21">
        <f>IF($A898="","",$R898-$S898-$T898-N($K898))</f>
        <v>0</v>
      </c>
      <c r="V898" s="31">
        <f>IF(OR($A898="",N($R898)&lt;=0),"",$U898/$R898)</f>
        <v>0</v>
      </c>
      <c r="W898" s="27">
        <f>IF($A898="","",IF(OR($I898="Finalizado",$I898="Entregue"),MAX(0,$R898-N($O898)),0))</f>
        <v>0</v>
      </c>
      <c r="X898" s="32">
        <f>IF(OR($A898="",$B898=""),"",IF(OR($I898="Entregue",$I898="Cancelada"),"",Hoje-$B898))</f>
        <v>0</v>
      </c>
      <c r="Y898" s="24">
        <f>IF($A898="","",IF(AND(OR($I898="Aprovado",$I898="Em execução",$I898="Aguardando peça"),N($X898)&gt;PrazoMax),"ATRASADA",IF(AND(OR($I898="Finalizado",$I898="Entregue"),$W898&gt;0.005),"Cobrar",IF($I898="Orçamento","Aguardando aprovação",""))))</f>
        <v>0</v>
      </c>
      <c r="Z898" s="33">
        <f>IF(AND($I898="Entregue",$M898&lt;&gt;""),DATE(YEAR($M898),MONTH($M898),1),"")</f>
        <v>0</v>
      </c>
      <c r="AA898" s="34">
        <f>IF(AND($C898&lt;&gt;"",$C898=HistPlaca),COUNTIF($C$5:$C898,HistPlaca),"")</f>
        <v>0</v>
      </c>
    </row>
    <row r="899" spans="1:27">
      <c r="A899" s="17"/>
      <c r="B899" s="25"/>
      <c r="C899" s="13"/>
      <c r="D899" s="26">
        <f>IF($C899="","",IFERROR(INDEX(VeicCli,MATCH($C899,VeicPlaca,0)),"Placa não cadastrada"))</f>
        <v>0</v>
      </c>
      <c r="E899" s="26">
        <f>IF($C899="","",IFERROR(INDEX(VeicModelo,MATCH($C899,VeicPlaca,0)),""))</f>
        <v>0</v>
      </c>
      <c r="F899" s="28"/>
      <c r="G899" s="13"/>
      <c r="H899" s="13"/>
      <c r="I899" s="13"/>
      <c r="J899" s="29"/>
      <c r="K899" s="19"/>
      <c r="L899" s="19"/>
      <c r="M899" s="25"/>
      <c r="N899" s="13"/>
      <c r="O899" s="19"/>
      <c r="P899" s="27">
        <f>IF($A899="","",N($J899)*ValorHora)</f>
        <v>0</v>
      </c>
      <c r="Q899" s="27">
        <f>IF($A899="","",SUMIFS(ItTotal,ItOS,$A899))</f>
        <v>0</v>
      </c>
      <c r="R899" s="30">
        <f>IF($A899="","",$P899+$Q899+N($K899)-N($L899))</f>
        <v>0</v>
      </c>
      <c r="S899" s="27">
        <f>IF($A899="","",SUMIFS(ItCusto,ItOS,$A899))</f>
        <v>0</v>
      </c>
      <c r="T899" s="27">
        <f>IF($A899="","",$P899*ComMec)</f>
        <v>0</v>
      </c>
      <c r="U899" s="21">
        <f>IF($A899="","",$R899-$S899-$T899-N($K899))</f>
        <v>0</v>
      </c>
      <c r="V899" s="31">
        <f>IF(OR($A899="",N($R899)&lt;=0),"",$U899/$R899)</f>
        <v>0</v>
      </c>
      <c r="W899" s="27">
        <f>IF($A899="","",IF(OR($I899="Finalizado",$I899="Entregue"),MAX(0,$R899-N($O899)),0))</f>
        <v>0</v>
      </c>
      <c r="X899" s="32">
        <f>IF(OR($A899="",$B899=""),"",IF(OR($I899="Entregue",$I899="Cancelada"),"",Hoje-$B899))</f>
        <v>0</v>
      </c>
      <c r="Y899" s="24">
        <f>IF($A899="","",IF(AND(OR($I899="Aprovado",$I899="Em execução",$I899="Aguardando peça"),N($X899)&gt;PrazoMax),"ATRASADA",IF(AND(OR($I899="Finalizado",$I899="Entregue"),$W899&gt;0.005),"Cobrar",IF($I899="Orçamento","Aguardando aprovação",""))))</f>
        <v>0</v>
      </c>
      <c r="Z899" s="33">
        <f>IF(AND($I899="Entregue",$M899&lt;&gt;""),DATE(YEAR($M899),MONTH($M899),1),"")</f>
        <v>0</v>
      </c>
      <c r="AA899" s="34">
        <f>IF(AND($C899&lt;&gt;"",$C899=HistPlaca),COUNTIF($C$5:$C899,HistPlaca),"")</f>
        <v>0</v>
      </c>
    </row>
    <row r="900" spans="1:27">
      <c r="A900" s="17"/>
      <c r="B900" s="25"/>
      <c r="C900" s="13"/>
      <c r="D900" s="26">
        <f>IF($C900="","",IFERROR(INDEX(VeicCli,MATCH($C900,VeicPlaca,0)),"Placa não cadastrada"))</f>
        <v>0</v>
      </c>
      <c r="E900" s="26">
        <f>IF($C900="","",IFERROR(INDEX(VeicModelo,MATCH($C900,VeicPlaca,0)),""))</f>
        <v>0</v>
      </c>
      <c r="F900" s="28"/>
      <c r="G900" s="13"/>
      <c r="H900" s="13"/>
      <c r="I900" s="13"/>
      <c r="J900" s="29"/>
      <c r="K900" s="19"/>
      <c r="L900" s="19"/>
      <c r="M900" s="25"/>
      <c r="N900" s="13"/>
      <c r="O900" s="19"/>
      <c r="P900" s="27">
        <f>IF($A900="","",N($J900)*ValorHora)</f>
        <v>0</v>
      </c>
      <c r="Q900" s="27">
        <f>IF($A900="","",SUMIFS(ItTotal,ItOS,$A900))</f>
        <v>0</v>
      </c>
      <c r="R900" s="30">
        <f>IF($A900="","",$P900+$Q900+N($K900)-N($L900))</f>
        <v>0</v>
      </c>
      <c r="S900" s="27">
        <f>IF($A900="","",SUMIFS(ItCusto,ItOS,$A900))</f>
        <v>0</v>
      </c>
      <c r="T900" s="27">
        <f>IF($A900="","",$P900*ComMec)</f>
        <v>0</v>
      </c>
      <c r="U900" s="21">
        <f>IF($A900="","",$R900-$S900-$T900-N($K900))</f>
        <v>0</v>
      </c>
      <c r="V900" s="31">
        <f>IF(OR($A900="",N($R900)&lt;=0),"",$U900/$R900)</f>
        <v>0</v>
      </c>
      <c r="W900" s="27">
        <f>IF($A900="","",IF(OR($I900="Finalizado",$I900="Entregue"),MAX(0,$R900-N($O900)),0))</f>
        <v>0</v>
      </c>
      <c r="X900" s="32">
        <f>IF(OR($A900="",$B900=""),"",IF(OR($I900="Entregue",$I900="Cancelada"),"",Hoje-$B900))</f>
        <v>0</v>
      </c>
      <c r="Y900" s="24">
        <f>IF($A900="","",IF(AND(OR($I900="Aprovado",$I900="Em execução",$I900="Aguardando peça"),N($X900)&gt;PrazoMax),"ATRASADA",IF(AND(OR($I900="Finalizado",$I900="Entregue"),$W900&gt;0.005),"Cobrar",IF($I900="Orçamento","Aguardando aprovação",""))))</f>
        <v>0</v>
      </c>
      <c r="Z900" s="33">
        <f>IF(AND($I900="Entregue",$M900&lt;&gt;""),DATE(YEAR($M900),MONTH($M900),1),"")</f>
        <v>0</v>
      </c>
      <c r="AA900" s="34">
        <f>IF(AND($C900&lt;&gt;"",$C900=HistPlaca),COUNTIF($C$5:$C900,HistPlaca),"")</f>
        <v>0</v>
      </c>
    </row>
    <row r="901" spans="1:27">
      <c r="A901" s="17"/>
      <c r="B901" s="25"/>
      <c r="C901" s="13"/>
      <c r="D901" s="26">
        <f>IF($C901="","",IFERROR(INDEX(VeicCli,MATCH($C901,VeicPlaca,0)),"Placa não cadastrada"))</f>
        <v>0</v>
      </c>
      <c r="E901" s="26">
        <f>IF($C901="","",IFERROR(INDEX(VeicModelo,MATCH($C901,VeicPlaca,0)),""))</f>
        <v>0</v>
      </c>
      <c r="F901" s="28"/>
      <c r="G901" s="13"/>
      <c r="H901" s="13"/>
      <c r="I901" s="13"/>
      <c r="J901" s="29"/>
      <c r="K901" s="19"/>
      <c r="L901" s="19"/>
      <c r="M901" s="25"/>
      <c r="N901" s="13"/>
      <c r="O901" s="19"/>
      <c r="P901" s="27">
        <f>IF($A901="","",N($J901)*ValorHora)</f>
        <v>0</v>
      </c>
      <c r="Q901" s="27">
        <f>IF($A901="","",SUMIFS(ItTotal,ItOS,$A901))</f>
        <v>0</v>
      </c>
      <c r="R901" s="30">
        <f>IF($A901="","",$P901+$Q901+N($K901)-N($L901))</f>
        <v>0</v>
      </c>
      <c r="S901" s="27">
        <f>IF($A901="","",SUMIFS(ItCusto,ItOS,$A901))</f>
        <v>0</v>
      </c>
      <c r="T901" s="27">
        <f>IF($A901="","",$P901*ComMec)</f>
        <v>0</v>
      </c>
      <c r="U901" s="21">
        <f>IF($A901="","",$R901-$S901-$T901-N($K901))</f>
        <v>0</v>
      </c>
      <c r="V901" s="31">
        <f>IF(OR($A901="",N($R901)&lt;=0),"",$U901/$R901)</f>
        <v>0</v>
      </c>
      <c r="W901" s="27">
        <f>IF($A901="","",IF(OR($I901="Finalizado",$I901="Entregue"),MAX(0,$R901-N($O901)),0))</f>
        <v>0</v>
      </c>
      <c r="X901" s="32">
        <f>IF(OR($A901="",$B901=""),"",IF(OR($I901="Entregue",$I901="Cancelada"),"",Hoje-$B901))</f>
        <v>0</v>
      </c>
      <c r="Y901" s="24">
        <f>IF($A901="","",IF(AND(OR($I901="Aprovado",$I901="Em execução",$I901="Aguardando peça"),N($X901)&gt;PrazoMax),"ATRASADA",IF(AND(OR($I901="Finalizado",$I901="Entregue"),$W901&gt;0.005),"Cobrar",IF($I901="Orçamento","Aguardando aprovação",""))))</f>
        <v>0</v>
      </c>
      <c r="Z901" s="33">
        <f>IF(AND($I901="Entregue",$M901&lt;&gt;""),DATE(YEAR($M901),MONTH($M901),1),"")</f>
        <v>0</v>
      </c>
      <c r="AA901" s="34">
        <f>IF(AND($C901&lt;&gt;"",$C901=HistPlaca),COUNTIF($C$5:$C901,HistPlaca),"")</f>
        <v>0</v>
      </c>
    </row>
    <row r="902" spans="1:27">
      <c r="A902" s="17"/>
      <c r="B902" s="25"/>
      <c r="C902" s="13"/>
      <c r="D902" s="26">
        <f>IF($C902="","",IFERROR(INDEX(VeicCli,MATCH($C902,VeicPlaca,0)),"Placa não cadastrada"))</f>
        <v>0</v>
      </c>
      <c r="E902" s="26">
        <f>IF($C902="","",IFERROR(INDEX(VeicModelo,MATCH($C902,VeicPlaca,0)),""))</f>
        <v>0</v>
      </c>
      <c r="F902" s="28"/>
      <c r="G902" s="13"/>
      <c r="H902" s="13"/>
      <c r="I902" s="13"/>
      <c r="J902" s="29"/>
      <c r="K902" s="19"/>
      <c r="L902" s="19"/>
      <c r="M902" s="25"/>
      <c r="N902" s="13"/>
      <c r="O902" s="19"/>
      <c r="P902" s="27">
        <f>IF($A902="","",N($J902)*ValorHora)</f>
        <v>0</v>
      </c>
      <c r="Q902" s="27">
        <f>IF($A902="","",SUMIFS(ItTotal,ItOS,$A902))</f>
        <v>0</v>
      </c>
      <c r="R902" s="30">
        <f>IF($A902="","",$P902+$Q902+N($K902)-N($L902))</f>
        <v>0</v>
      </c>
      <c r="S902" s="27">
        <f>IF($A902="","",SUMIFS(ItCusto,ItOS,$A902))</f>
        <v>0</v>
      </c>
      <c r="T902" s="27">
        <f>IF($A902="","",$P902*ComMec)</f>
        <v>0</v>
      </c>
      <c r="U902" s="21">
        <f>IF($A902="","",$R902-$S902-$T902-N($K902))</f>
        <v>0</v>
      </c>
      <c r="V902" s="31">
        <f>IF(OR($A902="",N($R902)&lt;=0),"",$U902/$R902)</f>
        <v>0</v>
      </c>
      <c r="W902" s="27">
        <f>IF($A902="","",IF(OR($I902="Finalizado",$I902="Entregue"),MAX(0,$R902-N($O902)),0))</f>
        <v>0</v>
      </c>
      <c r="X902" s="32">
        <f>IF(OR($A902="",$B902=""),"",IF(OR($I902="Entregue",$I902="Cancelada"),"",Hoje-$B902))</f>
        <v>0</v>
      </c>
      <c r="Y902" s="24">
        <f>IF($A902="","",IF(AND(OR($I902="Aprovado",$I902="Em execução",$I902="Aguardando peça"),N($X902)&gt;PrazoMax),"ATRASADA",IF(AND(OR($I902="Finalizado",$I902="Entregue"),$W902&gt;0.005),"Cobrar",IF($I902="Orçamento","Aguardando aprovação",""))))</f>
        <v>0</v>
      </c>
      <c r="Z902" s="33">
        <f>IF(AND($I902="Entregue",$M902&lt;&gt;""),DATE(YEAR($M902),MONTH($M902),1),"")</f>
        <v>0</v>
      </c>
      <c r="AA902" s="34">
        <f>IF(AND($C902&lt;&gt;"",$C902=HistPlaca),COUNTIF($C$5:$C902,HistPlaca),"")</f>
        <v>0</v>
      </c>
    </row>
    <row r="903" spans="1:27">
      <c r="A903" s="17"/>
      <c r="B903" s="25"/>
      <c r="C903" s="13"/>
      <c r="D903" s="26">
        <f>IF($C903="","",IFERROR(INDEX(VeicCli,MATCH($C903,VeicPlaca,0)),"Placa não cadastrada"))</f>
        <v>0</v>
      </c>
      <c r="E903" s="26">
        <f>IF($C903="","",IFERROR(INDEX(VeicModelo,MATCH($C903,VeicPlaca,0)),""))</f>
        <v>0</v>
      </c>
      <c r="F903" s="28"/>
      <c r="G903" s="13"/>
      <c r="H903" s="13"/>
      <c r="I903" s="13"/>
      <c r="J903" s="29"/>
      <c r="K903" s="19"/>
      <c r="L903" s="19"/>
      <c r="M903" s="25"/>
      <c r="N903" s="13"/>
      <c r="O903" s="19"/>
      <c r="P903" s="27">
        <f>IF($A903="","",N($J903)*ValorHora)</f>
        <v>0</v>
      </c>
      <c r="Q903" s="27">
        <f>IF($A903="","",SUMIFS(ItTotal,ItOS,$A903))</f>
        <v>0</v>
      </c>
      <c r="R903" s="30">
        <f>IF($A903="","",$P903+$Q903+N($K903)-N($L903))</f>
        <v>0</v>
      </c>
      <c r="S903" s="27">
        <f>IF($A903="","",SUMIFS(ItCusto,ItOS,$A903))</f>
        <v>0</v>
      </c>
      <c r="T903" s="27">
        <f>IF($A903="","",$P903*ComMec)</f>
        <v>0</v>
      </c>
      <c r="U903" s="21">
        <f>IF($A903="","",$R903-$S903-$T903-N($K903))</f>
        <v>0</v>
      </c>
      <c r="V903" s="31">
        <f>IF(OR($A903="",N($R903)&lt;=0),"",$U903/$R903)</f>
        <v>0</v>
      </c>
      <c r="W903" s="27">
        <f>IF($A903="","",IF(OR($I903="Finalizado",$I903="Entregue"),MAX(0,$R903-N($O903)),0))</f>
        <v>0</v>
      </c>
      <c r="X903" s="32">
        <f>IF(OR($A903="",$B903=""),"",IF(OR($I903="Entregue",$I903="Cancelada"),"",Hoje-$B903))</f>
        <v>0</v>
      </c>
      <c r="Y903" s="24">
        <f>IF($A903="","",IF(AND(OR($I903="Aprovado",$I903="Em execução",$I903="Aguardando peça"),N($X903)&gt;PrazoMax),"ATRASADA",IF(AND(OR($I903="Finalizado",$I903="Entregue"),$W903&gt;0.005),"Cobrar",IF($I903="Orçamento","Aguardando aprovação",""))))</f>
        <v>0</v>
      </c>
      <c r="Z903" s="33">
        <f>IF(AND($I903="Entregue",$M903&lt;&gt;""),DATE(YEAR($M903),MONTH($M903),1),"")</f>
        <v>0</v>
      </c>
      <c r="AA903" s="34">
        <f>IF(AND($C903&lt;&gt;"",$C903=HistPlaca),COUNTIF($C$5:$C903,HistPlaca),"")</f>
        <v>0</v>
      </c>
    </row>
    <row r="904" spans="1:27">
      <c r="A904" s="17"/>
      <c r="B904" s="25"/>
      <c r="C904" s="13"/>
      <c r="D904" s="26">
        <f>IF($C904="","",IFERROR(INDEX(VeicCli,MATCH($C904,VeicPlaca,0)),"Placa não cadastrada"))</f>
        <v>0</v>
      </c>
      <c r="E904" s="26">
        <f>IF($C904="","",IFERROR(INDEX(VeicModelo,MATCH($C904,VeicPlaca,0)),""))</f>
        <v>0</v>
      </c>
      <c r="F904" s="28"/>
      <c r="G904" s="13"/>
      <c r="H904" s="13"/>
      <c r="I904" s="13"/>
      <c r="J904" s="29"/>
      <c r="K904" s="19"/>
      <c r="L904" s="19"/>
      <c r="M904" s="25"/>
      <c r="N904" s="13"/>
      <c r="O904" s="19"/>
      <c r="P904" s="27">
        <f>IF($A904="","",N($J904)*ValorHora)</f>
        <v>0</v>
      </c>
      <c r="Q904" s="27">
        <f>IF($A904="","",SUMIFS(ItTotal,ItOS,$A904))</f>
        <v>0</v>
      </c>
      <c r="R904" s="30">
        <f>IF($A904="","",$P904+$Q904+N($K904)-N($L904))</f>
        <v>0</v>
      </c>
      <c r="S904" s="27">
        <f>IF($A904="","",SUMIFS(ItCusto,ItOS,$A904))</f>
        <v>0</v>
      </c>
      <c r="T904" s="27">
        <f>IF($A904="","",$P904*ComMec)</f>
        <v>0</v>
      </c>
      <c r="U904" s="21">
        <f>IF($A904="","",$R904-$S904-$T904-N($K904))</f>
        <v>0</v>
      </c>
      <c r="V904" s="31">
        <f>IF(OR($A904="",N($R904)&lt;=0),"",$U904/$R904)</f>
        <v>0</v>
      </c>
      <c r="W904" s="27">
        <f>IF($A904="","",IF(OR($I904="Finalizado",$I904="Entregue"),MAX(0,$R904-N($O904)),0))</f>
        <v>0</v>
      </c>
      <c r="X904" s="32">
        <f>IF(OR($A904="",$B904=""),"",IF(OR($I904="Entregue",$I904="Cancelada"),"",Hoje-$B904))</f>
        <v>0</v>
      </c>
      <c r="Y904" s="24">
        <f>IF($A904="","",IF(AND(OR($I904="Aprovado",$I904="Em execução",$I904="Aguardando peça"),N($X904)&gt;PrazoMax),"ATRASADA",IF(AND(OR($I904="Finalizado",$I904="Entregue"),$W904&gt;0.005),"Cobrar",IF($I904="Orçamento","Aguardando aprovação",""))))</f>
        <v>0</v>
      </c>
      <c r="Z904" s="33">
        <f>IF(AND($I904="Entregue",$M904&lt;&gt;""),DATE(YEAR($M904),MONTH($M904),1),"")</f>
        <v>0</v>
      </c>
      <c r="AA904" s="34">
        <f>IF(AND($C904&lt;&gt;"",$C904=HistPlaca),COUNTIF($C$5:$C904,HistPlaca),"")</f>
        <v>0</v>
      </c>
    </row>
    <row r="905" spans="1:27">
      <c r="A905" s="17"/>
      <c r="B905" s="25"/>
      <c r="C905" s="13"/>
      <c r="D905" s="26">
        <f>IF($C905="","",IFERROR(INDEX(VeicCli,MATCH($C905,VeicPlaca,0)),"Placa não cadastrada"))</f>
        <v>0</v>
      </c>
      <c r="E905" s="26">
        <f>IF($C905="","",IFERROR(INDEX(VeicModelo,MATCH($C905,VeicPlaca,0)),""))</f>
        <v>0</v>
      </c>
      <c r="F905" s="28"/>
      <c r="G905" s="13"/>
      <c r="H905" s="13"/>
      <c r="I905" s="13"/>
      <c r="J905" s="29"/>
      <c r="K905" s="19"/>
      <c r="L905" s="19"/>
      <c r="M905" s="25"/>
      <c r="N905" s="13"/>
      <c r="O905" s="19"/>
      <c r="P905" s="27">
        <f>IF($A905="","",N($J905)*ValorHora)</f>
        <v>0</v>
      </c>
      <c r="Q905" s="27">
        <f>IF($A905="","",SUMIFS(ItTotal,ItOS,$A905))</f>
        <v>0</v>
      </c>
      <c r="R905" s="30">
        <f>IF($A905="","",$P905+$Q905+N($K905)-N($L905))</f>
        <v>0</v>
      </c>
      <c r="S905" s="27">
        <f>IF($A905="","",SUMIFS(ItCusto,ItOS,$A905))</f>
        <v>0</v>
      </c>
      <c r="T905" s="27">
        <f>IF($A905="","",$P905*ComMec)</f>
        <v>0</v>
      </c>
      <c r="U905" s="21">
        <f>IF($A905="","",$R905-$S905-$T905-N($K905))</f>
        <v>0</v>
      </c>
      <c r="V905" s="31">
        <f>IF(OR($A905="",N($R905)&lt;=0),"",$U905/$R905)</f>
        <v>0</v>
      </c>
      <c r="W905" s="27">
        <f>IF($A905="","",IF(OR($I905="Finalizado",$I905="Entregue"),MAX(0,$R905-N($O905)),0))</f>
        <v>0</v>
      </c>
      <c r="X905" s="32">
        <f>IF(OR($A905="",$B905=""),"",IF(OR($I905="Entregue",$I905="Cancelada"),"",Hoje-$B905))</f>
        <v>0</v>
      </c>
      <c r="Y905" s="24">
        <f>IF($A905="","",IF(AND(OR($I905="Aprovado",$I905="Em execução",$I905="Aguardando peça"),N($X905)&gt;PrazoMax),"ATRASADA",IF(AND(OR($I905="Finalizado",$I905="Entregue"),$W905&gt;0.005),"Cobrar",IF($I905="Orçamento","Aguardando aprovação",""))))</f>
        <v>0</v>
      </c>
      <c r="Z905" s="33">
        <f>IF(AND($I905="Entregue",$M905&lt;&gt;""),DATE(YEAR($M905),MONTH($M905),1),"")</f>
        <v>0</v>
      </c>
      <c r="AA905" s="34">
        <f>IF(AND($C905&lt;&gt;"",$C905=HistPlaca),COUNTIF($C$5:$C905,HistPlaca),"")</f>
        <v>0</v>
      </c>
    </row>
    <row r="906" spans="1:27">
      <c r="A906" s="17"/>
      <c r="B906" s="25"/>
      <c r="C906" s="13"/>
      <c r="D906" s="26">
        <f>IF($C906="","",IFERROR(INDEX(VeicCli,MATCH($C906,VeicPlaca,0)),"Placa não cadastrada"))</f>
        <v>0</v>
      </c>
      <c r="E906" s="26">
        <f>IF($C906="","",IFERROR(INDEX(VeicModelo,MATCH($C906,VeicPlaca,0)),""))</f>
        <v>0</v>
      </c>
      <c r="F906" s="28"/>
      <c r="G906" s="13"/>
      <c r="H906" s="13"/>
      <c r="I906" s="13"/>
      <c r="J906" s="29"/>
      <c r="K906" s="19"/>
      <c r="L906" s="19"/>
      <c r="M906" s="25"/>
      <c r="N906" s="13"/>
      <c r="O906" s="19"/>
      <c r="P906" s="27">
        <f>IF($A906="","",N($J906)*ValorHora)</f>
        <v>0</v>
      </c>
      <c r="Q906" s="27">
        <f>IF($A906="","",SUMIFS(ItTotal,ItOS,$A906))</f>
        <v>0</v>
      </c>
      <c r="R906" s="30">
        <f>IF($A906="","",$P906+$Q906+N($K906)-N($L906))</f>
        <v>0</v>
      </c>
      <c r="S906" s="27">
        <f>IF($A906="","",SUMIFS(ItCusto,ItOS,$A906))</f>
        <v>0</v>
      </c>
      <c r="T906" s="27">
        <f>IF($A906="","",$P906*ComMec)</f>
        <v>0</v>
      </c>
      <c r="U906" s="21">
        <f>IF($A906="","",$R906-$S906-$T906-N($K906))</f>
        <v>0</v>
      </c>
      <c r="V906" s="31">
        <f>IF(OR($A906="",N($R906)&lt;=0),"",$U906/$R906)</f>
        <v>0</v>
      </c>
      <c r="W906" s="27">
        <f>IF($A906="","",IF(OR($I906="Finalizado",$I906="Entregue"),MAX(0,$R906-N($O906)),0))</f>
        <v>0</v>
      </c>
      <c r="X906" s="32">
        <f>IF(OR($A906="",$B906=""),"",IF(OR($I906="Entregue",$I906="Cancelada"),"",Hoje-$B906))</f>
        <v>0</v>
      </c>
      <c r="Y906" s="24">
        <f>IF($A906="","",IF(AND(OR($I906="Aprovado",$I906="Em execução",$I906="Aguardando peça"),N($X906)&gt;PrazoMax),"ATRASADA",IF(AND(OR($I906="Finalizado",$I906="Entregue"),$W906&gt;0.005),"Cobrar",IF($I906="Orçamento","Aguardando aprovação",""))))</f>
        <v>0</v>
      </c>
      <c r="Z906" s="33">
        <f>IF(AND($I906="Entregue",$M906&lt;&gt;""),DATE(YEAR($M906),MONTH($M906),1),"")</f>
        <v>0</v>
      </c>
      <c r="AA906" s="34">
        <f>IF(AND($C906&lt;&gt;"",$C906=HistPlaca),COUNTIF($C$5:$C906,HistPlaca),"")</f>
        <v>0</v>
      </c>
    </row>
    <row r="907" spans="1:27">
      <c r="A907" s="17"/>
      <c r="B907" s="25"/>
      <c r="C907" s="13"/>
      <c r="D907" s="26">
        <f>IF($C907="","",IFERROR(INDEX(VeicCli,MATCH($C907,VeicPlaca,0)),"Placa não cadastrada"))</f>
        <v>0</v>
      </c>
      <c r="E907" s="26">
        <f>IF($C907="","",IFERROR(INDEX(VeicModelo,MATCH($C907,VeicPlaca,0)),""))</f>
        <v>0</v>
      </c>
      <c r="F907" s="28"/>
      <c r="G907" s="13"/>
      <c r="H907" s="13"/>
      <c r="I907" s="13"/>
      <c r="J907" s="29"/>
      <c r="K907" s="19"/>
      <c r="L907" s="19"/>
      <c r="M907" s="25"/>
      <c r="N907" s="13"/>
      <c r="O907" s="19"/>
      <c r="P907" s="27">
        <f>IF($A907="","",N($J907)*ValorHora)</f>
        <v>0</v>
      </c>
      <c r="Q907" s="27">
        <f>IF($A907="","",SUMIFS(ItTotal,ItOS,$A907))</f>
        <v>0</v>
      </c>
      <c r="R907" s="30">
        <f>IF($A907="","",$P907+$Q907+N($K907)-N($L907))</f>
        <v>0</v>
      </c>
      <c r="S907" s="27">
        <f>IF($A907="","",SUMIFS(ItCusto,ItOS,$A907))</f>
        <v>0</v>
      </c>
      <c r="T907" s="27">
        <f>IF($A907="","",$P907*ComMec)</f>
        <v>0</v>
      </c>
      <c r="U907" s="21">
        <f>IF($A907="","",$R907-$S907-$T907-N($K907))</f>
        <v>0</v>
      </c>
      <c r="V907" s="31">
        <f>IF(OR($A907="",N($R907)&lt;=0),"",$U907/$R907)</f>
        <v>0</v>
      </c>
      <c r="W907" s="27">
        <f>IF($A907="","",IF(OR($I907="Finalizado",$I907="Entregue"),MAX(0,$R907-N($O907)),0))</f>
        <v>0</v>
      </c>
      <c r="X907" s="32">
        <f>IF(OR($A907="",$B907=""),"",IF(OR($I907="Entregue",$I907="Cancelada"),"",Hoje-$B907))</f>
        <v>0</v>
      </c>
      <c r="Y907" s="24">
        <f>IF($A907="","",IF(AND(OR($I907="Aprovado",$I907="Em execução",$I907="Aguardando peça"),N($X907)&gt;PrazoMax),"ATRASADA",IF(AND(OR($I907="Finalizado",$I907="Entregue"),$W907&gt;0.005),"Cobrar",IF($I907="Orçamento","Aguardando aprovação",""))))</f>
        <v>0</v>
      </c>
      <c r="Z907" s="33">
        <f>IF(AND($I907="Entregue",$M907&lt;&gt;""),DATE(YEAR($M907),MONTH($M907),1),"")</f>
        <v>0</v>
      </c>
      <c r="AA907" s="34">
        <f>IF(AND($C907&lt;&gt;"",$C907=HistPlaca),COUNTIF($C$5:$C907,HistPlaca),"")</f>
        <v>0</v>
      </c>
    </row>
    <row r="908" spans="1:27">
      <c r="A908" s="17"/>
      <c r="B908" s="25"/>
      <c r="C908" s="13"/>
      <c r="D908" s="26">
        <f>IF($C908="","",IFERROR(INDEX(VeicCli,MATCH($C908,VeicPlaca,0)),"Placa não cadastrada"))</f>
        <v>0</v>
      </c>
      <c r="E908" s="26">
        <f>IF($C908="","",IFERROR(INDEX(VeicModelo,MATCH($C908,VeicPlaca,0)),""))</f>
        <v>0</v>
      </c>
      <c r="F908" s="28"/>
      <c r="G908" s="13"/>
      <c r="H908" s="13"/>
      <c r="I908" s="13"/>
      <c r="J908" s="29"/>
      <c r="K908" s="19"/>
      <c r="L908" s="19"/>
      <c r="M908" s="25"/>
      <c r="N908" s="13"/>
      <c r="O908" s="19"/>
      <c r="P908" s="27">
        <f>IF($A908="","",N($J908)*ValorHora)</f>
        <v>0</v>
      </c>
      <c r="Q908" s="27">
        <f>IF($A908="","",SUMIFS(ItTotal,ItOS,$A908))</f>
        <v>0</v>
      </c>
      <c r="R908" s="30">
        <f>IF($A908="","",$P908+$Q908+N($K908)-N($L908))</f>
        <v>0</v>
      </c>
      <c r="S908" s="27">
        <f>IF($A908="","",SUMIFS(ItCusto,ItOS,$A908))</f>
        <v>0</v>
      </c>
      <c r="T908" s="27">
        <f>IF($A908="","",$P908*ComMec)</f>
        <v>0</v>
      </c>
      <c r="U908" s="21">
        <f>IF($A908="","",$R908-$S908-$T908-N($K908))</f>
        <v>0</v>
      </c>
      <c r="V908" s="31">
        <f>IF(OR($A908="",N($R908)&lt;=0),"",$U908/$R908)</f>
        <v>0</v>
      </c>
      <c r="W908" s="27">
        <f>IF($A908="","",IF(OR($I908="Finalizado",$I908="Entregue"),MAX(0,$R908-N($O908)),0))</f>
        <v>0</v>
      </c>
      <c r="X908" s="32">
        <f>IF(OR($A908="",$B908=""),"",IF(OR($I908="Entregue",$I908="Cancelada"),"",Hoje-$B908))</f>
        <v>0</v>
      </c>
      <c r="Y908" s="24">
        <f>IF($A908="","",IF(AND(OR($I908="Aprovado",$I908="Em execução",$I908="Aguardando peça"),N($X908)&gt;PrazoMax),"ATRASADA",IF(AND(OR($I908="Finalizado",$I908="Entregue"),$W908&gt;0.005),"Cobrar",IF($I908="Orçamento","Aguardando aprovação",""))))</f>
        <v>0</v>
      </c>
      <c r="Z908" s="33">
        <f>IF(AND($I908="Entregue",$M908&lt;&gt;""),DATE(YEAR($M908),MONTH($M908),1),"")</f>
        <v>0</v>
      </c>
      <c r="AA908" s="34">
        <f>IF(AND($C908&lt;&gt;"",$C908=HistPlaca),COUNTIF($C$5:$C908,HistPlaca),"")</f>
        <v>0</v>
      </c>
    </row>
    <row r="909" spans="1:27">
      <c r="A909" s="17"/>
      <c r="B909" s="25"/>
      <c r="C909" s="13"/>
      <c r="D909" s="26">
        <f>IF($C909="","",IFERROR(INDEX(VeicCli,MATCH($C909,VeicPlaca,0)),"Placa não cadastrada"))</f>
        <v>0</v>
      </c>
      <c r="E909" s="26">
        <f>IF($C909="","",IFERROR(INDEX(VeicModelo,MATCH($C909,VeicPlaca,0)),""))</f>
        <v>0</v>
      </c>
      <c r="F909" s="28"/>
      <c r="G909" s="13"/>
      <c r="H909" s="13"/>
      <c r="I909" s="13"/>
      <c r="J909" s="29"/>
      <c r="K909" s="19"/>
      <c r="L909" s="19"/>
      <c r="M909" s="25"/>
      <c r="N909" s="13"/>
      <c r="O909" s="19"/>
      <c r="P909" s="27">
        <f>IF($A909="","",N($J909)*ValorHora)</f>
        <v>0</v>
      </c>
      <c r="Q909" s="27">
        <f>IF($A909="","",SUMIFS(ItTotal,ItOS,$A909))</f>
        <v>0</v>
      </c>
      <c r="R909" s="30">
        <f>IF($A909="","",$P909+$Q909+N($K909)-N($L909))</f>
        <v>0</v>
      </c>
      <c r="S909" s="27">
        <f>IF($A909="","",SUMIFS(ItCusto,ItOS,$A909))</f>
        <v>0</v>
      </c>
      <c r="T909" s="27">
        <f>IF($A909="","",$P909*ComMec)</f>
        <v>0</v>
      </c>
      <c r="U909" s="21">
        <f>IF($A909="","",$R909-$S909-$T909-N($K909))</f>
        <v>0</v>
      </c>
      <c r="V909" s="31">
        <f>IF(OR($A909="",N($R909)&lt;=0),"",$U909/$R909)</f>
        <v>0</v>
      </c>
      <c r="W909" s="27">
        <f>IF($A909="","",IF(OR($I909="Finalizado",$I909="Entregue"),MAX(0,$R909-N($O909)),0))</f>
        <v>0</v>
      </c>
      <c r="X909" s="32">
        <f>IF(OR($A909="",$B909=""),"",IF(OR($I909="Entregue",$I909="Cancelada"),"",Hoje-$B909))</f>
        <v>0</v>
      </c>
      <c r="Y909" s="24">
        <f>IF($A909="","",IF(AND(OR($I909="Aprovado",$I909="Em execução",$I909="Aguardando peça"),N($X909)&gt;PrazoMax),"ATRASADA",IF(AND(OR($I909="Finalizado",$I909="Entregue"),$W909&gt;0.005),"Cobrar",IF($I909="Orçamento","Aguardando aprovação",""))))</f>
        <v>0</v>
      </c>
      <c r="Z909" s="33">
        <f>IF(AND($I909="Entregue",$M909&lt;&gt;""),DATE(YEAR($M909),MONTH($M909),1),"")</f>
        <v>0</v>
      </c>
      <c r="AA909" s="34">
        <f>IF(AND($C909&lt;&gt;"",$C909=HistPlaca),COUNTIF($C$5:$C909,HistPlaca),"")</f>
        <v>0</v>
      </c>
    </row>
    <row r="910" spans="1:27">
      <c r="A910" s="17"/>
      <c r="B910" s="25"/>
      <c r="C910" s="13"/>
      <c r="D910" s="26">
        <f>IF($C910="","",IFERROR(INDEX(VeicCli,MATCH($C910,VeicPlaca,0)),"Placa não cadastrada"))</f>
        <v>0</v>
      </c>
      <c r="E910" s="26">
        <f>IF($C910="","",IFERROR(INDEX(VeicModelo,MATCH($C910,VeicPlaca,0)),""))</f>
        <v>0</v>
      </c>
      <c r="F910" s="28"/>
      <c r="G910" s="13"/>
      <c r="H910" s="13"/>
      <c r="I910" s="13"/>
      <c r="J910" s="29"/>
      <c r="K910" s="19"/>
      <c r="L910" s="19"/>
      <c r="M910" s="25"/>
      <c r="N910" s="13"/>
      <c r="O910" s="19"/>
      <c r="P910" s="27">
        <f>IF($A910="","",N($J910)*ValorHora)</f>
        <v>0</v>
      </c>
      <c r="Q910" s="27">
        <f>IF($A910="","",SUMIFS(ItTotal,ItOS,$A910))</f>
        <v>0</v>
      </c>
      <c r="R910" s="30">
        <f>IF($A910="","",$P910+$Q910+N($K910)-N($L910))</f>
        <v>0</v>
      </c>
      <c r="S910" s="27">
        <f>IF($A910="","",SUMIFS(ItCusto,ItOS,$A910))</f>
        <v>0</v>
      </c>
      <c r="T910" s="27">
        <f>IF($A910="","",$P910*ComMec)</f>
        <v>0</v>
      </c>
      <c r="U910" s="21">
        <f>IF($A910="","",$R910-$S910-$T910-N($K910))</f>
        <v>0</v>
      </c>
      <c r="V910" s="31">
        <f>IF(OR($A910="",N($R910)&lt;=0),"",$U910/$R910)</f>
        <v>0</v>
      </c>
      <c r="W910" s="27">
        <f>IF($A910="","",IF(OR($I910="Finalizado",$I910="Entregue"),MAX(0,$R910-N($O910)),0))</f>
        <v>0</v>
      </c>
      <c r="X910" s="32">
        <f>IF(OR($A910="",$B910=""),"",IF(OR($I910="Entregue",$I910="Cancelada"),"",Hoje-$B910))</f>
        <v>0</v>
      </c>
      <c r="Y910" s="24">
        <f>IF($A910="","",IF(AND(OR($I910="Aprovado",$I910="Em execução",$I910="Aguardando peça"),N($X910)&gt;PrazoMax),"ATRASADA",IF(AND(OR($I910="Finalizado",$I910="Entregue"),$W910&gt;0.005),"Cobrar",IF($I910="Orçamento","Aguardando aprovação",""))))</f>
        <v>0</v>
      </c>
      <c r="Z910" s="33">
        <f>IF(AND($I910="Entregue",$M910&lt;&gt;""),DATE(YEAR($M910),MONTH($M910),1),"")</f>
        <v>0</v>
      </c>
      <c r="AA910" s="34">
        <f>IF(AND($C910&lt;&gt;"",$C910=HistPlaca),COUNTIF($C$5:$C910,HistPlaca),"")</f>
        <v>0</v>
      </c>
    </row>
    <row r="911" spans="1:27">
      <c r="A911" s="17"/>
      <c r="B911" s="25"/>
      <c r="C911" s="13"/>
      <c r="D911" s="26">
        <f>IF($C911="","",IFERROR(INDEX(VeicCli,MATCH($C911,VeicPlaca,0)),"Placa não cadastrada"))</f>
        <v>0</v>
      </c>
      <c r="E911" s="26">
        <f>IF($C911="","",IFERROR(INDEX(VeicModelo,MATCH($C911,VeicPlaca,0)),""))</f>
        <v>0</v>
      </c>
      <c r="F911" s="28"/>
      <c r="G911" s="13"/>
      <c r="H911" s="13"/>
      <c r="I911" s="13"/>
      <c r="J911" s="29"/>
      <c r="K911" s="19"/>
      <c r="L911" s="19"/>
      <c r="M911" s="25"/>
      <c r="N911" s="13"/>
      <c r="O911" s="19"/>
      <c r="P911" s="27">
        <f>IF($A911="","",N($J911)*ValorHora)</f>
        <v>0</v>
      </c>
      <c r="Q911" s="27">
        <f>IF($A911="","",SUMIFS(ItTotal,ItOS,$A911))</f>
        <v>0</v>
      </c>
      <c r="R911" s="30">
        <f>IF($A911="","",$P911+$Q911+N($K911)-N($L911))</f>
        <v>0</v>
      </c>
      <c r="S911" s="27">
        <f>IF($A911="","",SUMIFS(ItCusto,ItOS,$A911))</f>
        <v>0</v>
      </c>
      <c r="T911" s="27">
        <f>IF($A911="","",$P911*ComMec)</f>
        <v>0</v>
      </c>
      <c r="U911" s="21">
        <f>IF($A911="","",$R911-$S911-$T911-N($K911))</f>
        <v>0</v>
      </c>
      <c r="V911" s="31">
        <f>IF(OR($A911="",N($R911)&lt;=0),"",$U911/$R911)</f>
        <v>0</v>
      </c>
      <c r="W911" s="27">
        <f>IF($A911="","",IF(OR($I911="Finalizado",$I911="Entregue"),MAX(0,$R911-N($O911)),0))</f>
        <v>0</v>
      </c>
      <c r="X911" s="32">
        <f>IF(OR($A911="",$B911=""),"",IF(OR($I911="Entregue",$I911="Cancelada"),"",Hoje-$B911))</f>
        <v>0</v>
      </c>
      <c r="Y911" s="24">
        <f>IF($A911="","",IF(AND(OR($I911="Aprovado",$I911="Em execução",$I911="Aguardando peça"),N($X911)&gt;PrazoMax),"ATRASADA",IF(AND(OR($I911="Finalizado",$I911="Entregue"),$W911&gt;0.005),"Cobrar",IF($I911="Orçamento","Aguardando aprovação",""))))</f>
        <v>0</v>
      </c>
      <c r="Z911" s="33">
        <f>IF(AND($I911="Entregue",$M911&lt;&gt;""),DATE(YEAR($M911),MONTH($M911),1),"")</f>
        <v>0</v>
      </c>
      <c r="AA911" s="34">
        <f>IF(AND($C911&lt;&gt;"",$C911=HistPlaca),COUNTIF($C$5:$C911,HistPlaca),"")</f>
        <v>0</v>
      </c>
    </row>
    <row r="912" spans="1:27">
      <c r="A912" s="17"/>
      <c r="B912" s="25"/>
      <c r="C912" s="13"/>
      <c r="D912" s="26">
        <f>IF($C912="","",IFERROR(INDEX(VeicCli,MATCH($C912,VeicPlaca,0)),"Placa não cadastrada"))</f>
        <v>0</v>
      </c>
      <c r="E912" s="26">
        <f>IF($C912="","",IFERROR(INDEX(VeicModelo,MATCH($C912,VeicPlaca,0)),""))</f>
        <v>0</v>
      </c>
      <c r="F912" s="28"/>
      <c r="G912" s="13"/>
      <c r="H912" s="13"/>
      <c r="I912" s="13"/>
      <c r="J912" s="29"/>
      <c r="K912" s="19"/>
      <c r="L912" s="19"/>
      <c r="M912" s="25"/>
      <c r="N912" s="13"/>
      <c r="O912" s="19"/>
      <c r="P912" s="27">
        <f>IF($A912="","",N($J912)*ValorHora)</f>
        <v>0</v>
      </c>
      <c r="Q912" s="27">
        <f>IF($A912="","",SUMIFS(ItTotal,ItOS,$A912))</f>
        <v>0</v>
      </c>
      <c r="R912" s="30">
        <f>IF($A912="","",$P912+$Q912+N($K912)-N($L912))</f>
        <v>0</v>
      </c>
      <c r="S912" s="27">
        <f>IF($A912="","",SUMIFS(ItCusto,ItOS,$A912))</f>
        <v>0</v>
      </c>
      <c r="T912" s="27">
        <f>IF($A912="","",$P912*ComMec)</f>
        <v>0</v>
      </c>
      <c r="U912" s="21">
        <f>IF($A912="","",$R912-$S912-$T912-N($K912))</f>
        <v>0</v>
      </c>
      <c r="V912" s="31">
        <f>IF(OR($A912="",N($R912)&lt;=0),"",$U912/$R912)</f>
        <v>0</v>
      </c>
      <c r="W912" s="27">
        <f>IF($A912="","",IF(OR($I912="Finalizado",$I912="Entregue"),MAX(0,$R912-N($O912)),0))</f>
        <v>0</v>
      </c>
      <c r="X912" s="32">
        <f>IF(OR($A912="",$B912=""),"",IF(OR($I912="Entregue",$I912="Cancelada"),"",Hoje-$B912))</f>
        <v>0</v>
      </c>
      <c r="Y912" s="24">
        <f>IF($A912="","",IF(AND(OR($I912="Aprovado",$I912="Em execução",$I912="Aguardando peça"),N($X912)&gt;PrazoMax),"ATRASADA",IF(AND(OR($I912="Finalizado",$I912="Entregue"),$W912&gt;0.005),"Cobrar",IF($I912="Orçamento","Aguardando aprovação",""))))</f>
        <v>0</v>
      </c>
      <c r="Z912" s="33">
        <f>IF(AND($I912="Entregue",$M912&lt;&gt;""),DATE(YEAR($M912),MONTH($M912),1),"")</f>
        <v>0</v>
      </c>
      <c r="AA912" s="34">
        <f>IF(AND($C912&lt;&gt;"",$C912=HistPlaca),COUNTIF($C$5:$C912,HistPlaca),"")</f>
        <v>0</v>
      </c>
    </row>
    <row r="913" spans="1:27">
      <c r="A913" s="17"/>
      <c r="B913" s="25"/>
      <c r="C913" s="13"/>
      <c r="D913" s="26">
        <f>IF($C913="","",IFERROR(INDEX(VeicCli,MATCH($C913,VeicPlaca,0)),"Placa não cadastrada"))</f>
        <v>0</v>
      </c>
      <c r="E913" s="26">
        <f>IF($C913="","",IFERROR(INDEX(VeicModelo,MATCH($C913,VeicPlaca,0)),""))</f>
        <v>0</v>
      </c>
      <c r="F913" s="28"/>
      <c r="G913" s="13"/>
      <c r="H913" s="13"/>
      <c r="I913" s="13"/>
      <c r="J913" s="29"/>
      <c r="K913" s="19"/>
      <c r="L913" s="19"/>
      <c r="M913" s="25"/>
      <c r="N913" s="13"/>
      <c r="O913" s="19"/>
      <c r="P913" s="27">
        <f>IF($A913="","",N($J913)*ValorHora)</f>
        <v>0</v>
      </c>
      <c r="Q913" s="27">
        <f>IF($A913="","",SUMIFS(ItTotal,ItOS,$A913))</f>
        <v>0</v>
      </c>
      <c r="R913" s="30">
        <f>IF($A913="","",$P913+$Q913+N($K913)-N($L913))</f>
        <v>0</v>
      </c>
      <c r="S913" s="27">
        <f>IF($A913="","",SUMIFS(ItCusto,ItOS,$A913))</f>
        <v>0</v>
      </c>
      <c r="T913" s="27">
        <f>IF($A913="","",$P913*ComMec)</f>
        <v>0</v>
      </c>
      <c r="U913" s="21">
        <f>IF($A913="","",$R913-$S913-$T913-N($K913))</f>
        <v>0</v>
      </c>
      <c r="V913" s="31">
        <f>IF(OR($A913="",N($R913)&lt;=0),"",$U913/$R913)</f>
        <v>0</v>
      </c>
      <c r="W913" s="27">
        <f>IF($A913="","",IF(OR($I913="Finalizado",$I913="Entregue"),MAX(0,$R913-N($O913)),0))</f>
        <v>0</v>
      </c>
      <c r="X913" s="32">
        <f>IF(OR($A913="",$B913=""),"",IF(OR($I913="Entregue",$I913="Cancelada"),"",Hoje-$B913))</f>
        <v>0</v>
      </c>
      <c r="Y913" s="24">
        <f>IF($A913="","",IF(AND(OR($I913="Aprovado",$I913="Em execução",$I913="Aguardando peça"),N($X913)&gt;PrazoMax),"ATRASADA",IF(AND(OR($I913="Finalizado",$I913="Entregue"),$W913&gt;0.005),"Cobrar",IF($I913="Orçamento","Aguardando aprovação",""))))</f>
        <v>0</v>
      </c>
      <c r="Z913" s="33">
        <f>IF(AND($I913="Entregue",$M913&lt;&gt;""),DATE(YEAR($M913),MONTH($M913),1),"")</f>
        <v>0</v>
      </c>
      <c r="AA913" s="34">
        <f>IF(AND($C913&lt;&gt;"",$C913=HistPlaca),COUNTIF($C$5:$C913,HistPlaca),"")</f>
        <v>0</v>
      </c>
    </row>
    <row r="914" spans="1:27">
      <c r="A914" s="17"/>
      <c r="B914" s="25"/>
      <c r="C914" s="13"/>
      <c r="D914" s="26">
        <f>IF($C914="","",IFERROR(INDEX(VeicCli,MATCH($C914,VeicPlaca,0)),"Placa não cadastrada"))</f>
        <v>0</v>
      </c>
      <c r="E914" s="26">
        <f>IF($C914="","",IFERROR(INDEX(VeicModelo,MATCH($C914,VeicPlaca,0)),""))</f>
        <v>0</v>
      </c>
      <c r="F914" s="28"/>
      <c r="G914" s="13"/>
      <c r="H914" s="13"/>
      <c r="I914" s="13"/>
      <c r="J914" s="29"/>
      <c r="K914" s="19"/>
      <c r="L914" s="19"/>
      <c r="M914" s="25"/>
      <c r="N914" s="13"/>
      <c r="O914" s="19"/>
      <c r="P914" s="27">
        <f>IF($A914="","",N($J914)*ValorHora)</f>
        <v>0</v>
      </c>
      <c r="Q914" s="27">
        <f>IF($A914="","",SUMIFS(ItTotal,ItOS,$A914))</f>
        <v>0</v>
      </c>
      <c r="R914" s="30">
        <f>IF($A914="","",$P914+$Q914+N($K914)-N($L914))</f>
        <v>0</v>
      </c>
      <c r="S914" s="27">
        <f>IF($A914="","",SUMIFS(ItCusto,ItOS,$A914))</f>
        <v>0</v>
      </c>
      <c r="T914" s="27">
        <f>IF($A914="","",$P914*ComMec)</f>
        <v>0</v>
      </c>
      <c r="U914" s="21">
        <f>IF($A914="","",$R914-$S914-$T914-N($K914))</f>
        <v>0</v>
      </c>
      <c r="V914" s="31">
        <f>IF(OR($A914="",N($R914)&lt;=0),"",$U914/$R914)</f>
        <v>0</v>
      </c>
      <c r="W914" s="27">
        <f>IF($A914="","",IF(OR($I914="Finalizado",$I914="Entregue"),MAX(0,$R914-N($O914)),0))</f>
        <v>0</v>
      </c>
      <c r="X914" s="32">
        <f>IF(OR($A914="",$B914=""),"",IF(OR($I914="Entregue",$I914="Cancelada"),"",Hoje-$B914))</f>
        <v>0</v>
      </c>
      <c r="Y914" s="24">
        <f>IF($A914="","",IF(AND(OR($I914="Aprovado",$I914="Em execução",$I914="Aguardando peça"),N($X914)&gt;PrazoMax),"ATRASADA",IF(AND(OR($I914="Finalizado",$I914="Entregue"),$W914&gt;0.005),"Cobrar",IF($I914="Orçamento","Aguardando aprovação",""))))</f>
        <v>0</v>
      </c>
      <c r="Z914" s="33">
        <f>IF(AND($I914="Entregue",$M914&lt;&gt;""),DATE(YEAR($M914),MONTH($M914),1),"")</f>
        <v>0</v>
      </c>
      <c r="AA914" s="34">
        <f>IF(AND($C914&lt;&gt;"",$C914=HistPlaca),COUNTIF($C$5:$C914,HistPlaca),"")</f>
        <v>0</v>
      </c>
    </row>
    <row r="915" spans="1:27">
      <c r="A915" s="17"/>
      <c r="B915" s="25"/>
      <c r="C915" s="13"/>
      <c r="D915" s="26">
        <f>IF($C915="","",IFERROR(INDEX(VeicCli,MATCH($C915,VeicPlaca,0)),"Placa não cadastrada"))</f>
        <v>0</v>
      </c>
      <c r="E915" s="26">
        <f>IF($C915="","",IFERROR(INDEX(VeicModelo,MATCH($C915,VeicPlaca,0)),""))</f>
        <v>0</v>
      </c>
      <c r="F915" s="28"/>
      <c r="G915" s="13"/>
      <c r="H915" s="13"/>
      <c r="I915" s="13"/>
      <c r="J915" s="29"/>
      <c r="K915" s="19"/>
      <c r="L915" s="19"/>
      <c r="M915" s="25"/>
      <c r="N915" s="13"/>
      <c r="O915" s="19"/>
      <c r="P915" s="27">
        <f>IF($A915="","",N($J915)*ValorHora)</f>
        <v>0</v>
      </c>
      <c r="Q915" s="27">
        <f>IF($A915="","",SUMIFS(ItTotal,ItOS,$A915))</f>
        <v>0</v>
      </c>
      <c r="R915" s="30">
        <f>IF($A915="","",$P915+$Q915+N($K915)-N($L915))</f>
        <v>0</v>
      </c>
      <c r="S915" s="27">
        <f>IF($A915="","",SUMIFS(ItCusto,ItOS,$A915))</f>
        <v>0</v>
      </c>
      <c r="T915" s="27">
        <f>IF($A915="","",$P915*ComMec)</f>
        <v>0</v>
      </c>
      <c r="U915" s="21">
        <f>IF($A915="","",$R915-$S915-$T915-N($K915))</f>
        <v>0</v>
      </c>
      <c r="V915" s="31">
        <f>IF(OR($A915="",N($R915)&lt;=0),"",$U915/$R915)</f>
        <v>0</v>
      </c>
      <c r="W915" s="27">
        <f>IF($A915="","",IF(OR($I915="Finalizado",$I915="Entregue"),MAX(0,$R915-N($O915)),0))</f>
        <v>0</v>
      </c>
      <c r="X915" s="32">
        <f>IF(OR($A915="",$B915=""),"",IF(OR($I915="Entregue",$I915="Cancelada"),"",Hoje-$B915))</f>
        <v>0</v>
      </c>
      <c r="Y915" s="24">
        <f>IF($A915="","",IF(AND(OR($I915="Aprovado",$I915="Em execução",$I915="Aguardando peça"),N($X915)&gt;PrazoMax),"ATRASADA",IF(AND(OR($I915="Finalizado",$I915="Entregue"),$W915&gt;0.005),"Cobrar",IF($I915="Orçamento","Aguardando aprovação",""))))</f>
        <v>0</v>
      </c>
      <c r="Z915" s="33">
        <f>IF(AND($I915="Entregue",$M915&lt;&gt;""),DATE(YEAR($M915),MONTH($M915),1),"")</f>
        <v>0</v>
      </c>
      <c r="AA915" s="34">
        <f>IF(AND($C915&lt;&gt;"",$C915=HistPlaca),COUNTIF($C$5:$C915,HistPlaca),"")</f>
        <v>0</v>
      </c>
    </row>
    <row r="916" spans="1:27">
      <c r="A916" s="17"/>
      <c r="B916" s="25"/>
      <c r="C916" s="13"/>
      <c r="D916" s="26">
        <f>IF($C916="","",IFERROR(INDEX(VeicCli,MATCH($C916,VeicPlaca,0)),"Placa não cadastrada"))</f>
        <v>0</v>
      </c>
      <c r="E916" s="26">
        <f>IF($C916="","",IFERROR(INDEX(VeicModelo,MATCH($C916,VeicPlaca,0)),""))</f>
        <v>0</v>
      </c>
      <c r="F916" s="28"/>
      <c r="G916" s="13"/>
      <c r="H916" s="13"/>
      <c r="I916" s="13"/>
      <c r="J916" s="29"/>
      <c r="K916" s="19"/>
      <c r="L916" s="19"/>
      <c r="M916" s="25"/>
      <c r="N916" s="13"/>
      <c r="O916" s="19"/>
      <c r="P916" s="27">
        <f>IF($A916="","",N($J916)*ValorHora)</f>
        <v>0</v>
      </c>
      <c r="Q916" s="27">
        <f>IF($A916="","",SUMIFS(ItTotal,ItOS,$A916))</f>
        <v>0</v>
      </c>
      <c r="R916" s="30">
        <f>IF($A916="","",$P916+$Q916+N($K916)-N($L916))</f>
        <v>0</v>
      </c>
      <c r="S916" s="27">
        <f>IF($A916="","",SUMIFS(ItCusto,ItOS,$A916))</f>
        <v>0</v>
      </c>
      <c r="T916" s="27">
        <f>IF($A916="","",$P916*ComMec)</f>
        <v>0</v>
      </c>
      <c r="U916" s="21">
        <f>IF($A916="","",$R916-$S916-$T916-N($K916))</f>
        <v>0</v>
      </c>
      <c r="V916" s="31">
        <f>IF(OR($A916="",N($R916)&lt;=0),"",$U916/$R916)</f>
        <v>0</v>
      </c>
      <c r="W916" s="27">
        <f>IF($A916="","",IF(OR($I916="Finalizado",$I916="Entregue"),MAX(0,$R916-N($O916)),0))</f>
        <v>0</v>
      </c>
      <c r="X916" s="32">
        <f>IF(OR($A916="",$B916=""),"",IF(OR($I916="Entregue",$I916="Cancelada"),"",Hoje-$B916))</f>
        <v>0</v>
      </c>
      <c r="Y916" s="24">
        <f>IF($A916="","",IF(AND(OR($I916="Aprovado",$I916="Em execução",$I916="Aguardando peça"),N($X916)&gt;PrazoMax),"ATRASADA",IF(AND(OR($I916="Finalizado",$I916="Entregue"),$W916&gt;0.005),"Cobrar",IF($I916="Orçamento","Aguardando aprovação",""))))</f>
        <v>0</v>
      </c>
      <c r="Z916" s="33">
        <f>IF(AND($I916="Entregue",$M916&lt;&gt;""),DATE(YEAR($M916),MONTH($M916),1),"")</f>
        <v>0</v>
      </c>
      <c r="AA916" s="34">
        <f>IF(AND($C916&lt;&gt;"",$C916=HistPlaca),COUNTIF($C$5:$C916,HistPlaca),"")</f>
        <v>0</v>
      </c>
    </row>
    <row r="917" spans="1:27">
      <c r="A917" s="17"/>
      <c r="B917" s="25"/>
      <c r="C917" s="13"/>
      <c r="D917" s="26">
        <f>IF($C917="","",IFERROR(INDEX(VeicCli,MATCH($C917,VeicPlaca,0)),"Placa não cadastrada"))</f>
        <v>0</v>
      </c>
      <c r="E917" s="26">
        <f>IF($C917="","",IFERROR(INDEX(VeicModelo,MATCH($C917,VeicPlaca,0)),""))</f>
        <v>0</v>
      </c>
      <c r="F917" s="28"/>
      <c r="G917" s="13"/>
      <c r="H917" s="13"/>
      <c r="I917" s="13"/>
      <c r="J917" s="29"/>
      <c r="K917" s="19"/>
      <c r="L917" s="19"/>
      <c r="M917" s="25"/>
      <c r="N917" s="13"/>
      <c r="O917" s="19"/>
      <c r="P917" s="27">
        <f>IF($A917="","",N($J917)*ValorHora)</f>
        <v>0</v>
      </c>
      <c r="Q917" s="27">
        <f>IF($A917="","",SUMIFS(ItTotal,ItOS,$A917))</f>
        <v>0</v>
      </c>
      <c r="R917" s="30">
        <f>IF($A917="","",$P917+$Q917+N($K917)-N($L917))</f>
        <v>0</v>
      </c>
      <c r="S917" s="27">
        <f>IF($A917="","",SUMIFS(ItCusto,ItOS,$A917))</f>
        <v>0</v>
      </c>
      <c r="T917" s="27">
        <f>IF($A917="","",$P917*ComMec)</f>
        <v>0</v>
      </c>
      <c r="U917" s="21">
        <f>IF($A917="","",$R917-$S917-$T917-N($K917))</f>
        <v>0</v>
      </c>
      <c r="V917" s="31">
        <f>IF(OR($A917="",N($R917)&lt;=0),"",$U917/$R917)</f>
        <v>0</v>
      </c>
      <c r="W917" s="27">
        <f>IF($A917="","",IF(OR($I917="Finalizado",$I917="Entregue"),MAX(0,$R917-N($O917)),0))</f>
        <v>0</v>
      </c>
      <c r="X917" s="32">
        <f>IF(OR($A917="",$B917=""),"",IF(OR($I917="Entregue",$I917="Cancelada"),"",Hoje-$B917))</f>
        <v>0</v>
      </c>
      <c r="Y917" s="24">
        <f>IF($A917="","",IF(AND(OR($I917="Aprovado",$I917="Em execução",$I917="Aguardando peça"),N($X917)&gt;PrazoMax),"ATRASADA",IF(AND(OR($I917="Finalizado",$I917="Entregue"),$W917&gt;0.005),"Cobrar",IF($I917="Orçamento","Aguardando aprovação",""))))</f>
        <v>0</v>
      </c>
      <c r="Z917" s="33">
        <f>IF(AND($I917="Entregue",$M917&lt;&gt;""),DATE(YEAR($M917),MONTH($M917),1),"")</f>
        <v>0</v>
      </c>
      <c r="AA917" s="34">
        <f>IF(AND($C917&lt;&gt;"",$C917=HistPlaca),COUNTIF($C$5:$C917,HistPlaca),"")</f>
        <v>0</v>
      </c>
    </row>
    <row r="918" spans="1:27">
      <c r="A918" s="17"/>
      <c r="B918" s="25"/>
      <c r="C918" s="13"/>
      <c r="D918" s="26">
        <f>IF($C918="","",IFERROR(INDEX(VeicCli,MATCH($C918,VeicPlaca,0)),"Placa não cadastrada"))</f>
        <v>0</v>
      </c>
      <c r="E918" s="26">
        <f>IF($C918="","",IFERROR(INDEX(VeicModelo,MATCH($C918,VeicPlaca,0)),""))</f>
        <v>0</v>
      </c>
      <c r="F918" s="28"/>
      <c r="G918" s="13"/>
      <c r="H918" s="13"/>
      <c r="I918" s="13"/>
      <c r="J918" s="29"/>
      <c r="K918" s="19"/>
      <c r="L918" s="19"/>
      <c r="M918" s="25"/>
      <c r="N918" s="13"/>
      <c r="O918" s="19"/>
      <c r="P918" s="27">
        <f>IF($A918="","",N($J918)*ValorHora)</f>
        <v>0</v>
      </c>
      <c r="Q918" s="27">
        <f>IF($A918="","",SUMIFS(ItTotal,ItOS,$A918))</f>
        <v>0</v>
      </c>
      <c r="R918" s="30">
        <f>IF($A918="","",$P918+$Q918+N($K918)-N($L918))</f>
        <v>0</v>
      </c>
      <c r="S918" s="27">
        <f>IF($A918="","",SUMIFS(ItCusto,ItOS,$A918))</f>
        <v>0</v>
      </c>
      <c r="T918" s="27">
        <f>IF($A918="","",$P918*ComMec)</f>
        <v>0</v>
      </c>
      <c r="U918" s="21">
        <f>IF($A918="","",$R918-$S918-$T918-N($K918))</f>
        <v>0</v>
      </c>
      <c r="V918" s="31">
        <f>IF(OR($A918="",N($R918)&lt;=0),"",$U918/$R918)</f>
        <v>0</v>
      </c>
      <c r="W918" s="27">
        <f>IF($A918="","",IF(OR($I918="Finalizado",$I918="Entregue"),MAX(0,$R918-N($O918)),0))</f>
        <v>0</v>
      </c>
      <c r="X918" s="32">
        <f>IF(OR($A918="",$B918=""),"",IF(OR($I918="Entregue",$I918="Cancelada"),"",Hoje-$B918))</f>
        <v>0</v>
      </c>
      <c r="Y918" s="24">
        <f>IF($A918="","",IF(AND(OR($I918="Aprovado",$I918="Em execução",$I918="Aguardando peça"),N($X918)&gt;PrazoMax),"ATRASADA",IF(AND(OR($I918="Finalizado",$I918="Entregue"),$W918&gt;0.005),"Cobrar",IF($I918="Orçamento","Aguardando aprovação",""))))</f>
        <v>0</v>
      </c>
      <c r="Z918" s="33">
        <f>IF(AND($I918="Entregue",$M918&lt;&gt;""),DATE(YEAR($M918),MONTH($M918),1),"")</f>
        <v>0</v>
      </c>
      <c r="AA918" s="34">
        <f>IF(AND($C918&lt;&gt;"",$C918=HistPlaca),COUNTIF($C$5:$C918,HistPlaca),"")</f>
        <v>0</v>
      </c>
    </row>
    <row r="919" spans="1:27">
      <c r="A919" s="17"/>
      <c r="B919" s="25"/>
      <c r="C919" s="13"/>
      <c r="D919" s="26">
        <f>IF($C919="","",IFERROR(INDEX(VeicCli,MATCH($C919,VeicPlaca,0)),"Placa não cadastrada"))</f>
        <v>0</v>
      </c>
      <c r="E919" s="26">
        <f>IF($C919="","",IFERROR(INDEX(VeicModelo,MATCH($C919,VeicPlaca,0)),""))</f>
        <v>0</v>
      </c>
      <c r="F919" s="28"/>
      <c r="G919" s="13"/>
      <c r="H919" s="13"/>
      <c r="I919" s="13"/>
      <c r="J919" s="29"/>
      <c r="K919" s="19"/>
      <c r="L919" s="19"/>
      <c r="M919" s="25"/>
      <c r="N919" s="13"/>
      <c r="O919" s="19"/>
      <c r="P919" s="27">
        <f>IF($A919="","",N($J919)*ValorHora)</f>
        <v>0</v>
      </c>
      <c r="Q919" s="27">
        <f>IF($A919="","",SUMIFS(ItTotal,ItOS,$A919))</f>
        <v>0</v>
      </c>
      <c r="R919" s="30">
        <f>IF($A919="","",$P919+$Q919+N($K919)-N($L919))</f>
        <v>0</v>
      </c>
      <c r="S919" s="27">
        <f>IF($A919="","",SUMIFS(ItCusto,ItOS,$A919))</f>
        <v>0</v>
      </c>
      <c r="T919" s="27">
        <f>IF($A919="","",$P919*ComMec)</f>
        <v>0</v>
      </c>
      <c r="U919" s="21">
        <f>IF($A919="","",$R919-$S919-$T919-N($K919))</f>
        <v>0</v>
      </c>
      <c r="V919" s="31">
        <f>IF(OR($A919="",N($R919)&lt;=0),"",$U919/$R919)</f>
        <v>0</v>
      </c>
      <c r="W919" s="27">
        <f>IF($A919="","",IF(OR($I919="Finalizado",$I919="Entregue"),MAX(0,$R919-N($O919)),0))</f>
        <v>0</v>
      </c>
      <c r="X919" s="32">
        <f>IF(OR($A919="",$B919=""),"",IF(OR($I919="Entregue",$I919="Cancelada"),"",Hoje-$B919))</f>
        <v>0</v>
      </c>
      <c r="Y919" s="24">
        <f>IF($A919="","",IF(AND(OR($I919="Aprovado",$I919="Em execução",$I919="Aguardando peça"),N($X919)&gt;PrazoMax),"ATRASADA",IF(AND(OR($I919="Finalizado",$I919="Entregue"),$W919&gt;0.005),"Cobrar",IF($I919="Orçamento","Aguardando aprovação",""))))</f>
        <v>0</v>
      </c>
      <c r="Z919" s="33">
        <f>IF(AND($I919="Entregue",$M919&lt;&gt;""),DATE(YEAR($M919),MONTH($M919),1),"")</f>
        <v>0</v>
      </c>
      <c r="AA919" s="34">
        <f>IF(AND($C919&lt;&gt;"",$C919=HistPlaca),COUNTIF($C$5:$C919,HistPlaca),"")</f>
        <v>0</v>
      </c>
    </row>
    <row r="920" spans="1:27">
      <c r="A920" s="17"/>
      <c r="B920" s="25"/>
      <c r="C920" s="13"/>
      <c r="D920" s="26">
        <f>IF($C920="","",IFERROR(INDEX(VeicCli,MATCH($C920,VeicPlaca,0)),"Placa não cadastrada"))</f>
        <v>0</v>
      </c>
      <c r="E920" s="26">
        <f>IF($C920="","",IFERROR(INDEX(VeicModelo,MATCH($C920,VeicPlaca,0)),""))</f>
        <v>0</v>
      </c>
      <c r="F920" s="28"/>
      <c r="G920" s="13"/>
      <c r="H920" s="13"/>
      <c r="I920" s="13"/>
      <c r="J920" s="29"/>
      <c r="K920" s="19"/>
      <c r="L920" s="19"/>
      <c r="M920" s="25"/>
      <c r="N920" s="13"/>
      <c r="O920" s="19"/>
      <c r="P920" s="27">
        <f>IF($A920="","",N($J920)*ValorHora)</f>
        <v>0</v>
      </c>
      <c r="Q920" s="27">
        <f>IF($A920="","",SUMIFS(ItTotal,ItOS,$A920))</f>
        <v>0</v>
      </c>
      <c r="R920" s="30">
        <f>IF($A920="","",$P920+$Q920+N($K920)-N($L920))</f>
        <v>0</v>
      </c>
      <c r="S920" s="27">
        <f>IF($A920="","",SUMIFS(ItCusto,ItOS,$A920))</f>
        <v>0</v>
      </c>
      <c r="T920" s="27">
        <f>IF($A920="","",$P920*ComMec)</f>
        <v>0</v>
      </c>
      <c r="U920" s="21">
        <f>IF($A920="","",$R920-$S920-$T920-N($K920))</f>
        <v>0</v>
      </c>
      <c r="V920" s="31">
        <f>IF(OR($A920="",N($R920)&lt;=0),"",$U920/$R920)</f>
        <v>0</v>
      </c>
      <c r="W920" s="27">
        <f>IF($A920="","",IF(OR($I920="Finalizado",$I920="Entregue"),MAX(0,$R920-N($O920)),0))</f>
        <v>0</v>
      </c>
      <c r="X920" s="32">
        <f>IF(OR($A920="",$B920=""),"",IF(OR($I920="Entregue",$I920="Cancelada"),"",Hoje-$B920))</f>
        <v>0</v>
      </c>
      <c r="Y920" s="24">
        <f>IF($A920="","",IF(AND(OR($I920="Aprovado",$I920="Em execução",$I920="Aguardando peça"),N($X920)&gt;PrazoMax),"ATRASADA",IF(AND(OR($I920="Finalizado",$I920="Entregue"),$W920&gt;0.005),"Cobrar",IF($I920="Orçamento","Aguardando aprovação",""))))</f>
        <v>0</v>
      </c>
      <c r="Z920" s="33">
        <f>IF(AND($I920="Entregue",$M920&lt;&gt;""),DATE(YEAR($M920),MONTH($M920),1),"")</f>
        <v>0</v>
      </c>
      <c r="AA920" s="34">
        <f>IF(AND($C920&lt;&gt;"",$C920=HistPlaca),COUNTIF($C$5:$C920,HistPlaca),"")</f>
        <v>0</v>
      </c>
    </row>
    <row r="921" spans="1:27">
      <c r="A921" s="17"/>
      <c r="B921" s="25"/>
      <c r="C921" s="13"/>
      <c r="D921" s="26">
        <f>IF($C921="","",IFERROR(INDEX(VeicCli,MATCH($C921,VeicPlaca,0)),"Placa não cadastrada"))</f>
        <v>0</v>
      </c>
      <c r="E921" s="26">
        <f>IF($C921="","",IFERROR(INDEX(VeicModelo,MATCH($C921,VeicPlaca,0)),""))</f>
        <v>0</v>
      </c>
      <c r="F921" s="28"/>
      <c r="G921" s="13"/>
      <c r="H921" s="13"/>
      <c r="I921" s="13"/>
      <c r="J921" s="29"/>
      <c r="K921" s="19"/>
      <c r="L921" s="19"/>
      <c r="M921" s="25"/>
      <c r="N921" s="13"/>
      <c r="O921" s="19"/>
      <c r="P921" s="27">
        <f>IF($A921="","",N($J921)*ValorHora)</f>
        <v>0</v>
      </c>
      <c r="Q921" s="27">
        <f>IF($A921="","",SUMIFS(ItTotal,ItOS,$A921))</f>
        <v>0</v>
      </c>
      <c r="R921" s="30">
        <f>IF($A921="","",$P921+$Q921+N($K921)-N($L921))</f>
        <v>0</v>
      </c>
      <c r="S921" s="27">
        <f>IF($A921="","",SUMIFS(ItCusto,ItOS,$A921))</f>
        <v>0</v>
      </c>
      <c r="T921" s="27">
        <f>IF($A921="","",$P921*ComMec)</f>
        <v>0</v>
      </c>
      <c r="U921" s="21">
        <f>IF($A921="","",$R921-$S921-$T921-N($K921))</f>
        <v>0</v>
      </c>
      <c r="V921" s="31">
        <f>IF(OR($A921="",N($R921)&lt;=0),"",$U921/$R921)</f>
        <v>0</v>
      </c>
      <c r="W921" s="27">
        <f>IF($A921="","",IF(OR($I921="Finalizado",$I921="Entregue"),MAX(0,$R921-N($O921)),0))</f>
        <v>0</v>
      </c>
      <c r="X921" s="32">
        <f>IF(OR($A921="",$B921=""),"",IF(OR($I921="Entregue",$I921="Cancelada"),"",Hoje-$B921))</f>
        <v>0</v>
      </c>
      <c r="Y921" s="24">
        <f>IF($A921="","",IF(AND(OR($I921="Aprovado",$I921="Em execução",$I921="Aguardando peça"),N($X921)&gt;PrazoMax),"ATRASADA",IF(AND(OR($I921="Finalizado",$I921="Entregue"),$W921&gt;0.005),"Cobrar",IF($I921="Orçamento","Aguardando aprovação",""))))</f>
        <v>0</v>
      </c>
      <c r="Z921" s="33">
        <f>IF(AND($I921="Entregue",$M921&lt;&gt;""),DATE(YEAR($M921),MONTH($M921),1),"")</f>
        <v>0</v>
      </c>
      <c r="AA921" s="34">
        <f>IF(AND($C921&lt;&gt;"",$C921=HistPlaca),COUNTIF($C$5:$C921,HistPlaca),"")</f>
        <v>0</v>
      </c>
    </row>
    <row r="922" spans="1:27">
      <c r="A922" s="17"/>
      <c r="B922" s="25"/>
      <c r="C922" s="13"/>
      <c r="D922" s="26">
        <f>IF($C922="","",IFERROR(INDEX(VeicCli,MATCH($C922,VeicPlaca,0)),"Placa não cadastrada"))</f>
        <v>0</v>
      </c>
      <c r="E922" s="26">
        <f>IF($C922="","",IFERROR(INDEX(VeicModelo,MATCH($C922,VeicPlaca,0)),""))</f>
        <v>0</v>
      </c>
      <c r="F922" s="28"/>
      <c r="G922" s="13"/>
      <c r="H922" s="13"/>
      <c r="I922" s="13"/>
      <c r="J922" s="29"/>
      <c r="K922" s="19"/>
      <c r="L922" s="19"/>
      <c r="M922" s="25"/>
      <c r="N922" s="13"/>
      <c r="O922" s="19"/>
      <c r="P922" s="27">
        <f>IF($A922="","",N($J922)*ValorHora)</f>
        <v>0</v>
      </c>
      <c r="Q922" s="27">
        <f>IF($A922="","",SUMIFS(ItTotal,ItOS,$A922))</f>
        <v>0</v>
      </c>
      <c r="R922" s="30">
        <f>IF($A922="","",$P922+$Q922+N($K922)-N($L922))</f>
        <v>0</v>
      </c>
      <c r="S922" s="27">
        <f>IF($A922="","",SUMIFS(ItCusto,ItOS,$A922))</f>
        <v>0</v>
      </c>
      <c r="T922" s="27">
        <f>IF($A922="","",$P922*ComMec)</f>
        <v>0</v>
      </c>
      <c r="U922" s="21">
        <f>IF($A922="","",$R922-$S922-$T922-N($K922))</f>
        <v>0</v>
      </c>
      <c r="V922" s="31">
        <f>IF(OR($A922="",N($R922)&lt;=0),"",$U922/$R922)</f>
        <v>0</v>
      </c>
      <c r="W922" s="27">
        <f>IF($A922="","",IF(OR($I922="Finalizado",$I922="Entregue"),MAX(0,$R922-N($O922)),0))</f>
        <v>0</v>
      </c>
      <c r="X922" s="32">
        <f>IF(OR($A922="",$B922=""),"",IF(OR($I922="Entregue",$I922="Cancelada"),"",Hoje-$B922))</f>
        <v>0</v>
      </c>
      <c r="Y922" s="24">
        <f>IF($A922="","",IF(AND(OR($I922="Aprovado",$I922="Em execução",$I922="Aguardando peça"),N($X922)&gt;PrazoMax),"ATRASADA",IF(AND(OR($I922="Finalizado",$I922="Entregue"),$W922&gt;0.005),"Cobrar",IF($I922="Orçamento","Aguardando aprovação",""))))</f>
        <v>0</v>
      </c>
      <c r="Z922" s="33">
        <f>IF(AND($I922="Entregue",$M922&lt;&gt;""),DATE(YEAR($M922),MONTH($M922),1),"")</f>
        <v>0</v>
      </c>
      <c r="AA922" s="34">
        <f>IF(AND($C922&lt;&gt;"",$C922=HistPlaca),COUNTIF($C$5:$C922,HistPlaca),"")</f>
        <v>0</v>
      </c>
    </row>
    <row r="923" spans="1:27">
      <c r="A923" s="17"/>
      <c r="B923" s="25"/>
      <c r="C923" s="13"/>
      <c r="D923" s="26">
        <f>IF($C923="","",IFERROR(INDEX(VeicCli,MATCH($C923,VeicPlaca,0)),"Placa não cadastrada"))</f>
        <v>0</v>
      </c>
      <c r="E923" s="26">
        <f>IF($C923="","",IFERROR(INDEX(VeicModelo,MATCH($C923,VeicPlaca,0)),""))</f>
        <v>0</v>
      </c>
      <c r="F923" s="28"/>
      <c r="G923" s="13"/>
      <c r="H923" s="13"/>
      <c r="I923" s="13"/>
      <c r="J923" s="29"/>
      <c r="K923" s="19"/>
      <c r="L923" s="19"/>
      <c r="M923" s="25"/>
      <c r="N923" s="13"/>
      <c r="O923" s="19"/>
      <c r="P923" s="27">
        <f>IF($A923="","",N($J923)*ValorHora)</f>
        <v>0</v>
      </c>
      <c r="Q923" s="27">
        <f>IF($A923="","",SUMIFS(ItTotal,ItOS,$A923))</f>
        <v>0</v>
      </c>
      <c r="R923" s="30">
        <f>IF($A923="","",$P923+$Q923+N($K923)-N($L923))</f>
        <v>0</v>
      </c>
      <c r="S923" s="27">
        <f>IF($A923="","",SUMIFS(ItCusto,ItOS,$A923))</f>
        <v>0</v>
      </c>
      <c r="T923" s="27">
        <f>IF($A923="","",$P923*ComMec)</f>
        <v>0</v>
      </c>
      <c r="U923" s="21">
        <f>IF($A923="","",$R923-$S923-$T923-N($K923))</f>
        <v>0</v>
      </c>
      <c r="V923" s="31">
        <f>IF(OR($A923="",N($R923)&lt;=0),"",$U923/$R923)</f>
        <v>0</v>
      </c>
      <c r="W923" s="27">
        <f>IF($A923="","",IF(OR($I923="Finalizado",$I923="Entregue"),MAX(0,$R923-N($O923)),0))</f>
        <v>0</v>
      </c>
      <c r="X923" s="32">
        <f>IF(OR($A923="",$B923=""),"",IF(OR($I923="Entregue",$I923="Cancelada"),"",Hoje-$B923))</f>
        <v>0</v>
      </c>
      <c r="Y923" s="24">
        <f>IF($A923="","",IF(AND(OR($I923="Aprovado",$I923="Em execução",$I923="Aguardando peça"),N($X923)&gt;PrazoMax),"ATRASADA",IF(AND(OR($I923="Finalizado",$I923="Entregue"),$W923&gt;0.005),"Cobrar",IF($I923="Orçamento","Aguardando aprovação",""))))</f>
        <v>0</v>
      </c>
      <c r="Z923" s="33">
        <f>IF(AND($I923="Entregue",$M923&lt;&gt;""),DATE(YEAR($M923),MONTH($M923),1),"")</f>
        <v>0</v>
      </c>
      <c r="AA923" s="34">
        <f>IF(AND($C923&lt;&gt;"",$C923=HistPlaca),COUNTIF($C$5:$C923,HistPlaca),"")</f>
        <v>0</v>
      </c>
    </row>
    <row r="924" spans="1:27">
      <c r="A924" s="17"/>
      <c r="B924" s="25"/>
      <c r="C924" s="13"/>
      <c r="D924" s="26">
        <f>IF($C924="","",IFERROR(INDEX(VeicCli,MATCH($C924,VeicPlaca,0)),"Placa não cadastrada"))</f>
        <v>0</v>
      </c>
      <c r="E924" s="26">
        <f>IF($C924="","",IFERROR(INDEX(VeicModelo,MATCH($C924,VeicPlaca,0)),""))</f>
        <v>0</v>
      </c>
      <c r="F924" s="28"/>
      <c r="G924" s="13"/>
      <c r="H924" s="13"/>
      <c r="I924" s="13"/>
      <c r="J924" s="29"/>
      <c r="K924" s="19"/>
      <c r="L924" s="19"/>
      <c r="M924" s="25"/>
      <c r="N924" s="13"/>
      <c r="O924" s="19"/>
      <c r="P924" s="27">
        <f>IF($A924="","",N($J924)*ValorHora)</f>
        <v>0</v>
      </c>
      <c r="Q924" s="27">
        <f>IF($A924="","",SUMIFS(ItTotal,ItOS,$A924))</f>
        <v>0</v>
      </c>
      <c r="R924" s="30">
        <f>IF($A924="","",$P924+$Q924+N($K924)-N($L924))</f>
        <v>0</v>
      </c>
      <c r="S924" s="27">
        <f>IF($A924="","",SUMIFS(ItCusto,ItOS,$A924))</f>
        <v>0</v>
      </c>
      <c r="T924" s="27">
        <f>IF($A924="","",$P924*ComMec)</f>
        <v>0</v>
      </c>
      <c r="U924" s="21">
        <f>IF($A924="","",$R924-$S924-$T924-N($K924))</f>
        <v>0</v>
      </c>
      <c r="V924" s="31">
        <f>IF(OR($A924="",N($R924)&lt;=0),"",$U924/$R924)</f>
        <v>0</v>
      </c>
      <c r="W924" s="27">
        <f>IF($A924="","",IF(OR($I924="Finalizado",$I924="Entregue"),MAX(0,$R924-N($O924)),0))</f>
        <v>0</v>
      </c>
      <c r="X924" s="32">
        <f>IF(OR($A924="",$B924=""),"",IF(OR($I924="Entregue",$I924="Cancelada"),"",Hoje-$B924))</f>
        <v>0</v>
      </c>
      <c r="Y924" s="24">
        <f>IF($A924="","",IF(AND(OR($I924="Aprovado",$I924="Em execução",$I924="Aguardando peça"),N($X924)&gt;PrazoMax),"ATRASADA",IF(AND(OR($I924="Finalizado",$I924="Entregue"),$W924&gt;0.005),"Cobrar",IF($I924="Orçamento","Aguardando aprovação",""))))</f>
        <v>0</v>
      </c>
      <c r="Z924" s="33">
        <f>IF(AND($I924="Entregue",$M924&lt;&gt;""),DATE(YEAR($M924),MONTH($M924),1),"")</f>
        <v>0</v>
      </c>
      <c r="AA924" s="34">
        <f>IF(AND($C924&lt;&gt;"",$C924=HistPlaca),COUNTIF($C$5:$C924,HistPlaca),"")</f>
        <v>0</v>
      </c>
    </row>
    <row r="925" spans="1:27">
      <c r="A925" s="17"/>
      <c r="B925" s="25"/>
      <c r="C925" s="13"/>
      <c r="D925" s="26">
        <f>IF($C925="","",IFERROR(INDEX(VeicCli,MATCH($C925,VeicPlaca,0)),"Placa não cadastrada"))</f>
        <v>0</v>
      </c>
      <c r="E925" s="26">
        <f>IF($C925="","",IFERROR(INDEX(VeicModelo,MATCH($C925,VeicPlaca,0)),""))</f>
        <v>0</v>
      </c>
      <c r="F925" s="28"/>
      <c r="G925" s="13"/>
      <c r="H925" s="13"/>
      <c r="I925" s="13"/>
      <c r="J925" s="29"/>
      <c r="K925" s="19"/>
      <c r="L925" s="19"/>
      <c r="M925" s="25"/>
      <c r="N925" s="13"/>
      <c r="O925" s="19"/>
      <c r="P925" s="27">
        <f>IF($A925="","",N($J925)*ValorHora)</f>
        <v>0</v>
      </c>
      <c r="Q925" s="27">
        <f>IF($A925="","",SUMIFS(ItTotal,ItOS,$A925))</f>
        <v>0</v>
      </c>
      <c r="R925" s="30">
        <f>IF($A925="","",$P925+$Q925+N($K925)-N($L925))</f>
        <v>0</v>
      </c>
      <c r="S925" s="27">
        <f>IF($A925="","",SUMIFS(ItCusto,ItOS,$A925))</f>
        <v>0</v>
      </c>
      <c r="T925" s="27">
        <f>IF($A925="","",$P925*ComMec)</f>
        <v>0</v>
      </c>
      <c r="U925" s="21">
        <f>IF($A925="","",$R925-$S925-$T925-N($K925))</f>
        <v>0</v>
      </c>
      <c r="V925" s="31">
        <f>IF(OR($A925="",N($R925)&lt;=0),"",$U925/$R925)</f>
        <v>0</v>
      </c>
      <c r="W925" s="27">
        <f>IF($A925="","",IF(OR($I925="Finalizado",$I925="Entregue"),MAX(0,$R925-N($O925)),0))</f>
        <v>0</v>
      </c>
      <c r="X925" s="32">
        <f>IF(OR($A925="",$B925=""),"",IF(OR($I925="Entregue",$I925="Cancelada"),"",Hoje-$B925))</f>
        <v>0</v>
      </c>
      <c r="Y925" s="24">
        <f>IF($A925="","",IF(AND(OR($I925="Aprovado",$I925="Em execução",$I925="Aguardando peça"),N($X925)&gt;PrazoMax),"ATRASADA",IF(AND(OR($I925="Finalizado",$I925="Entregue"),$W925&gt;0.005),"Cobrar",IF($I925="Orçamento","Aguardando aprovação",""))))</f>
        <v>0</v>
      </c>
      <c r="Z925" s="33">
        <f>IF(AND($I925="Entregue",$M925&lt;&gt;""),DATE(YEAR($M925),MONTH($M925),1),"")</f>
        <v>0</v>
      </c>
      <c r="AA925" s="34">
        <f>IF(AND($C925&lt;&gt;"",$C925=HistPlaca),COUNTIF($C$5:$C925,HistPlaca),"")</f>
        <v>0</v>
      </c>
    </row>
    <row r="926" spans="1:27">
      <c r="A926" s="17"/>
      <c r="B926" s="25"/>
      <c r="C926" s="13"/>
      <c r="D926" s="26">
        <f>IF($C926="","",IFERROR(INDEX(VeicCli,MATCH($C926,VeicPlaca,0)),"Placa não cadastrada"))</f>
        <v>0</v>
      </c>
      <c r="E926" s="26">
        <f>IF($C926="","",IFERROR(INDEX(VeicModelo,MATCH($C926,VeicPlaca,0)),""))</f>
        <v>0</v>
      </c>
      <c r="F926" s="28"/>
      <c r="G926" s="13"/>
      <c r="H926" s="13"/>
      <c r="I926" s="13"/>
      <c r="J926" s="29"/>
      <c r="K926" s="19"/>
      <c r="L926" s="19"/>
      <c r="M926" s="25"/>
      <c r="N926" s="13"/>
      <c r="O926" s="19"/>
      <c r="P926" s="27">
        <f>IF($A926="","",N($J926)*ValorHora)</f>
        <v>0</v>
      </c>
      <c r="Q926" s="27">
        <f>IF($A926="","",SUMIFS(ItTotal,ItOS,$A926))</f>
        <v>0</v>
      </c>
      <c r="R926" s="30">
        <f>IF($A926="","",$P926+$Q926+N($K926)-N($L926))</f>
        <v>0</v>
      </c>
      <c r="S926" s="27">
        <f>IF($A926="","",SUMIFS(ItCusto,ItOS,$A926))</f>
        <v>0</v>
      </c>
      <c r="T926" s="27">
        <f>IF($A926="","",$P926*ComMec)</f>
        <v>0</v>
      </c>
      <c r="U926" s="21">
        <f>IF($A926="","",$R926-$S926-$T926-N($K926))</f>
        <v>0</v>
      </c>
      <c r="V926" s="31">
        <f>IF(OR($A926="",N($R926)&lt;=0),"",$U926/$R926)</f>
        <v>0</v>
      </c>
      <c r="W926" s="27">
        <f>IF($A926="","",IF(OR($I926="Finalizado",$I926="Entregue"),MAX(0,$R926-N($O926)),0))</f>
        <v>0</v>
      </c>
      <c r="X926" s="32">
        <f>IF(OR($A926="",$B926=""),"",IF(OR($I926="Entregue",$I926="Cancelada"),"",Hoje-$B926))</f>
        <v>0</v>
      </c>
      <c r="Y926" s="24">
        <f>IF($A926="","",IF(AND(OR($I926="Aprovado",$I926="Em execução",$I926="Aguardando peça"),N($X926)&gt;PrazoMax),"ATRASADA",IF(AND(OR($I926="Finalizado",$I926="Entregue"),$W926&gt;0.005),"Cobrar",IF($I926="Orçamento","Aguardando aprovação",""))))</f>
        <v>0</v>
      </c>
      <c r="Z926" s="33">
        <f>IF(AND($I926="Entregue",$M926&lt;&gt;""),DATE(YEAR($M926),MONTH($M926),1),"")</f>
        <v>0</v>
      </c>
      <c r="AA926" s="34">
        <f>IF(AND($C926&lt;&gt;"",$C926=HistPlaca),COUNTIF($C$5:$C926,HistPlaca),"")</f>
        <v>0</v>
      </c>
    </row>
    <row r="927" spans="1:27">
      <c r="A927" s="17"/>
      <c r="B927" s="25"/>
      <c r="C927" s="13"/>
      <c r="D927" s="26">
        <f>IF($C927="","",IFERROR(INDEX(VeicCli,MATCH($C927,VeicPlaca,0)),"Placa não cadastrada"))</f>
        <v>0</v>
      </c>
      <c r="E927" s="26">
        <f>IF($C927="","",IFERROR(INDEX(VeicModelo,MATCH($C927,VeicPlaca,0)),""))</f>
        <v>0</v>
      </c>
      <c r="F927" s="28"/>
      <c r="G927" s="13"/>
      <c r="H927" s="13"/>
      <c r="I927" s="13"/>
      <c r="J927" s="29"/>
      <c r="K927" s="19"/>
      <c r="L927" s="19"/>
      <c r="M927" s="25"/>
      <c r="N927" s="13"/>
      <c r="O927" s="19"/>
      <c r="P927" s="27">
        <f>IF($A927="","",N($J927)*ValorHora)</f>
        <v>0</v>
      </c>
      <c r="Q927" s="27">
        <f>IF($A927="","",SUMIFS(ItTotal,ItOS,$A927))</f>
        <v>0</v>
      </c>
      <c r="R927" s="30">
        <f>IF($A927="","",$P927+$Q927+N($K927)-N($L927))</f>
        <v>0</v>
      </c>
      <c r="S927" s="27">
        <f>IF($A927="","",SUMIFS(ItCusto,ItOS,$A927))</f>
        <v>0</v>
      </c>
      <c r="T927" s="27">
        <f>IF($A927="","",$P927*ComMec)</f>
        <v>0</v>
      </c>
      <c r="U927" s="21">
        <f>IF($A927="","",$R927-$S927-$T927-N($K927))</f>
        <v>0</v>
      </c>
      <c r="V927" s="31">
        <f>IF(OR($A927="",N($R927)&lt;=0),"",$U927/$R927)</f>
        <v>0</v>
      </c>
      <c r="W927" s="27">
        <f>IF($A927="","",IF(OR($I927="Finalizado",$I927="Entregue"),MAX(0,$R927-N($O927)),0))</f>
        <v>0</v>
      </c>
      <c r="X927" s="32">
        <f>IF(OR($A927="",$B927=""),"",IF(OR($I927="Entregue",$I927="Cancelada"),"",Hoje-$B927))</f>
        <v>0</v>
      </c>
      <c r="Y927" s="24">
        <f>IF($A927="","",IF(AND(OR($I927="Aprovado",$I927="Em execução",$I927="Aguardando peça"),N($X927)&gt;PrazoMax),"ATRASADA",IF(AND(OR($I927="Finalizado",$I927="Entregue"),$W927&gt;0.005),"Cobrar",IF($I927="Orçamento","Aguardando aprovação",""))))</f>
        <v>0</v>
      </c>
      <c r="Z927" s="33">
        <f>IF(AND($I927="Entregue",$M927&lt;&gt;""),DATE(YEAR($M927),MONTH($M927),1),"")</f>
        <v>0</v>
      </c>
      <c r="AA927" s="34">
        <f>IF(AND($C927&lt;&gt;"",$C927=HistPlaca),COUNTIF($C$5:$C927,HistPlaca),"")</f>
        <v>0</v>
      </c>
    </row>
    <row r="928" spans="1:27">
      <c r="A928" s="17"/>
      <c r="B928" s="25"/>
      <c r="C928" s="13"/>
      <c r="D928" s="26">
        <f>IF($C928="","",IFERROR(INDEX(VeicCli,MATCH($C928,VeicPlaca,0)),"Placa não cadastrada"))</f>
        <v>0</v>
      </c>
      <c r="E928" s="26">
        <f>IF($C928="","",IFERROR(INDEX(VeicModelo,MATCH($C928,VeicPlaca,0)),""))</f>
        <v>0</v>
      </c>
      <c r="F928" s="28"/>
      <c r="G928" s="13"/>
      <c r="H928" s="13"/>
      <c r="I928" s="13"/>
      <c r="J928" s="29"/>
      <c r="K928" s="19"/>
      <c r="L928" s="19"/>
      <c r="M928" s="25"/>
      <c r="N928" s="13"/>
      <c r="O928" s="19"/>
      <c r="P928" s="27">
        <f>IF($A928="","",N($J928)*ValorHora)</f>
        <v>0</v>
      </c>
      <c r="Q928" s="27">
        <f>IF($A928="","",SUMIFS(ItTotal,ItOS,$A928))</f>
        <v>0</v>
      </c>
      <c r="R928" s="30">
        <f>IF($A928="","",$P928+$Q928+N($K928)-N($L928))</f>
        <v>0</v>
      </c>
      <c r="S928" s="27">
        <f>IF($A928="","",SUMIFS(ItCusto,ItOS,$A928))</f>
        <v>0</v>
      </c>
      <c r="T928" s="27">
        <f>IF($A928="","",$P928*ComMec)</f>
        <v>0</v>
      </c>
      <c r="U928" s="21">
        <f>IF($A928="","",$R928-$S928-$T928-N($K928))</f>
        <v>0</v>
      </c>
      <c r="V928" s="31">
        <f>IF(OR($A928="",N($R928)&lt;=0),"",$U928/$R928)</f>
        <v>0</v>
      </c>
      <c r="W928" s="27">
        <f>IF($A928="","",IF(OR($I928="Finalizado",$I928="Entregue"),MAX(0,$R928-N($O928)),0))</f>
        <v>0</v>
      </c>
      <c r="X928" s="32">
        <f>IF(OR($A928="",$B928=""),"",IF(OR($I928="Entregue",$I928="Cancelada"),"",Hoje-$B928))</f>
        <v>0</v>
      </c>
      <c r="Y928" s="24">
        <f>IF($A928="","",IF(AND(OR($I928="Aprovado",$I928="Em execução",$I928="Aguardando peça"),N($X928)&gt;PrazoMax),"ATRASADA",IF(AND(OR($I928="Finalizado",$I928="Entregue"),$W928&gt;0.005),"Cobrar",IF($I928="Orçamento","Aguardando aprovação",""))))</f>
        <v>0</v>
      </c>
      <c r="Z928" s="33">
        <f>IF(AND($I928="Entregue",$M928&lt;&gt;""),DATE(YEAR($M928),MONTH($M928),1),"")</f>
        <v>0</v>
      </c>
      <c r="AA928" s="34">
        <f>IF(AND($C928&lt;&gt;"",$C928=HistPlaca),COUNTIF($C$5:$C928,HistPlaca),"")</f>
        <v>0</v>
      </c>
    </row>
    <row r="929" spans="1:27">
      <c r="A929" s="17"/>
      <c r="B929" s="25"/>
      <c r="C929" s="13"/>
      <c r="D929" s="26">
        <f>IF($C929="","",IFERROR(INDEX(VeicCli,MATCH($C929,VeicPlaca,0)),"Placa não cadastrada"))</f>
        <v>0</v>
      </c>
      <c r="E929" s="26">
        <f>IF($C929="","",IFERROR(INDEX(VeicModelo,MATCH($C929,VeicPlaca,0)),""))</f>
        <v>0</v>
      </c>
      <c r="F929" s="28"/>
      <c r="G929" s="13"/>
      <c r="H929" s="13"/>
      <c r="I929" s="13"/>
      <c r="J929" s="29"/>
      <c r="K929" s="19"/>
      <c r="L929" s="19"/>
      <c r="M929" s="25"/>
      <c r="N929" s="13"/>
      <c r="O929" s="19"/>
      <c r="P929" s="27">
        <f>IF($A929="","",N($J929)*ValorHora)</f>
        <v>0</v>
      </c>
      <c r="Q929" s="27">
        <f>IF($A929="","",SUMIFS(ItTotal,ItOS,$A929))</f>
        <v>0</v>
      </c>
      <c r="R929" s="30">
        <f>IF($A929="","",$P929+$Q929+N($K929)-N($L929))</f>
        <v>0</v>
      </c>
      <c r="S929" s="27">
        <f>IF($A929="","",SUMIFS(ItCusto,ItOS,$A929))</f>
        <v>0</v>
      </c>
      <c r="T929" s="27">
        <f>IF($A929="","",$P929*ComMec)</f>
        <v>0</v>
      </c>
      <c r="U929" s="21">
        <f>IF($A929="","",$R929-$S929-$T929-N($K929))</f>
        <v>0</v>
      </c>
      <c r="V929" s="31">
        <f>IF(OR($A929="",N($R929)&lt;=0),"",$U929/$R929)</f>
        <v>0</v>
      </c>
      <c r="W929" s="27">
        <f>IF($A929="","",IF(OR($I929="Finalizado",$I929="Entregue"),MAX(0,$R929-N($O929)),0))</f>
        <v>0</v>
      </c>
      <c r="X929" s="32">
        <f>IF(OR($A929="",$B929=""),"",IF(OR($I929="Entregue",$I929="Cancelada"),"",Hoje-$B929))</f>
        <v>0</v>
      </c>
      <c r="Y929" s="24">
        <f>IF($A929="","",IF(AND(OR($I929="Aprovado",$I929="Em execução",$I929="Aguardando peça"),N($X929)&gt;PrazoMax),"ATRASADA",IF(AND(OR($I929="Finalizado",$I929="Entregue"),$W929&gt;0.005),"Cobrar",IF($I929="Orçamento","Aguardando aprovação",""))))</f>
        <v>0</v>
      </c>
      <c r="Z929" s="33">
        <f>IF(AND($I929="Entregue",$M929&lt;&gt;""),DATE(YEAR($M929),MONTH($M929),1),"")</f>
        <v>0</v>
      </c>
      <c r="AA929" s="34">
        <f>IF(AND($C929&lt;&gt;"",$C929=HistPlaca),COUNTIF($C$5:$C929,HistPlaca),"")</f>
        <v>0</v>
      </c>
    </row>
    <row r="930" spans="1:27">
      <c r="A930" s="17"/>
      <c r="B930" s="25"/>
      <c r="C930" s="13"/>
      <c r="D930" s="26">
        <f>IF($C930="","",IFERROR(INDEX(VeicCli,MATCH($C930,VeicPlaca,0)),"Placa não cadastrada"))</f>
        <v>0</v>
      </c>
      <c r="E930" s="26">
        <f>IF($C930="","",IFERROR(INDEX(VeicModelo,MATCH($C930,VeicPlaca,0)),""))</f>
        <v>0</v>
      </c>
      <c r="F930" s="28"/>
      <c r="G930" s="13"/>
      <c r="H930" s="13"/>
      <c r="I930" s="13"/>
      <c r="J930" s="29"/>
      <c r="K930" s="19"/>
      <c r="L930" s="19"/>
      <c r="M930" s="25"/>
      <c r="N930" s="13"/>
      <c r="O930" s="19"/>
      <c r="P930" s="27">
        <f>IF($A930="","",N($J930)*ValorHora)</f>
        <v>0</v>
      </c>
      <c r="Q930" s="27">
        <f>IF($A930="","",SUMIFS(ItTotal,ItOS,$A930))</f>
        <v>0</v>
      </c>
      <c r="R930" s="30">
        <f>IF($A930="","",$P930+$Q930+N($K930)-N($L930))</f>
        <v>0</v>
      </c>
      <c r="S930" s="27">
        <f>IF($A930="","",SUMIFS(ItCusto,ItOS,$A930))</f>
        <v>0</v>
      </c>
      <c r="T930" s="27">
        <f>IF($A930="","",$P930*ComMec)</f>
        <v>0</v>
      </c>
      <c r="U930" s="21">
        <f>IF($A930="","",$R930-$S930-$T930-N($K930))</f>
        <v>0</v>
      </c>
      <c r="V930" s="31">
        <f>IF(OR($A930="",N($R930)&lt;=0),"",$U930/$R930)</f>
        <v>0</v>
      </c>
      <c r="W930" s="27">
        <f>IF($A930="","",IF(OR($I930="Finalizado",$I930="Entregue"),MAX(0,$R930-N($O930)),0))</f>
        <v>0</v>
      </c>
      <c r="X930" s="32">
        <f>IF(OR($A930="",$B930=""),"",IF(OR($I930="Entregue",$I930="Cancelada"),"",Hoje-$B930))</f>
        <v>0</v>
      </c>
      <c r="Y930" s="24">
        <f>IF($A930="","",IF(AND(OR($I930="Aprovado",$I930="Em execução",$I930="Aguardando peça"),N($X930)&gt;PrazoMax),"ATRASADA",IF(AND(OR($I930="Finalizado",$I930="Entregue"),$W930&gt;0.005),"Cobrar",IF($I930="Orçamento","Aguardando aprovação",""))))</f>
        <v>0</v>
      </c>
      <c r="Z930" s="33">
        <f>IF(AND($I930="Entregue",$M930&lt;&gt;""),DATE(YEAR($M930),MONTH($M930),1),"")</f>
        <v>0</v>
      </c>
      <c r="AA930" s="34">
        <f>IF(AND($C930&lt;&gt;"",$C930=HistPlaca),COUNTIF($C$5:$C930,HistPlaca),"")</f>
        <v>0</v>
      </c>
    </row>
    <row r="931" spans="1:27">
      <c r="A931" s="17"/>
      <c r="B931" s="25"/>
      <c r="C931" s="13"/>
      <c r="D931" s="26">
        <f>IF($C931="","",IFERROR(INDEX(VeicCli,MATCH($C931,VeicPlaca,0)),"Placa não cadastrada"))</f>
        <v>0</v>
      </c>
      <c r="E931" s="26">
        <f>IF($C931="","",IFERROR(INDEX(VeicModelo,MATCH($C931,VeicPlaca,0)),""))</f>
        <v>0</v>
      </c>
      <c r="F931" s="28"/>
      <c r="G931" s="13"/>
      <c r="H931" s="13"/>
      <c r="I931" s="13"/>
      <c r="J931" s="29"/>
      <c r="K931" s="19"/>
      <c r="L931" s="19"/>
      <c r="M931" s="25"/>
      <c r="N931" s="13"/>
      <c r="O931" s="19"/>
      <c r="P931" s="27">
        <f>IF($A931="","",N($J931)*ValorHora)</f>
        <v>0</v>
      </c>
      <c r="Q931" s="27">
        <f>IF($A931="","",SUMIFS(ItTotal,ItOS,$A931))</f>
        <v>0</v>
      </c>
      <c r="R931" s="30">
        <f>IF($A931="","",$P931+$Q931+N($K931)-N($L931))</f>
        <v>0</v>
      </c>
      <c r="S931" s="27">
        <f>IF($A931="","",SUMIFS(ItCusto,ItOS,$A931))</f>
        <v>0</v>
      </c>
      <c r="T931" s="27">
        <f>IF($A931="","",$P931*ComMec)</f>
        <v>0</v>
      </c>
      <c r="U931" s="21">
        <f>IF($A931="","",$R931-$S931-$T931-N($K931))</f>
        <v>0</v>
      </c>
      <c r="V931" s="31">
        <f>IF(OR($A931="",N($R931)&lt;=0),"",$U931/$R931)</f>
        <v>0</v>
      </c>
      <c r="W931" s="27">
        <f>IF($A931="","",IF(OR($I931="Finalizado",$I931="Entregue"),MAX(0,$R931-N($O931)),0))</f>
        <v>0</v>
      </c>
      <c r="X931" s="32">
        <f>IF(OR($A931="",$B931=""),"",IF(OR($I931="Entregue",$I931="Cancelada"),"",Hoje-$B931))</f>
        <v>0</v>
      </c>
      <c r="Y931" s="24">
        <f>IF($A931="","",IF(AND(OR($I931="Aprovado",$I931="Em execução",$I931="Aguardando peça"),N($X931)&gt;PrazoMax),"ATRASADA",IF(AND(OR($I931="Finalizado",$I931="Entregue"),$W931&gt;0.005),"Cobrar",IF($I931="Orçamento","Aguardando aprovação",""))))</f>
        <v>0</v>
      </c>
      <c r="Z931" s="33">
        <f>IF(AND($I931="Entregue",$M931&lt;&gt;""),DATE(YEAR($M931),MONTH($M931),1),"")</f>
        <v>0</v>
      </c>
      <c r="AA931" s="34">
        <f>IF(AND($C931&lt;&gt;"",$C931=HistPlaca),COUNTIF($C$5:$C931,HistPlaca),"")</f>
        <v>0</v>
      </c>
    </row>
    <row r="932" spans="1:27">
      <c r="A932" s="17"/>
      <c r="B932" s="25"/>
      <c r="C932" s="13"/>
      <c r="D932" s="26">
        <f>IF($C932="","",IFERROR(INDEX(VeicCli,MATCH($C932,VeicPlaca,0)),"Placa não cadastrada"))</f>
        <v>0</v>
      </c>
      <c r="E932" s="26">
        <f>IF($C932="","",IFERROR(INDEX(VeicModelo,MATCH($C932,VeicPlaca,0)),""))</f>
        <v>0</v>
      </c>
      <c r="F932" s="28"/>
      <c r="G932" s="13"/>
      <c r="H932" s="13"/>
      <c r="I932" s="13"/>
      <c r="J932" s="29"/>
      <c r="K932" s="19"/>
      <c r="L932" s="19"/>
      <c r="M932" s="25"/>
      <c r="N932" s="13"/>
      <c r="O932" s="19"/>
      <c r="P932" s="27">
        <f>IF($A932="","",N($J932)*ValorHora)</f>
        <v>0</v>
      </c>
      <c r="Q932" s="27">
        <f>IF($A932="","",SUMIFS(ItTotal,ItOS,$A932))</f>
        <v>0</v>
      </c>
      <c r="R932" s="30">
        <f>IF($A932="","",$P932+$Q932+N($K932)-N($L932))</f>
        <v>0</v>
      </c>
      <c r="S932" s="27">
        <f>IF($A932="","",SUMIFS(ItCusto,ItOS,$A932))</f>
        <v>0</v>
      </c>
      <c r="T932" s="27">
        <f>IF($A932="","",$P932*ComMec)</f>
        <v>0</v>
      </c>
      <c r="U932" s="21">
        <f>IF($A932="","",$R932-$S932-$T932-N($K932))</f>
        <v>0</v>
      </c>
      <c r="V932" s="31">
        <f>IF(OR($A932="",N($R932)&lt;=0),"",$U932/$R932)</f>
        <v>0</v>
      </c>
      <c r="W932" s="27">
        <f>IF($A932="","",IF(OR($I932="Finalizado",$I932="Entregue"),MAX(0,$R932-N($O932)),0))</f>
        <v>0</v>
      </c>
      <c r="X932" s="32">
        <f>IF(OR($A932="",$B932=""),"",IF(OR($I932="Entregue",$I932="Cancelada"),"",Hoje-$B932))</f>
        <v>0</v>
      </c>
      <c r="Y932" s="24">
        <f>IF($A932="","",IF(AND(OR($I932="Aprovado",$I932="Em execução",$I932="Aguardando peça"),N($X932)&gt;PrazoMax),"ATRASADA",IF(AND(OR($I932="Finalizado",$I932="Entregue"),$W932&gt;0.005),"Cobrar",IF($I932="Orçamento","Aguardando aprovação",""))))</f>
        <v>0</v>
      </c>
      <c r="Z932" s="33">
        <f>IF(AND($I932="Entregue",$M932&lt;&gt;""),DATE(YEAR($M932),MONTH($M932),1),"")</f>
        <v>0</v>
      </c>
      <c r="AA932" s="34">
        <f>IF(AND($C932&lt;&gt;"",$C932=HistPlaca),COUNTIF($C$5:$C932,HistPlaca),"")</f>
        <v>0</v>
      </c>
    </row>
    <row r="933" spans="1:27">
      <c r="A933" s="17"/>
      <c r="B933" s="25"/>
      <c r="C933" s="13"/>
      <c r="D933" s="26">
        <f>IF($C933="","",IFERROR(INDEX(VeicCli,MATCH($C933,VeicPlaca,0)),"Placa não cadastrada"))</f>
        <v>0</v>
      </c>
      <c r="E933" s="26">
        <f>IF($C933="","",IFERROR(INDEX(VeicModelo,MATCH($C933,VeicPlaca,0)),""))</f>
        <v>0</v>
      </c>
      <c r="F933" s="28"/>
      <c r="G933" s="13"/>
      <c r="H933" s="13"/>
      <c r="I933" s="13"/>
      <c r="J933" s="29"/>
      <c r="K933" s="19"/>
      <c r="L933" s="19"/>
      <c r="M933" s="25"/>
      <c r="N933" s="13"/>
      <c r="O933" s="19"/>
      <c r="P933" s="27">
        <f>IF($A933="","",N($J933)*ValorHora)</f>
        <v>0</v>
      </c>
      <c r="Q933" s="27">
        <f>IF($A933="","",SUMIFS(ItTotal,ItOS,$A933))</f>
        <v>0</v>
      </c>
      <c r="R933" s="30">
        <f>IF($A933="","",$P933+$Q933+N($K933)-N($L933))</f>
        <v>0</v>
      </c>
      <c r="S933" s="27">
        <f>IF($A933="","",SUMIFS(ItCusto,ItOS,$A933))</f>
        <v>0</v>
      </c>
      <c r="T933" s="27">
        <f>IF($A933="","",$P933*ComMec)</f>
        <v>0</v>
      </c>
      <c r="U933" s="21">
        <f>IF($A933="","",$R933-$S933-$T933-N($K933))</f>
        <v>0</v>
      </c>
      <c r="V933" s="31">
        <f>IF(OR($A933="",N($R933)&lt;=0),"",$U933/$R933)</f>
        <v>0</v>
      </c>
      <c r="W933" s="27">
        <f>IF($A933="","",IF(OR($I933="Finalizado",$I933="Entregue"),MAX(0,$R933-N($O933)),0))</f>
        <v>0</v>
      </c>
      <c r="X933" s="32">
        <f>IF(OR($A933="",$B933=""),"",IF(OR($I933="Entregue",$I933="Cancelada"),"",Hoje-$B933))</f>
        <v>0</v>
      </c>
      <c r="Y933" s="24">
        <f>IF($A933="","",IF(AND(OR($I933="Aprovado",$I933="Em execução",$I933="Aguardando peça"),N($X933)&gt;PrazoMax),"ATRASADA",IF(AND(OR($I933="Finalizado",$I933="Entregue"),$W933&gt;0.005),"Cobrar",IF($I933="Orçamento","Aguardando aprovação",""))))</f>
        <v>0</v>
      </c>
      <c r="Z933" s="33">
        <f>IF(AND($I933="Entregue",$M933&lt;&gt;""),DATE(YEAR($M933),MONTH($M933),1),"")</f>
        <v>0</v>
      </c>
      <c r="AA933" s="34">
        <f>IF(AND($C933&lt;&gt;"",$C933=HistPlaca),COUNTIF($C$5:$C933,HistPlaca),"")</f>
        <v>0</v>
      </c>
    </row>
    <row r="934" spans="1:27">
      <c r="A934" s="17"/>
      <c r="B934" s="25"/>
      <c r="C934" s="13"/>
      <c r="D934" s="26">
        <f>IF($C934="","",IFERROR(INDEX(VeicCli,MATCH($C934,VeicPlaca,0)),"Placa não cadastrada"))</f>
        <v>0</v>
      </c>
      <c r="E934" s="26">
        <f>IF($C934="","",IFERROR(INDEX(VeicModelo,MATCH($C934,VeicPlaca,0)),""))</f>
        <v>0</v>
      </c>
      <c r="F934" s="28"/>
      <c r="G934" s="13"/>
      <c r="H934" s="13"/>
      <c r="I934" s="13"/>
      <c r="J934" s="29"/>
      <c r="K934" s="19"/>
      <c r="L934" s="19"/>
      <c r="M934" s="25"/>
      <c r="N934" s="13"/>
      <c r="O934" s="19"/>
      <c r="P934" s="27">
        <f>IF($A934="","",N($J934)*ValorHora)</f>
        <v>0</v>
      </c>
      <c r="Q934" s="27">
        <f>IF($A934="","",SUMIFS(ItTotal,ItOS,$A934))</f>
        <v>0</v>
      </c>
      <c r="R934" s="30">
        <f>IF($A934="","",$P934+$Q934+N($K934)-N($L934))</f>
        <v>0</v>
      </c>
      <c r="S934" s="27">
        <f>IF($A934="","",SUMIFS(ItCusto,ItOS,$A934))</f>
        <v>0</v>
      </c>
      <c r="T934" s="27">
        <f>IF($A934="","",$P934*ComMec)</f>
        <v>0</v>
      </c>
      <c r="U934" s="21">
        <f>IF($A934="","",$R934-$S934-$T934-N($K934))</f>
        <v>0</v>
      </c>
      <c r="V934" s="31">
        <f>IF(OR($A934="",N($R934)&lt;=0),"",$U934/$R934)</f>
        <v>0</v>
      </c>
      <c r="W934" s="27">
        <f>IF($A934="","",IF(OR($I934="Finalizado",$I934="Entregue"),MAX(0,$R934-N($O934)),0))</f>
        <v>0</v>
      </c>
      <c r="X934" s="32">
        <f>IF(OR($A934="",$B934=""),"",IF(OR($I934="Entregue",$I934="Cancelada"),"",Hoje-$B934))</f>
        <v>0</v>
      </c>
      <c r="Y934" s="24">
        <f>IF($A934="","",IF(AND(OR($I934="Aprovado",$I934="Em execução",$I934="Aguardando peça"),N($X934)&gt;PrazoMax),"ATRASADA",IF(AND(OR($I934="Finalizado",$I934="Entregue"),$W934&gt;0.005),"Cobrar",IF($I934="Orçamento","Aguardando aprovação",""))))</f>
        <v>0</v>
      </c>
      <c r="Z934" s="33">
        <f>IF(AND($I934="Entregue",$M934&lt;&gt;""),DATE(YEAR($M934),MONTH($M934),1),"")</f>
        <v>0</v>
      </c>
      <c r="AA934" s="34">
        <f>IF(AND($C934&lt;&gt;"",$C934=HistPlaca),COUNTIF($C$5:$C934,HistPlaca),"")</f>
        <v>0</v>
      </c>
    </row>
    <row r="935" spans="1:27">
      <c r="A935" s="17"/>
      <c r="B935" s="25"/>
      <c r="C935" s="13"/>
      <c r="D935" s="26">
        <f>IF($C935="","",IFERROR(INDEX(VeicCli,MATCH($C935,VeicPlaca,0)),"Placa não cadastrada"))</f>
        <v>0</v>
      </c>
      <c r="E935" s="26">
        <f>IF($C935="","",IFERROR(INDEX(VeicModelo,MATCH($C935,VeicPlaca,0)),""))</f>
        <v>0</v>
      </c>
      <c r="F935" s="28"/>
      <c r="G935" s="13"/>
      <c r="H935" s="13"/>
      <c r="I935" s="13"/>
      <c r="J935" s="29"/>
      <c r="K935" s="19"/>
      <c r="L935" s="19"/>
      <c r="M935" s="25"/>
      <c r="N935" s="13"/>
      <c r="O935" s="19"/>
      <c r="P935" s="27">
        <f>IF($A935="","",N($J935)*ValorHora)</f>
        <v>0</v>
      </c>
      <c r="Q935" s="27">
        <f>IF($A935="","",SUMIFS(ItTotal,ItOS,$A935))</f>
        <v>0</v>
      </c>
      <c r="R935" s="30">
        <f>IF($A935="","",$P935+$Q935+N($K935)-N($L935))</f>
        <v>0</v>
      </c>
      <c r="S935" s="27">
        <f>IF($A935="","",SUMIFS(ItCusto,ItOS,$A935))</f>
        <v>0</v>
      </c>
      <c r="T935" s="27">
        <f>IF($A935="","",$P935*ComMec)</f>
        <v>0</v>
      </c>
      <c r="U935" s="21">
        <f>IF($A935="","",$R935-$S935-$T935-N($K935))</f>
        <v>0</v>
      </c>
      <c r="V935" s="31">
        <f>IF(OR($A935="",N($R935)&lt;=0),"",$U935/$R935)</f>
        <v>0</v>
      </c>
      <c r="W935" s="27">
        <f>IF($A935="","",IF(OR($I935="Finalizado",$I935="Entregue"),MAX(0,$R935-N($O935)),0))</f>
        <v>0</v>
      </c>
      <c r="X935" s="32">
        <f>IF(OR($A935="",$B935=""),"",IF(OR($I935="Entregue",$I935="Cancelada"),"",Hoje-$B935))</f>
        <v>0</v>
      </c>
      <c r="Y935" s="24">
        <f>IF($A935="","",IF(AND(OR($I935="Aprovado",$I935="Em execução",$I935="Aguardando peça"),N($X935)&gt;PrazoMax),"ATRASADA",IF(AND(OR($I935="Finalizado",$I935="Entregue"),$W935&gt;0.005),"Cobrar",IF($I935="Orçamento","Aguardando aprovação",""))))</f>
        <v>0</v>
      </c>
      <c r="Z935" s="33">
        <f>IF(AND($I935="Entregue",$M935&lt;&gt;""),DATE(YEAR($M935),MONTH($M935),1),"")</f>
        <v>0</v>
      </c>
      <c r="AA935" s="34">
        <f>IF(AND($C935&lt;&gt;"",$C935=HistPlaca),COUNTIF($C$5:$C935,HistPlaca),"")</f>
        <v>0</v>
      </c>
    </row>
    <row r="936" spans="1:27">
      <c r="A936" s="17"/>
      <c r="B936" s="25"/>
      <c r="C936" s="13"/>
      <c r="D936" s="26">
        <f>IF($C936="","",IFERROR(INDEX(VeicCli,MATCH($C936,VeicPlaca,0)),"Placa não cadastrada"))</f>
        <v>0</v>
      </c>
      <c r="E936" s="26">
        <f>IF($C936="","",IFERROR(INDEX(VeicModelo,MATCH($C936,VeicPlaca,0)),""))</f>
        <v>0</v>
      </c>
      <c r="F936" s="28"/>
      <c r="G936" s="13"/>
      <c r="H936" s="13"/>
      <c r="I936" s="13"/>
      <c r="J936" s="29"/>
      <c r="K936" s="19"/>
      <c r="L936" s="19"/>
      <c r="M936" s="25"/>
      <c r="N936" s="13"/>
      <c r="O936" s="19"/>
      <c r="P936" s="27">
        <f>IF($A936="","",N($J936)*ValorHora)</f>
        <v>0</v>
      </c>
      <c r="Q936" s="27">
        <f>IF($A936="","",SUMIFS(ItTotal,ItOS,$A936))</f>
        <v>0</v>
      </c>
      <c r="R936" s="30">
        <f>IF($A936="","",$P936+$Q936+N($K936)-N($L936))</f>
        <v>0</v>
      </c>
      <c r="S936" s="27">
        <f>IF($A936="","",SUMIFS(ItCusto,ItOS,$A936))</f>
        <v>0</v>
      </c>
      <c r="T936" s="27">
        <f>IF($A936="","",$P936*ComMec)</f>
        <v>0</v>
      </c>
      <c r="U936" s="21">
        <f>IF($A936="","",$R936-$S936-$T936-N($K936))</f>
        <v>0</v>
      </c>
      <c r="V936" s="31">
        <f>IF(OR($A936="",N($R936)&lt;=0),"",$U936/$R936)</f>
        <v>0</v>
      </c>
      <c r="W936" s="27">
        <f>IF($A936="","",IF(OR($I936="Finalizado",$I936="Entregue"),MAX(0,$R936-N($O936)),0))</f>
        <v>0</v>
      </c>
      <c r="X936" s="32">
        <f>IF(OR($A936="",$B936=""),"",IF(OR($I936="Entregue",$I936="Cancelada"),"",Hoje-$B936))</f>
        <v>0</v>
      </c>
      <c r="Y936" s="24">
        <f>IF($A936="","",IF(AND(OR($I936="Aprovado",$I936="Em execução",$I936="Aguardando peça"),N($X936)&gt;PrazoMax),"ATRASADA",IF(AND(OR($I936="Finalizado",$I936="Entregue"),$W936&gt;0.005),"Cobrar",IF($I936="Orçamento","Aguardando aprovação",""))))</f>
        <v>0</v>
      </c>
      <c r="Z936" s="33">
        <f>IF(AND($I936="Entregue",$M936&lt;&gt;""),DATE(YEAR($M936),MONTH($M936),1),"")</f>
        <v>0</v>
      </c>
      <c r="AA936" s="34">
        <f>IF(AND($C936&lt;&gt;"",$C936=HistPlaca),COUNTIF($C$5:$C936,HistPlaca),"")</f>
        <v>0</v>
      </c>
    </row>
    <row r="937" spans="1:27">
      <c r="A937" s="17"/>
      <c r="B937" s="25"/>
      <c r="C937" s="13"/>
      <c r="D937" s="26">
        <f>IF($C937="","",IFERROR(INDEX(VeicCli,MATCH($C937,VeicPlaca,0)),"Placa não cadastrada"))</f>
        <v>0</v>
      </c>
      <c r="E937" s="26">
        <f>IF($C937="","",IFERROR(INDEX(VeicModelo,MATCH($C937,VeicPlaca,0)),""))</f>
        <v>0</v>
      </c>
      <c r="F937" s="28"/>
      <c r="G937" s="13"/>
      <c r="H937" s="13"/>
      <c r="I937" s="13"/>
      <c r="J937" s="29"/>
      <c r="K937" s="19"/>
      <c r="L937" s="19"/>
      <c r="M937" s="25"/>
      <c r="N937" s="13"/>
      <c r="O937" s="19"/>
      <c r="P937" s="27">
        <f>IF($A937="","",N($J937)*ValorHora)</f>
        <v>0</v>
      </c>
      <c r="Q937" s="27">
        <f>IF($A937="","",SUMIFS(ItTotal,ItOS,$A937))</f>
        <v>0</v>
      </c>
      <c r="R937" s="30">
        <f>IF($A937="","",$P937+$Q937+N($K937)-N($L937))</f>
        <v>0</v>
      </c>
      <c r="S937" s="27">
        <f>IF($A937="","",SUMIFS(ItCusto,ItOS,$A937))</f>
        <v>0</v>
      </c>
      <c r="T937" s="27">
        <f>IF($A937="","",$P937*ComMec)</f>
        <v>0</v>
      </c>
      <c r="U937" s="21">
        <f>IF($A937="","",$R937-$S937-$T937-N($K937))</f>
        <v>0</v>
      </c>
      <c r="V937" s="31">
        <f>IF(OR($A937="",N($R937)&lt;=0),"",$U937/$R937)</f>
        <v>0</v>
      </c>
      <c r="W937" s="27">
        <f>IF($A937="","",IF(OR($I937="Finalizado",$I937="Entregue"),MAX(0,$R937-N($O937)),0))</f>
        <v>0</v>
      </c>
      <c r="X937" s="32">
        <f>IF(OR($A937="",$B937=""),"",IF(OR($I937="Entregue",$I937="Cancelada"),"",Hoje-$B937))</f>
        <v>0</v>
      </c>
      <c r="Y937" s="24">
        <f>IF($A937="","",IF(AND(OR($I937="Aprovado",$I937="Em execução",$I937="Aguardando peça"),N($X937)&gt;PrazoMax),"ATRASADA",IF(AND(OR($I937="Finalizado",$I937="Entregue"),$W937&gt;0.005),"Cobrar",IF($I937="Orçamento","Aguardando aprovação",""))))</f>
        <v>0</v>
      </c>
      <c r="Z937" s="33">
        <f>IF(AND($I937="Entregue",$M937&lt;&gt;""),DATE(YEAR($M937),MONTH($M937),1),"")</f>
        <v>0</v>
      </c>
      <c r="AA937" s="34">
        <f>IF(AND($C937&lt;&gt;"",$C937=HistPlaca),COUNTIF($C$5:$C937,HistPlaca),"")</f>
        <v>0</v>
      </c>
    </row>
    <row r="938" spans="1:27">
      <c r="A938" s="17"/>
      <c r="B938" s="25"/>
      <c r="C938" s="13"/>
      <c r="D938" s="26">
        <f>IF($C938="","",IFERROR(INDEX(VeicCli,MATCH($C938,VeicPlaca,0)),"Placa não cadastrada"))</f>
        <v>0</v>
      </c>
      <c r="E938" s="26">
        <f>IF($C938="","",IFERROR(INDEX(VeicModelo,MATCH($C938,VeicPlaca,0)),""))</f>
        <v>0</v>
      </c>
      <c r="F938" s="28"/>
      <c r="G938" s="13"/>
      <c r="H938" s="13"/>
      <c r="I938" s="13"/>
      <c r="J938" s="29"/>
      <c r="K938" s="19"/>
      <c r="L938" s="19"/>
      <c r="M938" s="25"/>
      <c r="N938" s="13"/>
      <c r="O938" s="19"/>
      <c r="P938" s="27">
        <f>IF($A938="","",N($J938)*ValorHora)</f>
        <v>0</v>
      </c>
      <c r="Q938" s="27">
        <f>IF($A938="","",SUMIFS(ItTotal,ItOS,$A938))</f>
        <v>0</v>
      </c>
      <c r="R938" s="30">
        <f>IF($A938="","",$P938+$Q938+N($K938)-N($L938))</f>
        <v>0</v>
      </c>
      <c r="S938" s="27">
        <f>IF($A938="","",SUMIFS(ItCusto,ItOS,$A938))</f>
        <v>0</v>
      </c>
      <c r="T938" s="27">
        <f>IF($A938="","",$P938*ComMec)</f>
        <v>0</v>
      </c>
      <c r="U938" s="21">
        <f>IF($A938="","",$R938-$S938-$T938-N($K938))</f>
        <v>0</v>
      </c>
      <c r="V938" s="31">
        <f>IF(OR($A938="",N($R938)&lt;=0),"",$U938/$R938)</f>
        <v>0</v>
      </c>
      <c r="W938" s="27">
        <f>IF($A938="","",IF(OR($I938="Finalizado",$I938="Entregue"),MAX(0,$R938-N($O938)),0))</f>
        <v>0</v>
      </c>
      <c r="X938" s="32">
        <f>IF(OR($A938="",$B938=""),"",IF(OR($I938="Entregue",$I938="Cancelada"),"",Hoje-$B938))</f>
        <v>0</v>
      </c>
      <c r="Y938" s="24">
        <f>IF($A938="","",IF(AND(OR($I938="Aprovado",$I938="Em execução",$I938="Aguardando peça"),N($X938)&gt;PrazoMax),"ATRASADA",IF(AND(OR($I938="Finalizado",$I938="Entregue"),$W938&gt;0.005),"Cobrar",IF($I938="Orçamento","Aguardando aprovação",""))))</f>
        <v>0</v>
      </c>
      <c r="Z938" s="33">
        <f>IF(AND($I938="Entregue",$M938&lt;&gt;""),DATE(YEAR($M938),MONTH($M938),1),"")</f>
        <v>0</v>
      </c>
      <c r="AA938" s="34">
        <f>IF(AND($C938&lt;&gt;"",$C938=HistPlaca),COUNTIF($C$5:$C938,HistPlaca),"")</f>
        <v>0</v>
      </c>
    </row>
    <row r="939" spans="1:27">
      <c r="A939" s="17"/>
      <c r="B939" s="25"/>
      <c r="C939" s="13"/>
      <c r="D939" s="26">
        <f>IF($C939="","",IFERROR(INDEX(VeicCli,MATCH($C939,VeicPlaca,0)),"Placa não cadastrada"))</f>
        <v>0</v>
      </c>
      <c r="E939" s="26">
        <f>IF($C939="","",IFERROR(INDEX(VeicModelo,MATCH($C939,VeicPlaca,0)),""))</f>
        <v>0</v>
      </c>
      <c r="F939" s="28"/>
      <c r="G939" s="13"/>
      <c r="H939" s="13"/>
      <c r="I939" s="13"/>
      <c r="J939" s="29"/>
      <c r="K939" s="19"/>
      <c r="L939" s="19"/>
      <c r="M939" s="25"/>
      <c r="N939" s="13"/>
      <c r="O939" s="19"/>
      <c r="P939" s="27">
        <f>IF($A939="","",N($J939)*ValorHora)</f>
        <v>0</v>
      </c>
      <c r="Q939" s="27">
        <f>IF($A939="","",SUMIFS(ItTotal,ItOS,$A939))</f>
        <v>0</v>
      </c>
      <c r="R939" s="30">
        <f>IF($A939="","",$P939+$Q939+N($K939)-N($L939))</f>
        <v>0</v>
      </c>
      <c r="S939" s="27">
        <f>IF($A939="","",SUMIFS(ItCusto,ItOS,$A939))</f>
        <v>0</v>
      </c>
      <c r="T939" s="27">
        <f>IF($A939="","",$P939*ComMec)</f>
        <v>0</v>
      </c>
      <c r="U939" s="21">
        <f>IF($A939="","",$R939-$S939-$T939-N($K939))</f>
        <v>0</v>
      </c>
      <c r="V939" s="31">
        <f>IF(OR($A939="",N($R939)&lt;=0),"",$U939/$R939)</f>
        <v>0</v>
      </c>
      <c r="W939" s="27">
        <f>IF($A939="","",IF(OR($I939="Finalizado",$I939="Entregue"),MAX(0,$R939-N($O939)),0))</f>
        <v>0</v>
      </c>
      <c r="X939" s="32">
        <f>IF(OR($A939="",$B939=""),"",IF(OR($I939="Entregue",$I939="Cancelada"),"",Hoje-$B939))</f>
        <v>0</v>
      </c>
      <c r="Y939" s="24">
        <f>IF($A939="","",IF(AND(OR($I939="Aprovado",$I939="Em execução",$I939="Aguardando peça"),N($X939)&gt;PrazoMax),"ATRASADA",IF(AND(OR($I939="Finalizado",$I939="Entregue"),$W939&gt;0.005),"Cobrar",IF($I939="Orçamento","Aguardando aprovação",""))))</f>
        <v>0</v>
      </c>
      <c r="Z939" s="33">
        <f>IF(AND($I939="Entregue",$M939&lt;&gt;""),DATE(YEAR($M939),MONTH($M939),1),"")</f>
        <v>0</v>
      </c>
      <c r="AA939" s="34">
        <f>IF(AND($C939&lt;&gt;"",$C939=HistPlaca),COUNTIF($C$5:$C939,HistPlaca),"")</f>
        <v>0</v>
      </c>
    </row>
    <row r="940" spans="1:27">
      <c r="A940" s="17"/>
      <c r="B940" s="25"/>
      <c r="C940" s="13"/>
      <c r="D940" s="26">
        <f>IF($C940="","",IFERROR(INDEX(VeicCli,MATCH($C940,VeicPlaca,0)),"Placa não cadastrada"))</f>
        <v>0</v>
      </c>
      <c r="E940" s="26">
        <f>IF($C940="","",IFERROR(INDEX(VeicModelo,MATCH($C940,VeicPlaca,0)),""))</f>
        <v>0</v>
      </c>
      <c r="F940" s="28"/>
      <c r="G940" s="13"/>
      <c r="H940" s="13"/>
      <c r="I940" s="13"/>
      <c r="J940" s="29"/>
      <c r="K940" s="19"/>
      <c r="L940" s="19"/>
      <c r="M940" s="25"/>
      <c r="N940" s="13"/>
      <c r="O940" s="19"/>
      <c r="P940" s="27">
        <f>IF($A940="","",N($J940)*ValorHora)</f>
        <v>0</v>
      </c>
      <c r="Q940" s="27">
        <f>IF($A940="","",SUMIFS(ItTotal,ItOS,$A940))</f>
        <v>0</v>
      </c>
      <c r="R940" s="30">
        <f>IF($A940="","",$P940+$Q940+N($K940)-N($L940))</f>
        <v>0</v>
      </c>
      <c r="S940" s="27">
        <f>IF($A940="","",SUMIFS(ItCusto,ItOS,$A940))</f>
        <v>0</v>
      </c>
      <c r="T940" s="27">
        <f>IF($A940="","",$P940*ComMec)</f>
        <v>0</v>
      </c>
      <c r="U940" s="21">
        <f>IF($A940="","",$R940-$S940-$T940-N($K940))</f>
        <v>0</v>
      </c>
      <c r="V940" s="31">
        <f>IF(OR($A940="",N($R940)&lt;=0),"",$U940/$R940)</f>
        <v>0</v>
      </c>
      <c r="W940" s="27">
        <f>IF($A940="","",IF(OR($I940="Finalizado",$I940="Entregue"),MAX(0,$R940-N($O940)),0))</f>
        <v>0</v>
      </c>
      <c r="X940" s="32">
        <f>IF(OR($A940="",$B940=""),"",IF(OR($I940="Entregue",$I940="Cancelada"),"",Hoje-$B940))</f>
        <v>0</v>
      </c>
      <c r="Y940" s="24">
        <f>IF($A940="","",IF(AND(OR($I940="Aprovado",$I940="Em execução",$I940="Aguardando peça"),N($X940)&gt;PrazoMax),"ATRASADA",IF(AND(OR($I940="Finalizado",$I940="Entregue"),$W940&gt;0.005),"Cobrar",IF($I940="Orçamento","Aguardando aprovação",""))))</f>
        <v>0</v>
      </c>
      <c r="Z940" s="33">
        <f>IF(AND($I940="Entregue",$M940&lt;&gt;""),DATE(YEAR($M940),MONTH($M940),1),"")</f>
        <v>0</v>
      </c>
      <c r="AA940" s="34">
        <f>IF(AND($C940&lt;&gt;"",$C940=HistPlaca),COUNTIF($C$5:$C940,HistPlaca),"")</f>
        <v>0</v>
      </c>
    </row>
    <row r="941" spans="1:27">
      <c r="A941" s="17"/>
      <c r="B941" s="25"/>
      <c r="C941" s="13"/>
      <c r="D941" s="26">
        <f>IF($C941="","",IFERROR(INDEX(VeicCli,MATCH($C941,VeicPlaca,0)),"Placa não cadastrada"))</f>
        <v>0</v>
      </c>
      <c r="E941" s="26">
        <f>IF($C941="","",IFERROR(INDEX(VeicModelo,MATCH($C941,VeicPlaca,0)),""))</f>
        <v>0</v>
      </c>
      <c r="F941" s="28"/>
      <c r="G941" s="13"/>
      <c r="H941" s="13"/>
      <c r="I941" s="13"/>
      <c r="J941" s="29"/>
      <c r="K941" s="19"/>
      <c r="L941" s="19"/>
      <c r="M941" s="25"/>
      <c r="N941" s="13"/>
      <c r="O941" s="19"/>
      <c r="P941" s="27">
        <f>IF($A941="","",N($J941)*ValorHora)</f>
        <v>0</v>
      </c>
      <c r="Q941" s="27">
        <f>IF($A941="","",SUMIFS(ItTotal,ItOS,$A941))</f>
        <v>0</v>
      </c>
      <c r="R941" s="30">
        <f>IF($A941="","",$P941+$Q941+N($K941)-N($L941))</f>
        <v>0</v>
      </c>
      <c r="S941" s="27">
        <f>IF($A941="","",SUMIFS(ItCusto,ItOS,$A941))</f>
        <v>0</v>
      </c>
      <c r="T941" s="27">
        <f>IF($A941="","",$P941*ComMec)</f>
        <v>0</v>
      </c>
      <c r="U941" s="21">
        <f>IF($A941="","",$R941-$S941-$T941-N($K941))</f>
        <v>0</v>
      </c>
      <c r="V941" s="31">
        <f>IF(OR($A941="",N($R941)&lt;=0),"",$U941/$R941)</f>
        <v>0</v>
      </c>
      <c r="W941" s="27">
        <f>IF($A941="","",IF(OR($I941="Finalizado",$I941="Entregue"),MAX(0,$R941-N($O941)),0))</f>
        <v>0</v>
      </c>
      <c r="X941" s="32">
        <f>IF(OR($A941="",$B941=""),"",IF(OR($I941="Entregue",$I941="Cancelada"),"",Hoje-$B941))</f>
        <v>0</v>
      </c>
      <c r="Y941" s="24">
        <f>IF($A941="","",IF(AND(OR($I941="Aprovado",$I941="Em execução",$I941="Aguardando peça"),N($X941)&gt;PrazoMax),"ATRASADA",IF(AND(OR($I941="Finalizado",$I941="Entregue"),$W941&gt;0.005),"Cobrar",IF($I941="Orçamento","Aguardando aprovação",""))))</f>
        <v>0</v>
      </c>
      <c r="Z941" s="33">
        <f>IF(AND($I941="Entregue",$M941&lt;&gt;""),DATE(YEAR($M941),MONTH($M941),1),"")</f>
        <v>0</v>
      </c>
      <c r="AA941" s="34">
        <f>IF(AND($C941&lt;&gt;"",$C941=HistPlaca),COUNTIF($C$5:$C941,HistPlaca),"")</f>
        <v>0</v>
      </c>
    </row>
    <row r="942" spans="1:27">
      <c r="A942" s="17"/>
      <c r="B942" s="25"/>
      <c r="C942" s="13"/>
      <c r="D942" s="26">
        <f>IF($C942="","",IFERROR(INDEX(VeicCli,MATCH($C942,VeicPlaca,0)),"Placa não cadastrada"))</f>
        <v>0</v>
      </c>
      <c r="E942" s="26">
        <f>IF($C942="","",IFERROR(INDEX(VeicModelo,MATCH($C942,VeicPlaca,0)),""))</f>
        <v>0</v>
      </c>
      <c r="F942" s="28"/>
      <c r="G942" s="13"/>
      <c r="H942" s="13"/>
      <c r="I942" s="13"/>
      <c r="J942" s="29"/>
      <c r="K942" s="19"/>
      <c r="L942" s="19"/>
      <c r="M942" s="25"/>
      <c r="N942" s="13"/>
      <c r="O942" s="19"/>
      <c r="P942" s="27">
        <f>IF($A942="","",N($J942)*ValorHora)</f>
        <v>0</v>
      </c>
      <c r="Q942" s="27">
        <f>IF($A942="","",SUMIFS(ItTotal,ItOS,$A942))</f>
        <v>0</v>
      </c>
      <c r="R942" s="30">
        <f>IF($A942="","",$P942+$Q942+N($K942)-N($L942))</f>
        <v>0</v>
      </c>
      <c r="S942" s="27">
        <f>IF($A942="","",SUMIFS(ItCusto,ItOS,$A942))</f>
        <v>0</v>
      </c>
      <c r="T942" s="27">
        <f>IF($A942="","",$P942*ComMec)</f>
        <v>0</v>
      </c>
      <c r="U942" s="21">
        <f>IF($A942="","",$R942-$S942-$T942-N($K942))</f>
        <v>0</v>
      </c>
      <c r="V942" s="31">
        <f>IF(OR($A942="",N($R942)&lt;=0),"",$U942/$R942)</f>
        <v>0</v>
      </c>
      <c r="W942" s="27">
        <f>IF($A942="","",IF(OR($I942="Finalizado",$I942="Entregue"),MAX(0,$R942-N($O942)),0))</f>
        <v>0</v>
      </c>
      <c r="X942" s="32">
        <f>IF(OR($A942="",$B942=""),"",IF(OR($I942="Entregue",$I942="Cancelada"),"",Hoje-$B942))</f>
        <v>0</v>
      </c>
      <c r="Y942" s="24">
        <f>IF($A942="","",IF(AND(OR($I942="Aprovado",$I942="Em execução",$I942="Aguardando peça"),N($X942)&gt;PrazoMax),"ATRASADA",IF(AND(OR($I942="Finalizado",$I942="Entregue"),$W942&gt;0.005),"Cobrar",IF($I942="Orçamento","Aguardando aprovação",""))))</f>
        <v>0</v>
      </c>
      <c r="Z942" s="33">
        <f>IF(AND($I942="Entregue",$M942&lt;&gt;""),DATE(YEAR($M942),MONTH($M942),1),"")</f>
        <v>0</v>
      </c>
      <c r="AA942" s="34">
        <f>IF(AND($C942&lt;&gt;"",$C942=HistPlaca),COUNTIF($C$5:$C942,HistPlaca),"")</f>
        <v>0</v>
      </c>
    </row>
    <row r="943" spans="1:27">
      <c r="A943" s="17"/>
      <c r="B943" s="25"/>
      <c r="C943" s="13"/>
      <c r="D943" s="26">
        <f>IF($C943="","",IFERROR(INDEX(VeicCli,MATCH($C943,VeicPlaca,0)),"Placa não cadastrada"))</f>
        <v>0</v>
      </c>
      <c r="E943" s="26">
        <f>IF($C943="","",IFERROR(INDEX(VeicModelo,MATCH($C943,VeicPlaca,0)),""))</f>
        <v>0</v>
      </c>
      <c r="F943" s="28"/>
      <c r="G943" s="13"/>
      <c r="H943" s="13"/>
      <c r="I943" s="13"/>
      <c r="J943" s="29"/>
      <c r="K943" s="19"/>
      <c r="L943" s="19"/>
      <c r="M943" s="25"/>
      <c r="N943" s="13"/>
      <c r="O943" s="19"/>
      <c r="P943" s="27">
        <f>IF($A943="","",N($J943)*ValorHora)</f>
        <v>0</v>
      </c>
      <c r="Q943" s="27">
        <f>IF($A943="","",SUMIFS(ItTotal,ItOS,$A943))</f>
        <v>0</v>
      </c>
      <c r="R943" s="30">
        <f>IF($A943="","",$P943+$Q943+N($K943)-N($L943))</f>
        <v>0</v>
      </c>
      <c r="S943" s="27">
        <f>IF($A943="","",SUMIFS(ItCusto,ItOS,$A943))</f>
        <v>0</v>
      </c>
      <c r="T943" s="27">
        <f>IF($A943="","",$P943*ComMec)</f>
        <v>0</v>
      </c>
      <c r="U943" s="21">
        <f>IF($A943="","",$R943-$S943-$T943-N($K943))</f>
        <v>0</v>
      </c>
      <c r="V943" s="31">
        <f>IF(OR($A943="",N($R943)&lt;=0),"",$U943/$R943)</f>
        <v>0</v>
      </c>
      <c r="W943" s="27">
        <f>IF($A943="","",IF(OR($I943="Finalizado",$I943="Entregue"),MAX(0,$R943-N($O943)),0))</f>
        <v>0</v>
      </c>
      <c r="X943" s="32">
        <f>IF(OR($A943="",$B943=""),"",IF(OR($I943="Entregue",$I943="Cancelada"),"",Hoje-$B943))</f>
        <v>0</v>
      </c>
      <c r="Y943" s="24">
        <f>IF($A943="","",IF(AND(OR($I943="Aprovado",$I943="Em execução",$I943="Aguardando peça"),N($X943)&gt;PrazoMax),"ATRASADA",IF(AND(OR($I943="Finalizado",$I943="Entregue"),$W943&gt;0.005),"Cobrar",IF($I943="Orçamento","Aguardando aprovação",""))))</f>
        <v>0</v>
      </c>
      <c r="Z943" s="33">
        <f>IF(AND($I943="Entregue",$M943&lt;&gt;""),DATE(YEAR($M943),MONTH($M943),1),"")</f>
        <v>0</v>
      </c>
      <c r="AA943" s="34">
        <f>IF(AND($C943&lt;&gt;"",$C943=HistPlaca),COUNTIF($C$5:$C943,HistPlaca),"")</f>
        <v>0</v>
      </c>
    </row>
    <row r="944" spans="1:27">
      <c r="A944" s="17"/>
      <c r="B944" s="25"/>
      <c r="C944" s="13"/>
      <c r="D944" s="26">
        <f>IF($C944="","",IFERROR(INDEX(VeicCli,MATCH($C944,VeicPlaca,0)),"Placa não cadastrada"))</f>
        <v>0</v>
      </c>
      <c r="E944" s="26">
        <f>IF($C944="","",IFERROR(INDEX(VeicModelo,MATCH($C944,VeicPlaca,0)),""))</f>
        <v>0</v>
      </c>
      <c r="F944" s="28"/>
      <c r="G944" s="13"/>
      <c r="H944" s="13"/>
      <c r="I944" s="13"/>
      <c r="J944" s="29"/>
      <c r="K944" s="19"/>
      <c r="L944" s="19"/>
      <c r="M944" s="25"/>
      <c r="N944" s="13"/>
      <c r="O944" s="19"/>
      <c r="P944" s="27">
        <f>IF($A944="","",N($J944)*ValorHora)</f>
        <v>0</v>
      </c>
      <c r="Q944" s="27">
        <f>IF($A944="","",SUMIFS(ItTotal,ItOS,$A944))</f>
        <v>0</v>
      </c>
      <c r="R944" s="30">
        <f>IF($A944="","",$P944+$Q944+N($K944)-N($L944))</f>
        <v>0</v>
      </c>
      <c r="S944" s="27">
        <f>IF($A944="","",SUMIFS(ItCusto,ItOS,$A944))</f>
        <v>0</v>
      </c>
      <c r="T944" s="27">
        <f>IF($A944="","",$P944*ComMec)</f>
        <v>0</v>
      </c>
      <c r="U944" s="21">
        <f>IF($A944="","",$R944-$S944-$T944-N($K944))</f>
        <v>0</v>
      </c>
      <c r="V944" s="31">
        <f>IF(OR($A944="",N($R944)&lt;=0),"",$U944/$R944)</f>
        <v>0</v>
      </c>
      <c r="W944" s="27">
        <f>IF($A944="","",IF(OR($I944="Finalizado",$I944="Entregue"),MAX(0,$R944-N($O944)),0))</f>
        <v>0</v>
      </c>
      <c r="X944" s="32">
        <f>IF(OR($A944="",$B944=""),"",IF(OR($I944="Entregue",$I944="Cancelada"),"",Hoje-$B944))</f>
        <v>0</v>
      </c>
      <c r="Y944" s="24">
        <f>IF($A944="","",IF(AND(OR($I944="Aprovado",$I944="Em execução",$I944="Aguardando peça"),N($X944)&gt;PrazoMax),"ATRASADA",IF(AND(OR($I944="Finalizado",$I944="Entregue"),$W944&gt;0.005),"Cobrar",IF($I944="Orçamento","Aguardando aprovação",""))))</f>
        <v>0</v>
      </c>
      <c r="Z944" s="33">
        <f>IF(AND($I944="Entregue",$M944&lt;&gt;""),DATE(YEAR($M944),MONTH($M944),1),"")</f>
        <v>0</v>
      </c>
      <c r="AA944" s="34">
        <f>IF(AND($C944&lt;&gt;"",$C944=HistPlaca),COUNTIF($C$5:$C944,HistPlaca),"")</f>
        <v>0</v>
      </c>
    </row>
    <row r="945" spans="1:27">
      <c r="A945" s="17"/>
      <c r="B945" s="25"/>
      <c r="C945" s="13"/>
      <c r="D945" s="26">
        <f>IF($C945="","",IFERROR(INDEX(VeicCli,MATCH($C945,VeicPlaca,0)),"Placa não cadastrada"))</f>
        <v>0</v>
      </c>
      <c r="E945" s="26">
        <f>IF($C945="","",IFERROR(INDEX(VeicModelo,MATCH($C945,VeicPlaca,0)),""))</f>
        <v>0</v>
      </c>
      <c r="F945" s="28"/>
      <c r="G945" s="13"/>
      <c r="H945" s="13"/>
      <c r="I945" s="13"/>
      <c r="J945" s="29"/>
      <c r="K945" s="19"/>
      <c r="L945" s="19"/>
      <c r="M945" s="25"/>
      <c r="N945" s="13"/>
      <c r="O945" s="19"/>
      <c r="P945" s="27">
        <f>IF($A945="","",N($J945)*ValorHora)</f>
        <v>0</v>
      </c>
      <c r="Q945" s="27">
        <f>IF($A945="","",SUMIFS(ItTotal,ItOS,$A945))</f>
        <v>0</v>
      </c>
      <c r="R945" s="30">
        <f>IF($A945="","",$P945+$Q945+N($K945)-N($L945))</f>
        <v>0</v>
      </c>
      <c r="S945" s="27">
        <f>IF($A945="","",SUMIFS(ItCusto,ItOS,$A945))</f>
        <v>0</v>
      </c>
      <c r="T945" s="27">
        <f>IF($A945="","",$P945*ComMec)</f>
        <v>0</v>
      </c>
      <c r="U945" s="21">
        <f>IF($A945="","",$R945-$S945-$T945-N($K945))</f>
        <v>0</v>
      </c>
      <c r="V945" s="31">
        <f>IF(OR($A945="",N($R945)&lt;=0),"",$U945/$R945)</f>
        <v>0</v>
      </c>
      <c r="W945" s="27">
        <f>IF($A945="","",IF(OR($I945="Finalizado",$I945="Entregue"),MAX(0,$R945-N($O945)),0))</f>
        <v>0</v>
      </c>
      <c r="X945" s="32">
        <f>IF(OR($A945="",$B945=""),"",IF(OR($I945="Entregue",$I945="Cancelada"),"",Hoje-$B945))</f>
        <v>0</v>
      </c>
      <c r="Y945" s="24">
        <f>IF($A945="","",IF(AND(OR($I945="Aprovado",$I945="Em execução",$I945="Aguardando peça"),N($X945)&gt;PrazoMax),"ATRASADA",IF(AND(OR($I945="Finalizado",$I945="Entregue"),$W945&gt;0.005),"Cobrar",IF($I945="Orçamento","Aguardando aprovação",""))))</f>
        <v>0</v>
      </c>
      <c r="Z945" s="33">
        <f>IF(AND($I945="Entregue",$M945&lt;&gt;""),DATE(YEAR($M945),MONTH($M945),1),"")</f>
        <v>0</v>
      </c>
      <c r="AA945" s="34">
        <f>IF(AND($C945&lt;&gt;"",$C945=HistPlaca),COUNTIF($C$5:$C945,HistPlaca),"")</f>
        <v>0</v>
      </c>
    </row>
    <row r="946" spans="1:27">
      <c r="A946" s="17"/>
      <c r="B946" s="25"/>
      <c r="C946" s="13"/>
      <c r="D946" s="26">
        <f>IF($C946="","",IFERROR(INDEX(VeicCli,MATCH($C946,VeicPlaca,0)),"Placa não cadastrada"))</f>
        <v>0</v>
      </c>
      <c r="E946" s="26">
        <f>IF($C946="","",IFERROR(INDEX(VeicModelo,MATCH($C946,VeicPlaca,0)),""))</f>
        <v>0</v>
      </c>
      <c r="F946" s="28"/>
      <c r="G946" s="13"/>
      <c r="H946" s="13"/>
      <c r="I946" s="13"/>
      <c r="J946" s="29"/>
      <c r="K946" s="19"/>
      <c r="L946" s="19"/>
      <c r="M946" s="25"/>
      <c r="N946" s="13"/>
      <c r="O946" s="19"/>
      <c r="P946" s="27">
        <f>IF($A946="","",N($J946)*ValorHora)</f>
        <v>0</v>
      </c>
      <c r="Q946" s="27">
        <f>IF($A946="","",SUMIFS(ItTotal,ItOS,$A946))</f>
        <v>0</v>
      </c>
      <c r="R946" s="30">
        <f>IF($A946="","",$P946+$Q946+N($K946)-N($L946))</f>
        <v>0</v>
      </c>
      <c r="S946" s="27">
        <f>IF($A946="","",SUMIFS(ItCusto,ItOS,$A946))</f>
        <v>0</v>
      </c>
      <c r="T946" s="27">
        <f>IF($A946="","",$P946*ComMec)</f>
        <v>0</v>
      </c>
      <c r="U946" s="21">
        <f>IF($A946="","",$R946-$S946-$T946-N($K946))</f>
        <v>0</v>
      </c>
      <c r="V946" s="31">
        <f>IF(OR($A946="",N($R946)&lt;=0),"",$U946/$R946)</f>
        <v>0</v>
      </c>
      <c r="W946" s="27">
        <f>IF($A946="","",IF(OR($I946="Finalizado",$I946="Entregue"),MAX(0,$R946-N($O946)),0))</f>
        <v>0</v>
      </c>
      <c r="X946" s="32">
        <f>IF(OR($A946="",$B946=""),"",IF(OR($I946="Entregue",$I946="Cancelada"),"",Hoje-$B946))</f>
        <v>0</v>
      </c>
      <c r="Y946" s="24">
        <f>IF($A946="","",IF(AND(OR($I946="Aprovado",$I946="Em execução",$I946="Aguardando peça"),N($X946)&gt;PrazoMax),"ATRASADA",IF(AND(OR($I946="Finalizado",$I946="Entregue"),$W946&gt;0.005),"Cobrar",IF($I946="Orçamento","Aguardando aprovação",""))))</f>
        <v>0</v>
      </c>
      <c r="Z946" s="33">
        <f>IF(AND($I946="Entregue",$M946&lt;&gt;""),DATE(YEAR($M946),MONTH($M946),1),"")</f>
        <v>0</v>
      </c>
      <c r="AA946" s="34">
        <f>IF(AND($C946&lt;&gt;"",$C946=HistPlaca),COUNTIF($C$5:$C946,HistPlaca),"")</f>
        <v>0</v>
      </c>
    </row>
    <row r="947" spans="1:27">
      <c r="A947" s="17"/>
      <c r="B947" s="25"/>
      <c r="C947" s="13"/>
      <c r="D947" s="26">
        <f>IF($C947="","",IFERROR(INDEX(VeicCli,MATCH($C947,VeicPlaca,0)),"Placa não cadastrada"))</f>
        <v>0</v>
      </c>
      <c r="E947" s="26">
        <f>IF($C947="","",IFERROR(INDEX(VeicModelo,MATCH($C947,VeicPlaca,0)),""))</f>
        <v>0</v>
      </c>
      <c r="F947" s="28"/>
      <c r="G947" s="13"/>
      <c r="H947" s="13"/>
      <c r="I947" s="13"/>
      <c r="J947" s="29"/>
      <c r="K947" s="19"/>
      <c r="L947" s="19"/>
      <c r="M947" s="25"/>
      <c r="N947" s="13"/>
      <c r="O947" s="19"/>
      <c r="P947" s="27">
        <f>IF($A947="","",N($J947)*ValorHora)</f>
        <v>0</v>
      </c>
      <c r="Q947" s="27">
        <f>IF($A947="","",SUMIFS(ItTotal,ItOS,$A947))</f>
        <v>0</v>
      </c>
      <c r="R947" s="30">
        <f>IF($A947="","",$P947+$Q947+N($K947)-N($L947))</f>
        <v>0</v>
      </c>
      <c r="S947" s="27">
        <f>IF($A947="","",SUMIFS(ItCusto,ItOS,$A947))</f>
        <v>0</v>
      </c>
      <c r="T947" s="27">
        <f>IF($A947="","",$P947*ComMec)</f>
        <v>0</v>
      </c>
      <c r="U947" s="21">
        <f>IF($A947="","",$R947-$S947-$T947-N($K947))</f>
        <v>0</v>
      </c>
      <c r="V947" s="31">
        <f>IF(OR($A947="",N($R947)&lt;=0),"",$U947/$R947)</f>
        <v>0</v>
      </c>
      <c r="W947" s="27">
        <f>IF($A947="","",IF(OR($I947="Finalizado",$I947="Entregue"),MAX(0,$R947-N($O947)),0))</f>
        <v>0</v>
      </c>
      <c r="X947" s="32">
        <f>IF(OR($A947="",$B947=""),"",IF(OR($I947="Entregue",$I947="Cancelada"),"",Hoje-$B947))</f>
        <v>0</v>
      </c>
      <c r="Y947" s="24">
        <f>IF($A947="","",IF(AND(OR($I947="Aprovado",$I947="Em execução",$I947="Aguardando peça"),N($X947)&gt;PrazoMax),"ATRASADA",IF(AND(OR($I947="Finalizado",$I947="Entregue"),$W947&gt;0.005),"Cobrar",IF($I947="Orçamento","Aguardando aprovação",""))))</f>
        <v>0</v>
      </c>
      <c r="Z947" s="33">
        <f>IF(AND($I947="Entregue",$M947&lt;&gt;""),DATE(YEAR($M947),MONTH($M947),1),"")</f>
        <v>0</v>
      </c>
      <c r="AA947" s="34">
        <f>IF(AND($C947&lt;&gt;"",$C947=HistPlaca),COUNTIF($C$5:$C947,HistPlaca),"")</f>
        <v>0</v>
      </c>
    </row>
    <row r="948" spans="1:27">
      <c r="A948" s="17"/>
      <c r="B948" s="25"/>
      <c r="C948" s="13"/>
      <c r="D948" s="26">
        <f>IF($C948="","",IFERROR(INDEX(VeicCli,MATCH($C948,VeicPlaca,0)),"Placa não cadastrada"))</f>
        <v>0</v>
      </c>
      <c r="E948" s="26">
        <f>IF($C948="","",IFERROR(INDEX(VeicModelo,MATCH($C948,VeicPlaca,0)),""))</f>
        <v>0</v>
      </c>
      <c r="F948" s="28"/>
      <c r="G948" s="13"/>
      <c r="H948" s="13"/>
      <c r="I948" s="13"/>
      <c r="J948" s="29"/>
      <c r="K948" s="19"/>
      <c r="L948" s="19"/>
      <c r="M948" s="25"/>
      <c r="N948" s="13"/>
      <c r="O948" s="19"/>
      <c r="P948" s="27">
        <f>IF($A948="","",N($J948)*ValorHora)</f>
        <v>0</v>
      </c>
      <c r="Q948" s="27">
        <f>IF($A948="","",SUMIFS(ItTotal,ItOS,$A948))</f>
        <v>0</v>
      </c>
      <c r="R948" s="30">
        <f>IF($A948="","",$P948+$Q948+N($K948)-N($L948))</f>
        <v>0</v>
      </c>
      <c r="S948" s="27">
        <f>IF($A948="","",SUMIFS(ItCusto,ItOS,$A948))</f>
        <v>0</v>
      </c>
      <c r="T948" s="27">
        <f>IF($A948="","",$P948*ComMec)</f>
        <v>0</v>
      </c>
      <c r="U948" s="21">
        <f>IF($A948="","",$R948-$S948-$T948-N($K948))</f>
        <v>0</v>
      </c>
      <c r="V948" s="31">
        <f>IF(OR($A948="",N($R948)&lt;=0),"",$U948/$R948)</f>
        <v>0</v>
      </c>
      <c r="W948" s="27">
        <f>IF($A948="","",IF(OR($I948="Finalizado",$I948="Entregue"),MAX(0,$R948-N($O948)),0))</f>
        <v>0</v>
      </c>
      <c r="X948" s="32">
        <f>IF(OR($A948="",$B948=""),"",IF(OR($I948="Entregue",$I948="Cancelada"),"",Hoje-$B948))</f>
        <v>0</v>
      </c>
      <c r="Y948" s="24">
        <f>IF($A948="","",IF(AND(OR($I948="Aprovado",$I948="Em execução",$I948="Aguardando peça"),N($X948)&gt;PrazoMax),"ATRASADA",IF(AND(OR($I948="Finalizado",$I948="Entregue"),$W948&gt;0.005),"Cobrar",IF($I948="Orçamento","Aguardando aprovação",""))))</f>
        <v>0</v>
      </c>
      <c r="Z948" s="33">
        <f>IF(AND($I948="Entregue",$M948&lt;&gt;""),DATE(YEAR($M948),MONTH($M948),1),"")</f>
        <v>0</v>
      </c>
      <c r="AA948" s="34">
        <f>IF(AND($C948&lt;&gt;"",$C948=HistPlaca),COUNTIF($C$5:$C948,HistPlaca),"")</f>
        <v>0</v>
      </c>
    </row>
    <row r="949" spans="1:27">
      <c r="A949" s="17"/>
      <c r="B949" s="25"/>
      <c r="C949" s="13"/>
      <c r="D949" s="26">
        <f>IF($C949="","",IFERROR(INDEX(VeicCli,MATCH($C949,VeicPlaca,0)),"Placa não cadastrada"))</f>
        <v>0</v>
      </c>
      <c r="E949" s="26">
        <f>IF($C949="","",IFERROR(INDEX(VeicModelo,MATCH($C949,VeicPlaca,0)),""))</f>
        <v>0</v>
      </c>
      <c r="F949" s="28"/>
      <c r="G949" s="13"/>
      <c r="H949" s="13"/>
      <c r="I949" s="13"/>
      <c r="J949" s="29"/>
      <c r="K949" s="19"/>
      <c r="L949" s="19"/>
      <c r="M949" s="25"/>
      <c r="N949" s="13"/>
      <c r="O949" s="19"/>
      <c r="P949" s="27">
        <f>IF($A949="","",N($J949)*ValorHora)</f>
        <v>0</v>
      </c>
      <c r="Q949" s="27">
        <f>IF($A949="","",SUMIFS(ItTotal,ItOS,$A949))</f>
        <v>0</v>
      </c>
      <c r="R949" s="30">
        <f>IF($A949="","",$P949+$Q949+N($K949)-N($L949))</f>
        <v>0</v>
      </c>
      <c r="S949" s="27">
        <f>IF($A949="","",SUMIFS(ItCusto,ItOS,$A949))</f>
        <v>0</v>
      </c>
      <c r="T949" s="27">
        <f>IF($A949="","",$P949*ComMec)</f>
        <v>0</v>
      </c>
      <c r="U949" s="21">
        <f>IF($A949="","",$R949-$S949-$T949-N($K949))</f>
        <v>0</v>
      </c>
      <c r="V949" s="31">
        <f>IF(OR($A949="",N($R949)&lt;=0),"",$U949/$R949)</f>
        <v>0</v>
      </c>
      <c r="W949" s="27">
        <f>IF($A949="","",IF(OR($I949="Finalizado",$I949="Entregue"),MAX(0,$R949-N($O949)),0))</f>
        <v>0</v>
      </c>
      <c r="X949" s="32">
        <f>IF(OR($A949="",$B949=""),"",IF(OR($I949="Entregue",$I949="Cancelada"),"",Hoje-$B949))</f>
        <v>0</v>
      </c>
      <c r="Y949" s="24">
        <f>IF($A949="","",IF(AND(OR($I949="Aprovado",$I949="Em execução",$I949="Aguardando peça"),N($X949)&gt;PrazoMax),"ATRASADA",IF(AND(OR($I949="Finalizado",$I949="Entregue"),$W949&gt;0.005),"Cobrar",IF($I949="Orçamento","Aguardando aprovação",""))))</f>
        <v>0</v>
      </c>
      <c r="Z949" s="33">
        <f>IF(AND($I949="Entregue",$M949&lt;&gt;""),DATE(YEAR($M949),MONTH($M949),1),"")</f>
        <v>0</v>
      </c>
      <c r="AA949" s="34">
        <f>IF(AND($C949&lt;&gt;"",$C949=HistPlaca),COUNTIF($C$5:$C949,HistPlaca),"")</f>
        <v>0</v>
      </c>
    </row>
    <row r="950" spans="1:27">
      <c r="A950" s="17"/>
      <c r="B950" s="25"/>
      <c r="C950" s="13"/>
      <c r="D950" s="26">
        <f>IF($C950="","",IFERROR(INDEX(VeicCli,MATCH($C950,VeicPlaca,0)),"Placa não cadastrada"))</f>
        <v>0</v>
      </c>
      <c r="E950" s="26">
        <f>IF($C950="","",IFERROR(INDEX(VeicModelo,MATCH($C950,VeicPlaca,0)),""))</f>
        <v>0</v>
      </c>
      <c r="F950" s="28"/>
      <c r="G950" s="13"/>
      <c r="H950" s="13"/>
      <c r="I950" s="13"/>
      <c r="J950" s="29"/>
      <c r="K950" s="19"/>
      <c r="L950" s="19"/>
      <c r="M950" s="25"/>
      <c r="N950" s="13"/>
      <c r="O950" s="19"/>
      <c r="P950" s="27">
        <f>IF($A950="","",N($J950)*ValorHora)</f>
        <v>0</v>
      </c>
      <c r="Q950" s="27">
        <f>IF($A950="","",SUMIFS(ItTotal,ItOS,$A950))</f>
        <v>0</v>
      </c>
      <c r="R950" s="30">
        <f>IF($A950="","",$P950+$Q950+N($K950)-N($L950))</f>
        <v>0</v>
      </c>
      <c r="S950" s="27">
        <f>IF($A950="","",SUMIFS(ItCusto,ItOS,$A950))</f>
        <v>0</v>
      </c>
      <c r="T950" s="27">
        <f>IF($A950="","",$P950*ComMec)</f>
        <v>0</v>
      </c>
      <c r="U950" s="21">
        <f>IF($A950="","",$R950-$S950-$T950-N($K950))</f>
        <v>0</v>
      </c>
      <c r="V950" s="31">
        <f>IF(OR($A950="",N($R950)&lt;=0),"",$U950/$R950)</f>
        <v>0</v>
      </c>
      <c r="W950" s="27">
        <f>IF($A950="","",IF(OR($I950="Finalizado",$I950="Entregue"),MAX(0,$R950-N($O950)),0))</f>
        <v>0</v>
      </c>
      <c r="X950" s="32">
        <f>IF(OR($A950="",$B950=""),"",IF(OR($I950="Entregue",$I950="Cancelada"),"",Hoje-$B950))</f>
        <v>0</v>
      </c>
      <c r="Y950" s="24">
        <f>IF($A950="","",IF(AND(OR($I950="Aprovado",$I950="Em execução",$I950="Aguardando peça"),N($X950)&gt;PrazoMax),"ATRASADA",IF(AND(OR($I950="Finalizado",$I950="Entregue"),$W950&gt;0.005),"Cobrar",IF($I950="Orçamento","Aguardando aprovação",""))))</f>
        <v>0</v>
      </c>
      <c r="Z950" s="33">
        <f>IF(AND($I950="Entregue",$M950&lt;&gt;""),DATE(YEAR($M950),MONTH($M950),1),"")</f>
        <v>0</v>
      </c>
      <c r="AA950" s="34">
        <f>IF(AND($C950&lt;&gt;"",$C950=HistPlaca),COUNTIF($C$5:$C950,HistPlaca),"")</f>
        <v>0</v>
      </c>
    </row>
    <row r="951" spans="1:27">
      <c r="A951" s="17"/>
      <c r="B951" s="25"/>
      <c r="C951" s="13"/>
      <c r="D951" s="26">
        <f>IF($C951="","",IFERROR(INDEX(VeicCli,MATCH($C951,VeicPlaca,0)),"Placa não cadastrada"))</f>
        <v>0</v>
      </c>
      <c r="E951" s="26">
        <f>IF($C951="","",IFERROR(INDEX(VeicModelo,MATCH($C951,VeicPlaca,0)),""))</f>
        <v>0</v>
      </c>
      <c r="F951" s="28"/>
      <c r="G951" s="13"/>
      <c r="H951" s="13"/>
      <c r="I951" s="13"/>
      <c r="J951" s="29"/>
      <c r="K951" s="19"/>
      <c r="L951" s="19"/>
      <c r="M951" s="25"/>
      <c r="N951" s="13"/>
      <c r="O951" s="19"/>
      <c r="P951" s="27">
        <f>IF($A951="","",N($J951)*ValorHora)</f>
        <v>0</v>
      </c>
      <c r="Q951" s="27">
        <f>IF($A951="","",SUMIFS(ItTotal,ItOS,$A951))</f>
        <v>0</v>
      </c>
      <c r="R951" s="30">
        <f>IF($A951="","",$P951+$Q951+N($K951)-N($L951))</f>
        <v>0</v>
      </c>
      <c r="S951" s="27">
        <f>IF($A951="","",SUMIFS(ItCusto,ItOS,$A951))</f>
        <v>0</v>
      </c>
      <c r="T951" s="27">
        <f>IF($A951="","",$P951*ComMec)</f>
        <v>0</v>
      </c>
      <c r="U951" s="21">
        <f>IF($A951="","",$R951-$S951-$T951-N($K951))</f>
        <v>0</v>
      </c>
      <c r="V951" s="31">
        <f>IF(OR($A951="",N($R951)&lt;=0),"",$U951/$R951)</f>
        <v>0</v>
      </c>
      <c r="W951" s="27">
        <f>IF($A951="","",IF(OR($I951="Finalizado",$I951="Entregue"),MAX(0,$R951-N($O951)),0))</f>
        <v>0</v>
      </c>
      <c r="X951" s="32">
        <f>IF(OR($A951="",$B951=""),"",IF(OR($I951="Entregue",$I951="Cancelada"),"",Hoje-$B951))</f>
        <v>0</v>
      </c>
      <c r="Y951" s="24">
        <f>IF($A951="","",IF(AND(OR($I951="Aprovado",$I951="Em execução",$I951="Aguardando peça"),N($X951)&gt;PrazoMax),"ATRASADA",IF(AND(OR($I951="Finalizado",$I951="Entregue"),$W951&gt;0.005),"Cobrar",IF($I951="Orçamento","Aguardando aprovação",""))))</f>
        <v>0</v>
      </c>
      <c r="Z951" s="33">
        <f>IF(AND($I951="Entregue",$M951&lt;&gt;""),DATE(YEAR($M951),MONTH($M951),1),"")</f>
        <v>0</v>
      </c>
      <c r="AA951" s="34">
        <f>IF(AND($C951&lt;&gt;"",$C951=HistPlaca),COUNTIF($C$5:$C951,HistPlaca),"")</f>
        <v>0</v>
      </c>
    </row>
    <row r="952" spans="1:27">
      <c r="A952" s="17"/>
      <c r="B952" s="25"/>
      <c r="C952" s="13"/>
      <c r="D952" s="26">
        <f>IF($C952="","",IFERROR(INDEX(VeicCli,MATCH($C952,VeicPlaca,0)),"Placa não cadastrada"))</f>
        <v>0</v>
      </c>
      <c r="E952" s="26">
        <f>IF($C952="","",IFERROR(INDEX(VeicModelo,MATCH($C952,VeicPlaca,0)),""))</f>
        <v>0</v>
      </c>
      <c r="F952" s="28"/>
      <c r="G952" s="13"/>
      <c r="H952" s="13"/>
      <c r="I952" s="13"/>
      <c r="J952" s="29"/>
      <c r="K952" s="19"/>
      <c r="L952" s="19"/>
      <c r="M952" s="25"/>
      <c r="N952" s="13"/>
      <c r="O952" s="19"/>
      <c r="P952" s="27">
        <f>IF($A952="","",N($J952)*ValorHora)</f>
        <v>0</v>
      </c>
      <c r="Q952" s="27">
        <f>IF($A952="","",SUMIFS(ItTotal,ItOS,$A952))</f>
        <v>0</v>
      </c>
      <c r="R952" s="30">
        <f>IF($A952="","",$P952+$Q952+N($K952)-N($L952))</f>
        <v>0</v>
      </c>
      <c r="S952" s="27">
        <f>IF($A952="","",SUMIFS(ItCusto,ItOS,$A952))</f>
        <v>0</v>
      </c>
      <c r="T952" s="27">
        <f>IF($A952="","",$P952*ComMec)</f>
        <v>0</v>
      </c>
      <c r="U952" s="21">
        <f>IF($A952="","",$R952-$S952-$T952-N($K952))</f>
        <v>0</v>
      </c>
      <c r="V952" s="31">
        <f>IF(OR($A952="",N($R952)&lt;=0),"",$U952/$R952)</f>
        <v>0</v>
      </c>
      <c r="W952" s="27">
        <f>IF($A952="","",IF(OR($I952="Finalizado",$I952="Entregue"),MAX(0,$R952-N($O952)),0))</f>
        <v>0</v>
      </c>
      <c r="X952" s="32">
        <f>IF(OR($A952="",$B952=""),"",IF(OR($I952="Entregue",$I952="Cancelada"),"",Hoje-$B952))</f>
        <v>0</v>
      </c>
      <c r="Y952" s="24">
        <f>IF($A952="","",IF(AND(OR($I952="Aprovado",$I952="Em execução",$I952="Aguardando peça"),N($X952)&gt;PrazoMax),"ATRASADA",IF(AND(OR($I952="Finalizado",$I952="Entregue"),$W952&gt;0.005),"Cobrar",IF($I952="Orçamento","Aguardando aprovação",""))))</f>
        <v>0</v>
      </c>
      <c r="Z952" s="33">
        <f>IF(AND($I952="Entregue",$M952&lt;&gt;""),DATE(YEAR($M952),MONTH($M952),1),"")</f>
        <v>0</v>
      </c>
      <c r="AA952" s="34">
        <f>IF(AND($C952&lt;&gt;"",$C952=HistPlaca),COUNTIF($C$5:$C952,HistPlaca),"")</f>
        <v>0</v>
      </c>
    </row>
    <row r="953" spans="1:27">
      <c r="A953" s="17"/>
      <c r="B953" s="25"/>
      <c r="C953" s="13"/>
      <c r="D953" s="26">
        <f>IF($C953="","",IFERROR(INDEX(VeicCli,MATCH($C953,VeicPlaca,0)),"Placa não cadastrada"))</f>
        <v>0</v>
      </c>
      <c r="E953" s="26">
        <f>IF($C953="","",IFERROR(INDEX(VeicModelo,MATCH($C953,VeicPlaca,0)),""))</f>
        <v>0</v>
      </c>
      <c r="F953" s="28"/>
      <c r="G953" s="13"/>
      <c r="H953" s="13"/>
      <c r="I953" s="13"/>
      <c r="J953" s="29"/>
      <c r="K953" s="19"/>
      <c r="L953" s="19"/>
      <c r="M953" s="25"/>
      <c r="N953" s="13"/>
      <c r="O953" s="19"/>
      <c r="P953" s="27">
        <f>IF($A953="","",N($J953)*ValorHora)</f>
        <v>0</v>
      </c>
      <c r="Q953" s="27">
        <f>IF($A953="","",SUMIFS(ItTotal,ItOS,$A953))</f>
        <v>0</v>
      </c>
      <c r="R953" s="30">
        <f>IF($A953="","",$P953+$Q953+N($K953)-N($L953))</f>
        <v>0</v>
      </c>
      <c r="S953" s="27">
        <f>IF($A953="","",SUMIFS(ItCusto,ItOS,$A953))</f>
        <v>0</v>
      </c>
      <c r="T953" s="27">
        <f>IF($A953="","",$P953*ComMec)</f>
        <v>0</v>
      </c>
      <c r="U953" s="21">
        <f>IF($A953="","",$R953-$S953-$T953-N($K953))</f>
        <v>0</v>
      </c>
      <c r="V953" s="31">
        <f>IF(OR($A953="",N($R953)&lt;=0),"",$U953/$R953)</f>
        <v>0</v>
      </c>
      <c r="W953" s="27">
        <f>IF($A953="","",IF(OR($I953="Finalizado",$I953="Entregue"),MAX(0,$R953-N($O953)),0))</f>
        <v>0</v>
      </c>
      <c r="X953" s="32">
        <f>IF(OR($A953="",$B953=""),"",IF(OR($I953="Entregue",$I953="Cancelada"),"",Hoje-$B953))</f>
        <v>0</v>
      </c>
      <c r="Y953" s="24">
        <f>IF($A953="","",IF(AND(OR($I953="Aprovado",$I953="Em execução",$I953="Aguardando peça"),N($X953)&gt;PrazoMax),"ATRASADA",IF(AND(OR($I953="Finalizado",$I953="Entregue"),$W953&gt;0.005),"Cobrar",IF($I953="Orçamento","Aguardando aprovação",""))))</f>
        <v>0</v>
      </c>
      <c r="Z953" s="33">
        <f>IF(AND($I953="Entregue",$M953&lt;&gt;""),DATE(YEAR($M953),MONTH($M953),1),"")</f>
        <v>0</v>
      </c>
      <c r="AA953" s="34">
        <f>IF(AND($C953&lt;&gt;"",$C953=HistPlaca),COUNTIF($C$5:$C953,HistPlaca),"")</f>
        <v>0</v>
      </c>
    </row>
    <row r="954" spans="1:27">
      <c r="A954" s="17"/>
      <c r="B954" s="25"/>
      <c r="C954" s="13"/>
      <c r="D954" s="26">
        <f>IF($C954="","",IFERROR(INDEX(VeicCli,MATCH($C954,VeicPlaca,0)),"Placa não cadastrada"))</f>
        <v>0</v>
      </c>
      <c r="E954" s="26">
        <f>IF($C954="","",IFERROR(INDEX(VeicModelo,MATCH($C954,VeicPlaca,0)),""))</f>
        <v>0</v>
      </c>
      <c r="F954" s="28"/>
      <c r="G954" s="13"/>
      <c r="H954" s="13"/>
      <c r="I954" s="13"/>
      <c r="J954" s="29"/>
      <c r="K954" s="19"/>
      <c r="L954" s="19"/>
      <c r="M954" s="25"/>
      <c r="N954" s="13"/>
      <c r="O954" s="19"/>
      <c r="P954" s="27">
        <f>IF($A954="","",N($J954)*ValorHora)</f>
        <v>0</v>
      </c>
      <c r="Q954" s="27">
        <f>IF($A954="","",SUMIFS(ItTotal,ItOS,$A954))</f>
        <v>0</v>
      </c>
      <c r="R954" s="30">
        <f>IF($A954="","",$P954+$Q954+N($K954)-N($L954))</f>
        <v>0</v>
      </c>
      <c r="S954" s="27">
        <f>IF($A954="","",SUMIFS(ItCusto,ItOS,$A954))</f>
        <v>0</v>
      </c>
      <c r="T954" s="27">
        <f>IF($A954="","",$P954*ComMec)</f>
        <v>0</v>
      </c>
      <c r="U954" s="21">
        <f>IF($A954="","",$R954-$S954-$T954-N($K954))</f>
        <v>0</v>
      </c>
      <c r="V954" s="31">
        <f>IF(OR($A954="",N($R954)&lt;=0),"",$U954/$R954)</f>
        <v>0</v>
      </c>
      <c r="W954" s="27">
        <f>IF($A954="","",IF(OR($I954="Finalizado",$I954="Entregue"),MAX(0,$R954-N($O954)),0))</f>
        <v>0</v>
      </c>
      <c r="X954" s="32">
        <f>IF(OR($A954="",$B954=""),"",IF(OR($I954="Entregue",$I954="Cancelada"),"",Hoje-$B954))</f>
        <v>0</v>
      </c>
      <c r="Y954" s="24">
        <f>IF($A954="","",IF(AND(OR($I954="Aprovado",$I954="Em execução",$I954="Aguardando peça"),N($X954)&gt;PrazoMax),"ATRASADA",IF(AND(OR($I954="Finalizado",$I954="Entregue"),$W954&gt;0.005),"Cobrar",IF($I954="Orçamento","Aguardando aprovação",""))))</f>
        <v>0</v>
      </c>
      <c r="Z954" s="33">
        <f>IF(AND($I954="Entregue",$M954&lt;&gt;""),DATE(YEAR($M954),MONTH($M954),1),"")</f>
        <v>0</v>
      </c>
      <c r="AA954" s="34">
        <f>IF(AND($C954&lt;&gt;"",$C954=HistPlaca),COUNTIF($C$5:$C954,HistPlaca),"")</f>
        <v>0</v>
      </c>
    </row>
    <row r="955" spans="1:27">
      <c r="A955" s="17"/>
      <c r="B955" s="25"/>
      <c r="C955" s="13"/>
      <c r="D955" s="26">
        <f>IF($C955="","",IFERROR(INDEX(VeicCli,MATCH($C955,VeicPlaca,0)),"Placa não cadastrada"))</f>
        <v>0</v>
      </c>
      <c r="E955" s="26">
        <f>IF($C955="","",IFERROR(INDEX(VeicModelo,MATCH($C955,VeicPlaca,0)),""))</f>
        <v>0</v>
      </c>
      <c r="F955" s="28"/>
      <c r="G955" s="13"/>
      <c r="H955" s="13"/>
      <c r="I955" s="13"/>
      <c r="J955" s="29"/>
      <c r="K955" s="19"/>
      <c r="L955" s="19"/>
      <c r="M955" s="25"/>
      <c r="N955" s="13"/>
      <c r="O955" s="19"/>
      <c r="P955" s="27">
        <f>IF($A955="","",N($J955)*ValorHora)</f>
        <v>0</v>
      </c>
      <c r="Q955" s="27">
        <f>IF($A955="","",SUMIFS(ItTotal,ItOS,$A955))</f>
        <v>0</v>
      </c>
      <c r="R955" s="30">
        <f>IF($A955="","",$P955+$Q955+N($K955)-N($L955))</f>
        <v>0</v>
      </c>
      <c r="S955" s="27">
        <f>IF($A955="","",SUMIFS(ItCusto,ItOS,$A955))</f>
        <v>0</v>
      </c>
      <c r="T955" s="27">
        <f>IF($A955="","",$P955*ComMec)</f>
        <v>0</v>
      </c>
      <c r="U955" s="21">
        <f>IF($A955="","",$R955-$S955-$T955-N($K955))</f>
        <v>0</v>
      </c>
      <c r="V955" s="31">
        <f>IF(OR($A955="",N($R955)&lt;=0),"",$U955/$R955)</f>
        <v>0</v>
      </c>
      <c r="W955" s="27">
        <f>IF($A955="","",IF(OR($I955="Finalizado",$I955="Entregue"),MAX(0,$R955-N($O955)),0))</f>
        <v>0</v>
      </c>
      <c r="X955" s="32">
        <f>IF(OR($A955="",$B955=""),"",IF(OR($I955="Entregue",$I955="Cancelada"),"",Hoje-$B955))</f>
        <v>0</v>
      </c>
      <c r="Y955" s="24">
        <f>IF($A955="","",IF(AND(OR($I955="Aprovado",$I955="Em execução",$I955="Aguardando peça"),N($X955)&gt;PrazoMax),"ATRASADA",IF(AND(OR($I955="Finalizado",$I955="Entregue"),$W955&gt;0.005),"Cobrar",IF($I955="Orçamento","Aguardando aprovação",""))))</f>
        <v>0</v>
      </c>
      <c r="Z955" s="33">
        <f>IF(AND($I955="Entregue",$M955&lt;&gt;""),DATE(YEAR($M955),MONTH($M955),1),"")</f>
        <v>0</v>
      </c>
      <c r="AA955" s="34">
        <f>IF(AND($C955&lt;&gt;"",$C955=HistPlaca),COUNTIF($C$5:$C955,HistPlaca),"")</f>
        <v>0</v>
      </c>
    </row>
    <row r="956" spans="1:27">
      <c r="A956" s="17"/>
      <c r="B956" s="25"/>
      <c r="C956" s="13"/>
      <c r="D956" s="26">
        <f>IF($C956="","",IFERROR(INDEX(VeicCli,MATCH($C956,VeicPlaca,0)),"Placa não cadastrada"))</f>
        <v>0</v>
      </c>
      <c r="E956" s="26">
        <f>IF($C956="","",IFERROR(INDEX(VeicModelo,MATCH($C956,VeicPlaca,0)),""))</f>
        <v>0</v>
      </c>
      <c r="F956" s="28"/>
      <c r="G956" s="13"/>
      <c r="H956" s="13"/>
      <c r="I956" s="13"/>
      <c r="J956" s="29"/>
      <c r="K956" s="19"/>
      <c r="L956" s="19"/>
      <c r="M956" s="25"/>
      <c r="N956" s="13"/>
      <c r="O956" s="19"/>
      <c r="P956" s="27">
        <f>IF($A956="","",N($J956)*ValorHora)</f>
        <v>0</v>
      </c>
      <c r="Q956" s="27">
        <f>IF($A956="","",SUMIFS(ItTotal,ItOS,$A956))</f>
        <v>0</v>
      </c>
      <c r="R956" s="30">
        <f>IF($A956="","",$P956+$Q956+N($K956)-N($L956))</f>
        <v>0</v>
      </c>
      <c r="S956" s="27">
        <f>IF($A956="","",SUMIFS(ItCusto,ItOS,$A956))</f>
        <v>0</v>
      </c>
      <c r="T956" s="27">
        <f>IF($A956="","",$P956*ComMec)</f>
        <v>0</v>
      </c>
      <c r="U956" s="21">
        <f>IF($A956="","",$R956-$S956-$T956-N($K956))</f>
        <v>0</v>
      </c>
      <c r="V956" s="31">
        <f>IF(OR($A956="",N($R956)&lt;=0),"",$U956/$R956)</f>
        <v>0</v>
      </c>
      <c r="W956" s="27">
        <f>IF($A956="","",IF(OR($I956="Finalizado",$I956="Entregue"),MAX(0,$R956-N($O956)),0))</f>
        <v>0</v>
      </c>
      <c r="X956" s="32">
        <f>IF(OR($A956="",$B956=""),"",IF(OR($I956="Entregue",$I956="Cancelada"),"",Hoje-$B956))</f>
        <v>0</v>
      </c>
      <c r="Y956" s="24">
        <f>IF($A956="","",IF(AND(OR($I956="Aprovado",$I956="Em execução",$I956="Aguardando peça"),N($X956)&gt;PrazoMax),"ATRASADA",IF(AND(OR($I956="Finalizado",$I956="Entregue"),$W956&gt;0.005),"Cobrar",IF($I956="Orçamento","Aguardando aprovação",""))))</f>
        <v>0</v>
      </c>
      <c r="Z956" s="33">
        <f>IF(AND($I956="Entregue",$M956&lt;&gt;""),DATE(YEAR($M956),MONTH($M956),1),"")</f>
        <v>0</v>
      </c>
      <c r="AA956" s="34">
        <f>IF(AND($C956&lt;&gt;"",$C956=HistPlaca),COUNTIF($C$5:$C956,HistPlaca),"")</f>
        <v>0</v>
      </c>
    </row>
    <row r="957" spans="1:27">
      <c r="A957" s="17"/>
      <c r="B957" s="25"/>
      <c r="C957" s="13"/>
      <c r="D957" s="26">
        <f>IF($C957="","",IFERROR(INDEX(VeicCli,MATCH($C957,VeicPlaca,0)),"Placa não cadastrada"))</f>
        <v>0</v>
      </c>
      <c r="E957" s="26">
        <f>IF($C957="","",IFERROR(INDEX(VeicModelo,MATCH($C957,VeicPlaca,0)),""))</f>
        <v>0</v>
      </c>
      <c r="F957" s="28"/>
      <c r="G957" s="13"/>
      <c r="H957" s="13"/>
      <c r="I957" s="13"/>
      <c r="J957" s="29"/>
      <c r="K957" s="19"/>
      <c r="L957" s="19"/>
      <c r="M957" s="25"/>
      <c r="N957" s="13"/>
      <c r="O957" s="19"/>
      <c r="P957" s="27">
        <f>IF($A957="","",N($J957)*ValorHora)</f>
        <v>0</v>
      </c>
      <c r="Q957" s="27">
        <f>IF($A957="","",SUMIFS(ItTotal,ItOS,$A957))</f>
        <v>0</v>
      </c>
      <c r="R957" s="30">
        <f>IF($A957="","",$P957+$Q957+N($K957)-N($L957))</f>
        <v>0</v>
      </c>
      <c r="S957" s="27">
        <f>IF($A957="","",SUMIFS(ItCusto,ItOS,$A957))</f>
        <v>0</v>
      </c>
      <c r="T957" s="27">
        <f>IF($A957="","",$P957*ComMec)</f>
        <v>0</v>
      </c>
      <c r="U957" s="21">
        <f>IF($A957="","",$R957-$S957-$T957-N($K957))</f>
        <v>0</v>
      </c>
      <c r="V957" s="31">
        <f>IF(OR($A957="",N($R957)&lt;=0),"",$U957/$R957)</f>
        <v>0</v>
      </c>
      <c r="W957" s="27">
        <f>IF($A957="","",IF(OR($I957="Finalizado",$I957="Entregue"),MAX(0,$R957-N($O957)),0))</f>
        <v>0</v>
      </c>
      <c r="X957" s="32">
        <f>IF(OR($A957="",$B957=""),"",IF(OR($I957="Entregue",$I957="Cancelada"),"",Hoje-$B957))</f>
        <v>0</v>
      </c>
      <c r="Y957" s="24">
        <f>IF($A957="","",IF(AND(OR($I957="Aprovado",$I957="Em execução",$I957="Aguardando peça"),N($X957)&gt;PrazoMax),"ATRASADA",IF(AND(OR($I957="Finalizado",$I957="Entregue"),$W957&gt;0.005),"Cobrar",IF($I957="Orçamento","Aguardando aprovação",""))))</f>
        <v>0</v>
      </c>
      <c r="Z957" s="33">
        <f>IF(AND($I957="Entregue",$M957&lt;&gt;""),DATE(YEAR($M957),MONTH($M957),1),"")</f>
        <v>0</v>
      </c>
      <c r="AA957" s="34">
        <f>IF(AND($C957&lt;&gt;"",$C957=HistPlaca),COUNTIF($C$5:$C957,HistPlaca),"")</f>
        <v>0</v>
      </c>
    </row>
    <row r="958" spans="1:27">
      <c r="A958" s="17"/>
      <c r="B958" s="25"/>
      <c r="C958" s="13"/>
      <c r="D958" s="26">
        <f>IF($C958="","",IFERROR(INDEX(VeicCli,MATCH($C958,VeicPlaca,0)),"Placa não cadastrada"))</f>
        <v>0</v>
      </c>
      <c r="E958" s="26">
        <f>IF($C958="","",IFERROR(INDEX(VeicModelo,MATCH($C958,VeicPlaca,0)),""))</f>
        <v>0</v>
      </c>
      <c r="F958" s="28"/>
      <c r="G958" s="13"/>
      <c r="H958" s="13"/>
      <c r="I958" s="13"/>
      <c r="J958" s="29"/>
      <c r="K958" s="19"/>
      <c r="L958" s="19"/>
      <c r="M958" s="25"/>
      <c r="N958" s="13"/>
      <c r="O958" s="19"/>
      <c r="P958" s="27">
        <f>IF($A958="","",N($J958)*ValorHora)</f>
        <v>0</v>
      </c>
      <c r="Q958" s="27">
        <f>IF($A958="","",SUMIFS(ItTotal,ItOS,$A958))</f>
        <v>0</v>
      </c>
      <c r="R958" s="30">
        <f>IF($A958="","",$P958+$Q958+N($K958)-N($L958))</f>
        <v>0</v>
      </c>
      <c r="S958" s="27">
        <f>IF($A958="","",SUMIFS(ItCusto,ItOS,$A958))</f>
        <v>0</v>
      </c>
      <c r="T958" s="27">
        <f>IF($A958="","",$P958*ComMec)</f>
        <v>0</v>
      </c>
      <c r="U958" s="21">
        <f>IF($A958="","",$R958-$S958-$T958-N($K958))</f>
        <v>0</v>
      </c>
      <c r="V958" s="31">
        <f>IF(OR($A958="",N($R958)&lt;=0),"",$U958/$R958)</f>
        <v>0</v>
      </c>
      <c r="W958" s="27">
        <f>IF($A958="","",IF(OR($I958="Finalizado",$I958="Entregue"),MAX(0,$R958-N($O958)),0))</f>
        <v>0</v>
      </c>
      <c r="X958" s="32">
        <f>IF(OR($A958="",$B958=""),"",IF(OR($I958="Entregue",$I958="Cancelada"),"",Hoje-$B958))</f>
        <v>0</v>
      </c>
      <c r="Y958" s="24">
        <f>IF($A958="","",IF(AND(OR($I958="Aprovado",$I958="Em execução",$I958="Aguardando peça"),N($X958)&gt;PrazoMax),"ATRASADA",IF(AND(OR($I958="Finalizado",$I958="Entregue"),$W958&gt;0.005),"Cobrar",IF($I958="Orçamento","Aguardando aprovação",""))))</f>
        <v>0</v>
      </c>
      <c r="Z958" s="33">
        <f>IF(AND($I958="Entregue",$M958&lt;&gt;""),DATE(YEAR($M958),MONTH($M958),1),"")</f>
        <v>0</v>
      </c>
      <c r="AA958" s="34">
        <f>IF(AND($C958&lt;&gt;"",$C958=HistPlaca),COUNTIF($C$5:$C958,HistPlaca),"")</f>
        <v>0</v>
      </c>
    </row>
    <row r="959" spans="1:27">
      <c r="A959" s="17"/>
      <c r="B959" s="25"/>
      <c r="C959" s="13"/>
      <c r="D959" s="26">
        <f>IF($C959="","",IFERROR(INDEX(VeicCli,MATCH($C959,VeicPlaca,0)),"Placa não cadastrada"))</f>
        <v>0</v>
      </c>
      <c r="E959" s="26">
        <f>IF($C959="","",IFERROR(INDEX(VeicModelo,MATCH($C959,VeicPlaca,0)),""))</f>
        <v>0</v>
      </c>
      <c r="F959" s="28"/>
      <c r="G959" s="13"/>
      <c r="H959" s="13"/>
      <c r="I959" s="13"/>
      <c r="J959" s="29"/>
      <c r="K959" s="19"/>
      <c r="L959" s="19"/>
      <c r="M959" s="25"/>
      <c r="N959" s="13"/>
      <c r="O959" s="19"/>
      <c r="P959" s="27">
        <f>IF($A959="","",N($J959)*ValorHora)</f>
        <v>0</v>
      </c>
      <c r="Q959" s="27">
        <f>IF($A959="","",SUMIFS(ItTotal,ItOS,$A959))</f>
        <v>0</v>
      </c>
      <c r="R959" s="30">
        <f>IF($A959="","",$P959+$Q959+N($K959)-N($L959))</f>
        <v>0</v>
      </c>
      <c r="S959" s="27">
        <f>IF($A959="","",SUMIFS(ItCusto,ItOS,$A959))</f>
        <v>0</v>
      </c>
      <c r="T959" s="27">
        <f>IF($A959="","",$P959*ComMec)</f>
        <v>0</v>
      </c>
      <c r="U959" s="21">
        <f>IF($A959="","",$R959-$S959-$T959-N($K959))</f>
        <v>0</v>
      </c>
      <c r="V959" s="31">
        <f>IF(OR($A959="",N($R959)&lt;=0),"",$U959/$R959)</f>
        <v>0</v>
      </c>
      <c r="W959" s="27">
        <f>IF($A959="","",IF(OR($I959="Finalizado",$I959="Entregue"),MAX(0,$R959-N($O959)),0))</f>
        <v>0</v>
      </c>
      <c r="X959" s="32">
        <f>IF(OR($A959="",$B959=""),"",IF(OR($I959="Entregue",$I959="Cancelada"),"",Hoje-$B959))</f>
        <v>0</v>
      </c>
      <c r="Y959" s="24">
        <f>IF($A959="","",IF(AND(OR($I959="Aprovado",$I959="Em execução",$I959="Aguardando peça"),N($X959)&gt;PrazoMax),"ATRASADA",IF(AND(OR($I959="Finalizado",$I959="Entregue"),$W959&gt;0.005),"Cobrar",IF($I959="Orçamento","Aguardando aprovação",""))))</f>
        <v>0</v>
      </c>
      <c r="Z959" s="33">
        <f>IF(AND($I959="Entregue",$M959&lt;&gt;""),DATE(YEAR($M959),MONTH($M959),1),"")</f>
        <v>0</v>
      </c>
      <c r="AA959" s="34">
        <f>IF(AND($C959&lt;&gt;"",$C959=HistPlaca),COUNTIF($C$5:$C959,HistPlaca),"")</f>
        <v>0</v>
      </c>
    </row>
    <row r="960" spans="1:27">
      <c r="A960" s="17"/>
      <c r="B960" s="25"/>
      <c r="C960" s="13"/>
      <c r="D960" s="26">
        <f>IF($C960="","",IFERROR(INDEX(VeicCli,MATCH($C960,VeicPlaca,0)),"Placa não cadastrada"))</f>
        <v>0</v>
      </c>
      <c r="E960" s="26">
        <f>IF($C960="","",IFERROR(INDEX(VeicModelo,MATCH($C960,VeicPlaca,0)),""))</f>
        <v>0</v>
      </c>
      <c r="F960" s="28"/>
      <c r="G960" s="13"/>
      <c r="H960" s="13"/>
      <c r="I960" s="13"/>
      <c r="J960" s="29"/>
      <c r="K960" s="19"/>
      <c r="L960" s="19"/>
      <c r="M960" s="25"/>
      <c r="N960" s="13"/>
      <c r="O960" s="19"/>
      <c r="P960" s="27">
        <f>IF($A960="","",N($J960)*ValorHora)</f>
        <v>0</v>
      </c>
      <c r="Q960" s="27">
        <f>IF($A960="","",SUMIFS(ItTotal,ItOS,$A960))</f>
        <v>0</v>
      </c>
      <c r="R960" s="30">
        <f>IF($A960="","",$P960+$Q960+N($K960)-N($L960))</f>
        <v>0</v>
      </c>
      <c r="S960" s="27">
        <f>IF($A960="","",SUMIFS(ItCusto,ItOS,$A960))</f>
        <v>0</v>
      </c>
      <c r="T960" s="27">
        <f>IF($A960="","",$P960*ComMec)</f>
        <v>0</v>
      </c>
      <c r="U960" s="21">
        <f>IF($A960="","",$R960-$S960-$T960-N($K960))</f>
        <v>0</v>
      </c>
      <c r="V960" s="31">
        <f>IF(OR($A960="",N($R960)&lt;=0),"",$U960/$R960)</f>
        <v>0</v>
      </c>
      <c r="W960" s="27">
        <f>IF($A960="","",IF(OR($I960="Finalizado",$I960="Entregue"),MAX(0,$R960-N($O960)),0))</f>
        <v>0</v>
      </c>
      <c r="X960" s="32">
        <f>IF(OR($A960="",$B960=""),"",IF(OR($I960="Entregue",$I960="Cancelada"),"",Hoje-$B960))</f>
        <v>0</v>
      </c>
      <c r="Y960" s="24">
        <f>IF($A960="","",IF(AND(OR($I960="Aprovado",$I960="Em execução",$I960="Aguardando peça"),N($X960)&gt;PrazoMax),"ATRASADA",IF(AND(OR($I960="Finalizado",$I960="Entregue"),$W960&gt;0.005),"Cobrar",IF($I960="Orçamento","Aguardando aprovação",""))))</f>
        <v>0</v>
      </c>
      <c r="Z960" s="33">
        <f>IF(AND($I960="Entregue",$M960&lt;&gt;""),DATE(YEAR($M960),MONTH($M960),1),"")</f>
        <v>0</v>
      </c>
      <c r="AA960" s="34">
        <f>IF(AND($C960&lt;&gt;"",$C960=HistPlaca),COUNTIF($C$5:$C960,HistPlaca),"")</f>
        <v>0</v>
      </c>
    </row>
    <row r="961" spans="1:27">
      <c r="A961" s="17"/>
      <c r="B961" s="25"/>
      <c r="C961" s="13"/>
      <c r="D961" s="26">
        <f>IF($C961="","",IFERROR(INDEX(VeicCli,MATCH($C961,VeicPlaca,0)),"Placa não cadastrada"))</f>
        <v>0</v>
      </c>
      <c r="E961" s="26">
        <f>IF($C961="","",IFERROR(INDEX(VeicModelo,MATCH($C961,VeicPlaca,0)),""))</f>
        <v>0</v>
      </c>
      <c r="F961" s="28"/>
      <c r="G961" s="13"/>
      <c r="H961" s="13"/>
      <c r="I961" s="13"/>
      <c r="J961" s="29"/>
      <c r="K961" s="19"/>
      <c r="L961" s="19"/>
      <c r="M961" s="25"/>
      <c r="N961" s="13"/>
      <c r="O961" s="19"/>
      <c r="P961" s="27">
        <f>IF($A961="","",N($J961)*ValorHora)</f>
        <v>0</v>
      </c>
      <c r="Q961" s="27">
        <f>IF($A961="","",SUMIFS(ItTotal,ItOS,$A961))</f>
        <v>0</v>
      </c>
      <c r="R961" s="30">
        <f>IF($A961="","",$P961+$Q961+N($K961)-N($L961))</f>
        <v>0</v>
      </c>
      <c r="S961" s="27">
        <f>IF($A961="","",SUMIFS(ItCusto,ItOS,$A961))</f>
        <v>0</v>
      </c>
      <c r="T961" s="27">
        <f>IF($A961="","",$P961*ComMec)</f>
        <v>0</v>
      </c>
      <c r="U961" s="21">
        <f>IF($A961="","",$R961-$S961-$T961-N($K961))</f>
        <v>0</v>
      </c>
      <c r="V961" s="31">
        <f>IF(OR($A961="",N($R961)&lt;=0),"",$U961/$R961)</f>
        <v>0</v>
      </c>
      <c r="W961" s="27">
        <f>IF($A961="","",IF(OR($I961="Finalizado",$I961="Entregue"),MAX(0,$R961-N($O961)),0))</f>
        <v>0</v>
      </c>
      <c r="X961" s="32">
        <f>IF(OR($A961="",$B961=""),"",IF(OR($I961="Entregue",$I961="Cancelada"),"",Hoje-$B961))</f>
        <v>0</v>
      </c>
      <c r="Y961" s="24">
        <f>IF($A961="","",IF(AND(OR($I961="Aprovado",$I961="Em execução",$I961="Aguardando peça"),N($X961)&gt;PrazoMax),"ATRASADA",IF(AND(OR($I961="Finalizado",$I961="Entregue"),$W961&gt;0.005),"Cobrar",IF($I961="Orçamento","Aguardando aprovação",""))))</f>
        <v>0</v>
      </c>
      <c r="Z961" s="33">
        <f>IF(AND($I961="Entregue",$M961&lt;&gt;""),DATE(YEAR($M961),MONTH($M961),1),"")</f>
        <v>0</v>
      </c>
      <c r="AA961" s="34">
        <f>IF(AND($C961&lt;&gt;"",$C961=HistPlaca),COUNTIF($C$5:$C961,HistPlaca),"")</f>
        <v>0</v>
      </c>
    </row>
    <row r="962" spans="1:27">
      <c r="A962" s="17"/>
      <c r="B962" s="25"/>
      <c r="C962" s="13"/>
      <c r="D962" s="26">
        <f>IF($C962="","",IFERROR(INDEX(VeicCli,MATCH($C962,VeicPlaca,0)),"Placa não cadastrada"))</f>
        <v>0</v>
      </c>
      <c r="E962" s="26">
        <f>IF($C962="","",IFERROR(INDEX(VeicModelo,MATCH($C962,VeicPlaca,0)),""))</f>
        <v>0</v>
      </c>
      <c r="F962" s="28"/>
      <c r="G962" s="13"/>
      <c r="H962" s="13"/>
      <c r="I962" s="13"/>
      <c r="J962" s="29"/>
      <c r="K962" s="19"/>
      <c r="L962" s="19"/>
      <c r="M962" s="25"/>
      <c r="N962" s="13"/>
      <c r="O962" s="19"/>
      <c r="P962" s="27">
        <f>IF($A962="","",N($J962)*ValorHora)</f>
        <v>0</v>
      </c>
      <c r="Q962" s="27">
        <f>IF($A962="","",SUMIFS(ItTotal,ItOS,$A962))</f>
        <v>0</v>
      </c>
      <c r="R962" s="30">
        <f>IF($A962="","",$P962+$Q962+N($K962)-N($L962))</f>
        <v>0</v>
      </c>
      <c r="S962" s="27">
        <f>IF($A962="","",SUMIFS(ItCusto,ItOS,$A962))</f>
        <v>0</v>
      </c>
      <c r="T962" s="27">
        <f>IF($A962="","",$P962*ComMec)</f>
        <v>0</v>
      </c>
      <c r="U962" s="21">
        <f>IF($A962="","",$R962-$S962-$T962-N($K962))</f>
        <v>0</v>
      </c>
      <c r="V962" s="31">
        <f>IF(OR($A962="",N($R962)&lt;=0),"",$U962/$R962)</f>
        <v>0</v>
      </c>
      <c r="W962" s="27">
        <f>IF($A962="","",IF(OR($I962="Finalizado",$I962="Entregue"),MAX(0,$R962-N($O962)),0))</f>
        <v>0</v>
      </c>
      <c r="X962" s="32">
        <f>IF(OR($A962="",$B962=""),"",IF(OR($I962="Entregue",$I962="Cancelada"),"",Hoje-$B962))</f>
        <v>0</v>
      </c>
      <c r="Y962" s="24">
        <f>IF($A962="","",IF(AND(OR($I962="Aprovado",$I962="Em execução",$I962="Aguardando peça"),N($X962)&gt;PrazoMax),"ATRASADA",IF(AND(OR($I962="Finalizado",$I962="Entregue"),$W962&gt;0.005),"Cobrar",IF($I962="Orçamento","Aguardando aprovação",""))))</f>
        <v>0</v>
      </c>
      <c r="Z962" s="33">
        <f>IF(AND($I962="Entregue",$M962&lt;&gt;""),DATE(YEAR($M962),MONTH($M962),1),"")</f>
        <v>0</v>
      </c>
      <c r="AA962" s="34">
        <f>IF(AND($C962&lt;&gt;"",$C962=HistPlaca),COUNTIF($C$5:$C962,HistPlaca),"")</f>
        <v>0</v>
      </c>
    </row>
    <row r="963" spans="1:27">
      <c r="A963" s="17"/>
      <c r="B963" s="25"/>
      <c r="C963" s="13"/>
      <c r="D963" s="26">
        <f>IF($C963="","",IFERROR(INDEX(VeicCli,MATCH($C963,VeicPlaca,0)),"Placa não cadastrada"))</f>
        <v>0</v>
      </c>
      <c r="E963" s="26">
        <f>IF($C963="","",IFERROR(INDEX(VeicModelo,MATCH($C963,VeicPlaca,0)),""))</f>
        <v>0</v>
      </c>
      <c r="F963" s="28"/>
      <c r="G963" s="13"/>
      <c r="H963" s="13"/>
      <c r="I963" s="13"/>
      <c r="J963" s="29"/>
      <c r="K963" s="19"/>
      <c r="L963" s="19"/>
      <c r="M963" s="25"/>
      <c r="N963" s="13"/>
      <c r="O963" s="19"/>
      <c r="P963" s="27">
        <f>IF($A963="","",N($J963)*ValorHora)</f>
        <v>0</v>
      </c>
      <c r="Q963" s="27">
        <f>IF($A963="","",SUMIFS(ItTotal,ItOS,$A963))</f>
        <v>0</v>
      </c>
      <c r="R963" s="30">
        <f>IF($A963="","",$P963+$Q963+N($K963)-N($L963))</f>
        <v>0</v>
      </c>
      <c r="S963" s="27">
        <f>IF($A963="","",SUMIFS(ItCusto,ItOS,$A963))</f>
        <v>0</v>
      </c>
      <c r="T963" s="27">
        <f>IF($A963="","",$P963*ComMec)</f>
        <v>0</v>
      </c>
      <c r="U963" s="21">
        <f>IF($A963="","",$R963-$S963-$T963-N($K963))</f>
        <v>0</v>
      </c>
      <c r="V963" s="31">
        <f>IF(OR($A963="",N($R963)&lt;=0),"",$U963/$R963)</f>
        <v>0</v>
      </c>
      <c r="W963" s="27">
        <f>IF($A963="","",IF(OR($I963="Finalizado",$I963="Entregue"),MAX(0,$R963-N($O963)),0))</f>
        <v>0</v>
      </c>
      <c r="X963" s="32">
        <f>IF(OR($A963="",$B963=""),"",IF(OR($I963="Entregue",$I963="Cancelada"),"",Hoje-$B963))</f>
        <v>0</v>
      </c>
      <c r="Y963" s="24">
        <f>IF($A963="","",IF(AND(OR($I963="Aprovado",$I963="Em execução",$I963="Aguardando peça"),N($X963)&gt;PrazoMax),"ATRASADA",IF(AND(OR($I963="Finalizado",$I963="Entregue"),$W963&gt;0.005),"Cobrar",IF($I963="Orçamento","Aguardando aprovação",""))))</f>
        <v>0</v>
      </c>
      <c r="Z963" s="33">
        <f>IF(AND($I963="Entregue",$M963&lt;&gt;""),DATE(YEAR($M963),MONTH($M963),1),"")</f>
        <v>0</v>
      </c>
      <c r="AA963" s="34">
        <f>IF(AND($C963&lt;&gt;"",$C963=HistPlaca),COUNTIF($C$5:$C963,HistPlaca),"")</f>
        <v>0</v>
      </c>
    </row>
    <row r="964" spans="1:27">
      <c r="A964" s="17"/>
      <c r="B964" s="25"/>
      <c r="C964" s="13"/>
      <c r="D964" s="26">
        <f>IF($C964="","",IFERROR(INDEX(VeicCli,MATCH($C964,VeicPlaca,0)),"Placa não cadastrada"))</f>
        <v>0</v>
      </c>
      <c r="E964" s="26">
        <f>IF($C964="","",IFERROR(INDEX(VeicModelo,MATCH($C964,VeicPlaca,0)),""))</f>
        <v>0</v>
      </c>
      <c r="F964" s="28"/>
      <c r="G964" s="13"/>
      <c r="H964" s="13"/>
      <c r="I964" s="13"/>
      <c r="J964" s="29"/>
      <c r="K964" s="19"/>
      <c r="L964" s="19"/>
      <c r="M964" s="25"/>
      <c r="N964" s="13"/>
      <c r="O964" s="19"/>
      <c r="P964" s="27">
        <f>IF($A964="","",N($J964)*ValorHora)</f>
        <v>0</v>
      </c>
      <c r="Q964" s="27">
        <f>IF($A964="","",SUMIFS(ItTotal,ItOS,$A964))</f>
        <v>0</v>
      </c>
      <c r="R964" s="30">
        <f>IF($A964="","",$P964+$Q964+N($K964)-N($L964))</f>
        <v>0</v>
      </c>
      <c r="S964" s="27">
        <f>IF($A964="","",SUMIFS(ItCusto,ItOS,$A964))</f>
        <v>0</v>
      </c>
      <c r="T964" s="27">
        <f>IF($A964="","",$P964*ComMec)</f>
        <v>0</v>
      </c>
      <c r="U964" s="21">
        <f>IF($A964="","",$R964-$S964-$T964-N($K964))</f>
        <v>0</v>
      </c>
      <c r="V964" s="31">
        <f>IF(OR($A964="",N($R964)&lt;=0),"",$U964/$R964)</f>
        <v>0</v>
      </c>
      <c r="W964" s="27">
        <f>IF($A964="","",IF(OR($I964="Finalizado",$I964="Entregue"),MAX(0,$R964-N($O964)),0))</f>
        <v>0</v>
      </c>
      <c r="X964" s="32">
        <f>IF(OR($A964="",$B964=""),"",IF(OR($I964="Entregue",$I964="Cancelada"),"",Hoje-$B964))</f>
        <v>0</v>
      </c>
      <c r="Y964" s="24">
        <f>IF($A964="","",IF(AND(OR($I964="Aprovado",$I964="Em execução",$I964="Aguardando peça"),N($X964)&gt;PrazoMax),"ATRASADA",IF(AND(OR($I964="Finalizado",$I964="Entregue"),$W964&gt;0.005),"Cobrar",IF($I964="Orçamento","Aguardando aprovação",""))))</f>
        <v>0</v>
      </c>
      <c r="Z964" s="33">
        <f>IF(AND($I964="Entregue",$M964&lt;&gt;""),DATE(YEAR($M964),MONTH($M964),1),"")</f>
        <v>0</v>
      </c>
      <c r="AA964" s="34">
        <f>IF(AND($C964&lt;&gt;"",$C964=HistPlaca),COUNTIF($C$5:$C964,HistPlaca),"")</f>
        <v>0</v>
      </c>
    </row>
    <row r="965" spans="1:27">
      <c r="A965" s="17"/>
      <c r="B965" s="25"/>
      <c r="C965" s="13"/>
      <c r="D965" s="26">
        <f>IF($C965="","",IFERROR(INDEX(VeicCli,MATCH($C965,VeicPlaca,0)),"Placa não cadastrada"))</f>
        <v>0</v>
      </c>
      <c r="E965" s="26">
        <f>IF($C965="","",IFERROR(INDEX(VeicModelo,MATCH($C965,VeicPlaca,0)),""))</f>
        <v>0</v>
      </c>
      <c r="F965" s="28"/>
      <c r="G965" s="13"/>
      <c r="H965" s="13"/>
      <c r="I965" s="13"/>
      <c r="J965" s="29"/>
      <c r="K965" s="19"/>
      <c r="L965" s="19"/>
      <c r="M965" s="25"/>
      <c r="N965" s="13"/>
      <c r="O965" s="19"/>
      <c r="P965" s="27">
        <f>IF($A965="","",N($J965)*ValorHora)</f>
        <v>0</v>
      </c>
      <c r="Q965" s="27">
        <f>IF($A965="","",SUMIFS(ItTotal,ItOS,$A965))</f>
        <v>0</v>
      </c>
      <c r="R965" s="30">
        <f>IF($A965="","",$P965+$Q965+N($K965)-N($L965))</f>
        <v>0</v>
      </c>
      <c r="S965" s="27">
        <f>IF($A965="","",SUMIFS(ItCusto,ItOS,$A965))</f>
        <v>0</v>
      </c>
      <c r="T965" s="27">
        <f>IF($A965="","",$P965*ComMec)</f>
        <v>0</v>
      </c>
      <c r="U965" s="21">
        <f>IF($A965="","",$R965-$S965-$T965-N($K965))</f>
        <v>0</v>
      </c>
      <c r="V965" s="31">
        <f>IF(OR($A965="",N($R965)&lt;=0),"",$U965/$R965)</f>
        <v>0</v>
      </c>
      <c r="W965" s="27">
        <f>IF($A965="","",IF(OR($I965="Finalizado",$I965="Entregue"),MAX(0,$R965-N($O965)),0))</f>
        <v>0</v>
      </c>
      <c r="X965" s="32">
        <f>IF(OR($A965="",$B965=""),"",IF(OR($I965="Entregue",$I965="Cancelada"),"",Hoje-$B965))</f>
        <v>0</v>
      </c>
      <c r="Y965" s="24">
        <f>IF($A965="","",IF(AND(OR($I965="Aprovado",$I965="Em execução",$I965="Aguardando peça"),N($X965)&gt;PrazoMax),"ATRASADA",IF(AND(OR($I965="Finalizado",$I965="Entregue"),$W965&gt;0.005),"Cobrar",IF($I965="Orçamento","Aguardando aprovação",""))))</f>
        <v>0</v>
      </c>
      <c r="Z965" s="33">
        <f>IF(AND($I965="Entregue",$M965&lt;&gt;""),DATE(YEAR($M965),MONTH($M965),1),"")</f>
        <v>0</v>
      </c>
      <c r="AA965" s="34">
        <f>IF(AND($C965&lt;&gt;"",$C965=HistPlaca),COUNTIF($C$5:$C965,HistPlaca),"")</f>
        <v>0</v>
      </c>
    </row>
    <row r="966" spans="1:27">
      <c r="A966" s="17"/>
      <c r="B966" s="25"/>
      <c r="C966" s="13"/>
      <c r="D966" s="26">
        <f>IF($C966="","",IFERROR(INDEX(VeicCli,MATCH($C966,VeicPlaca,0)),"Placa não cadastrada"))</f>
        <v>0</v>
      </c>
      <c r="E966" s="26">
        <f>IF($C966="","",IFERROR(INDEX(VeicModelo,MATCH($C966,VeicPlaca,0)),""))</f>
        <v>0</v>
      </c>
      <c r="F966" s="28"/>
      <c r="G966" s="13"/>
      <c r="H966" s="13"/>
      <c r="I966" s="13"/>
      <c r="J966" s="29"/>
      <c r="K966" s="19"/>
      <c r="L966" s="19"/>
      <c r="M966" s="25"/>
      <c r="N966" s="13"/>
      <c r="O966" s="19"/>
      <c r="P966" s="27">
        <f>IF($A966="","",N($J966)*ValorHora)</f>
        <v>0</v>
      </c>
      <c r="Q966" s="27">
        <f>IF($A966="","",SUMIFS(ItTotal,ItOS,$A966))</f>
        <v>0</v>
      </c>
      <c r="R966" s="30">
        <f>IF($A966="","",$P966+$Q966+N($K966)-N($L966))</f>
        <v>0</v>
      </c>
      <c r="S966" s="27">
        <f>IF($A966="","",SUMIFS(ItCusto,ItOS,$A966))</f>
        <v>0</v>
      </c>
      <c r="T966" s="27">
        <f>IF($A966="","",$P966*ComMec)</f>
        <v>0</v>
      </c>
      <c r="U966" s="21">
        <f>IF($A966="","",$R966-$S966-$T966-N($K966))</f>
        <v>0</v>
      </c>
      <c r="V966" s="31">
        <f>IF(OR($A966="",N($R966)&lt;=0),"",$U966/$R966)</f>
        <v>0</v>
      </c>
      <c r="W966" s="27">
        <f>IF($A966="","",IF(OR($I966="Finalizado",$I966="Entregue"),MAX(0,$R966-N($O966)),0))</f>
        <v>0</v>
      </c>
      <c r="X966" s="32">
        <f>IF(OR($A966="",$B966=""),"",IF(OR($I966="Entregue",$I966="Cancelada"),"",Hoje-$B966))</f>
        <v>0</v>
      </c>
      <c r="Y966" s="24">
        <f>IF($A966="","",IF(AND(OR($I966="Aprovado",$I966="Em execução",$I966="Aguardando peça"),N($X966)&gt;PrazoMax),"ATRASADA",IF(AND(OR($I966="Finalizado",$I966="Entregue"),$W966&gt;0.005),"Cobrar",IF($I966="Orçamento","Aguardando aprovação",""))))</f>
        <v>0</v>
      </c>
      <c r="Z966" s="33">
        <f>IF(AND($I966="Entregue",$M966&lt;&gt;""),DATE(YEAR($M966),MONTH($M966),1),"")</f>
        <v>0</v>
      </c>
      <c r="AA966" s="34">
        <f>IF(AND($C966&lt;&gt;"",$C966=HistPlaca),COUNTIF($C$5:$C966,HistPlaca),"")</f>
        <v>0</v>
      </c>
    </row>
    <row r="967" spans="1:27">
      <c r="A967" s="17"/>
      <c r="B967" s="25"/>
      <c r="C967" s="13"/>
      <c r="D967" s="26">
        <f>IF($C967="","",IFERROR(INDEX(VeicCli,MATCH($C967,VeicPlaca,0)),"Placa não cadastrada"))</f>
        <v>0</v>
      </c>
      <c r="E967" s="26">
        <f>IF($C967="","",IFERROR(INDEX(VeicModelo,MATCH($C967,VeicPlaca,0)),""))</f>
        <v>0</v>
      </c>
      <c r="F967" s="28"/>
      <c r="G967" s="13"/>
      <c r="H967" s="13"/>
      <c r="I967" s="13"/>
      <c r="J967" s="29"/>
      <c r="K967" s="19"/>
      <c r="L967" s="19"/>
      <c r="M967" s="25"/>
      <c r="N967" s="13"/>
      <c r="O967" s="19"/>
      <c r="P967" s="27">
        <f>IF($A967="","",N($J967)*ValorHora)</f>
        <v>0</v>
      </c>
      <c r="Q967" s="27">
        <f>IF($A967="","",SUMIFS(ItTotal,ItOS,$A967))</f>
        <v>0</v>
      </c>
      <c r="R967" s="30">
        <f>IF($A967="","",$P967+$Q967+N($K967)-N($L967))</f>
        <v>0</v>
      </c>
      <c r="S967" s="27">
        <f>IF($A967="","",SUMIFS(ItCusto,ItOS,$A967))</f>
        <v>0</v>
      </c>
      <c r="T967" s="27">
        <f>IF($A967="","",$P967*ComMec)</f>
        <v>0</v>
      </c>
      <c r="U967" s="21">
        <f>IF($A967="","",$R967-$S967-$T967-N($K967))</f>
        <v>0</v>
      </c>
      <c r="V967" s="31">
        <f>IF(OR($A967="",N($R967)&lt;=0),"",$U967/$R967)</f>
        <v>0</v>
      </c>
      <c r="W967" s="27">
        <f>IF($A967="","",IF(OR($I967="Finalizado",$I967="Entregue"),MAX(0,$R967-N($O967)),0))</f>
        <v>0</v>
      </c>
      <c r="X967" s="32">
        <f>IF(OR($A967="",$B967=""),"",IF(OR($I967="Entregue",$I967="Cancelada"),"",Hoje-$B967))</f>
        <v>0</v>
      </c>
      <c r="Y967" s="24">
        <f>IF($A967="","",IF(AND(OR($I967="Aprovado",$I967="Em execução",$I967="Aguardando peça"),N($X967)&gt;PrazoMax),"ATRASADA",IF(AND(OR($I967="Finalizado",$I967="Entregue"),$W967&gt;0.005),"Cobrar",IF($I967="Orçamento","Aguardando aprovação",""))))</f>
        <v>0</v>
      </c>
      <c r="Z967" s="33">
        <f>IF(AND($I967="Entregue",$M967&lt;&gt;""),DATE(YEAR($M967),MONTH($M967),1),"")</f>
        <v>0</v>
      </c>
      <c r="AA967" s="34">
        <f>IF(AND($C967&lt;&gt;"",$C967=HistPlaca),COUNTIF($C$5:$C967,HistPlaca),"")</f>
        <v>0</v>
      </c>
    </row>
    <row r="968" spans="1:27">
      <c r="A968" s="17"/>
      <c r="B968" s="25"/>
      <c r="C968" s="13"/>
      <c r="D968" s="26">
        <f>IF($C968="","",IFERROR(INDEX(VeicCli,MATCH($C968,VeicPlaca,0)),"Placa não cadastrada"))</f>
        <v>0</v>
      </c>
      <c r="E968" s="26">
        <f>IF($C968="","",IFERROR(INDEX(VeicModelo,MATCH($C968,VeicPlaca,0)),""))</f>
        <v>0</v>
      </c>
      <c r="F968" s="28"/>
      <c r="G968" s="13"/>
      <c r="H968" s="13"/>
      <c r="I968" s="13"/>
      <c r="J968" s="29"/>
      <c r="K968" s="19"/>
      <c r="L968" s="19"/>
      <c r="M968" s="25"/>
      <c r="N968" s="13"/>
      <c r="O968" s="19"/>
      <c r="P968" s="27">
        <f>IF($A968="","",N($J968)*ValorHora)</f>
        <v>0</v>
      </c>
      <c r="Q968" s="27">
        <f>IF($A968="","",SUMIFS(ItTotal,ItOS,$A968))</f>
        <v>0</v>
      </c>
      <c r="R968" s="30">
        <f>IF($A968="","",$P968+$Q968+N($K968)-N($L968))</f>
        <v>0</v>
      </c>
      <c r="S968" s="27">
        <f>IF($A968="","",SUMIFS(ItCusto,ItOS,$A968))</f>
        <v>0</v>
      </c>
      <c r="T968" s="27">
        <f>IF($A968="","",$P968*ComMec)</f>
        <v>0</v>
      </c>
      <c r="U968" s="21">
        <f>IF($A968="","",$R968-$S968-$T968-N($K968))</f>
        <v>0</v>
      </c>
      <c r="V968" s="31">
        <f>IF(OR($A968="",N($R968)&lt;=0),"",$U968/$R968)</f>
        <v>0</v>
      </c>
      <c r="W968" s="27">
        <f>IF($A968="","",IF(OR($I968="Finalizado",$I968="Entregue"),MAX(0,$R968-N($O968)),0))</f>
        <v>0</v>
      </c>
      <c r="X968" s="32">
        <f>IF(OR($A968="",$B968=""),"",IF(OR($I968="Entregue",$I968="Cancelada"),"",Hoje-$B968))</f>
        <v>0</v>
      </c>
      <c r="Y968" s="24">
        <f>IF($A968="","",IF(AND(OR($I968="Aprovado",$I968="Em execução",$I968="Aguardando peça"),N($X968)&gt;PrazoMax),"ATRASADA",IF(AND(OR($I968="Finalizado",$I968="Entregue"),$W968&gt;0.005),"Cobrar",IF($I968="Orçamento","Aguardando aprovação",""))))</f>
        <v>0</v>
      </c>
      <c r="Z968" s="33">
        <f>IF(AND($I968="Entregue",$M968&lt;&gt;""),DATE(YEAR($M968),MONTH($M968),1),"")</f>
        <v>0</v>
      </c>
      <c r="AA968" s="34">
        <f>IF(AND($C968&lt;&gt;"",$C968=HistPlaca),COUNTIF($C$5:$C968,HistPlaca),"")</f>
        <v>0</v>
      </c>
    </row>
    <row r="969" spans="1:27">
      <c r="A969" s="17"/>
      <c r="B969" s="25"/>
      <c r="C969" s="13"/>
      <c r="D969" s="26">
        <f>IF($C969="","",IFERROR(INDEX(VeicCli,MATCH($C969,VeicPlaca,0)),"Placa não cadastrada"))</f>
        <v>0</v>
      </c>
      <c r="E969" s="26">
        <f>IF($C969="","",IFERROR(INDEX(VeicModelo,MATCH($C969,VeicPlaca,0)),""))</f>
        <v>0</v>
      </c>
      <c r="F969" s="28"/>
      <c r="G969" s="13"/>
      <c r="H969" s="13"/>
      <c r="I969" s="13"/>
      <c r="J969" s="29"/>
      <c r="K969" s="19"/>
      <c r="L969" s="19"/>
      <c r="M969" s="25"/>
      <c r="N969" s="13"/>
      <c r="O969" s="19"/>
      <c r="P969" s="27">
        <f>IF($A969="","",N($J969)*ValorHora)</f>
        <v>0</v>
      </c>
      <c r="Q969" s="27">
        <f>IF($A969="","",SUMIFS(ItTotal,ItOS,$A969))</f>
        <v>0</v>
      </c>
      <c r="R969" s="30">
        <f>IF($A969="","",$P969+$Q969+N($K969)-N($L969))</f>
        <v>0</v>
      </c>
      <c r="S969" s="27">
        <f>IF($A969="","",SUMIFS(ItCusto,ItOS,$A969))</f>
        <v>0</v>
      </c>
      <c r="T969" s="27">
        <f>IF($A969="","",$P969*ComMec)</f>
        <v>0</v>
      </c>
      <c r="U969" s="21">
        <f>IF($A969="","",$R969-$S969-$T969-N($K969))</f>
        <v>0</v>
      </c>
      <c r="V969" s="31">
        <f>IF(OR($A969="",N($R969)&lt;=0),"",$U969/$R969)</f>
        <v>0</v>
      </c>
      <c r="W969" s="27">
        <f>IF($A969="","",IF(OR($I969="Finalizado",$I969="Entregue"),MAX(0,$R969-N($O969)),0))</f>
        <v>0</v>
      </c>
      <c r="X969" s="32">
        <f>IF(OR($A969="",$B969=""),"",IF(OR($I969="Entregue",$I969="Cancelada"),"",Hoje-$B969))</f>
        <v>0</v>
      </c>
      <c r="Y969" s="24">
        <f>IF($A969="","",IF(AND(OR($I969="Aprovado",$I969="Em execução",$I969="Aguardando peça"),N($X969)&gt;PrazoMax),"ATRASADA",IF(AND(OR($I969="Finalizado",$I969="Entregue"),$W969&gt;0.005),"Cobrar",IF($I969="Orçamento","Aguardando aprovação",""))))</f>
        <v>0</v>
      </c>
      <c r="Z969" s="33">
        <f>IF(AND($I969="Entregue",$M969&lt;&gt;""),DATE(YEAR($M969),MONTH($M969),1),"")</f>
        <v>0</v>
      </c>
      <c r="AA969" s="34">
        <f>IF(AND($C969&lt;&gt;"",$C969=HistPlaca),COUNTIF($C$5:$C969,HistPlaca),"")</f>
        <v>0</v>
      </c>
    </row>
    <row r="970" spans="1:27">
      <c r="A970" s="17"/>
      <c r="B970" s="25"/>
      <c r="C970" s="13"/>
      <c r="D970" s="26">
        <f>IF($C970="","",IFERROR(INDEX(VeicCli,MATCH($C970,VeicPlaca,0)),"Placa não cadastrada"))</f>
        <v>0</v>
      </c>
      <c r="E970" s="26">
        <f>IF($C970="","",IFERROR(INDEX(VeicModelo,MATCH($C970,VeicPlaca,0)),""))</f>
        <v>0</v>
      </c>
      <c r="F970" s="28"/>
      <c r="G970" s="13"/>
      <c r="H970" s="13"/>
      <c r="I970" s="13"/>
      <c r="J970" s="29"/>
      <c r="K970" s="19"/>
      <c r="L970" s="19"/>
      <c r="M970" s="25"/>
      <c r="N970" s="13"/>
      <c r="O970" s="19"/>
      <c r="P970" s="27">
        <f>IF($A970="","",N($J970)*ValorHora)</f>
        <v>0</v>
      </c>
      <c r="Q970" s="27">
        <f>IF($A970="","",SUMIFS(ItTotal,ItOS,$A970))</f>
        <v>0</v>
      </c>
      <c r="R970" s="30">
        <f>IF($A970="","",$P970+$Q970+N($K970)-N($L970))</f>
        <v>0</v>
      </c>
      <c r="S970" s="27">
        <f>IF($A970="","",SUMIFS(ItCusto,ItOS,$A970))</f>
        <v>0</v>
      </c>
      <c r="T970" s="27">
        <f>IF($A970="","",$P970*ComMec)</f>
        <v>0</v>
      </c>
      <c r="U970" s="21">
        <f>IF($A970="","",$R970-$S970-$T970-N($K970))</f>
        <v>0</v>
      </c>
      <c r="V970" s="31">
        <f>IF(OR($A970="",N($R970)&lt;=0),"",$U970/$R970)</f>
        <v>0</v>
      </c>
      <c r="W970" s="27">
        <f>IF($A970="","",IF(OR($I970="Finalizado",$I970="Entregue"),MAX(0,$R970-N($O970)),0))</f>
        <v>0</v>
      </c>
      <c r="X970" s="32">
        <f>IF(OR($A970="",$B970=""),"",IF(OR($I970="Entregue",$I970="Cancelada"),"",Hoje-$B970))</f>
        <v>0</v>
      </c>
      <c r="Y970" s="24">
        <f>IF($A970="","",IF(AND(OR($I970="Aprovado",$I970="Em execução",$I970="Aguardando peça"),N($X970)&gt;PrazoMax),"ATRASADA",IF(AND(OR($I970="Finalizado",$I970="Entregue"),$W970&gt;0.005),"Cobrar",IF($I970="Orçamento","Aguardando aprovação",""))))</f>
        <v>0</v>
      </c>
      <c r="Z970" s="33">
        <f>IF(AND($I970="Entregue",$M970&lt;&gt;""),DATE(YEAR($M970),MONTH($M970),1),"")</f>
        <v>0</v>
      </c>
      <c r="AA970" s="34">
        <f>IF(AND($C970&lt;&gt;"",$C970=HistPlaca),COUNTIF($C$5:$C970,HistPlaca),"")</f>
        <v>0</v>
      </c>
    </row>
    <row r="971" spans="1:27">
      <c r="A971" s="17"/>
      <c r="B971" s="25"/>
      <c r="C971" s="13"/>
      <c r="D971" s="26">
        <f>IF($C971="","",IFERROR(INDEX(VeicCli,MATCH($C971,VeicPlaca,0)),"Placa não cadastrada"))</f>
        <v>0</v>
      </c>
      <c r="E971" s="26">
        <f>IF($C971="","",IFERROR(INDEX(VeicModelo,MATCH($C971,VeicPlaca,0)),""))</f>
        <v>0</v>
      </c>
      <c r="F971" s="28"/>
      <c r="G971" s="13"/>
      <c r="H971" s="13"/>
      <c r="I971" s="13"/>
      <c r="J971" s="29"/>
      <c r="K971" s="19"/>
      <c r="L971" s="19"/>
      <c r="M971" s="25"/>
      <c r="N971" s="13"/>
      <c r="O971" s="19"/>
      <c r="P971" s="27">
        <f>IF($A971="","",N($J971)*ValorHora)</f>
        <v>0</v>
      </c>
      <c r="Q971" s="27">
        <f>IF($A971="","",SUMIFS(ItTotal,ItOS,$A971))</f>
        <v>0</v>
      </c>
      <c r="R971" s="30">
        <f>IF($A971="","",$P971+$Q971+N($K971)-N($L971))</f>
        <v>0</v>
      </c>
      <c r="S971" s="27">
        <f>IF($A971="","",SUMIFS(ItCusto,ItOS,$A971))</f>
        <v>0</v>
      </c>
      <c r="T971" s="27">
        <f>IF($A971="","",$P971*ComMec)</f>
        <v>0</v>
      </c>
      <c r="U971" s="21">
        <f>IF($A971="","",$R971-$S971-$T971-N($K971))</f>
        <v>0</v>
      </c>
      <c r="V971" s="31">
        <f>IF(OR($A971="",N($R971)&lt;=0),"",$U971/$R971)</f>
        <v>0</v>
      </c>
      <c r="W971" s="27">
        <f>IF($A971="","",IF(OR($I971="Finalizado",$I971="Entregue"),MAX(0,$R971-N($O971)),0))</f>
        <v>0</v>
      </c>
      <c r="X971" s="32">
        <f>IF(OR($A971="",$B971=""),"",IF(OR($I971="Entregue",$I971="Cancelada"),"",Hoje-$B971))</f>
        <v>0</v>
      </c>
      <c r="Y971" s="24">
        <f>IF($A971="","",IF(AND(OR($I971="Aprovado",$I971="Em execução",$I971="Aguardando peça"),N($X971)&gt;PrazoMax),"ATRASADA",IF(AND(OR($I971="Finalizado",$I971="Entregue"),$W971&gt;0.005),"Cobrar",IF($I971="Orçamento","Aguardando aprovação",""))))</f>
        <v>0</v>
      </c>
      <c r="Z971" s="33">
        <f>IF(AND($I971="Entregue",$M971&lt;&gt;""),DATE(YEAR($M971),MONTH($M971),1),"")</f>
        <v>0</v>
      </c>
      <c r="AA971" s="34">
        <f>IF(AND($C971&lt;&gt;"",$C971=HistPlaca),COUNTIF($C$5:$C971,HistPlaca),"")</f>
        <v>0</v>
      </c>
    </row>
    <row r="972" spans="1:27">
      <c r="A972" s="17"/>
      <c r="B972" s="25"/>
      <c r="C972" s="13"/>
      <c r="D972" s="26">
        <f>IF($C972="","",IFERROR(INDEX(VeicCli,MATCH($C972,VeicPlaca,0)),"Placa não cadastrada"))</f>
        <v>0</v>
      </c>
      <c r="E972" s="26">
        <f>IF($C972="","",IFERROR(INDEX(VeicModelo,MATCH($C972,VeicPlaca,0)),""))</f>
        <v>0</v>
      </c>
      <c r="F972" s="28"/>
      <c r="G972" s="13"/>
      <c r="H972" s="13"/>
      <c r="I972" s="13"/>
      <c r="J972" s="29"/>
      <c r="K972" s="19"/>
      <c r="L972" s="19"/>
      <c r="M972" s="25"/>
      <c r="N972" s="13"/>
      <c r="O972" s="19"/>
      <c r="P972" s="27">
        <f>IF($A972="","",N($J972)*ValorHora)</f>
        <v>0</v>
      </c>
      <c r="Q972" s="27">
        <f>IF($A972="","",SUMIFS(ItTotal,ItOS,$A972))</f>
        <v>0</v>
      </c>
      <c r="R972" s="30">
        <f>IF($A972="","",$P972+$Q972+N($K972)-N($L972))</f>
        <v>0</v>
      </c>
      <c r="S972" s="27">
        <f>IF($A972="","",SUMIFS(ItCusto,ItOS,$A972))</f>
        <v>0</v>
      </c>
      <c r="T972" s="27">
        <f>IF($A972="","",$P972*ComMec)</f>
        <v>0</v>
      </c>
      <c r="U972" s="21">
        <f>IF($A972="","",$R972-$S972-$T972-N($K972))</f>
        <v>0</v>
      </c>
      <c r="V972" s="31">
        <f>IF(OR($A972="",N($R972)&lt;=0),"",$U972/$R972)</f>
        <v>0</v>
      </c>
      <c r="W972" s="27">
        <f>IF($A972="","",IF(OR($I972="Finalizado",$I972="Entregue"),MAX(0,$R972-N($O972)),0))</f>
        <v>0</v>
      </c>
      <c r="X972" s="32">
        <f>IF(OR($A972="",$B972=""),"",IF(OR($I972="Entregue",$I972="Cancelada"),"",Hoje-$B972))</f>
        <v>0</v>
      </c>
      <c r="Y972" s="24">
        <f>IF($A972="","",IF(AND(OR($I972="Aprovado",$I972="Em execução",$I972="Aguardando peça"),N($X972)&gt;PrazoMax),"ATRASADA",IF(AND(OR($I972="Finalizado",$I972="Entregue"),$W972&gt;0.005),"Cobrar",IF($I972="Orçamento","Aguardando aprovação",""))))</f>
        <v>0</v>
      </c>
      <c r="Z972" s="33">
        <f>IF(AND($I972="Entregue",$M972&lt;&gt;""),DATE(YEAR($M972),MONTH($M972),1),"")</f>
        <v>0</v>
      </c>
      <c r="AA972" s="34">
        <f>IF(AND($C972&lt;&gt;"",$C972=HistPlaca),COUNTIF($C$5:$C972,HistPlaca),"")</f>
        <v>0</v>
      </c>
    </row>
    <row r="973" spans="1:27">
      <c r="A973" s="17"/>
      <c r="B973" s="25"/>
      <c r="C973" s="13"/>
      <c r="D973" s="26">
        <f>IF($C973="","",IFERROR(INDEX(VeicCli,MATCH($C973,VeicPlaca,0)),"Placa não cadastrada"))</f>
        <v>0</v>
      </c>
      <c r="E973" s="26">
        <f>IF($C973="","",IFERROR(INDEX(VeicModelo,MATCH($C973,VeicPlaca,0)),""))</f>
        <v>0</v>
      </c>
      <c r="F973" s="28"/>
      <c r="G973" s="13"/>
      <c r="H973" s="13"/>
      <c r="I973" s="13"/>
      <c r="J973" s="29"/>
      <c r="K973" s="19"/>
      <c r="L973" s="19"/>
      <c r="M973" s="25"/>
      <c r="N973" s="13"/>
      <c r="O973" s="19"/>
      <c r="P973" s="27">
        <f>IF($A973="","",N($J973)*ValorHora)</f>
        <v>0</v>
      </c>
      <c r="Q973" s="27">
        <f>IF($A973="","",SUMIFS(ItTotal,ItOS,$A973))</f>
        <v>0</v>
      </c>
      <c r="R973" s="30">
        <f>IF($A973="","",$P973+$Q973+N($K973)-N($L973))</f>
        <v>0</v>
      </c>
      <c r="S973" s="27">
        <f>IF($A973="","",SUMIFS(ItCusto,ItOS,$A973))</f>
        <v>0</v>
      </c>
      <c r="T973" s="27">
        <f>IF($A973="","",$P973*ComMec)</f>
        <v>0</v>
      </c>
      <c r="U973" s="21">
        <f>IF($A973="","",$R973-$S973-$T973-N($K973))</f>
        <v>0</v>
      </c>
      <c r="V973" s="31">
        <f>IF(OR($A973="",N($R973)&lt;=0),"",$U973/$R973)</f>
        <v>0</v>
      </c>
      <c r="W973" s="27">
        <f>IF($A973="","",IF(OR($I973="Finalizado",$I973="Entregue"),MAX(0,$R973-N($O973)),0))</f>
        <v>0</v>
      </c>
      <c r="X973" s="32">
        <f>IF(OR($A973="",$B973=""),"",IF(OR($I973="Entregue",$I973="Cancelada"),"",Hoje-$B973))</f>
        <v>0</v>
      </c>
      <c r="Y973" s="24">
        <f>IF($A973="","",IF(AND(OR($I973="Aprovado",$I973="Em execução",$I973="Aguardando peça"),N($X973)&gt;PrazoMax),"ATRASADA",IF(AND(OR($I973="Finalizado",$I973="Entregue"),$W973&gt;0.005),"Cobrar",IF($I973="Orçamento","Aguardando aprovação",""))))</f>
        <v>0</v>
      </c>
      <c r="Z973" s="33">
        <f>IF(AND($I973="Entregue",$M973&lt;&gt;""),DATE(YEAR($M973),MONTH($M973),1),"")</f>
        <v>0</v>
      </c>
      <c r="AA973" s="34">
        <f>IF(AND($C973&lt;&gt;"",$C973=HistPlaca),COUNTIF($C$5:$C973,HistPlaca),"")</f>
        <v>0</v>
      </c>
    </row>
    <row r="974" spans="1:27">
      <c r="A974" s="17"/>
      <c r="B974" s="25"/>
      <c r="C974" s="13"/>
      <c r="D974" s="26">
        <f>IF($C974="","",IFERROR(INDEX(VeicCli,MATCH($C974,VeicPlaca,0)),"Placa não cadastrada"))</f>
        <v>0</v>
      </c>
      <c r="E974" s="26">
        <f>IF($C974="","",IFERROR(INDEX(VeicModelo,MATCH($C974,VeicPlaca,0)),""))</f>
        <v>0</v>
      </c>
      <c r="F974" s="28"/>
      <c r="G974" s="13"/>
      <c r="H974" s="13"/>
      <c r="I974" s="13"/>
      <c r="J974" s="29"/>
      <c r="K974" s="19"/>
      <c r="L974" s="19"/>
      <c r="M974" s="25"/>
      <c r="N974" s="13"/>
      <c r="O974" s="19"/>
      <c r="P974" s="27">
        <f>IF($A974="","",N($J974)*ValorHora)</f>
        <v>0</v>
      </c>
      <c r="Q974" s="27">
        <f>IF($A974="","",SUMIFS(ItTotal,ItOS,$A974))</f>
        <v>0</v>
      </c>
      <c r="R974" s="30">
        <f>IF($A974="","",$P974+$Q974+N($K974)-N($L974))</f>
        <v>0</v>
      </c>
      <c r="S974" s="27">
        <f>IF($A974="","",SUMIFS(ItCusto,ItOS,$A974))</f>
        <v>0</v>
      </c>
      <c r="T974" s="27">
        <f>IF($A974="","",$P974*ComMec)</f>
        <v>0</v>
      </c>
      <c r="U974" s="21">
        <f>IF($A974="","",$R974-$S974-$T974-N($K974))</f>
        <v>0</v>
      </c>
      <c r="V974" s="31">
        <f>IF(OR($A974="",N($R974)&lt;=0),"",$U974/$R974)</f>
        <v>0</v>
      </c>
      <c r="W974" s="27">
        <f>IF($A974="","",IF(OR($I974="Finalizado",$I974="Entregue"),MAX(0,$R974-N($O974)),0))</f>
        <v>0</v>
      </c>
      <c r="X974" s="32">
        <f>IF(OR($A974="",$B974=""),"",IF(OR($I974="Entregue",$I974="Cancelada"),"",Hoje-$B974))</f>
        <v>0</v>
      </c>
      <c r="Y974" s="24">
        <f>IF($A974="","",IF(AND(OR($I974="Aprovado",$I974="Em execução",$I974="Aguardando peça"),N($X974)&gt;PrazoMax),"ATRASADA",IF(AND(OR($I974="Finalizado",$I974="Entregue"),$W974&gt;0.005),"Cobrar",IF($I974="Orçamento","Aguardando aprovação",""))))</f>
        <v>0</v>
      </c>
      <c r="Z974" s="33">
        <f>IF(AND($I974="Entregue",$M974&lt;&gt;""),DATE(YEAR($M974),MONTH($M974),1),"")</f>
        <v>0</v>
      </c>
      <c r="AA974" s="34">
        <f>IF(AND($C974&lt;&gt;"",$C974=HistPlaca),COUNTIF($C$5:$C974,HistPlaca),"")</f>
        <v>0</v>
      </c>
    </row>
    <row r="975" spans="1:27">
      <c r="A975" s="17"/>
      <c r="B975" s="25"/>
      <c r="C975" s="13"/>
      <c r="D975" s="26">
        <f>IF($C975="","",IFERROR(INDEX(VeicCli,MATCH($C975,VeicPlaca,0)),"Placa não cadastrada"))</f>
        <v>0</v>
      </c>
      <c r="E975" s="26">
        <f>IF($C975="","",IFERROR(INDEX(VeicModelo,MATCH($C975,VeicPlaca,0)),""))</f>
        <v>0</v>
      </c>
      <c r="F975" s="28"/>
      <c r="G975" s="13"/>
      <c r="H975" s="13"/>
      <c r="I975" s="13"/>
      <c r="J975" s="29"/>
      <c r="K975" s="19"/>
      <c r="L975" s="19"/>
      <c r="M975" s="25"/>
      <c r="N975" s="13"/>
      <c r="O975" s="19"/>
      <c r="P975" s="27">
        <f>IF($A975="","",N($J975)*ValorHora)</f>
        <v>0</v>
      </c>
      <c r="Q975" s="27">
        <f>IF($A975="","",SUMIFS(ItTotal,ItOS,$A975))</f>
        <v>0</v>
      </c>
      <c r="R975" s="30">
        <f>IF($A975="","",$P975+$Q975+N($K975)-N($L975))</f>
        <v>0</v>
      </c>
      <c r="S975" s="27">
        <f>IF($A975="","",SUMIFS(ItCusto,ItOS,$A975))</f>
        <v>0</v>
      </c>
      <c r="T975" s="27">
        <f>IF($A975="","",$P975*ComMec)</f>
        <v>0</v>
      </c>
      <c r="U975" s="21">
        <f>IF($A975="","",$R975-$S975-$T975-N($K975))</f>
        <v>0</v>
      </c>
      <c r="V975" s="31">
        <f>IF(OR($A975="",N($R975)&lt;=0),"",$U975/$R975)</f>
        <v>0</v>
      </c>
      <c r="W975" s="27">
        <f>IF($A975="","",IF(OR($I975="Finalizado",$I975="Entregue"),MAX(0,$R975-N($O975)),0))</f>
        <v>0</v>
      </c>
      <c r="X975" s="32">
        <f>IF(OR($A975="",$B975=""),"",IF(OR($I975="Entregue",$I975="Cancelada"),"",Hoje-$B975))</f>
        <v>0</v>
      </c>
      <c r="Y975" s="24">
        <f>IF($A975="","",IF(AND(OR($I975="Aprovado",$I975="Em execução",$I975="Aguardando peça"),N($X975)&gt;PrazoMax),"ATRASADA",IF(AND(OR($I975="Finalizado",$I975="Entregue"),$W975&gt;0.005),"Cobrar",IF($I975="Orçamento","Aguardando aprovação",""))))</f>
        <v>0</v>
      </c>
      <c r="Z975" s="33">
        <f>IF(AND($I975="Entregue",$M975&lt;&gt;""),DATE(YEAR($M975),MONTH($M975),1),"")</f>
        <v>0</v>
      </c>
      <c r="AA975" s="34">
        <f>IF(AND($C975&lt;&gt;"",$C975=HistPlaca),COUNTIF($C$5:$C975,HistPlaca),"")</f>
        <v>0</v>
      </c>
    </row>
    <row r="976" spans="1:27">
      <c r="A976" s="17"/>
      <c r="B976" s="25"/>
      <c r="C976" s="13"/>
      <c r="D976" s="26">
        <f>IF($C976="","",IFERROR(INDEX(VeicCli,MATCH($C976,VeicPlaca,0)),"Placa não cadastrada"))</f>
        <v>0</v>
      </c>
      <c r="E976" s="26">
        <f>IF($C976="","",IFERROR(INDEX(VeicModelo,MATCH($C976,VeicPlaca,0)),""))</f>
        <v>0</v>
      </c>
      <c r="F976" s="28"/>
      <c r="G976" s="13"/>
      <c r="H976" s="13"/>
      <c r="I976" s="13"/>
      <c r="J976" s="29"/>
      <c r="K976" s="19"/>
      <c r="L976" s="19"/>
      <c r="M976" s="25"/>
      <c r="N976" s="13"/>
      <c r="O976" s="19"/>
      <c r="P976" s="27">
        <f>IF($A976="","",N($J976)*ValorHora)</f>
        <v>0</v>
      </c>
      <c r="Q976" s="27">
        <f>IF($A976="","",SUMIFS(ItTotal,ItOS,$A976))</f>
        <v>0</v>
      </c>
      <c r="R976" s="30">
        <f>IF($A976="","",$P976+$Q976+N($K976)-N($L976))</f>
        <v>0</v>
      </c>
      <c r="S976" s="27">
        <f>IF($A976="","",SUMIFS(ItCusto,ItOS,$A976))</f>
        <v>0</v>
      </c>
      <c r="T976" s="27">
        <f>IF($A976="","",$P976*ComMec)</f>
        <v>0</v>
      </c>
      <c r="U976" s="21">
        <f>IF($A976="","",$R976-$S976-$T976-N($K976))</f>
        <v>0</v>
      </c>
      <c r="V976" s="31">
        <f>IF(OR($A976="",N($R976)&lt;=0),"",$U976/$R976)</f>
        <v>0</v>
      </c>
      <c r="W976" s="27">
        <f>IF($A976="","",IF(OR($I976="Finalizado",$I976="Entregue"),MAX(0,$R976-N($O976)),0))</f>
        <v>0</v>
      </c>
      <c r="X976" s="32">
        <f>IF(OR($A976="",$B976=""),"",IF(OR($I976="Entregue",$I976="Cancelada"),"",Hoje-$B976))</f>
        <v>0</v>
      </c>
      <c r="Y976" s="24">
        <f>IF($A976="","",IF(AND(OR($I976="Aprovado",$I976="Em execução",$I976="Aguardando peça"),N($X976)&gt;PrazoMax),"ATRASADA",IF(AND(OR($I976="Finalizado",$I976="Entregue"),$W976&gt;0.005),"Cobrar",IF($I976="Orçamento","Aguardando aprovação",""))))</f>
        <v>0</v>
      </c>
      <c r="Z976" s="33">
        <f>IF(AND($I976="Entregue",$M976&lt;&gt;""),DATE(YEAR($M976),MONTH($M976),1),"")</f>
        <v>0</v>
      </c>
      <c r="AA976" s="34">
        <f>IF(AND($C976&lt;&gt;"",$C976=HistPlaca),COUNTIF($C$5:$C976,HistPlaca),"")</f>
        <v>0</v>
      </c>
    </row>
    <row r="977" spans="1:27">
      <c r="A977" s="17"/>
      <c r="B977" s="25"/>
      <c r="C977" s="13"/>
      <c r="D977" s="26">
        <f>IF($C977="","",IFERROR(INDEX(VeicCli,MATCH($C977,VeicPlaca,0)),"Placa não cadastrada"))</f>
        <v>0</v>
      </c>
      <c r="E977" s="26">
        <f>IF($C977="","",IFERROR(INDEX(VeicModelo,MATCH($C977,VeicPlaca,0)),""))</f>
        <v>0</v>
      </c>
      <c r="F977" s="28"/>
      <c r="G977" s="13"/>
      <c r="H977" s="13"/>
      <c r="I977" s="13"/>
      <c r="J977" s="29"/>
      <c r="K977" s="19"/>
      <c r="L977" s="19"/>
      <c r="M977" s="25"/>
      <c r="N977" s="13"/>
      <c r="O977" s="19"/>
      <c r="P977" s="27">
        <f>IF($A977="","",N($J977)*ValorHora)</f>
        <v>0</v>
      </c>
      <c r="Q977" s="27">
        <f>IF($A977="","",SUMIFS(ItTotal,ItOS,$A977))</f>
        <v>0</v>
      </c>
      <c r="R977" s="30">
        <f>IF($A977="","",$P977+$Q977+N($K977)-N($L977))</f>
        <v>0</v>
      </c>
      <c r="S977" s="27">
        <f>IF($A977="","",SUMIFS(ItCusto,ItOS,$A977))</f>
        <v>0</v>
      </c>
      <c r="T977" s="27">
        <f>IF($A977="","",$P977*ComMec)</f>
        <v>0</v>
      </c>
      <c r="U977" s="21">
        <f>IF($A977="","",$R977-$S977-$T977-N($K977))</f>
        <v>0</v>
      </c>
      <c r="V977" s="31">
        <f>IF(OR($A977="",N($R977)&lt;=0),"",$U977/$R977)</f>
        <v>0</v>
      </c>
      <c r="W977" s="27">
        <f>IF($A977="","",IF(OR($I977="Finalizado",$I977="Entregue"),MAX(0,$R977-N($O977)),0))</f>
        <v>0</v>
      </c>
      <c r="X977" s="32">
        <f>IF(OR($A977="",$B977=""),"",IF(OR($I977="Entregue",$I977="Cancelada"),"",Hoje-$B977))</f>
        <v>0</v>
      </c>
      <c r="Y977" s="24">
        <f>IF($A977="","",IF(AND(OR($I977="Aprovado",$I977="Em execução",$I977="Aguardando peça"),N($X977)&gt;PrazoMax),"ATRASADA",IF(AND(OR($I977="Finalizado",$I977="Entregue"),$W977&gt;0.005),"Cobrar",IF($I977="Orçamento","Aguardando aprovação",""))))</f>
        <v>0</v>
      </c>
      <c r="Z977" s="33">
        <f>IF(AND($I977="Entregue",$M977&lt;&gt;""),DATE(YEAR($M977),MONTH($M977),1),"")</f>
        <v>0</v>
      </c>
      <c r="AA977" s="34">
        <f>IF(AND($C977&lt;&gt;"",$C977=HistPlaca),COUNTIF($C$5:$C977,HistPlaca),"")</f>
        <v>0</v>
      </c>
    </row>
    <row r="978" spans="1:27">
      <c r="A978" s="17"/>
      <c r="B978" s="25"/>
      <c r="C978" s="13"/>
      <c r="D978" s="26">
        <f>IF($C978="","",IFERROR(INDEX(VeicCli,MATCH($C978,VeicPlaca,0)),"Placa não cadastrada"))</f>
        <v>0</v>
      </c>
      <c r="E978" s="26">
        <f>IF($C978="","",IFERROR(INDEX(VeicModelo,MATCH($C978,VeicPlaca,0)),""))</f>
        <v>0</v>
      </c>
      <c r="F978" s="28"/>
      <c r="G978" s="13"/>
      <c r="H978" s="13"/>
      <c r="I978" s="13"/>
      <c r="J978" s="29"/>
      <c r="K978" s="19"/>
      <c r="L978" s="19"/>
      <c r="M978" s="25"/>
      <c r="N978" s="13"/>
      <c r="O978" s="19"/>
      <c r="P978" s="27">
        <f>IF($A978="","",N($J978)*ValorHora)</f>
        <v>0</v>
      </c>
      <c r="Q978" s="27">
        <f>IF($A978="","",SUMIFS(ItTotal,ItOS,$A978))</f>
        <v>0</v>
      </c>
      <c r="R978" s="30">
        <f>IF($A978="","",$P978+$Q978+N($K978)-N($L978))</f>
        <v>0</v>
      </c>
      <c r="S978" s="27">
        <f>IF($A978="","",SUMIFS(ItCusto,ItOS,$A978))</f>
        <v>0</v>
      </c>
      <c r="T978" s="27">
        <f>IF($A978="","",$P978*ComMec)</f>
        <v>0</v>
      </c>
      <c r="U978" s="21">
        <f>IF($A978="","",$R978-$S978-$T978-N($K978))</f>
        <v>0</v>
      </c>
      <c r="V978" s="31">
        <f>IF(OR($A978="",N($R978)&lt;=0),"",$U978/$R978)</f>
        <v>0</v>
      </c>
      <c r="W978" s="27">
        <f>IF($A978="","",IF(OR($I978="Finalizado",$I978="Entregue"),MAX(0,$R978-N($O978)),0))</f>
        <v>0</v>
      </c>
      <c r="X978" s="32">
        <f>IF(OR($A978="",$B978=""),"",IF(OR($I978="Entregue",$I978="Cancelada"),"",Hoje-$B978))</f>
        <v>0</v>
      </c>
      <c r="Y978" s="24">
        <f>IF($A978="","",IF(AND(OR($I978="Aprovado",$I978="Em execução",$I978="Aguardando peça"),N($X978)&gt;PrazoMax),"ATRASADA",IF(AND(OR($I978="Finalizado",$I978="Entregue"),$W978&gt;0.005),"Cobrar",IF($I978="Orçamento","Aguardando aprovação",""))))</f>
        <v>0</v>
      </c>
      <c r="Z978" s="33">
        <f>IF(AND($I978="Entregue",$M978&lt;&gt;""),DATE(YEAR($M978),MONTH($M978),1),"")</f>
        <v>0</v>
      </c>
      <c r="AA978" s="34">
        <f>IF(AND($C978&lt;&gt;"",$C978=HistPlaca),COUNTIF($C$5:$C978,HistPlaca),"")</f>
        <v>0</v>
      </c>
    </row>
    <row r="979" spans="1:27">
      <c r="A979" s="17"/>
      <c r="B979" s="25"/>
      <c r="C979" s="13"/>
      <c r="D979" s="26">
        <f>IF($C979="","",IFERROR(INDEX(VeicCli,MATCH($C979,VeicPlaca,0)),"Placa não cadastrada"))</f>
        <v>0</v>
      </c>
      <c r="E979" s="26">
        <f>IF($C979="","",IFERROR(INDEX(VeicModelo,MATCH($C979,VeicPlaca,0)),""))</f>
        <v>0</v>
      </c>
      <c r="F979" s="28"/>
      <c r="G979" s="13"/>
      <c r="H979" s="13"/>
      <c r="I979" s="13"/>
      <c r="J979" s="29"/>
      <c r="K979" s="19"/>
      <c r="L979" s="19"/>
      <c r="M979" s="25"/>
      <c r="N979" s="13"/>
      <c r="O979" s="19"/>
      <c r="P979" s="27">
        <f>IF($A979="","",N($J979)*ValorHora)</f>
        <v>0</v>
      </c>
      <c r="Q979" s="27">
        <f>IF($A979="","",SUMIFS(ItTotal,ItOS,$A979))</f>
        <v>0</v>
      </c>
      <c r="R979" s="30">
        <f>IF($A979="","",$P979+$Q979+N($K979)-N($L979))</f>
        <v>0</v>
      </c>
      <c r="S979" s="27">
        <f>IF($A979="","",SUMIFS(ItCusto,ItOS,$A979))</f>
        <v>0</v>
      </c>
      <c r="T979" s="27">
        <f>IF($A979="","",$P979*ComMec)</f>
        <v>0</v>
      </c>
      <c r="U979" s="21">
        <f>IF($A979="","",$R979-$S979-$T979-N($K979))</f>
        <v>0</v>
      </c>
      <c r="V979" s="31">
        <f>IF(OR($A979="",N($R979)&lt;=0),"",$U979/$R979)</f>
        <v>0</v>
      </c>
      <c r="W979" s="27">
        <f>IF($A979="","",IF(OR($I979="Finalizado",$I979="Entregue"),MAX(0,$R979-N($O979)),0))</f>
        <v>0</v>
      </c>
      <c r="X979" s="32">
        <f>IF(OR($A979="",$B979=""),"",IF(OR($I979="Entregue",$I979="Cancelada"),"",Hoje-$B979))</f>
        <v>0</v>
      </c>
      <c r="Y979" s="24">
        <f>IF($A979="","",IF(AND(OR($I979="Aprovado",$I979="Em execução",$I979="Aguardando peça"),N($X979)&gt;PrazoMax),"ATRASADA",IF(AND(OR($I979="Finalizado",$I979="Entregue"),$W979&gt;0.005),"Cobrar",IF($I979="Orçamento","Aguardando aprovação",""))))</f>
        <v>0</v>
      </c>
      <c r="Z979" s="33">
        <f>IF(AND($I979="Entregue",$M979&lt;&gt;""),DATE(YEAR($M979),MONTH($M979),1),"")</f>
        <v>0</v>
      </c>
      <c r="AA979" s="34">
        <f>IF(AND($C979&lt;&gt;"",$C979=HistPlaca),COUNTIF($C$5:$C979,HistPlaca),"")</f>
        <v>0</v>
      </c>
    </row>
    <row r="980" spans="1:27">
      <c r="A980" s="17"/>
      <c r="B980" s="25"/>
      <c r="C980" s="13"/>
      <c r="D980" s="26">
        <f>IF($C980="","",IFERROR(INDEX(VeicCli,MATCH($C980,VeicPlaca,0)),"Placa não cadastrada"))</f>
        <v>0</v>
      </c>
      <c r="E980" s="26">
        <f>IF($C980="","",IFERROR(INDEX(VeicModelo,MATCH($C980,VeicPlaca,0)),""))</f>
        <v>0</v>
      </c>
      <c r="F980" s="28"/>
      <c r="G980" s="13"/>
      <c r="H980" s="13"/>
      <c r="I980" s="13"/>
      <c r="J980" s="29"/>
      <c r="K980" s="19"/>
      <c r="L980" s="19"/>
      <c r="M980" s="25"/>
      <c r="N980" s="13"/>
      <c r="O980" s="19"/>
      <c r="P980" s="27">
        <f>IF($A980="","",N($J980)*ValorHora)</f>
        <v>0</v>
      </c>
      <c r="Q980" s="27">
        <f>IF($A980="","",SUMIFS(ItTotal,ItOS,$A980))</f>
        <v>0</v>
      </c>
      <c r="R980" s="30">
        <f>IF($A980="","",$P980+$Q980+N($K980)-N($L980))</f>
        <v>0</v>
      </c>
      <c r="S980" s="27">
        <f>IF($A980="","",SUMIFS(ItCusto,ItOS,$A980))</f>
        <v>0</v>
      </c>
      <c r="T980" s="27">
        <f>IF($A980="","",$P980*ComMec)</f>
        <v>0</v>
      </c>
      <c r="U980" s="21">
        <f>IF($A980="","",$R980-$S980-$T980-N($K980))</f>
        <v>0</v>
      </c>
      <c r="V980" s="31">
        <f>IF(OR($A980="",N($R980)&lt;=0),"",$U980/$R980)</f>
        <v>0</v>
      </c>
      <c r="W980" s="27">
        <f>IF($A980="","",IF(OR($I980="Finalizado",$I980="Entregue"),MAX(0,$R980-N($O980)),0))</f>
        <v>0</v>
      </c>
      <c r="X980" s="32">
        <f>IF(OR($A980="",$B980=""),"",IF(OR($I980="Entregue",$I980="Cancelada"),"",Hoje-$B980))</f>
        <v>0</v>
      </c>
      <c r="Y980" s="24">
        <f>IF($A980="","",IF(AND(OR($I980="Aprovado",$I980="Em execução",$I980="Aguardando peça"),N($X980)&gt;PrazoMax),"ATRASADA",IF(AND(OR($I980="Finalizado",$I980="Entregue"),$W980&gt;0.005),"Cobrar",IF($I980="Orçamento","Aguardando aprovação",""))))</f>
        <v>0</v>
      </c>
      <c r="Z980" s="33">
        <f>IF(AND($I980="Entregue",$M980&lt;&gt;""),DATE(YEAR($M980),MONTH($M980),1),"")</f>
        <v>0</v>
      </c>
      <c r="AA980" s="34">
        <f>IF(AND($C980&lt;&gt;"",$C980=HistPlaca),COUNTIF($C$5:$C980,HistPlaca),"")</f>
        <v>0</v>
      </c>
    </row>
    <row r="981" spans="1:27">
      <c r="A981" s="17"/>
      <c r="B981" s="25"/>
      <c r="C981" s="13"/>
      <c r="D981" s="26">
        <f>IF($C981="","",IFERROR(INDEX(VeicCli,MATCH($C981,VeicPlaca,0)),"Placa não cadastrada"))</f>
        <v>0</v>
      </c>
      <c r="E981" s="26">
        <f>IF($C981="","",IFERROR(INDEX(VeicModelo,MATCH($C981,VeicPlaca,0)),""))</f>
        <v>0</v>
      </c>
      <c r="F981" s="28"/>
      <c r="G981" s="13"/>
      <c r="H981" s="13"/>
      <c r="I981" s="13"/>
      <c r="J981" s="29"/>
      <c r="K981" s="19"/>
      <c r="L981" s="19"/>
      <c r="M981" s="25"/>
      <c r="N981" s="13"/>
      <c r="O981" s="19"/>
      <c r="P981" s="27">
        <f>IF($A981="","",N($J981)*ValorHora)</f>
        <v>0</v>
      </c>
      <c r="Q981" s="27">
        <f>IF($A981="","",SUMIFS(ItTotal,ItOS,$A981))</f>
        <v>0</v>
      </c>
      <c r="R981" s="30">
        <f>IF($A981="","",$P981+$Q981+N($K981)-N($L981))</f>
        <v>0</v>
      </c>
      <c r="S981" s="27">
        <f>IF($A981="","",SUMIFS(ItCusto,ItOS,$A981))</f>
        <v>0</v>
      </c>
      <c r="T981" s="27">
        <f>IF($A981="","",$P981*ComMec)</f>
        <v>0</v>
      </c>
      <c r="U981" s="21">
        <f>IF($A981="","",$R981-$S981-$T981-N($K981))</f>
        <v>0</v>
      </c>
      <c r="V981" s="31">
        <f>IF(OR($A981="",N($R981)&lt;=0),"",$U981/$R981)</f>
        <v>0</v>
      </c>
      <c r="W981" s="27">
        <f>IF($A981="","",IF(OR($I981="Finalizado",$I981="Entregue"),MAX(0,$R981-N($O981)),0))</f>
        <v>0</v>
      </c>
      <c r="X981" s="32">
        <f>IF(OR($A981="",$B981=""),"",IF(OR($I981="Entregue",$I981="Cancelada"),"",Hoje-$B981))</f>
        <v>0</v>
      </c>
      <c r="Y981" s="24">
        <f>IF($A981="","",IF(AND(OR($I981="Aprovado",$I981="Em execução",$I981="Aguardando peça"),N($X981)&gt;PrazoMax),"ATRASADA",IF(AND(OR($I981="Finalizado",$I981="Entregue"),$W981&gt;0.005),"Cobrar",IF($I981="Orçamento","Aguardando aprovação",""))))</f>
        <v>0</v>
      </c>
      <c r="Z981" s="33">
        <f>IF(AND($I981="Entregue",$M981&lt;&gt;""),DATE(YEAR($M981),MONTH($M981),1),"")</f>
        <v>0</v>
      </c>
      <c r="AA981" s="34">
        <f>IF(AND($C981&lt;&gt;"",$C981=HistPlaca),COUNTIF($C$5:$C981,HistPlaca),"")</f>
        <v>0</v>
      </c>
    </row>
    <row r="982" spans="1:27">
      <c r="A982" s="17"/>
      <c r="B982" s="25"/>
      <c r="C982" s="13"/>
      <c r="D982" s="26">
        <f>IF($C982="","",IFERROR(INDEX(VeicCli,MATCH($C982,VeicPlaca,0)),"Placa não cadastrada"))</f>
        <v>0</v>
      </c>
      <c r="E982" s="26">
        <f>IF($C982="","",IFERROR(INDEX(VeicModelo,MATCH($C982,VeicPlaca,0)),""))</f>
        <v>0</v>
      </c>
      <c r="F982" s="28"/>
      <c r="G982" s="13"/>
      <c r="H982" s="13"/>
      <c r="I982" s="13"/>
      <c r="J982" s="29"/>
      <c r="K982" s="19"/>
      <c r="L982" s="19"/>
      <c r="M982" s="25"/>
      <c r="N982" s="13"/>
      <c r="O982" s="19"/>
      <c r="P982" s="27">
        <f>IF($A982="","",N($J982)*ValorHora)</f>
        <v>0</v>
      </c>
      <c r="Q982" s="27">
        <f>IF($A982="","",SUMIFS(ItTotal,ItOS,$A982))</f>
        <v>0</v>
      </c>
      <c r="R982" s="30">
        <f>IF($A982="","",$P982+$Q982+N($K982)-N($L982))</f>
        <v>0</v>
      </c>
      <c r="S982" s="27">
        <f>IF($A982="","",SUMIFS(ItCusto,ItOS,$A982))</f>
        <v>0</v>
      </c>
      <c r="T982" s="27">
        <f>IF($A982="","",$P982*ComMec)</f>
        <v>0</v>
      </c>
      <c r="U982" s="21">
        <f>IF($A982="","",$R982-$S982-$T982-N($K982))</f>
        <v>0</v>
      </c>
      <c r="V982" s="31">
        <f>IF(OR($A982="",N($R982)&lt;=0),"",$U982/$R982)</f>
        <v>0</v>
      </c>
      <c r="W982" s="27">
        <f>IF($A982="","",IF(OR($I982="Finalizado",$I982="Entregue"),MAX(0,$R982-N($O982)),0))</f>
        <v>0</v>
      </c>
      <c r="X982" s="32">
        <f>IF(OR($A982="",$B982=""),"",IF(OR($I982="Entregue",$I982="Cancelada"),"",Hoje-$B982))</f>
        <v>0</v>
      </c>
      <c r="Y982" s="24">
        <f>IF($A982="","",IF(AND(OR($I982="Aprovado",$I982="Em execução",$I982="Aguardando peça"),N($X982)&gt;PrazoMax),"ATRASADA",IF(AND(OR($I982="Finalizado",$I982="Entregue"),$W982&gt;0.005),"Cobrar",IF($I982="Orçamento","Aguardando aprovação",""))))</f>
        <v>0</v>
      </c>
      <c r="Z982" s="33">
        <f>IF(AND($I982="Entregue",$M982&lt;&gt;""),DATE(YEAR($M982),MONTH($M982),1),"")</f>
        <v>0</v>
      </c>
      <c r="AA982" s="34">
        <f>IF(AND($C982&lt;&gt;"",$C982=HistPlaca),COUNTIF($C$5:$C982,HistPlaca),"")</f>
        <v>0</v>
      </c>
    </row>
    <row r="983" spans="1:27">
      <c r="A983" s="17"/>
      <c r="B983" s="25"/>
      <c r="C983" s="13"/>
      <c r="D983" s="26">
        <f>IF($C983="","",IFERROR(INDEX(VeicCli,MATCH($C983,VeicPlaca,0)),"Placa não cadastrada"))</f>
        <v>0</v>
      </c>
      <c r="E983" s="26">
        <f>IF($C983="","",IFERROR(INDEX(VeicModelo,MATCH($C983,VeicPlaca,0)),""))</f>
        <v>0</v>
      </c>
      <c r="F983" s="28"/>
      <c r="G983" s="13"/>
      <c r="H983" s="13"/>
      <c r="I983" s="13"/>
      <c r="J983" s="29"/>
      <c r="K983" s="19"/>
      <c r="L983" s="19"/>
      <c r="M983" s="25"/>
      <c r="N983" s="13"/>
      <c r="O983" s="19"/>
      <c r="P983" s="27">
        <f>IF($A983="","",N($J983)*ValorHora)</f>
        <v>0</v>
      </c>
      <c r="Q983" s="27">
        <f>IF($A983="","",SUMIFS(ItTotal,ItOS,$A983))</f>
        <v>0</v>
      </c>
      <c r="R983" s="30">
        <f>IF($A983="","",$P983+$Q983+N($K983)-N($L983))</f>
        <v>0</v>
      </c>
      <c r="S983" s="27">
        <f>IF($A983="","",SUMIFS(ItCusto,ItOS,$A983))</f>
        <v>0</v>
      </c>
      <c r="T983" s="27">
        <f>IF($A983="","",$P983*ComMec)</f>
        <v>0</v>
      </c>
      <c r="U983" s="21">
        <f>IF($A983="","",$R983-$S983-$T983-N($K983))</f>
        <v>0</v>
      </c>
      <c r="V983" s="31">
        <f>IF(OR($A983="",N($R983)&lt;=0),"",$U983/$R983)</f>
        <v>0</v>
      </c>
      <c r="W983" s="27">
        <f>IF($A983="","",IF(OR($I983="Finalizado",$I983="Entregue"),MAX(0,$R983-N($O983)),0))</f>
        <v>0</v>
      </c>
      <c r="X983" s="32">
        <f>IF(OR($A983="",$B983=""),"",IF(OR($I983="Entregue",$I983="Cancelada"),"",Hoje-$B983))</f>
        <v>0</v>
      </c>
      <c r="Y983" s="24">
        <f>IF($A983="","",IF(AND(OR($I983="Aprovado",$I983="Em execução",$I983="Aguardando peça"),N($X983)&gt;PrazoMax),"ATRASADA",IF(AND(OR($I983="Finalizado",$I983="Entregue"),$W983&gt;0.005),"Cobrar",IF($I983="Orçamento","Aguardando aprovação",""))))</f>
        <v>0</v>
      </c>
      <c r="Z983" s="33">
        <f>IF(AND($I983="Entregue",$M983&lt;&gt;""),DATE(YEAR($M983),MONTH($M983),1),"")</f>
        <v>0</v>
      </c>
      <c r="AA983" s="34">
        <f>IF(AND($C983&lt;&gt;"",$C983=HistPlaca),COUNTIF($C$5:$C983,HistPlaca),"")</f>
        <v>0</v>
      </c>
    </row>
    <row r="984" spans="1:27">
      <c r="A984" s="17"/>
      <c r="B984" s="25"/>
      <c r="C984" s="13"/>
      <c r="D984" s="26">
        <f>IF($C984="","",IFERROR(INDEX(VeicCli,MATCH($C984,VeicPlaca,0)),"Placa não cadastrada"))</f>
        <v>0</v>
      </c>
      <c r="E984" s="26">
        <f>IF($C984="","",IFERROR(INDEX(VeicModelo,MATCH($C984,VeicPlaca,0)),""))</f>
        <v>0</v>
      </c>
      <c r="F984" s="28"/>
      <c r="G984" s="13"/>
      <c r="H984" s="13"/>
      <c r="I984" s="13"/>
      <c r="J984" s="29"/>
      <c r="K984" s="19"/>
      <c r="L984" s="19"/>
      <c r="M984" s="25"/>
      <c r="N984" s="13"/>
      <c r="O984" s="19"/>
      <c r="P984" s="27">
        <f>IF($A984="","",N($J984)*ValorHora)</f>
        <v>0</v>
      </c>
      <c r="Q984" s="27">
        <f>IF($A984="","",SUMIFS(ItTotal,ItOS,$A984))</f>
        <v>0</v>
      </c>
      <c r="R984" s="30">
        <f>IF($A984="","",$P984+$Q984+N($K984)-N($L984))</f>
        <v>0</v>
      </c>
      <c r="S984" s="27">
        <f>IF($A984="","",SUMIFS(ItCusto,ItOS,$A984))</f>
        <v>0</v>
      </c>
      <c r="T984" s="27">
        <f>IF($A984="","",$P984*ComMec)</f>
        <v>0</v>
      </c>
      <c r="U984" s="21">
        <f>IF($A984="","",$R984-$S984-$T984-N($K984))</f>
        <v>0</v>
      </c>
      <c r="V984" s="31">
        <f>IF(OR($A984="",N($R984)&lt;=0),"",$U984/$R984)</f>
        <v>0</v>
      </c>
      <c r="W984" s="27">
        <f>IF($A984="","",IF(OR($I984="Finalizado",$I984="Entregue"),MAX(0,$R984-N($O984)),0))</f>
        <v>0</v>
      </c>
      <c r="X984" s="32">
        <f>IF(OR($A984="",$B984=""),"",IF(OR($I984="Entregue",$I984="Cancelada"),"",Hoje-$B984))</f>
        <v>0</v>
      </c>
      <c r="Y984" s="24">
        <f>IF($A984="","",IF(AND(OR($I984="Aprovado",$I984="Em execução",$I984="Aguardando peça"),N($X984)&gt;PrazoMax),"ATRASADA",IF(AND(OR($I984="Finalizado",$I984="Entregue"),$W984&gt;0.005),"Cobrar",IF($I984="Orçamento","Aguardando aprovação",""))))</f>
        <v>0</v>
      </c>
      <c r="Z984" s="33">
        <f>IF(AND($I984="Entregue",$M984&lt;&gt;""),DATE(YEAR($M984),MONTH($M984),1),"")</f>
        <v>0</v>
      </c>
      <c r="AA984" s="34">
        <f>IF(AND($C984&lt;&gt;"",$C984=HistPlaca),COUNTIF($C$5:$C984,HistPlaca),"")</f>
        <v>0</v>
      </c>
    </row>
    <row r="985" spans="1:27">
      <c r="A985" s="17"/>
      <c r="B985" s="25"/>
      <c r="C985" s="13"/>
      <c r="D985" s="26">
        <f>IF($C985="","",IFERROR(INDEX(VeicCli,MATCH($C985,VeicPlaca,0)),"Placa não cadastrada"))</f>
        <v>0</v>
      </c>
      <c r="E985" s="26">
        <f>IF($C985="","",IFERROR(INDEX(VeicModelo,MATCH($C985,VeicPlaca,0)),""))</f>
        <v>0</v>
      </c>
      <c r="F985" s="28"/>
      <c r="G985" s="13"/>
      <c r="H985" s="13"/>
      <c r="I985" s="13"/>
      <c r="J985" s="29"/>
      <c r="K985" s="19"/>
      <c r="L985" s="19"/>
      <c r="M985" s="25"/>
      <c r="N985" s="13"/>
      <c r="O985" s="19"/>
      <c r="P985" s="27">
        <f>IF($A985="","",N($J985)*ValorHora)</f>
        <v>0</v>
      </c>
      <c r="Q985" s="27">
        <f>IF($A985="","",SUMIFS(ItTotal,ItOS,$A985))</f>
        <v>0</v>
      </c>
      <c r="R985" s="30">
        <f>IF($A985="","",$P985+$Q985+N($K985)-N($L985))</f>
        <v>0</v>
      </c>
      <c r="S985" s="27">
        <f>IF($A985="","",SUMIFS(ItCusto,ItOS,$A985))</f>
        <v>0</v>
      </c>
      <c r="T985" s="27">
        <f>IF($A985="","",$P985*ComMec)</f>
        <v>0</v>
      </c>
      <c r="U985" s="21">
        <f>IF($A985="","",$R985-$S985-$T985-N($K985))</f>
        <v>0</v>
      </c>
      <c r="V985" s="31">
        <f>IF(OR($A985="",N($R985)&lt;=0),"",$U985/$R985)</f>
        <v>0</v>
      </c>
      <c r="W985" s="27">
        <f>IF($A985="","",IF(OR($I985="Finalizado",$I985="Entregue"),MAX(0,$R985-N($O985)),0))</f>
        <v>0</v>
      </c>
      <c r="X985" s="32">
        <f>IF(OR($A985="",$B985=""),"",IF(OR($I985="Entregue",$I985="Cancelada"),"",Hoje-$B985))</f>
        <v>0</v>
      </c>
      <c r="Y985" s="24">
        <f>IF($A985="","",IF(AND(OR($I985="Aprovado",$I985="Em execução",$I985="Aguardando peça"),N($X985)&gt;PrazoMax),"ATRASADA",IF(AND(OR($I985="Finalizado",$I985="Entregue"),$W985&gt;0.005),"Cobrar",IF($I985="Orçamento","Aguardando aprovação",""))))</f>
        <v>0</v>
      </c>
      <c r="Z985" s="33">
        <f>IF(AND($I985="Entregue",$M985&lt;&gt;""),DATE(YEAR($M985),MONTH($M985),1),"")</f>
        <v>0</v>
      </c>
      <c r="AA985" s="34">
        <f>IF(AND($C985&lt;&gt;"",$C985=HistPlaca),COUNTIF($C$5:$C985,HistPlaca),"")</f>
        <v>0</v>
      </c>
    </row>
    <row r="986" spans="1:27">
      <c r="A986" s="17"/>
      <c r="B986" s="25"/>
      <c r="C986" s="13"/>
      <c r="D986" s="26">
        <f>IF($C986="","",IFERROR(INDEX(VeicCli,MATCH($C986,VeicPlaca,0)),"Placa não cadastrada"))</f>
        <v>0</v>
      </c>
      <c r="E986" s="26">
        <f>IF($C986="","",IFERROR(INDEX(VeicModelo,MATCH($C986,VeicPlaca,0)),""))</f>
        <v>0</v>
      </c>
      <c r="F986" s="28"/>
      <c r="G986" s="13"/>
      <c r="H986" s="13"/>
      <c r="I986" s="13"/>
      <c r="J986" s="29"/>
      <c r="K986" s="19"/>
      <c r="L986" s="19"/>
      <c r="M986" s="25"/>
      <c r="N986" s="13"/>
      <c r="O986" s="19"/>
      <c r="P986" s="27">
        <f>IF($A986="","",N($J986)*ValorHora)</f>
        <v>0</v>
      </c>
      <c r="Q986" s="27">
        <f>IF($A986="","",SUMIFS(ItTotal,ItOS,$A986))</f>
        <v>0</v>
      </c>
      <c r="R986" s="30">
        <f>IF($A986="","",$P986+$Q986+N($K986)-N($L986))</f>
        <v>0</v>
      </c>
      <c r="S986" s="27">
        <f>IF($A986="","",SUMIFS(ItCusto,ItOS,$A986))</f>
        <v>0</v>
      </c>
      <c r="T986" s="27">
        <f>IF($A986="","",$P986*ComMec)</f>
        <v>0</v>
      </c>
      <c r="U986" s="21">
        <f>IF($A986="","",$R986-$S986-$T986-N($K986))</f>
        <v>0</v>
      </c>
      <c r="V986" s="31">
        <f>IF(OR($A986="",N($R986)&lt;=0),"",$U986/$R986)</f>
        <v>0</v>
      </c>
      <c r="W986" s="27">
        <f>IF($A986="","",IF(OR($I986="Finalizado",$I986="Entregue"),MAX(0,$R986-N($O986)),0))</f>
        <v>0</v>
      </c>
      <c r="X986" s="32">
        <f>IF(OR($A986="",$B986=""),"",IF(OR($I986="Entregue",$I986="Cancelada"),"",Hoje-$B986))</f>
        <v>0</v>
      </c>
      <c r="Y986" s="24">
        <f>IF($A986="","",IF(AND(OR($I986="Aprovado",$I986="Em execução",$I986="Aguardando peça"),N($X986)&gt;PrazoMax),"ATRASADA",IF(AND(OR($I986="Finalizado",$I986="Entregue"),$W986&gt;0.005),"Cobrar",IF($I986="Orçamento","Aguardando aprovação",""))))</f>
        <v>0</v>
      </c>
      <c r="Z986" s="33">
        <f>IF(AND($I986="Entregue",$M986&lt;&gt;""),DATE(YEAR($M986),MONTH($M986),1),"")</f>
        <v>0</v>
      </c>
      <c r="AA986" s="34">
        <f>IF(AND($C986&lt;&gt;"",$C986=HistPlaca),COUNTIF($C$5:$C986,HistPlaca),"")</f>
        <v>0</v>
      </c>
    </row>
    <row r="987" spans="1:27">
      <c r="A987" s="17"/>
      <c r="B987" s="25"/>
      <c r="C987" s="13"/>
      <c r="D987" s="26">
        <f>IF($C987="","",IFERROR(INDEX(VeicCli,MATCH($C987,VeicPlaca,0)),"Placa não cadastrada"))</f>
        <v>0</v>
      </c>
      <c r="E987" s="26">
        <f>IF($C987="","",IFERROR(INDEX(VeicModelo,MATCH($C987,VeicPlaca,0)),""))</f>
        <v>0</v>
      </c>
      <c r="F987" s="28"/>
      <c r="G987" s="13"/>
      <c r="H987" s="13"/>
      <c r="I987" s="13"/>
      <c r="J987" s="29"/>
      <c r="K987" s="19"/>
      <c r="L987" s="19"/>
      <c r="M987" s="25"/>
      <c r="N987" s="13"/>
      <c r="O987" s="19"/>
      <c r="P987" s="27">
        <f>IF($A987="","",N($J987)*ValorHora)</f>
        <v>0</v>
      </c>
      <c r="Q987" s="27">
        <f>IF($A987="","",SUMIFS(ItTotal,ItOS,$A987))</f>
        <v>0</v>
      </c>
      <c r="R987" s="30">
        <f>IF($A987="","",$P987+$Q987+N($K987)-N($L987))</f>
        <v>0</v>
      </c>
      <c r="S987" s="27">
        <f>IF($A987="","",SUMIFS(ItCusto,ItOS,$A987))</f>
        <v>0</v>
      </c>
      <c r="T987" s="27">
        <f>IF($A987="","",$P987*ComMec)</f>
        <v>0</v>
      </c>
      <c r="U987" s="21">
        <f>IF($A987="","",$R987-$S987-$T987-N($K987))</f>
        <v>0</v>
      </c>
      <c r="V987" s="31">
        <f>IF(OR($A987="",N($R987)&lt;=0),"",$U987/$R987)</f>
        <v>0</v>
      </c>
      <c r="W987" s="27">
        <f>IF($A987="","",IF(OR($I987="Finalizado",$I987="Entregue"),MAX(0,$R987-N($O987)),0))</f>
        <v>0</v>
      </c>
      <c r="X987" s="32">
        <f>IF(OR($A987="",$B987=""),"",IF(OR($I987="Entregue",$I987="Cancelada"),"",Hoje-$B987))</f>
        <v>0</v>
      </c>
      <c r="Y987" s="24">
        <f>IF($A987="","",IF(AND(OR($I987="Aprovado",$I987="Em execução",$I987="Aguardando peça"),N($X987)&gt;PrazoMax),"ATRASADA",IF(AND(OR($I987="Finalizado",$I987="Entregue"),$W987&gt;0.005),"Cobrar",IF($I987="Orçamento","Aguardando aprovação",""))))</f>
        <v>0</v>
      </c>
      <c r="Z987" s="33">
        <f>IF(AND($I987="Entregue",$M987&lt;&gt;""),DATE(YEAR($M987),MONTH($M987),1),"")</f>
        <v>0</v>
      </c>
      <c r="AA987" s="34">
        <f>IF(AND($C987&lt;&gt;"",$C987=HistPlaca),COUNTIF($C$5:$C987,HistPlaca),"")</f>
        <v>0</v>
      </c>
    </row>
    <row r="988" spans="1:27">
      <c r="A988" s="17"/>
      <c r="B988" s="25"/>
      <c r="C988" s="13"/>
      <c r="D988" s="26">
        <f>IF($C988="","",IFERROR(INDEX(VeicCli,MATCH($C988,VeicPlaca,0)),"Placa não cadastrada"))</f>
        <v>0</v>
      </c>
      <c r="E988" s="26">
        <f>IF($C988="","",IFERROR(INDEX(VeicModelo,MATCH($C988,VeicPlaca,0)),""))</f>
        <v>0</v>
      </c>
      <c r="F988" s="28"/>
      <c r="G988" s="13"/>
      <c r="H988" s="13"/>
      <c r="I988" s="13"/>
      <c r="J988" s="29"/>
      <c r="K988" s="19"/>
      <c r="L988" s="19"/>
      <c r="M988" s="25"/>
      <c r="N988" s="13"/>
      <c r="O988" s="19"/>
      <c r="P988" s="27">
        <f>IF($A988="","",N($J988)*ValorHora)</f>
        <v>0</v>
      </c>
      <c r="Q988" s="27">
        <f>IF($A988="","",SUMIFS(ItTotal,ItOS,$A988))</f>
        <v>0</v>
      </c>
      <c r="R988" s="30">
        <f>IF($A988="","",$P988+$Q988+N($K988)-N($L988))</f>
        <v>0</v>
      </c>
      <c r="S988" s="27">
        <f>IF($A988="","",SUMIFS(ItCusto,ItOS,$A988))</f>
        <v>0</v>
      </c>
      <c r="T988" s="27">
        <f>IF($A988="","",$P988*ComMec)</f>
        <v>0</v>
      </c>
      <c r="U988" s="21">
        <f>IF($A988="","",$R988-$S988-$T988-N($K988))</f>
        <v>0</v>
      </c>
      <c r="V988" s="31">
        <f>IF(OR($A988="",N($R988)&lt;=0),"",$U988/$R988)</f>
        <v>0</v>
      </c>
      <c r="W988" s="27">
        <f>IF($A988="","",IF(OR($I988="Finalizado",$I988="Entregue"),MAX(0,$R988-N($O988)),0))</f>
        <v>0</v>
      </c>
      <c r="X988" s="32">
        <f>IF(OR($A988="",$B988=""),"",IF(OR($I988="Entregue",$I988="Cancelada"),"",Hoje-$B988))</f>
        <v>0</v>
      </c>
      <c r="Y988" s="24">
        <f>IF($A988="","",IF(AND(OR($I988="Aprovado",$I988="Em execução",$I988="Aguardando peça"),N($X988)&gt;PrazoMax),"ATRASADA",IF(AND(OR($I988="Finalizado",$I988="Entregue"),$W988&gt;0.005),"Cobrar",IF($I988="Orçamento","Aguardando aprovação",""))))</f>
        <v>0</v>
      </c>
      <c r="Z988" s="33">
        <f>IF(AND($I988="Entregue",$M988&lt;&gt;""),DATE(YEAR($M988),MONTH($M988),1),"")</f>
        <v>0</v>
      </c>
      <c r="AA988" s="34">
        <f>IF(AND($C988&lt;&gt;"",$C988=HistPlaca),COUNTIF($C$5:$C988,HistPlaca),"")</f>
        <v>0</v>
      </c>
    </row>
    <row r="989" spans="1:27">
      <c r="A989" s="17"/>
      <c r="B989" s="25"/>
      <c r="C989" s="13"/>
      <c r="D989" s="26">
        <f>IF($C989="","",IFERROR(INDEX(VeicCli,MATCH($C989,VeicPlaca,0)),"Placa não cadastrada"))</f>
        <v>0</v>
      </c>
      <c r="E989" s="26">
        <f>IF($C989="","",IFERROR(INDEX(VeicModelo,MATCH($C989,VeicPlaca,0)),""))</f>
        <v>0</v>
      </c>
      <c r="F989" s="28"/>
      <c r="G989" s="13"/>
      <c r="H989" s="13"/>
      <c r="I989" s="13"/>
      <c r="J989" s="29"/>
      <c r="K989" s="19"/>
      <c r="L989" s="19"/>
      <c r="M989" s="25"/>
      <c r="N989" s="13"/>
      <c r="O989" s="19"/>
      <c r="P989" s="27">
        <f>IF($A989="","",N($J989)*ValorHora)</f>
        <v>0</v>
      </c>
      <c r="Q989" s="27">
        <f>IF($A989="","",SUMIFS(ItTotal,ItOS,$A989))</f>
        <v>0</v>
      </c>
      <c r="R989" s="30">
        <f>IF($A989="","",$P989+$Q989+N($K989)-N($L989))</f>
        <v>0</v>
      </c>
      <c r="S989" s="27">
        <f>IF($A989="","",SUMIFS(ItCusto,ItOS,$A989))</f>
        <v>0</v>
      </c>
      <c r="T989" s="27">
        <f>IF($A989="","",$P989*ComMec)</f>
        <v>0</v>
      </c>
      <c r="U989" s="21">
        <f>IF($A989="","",$R989-$S989-$T989-N($K989))</f>
        <v>0</v>
      </c>
      <c r="V989" s="31">
        <f>IF(OR($A989="",N($R989)&lt;=0),"",$U989/$R989)</f>
        <v>0</v>
      </c>
      <c r="W989" s="27">
        <f>IF($A989="","",IF(OR($I989="Finalizado",$I989="Entregue"),MAX(0,$R989-N($O989)),0))</f>
        <v>0</v>
      </c>
      <c r="X989" s="32">
        <f>IF(OR($A989="",$B989=""),"",IF(OR($I989="Entregue",$I989="Cancelada"),"",Hoje-$B989))</f>
        <v>0</v>
      </c>
      <c r="Y989" s="24">
        <f>IF($A989="","",IF(AND(OR($I989="Aprovado",$I989="Em execução",$I989="Aguardando peça"),N($X989)&gt;PrazoMax),"ATRASADA",IF(AND(OR($I989="Finalizado",$I989="Entregue"),$W989&gt;0.005),"Cobrar",IF($I989="Orçamento","Aguardando aprovação",""))))</f>
        <v>0</v>
      </c>
      <c r="Z989" s="33">
        <f>IF(AND($I989="Entregue",$M989&lt;&gt;""),DATE(YEAR($M989),MONTH($M989),1),"")</f>
        <v>0</v>
      </c>
      <c r="AA989" s="34">
        <f>IF(AND($C989&lt;&gt;"",$C989=HistPlaca),COUNTIF($C$5:$C989,HistPlaca),"")</f>
        <v>0</v>
      </c>
    </row>
    <row r="990" spans="1:27">
      <c r="A990" s="17"/>
      <c r="B990" s="25"/>
      <c r="C990" s="13"/>
      <c r="D990" s="26">
        <f>IF($C990="","",IFERROR(INDEX(VeicCli,MATCH($C990,VeicPlaca,0)),"Placa não cadastrada"))</f>
        <v>0</v>
      </c>
      <c r="E990" s="26">
        <f>IF($C990="","",IFERROR(INDEX(VeicModelo,MATCH($C990,VeicPlaca,0)),""))</f>
        <v>0</v>
      </c>
      <c r="F990" s="28"/>
      <c r="G990" s="13"/>
      <c r="H990" s="13"/>
      <c r="I990" s="13"/>
      <c r="J990" s="29"/>
      <c r="K990" s="19"/>
      <c r="L990" s="19"/>
      <c r="M990" s="25"/>
      <c r="N990" s="13"/>
      <c r="O990" s="19"/>
      <c r="P990" s="27">
        <f>IF($A990="","",N($J990)*ValorHora)</f>
        <v>0</v>
      </c>
      <c r="Q990" s="27">
        <f>IF($A990="","",SUMIFS(ItTotal,ItOS,$A990))</f>
        <v>0</v>
      </c>
      <c r="R990" s="30">
        <f>IF($A990="","",$P990+$Q990+N($K990)-N($L990))</f>
        <v>0</v>
      </c>
      <c r="S990" s="27">
        <f>IF($A990="","",SUMIFS(ItCusto,ItOS,$A990))</f>
        <v>0</v>
      </c>
      <c r="T990" s="27">
        <f>IF($A990="","",$P990*ComMec)</f>
        <v>0</v>
      </c>
      <c r="U990" s="21">
        <f>IF($A990="","",$R990-$S990-$T990-N($K990))</f>
        <v>0</v>
      </c>
      <c r="V990" s="31">
        <f>IF(OR($A990="",N($R990)&lt;=0),"",$U990/$R990)</f>
        <v>0</v>
      </c>
      <c r="W990" s="27">
        <f>IF($A990="","",IF(OR($I990="Finalizado",$I990="Entregue"),MAX(0,$R990-N($O990)),0))</f>
        <v>0</v>
      </c>
      <c r="X990" s="32">
        <f>IF(OR($A990="",$B990=""),"",IF(OR($I990="Entregue",$I990="Cancelada"),"",Hoje-$B990))</f>
        <v>0</v>
      </c>
      <c r="Y990" s="24">
        <f>IF($A990="","",IF(AND(OR($I990="Aprovado",$I990="Em execução",$I990="Aguardando peça"),N($X990)&gt;PrazoMax),"ATRASADA",IF(AND(OR($I990="Finalizado",$I990="Entregue"),$W990&gt;0.005),"Cobrar",IF($I990="Orçamento","Aguardando aprovação",""))))</f>
        <v>0</v>
      </c>
      <c r="Z990" s="33">
        <f>IF(AND($I990="Entregue",$M990&lt;&gt;""),DATE(YEAR($M990),MONTH($M990),1),"")</f>
        <v>0</v>
      </c>
      <c r="AA990" s="34">
        <f>IF(AND($C990&lt;&gt;"",$C990=HistPlaca),COUNTIF($C$5:$C990,HistPlaca),"")</f>
        <v>0</v>
      </c>
    </row>
    <row r="991" spans="1:27">
      <c r="A991" s="17"/>
      <c r="B991" s="25"/>
      <c r="C991" s="13"/>
      <c r="D991" s="26">
        <f>IF($C991="","",IFERROR(INDEX(VeicCli,MATCH($C991,VeicPlaca,0)),"Placa não cadastrada"))</f>
        <v>0</v>
      </c>
      <c r="E991" s="26">
        <f>IF($C991="","",IFERROR(INDEX(VeicModelo,MATCH($C991,VeicPlaca,0)),""))</f>
        <v>0</v>
      </c>
      <c r="F991" s="28"/>
      <c r="G991" s="13"/>
      <c r="H991" s="13"/>
      <c r="I991" s="13"/>
      <c r="J991" s="29"/>
      <c r="K991" s="19"/>
      <c r="L991" s="19"/>
      <c r="M991" s="25"/>
      <c r="N991" s="13"/>
      <c r="O991" s="19"/>
      <c r="P991" s="27">
        <f>IF($A991="","",N($J991)*ValorHora)</f>
        <v>0</v>
      </c>
      <c r="Q991" s="27">
        <f>IF($A991="","",SUMIFS(ItTotal,ItOS,$A991))</f>
        <v>0</v>
      </c>
      <c r="R991" s="30">
        <f>IF($A991="","",$P991+$Q991+N($K991)-N($L991))</f>
        <v>0</v>
      </c>
      <c r="S991" s="27">
        <f>IF($A991="","",SUMIFS(ItCusto,ItOS,$A991))</f>
        <v>0</v>
      </c>
      <c r="T991" s="27">
        <f>IF($A991="","",$P991*ComMec)</f>
        <v>0</v>
      </c>
      <c r="U991" s="21">
        <f>IF($A991="","",$R991-$S991-$T991-N($K991))</f>
        <v>0</v>
      </c>
      <c r="V991" s="31">
        <f>IF(OR($A991="",N($R991)&lt;=0),"",$U991/$R991)</f>
        <v>0</v>
      </c>
      <c r="W991" s="27">
        <f>IF($A991="","",IF(OR($I991="Finalizado",$I991="Entregue"),MAX(0,$R991-N($O991)),0))</f>
        <v>0</v>
      </c>
      <c r="X991" s="32">
        <f>IF(OR($A991="",$B991=""),"",IF(OR($I991="Entregue",$I991="Cancelada"),"",Hoje-$B991))</f>
        <v>0</v>
      </c>
      <c r="Y991" s="24">
        <f>IF($A991="","",IF(AND(OR($I991="Aprovado",$I991="Em execução",$I991="Aguardando peça"),N($X991)&gt;PrazoMax),"ATRASADA",IF(AND(OR($I991="Finalizado",$I991="Entregue"),$W991&gt;0.005),"Cobrar",IF($I991="Orçamento","Aguardando aprovação",""))))</f>
        <v>0</v>
      </c>
      <c r="Z991" s="33">
        <f>IF(AND($I991="Entregue",$M991&lt;&gt;""),DATE(YEAR($M991),MONTH($M991),1),"")</f>
        <v>0</v>
      </c>
      <c r="AA991" s="34">
        <f>IF(AND($C991&lt;&gt;"",$C991=HistPlaca),COUNTIF($C$5:$C991,HistPlaca),"")</f>
        <v>0</v>
      </c>
    </row>
    <row r="992" spans="1:27">
      <c r="A992" s="17"/>
      <c r="B992" s="25"/>
      <c r="C992" s="13"/>
      <c r="D992" s="26">
        <f>IF($C992="","",IFERROR(INDEX(VeicCli,MATCH($C992,VeicPlaca,0)),"Placa não cadastrada"))</f>
        <v>0</v>
      </c>
      <c r="E992" s="26">
        <f>IF($C992="","",IFERROR(INDEX(VeicModelo,MATCH($C992,VeicPlaca,0)),""))</f>
        <v>0</v>
      </c>
      <c r="F992" s="28"/>
      <c r="G992" s="13"/>
      <c r="H992" s="13"/>
      <c r="I992" s="13"/>
      <c r="J992" s="29"/>
      <c r="K992" s="19"/>
      <c r="L992" s="19"/>
      <c r="M992" s="25"/>
      <c r="N992" s="13"/>
      <c r="O992" s="19"/>
      <c r="P992" s="27">
        <f>IF($A992="","",N($J992)*ValorHora)</f>
        <v>0</v>
      </c>
      <c r="Q992" s="27">
        <f>IF($A992="","",SUMIFS(ItTotal,ItOS,$A992))</f>
        <v>0</v>
      </c>
      <c r="R992" s="30">
        <f>IF($A992="","",$P992+$Q992+N($K992)-N($L992))</f>
        <v>0</v>
      </c>
      <c r="S992" s="27">
        <f>IF($A992="","",SUMIFS(ItCusto,ItOS,$A992))</f>
        <v>0</v>
      </c>
      <c r="T992" s="27">
        <f>IF($A992="","",$P992*ComMec)</f>
        <v>0</v>
      </c>
      <c r="U992" s="21">
        <f>IF($A992="","",$R992-$S992-$T992-N($K992))</f>
        <v>0</v>
      </c>
      <c r="V992" s="31">
        <f>IF(OR($A992="",N($R992)&lt;=0),"",$U992/$R992)</f>
        <v>0</v>
      </c>
      <c r="W992" s="27">
        <f>IF($A992="","",IF(OR($I992="Finalizado",$I992="Entregue"),MAX(0,$R992-N($O992)),0))</f>
        <v>0</v>
      </c>
      <c r="X992" s="32">
        <f>IF(OR($A992="",$B992=""),"",IF(OR($I992="Entregue",$I992="Cancelada"),"",Hoje-$B992))</f>
        <v>0</v>
      </c>
      <c r="Y992" s="24">
        <f>IF($A992="","",IF(AND(OR($I992="Aprovado",$I992="Em execução",$I992="Aguardando peça"),N($X992)&gt;PrazoMax),"ATRASADA",IF(AND(OR($I992="Finalizado",$I992="Entregue"),$W992&gt;0.005),"Cobrar",IF($I992="Orçamento","Aguardando aprovação",""))))</f>
        <v>0</v>
      </c>
      <c r="Z992" s="33">
        <f>IF(AND($I992="Entregue",$M992&lt;&gt;""),DATE(YEAR($M992),MONTH($M992),1),"")</f>
        <v>0</v>
      </c>
      <c r="AA992" s="34">
        <f>IF(AND($C992&lt;&gt;"",$C992=HistPlaca),COUNTIF($C$5:$C992,HistPlaca),"")</f>
        <v>0</v>
      </c>
    </row>
    <row r="993" spans="1:27">
      <c r="A993" s="17"/>
      <c r="B993" s="25"/>
      <c r="C993" s="13"/>
      <c r="D993" s="26">
        <f>IF($C993="","",IFERROR(INDEX(VeicCli,MATCH($C993,VeicPlaca,0)),"Placa não cadastrada"))</f>
        <v>0</v>
      </c>
      <c r="E993" s="26">
        <f>IF($C993="","",IFERROR(INDEX(VeicModelo,MATCH($C993,VeicPlaca,0)),""))</f>
        <v>0</v>
      </c>
      <c r="F993" s="28"/>
      <c r="G993" s="13"/>
      <c r="H993" s="13"/>
      <c r="I993" s="13"/>
      <c r="J993" s="29"/>
      <c r="K993" s="19"/>
      <c r="L993" s="19"/>
      <c r="M993" s="25"/>
      <c r="N993" s="13"/>
      <c r="O993" s="19"/>
      <c r="P993" s="27">
        <f>IF($A993="","",N($J993)*ValorHora)</f>
        <v>0</v>
      </c>
      <c r="Q993" s="27">
        <f>IF($A993="","",SUMIFS(ItTotal,ItOS,$A993))</f>
        <v>0</v>
      </c>
      <c r="R993" s="30">
        <f>IF($A993="","",$P993+$Q993+N($K993)-N($L993))</f>
        <v>0</v>
      </c>
      <c r="S993" s="27">
        <f>IF($A993="","",SUMIFS(ItCusto,ItOS,$A993))</f>
        <v>0</v>
      </c>
      <c r="T993" s="27">
        <f>IF($A993="","",$P993*ComMec)</f>
        <v>0</v>
      </c>
      <c r="U993" s="21">
        <f>IF($A993="","",$R993-$S993-$T993-N($K993))</f>
        <v>0</v>
      </c>
      <c r="V993" s="31">
        <f>IF(OR($A993="",N($R993)&lt;=0),"",$U993/$R993)</f>
        <v>0</v>
      </c>
      <c r="W993" s="27">
        <f>IF($A993="","",IF(OR($I993="Finalizado",$I993="Entregue"),MAX(0,$R993-N($O993)),0))</f>
        <v>0</v>
      </c>
      <c r="X993" s="32">
        <f>IF(OR($A993="",$B993=""),"",IF(OR($I993="Entregue",$I993="Cancelada"),"",Hoje-$B993))</f>
        <v>0</v>
      </c>
      <c r="Y993" s="24">
        <f>IF($A993="","",IF(AND(OR($I993="Aprovado",$I993="Em execução",$I993="Aguardando peça"),N($X993)&gt;PrazoMax),"ATRASADA",IF(AND(OR($I993="Finalizado",$I993="Entregue"),$W993&gt;0.005),"Cobrar",IF($I993="Orçamento","Aguardando aprovação",""))))</f>
        <v>0</v>
      </c>
      <c r="Z993" s="33">
        <f>IF(AND($I993="Entregue",$M993&lt;&gt;""),DATE(YEAR($M993),MONTH($M993),1),"")</f>
        <v>0</v>
      </c>
      <c r="AA993" s="34">
        <f>IF(AND($C993&lt;&gt;"",$C993=HistPlaca),COUNTIF($C$5:$C993,HistPlaca),"")</f>
        <v>0</v>
      </c>
    </row>
    <row r="994" spans="1:27">
      <c r="A994" s="17"/>
      <c r="B994" s="25"/>
      <c r="C994" s="13"/>
      <c r="D994" s="26">
        <f>IF($C994="","",IFERROR(INDEX(VeicCli,MATCH($C994,VeicPlaca,0)),"Placa não cadastrada"))</f>
        <v>0</v>
      </c>
      <c r="E994" s="26">
        <f>IF($C994="","",IFERROR(INDEX(VeicModelo,MATCH($C994,VeicPlaca,0)),""))</f>
        <v>0</v>
      </c>
      <c r="F994" s="28"/>
      <c r="G994" s="13"/>
      <c r="H994" s="13"/>
      <c r="I994" s="13"/>
      <c r="J994" s="29"/>
      <c r="K994" s="19"/>
      <c r="L994" s="19"/>
      <c r="M994" s="25"/>
      <c r="N994" s="13"/>
      <c r="O994" s="19"/>
      <c r="P994" s="27">
        <f>IF($A994="","",N($J994)*ValorHora)</f>
        <v>0</v>
      </c>
      <c r="Q994" s="27">
        <f>IF($A994="","",SUMIFS(ItTotal,ItOS,$A994))</f>
        <v>0</v>
      </c>
      <c r="R994" s="30">
        <f>IF($A994="","",$P994+$Q994+N($K994)-N($L994))</f>
        <v>0</v>
      </c>
      <c r="S994" s="27">
        <f>IF($A994="","",SUMIFS(ItCusto,ItOS,$A994))</f>
        <v>0</v>
      </c>
      <c r="T994" s="27">
        <f>IF($A994="","",$P994*ComMec)</f>
        <v>0</v>
      </c>
      <c r="U994" s="21">
        <f>IF($A994="","",$R994-$S994-$T994-N($K994))</f>
        <v>0</v>
      </c>
      <c r="V994" s="31">
        <f>IF(OR($A994="",N($R994)&lt;=0),"",$U994/$R994)</f>
        <v>0</v>
      </c>
      <c r="W994" s="27">
        <f>IF($A994="","",IF(OR($I994="Finalizado",$I994="Entregue"),MAX(0,$R994-N($O994)),0))</f>
        <v>0</v>
      </c>
      <c r="X994" s="32">
        <f>IF(OR($A994="",$B994=""),"",IF(OR($I994="Entregue",$I994="Cancelada"),"",Hoje-$B994))</f>
        <v>0</v>
      </c>
      <c r="Y994" s="24">
        <f>IF($A994="","",IF(AND(OR($I994="Aprovado",$I994="Em execução",$I994="Aguardando peça"),N($X994)&gt;PrazoMax),"ATRASADA",IF(AND(OR($I994="Finalizado",$I994="Entregue"),$W994&gt;0.005),"Cobrar",IF($I994="Orçamento","Aguardando aprovação",""))))</f>
        <v>0</v>
      </c>
      <c r="Z994" s="33">
        <f>IF(AND($I994="Entregue",$M994&lt;&gt;""),DATE(YEAR($M994),MONTH($M994),1),"")</f>
        <v>0</v>
      </c>
      <c r="AA994" s="34">
        <f>IF(AND($C994&lt;&gt;"",$C994=HistPlaca),COUNTIF($C$5:$C994,HistPlaca),"")</f>
        <v>0</v>
      </c>
    </row>
    <row r="995" spans="1:27">
      <c r="A995" s="17"/>
      <c r="B995" s="25"/>
      <c r="C995" s="13"/>
      <c r="D995" s="26">
        <f>IF($C995="","",IFERROR(INDEX(VeicCli,MATCH($C995,VeicPlaca,0)),"Placa não cadastrada"))</f>
        <v>0</v>
      </c>
      <c r="E995" s="26">
        <f>IF($C995="","",IFERROR(INDEX(VeicModelo,MATCH($C995,VeicPlaca,0)),""))</f>
        <v>0</v>
      </c>
      <c r="F995" s="28"/>
      <c r="G995" s="13"/>
      <c r="H995" s="13"/>
      <c r="I995" s="13"/>
      <c r="J995" s="29"/>
      <c r="K995" s="19"/>
      <c r="L995" s="19"/>
      <c r="M995" s="25"/>
      <c r="N995" s="13"/>
      <c r="O995" s="19"/>
      <c r="P995" s="27">
        <f>IF($A995="","",N($J995)*ValorHora)</f>
        <v>0</v>
      </c>
      <c r="Q995" s="27">
        <f>IF($A995="","",SUMIFS(ItTotal,ItOS,$A995))</f>
        <v>0</v>
      </c>
      <c r="R995" s="30">
        <f>IF($A995="","",$P995+$Q995+N($K995)-N($L995))</f>
        <v>0</v>
      </c>
      <c r="S995" s="27">
        <f>IF($A995="","",SUMIFS(ItCusto,ItOS,$A995))</f>
        <v>0</v>
      </c>
      <c r="T995" s="27">
        <f>IF($A995="","",$P995*ComMec)</f>
        <v>0</v>
      </c>
      <c r="U995" s="21">
        <f>IF($A995="","",$R995-$S995-$T995-N($K995))</f>
        <v>0</v>
      </c>
      <c r="V995" s="31">
        <f>IF(OR($A995="",N($R995)&lt;=0),"",$U995/$R995)</f>
        <v>0</v>
      </c>
      <c r="W995" s="27">
        <f>IF($A995="","",IF(OR($I995="Finalizado",$I995="Entregue"),MAX(0,$R995-N($O995)),0))</f>
        <v>0</v>
      </c>
      <c r="X995" s="32">
        <f>IF(OR($A995="",$B995=""),"",IF(OR($I995="Entregue",$I995="Cancelada"),"",Hoje-$B995))</f>
        <v>0</v>
      </c>
      <c r="Y995" s="24">
        <f>IF($A995="","",IF(AND(OR($I995="Aprovado",$I995="Em execução",$I995="Aguardando peça"),N($X995)&gt;PrazoMax),"ATRASADA",IF(AND(OR($I995="Finalizado",$I995="Entregue"),$W995&gt;0.005),"Cobrar",IF($I995="Orçamento","Aguardando aprovação",""))))</f>
        <v>0</v>
      </c>
      <c r="Z995" s="33">
        <f>IF(AND($I995="Entregue",$M995&lt;&gt;""),DATE(YEAR($M995),MONTH($M995),1),"")</f>
        <v>0</v>
      </c>
      <c r="AA995" s="34">
        <f>IF(AND($C995&lt;&gt;"",$C995=HistPlaca),COUNTIF($C$5:$C995,HistPlaca),"")</f>
        <v>0</v>
      </c>
    </row>
    <row r="996" spans="1:27">
      <c r="A996" s="17"/>
      <c r="B996" s="25"/>
      <c r="C996" s="13"/>
      <c r="D996" s="26">
        <f>IF($C996="","",IFERROR(INDEX(VeicCli,MATCH($C996,VeicPlaca,0)),"Placa não cadastrada"))</f>
        <v>0</v>
      </c>
      <c r="E996" s="26">
        <f>IF($C996="","",IFERROR(INDEX(VeicModelo,MATCH($C996,VeicPlaca,0)),""))</f>
        <v>0</v>
      </c>
      <c r="F996" s="28"/>
      <c r="G996" s="13"/>
      <c r="H996" s="13"/>
      <c r="I996" s="13"/>
      <c r="J996" s="29"/>
      <c r="K996" s="19"/>
      <c r="L996" s="19"/>
      <c r="M996" s="25"/>
      <c r="N996" s="13"/>
      <c r="O996" s="19"/>
      <c r="P996" s="27">
        <f>IF($A996="","",N($J996)*ValorHora)</f>
        <v>0</v>
      </c>
      <c r="Q996" s="27">
        <f>IF($A996="","",SUMIFS(ItTotal,ItOS,$A996))</f>
        <v>0</v>
      </c>
      <c r="R996" s="30">
        <f>IF($A996="","",$P996+$Q996+N($K996)-N($L996))</f>
        <v>0</v>
      </c>
      <c r="S996" s="27">
        <f>IF($A996="","",SUMIFS(ItCusto,ItOS,$A996))</f>
        <v>0</v>
      </c>
      <c r="T996" s="27">
        <f>IF($A996="","",$P996*ComMec)</f>
        <v>0</v>
      </c>
      <c r="U996" s="21">
        <f>IF($A996="","",$R996-$S996-$T996-N($K996))</f>
        <v>0</v>
      </c>
      <c r="V996" s="31">
        <f>IF(OR($A996="",N($R996)&lt;=0),"",$U996/$R996)</f>
        <v>0</v>
      </c>
      <c r="W996" s="27">
        <f>IF($A996="","",IF(OR($I996="Finalizado",$I996="Entregue"),MAX(0,$R996-N($O996)),0))</f>
        <v>0</v>
      </c>
      <c r="X996" s="32">
        <f>IF(OR($A996="",$B996=""),"",IF(OR($I996="Entregue",$I996="Cancelada"),"",Hoje-$B996))</f>
        <v>0</v>
      </c>
      <c r="Y996" s="24">
        <f>IF($A996="","",IF(AND(OR($I996="Aprovado",$I996="Em execução",$I996="Aguardando peça"),N($X996)&gt;PrazoMax),"ATRASADA",IF(AND(OR($I996="Finalizado",$I996="Entregue"),$W996&gt;0.005),"Cobrar",IF($I996="Orçamento","Aguardando aprovação",""))))</f>
        <v>0</v>
      </c>
      <c r="Z996" s="33">
        <f>IF(AND($I996="Entregue",$M996&lt;&gt;""),DATE(YEAR($M996),MONTH($M996),1),"")</f>
        <v>0</v>
      </c>
      <c r="AA996" s="34">
        <f>IF(AND($C996&lt;&gt;"",$C996=HistPlaca),COUNTIF($C$5:$C996,HistPlaca),"")</f>
        <v>0</v>
      </c>
    </row>
    <row r="997" spans="1:27">
      <c r="A997" s="17"/>
      <c r="B997" s="25"/>
      <c r="C997" s="13"/>
      <c r="D997" s="26">
        <f>IF($C997="","",IFERROR(INDEX(VeicCli,MATCH($C997,VeicPlaca,0)),"Placa não cadastrada"))</f>
        <v>0</v>
      </c>
      <c r="E997" s="26">
        <f>IF($C997="","",IFERROR(INDEX(VeicModelo,MATCH($C997,VeicPlaca,0)),""))</f>
        <v>0</v>
      </c>
      <c r="F997" s="28"/>
      <c r="G997" s="13"/>
      <c r="H997" s="13"/>
      <c r="I997" s="13"/>
      <c r="J997" s="29"/>
      <c r="K997" s="19"/>
      <c r="L997" s="19"/>
      <c r="M997" s="25"/>
      <c r="N997" s="13"/>
      <c r="O997" s="19"/>
      <c r="P997" s="27">
        <f>IF($A997="","",N($J997)*ValorHora)</f>
        <v>0</v>
      </c>
      <c r="Q997" s="27">
        <f>IF($A997="","",SUMIFS(ItTotal,ItOS,$A997))</f>
        <v>0</v>
      </c>
      <c r="R997" s="30">
        <f>IF($A997="","",$P997+$Q997+N($K997)-N($L997))</f>
        <v>0</v>
      </c>
      <c r="S997" s="27">
        <f>IF($A997="","",SUMIFS(ItCusto,ItOS,$A997))</f>
        <v>0</v>
      </c>
      <c r="T997" s="27">
        <f>IF($A997="","",$P997*ComMec)</f>
        <v>0</v>
      </c>
      <c r="U997" s="21">
        <f>IF($A997="","",$R997-$S997-$T997-N($K997))</f>
        <v>0</v>
      </c>
      <c r="V997" s="31">
        <f>IF(OR($A997="",N($R997)&lt;=0),"",$U997/$R997)</f>
        <v>0</v>
      </c>
      <c r="W997" s="27">
        <f>IF($A997="","",IF(OR($I997="Finalizado",$I997="Entregue"),MAX(0,$R997-N($O997)),0))</f>
        <v>0</v>
      </c>
      <c r="X997" s="32">
        <f>IF(OR($A997="",$B997=""),"",IF(OR($I997="Entregue",$I997="Cancelada"),"",Hoje-$B997))</f>
        <v>0</v>
      </c>
      <c r="Y997" s="24">
        <f>IF($A997="","",IF(AND(OR($I997="Aprovado",$I997="Em execução",$I997="Aguardando peça"),N($X997)&gt;PrazoMax),"ATRASADA",IF(AND(OR($I997="Finalizado",$I997="Entregue"),$W997&gt;0.005),"Cobrar",IF($I997="Orçamento","Aguardando aprovação",""))))</f>
        <v>0</v>
      </c>
      <c r="Z997" s="33">
        <f>IF(AND($I997="Entregue",$M997&lt;&gt;""),DATE(YEAR($M997),MONTH($M997),1),"")</f>
        <v>0</v>
      </c>
      <c r="AA997" s="34">
        <f>IF(AND($C997&lt;&gt;"",$C997=HistPlaca),COUNTIF($C$5:$C997,HistPlaca),"")</f>
        <v>0</v>
      </c>
    </row>
    <row r="998" spans="1:27">
      <c r="A998" s="17"/>
      <c r="B998" s="25"/>
      <c r="C998" s="13"/>
      <c r="D998" s="26">
        <f>IF($C998="","",IFERROR(INDEX(VeicCli,MATCH($C998,VeicPlaca,0)),"Placa não cadastrada"))</f>
        <v>0</v>
      </c>
      <c r="E998" s="26">
        <f>IF($C998="","",IFERROR(INDEX(VeicModelo,MATCH($C998,VeicPlaca,0)),""))</f>
        <v>0</v>
      </c>
      <c r="F998" s="28"/>
      <c r="G998" s="13"/>
      <c r="H998" s="13"/>
      <c r="I998" s="13"/>
      <c r="J998" s="29"/>
      <c r="K998" s="19"/>
      <c r="L998" s="19"/>
      <c r="M998" s="25"/>
      <c r="N998" s="13"/>
      <c r="O998" s="19"/>
      <c r="P998" s="27">
        <f>IF($A998="","",N($J998)*ValorHora)</f>
        <v>0</v>
      </c>
      <c r="Q998" s="27">
        <f>IF($A998="","",SUMIFS(ItTotal,ItOS,$A998))</f>
        <v>0</v>
      </c>
      <c r="R998" s="30">
        <f>IF($A998="","",$P998+$Q998+N($K998)-N($L998))</f>
        <v>0</v>
      </c>
      <c r="S998" s="27">
        <f>IF($A998="","",SUMIFS(ItCusto,ItOS,$A998))</f>
        <v>0</v>
      </c>
      <c r="T998" s="27">
        <f>IF($A998="","",$P998*ComMec)</f>
        <v>0</v>
      </c>
      <c r="U998" s="21">
        <f>IF($A998="","",$R998-$S998-$T998-N($K998))</f>
        <v>0</v>
      </c>
      <c r="V998" s="31">
        <f>IF(OR($A998="",N($R998)&lt;=0),"",$U998/$R998)</f>
        <v>0</v>
      </c>
      <c r="W998" s="27">
        <f>IF($A998="","",IF(OR($I998="Finalizado",$I998="Entregue"),MAX(0,$R998-N($O998)),0))</f>
        <v>0</v>
      </c>
      <c r="X998" s="32">
        <f>IF(OR($A998="",$B998=""),"",IF(OR($I998="Entregue",$I998="Cancelada"),"",Hoje-$B998))</f>
        <v>0</v>
      </c>
      <c r="Y998" s="24">
        <f>IF($A998="","",IF(AND(OR($I998="Aprovado",$I998="Em execução",$I998="Aguardando peça"),N($X998)&gt;PrazoMax),"ATRASADA",IF(AND(OR($I998="Finalizado",$I998="Entregue"),$W998&gt;0.005),"Cobrar",IF($I998="Orçamento","Aguardando aprovação",""))))</f>
        <v>0</v>
      </c>
      <c r="Z998" s="33">
        <f>IF(AND($I998="Entregue",$M998&lt;&gt;""),DATE(YEAR($M998),MONTH($M998),1),"")</f>
        <v>0</v>
      </c>
      <c r="AA998" s="34">
        <f>IF(AND($C998&lt;&gt;"",$C998=HistPlaca),COUNTIF($C$5:$C998,HistPlaca),"")</f>
        <v>0</v>
      </c>
    </row>
    <row r="999" spans="1:27">
      <c r="A999" s="17"/>
      <c r="B999" s="25"/>
      <c r="C999" s="13"/>
      <c r="D999" s="26">
        <f>IF($C999="","",IFERROR(INDEX(VeicCli,MATCH($C999,VeicPlaca,0)),"Placa não cadastrada"))</f>
        <v>0</v>
      </c>
      <c r="E999" s="26">
        <f>IF($C999="","",IFERROR(INDEX(VeicModelo,MATCH($C999,VeicPlaca,0)),""))</f>
        <v>0</v>
      </c>
      <c r="F999" s="28"/>
      <c r="G999" s="13"/>
      <c r="H999" s="13"/>
      <c r="I999" s="13"/>
      <c r="J999" s="29"/>
      <c r="K999" s="19"/>
      <c r="L999" s="19"/>
      <c r="M999" s="25"/>
      <c r="N999" s="13"/>
      <c r="O999" s="19"/>
      <c r="P999" s="27">
        <f>IF($A999="","",N($J999)*ValorHora)</f>
        <v>0</v>
      </c>
      <c r="Q999" s="27">
        <f>IF($A999="","",SUMIFS(ItTotal,ItOS,$A999))</f>
        <v>0</v>
      </c>
      <c r="R999" s="30">
        <f>IF($A999="","",$P999+$Q999+N($K999)-N($L999))</f>
        <v>0</v>
      </c>
      <c r="S999" s="27">
        <f>IF($A999="","",SUMIFS(ItCusto,ItOS,$A999))</f>
        <v>0</v>
      </c>
      <c r="T999" s="27">
        <f>IF($A999="","",$P999*ComMec)</f>
        <v>0</v>
      </c>
      <c r="U999" s="21">
        <f>IF($A999="","",$R999-$S999-$T999-N($K999))</f>
        <v>0</v>
      </c>
      <c r="V999" s="31">
        <f>IF(OR($A999="",N($R999)&lt;=0),"",$U999/$R999)</f>
        <v>0</v>
      </c>
      <c r="W999" s="27">
        <f>IF($A999="","",IF(OR($I999="Finalizado",$I999="Entregue"),MAX(0,$R999-N($O999)),0))</f>
        <v>0</v>
      </c>
      <c r="X999" s="32">
        <f>IF(OR($A999="",$B999=""),"",IF(OR($I999="Entregue",$I999="Cancelada"),"",Hoje-$B999))</f>
        <v>0</v>
      </c>
      <c r="Y999" s="24">
        <f>IF($A999="","",IF(AND(OR($I999="Aprovado",$I999="Em execução",$I999="Aguardando peça"),N($X999)&gt;PrazoMax),"ATRASADA",IF(AND(OR($I999="Finalizado",$I999="Entregue"),$W999&gt;0.005),"Cobrar",IF($I999="Orçamento","Aguardando aprovação",""))))</f>
        <v>0</v>
      </c>
      <c r="Z999" s="33">
        <f>IF(AND($I999="Entregue",$M999&lt;&gt;""),DATE(YEAR($M999),MONTH($M999),1),"")</f>
        <v>0</v>
      </c>
      <c r="AA999" s="34">
        <f>IF(AND($C999&lt;&gt;"",$C999=HistPlaca),COUNTIF($C$5:$C999,HistPlaca),"")</f>
        <v>0</v>
      </c>
    </row>
    <row r="1000" spans="1:27">
      <c r="A1000" s="17"/>
      <c r="B1000" s="25"/>
      <c r="C1000" s="13"/>
      <c r="D1000" s="26">
        <f>IF($C1000="","",IFERROR(INDEX(VeicCli,MATCH($C1000,VeicPlaca,0)),"Placa não cadastrada"))</f>
        <v>0</v>
      </c>
      <c r="E1000" s="26">
        <f>IF($C1000="","",IFERROR(INDEX(VeicModelo,MATCH($C1000,VeicPlaca,0)),""))</f>
        <v>0</v>
      </c>
      <c r="F1000" s="28"/>
      <c r="G1000" s="13"/>
      <c r="H1000" s="13"/>
      <c r="I1000" s="13"/>
      <c r="J1000" s="29"/>
      <c r="K1000" s="19"/>
      <c r="L1000" s="19"/>
      <c r="M1000" s="25"/>
      <c r="N1000" s="13"/>
      <c r="O1000" s="19"/>
      <c r="P1000" s="27">
        <f>IF($A1000="","",N($J1000)*ValorHora)</f>
        <v>0</v>
      </c>
      <c r="Q1000" s="27">
        <f>IF($A1000="","",SUMIFS(ItTotal,ItOS,$A1000))</f>
        <v>0</v>
      </c>
      <c r="R1000" s="30">
        <f>IF($A1000="","",$P1000+$Q1000+N($K1000)-N($L1000))</f>
        <v>0</v>
      </c>
      <c r="S1000" s="27">
        <f>IF($A1000="","",SUMIFS(ItCusto,ItOS,$A1000))</f>
        <v>0</v>
      </c>
      <c r="T1000" s="27">
        <f>IF($A1000="","",$P1000*ComMec)</f>
        <v>0</v>
      </c>
      <c r="U1000" s="21">
        <f>IF($A1000="","",$R1000-$S1000-$T1000-N($K1000))</f>
        <v>0</v>
      </c>
      <c r="V1000" s="31">
        <f>IF(OR($A1000="",N($R1000)&lt;=0),"",$U1000/$R1000)</f>
        <v>0</v>
      </c>
      <c r="W1000" s="27">
        <f>IF($A1000="","",IF(OR($I1000="Finalizado",$I1000="Entregue"),MAX(0,$R1000-N($O1000)),0))</f>
        <v>0</v>
      </c>
      <c r="X1000" s="32">
        <f>IF(OR($A1000="",$B1000=""),"",IF(OR($I1000="Entregue",$I1000="Cancelada"),"",Hoje-$B1000))</f>
        <v>0</v>
      </c>
      <c r="Y1000" s="24">
        <f>IF($A1000="","",IF(AND(OR($I1000="Aprovado",$I1000="Em execução",$I1000="Aguardando peça"),N($X1000)&gt;PrazoMax),"ATRASADA",IF(AND(OR($I1000="Finalizado",$I1000="Entregue"),$W1000&gt;0.005),"Cobrar",IF($I1000="Orçamento","Aguardando aprovação",""))))</f>
        <v>0</v>
      </c>
      <c r="Z1000" s="33">
        <f>IF(AND($I1000="Entregue",$M1000&lt;&gt;""),DATE(YEAR($M1000),MONTH($M1000),1),"")</f>
        <v>0</v>
      </c>
      <c r="AA1000" s="34">
        <f>IF(AND($C1000&lt;&gt;"",$C1000=HistPlaca),COUNTIF($C$5:$C1000,HistPlaca),"")</f>
        <v>0</v>
      </c>
    </row>
    <row r="1001" spans="1:27">
      <c r="A1001" s="17"/>
      <c r="B1001" s="25"/>
      <c r="C1001" s="13"/>
      <c r="D1001" s="26">
        <f>IF($C1001="","",IFERROR(INDEX(VeicCli,MATCH($C1001,VeicPlaca,0)),"Placa não cadastrada"))</f>
        <v>0</v>
      </c>
      <c r="E1001" s="26">
        <f>IF($C1001="","",IFERROR(INDEX(VeicModelo,MATCH($C1001,VeicPlaca,0)),""))</f>
        <v>0</v>
      </c>
      <c r="F1001" s="28"/>
      <c r="G1001" s="13"/>
      <c r="H1001" s="13"/>
      <c r="I1001" s="13"/>
      <c r="J1001" s="29"/>
      <c r="K1001" s="19"/>
      <c r="L1001" s="19"/>
      <c r="M1001" s="25"/>
      <c r="N1001" s="13"/>
      <c r="O1001" s="19"/>
      <c r="P1001" s="27">
        <f>IF($A1001="","",N($J1001)*ValorHora)</f>
        <v>0</v>
      </c>
      <c r="Q1001" s="27">
        <f>IF($A1001="","",SUMIFS(ItTotal,ItOS,$A1001))</f>
        <v>0</v>
      </c>
      <c r="R1001" s="30">
        <f>IF($A1001="","",$P1001+$Q1001+N($K1001)-N($L1001))</f>
        <v>0</v>
      </c>
      <c r="S1001" s="27">
        <f>IF($A1001="","",SUMIFS(ItCusto,ItOS,$A1001))</f>
        <v>0</v>
      </c>
      <c r="T1001" s="27">
        <f>IF($A1001="","",$P1001*ComMec)</f>
        <v>0</v>
      </c>
      <c r="U1001" s="21">
        <f>IF($A1001="","",$R1001-$S1001-$T1001-N($K1001))</f>
        <v>0</v>
      </c>
      <c r="V1001" s="31">
        <f>IF(OR($A1001="",N($R1001)&lt;=0),"",$U1001/$R1001)</f>
        <v>0</v>
      </c>
      <c r="W1001" s="27">
        <f>IF($A1001="","",IF(OR($I1001="Finalizado",$I1001="Entregue"),MAX(0,$R1001-N($O1001)),0))</f>
        <v>0</v>
      </c>
      <c r="X1001" s="32">
        <f>IF(OR($A1001="",$B1001=""),"",IF(OR($I1001="Entregue",$I1001="Cancelada"),"",Hoje-$B1001))</f>
        <v>0</v>
      </c>
      <c r="Y1001" s="24">
        <f>IF($A1001="","",IF(AND(OR($I1001="Aprovado",$I1001="Em execução",$I1001="Aguardando peça"),N($X1001)&gt;PrazoMax),"ATRASADA",IF(AND(OR($I1001="Finalizado",$I1001="Entregue"),$W1001&gt;0.005),"Cobrar",IF($I1001="Orçamento","Aguardando aprovação",""))))</f>
        <v>0</v>
      </c>
      <c r="Z1001" s="33">
        <f>IF(AND($I1001="Entregue",$M1001&lt;&gt;""),DATE(YEAR($M1001),MONTH($M1001),1),"")</f>
        <v>0</v>
      </c>
      <c r="AA1001" s="34">
        <f>IF(AND($C1001&lt;&gt;"",$C1001=HistPlaca),COUNTIF($C$5:$C1001,HistPlaca),"")</f>
        <v>0</v>
      </c>
    </row>
    <row r="1002" spans="1:27">
      <c r="A1002" s="17"/>
      <c r="B1002" s="25"/>
      <c r="C1002" s="13"/>
      <c r="D1002" s="26">
        <f>IF($C1002="","",IFERROR(INDEX(VeicCli,MATCH($C1002,VeicPlaca,0)),"Placa não cadastrada"))</f>
        <v>0</v>
      </c>
      <c r="E1002" s="26">
        <f>IF($C1002="","",IFERROR(INDEX(VeicModelo,MATCH($C1002,VeicPlaca,0)),""))</f>
        <v>0</v>
      </c>
      <c r="F1002" s="28"/>
      <c r="G1002" s="13"/>
      <c r="H1002" s="13"/>
      <c r="I1002" s="13"/>
      <c r="J1002" s="29"/>
      <c r="K1002" s="19"/>
      <c r="L1002" s="19"/>
      <c r="M1002" s="25"/>
      <c r="N1002" s="13"/>
      <c r="O1002" s="19"/>
      <c r="P1002" s="27">
        <f>IF($A1002="","",N($J1002)*ValorHora)</f>
        <v>0</v>
      </c>
      <c r="Q1002" s="27">
        <f>IF($A1002="","",SUMIFS(ItTotal,ItOS,$A1002))</f>
        <v>0</v>
      </c>
      <c r="R1002" s="30">
        <f>IF($A1002="","",$P1002+$Q1002+N($K1002)-N($L1002))</f>
        <v>0</v>
      </c>
      <c r="S1002" s="27">
        <f>IF($A1002="","",SUMIFS(ItCusto,ItOS,$A1002))</f>
        <v>0</v>
      </c>
      <c r="T1002" s="27">
        <f>IF($A1002="","",$P1002*ComMec)</f>
        <v>0</v>
      </c>
      <c r="U1002" s="21">
        <f>IF($A1002="","",$R1002-$S1002-$T1002-N($K1002))</f>
        <v>0</v>
      </c>
      <c r="V1002" s="31">
        <f>IF(OR($A1002="",N($R1002)&lt;=0),"",$U1002/$R1002)</f>
        <v>0</v>
      </c>
      <c r="W1002" s="27">
        <f>IF($A1002="","",IF(OR($I1002="Finalizado",$I1002="Entregue"),MAX(0,$R1002-N($O1002)),0))</f>
        <v>0</v>
      </c>
      <c r="X1002" s="32">
        <f>IF(OR($A1002="",$B1002=""),"",IF(OR($I1002="Entregue",$I1002="Cancelada"),"",Hoje-$B1002))</f>
        <v>0</v>
      </c>
      <c r="Y1002" s="24">
        <f>IF($A1002="","",IF(AND(OR($I1002="Aprovado",$I1002="Em execução",$I1002="Aguardando peça"),N($X1002)&gt;PrazoMax),"ATRASADA",IF(AND(OR($I1002="Finalizado",$I1002="Entregue"),$W1002&gt;0.005),"Cobrar",IF($I1002="Orçamento","Aguardando aprovação",""))))</f>
        <v>0</v>
      </c>
      <c r="Z1002" s="33">
        <f>IF(AND($I1002="Entregue",$M1002&lt;&gt;""),DATE(YEAR($M1002),MONTH($M1002),1),"")</f>
        <v>0</v>
      </c>
      <c r="AA1002" s="34">
        <f>IF(AND($C1002&lt;&gt;"",$C1002=HistPlaca),COUNTIF($C$5:$C1002,HistPlaca),"")</f>
        <v>0</v>
      </c>
    </row>
    <row r="1003" spans="1:27">
      <c r="A1003" s="17"/>
      <c r="B1003" s="25"/>
      <c r="C1003" s="13"/>
      <c r="D1003" s="26">
        <f>IF($C1003="","",IFERROR(INDEX(VeicCli,MATCH($C1003,VeicPlaca,0)),"Placa não cadastrada"))</f>
        <v>0</v>
      </c>
      <c r="E1003" s="26">
        <f>IF($C1003="","",IFERROR(INDEX(VeicModelo,MATCH($C1003,VeicPlaca,0)),""))</f>
        <v>0</v>
      </c>
      <c r="F1003" s="28"/>
      <c r="G1003" s="13"/>
      <c r="H1003" s="13"/>
      <c r="I1003" s="13"/>
      <c r="J1003" s="29"/>
      <c r="K1003" s="19"/>
      <c r="L1003" s="19"/>
      <c r="M1003" s="25"/>
      <c r="N1003" s="13"/>
      <c r="O1003" s="19"/>
      <c r="P1003" s="27">
        <f>IF($A1003="","",N($J1003)*ValorHora)</f>
        <v>0</v>
      </c>
      <c r="Q1003" s="27">
        <f>IF($A1003="","",SUMIFS(ItTotal,ItOS,$A1003))</f>
        <v>0</v>
      </c>
      <c r="R1003" s="30">
        <f>IF($A1003="","",$P1003+$Q1003+N($K1003)-N($L1003))</f>
        <v>0</v>
      </c>
      <c r="S1003" s="27">
        <f>IF($A1003="","",SUMIFS(ItCusto,ItOS,$A1003))</f>
        <v>0</v>
      </c>
      <c r="T1003" s="27">
        <f>IF($A1003="","",$P1003*ComMec)</f>
        <v>0</v>
      </c>
      <c r="U1003" s="21">
        <f>IF($A1003="","",$R1003-$S1003-$T1003-N($K1003))</f>
        <v>0</v>
      </c>
      <c r="V1003" s="31">
        <f>IF(OR($A1003="",N($R1003)&lt;=0),"",$U1003/$R1003)</f>
        <v>0</v>
      </c>
      <c r="W1003" s="27">
        <f>IF($A1003="","",IF(OR($I1003="Finalizado",$I1003="Entregue"),MAX(0,$R1003-N($O1003)),0))</f>
        <v>0</v>
      </c>
      <c r="X1003" s="32">
        <f>IF(OR($A1003="",$B1003=""),"",IF(OR($I1003="Entregue",$I1003="Cancelada"),"",Hoje-$B1003))</f>
        <v>0</v>
      </c>
      <c r="Y1003" s="24">
        <f>IF($A1003="","",IF(AND(OR($I1003="Aprovado",$I1003="Em execução",$I1003="Aguardando peça"),N($X1003)&gt;PrazoMax),"ATRASADA",IF(AND(OR($I1003="Finalizado",$I1003="Entregue"),$W1003&gt;0.005),"Cobrar",IF($I1003="Orçamento","Aguardando aprovação",""))))</f>
        <v>0</v>
      </c>
      <c r="Z1003" s="33">
        <f>IF(AND($I1003="Entregue",$M1003&lt;&gt;""),DATE(YEAR($M1003),MONTH($M1003),1),"")</f>
        <v>0</v>
      </c>
      <c r="AA1003" s="34">
        <f>IF(AND($C1003&lt;&gt;"",$C1003=HistPlaca),COUNTIF($C$5:$C1003,HistPlaca),"")</f>
        <v>0</v>
      </c>
    </row>
    <row r="1004" spans="1:27">
      <c r="A1004" s="17"/>
      <c r="B1004" s="25"/>
      <c r="C1004" s="13"/>
      <c r="D1004" s="26">
        <f>IF($C1004="","",IFERROR(INDEX(VeicCli,MATCH($C1004,VeicPlaca,0)),"Placa não cadastrada"))</f>
        <v>0</v>
      </c>
      <c r="E1004" s="26">
        <f>IF($C1004="","",IFERROR(INDEX(VeicModelo,MATCH($C1004,VeicPlaca,0)),""))</f>
        <v>0</v>
      </c>
      <c r="F1004" s="28"/>
      <c r="G1004" s="13"/>
      <c r="H1004" s="13"/>
      <c r="I1004" s="13"/>
      <c r="J1004" s="29"/>
      <c r="K1004" s="19"/>
      <c r="L1004" s="19"/>
      <c r="M1004" s="25"/>
      <c r="N1004" s="13"/>
      <c r="O1004" s="19"/>
      <c r="P1004" s="27">
        <f>IF($A1004="","",N($J1004)*ValorHora)</f>
        <v>0</v>
      </c>
      <c r="Q1004" s="27">
        <f>IF($A1004="","",SUMIFS(ItTotal,ItOS,$A1004))</f>
        <v>0</v>
      </c>
      <c r="R1004" s="30">
        <f>IF($A1004="","",$P1004+$Q1004+N($K1004)-N($L1004))</f>
        <v>0</v>
      </c>
      <c r="S1004" s="27">
        <f>IF($A1004="","",SUMIFS(ItCusto,ItOS,$A1004))</f>
        <v>0</v>
      </c>
      <c r="T1004" s="27">
        <f>IF($A1004="","",$P1004*ComMec)</f>
        <v>0</v>
      </c>
      <c r="U1004" s="21">
        <f>IF($A1004="","",$R1004-$S1004-$T1004-N($K1004))</f>
        <v>0</v>
      </c>
      <c r="V1004" s="31">
        <f>IF(OR($A1004="",N($R1004)&lt;=0),"",$U1004/$R1004)</f>
        <v>0</v>
      </c>
      <c r="W1004" s="27">
        <f>IF($A1004="","",IF(OR($I1004="Finalizado",$I1004="Entregue"),MAX(0,$R1004-N($O1004)),0))</f>
        <v>0</v>
      </c>
      <c r="X1004" s="32">
        <f>IF(OR($A1004="",$B1004=""),"",IF(OR($I1004="Entregue",$I1004="Cancelada"),"",Hoje-$B1004))</f>
        <v>0</v>
      </c>
      <c r="Y1004" s="24">
        <f>IF($A1004="","",IF(AND(OR($I1004="Aprovado",$I1004="Em execução",$I1004="Aguardando peça"),N($X1004)&gt;PrazoMax),"ATRASADA",IF(AND(OR($I1004="Finalizado",$I1004="Entregue"),$W1004&gt;0.005),"Cobrar",IF($I1004="Orçamento","Aguardando aprovação",""))))</f>
        <v>0</v>
      </c>
      <c r="Z1004" s="33">
        <f>IF(AND($I1004="Entregue",$M1004&lt;&gt;""),DATE(YEAR($M1004),MONTH($M1004),1),"")</f>
        <v>0</v>
      </c>
      <c r="AA1004" s="34">
        <f>IF(AND($C1004&lt;&gt;"",$C1004=HistPlaca),COUNTIF($C$5:$C1004,HistPlaca),"")</f>
        <v>0</v>
      </c>
    </row>
  </sheetData>
  <autoFilter ref="A4:AA1004"/>
  <mergeCells count="2">
    <mergeCell ref="A1:AA1"/>
    <mergeCell ref="A2:AA2"/>
  </mergeCells>
  <conditionalFormatting sqref="I5:I1004">
    <cfRule type="cellIs" dxfId="4" priority="4" operator="equal">
      <formula>"Entregue"</formula>
    </cfRule>
    <cfRule type="cellIs" dxfId="5" priority="5" operator="equal">
      <formula>"Finalizado"</formula>
    </cfRule>
    <cfRule type="cellIs" dxfId="6" priority="6" operator="equal">
      <formula>"Aguardando peça"</formula>
    </cfRule>
    <cfRule type="cellIs" dxfId="7" priority="7" operator="equal">
      <formula>"Cancelada"</formula>
    </cfRule>
  </conditionalFormatting>
  <conditionalFormatting sqref="Y5:Y1004">
    <cfRule type="cellIs" dxfId="0" priority="1" operator="equal">
      <formula>"ATRASADA"</formula>
    </cfRule>
    <cfRule type="cellIs" dxfId="1" priority="2" operator="equal">
      <formula>"Cobrar"</formula>
    </cfRule>
    <cfRule type="cellIs" dxfId="3" priority="3" operator="equal">
      <formula>"Aguardando aprovação"</formula>
    </cfRule>
  </conditionalFormatting>
  <dataValidations count="9">
    <dataValidation type="date" operator="greaterThanOrEqual" allowBlank="1" showInputMessage="1" showErrorMessage="1" errorTitle="Data inválida" error="Digite uma data válida (dd/mm/aaaa)." promptTitle="Data" prompt="Digite a data no formato dd/mm/aaaa" sqref="B5:B1004">
      <formula1>36526</formula1>
    </dataValidation>
    <dataValidation type="list" allowBlank="1" showInputMessage="1" showErrorMessage="1" errorTitle="Valor inválido" error="Escolha um item da lista." sqref="C5:C1004">
      <formula1>VeicPlaca</formula1>
    </dataValidation>
    <dataValidation type="list" allowBlank="1" showInputMessage="1" showErrorMessage="1" errorTitle="Valor inválido" error="Escolha um item da lista." sqref="H5:H1004">
      <formula1>Mecanicos</formula1>
    </dataValidation>
    <dataValidation type="list" allowBlank="1" showInputMessage="1" showErrorMessage="1" errorTitle="Valor inválido" error="Escolha um item da lista." sqref="I5:I1004">
      <formula1>StatusOS</formula1>
    </dataValidation>
    <dataValidation type="decimal" operator="greaterThanOrEqual" allowBlank="1" showInputMessage="1" showErrorMessage="1" errorTitle="Valor inválido" error="Digite um número maior ou igual a 0." sqref="J5:L1004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M5:M1004">
      <formula1>36526</formula1>
    </dataValidation>
    <dataValidation type="list" allowBlank="1" showInputMessage="1" showErrorMessage="1" errorTitle="Valor inválido" error="Escolha um item da lista." sqref="N5:N1004">
      <formula1>Formas</formula1>
    </dataValidation>
    <dataValidation type="decimal" operator="greaterThanOrEqual" allowBlank="1" showInputMessage="1" showErrorMessage="1" errorTitle="Valor inválido" error="Digite um número maior ou igual a 0." sqref="O5:O1004">
      <formula1>0</formula1>
    </dataValidation>
    <dataValidation type="custom" allowBlank="1" showInputMessage="1" showErrorMessage="1" errorTitle="Nº de OS repetido" error="Já existe uma OS com esse número." sqref="A5:A1004">
      <formula1>COUNTIF($A$5:$A$1004,A5)=1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30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11.7109375" customWidth="1"/>
    <col min="4" max="4" width="13.7109375" customWidth="1"/>
    <col min="5" max="5" width="32.7109375" customWidth="1"/>
    <col min="6" max="8" width="12.7109375" customWidth="1"/>
    <col min="9" max="9" width="16.7109375" customWidth="1"/>
    <col min="10" max="10" width="20.7109375" customWidth="1"/>
  </cols>
  <sheetData>
    <row r="1" spans="1:10" ht="36" customHeight="1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</row>
    <row r="4" spans="1:10" ht="44" customHeight="1">
      <c r="A4" s="10" t="s">
        <v>103</v>
      </c>
      <c r="B4" s="10" t="s">
        <v>95</v>
      </c>
      <c r="C4" s="10" t="s">
        <v>96</v>
      </c>
      <c r="D4" s="10" t="s">
        <v>129</v>
      </c>
      <c r="E4" s="10" t="s">
        <v>83</v>
      </c>
      <c r="F4" s="10" t="s">
        <v>130</v>
      </c>
      <c r="G4" s="10" t="s">
        <v>100</v>
      </c>
      <c r="H4" s="10" t="s">
        <v>84</v>
      </c>
      <c r="I4" s="10" t="s">
        <v>131</v>
      </c>
      <c r="J4" s="10" t="s">
        <v>132</v>
      </c>
    </row>
    <row r="5" spans="1:10">
      <c r="A5" s="17"/>
      <c r="B5" s="13"/>
      <c r="C5" s="20"/>
      <c r="D5" s="19"/>
      <c r="E5" s="26">
        <f>IF($B5="","",IFERROR(INDEX(PecDesc,MATCH($B5,PecCod,0)),"Peça não cadastrada"))</f>
        <v>0</v>
      </c>
      <c r="F5" s="27">
        <f>IF($B5="","",IF($D5&lt;&gt;"",$D5,IFERROR(INDEX(PecPreco,MATCH($B5,PecCod,0)),0)))</f>
        <v>0</v>
      </c>
      <c r="G5" s="27">
        <f>IF(OR($B5="",$C5=""),"",$C5*$F5)</f>
        <v>0</v>
      </c>
      <c r="H5" s="27">
        <f>IF(OR($B5="",$C5=""),"",$C5*IFERROR(INDEX(PecCusto,MATCH($B5,PecCod,0)),0))</f>
        <v>0</v>
      </c>
      <c r="I5" s="32">
        <f>IF($A5="","",IFERROR(INDEX(OSStatus,MATCH($A5,OSNum,0)),"OS inexistente"))</f>
        <v>0</v>
      </c>
      <c r="J5" s="32">
        <f>IF($A5="","",IF($I5="OS inexistente","OS inexistente",IF($E5="Peça não cadastrada","Peça não cadastrada","OK")))</f>
        <v>0</v>
      </c>
    </row>
    <row r="6" spans="1:10">
      <c r="A6" s="17"/>
      <c r="B6" s="13"/>
      <c r="C6" s="20"/>
      <c r="D6" s="19"/>
      <c r="E6" s="26">
        <f>IF($B6="","",IFERROR(INDEX(PecDesc,MATCH($B6,PecCod,0)),"Peça não cadastrada"))</f>
        <v>0</v>
      </c>
      <c r="F6" s="27">
        <f>IF($B6="","",IF($D6&lt;&gt;"",$D6,IFERROR(INDEX(PecPreco,MATCH($B6,PecCod,0)),0)))</f>
        <v>0</v>
      </c>
      <c r="G6" s="27">
        <f>IF(OR($B6="",$C6=""),"",$C6*$F6)</f>
        <v>0</v>
      </c>
      <c r="H6" s="27">
        <f>IF(OR($B6="",$C6=""),"",$C6*IFERROR(INDEX(PecCusto,MATCH($B6,PecCod,0)),0))</f>
        <v>0</v>
      </c>
      <c r="I6" s="32">
        <f>IF($A6="","",IFERROR(INDEX(OSStatus,MATCH($A6,OSNum,0)),"OS inexistente"))</f>
        <v>0</v>
      </c>
      <c r="J6" s="32">
        <f>IF($A6="","",IF($I6="OS inexistente","OS inexistente",IF($E6="Peça não cadastrada","Peça não cadastrada","OK")))</f>
        <v>0</v>
      </c>
    </row>
    <row r="7" spans="1:10">
      <c r="A7" s="17"/>
      <c r="B7" s="13"/>
      <c r="C7" s="20"/>
      <c r="D7" s="19"/>
      <c r="E7" s="26">
        <f>IF($B7="","",IFERROR(INDEX(PecDesc,MATCH($B7,PecCod,0)),"Peça não cadastrada"))</f>
        <v>0</v>
      </c>
      <c r="F7" s="27">
        <f>IF($B7="","",IF($D7&lt;&gt;"",$D7,IFERROR(INDEX(PecPreco,MATCH($B7,PecCod,0)),0)))</f>
        <v>0</v>
      </c>
      <c r="G7" s="27">
        <f>IF(OR($B7="",$C7=""),"",$C7*$F7)</f>
        <v>0</v>
      </c>
      <c r="H7" s="27">
        <f>IF(OR($B7="",$C7=""),"",$C7*IFERROR(INDEX(PecCusto,MATCH($B7,PecCod,0)),0))</f>
        <v>0</v>
      </c>
      <c r="I7" s="32">
        <f>IF($A7="","",IFERROR(INDEX(OSStatus,MATCH($A7,OSNum,0)),"OS inexistente"))</f>
        <v>0</v>
      </c>
      <c r="J7" s="32">
        <f>IF($A7="","",IF($I7="OS inexistente","OS inexistente",IF($E7="Peça não cadastrada","Peça não cadastrada","OK")))</f>
        <v>0</v>
      </c>
    </row>
    <row r="8" spans="1:10">
      <c r="A8" s="17"/>
      <c r="B8" s="13"/>
      <c r="C8" s="20"/>
      <c r="D8" s="19"/>
      <c r="E8" s="26">
        <f>IF($B8="","",IFERROR(INDEX(PecDesc,MATCH($B8,PecCod,0)),"Peça não cadastrada"))</f>
        <v>0</v>
      </c>
      <c r="F8" s="27">
        <f>IF($B8="","",IF($D8&lt;&gt;"",$D8,IFERROR(INDEX(PecPreco,MATCH($B8,PecCod,0)),0)))</f>
        <v>0</v>
      </c>
      <c r="G8" s="27">
        <f>IF(OR($B8="",$C8=""),"",$C8*$F8)</f>
        <v>0</v>
      </c>
      <c r="H8" s="27">
        <f>IF(OR($B8="",$C8=""),"",$C8*IFERROR(INDEX(PecCusto,MATCH($B8,PecCod,0)),0))</f>
        <v>0</v>
      </c>
      <c r="I8" s="32">
        <f>IF($A8="","",IFERROR(INDEX(OSStatus,MATCH($A8,OSNum,0)),"OS inexistente"))</f>
        <v>0</v>
      </c>
      <c r="J8" s="32">
        <f>IF($A8="","",IF($I8="OS inexistente","OS inexistente",IF($E8="Peça não cadastrada","Peça não cadastrada","OK")))</f>
        <v>0</v>
      </c>
    </row>
    <row r="9" spans="1:10">
      <c r="A9" s="17"/>
      <c r="B9" s="13"/>
      <c r="C9" s="20"/>
      <c r="D9" s="19"/>
      <c r="E9" s="26">
        <f>IF($B9="","",IFERROR(INDEX(PecDesc,MATCH($B9,PecCod,0)),"Peça não cadastrada"))</f>
        <v>0</v>
      </c>
      <c r="F9" s="27">
        <f>IF($B9="","",IF($D9&lt;&gt;"",$D9,IFERROR(INDEX(PecPreco,MATCH($B9,PecCod,0)),0)))</f>
        <v>0</v>
      </c>
      <c r="G9" s="27">
        <f>IF(OR($B9="",$C9=""),"",$C9*$F9)</f>
        <v>0</v>
      </c>
      <c r="H9" s="27">
        <f>IF(OR($B9="",$C9=""),"",$C9*IFERROR(INDEX(PecCusto,MATCH($B9,PecCod,0)),0))</f>
        <v>0</v>
      </c>
      <c r="I9" s="32">
        <f>IF($A9="","",IFERROR(INDEX(OSStatus,MATCH($A9,OSNum,0)),"OS inexistente"))</f>
        <v>0</v>
      </c>
      <c r="J9" s="32">
        <f>IF($A9="","",IF($I9="OS inexistente","OS inexistente",IF($E9="Peça não cadastrada","Peça não cadastrada","OK")))</f>
        <v>0</v>
      </c>
    </row>
    <row r="10" spans="1:10">
      <c r="A10" s="17"/>
      <c r="B10" s="13"/>
      <c r="C10" s="20"/>
      <c r="D10" s="19"/>
      <c r="E10" s="26">
        <f>IF($B10="","",IFERROR(INDEX(PecDesc,MATCH($B10,PecCod,0)),"Peça não cadastrada"))</f>
        <v>0</v>
      </c>
      <c r="F10" s="27">
        <f>IF($B10="","",IF($D10&lt;&gt;"",$D10,IFERROR(INDEX(PecPreco,MATCH($B10,PecCod,0)),0)))</f>
        <v>0</v>
      </c>
      <c r="G10" s="27">
        <f>IF(OR($B10="",$C10=""),"",$C10*$F10)</f>
        <v>0</v>
      </c>
      <c r="H10" s="27">
        <f>IF(OR($B10="",$C10=""),"",$C10*IFERROR(INDEX(PecCusto,MATCH($B10,PecCod,0)),0))</f>
        <v>0</v>
      </c>
      <c r="I10" s="32">
        <f>IF($A10="","",IFERROR(INDEX(OSStatus,MATCH($A10,OSNum,0)),"OS inexistente"))</f>
        <v>0</v>
      </c>
      <c r="J10" s="32">
        <f>IF($A10="","",IF($I10="OS inexistente","OS inexistente",IF($E10="Peça não cadastrada","Peça não cadastrada","OK")))</f>
        <v>0</v>
      </c>
    </row>
    <row r="11" spans="1:10">
      <c r="A11" s="17"/>
      <c r="B11" s="13"/>
      <c r="C11" s="20"/>
      <c r="D11" s="19"/>
      <c r="E11" s="26">
        <f>IF($B11="","",IFERROR(INDEX(PecDesc,MATCH($B11,PecCod,0)),"Peça não cadastrada"))</f>
        <v>0</v>
      </c>
      <c r="F11" s="27">
        <f>IF($B11="","",IF($D11&lt;&gt;"",$D11,IFERROR(INDEX(PecPreco,MATCH($B11,PecCod,0)),0)))</f>
        <v>0</v>
      </c>
      <c r="G11" s="27">
        <f>IF(OR($B11="",$C11=""),"",$C11*$F11)</f>
        <v>0</v>
      </c>
      <c r="H11" s="27">
        <f>IF(OR($B11="",$C11=""),"",$C11*IFERROR(INDEX(PecCusto,MATCH($B11,PecCod,0)),0))</f>
        <v>0</v>
      </c>
      <c r="I11" s="32">
        <f>IF($A11="","",IFERROR(INDEX(OSStatus,MATCH($A11,OSNum,0)),"OS inexistente"))</f>
        <v>0</v>
      </c>
      <c r="J11" s="32">
        <f>IF($A11="","",IF($I11="OS inexistente","OS inexistente",IF($E11="Peça não cadastrada","Peça não cadastrada","OK")))</f>
        <v>0</v>
      </c>
    </row>
    <row r="12" spans="1:10">
      <c r="A12" s="17"/>
      <c r="B12" s="13"/>
      <c r="C12" s="20"/>
      <c r="D12" s="19"/>
      <c r="E12" s="26">
        <f>IF($B12="","",IFERROR(INDEX(PecDesc,MATCH($B12,PecCod,0)),"Peça não cadastrada"))</f>
        <v>0</v>
      </c>
      <c r="F12" s="27">
        <f>IF($B12="","",IF($D12&lt;&gt;"",$D12,IFERROR(INDEX(PecPreco,MATCH($B12,PecCod,0)),0)))</f>
        <v>0</v>
      </c>
      <c r="G12" s="27">
        <f>IF(OR($B12="",$C12=""),"",$C12*$F12)</f>
        <v>0</v>
      </c>
      <c r="H12" s="27">
        <f>IF(OR($B12="",$C12=""),"",$C12*IFERROR(INDEX(PecCusto,MATCH($B12,PecCod,0)),0))</f>
        <v>0</v>
      </c>
      <c r="I12" s="32">
        <f>IF($A12="","",IFERROR(INDEX(OSStatus,MATCH($A12,OSNum,0)),"OS inexistente"))</f>
        <v>0</v>
      </c>
      <c r="J12" s="32">
        <f>IF($A12="","",IF($I12="OS inexistente","OS inexistente",IF($E12="Peça não cadastrada","Peça não cadastrada","OK")))</f>
        <v>0</v>
      </c>
    </row>
    <row r="13" spans="1:10">
      <c r="A13" s="17"/>
      <c r="B13" s="13"/>
      <c r="C13" s="20"/>
      <c r="D13" s="19"/>
      <c r="E13" s="26">
        <f>IF($B13="","",IFERROR(INDEX(PecDesc,MATCH($B13,PecCod,0)),"Peça não cadastrada"))</f>
        <v>0</v>
      </c>
      <c r="F13" s="27">
        <f>IF($B13="","",IF($D13&lt;&gt;"",$D13,IFERROR(INDEX(PecPreco,MATCH($B13,PecCod,0)),0)))</f>
        <v>0</v>
      </c>
      <c r="G13" s="27">
        <f>IF(OR($B13="",$C13=""),"",$C13*$F13)</f>
        <v>0</v>
      </c>
      <c r="H13" s="27">
        <f>IF(OR($B13="",$C13=""),"",$C13*IFERROR(INDEX(PecCusto,MATCH($B13,PecCod,0)),0))</f>
        <v>0</v>
      </c>
      <c r="I13" s="32">
        <f>IF($A13="","",IFERROR(INDEX(OSStatus,MATCH($A13,OSNum,0)),"OS inexistente"))</f>
        <v>0</v>
      </c>
      <c r="J13" s="32">
        <f>IF($A13="","",IF($I13="OS inexistente","OS inexistente",IF($E13="Peça não cadastrada","Peça não cadastrada","OK")))</f>
        <v>0</v>
      </c>
    </row>
    <row r="14" spans="1:10">
      <c r="A14" s="17"/>
      <c r="B14" s="13"/>
      <c r="C14" s="20"/>
      <c r="D14" s="19"/>
      <c r="E14" s="26">
        <f>IF($B14="","",IFERROR(INDEX(PecDesc,MATCH($B14,PecCod,0)),"Peça não cadastrada"))</f>
        <v>0</v>
      </c>
      <c r="F14" s="27">
        <f>IF($B14="","",IF($D14&lt;&gt;"",$D14,IFERROR(INDEX(PecPreco,MATCH($B14,PecCod,0)),0)))</f>
        <v>0</v>
      </c>
      <c r="G14" s="27">
        <f>IF(OR($B14="",$C14=""),"",$C14*$F14)</f>
        <v>0</v>
      </c>
      <c r="H14" s="27">
        <f>IF(OR($B14="",$C14=""),"",$C14*IFERROR(INDEX(PecCusto,MATCH($B14,PecCod,0)),0))</f>
        <v>0</v>
      </c>
      <c r="I14" s="32">
        <f>IF($A14="","",IFERROR(INDEX(OSStatus,MATCH($A14,OSNum,0)),"OS inexistente"))</f>
        <v>0</v>
      </c>
      <c r="J14" s="32">
        <f>IF($A14="","",IF($I14="OS inexistente","OS inexistente",IF($E14="Peça não cadastrada","Peça não cadastrada","OK")))</f>
        <v>0</v>
      </c>
    </row>
    <row r="15" spans="1:10">
      <c r="A15" s="17"/>
      <c r="B15" s="13"/>
      <c r="C15" s="20"/>
      <c r="D15" s="19"/>
      <c r="E15" s="26">
        <f>IF($B15="","",IFERROR(INDEX(PecDesc,MATCH($B15,PecCod,0)),"Peça não cadastrada"))</f>
        <v>0</v>
      </c>
      <c r="F15" s="27">
        <f>IF($B15="","",IF($D15&lt;&gt;"",$D15,IFERROR(INDEX(PecPreco,MATCH($B15,PecCod,0)),0)))</f>
        <v>0</v>
      </c>
      <c r="G15" s="27">
        <f>IF(OR($B15="",$C15=""),"",$C15*$F15)</f>
        <v>0</v>
      </c>
      <c r="H15" s="27">
        <f>IF(OR($B15="",$C15=""),"",$C15*IFERROR(INDEX(PecCusto,MATCH($B15,PecCod,0)),0))</f>
        <v>0</v>
      </c>
      <c r="I15" s="32">
        <f>IF($A15="","",IFERROR(INDEX(OSStatus,MATCH($A15,OSNum,0)),"OS inexistente"))</f>
        <v>0</v>
      </c>
      <c r="J15" s="32">
        <f>IF($A15="","",IF($I15="OS inexistente","OS inexistente",IF($E15="Peça não cadastrada","Peça não cadastrada","OK")))</f>
        <v>0</v>
      </c>
    </row>
    <row r="16" spans="1:10">
      <c r="A16" s="17"/>
      <c r="B16" s="13"/>
      <c r="C16" s="20"/>
      <c r="D16" s="19"/>
      <c r="E16" s="26">
        <f>IF($B16="","",IFERROR(INDEX(PecDesc,MATCH($B16,PecCod,0)),"Peça não cadastrada"))</f>
        <v>0</v>
      </c>
      <c r="F16" s="27">
        <f>IF($B16="","",IF($D16&lt;&gt;"",$D16,IFERROR(INDEX(PecPreco,MATCH($B16,PecCod,0)),0)))</f>
        <v>0</v>
      </c>
      <c r="G16" s="27">
        <f>IF(OR($B16="",$C16=""),"",$C16*$F16)</f>
        <v>0</v>
      </c>
      <c r="H16" s="27">
        <f>IF(OR($B16="",$C16=""),"",$C16*IFERROR(INDEX(PecCusto,MATCH($B16,PecCod,0)),0))</f>
        <v>0</v>
      </c>
      <c r="I16" s="32">
        <f>IF($A16="","",IFERROR(INDEX(OSStatus,MATCH($A16,OSNum,0)),"OS inexistente"))</f>
        <v>0</v>
      </c>
      <c r="J16" s="32">
        <f>IF($A16="","",IF($I16="OS inexistente","OS inexistente",IF($E16="Peça não cadastrada","Peça não cadastrada","OK")))</f>
        <v>0</v>
      </c>
    </row>
    <row r="17" spans="1:10">
      <c r="A17" s="17"/>
      <c r="B17" s="13"/>
      <c r="C17" s="20"/>
      <c r="D17" s="19"/>
      <c r="E17" s="26">
        <f>IF($B17="","",IFERROR(INDEX(PecDesc,MATCH($B17,PecCod,0)),"Peça não cadastrada"))</f>
        <v>0</v>
      </c>
      <c r="F17" s="27">
        <f>IF($B17="","",IF($D17&lt;&gt;"",$D17,IFERROR(INDEX(PecPreco,MATCH($B17,PecCod,0)),0)))</f>
        <v>0</v>
      </c>
      <c r="G17" s="27">
        <f>IF(OR($B17="",$C17=""),"",$C17*$F17)</f>
        <v>0</v>
      </c>
      <c r="H17" s="27">
        <f>IF(OR($B17="",$C17=""),"",$C17*IFERROR(INDEX(PecCusto,MATCH($B17,PecCod,0)),0))</f>
        <v>0</v>
      </c>
      <c r="I17" s="32">
        <f>IF($A17="","",IFERROR(INDEX(OSStatus,MATCH($A17,OSNum,0)),"OS inexistente"))</f>
        <v>0</v>
      </c>
      <c r="J17" s="32">
        <f>IF($A17="","",IF($I17="OS inexistente","OS inexistente",IF($E17="Peça não cadastrada","Peça não cadastrada","OK")))</f>
        <v>0</v>
      </c>
    </row>
    <row r="18" spans="1:10">
      <c r="A18" s="17"/>
      <c r="B18" s="13"/>
      <c r="C18" s="20"/>
      <c r="D18" s="19"/>
      <c r="E18" s="26">
        <f>IF($B18="","",IFERROR(INDEX(PecDesc,MATCH($B18,PecCod,0)),"Peça não cadastrada"))</f>
        <v>0</v>
      </c>
      <c r="F18" s="27">
        <f>IF($B18="","",IF($D18&lt;&gt;"",$D18,IFERROR(INDEX(PecPreco,MATCH($B18,PecCod,0)),0)))</f>
        <v>0</v>
      </c>
      <c r="G18" s="27">
        <f>IF(OR($B18="",$C18=""),"",$C18*$F18)</f>
        <v>0</v>
      </c>
      <c r="H18" s="27">
        <f>IF(OR($B18="",$C18=""),"",$C18*IFERROR(INDEX(PecCusto,MATCH($B18,PecCod,0)),0))</f>
        <v>0</v>
      </c>
      <c r="I18" s="32">
        <f>IF($A18="","",IFERROR(INDEX(OSStatus,MATCH($A18,OSNum,0)),"OS inexistente"))</f>
        <v>0</v>
      </c>
      <c r="J18" s="32">
        <f>IF($A18="","",IF($I18="OS inexistente","OS inexistente",IF($E18="Peça não cadastrada","Peça não cadastrada","OK")))</f>
        <v>0</v>
      </c>
    </row>
    <row r="19" spans="1:10">
      <c r="A19" s="17"/>
      <c r="B19" s="13"/>
      <c r="C19" s="20"/>
      <c r="D19" s="19"/>
      <c r="E19" s="26">
        <f>IF($B19="","",IFERROR(INDEX(PecDesc,MATCH($B19,PecCod,0)),"Peça não cadastrada"))</f>
        <v>0</v>
      </c>
      <c r="F19" s="27">
        <f>IF($B19="","",IF($D19&lt;&gt;"",$D19,IFERROR(INDEX(PecPreco,MATCH($B19,PecCod,0)),0)))</f>
        <v>0</v>
      </c>
      <c r="G19" s="27">
        <f>IF(OR($B19="",$C19=""),"",$C19*$F19)</f>
        <v>0</v>
      </c>
      <c r="H19" s="27">
        <f>IF(OR($B19="",$C19=""),"",$C19*IFERROR(INDEX(PecCusto,MATCH($B19,PecCod,0)),0))</f>
        <v>0</v>
      </c>
      <c r="I19" s="32">
        <f>IF($A19="","",IFERROR(INDEX(OSStatus,MATCH($A19,OSNum,0)),"OS inexistente"))</f>
        <v>0</v>
      </c>
      <c r="J19" s="32">
        <f>IF($A19="","",IF($I19="OS inexistente","OS inexistente",IF($E19="Peça não cadastrada","Peça não cadastrada","OK")))</f>
        <v>0</v>
      </c>
    </row>
    <row r="20" spans="1:10">
      <c r="A20" s="17"/>
      <c r="B20" s="13"/>
      <c r="C20" s="20"/>
      <c r="D20" s="19"/>
      <c r="E20" s="26">
        <f>IF($B20="","",IFERROR(INDEX(PecDesc,MATCH($B20,PecCod,0)),"Peça não cadastrada"))</f>
        <v>0</v>
      </c>
      <c r="F20" s="27">
        <f>IF($B20="","",IF($D20&lt;&gt;"",$D20,IFERROR(INDEX(PecPreco,MATCH($B20,PecCod,0)),0)))</f>
        <v>0</v>
      </c>
      <c r="G20" s="27">
        <f>IF(OR($B20="",$C20=""),"",$C20*$F20)</f>
        <v>0</v>
      </c>
      <c r="H20" s="27">
        <f>IF(OR($B20="",$C20=""),"",$C20*IFERROR(INDEX(PecCusto,MATCH($B20,PecCod,0)),0))</f>
        <v>0</v>
      </c>
      <c r="I20" s="32">
        <f>IF($A20="","",IFERROR(INDEX(OSStatus,MATCH($A20,OSNum,0)),"OS inexistente"))</f>
        <v>0</v>
      </c>
      <c r="J20" s="32">
        <f>IF($A20="","",IF($I20="OS inexistente","OS inexistente",IF($E20="Peça não cadastrada","Peça não cadastrada","OK")))</f>
        <v>0</v>
      </c>
    </row>
    <row r="21" spans="1:10">
      <c r="A21" s="17"/>
      <c r="B21" s="13"/>
      <c r="C21" s="20"/>
      <c r="D21" s="19"/>
      <c r="E21" s="26">
        <f>IF($B21="","",IFERROR(INDEX(PecDesc,MATCH($B21,PecCod,0)),"Peça não cadastrada"))</f>
        <v>0</v>
      </c>
      <c r="F21" s="27">
        <f>IF($B21="","",IF($D21&lt;&gt;"",$D21,IFERROR(INDEX(PecPreco,MATCH($B21,PecCod,0)),0)))</f>
        <v>0</v>
      </c>
      <c r="G21" s="27">
        <f>IF(OR($B21="",$C21=""),"",$C21*$F21)</f>
        <v>0</v>
      </c>
      <c r="H21" s="27">
        <f>IF(OR($B21="",$C21=""),"",$C21*IFERROR(INDEX(PecCusto,MATCH($B21,PecCod,0)),0))</f>
        <v>0</v>
      </c>
      <c r="I21" s="32">
        <f>IF($A21="","",IFERROR(INDEX(OSStatus,MATCH($A21,OSNum,0)),"OS inexistente"))</f>
        <v>0</v>
      </c>
      <c r="J21" s="32">
        <f>IF($A21="","",IF($I21="OS inexistente","OS inexistente",IF($E21="Peça não cadastrada","Peça não cadastrada","OK")))</f>
        <v>0</v>
      </c>
    </row>
    <row r="22" spans="1:10">
      <c r="A22" s="17"/>
      <c r="B22" s="13"/>
      <c r="C22" s="20"/>
      <c r="D22" s="19"/>
      <c r="E22" s="26">
        <f>IF($B22="","",IFERROR(INDEX(PecDesc,MATCH($B22,PecCod,0)),"Peça não cadastrada"))</f>
        <v>0</v>
      </c>
      <c r="F22" s="27">
        <f>IF($B22="","",IF($D22&lt;&gt;"",$D22,IFERROR(INDEX(PecPreco,MATCH($B22,PecCod,0)),0)))</f>
        <v>0</v>
      </c>
      <c r="G22" s="27">
        <f>IF(OR($B22="",$C22=""),"",$C22*$F22)</f>
        <v>0</v>
      </c>
      <c r="H22" s="27">
        <f>IF(OR($B22="",$C22=""),"",$C22*IFERROR(INDEX(PecCusto,MATCH($B22,PecCod,0)),0))</f>
        <v>0</v>
      </c>
      <c r="I22" s="32">
        <f>IF($A22="","",IFERROR(INDEX(OSStatus,MATCH($A22,OSNum,0)),"OS inexistente"))</f>
        <v>0</v>
      </c>
      <c r="J22" s="32">
        <f>IF($A22="","",IF($I22="OS inexistente","OS inexistente",IF($E22="Peça não cadastrada","Peça não cadastrada","OK")))</f>
        <v>0</v>
      </c>
    </row>
    <row r="23" spans="1:10">
      <c r="A23" s="17"/>
      <c r="B23" s="13"/>
      <c r="C23" s="20"/>
      <c r="D23" s="19"/>
      <c r="E23" s="26">
        <f>IF($B23="","",IFERROR(INDEX(PecDesc,MATCH($B23,PecCod,0)),"Peça não cadastrada"))</f>
        <v>0</v>
      </c>
      <c r="F23" s="27">
        <f>IF($B23="","",IF($D23&lt;&gt;"",$D23,IFERROR(INDEX(PecPreco,MATCH($B23,PecCod,0)),0)))</f>
        <v>0</v>
      </c>
      <c r="G23" s="27">
        <f>IF(OR($B23="",$C23=""),"",$C23*$F23)</f>
        <v>0</v>
      </c>
      <c r="H23" s="27">
        <f>IF(OR($B23="",$C23=""),"",$C23*IFERROR(INDEX(PecCusto,MATCH($B23,PecCod,0)),0))</f>
        <v>0</v>
      </c>
      <c r="I23" s="32">
        <f>IF($A23="","",IFERROR(INDEX(OSStatus,MATCH($A23,OSNum,0)),"OS inexistente"))</f>
        <v>0</v>
      </c>
      <c r="J23" s="32">
        <f>IF($A23="","",IF($I23="OS inexistente","OS inexistente",IF($E23="Peça não cadastrada","Peça não cadastrada","OK")))</f>
        <v>0</v>
      </c>
    </row>
    <row r="24" spans="1:10">
      <c r="A24" s="17"/>
      <c r="B24" s="13"/>
      <c r="C24" s="20"/>
      <c r="D24" s="19"/>
      <c r="E24" s="26">
        <f>IF($B24="","",IFERROR(INDEX(PecDesc,MATCH($B24,PecCod,0)),"Peça não cadastrada"))</f>
        <v>0</v>
      </c>
      <c r="F24" s="27">
        <f>IF($B24="","",IF($D24&lt;&gt;"",$D24,IFERROR(INDEX(PecPreco,MATCH($B24,PecCod,0)),0)))</f>
        <v>0</v>
      </c>
      <c r="G24" s="27">
        <f>IF(OR($B24="",$C24=""),"",$C24*$F24)</f>
        <v>0</v>
      </c>
      <c r="H24" s="27">
        <f>IF(OR($B24="",$C24=""),"",$C24*IFERROR(INDEX(PecCusto,MATCH($B24,PecCod,0)),0))</f>
        <v>0</v>
      </c>
      <c r="I24" s="32">
        <f>IF($A24="","",IFERROR(INDEX(OSStatus,MATCH($A24,OSNum,0)),"OS inexistente"))</f>
        <v>0</v>
      </c>
      <c r="J24" s="32">
        <f>IF($A24="","",IF($I24="OS inexistente","OS inexistente",IF($E24="Peça não cadastrada","Peça não cadastrada","OK")))</f>
        <v>0</v>
      </c>
    </row>
    <row r="25" spans="1:10">
      <c r="A25" s="17"/>
      <c r="B25" s="13"/>
      <c r="C25" s="20"/>
      <c r="D25" s="19"/>
      <c r="E25" s="26">
        <f>IF($B25="","",IFERROR(INDEX(PecDesc,MATCH($B25,PecCod,0)),"Peça não cadastrada"))</f>
        <v>0</v>
      </c>
      <c r="F25" s="27">
        <f>IF($B25="","",IF($D25&lt;&gt;"",$D25,IFERROR(INDEX(PecPreco,MATCH($B25,PecCod,0)),0)))</f>
        <v>0</v>
      </c>
      <c r="G25" s="27">
        <f>IF(OR($B25="",$C25=""),"",$C25*$F25)</f>
        <v>0</v>
      </c>
      <c r="H25" s="27">
        <f>IF(OR($B25="",$C25=""),"",$C25*IFERROR(INDEX(PecCusto,MATCH($B25,PecCod,0)),0))</f>
        <v>0</v>
      </c>
      <c r="I25" s="32">
        <f>IF($A25="","",IFERROR(INDEX(OSStatus,MATCH($A25,OSNum,0)),"OS inexistente"))</f>
        <v>0</v>
      </c>
      <c r="J25" s="32">
        <f>IF($A25="","",IF($I25="OS inexistente","OS inexistente",IF($E25="Peça não cadastrada","Peça não cadastrada","OK")))</f>
        <v>0</v>
      </c>
    </row>
    <row r="26" spans="1:10">
      <c r="A26" s="17"/>
      <c r="B26" s="13"/>
      <c r="C26" s="20"/>
      <c r="D26" s="19"/>
      <c r="E26" s="26">
        <f>IF($B26="","",IFERROR(INDEX(PecDesc,MATCH($B26,PecCod,0)),"Peça não cadastrada"))</f>
        <v>0</v>
      </c>
      <c r="F26" s="27">
        <f>IF($B26="","",IF($D26&lt;&gt;"",$D26,IFERROR(INDEX(PecPreco,MATCH($B26,PecCod,0)),0)))</f>
        <v>0</v>
      </c>
      <c r="G26" s="27">
        <f>IF(OR($B26="",$C26=""),"",$C26*$F26)</f>
        <v>0</v>
      </c>
      <c r="H26" s="27">
        <f>IF(OR($B26="",$C26=""),"",$C26*IFERROR(INDEX(PecCusto,MATCH($B26,PecCod,0)),0))</f>
        <v>0</v>
      </c>
      <c r="I26" s="32">
        <f>IF($A26="","",IFERROR(INDEX(OSStatus,MATCH($A26,OSNum,0)),"OS inexistente"))</f>
        <v>0</v>
      </c>
      <c r="J26" s="32">
        <f>IF($A26="","",IF($I26="OS inexistente","OS inexistente",IF($E26="Peça não cadastrada","Peça não cadastrada","OK")))</f>
        <v>0</v>
      </c>
    </row>
    <row r="27" spans="1:10">
      <c r="A27" s="17"/>
      <c r="B27" s="13"/>
      <c r="C27" s="20"/>
      <c r="D27" s="19"/>
      <c r="E27" s="26">
        <f>IF($B27="","",IFERROR(INDEX(PecDesc,MATCH($B27,PecCod,0)),"Peça não cadastrada"))</f>
        <v>0</v>
      </c>
      <c r="F27" s="27">
        <f>IF($B27="","",IF($D27&lt;&gt;"",$D27,IFERROR(INDEX(PecPreco,MATCH($B27,PecCod,0)),0)))</f>
        <v>0</v>
      </c>
      <c r="G27" s="27">
        <f>IF(OR($B27="",$C27=""),"",$C27*$F27)</f>
        <v>0</v>
      </c>
      <c r="H27" s="27">
        <f>IF(OR($B27="",$C27=""),"",$C27*IFERROR(INDEX(PecCusto,MATCH($B27,PecCod,0)),0))</f>
        <v>0</v>
      </c>
      <c r="I27" s="32">
        <f>IF($A27="","",IFERROR(INDEX(OSStatus,MATCH($A27,OSNum,0)),"OS inexistente"))</f>
        <v>0</v>
      </c>
      <c r="J27" s="32">
        <f>IF($A27="","",IF($I27="OS inexistente","OS inexistente",IF($E27="Peça não cadastrada","Peça não cadastrada","OK")))</f>
        <v>0</v>
      </c>
    </row>
    <row r="28" spans="1:10">
      <c r="A28" s="17"/>
      <c r="B28" s="13"/>
      <c r="C28" s="20"/>
      <c r="D28" s="19"/>
      <c r="E28" s="26">
        <f>IF($B28="","",IFERROR(INDEX(PecDesc,MATCH($B28,PecCod,0)),"Peça não cadastrada"))</f>
        <v>0</v>
      </c>
      <c r="F28" s="27">
        <f>IF($B28="","",IF($D28&lt;&gt;"",$D28,IFERROR(INDEX(PecPreco,MATCH($B28,PecCod,0)),0)))</f>
        <v>0</v>
      </c>
      <c r="G28" s="27">
        <f>IF(OR($B28="",$C28=""),"",$C28*$F28)</f>
        <v>0</v>
      </c>
      <c r="H28" s="27">
        <f>IF(OR($B28="",$C28=""),"",$C28*IFERROR(INDEX(PecCusto,MATCH($B28,PecCod,0)),0))</f>
        <v>0</v>
      </c>
      <c r="I28" s="32">
        <f>IF($A28="","",IFERROR(INDEX(OSStatus,MATCH($A28,OSNum,0)),"OS inexistente"))</f>
        <v>0</v>
      </c>
      <c r="J28" s="32">
        <f>IF($A28="","",IF($I28="OS inexistente","OS inexistente",IF($E28="Peça não cadastrada","Peça não cadastrada","OK")))</f>
        <v>0</v>
      </c>
    </row>
    <row r="29" spans="1:10">
      <c r="A29" s="17"/>
      <c r="B29" s="13"/>
      <c r="C29" s="20"/>
      <c r="D29" s="19"/>
      <c r="E29" s="26">
        <f>IF($B29="","",IFERROR(INDEX(PecDesc,MATCH($B29,PecCod,0)),"Peça não cadastrada"))</f>
        <v>0</v>
      </c>
      <c r="F29" s="27">
        <f>IF($B29="","",IF($D29&lt;&gt;"",$D29,IFERROR(INDEX(PecPreco,MATCH($B29,PecCod,0)),0)))</f>
        <v>0</v>
      </c>
      <c r="G29" s="27">
        <f>IF(OR($B29="",$C29=""),"",$C29*$F29)</f>
        <v>0</v>
      </c>
      <c r="H29" s="27">
        <f>IF(OR($B29="",$C29=""),"",$C29*IFERROR(INDEX(PecCusto,MATCH($B29,PecCod,0)),0))</f>
        <v>0</v>
      </c>
      <c r="I29" s="32">
        <f>IF($A29="","",IFERROR(INDEX(OSStatus,MATCH($A29,OSNum,0)),"OS inexistente"))</f>
        <v>0</v>
      </c>
      <c r="J29" s="32">
        <f>IF($A29="","",IF($I29="OS inexistente","OS inexistente",IF($E29="Peça não cadastrada","Peça não cadastrada","OK")))</f>
        <v>0</v>
      </c>
    </row>
    <row r="30" spans="1:10">
      <c r="A30" s="17"/>
      <c r="B30" s="13"/>
      <c r="C30" s="20"/>
      <c r="D30" s="19"/>
      <c r="E30" s="26">
        <f>IF($B30="","",IFERROR(INDEX(PecDesc,MATCH($B30,PecCod,0)),"Peça não cadastrada"))</f>
        <v>0</v>
      </c>
      <c r="F30" s="27">
        <f>IF($B30="","",IF($D30&lt;&gt;"",$D30,IFERROR(INDEX(PecPreco,MATCH($B30,PecCod,0)),0)))</f>
        <v>0</v>
      </c>
      <c r="G30" s="27">
        <f>IF(OR($B30="",$C30=""),"",$C30*$F30)</f>
        <v>0</v>
      </c>
      <c r="H30" s="27">
        <f>IF(OR($B30="",$C30=""),"",$C30*IFERROR(INDEX(PecCusto,MATCH($B30,PecCod,0)),0))</f>
        <v>0</v>
      </c>
      <c r="I30" s="32">
        <f>IF($A30="","",IFERROR(INDEX(OSStatus,MATCH($A30,OSNum,0)),"OS inexistente"))</f>
        <v>0</v>
      </c>
      <c r="J30" s="32">
        <f>IF($A30="","",IF($I30="OS inexistente","OS inexistente",IF($E30="Peça não cadastrada","Peça não cadastrada","OK")))</f>
        <v>0</v>
      </c>
    </row>
    <row r="31" spans="1:10">
      <c r="A31" s="17"/>
      <c r="B31" s="13"/>
      <c r="C31" s="20"/>
      <c r="D31" s="19"/>
      <c r="E31" s="26">
        <f>IF($B31="","",IFERROR(INDEX(PecDesc,MATCH($B31,PecCod,0)),"Peça não cadastrada"))</f>
        <v>0</v>
      </c>
      <c r="F31" s="27">
        <f>IF($B31="","",IF($D31&lt;&gt;"",$D31,IFERROR(INDEX(PecPreco,MATCH($B31,PecCod,0)),0)))</f>
        <v>0</v>
      </c>
      <c r="G31" s="27">
        <f>IF(OR($B31="",$C31=""),"",$C31*$F31)</f>
        <v>0</v>
      </c>
      <c r="H31" s="27">
        <f>IF(OR($B31="",$C31=""),"",$C31*IFERROR(INDEX(PecCusto,MATCH($B31,PecCod,0)),0))</f>
        <v>0</v>
      </c>
      <c r="I31" s="32">
        <f>IF($A31="","",IFERROR(INDEX(OSStatus,MATCH($A31,OSNum,0)),"OS inexistente"))</f>
        <v>0</v>
      </c>
      <c r="J31" s="32">
        <f>IF($A31="","",IF($I31="OS inexistente","OS inexistente",IF($E31="Peça não cadastrada","Peça não cadastrada","OK")))</f>
        <v>0</v>
      </c>
    </row>
    <row r="32" spans="1:10">
      <c r="A32" s="17"/>
      <c r="B32" s="13"/>
      <c r="C32" s="20"/>
      <c r="D32" s="19"/>
      <c r="E32" s="26">
        <f>IF($B32="","",IFERROR(INDEX(PecDesc,MATCH($B32,PecCod,0)),"Peça não cadastrada"))</f>
        <v>0</v>
      </c>
      <c r="F32" s="27">
        <f>IF($B32="","",IF($D32&lt;&gt;"",$D32,IFERROR(INDEX(PecPreco,MATCH($B32,PecCod,0)),0)))</f>
        <v>0</v>
      </c>
      <c r="G32" s="27">
        <f>IF(OR($B32="",$C32=""),"",$C32*$F32)</f>
        <v>0</v>
      </c>
      <c r="H32" s="27">
        <f>IF(OR($B32="",$C32=""),"",$C32*IFERROR(INDEX(PecCusto,MATCH($B32,PecCod,0)),0))</f>
        <v>0</v>
      </c>
      <c r="I32" s="32">
        <f>IF($A32="","",IFERROR(INDEX(OSStatus,MATCH($A32,OSNum,0)),"OS inexistente"))</f>
        <v>0</v>
      </c>
      <c r="J32" s="32">
        <f>IF($A32="","",IF($I32="OS inexistente","OS inexistente",IF($E32="Peça não cadastrada","Peça não cadastrada","OK")))</f>
        <v>0</v>
      </c>
    </row>
    <row r="33" spans="1:10">
      <c r="A33" s="17"/>
      <c r="B33" s="13"/>
      <c r="C33" s="20"/>
      <c r="D33" s="19"/>
      <c r="E33" s="26">
        <f>IF($B33="","",IFERROR(INDEX(PecDesc,MATCH($B33,PecCod,0)),"Peça não cadastrada"))</f>
        <v>0</v>
      </c>
      <c r="F33" s="27">
        <f>IF($B33="","",IF($D33&lt;&gt;"",$D33,IFERROR(INDEX(PecPreco,MATCH($B33,PecCod,0)),0)))</f>
        <v>0</v>
      </c>
      <c r="G33" s="27">
        <f>IF(OR($B33="",$C33=""),"",$C33*$F33)</f>
        <v>0</v>
      </c>
      <c r="H33" s="27">
        <f>IF(OR($B33="",$C33=""),"",$C33*IFERROR(INDEX(PecCusto,MATCH($B33,PecCod,0)),0))</f>
        <v>0</v>
      </c>
      <c r="I33" s="32">
        <f>IF($A33="","",IFERROR(INDEX(OSStatus,MATCH($A33,OSNum,0)),"OS inexistente"))</f>
        <v>0</v>
      </c>
      <c r="J33" s="32">
        <f>IF($A33="","",IF($I33="OS inexistente","OS inexistente",IF($E33="Peça não cadastrada","Peça não cadastrada","OK")))</f>
        <v>0</v>
      </c>
    </row>
    <row r="34" spans="1:10">
      <c r="A34" s="17"/>
      <c r="B34" s="13"/>
      <c r="C34" s="20"/>
      <c r="D34" s="19"/>
      <c r="E34" s="26">
        <f>IF($B34="","",IFERROR(INDEX(PecDesc,MATCH($B34,PecCod,0)),"Peça não cadastrada"))</f>
        <v>0</v>
      </c>
      <c r="F34" s="27">
        <f>IF($B34="","",IF($D34&lt;&gt;"",$D34,IFERROR(INDEX(PecPreco,MATCH($B34,PecCod,0)),0)))</f>
        <v>0</v>
      </c>
      <c r="G34" s="27">
        <f>IF(OR($B34="",$C34=""),"",$C34*$F34)</f>
        <v>0</v>
      </c>
      <c r="H34" s="27">
        <f>IF(OR($B34="",$C34=""),"",$C34*IFERROR(INDEX(PecCusto,MATCH($B34,PecCod,0)),0))</f>
        <v>0</v>
      </c>
      <c r="I34" s="32">
        <f>IF($A34="","",IFERROR(INDEX(OSStatus,MATCH($A34,OSNum,0)),"OS inexistente"))</f>
        <v>0</v>
      </c>
      <c r="J34" s="32">
        <f>IF($A34="","",IF($I34="OS inexistente","OS inexistente",IF($E34="Peça não cadastrada","Peça não cadastrada","OK")))</f>
        <v>0</v>
      </c>
    </row>
    <row r="35" spans="1:10">
      <c r="A35" s="17"/>
      <c r="B35" s="13"/>
      <c r="C35" s="20"/>
      <c r="D35" s="19"/>
      <c r="E35" s="26">
        <f>IF($B35="","",IFERROR(INDEX(PecDesc,MATCH($B35,PecCod,0)),"Peça não cadastrada"))</f>
        <v>0</v>
      </c>
      <c r="F35" s="27">
        <f>IF($B35="","",IF($D35&lt;&gt;"",$D35,IFERROR(INDEX(PecPreco,MATCH($B35,PecCod,0)),0)))</f>
        <v>0</v>
      </c>
      <c r="G35" s="27">
        <f>IF(OR($B35="",$C35=""),"",$C35*$F35)</f>
        <v>0</v>
      </c>
      <c r="H35" s="27">
        <f>IF(OR($B35="",$C35=""),"",$C35*IFERROR(INDEX(PecCusto,MATCH($B35,PecCod,0)),0))</f>
        <v>0</v>
      </c>
      <c r="I35" s="32">
        <f>IF($A35="","",IFERROR(INDEX(OSStatus,MATCH($A35,OSNum,0)),"OS inexistente"))</f>
        <v>0</v>
      </c>
      <c r="J35" s="32">
        <f>IF($A35="","",IF($I35="OS inexistente","OS inexistente",IF($E35="Peça não cadastrada","Peça não cadastrada","OK")))</f>
        <v>0</v>
      </c>
    </row>
    <row r="36" spans="1:10">
      <c r="A36" s="17"/>
      <c r="B36" s="13"/>
      <c r="C36" s="20"/>
      <c r="D36" s="19"/>
      <c r="E36" s="26">
        <f>IF($B36="","",IFERROR(INDEX(PecDesc,MATCH($B36,PecCod,0)),"Peça não cadastrada"))</f>
        <v>0</v>
      </c>
      <c r="F36" s="27">
        <f>IF($B36="","",IF($D36&lt;&gt;"",$D36,IFERROR(INDEX(PecPreco,MATCH($B36,PecCod,0)),0)))</f>
        <v>0</v>
      </c>
      <c r="G36" s="27">
        <f>IF(OR($B36="",$C36=""),"",$C36*$F36)</f>
        <v>0</v>
      </c>
      <c r="H36" s="27">
        <f>IF(OR($B36="",$C36=""),"",$C36*IFERROR(INDEX(PecCusto,MATCH($B36,PecCod,0)),0))</f>
        <v>0</v>
      </c>
      <c r="I36" s="32">
        <f>IF($A36="","",IFERROR(INDEX(OSStatus,MATCH($A36,OSNum,0)),"OS inexistente"))</f>
        <v>0</v>
      </c>
      <c r="J36" s="32">
        <f>IF($A36="","",IF($I36="OS inexistente","OS inexistente",IF($E36="Peça não cadastrada","Peça não cadastrada","OK")))</f>
        <v>0</v>
      </c>
    </row>
    <row r="37" spans="1:10">
      <c r="A37" s="17"/>
      <c r="B37" s="13"/>
      <c r="C37" s="20"/>
      <c r="D37" s="19"/>
      <c r="E37" s="26">
        <f>IF($B37="","",IFERROR(INDEX(PecDesc,MATCH($B37,PecCod,0)),"Peça não cadastrada"))</f>
        <v>0</v>
      </c>
      <c r="F37" s="27">
        <f>IF($B37="","",IF($D37&lt;&gt;"",$D37,IFERROR(INDEX(PecPreco,MATCH($B37,PecCod,0)),0)))</f>
        <v>0</v>
      </c>
      <c r="G37" s="27">
        <f>IF(OR($B37="",$C37=""),"",$C37*$F37)</f>
        <v>0</v>
      </c>
      <c r="H37" s="27">
        <f>IF(OR($B37="",$C37=""),"",$C37*IFERROR(INDEX(PecCusto,MATCH($B37,PecCod,0)),0))</f>
        <v>0</v>
      </c>
      <c r="I37" s="32">
        <f>IF($A37="","",IFERROR(INDEX(OSStatus,MATCH($A37,OSNum,0)),"OS inexistente"))</f>
        <v>0</v>
      </c>
      <c r="J37" s="32">
        <f>IF($A37="","",IF($I37="OS inexistente","OS inexistente",IF($E37="Peça não cadastrada","Peça não cadastrada","OK")))</f>
        <v>0</v>
      </c>
    </row>
    <row r="38" spans="1:10">
      <c r="A38" s="17"/>
      <c r="B38" s="13"/>
      <c r="C38" s="20"/>
      <c r="D38" s="19"/>
      <c r="E38" s="26">
        <f>IF($B38="","",IFERROR(INDEX(PecDesc,MATCH($B38,PecCod,0)),"Peça não cadastrada"))</f>
        <v>0</v>
      </c>
      <c r="F38" s="27">
        <f>IF($B38="","",IF($D38&lt;&gt;"",$D38,IFERROR(INDEX(PecPreco,MATCH($B38,PecCod,0)),0)))</f>
        <v>0</v>
      </c>
      <c r="G38" s="27">
        <f>IF(OR($B38="",$C38=""),"",$C38*$F38)</f>
        <v>0</v>
      </c>
      <c r="H38" s="27">
        <f>IF(OR($B38="",$C38=""),"",$C38*IFERROR(INDEX(PecCusto,MATCH($B38,PecCod,0)),0))</f>
        <v>0</v>
      </c>
      <c r="I38" s="32">
        <f>IF($A38="","",IFERROR(INDEX(OSStatus,MATCH($A38,OSNum,0)),"OS inexistente"))</f>
        <v>0</v>
      </c>
      <c r="J38" s="32">
        <f>IF($A38="","",IF($I38="OS inexistente","OS inexistente",IF($E38="Peça não cadastrada","Peça não cadastrada","OK")))</f>
        <v>0</v>
      </c>
    </row>
    <row r="39" spans="1:10">
      <c r="A39" s="17"/>
      <c r="B39" s="13"/>
      <c r="C39" s="20"/>
      <c r="D39" s="19"/>
      <c r="E39" s="26">
        <f>IF($B39="","",IFERROR(INDEX(PecDesc,MATCH($B39,PecCod,0)),"Peça não cadastrada"))</f>
        <v>0</v>
      </c>
      <c r="F39" s="27">
        <f>IF($B39="","",IF($D39&lt;&gt;"",$D39,IFERROR(INDEX(PecPreco,MATCH($B39,PecCod,0)),0)))</f>
        <v>0</v>
      </c>
      <c r="G39" s="27">
        <f>IF(OR($B39="",$C39=""),"",$C39*$F39)</f>
        <v>0</v>
      </c>
      <c r="H39" s="27">
        <f>IF(OR($B39="",$C39=""),"",$C39*IFERROR(INDEX(PecCusto,MATCH($B39,PecCod,0)),0))</f>
        <v>0</v>
      </c>
      <c r="I39" s="32">
        <f>IF($A39="","",IFERROR(INDEX(OSStatus,MATCH($A39,OSNum,0)),"OS inexistente"))</f>
        <v>0</v>
      </c>
      <c r="J39" s="32">
        <f>IF($A39="","",IF($I39="OS inexistente","OS inexistente",IF($E39="Peça não cadastrada","Peça não cadastrada","OK")))</f>
        <v>0</v>
      </c>
    </row>
    <row r="40" spans="1:10">
      <c r="A40" s="17"/>
      <c r="B40" s="13"/>
      <c r="C40" s="20"/>
      <c r="D40" s="19"/>
      <c r="E40" s="26">
        <f>IF($B40="","",IFERROR(INDEX(PecDesc,MATCH($B40,PecCod,0)),"Peça não cadastrada"))</f>
        <v>0</v>
      </c>
      <c r="F40" s="27">
        <f>IF($B40="","",IF($D40&lt;&gt;"",$D40,IFERROR(INDEX(PecPreco,MATCH($B40,PecCod,0)),0)))</f>
        <v>0</v>
      </c>
      <c r="G40" s="27">
        <f>IF(OR($B40="",$C40=""),"",$C40*$F40)</f>
        <v>0</v>
      </c>
      <c r="H40" s="27">
        <f>IF(OR($B40="",$C40=""),"",$C40*IFERROR(INDEX(PecCusto,MATCH($B40,PecCod,0)),0))</f>
        <v>0</v>
      </c>
      <c r="I40" s="32">
        <f>IF($A40="","",IFERROR(INDEX(OSStatus,MATCH($A40,OSNum,0)),"OS inexistente"))</f>
        <v>0</v>
      </c>
      <c r="J40" s="32">
        <f>IF($A40="","",IF($I40="OS inexistente","OS inexistente",IF($E40="Peça não cadastrada","Peça não cadastrada","OK")))</f>
        <v>0</v>
      </c>
    </row>
    <row r="41" spans="1:10">
      <c r="A41" s="17"/>
      <c r="B41" s="13"/>
      <c r="C41" s="20"/>
      <c r="D41" s="19"/>
      <c r="E41" s="26">
        <f>IF($B41="","",IFERROR(INDEX(PecDesc,MATCH($B41,PecCod,0)),"Peça não cadastrada"))</f>
        <v>0</v>
      </c>
      <c r="F41" s="27">
        <f>IF($B41="","",IF($D41&lt;&gt;"",$D41,IFERROR(INDEX(PecPreco,MATCH($B41,PecCod,0)),0)))</f>
        <v>0</v>
      </c>
      <c r="G41" s="27">
        <f>IF(OR($B41="",$C41=""),"",$C41*$F41)</f>
        <v>0</v>
      </c>
      <c r="H41" s="27">
        <f>IF(OR($B41="",$C41=""),"",$C41*IFERROR(INDEX(PecCusto,MATCH($B41,PecCod,0)),0))</f>
        <v>0</v>
      </c>
      <c r="I41" s="32">
        <f>IF($A41="","",IFERROR(INDEX(OSStatus,MATCH($A41,OSNum,0)),"OS inexistente"))</f>
        <v>0</v>
      </c>
      <c r="J41" s="32">
        <f>IF($A41="","",IF($I41="OS inexistente","OS inexistente",IF($E41="Peça não cadastrada","Peça não cadastrada","OK")))</f>
        <v>0</v>
      </c>
    </row>
    <row r="42" spans="1:10">
      <c r="A42" s="17"/>
      <c r="B42" s="13"/>
      <c r="C42" s="20"/>
      <c r="D42" s="19"/>
      <c r="E42" s="26">
        <f>IF($B42="","",IFERROR(INDEX(PecDesc,MATCH($B42,PecCod,0)),"Peça não cadastrada"))</f>
        <v>0</v>
      </c>
      <c r="F42" s="27">
        <f>IF($B42="","",IF($D42&lt;&gt;"",$D42,IFERROR(INDEX(PecPreco,MATCH($B42,PecCod,0)),0)))</f>
        <v>0</v>
      </c>
      <c r="G42" s="27">
        <f>IF(OR($B42="",$C42=""),"",$C42*$F42)</f>
        <v>0</v>
      </c>
      <c r="H42" s="27">
        <f>IF(OR($B42="",$C42=""),"",$C42*IFERROR(INDEX(PecCusto,MATCH($B42,PecCod,0)),0))</f>
        <v>0</v>
      </c>
      <c r="I42" s="32">
        <f>IF($A42="","",IFERROR(INDEX(OSStatus,MATCH($A42,OSNum,0)),"OS inexistente"))</f>
        <v>0</v>
      </c>
      <c r="J42" s="32">
        <f>IF($A42="","",IF($I42="OS inexistente","OS inexistente",IF($E42="Peça não cadastrada","Peça não cadastrada","OK")))</f>
        <v>0</v>
      </c>
    </row>
    <row r="43" spans="1:10">
      <c r="A43" s="17"/>
      <c r="B43" s="13"/>
      <c r="C43" s="20"/>
      <c r="D43" s="19"/>
      <c r="E43" s="26">
        <f>IF($B43="","",IFERROR(INDEX(PecDesc,MATCH($B43,PecCod,0)),"Peça não cadastrada"))</f>
        <v>0</v>
      </c>
      <c r="F43" s="27">
        <f>IF($B43="","",IF($D43&lt;&gt;"",$D43,IFERROR(INDEX(PecPreco,MATCH($B43,PecCod,0)),0)))</f>
        <v>0</v>
      </c>
      <c r="G43" s="27">
        <f>IF(OR($B43="",$C43=""),"",$C43*$F43)</f>
        <v>0</v>
      </c>
      <c r="H43" s="27">
        <f>IF(OR($B43="",$C43=""),"",$C43*IFERROR(INDEX(PecCusto,MATCH($B43,PecCod,0)),0))</f>
        <v>0</v>
      </c>
      <c r="I43" s="32">
        <f>IF($A43="","",IFERROR(INDEX(OSStatus,MATCH($A43,OSNum,0)),"OS inexistente"))</f>
        <v>0</v>
      </c>
      <c r="J43" s="32">
        <f>IF($A43="","",IF($I43="OS inexistente","OS inexistente",IF($E43="Peça não cadastrada","Peça não cadastrada","OK")))</f>
        <v>0</v>
      </c>
    </row>
    <row r="44" spans="1:10">
      <c r="A44" s="17"/>
      <c r="B44" s="13"/>
      <c r="C44" s="20"/>
      <c r="D44" s="19"/>
      <c r="E44" s="26">
        <f>IF($B44="","",IFERROR(INDEX(PecDesc,MATCH($B44,PecCod,0)),"Peça não cadastrada"))</f>
        <v>0</v>
      </c>
      <c r="F44" s="27">
        <f>IF($B44="","",IF($D44&lt;&gt;"",$D44,IFERROR(INDEX(PecPreco,MATCH($B44,PecCod,0)),0)))</f>
        <v>0</v>
      </c>
      <c r="G44" s="27">
        <f>IF(OR($B44="",$C44=""),"",$C44*$F44)</f>
        <v>0</v>
      </c>
      <c r="H44" s="27">
        <f>IF(OR($B44="",$C44=""),"",$C44*IFERROR(INDEX(PecCusto,MATCH($B44,PecCod,0)),0))</f>
        <v>0</v>
      </c>
      <c r="I44" s="32">
        <f>IF($A44="","",IFERROR(INDEX(OSStatus,MATCH($A44,OSNum,0)),"OS inexistente"))</f>
        <v>0</v>
      </c>
      <c r="J44" s="32">
        <f>IF($A44="","",IF($I44="OS inexistente","OS inexistente",IF($E44="Peça não cadastrada","Peça não cadastrada","OK")))</f>
        <v>0</v>
      </c>
    </row>
    <row r="45" spans="1:10">
      <c r="A45" s="17"/>
      <c r="B45" s="13"/>
      <c r="C45" s="20"/>
      <c r="D45" s="19"/>
      <c r="E45" s="26">
        <f>IF($B45="","",IFERROR(INDEX(PecDesc,MATCH($B45,PecCod,0)),"Peça não cadastrada"))</f>
        <v>0</v>
      </c>
      <c r="F45" s="27">
        <f>IF($B45="","",IF($D45&lt;&gt;"",$D45,IFERROR(INDEX(PecPreco,MATCH($B45,PecCod,0)),0)))</f>
        <v>0</v>
      </c>
      <c r="G45" s="27">
        <f>IF(OR($B45="",$C45=""),"",$C45*$F45)</f>
        <v>0</v>
      </c>
      <c r="H45" s="27">
        <f>IF(OR($B45="",$C45=""),"",$C45*IFERROR(INDEX(PecCusto,MATCH($B45,PecCod,0)),0))</f>
        <v>0</v>
      </c>
      <c r="I45" s="32">
        <f>IF($A45="","",IFERROR(INDEX(OSStatus,MATCH($A45,OSNum,0)),"OS inexistente"))</f>
        <v>0</v>
      </c>
      <c r="J45" s="32">
        <f>IF($A45="","",IF($I45="OS inexistente","OS inexistente",IF($E45="Peça não cadastrada","Peça não cadastrada","OK")))</f>
        <v>0</v>
      </c>
    </row>
    <row r="46" spans="1:10">
      <c r="A46" s="17"/>
      <c r="B46" s="13"/>
      <c r="C46" s="20"/>
      <c r="D46" s="19"/>
      <c r="E46" s="26">
        <f>IF($B46="","",IFERROR(INDEX(PecDesc,MATCH($B46,PecCod,0)),"Peça não cadastrada"))</f>
        <v>0</v>
      </c>
      <c r="F46" s="27">
        <f>IF($B46="","",IF($D46&lt;&gt;"",$D46,IFERROR(INDEX(PecPreco,MATCH($B46,PecCod,0)),0)))</f>
        <v>0</v>
      </c>
      <c r="G46" s="27">
        <f>IF(OR($B46="",$C46=""),"",$C46*$F46)</f>
        <v>0</v>
      </c>
      <c r="H46" s="27">
        <f>IF(OR($B46="",$C46=""),"",$C46*IFERROR(INDEX(PecCusto,MATCH($B46,PecCod,0)),0))</f>
        <v>0</v>
      </c>
      <c r="I46" s="32">
        <f>IF($A46="","",IFERROR(INDEX(OSStatus,MATCH($A46,OSNum,0)),"OS inexistente"))</f>
        <v>0</v>
      </c>
      <c r="J46" s="32">
        <f>IF($A46="","",IF($I46="OS inexistente","OS inexistente",IF($E46="Peça não cadastrada","Peça não cadastrada","OK")))</f>
        <v>0</v>
      </c>
    </row>
    <row r="47" spans="1:10">
      <c r="A47" s="17"/>
      <c r="B47" s="13"/>
      <c r="C47" s="20"/>
      <c r="D47" s="19"/>
      <c r="E47" s="26">
        <f>IF($B47="","",IFERROR(INDEX(PecDesc,MATCH($B47,PecCod,0)),"Peça não cadastrada"))</f>
        <v>0</v>
      </c>
      <c r="F47" s="27">
        <f>IF($B47="","",IF($D47&lt;&gt;"",$D47,IFERROR(INDEX(PecPreco,MATCH($B47,PecCod,0)),0)))</f>
        <v>0</v>
      </c>
      <c r="G47" s="27">
        <f>IF(OR($B47="",$C47=""),"",$C47*$F47)</f>
        <v>0</v>
      </c>
      <c r="H47" s="27">
        <f>IF(OR($B47="",$C47=""),"",$C47*IFERROR(INDEX(PecCusto,MATCH($B47,PecCod,0)),0))</f>
        <v>0</v>
      </c>
      <c r="I47" s="32">
        <f>IF($A47="","",IFERROR(INDEX(OSStatus,MATCH($A47,OSNum,0)),"OS inexistente"))</f>
        <v>0</v>
      </c>
      <c r="J47" s="32">
        <f>IF($A47="","",IF($I47="OS inexistente","OS inexistente",IF($E47="Peça não cadastrada","Peça não cadastrada","OK")))</f>
        <v>0</v>
      </c>
    </row>
    <row r="48" spans="1:10">
      <c r="A48" s="17"/>
      <c r="B48" s="13"/>
      <c r="C48" s="20"/>
      <c r="D48" s="19"/>
      <c r="E48" s="26">
        <f>IF($B48="","",IFERROR(INDEX(PecDesc,MATCH($B48,PecCod,0)),"Peça não cadastrada"))</f>
        <v>0</v>
      </c>
      <c r="F48" s="27">
        <f>IF($B48="","",IF($D48&lt;&gt;"",$D48,IFERROR(INDEX(PecPreco,MATCH($B48,PecCod,0)),0)))</f>
        <v>0</v>
      </c>
      <c r="G48" s="27">
        <f>IF(OR($B48="",$C48=""),"",$C48*$F48)</f>
        <v>0</v>
      </c>
      <c r="H48" s="27">
        <f>IF(OR($B48="",$C48=""),"",$C48*IFERROR(INDEX(PecCusto,MATCH($B48,PecCod,0)),0))</f>
        <v>0</v>
      </c>
      <c r="I48" s="32">
        <f>IF($A48="","",IFERROR(INDEX(OSStatus,MATCH($A48,OSNum,0)),"OS inexistente"))</f>
        <v>0</v>
      </c>
      <c r="J48" s="32">
        <f>IF($A48="","",IF($I48="OS inexistente","OS inexistente",IF($E48="Peça não cadastrada","Peça não cadastrada","OK")))</f>
        <v>0</v>
      </c>
    </row>
    <row r="49" spans="1:10">
      <c r="A49" s="17"/>
      <c r="B49" s="13"/>
      <c r="C49" s="20"/>
      <c r="D49" s="19"/>
      <c r="E49" s="26">
        <f>IF($B49="","",IFERROR(INDEX(PecDesc,MATCH($B49,PecCod,0)),"Peça não cadastrada"))</f>
        <v>0</v>
      </c>
      <c r="F49" s="27">
        <f>IF($B49="","",IF($D49&lt;&gt;"",$D49,IFERROR(INDEX(PecPreco,MATCH($B49,PecCod,0)),0)))</f>
        <v>0</v>
      </c>
      <c r="G49" s="27">
        <f>IF(OR($B49="",$C49=""),"",$C49*$F49)</f>
        <v>0</v>
      </c>
      <c r="H49" s="27">
        <f>IF(OR($B49="",$C49=""),"",$C49*IFERROR(INDEX(PecCusto,MATCH($B49,PecCod,0)),0))</f>
        <v>0</v>
      </c>
      <c r="I49" s="32">
        <f>IF($A49="","",IFERROR(INDEX(OSStatus,MATCH($A49,OSNum,0)),"OS inexistente"))</f>
        <v>0</v>
      </c>
      <c r="J49" s="32">
        <f>IF($A49="","",IF($I49="OS inexistente","OS inexistente",IF($E49="Peça não cadastrada","Peça não cadastrada","OK")))</f>
        <v>0</v>
      </c>
    </row>
    <row r="50" spans="1:10">
      <c r="A50" s="17"/>
      <c r="B50" s="13"/>
      <c r="C50" s="20"/>
      <c r="D50" s="19"/>
      <c r="E50" s="26">
        <f>IF($B50="","",IFERROR(INDEX(PecDesc,MATCH($B50,PecCod,0)),"Peça não cadastrada"))</f>
        <v>0</v>
      </c>
      <c r="F50" s="27">
        <f>IF($B50="","",IF($D50&lt;&gt;"",$D50,IFERROR(INDEX(PecPreco,MATCH($B50,PecCod,0)),0)))</f>
        <v>0</v>
      </c>
      <c r="G50" s="27">
        <f>IF(OR($B50="",$C50=""),"",$C50*$F50)</f>
        <v>0</v>
      </c>
      <c r="H50" s="27">
        <f>IF(OR($B50="",$C50=""),"",$C50*IFERROR(INDEX(PecCusto,MATCH($B50,PecCod,0)),0))</f>
        <v>0</v>
      </c>
      <c r="I50" s="32">
        <f>IF($A50="","",IFERROR(INDEX(OSStatus,MATCH($A50,OSNum,0)),"OS inexistente"))</f>
        <v>0</v>
      </c>
      <c r="J50" s="32">
        <f>IF($A50="","",IF($I50="OS inexistente","OS inexistente",IF($E50="Peça não cadastrada","Peça não cadastrada","OK")))</f>
        <v>0</v>
      </c>
    </row>
    <row r="51" spans="1:10">
      <c r="A51" s="17"/>
      <c r="B51" s="13"/>
      <c r="C51" s="20"/>
      <c r="D51" s="19"/>
      <c r="E51" s="26">
        <f>IF($B51="","",IFERROR(INDEX(PecDesc,MATCH($B51,PecCod,0)),"Peça não cadastrada"))</f>
        <v>0</v>
      </c>
      <c r="F51" s="27">
        <f>IF($B51="","",IF($D51&lt;&gt;"",$D51,IFERROR(INDEX(PecPreco,MATCH($B51,PecCod,0)),0)))</f>
        <v>0</v>
      </c>
      <c r="G51" s="27">
        <f>IF(OR($B51="",$C51=""),"",$C51*$F51)</f>
        <v>0</v>
      </c>
      <c r="H51" s="27">
        <f>IF(OR($B51="",$C51=""),"",$C51*IFERROR(INDEX(PecCusto,MATCH($B51,PecCod,0)),0))</f>
        <v>0</v>
      </c>
      <c r="I51" s="32">
        <f>IF($A51="","",IFERROR(INDEX(OSStatus,MATCH($A51,OSNum,0)),"OS inexistente"))</f>
        <v>0</v>
      </c>
      <c r="J51" s="32">
        <f>IF($A51="","",IF($I51="OS inexistente","OS inexistente",IF($E51="Peça não cadastrada","Peça não cadastrada","OK")))</f>
        <v>0</v>
      </c>
    </row>
    <row r="52" spans="1:10">
      <c r="A52" s="17"/>
      <c r="B52" s="13"/>
      <c r="C52" s="20"/>
      <c r="D52" s="19"/>
      <c r="E52" s="26">
        <f>IF($B52="","",IFERROR(INDEX(PecDesc,MATCH($B52,PecCod,0)),"Peça não cadastrada"))</f>
        <v>0</v>
      </c>
      <c r="F52" s="27">
        <f>IF($B52="","",IF($D52&lt;&gt;"",$D52,IFERROR(INDEX(PecPreco,MATCH($B52,PecCod,0)),0)))</f>
        <v>0</v>
      </c>
      <c r="G52" s="27">
        <f>IF(OR($B52="",$C52=""),"",$C52*$F52)</f>
        <v>0</v>
      </c>
      <c r="H52" s="27">
        <f>IF(OR($B52="",$C52=""),"",$C52*IFERROR(INDEX(PecCusto,MATCH($B52,PecCod,0)),0))</f>
        <v>0</v>
      </c>
      <c r="I52" s="32">
        <f>IF($A52="","",IFERROR(INDEX(OSStatus,MATCH($A52,OSNum,0)),"OS inexistente"))</f>
        <v>0</v>
      </c>
      <c r="J52" s="32">
        <f>IF($A52="","",IF($I52="OS inexistente","OS inexistente",IF($E52="Peça não cadastrada","Peça não cadastrada","OK")))</f>
        <v>0</v>
      </c>
    </row>
    <row r="53" spans="1:10">
      <c r="A53" s="17"/>
      <c r="B53" s="13"/>
      <c r="C53" s="20"/>
      <c r="D53" s="19"/>
      <c r="E53" s="26">
        <f>IF($B53="","",IFERROR(INDEX(PecDesc,MATCH($B53,PecCod,0)),"Peça não cadastrada"))</f>
        <v>0</v>
      </c>
      <c r="F53" s="27">
        <f>IF($B53="","",IF($D53&lt;&gt;"",$D53,IFERROR(INDEX(PecPreco,MATCH($B53,PecCod,0)),0)))</f>
        <v>0</v>
      </c>
      <c r="G53" s="27">
        <f>IF(OR($B53="",$C53=""),"",$C53*$F53)</f>
        <v>0</v>
      </c>
      <c r="H53" s="27">
        <f>IF(OR($B53="",$C53=""),"",$C53*IFERROR(INDEX(PecCusto,MATCH($B53,PecCod,0)),0))</f>
        <v>0</v>
      </c>
      <c r="I53" s="32">
        <f>IF($A53="","",IFERROR(INDEX(OSStatus,MATCH($A53,OSNum,0)),"OS inexistente"))</f>
        <v>0</v>
      </c>
      <c r="J53" s="32">
        <f>IF($A53="","",IF($I53="OS inexistente","OS inexistente",IF($E53="Peça não cadastrada","Peça não cadastrada","OK")))</f>
        <v>0</v>
      </c>
    </row>
    <row r="54" spans="1:10">
      <c r="A54" s="17"/>
      <c r="B54" s="13"/>
      <c r="C54" s="20"/>
      <c r="D54" s="19"/>
      <c r="E54" s="26">
        <f>IF($B54="","",IFERROR(INDEX(PecDesc,MATCH($B54,PecCod,0)),"Peça não cadastrada"))</f>
        <v>0</v>
      </c>
      <c r="F54" s="27">
        <f>IF($B54="","",IF($D54&lt;&gt;"",$D54,IFERROR(INDEX(PecPreco,MATCH($B54,PecCod,0)),0)))</f>
        <v>0</v>
      </c>
      <c r="G54" s="27">
        <f>IF(OR($B54="",$C54=""),"",$C54*$F54)</f>
        <v>0</v>
      </c>
      <c r="H54" s="27">
        <f>IF(OR($B54="",$C54=""),"",$C54*IFERROR(INDEX(PecCusto,MATCH($B54,PecCod,0)),0))</f>
        <v>0</v>
      </c>
      <c r="I54" s="32">
        <f>IF($A54="","",IFERROR(INDEX(OSStatus,MATCH($A54,OSNum,0)),"OS inexistente"))</f>
        <v>0</v>
      </c>
      <c r="J54" s="32">
        <f>IF($A54="","",IF($I54="OS inexistente","OS inexistente",IF($E54="Peça não cadastrada","Peça não cadastrada","OK")))</f>
        <v>0</v>
      </c>
    </row>
    <row r="55" spans="1:10">
      <c r="A55" s="17"/>
      <c r="B55" s="13"/>
      <c r="C55" s="20"/>
      <c r="D55" s="19"/>
      <c r="E55" s="26">
        <f>IF($B55="","",IFERROR(INDEX(PecDesc,MATCH($B55,PecCod,0)),"Peça não cadastrada"))</f>
        <v>0</v>
      </c>
      <c r="F55" s="27">
        <f>IF($B55="","",IF($D55&lt;&gt;"",$D55,IFERROR(INDEX(PecPreco,MATCH($B55,PecCod,0)),0)))</f>
        <v>0</v>
      </c>
      <c r="G55" s="27">
        <f>IF(OR($B55="",$C55=""),"",$C55*$F55)</f>
        <v>0</v>
      </c>
      <c r="H55" s="27">
        <f>IF(OR($B55="",$C55=""),"",$C55*IFERROR(INDEX(PecCusto,MATCH($B55,PecCod,0)),0))</f>
        <v>0</v>
      </c>
      <c r="I55" s="32">
        <f>IF($A55="","",IFERROR(INDEX(OSStatus,MATCH($A55,OSNum,0)),"OS inexistente"))</f>
        <v>0</v>
      </c>
      <c r="J55" s="32">
        <f>IF($A55="","",IF($I55="OS inexistente","OS inexistente",IF($E55="Peça não cadastrada","Peça não cadastrada","OK")))</f>
        <v>0</v>
      </c>
    </row>
    <row r="56" spans="1:10">
      <c r="A56" s="17"/>
      <c r="B56" s="13"/>
      <c r="C56" s="20"/>
      <c r="D56" s="19"/>
      <c r="E56" s="26">
        <f>IF($B56="","",IFERROR(INDEX(PecDesc,MATCH($B56,PecCod,0)),"Peça não cadastrada"))</f>
        <v>0</v>
      </c>
      <c r="F56" s="27">
        <f>IF($B56="","",IF($D56&lt;&gt;"",$D56,IFERROR(INDEX(PecPreco,MATCH($B56,PecCod,0)),0)))</f>
        <v>0</v>
      </c>
      <c r="G56" s="27">
        <f>IF(OR($B56="",$C56=""),"",$C56*$F56)</f>
        <v>0</v>
      </c>
      <c r="H56" s="27">
        <f>IF(OR($B56="",$C56=""),"",$C56*IFERROR(INDEX(PecCusto,MATCH($B56,PecCod,0)),0))</f>
        <v>0</v>
      </c>
      <c r="I56" s="32">
        <f>IF($A56="","",IFERROR(INDEX(OSStatus,MATCH($A56,OSNum,0)),"OS inexistente"))</f>
        <v>0</v>
      </c>
      <c r="J56" s="32">
        <f>IF($A56="","",IF($I56="OS inexistente","OS inexistente",IF($E56="Peça não cadastrada","Peça não cadastrada","OK")))</f>
        <v>0</v>
      </c>
    </row>
    <row r="57" spans="1:10">
      <c r="A57" s="17"/>
      <c r="B57" s="13"/>
      <c r="C57" s="20"/>
      <c r="D57" s="19"/>
      <c r="E57" s="26">
        <f>IF($B57="","",IFERROR(INDEX(PecDesc,MATCH($B57,PecCod,0)),"Peça não cadastrada"))</f>
        <v>0</v>
      </c>
      <c r="F57" s="27">
        <f>IF($B57="","",IF($D57&lt;&gt;"",$D57,IFERROR(INDEX(PecPreco,MATCH($B57,PecCod,0)),0)))</f>
        <v>0</v>
      </c>
      <c r="G57" s="27">
        <f>IF(OR($B57="",$C57=""),"",$C57*$F57)</f>
        <v>0</v>
      </c>
      <c r="H57" s="27">
        <f>IF(OR($B57="",$C57=""),"",$C57*IFERROR(INDEX(PecCusto,MATCH($B57,PecCod,0)),0))</f>
        <v>0</v>
      </c>
      <c r="I57" s="32">
        <f>IF($A57="","",IFERROR(INDEX(OSStatus,MATCH($A57,OSNum,0)),"OS inexistente"))</f>
        <v>0</v>
      </c>
      <c r="J57" s="32">
        <f>IF($A57="","",IF($I57="OS inexistente","OS inexistente",IF($E57="Peça não cadastrada","Peça não cadastrada","OK")))</f>
        <v>0</v>
      </c>
    </row>
    <row r="58" spans="1:10">
      <c r="A58" s="17"/>
      <c r="B58" s="13"/>
      <c r="C58" s="20"/>
      <c r="D58" s="19"/>
      <c r="E58" s="26">
        <f>IF($B58="","",IFERROR(INDEX(PecDesc,MATCH($B58,PecCod,0)),"Peça não cadastrada"))</f>
        <v>0</v>
      </c>
      <c r="F58" s="27">
        <f>IF($B58="","",IF($D58&lt;&gt;"",$D58,IFERROR(INDEX(PecPreco,MATCH($B58,PecCod,0)),0)))</f>
        <v>0</v>
      </c>
      <c r="G58" s="27">
        <f>IF(OR($B58="",$C58=""),"",$C58*$F58)</f>
        <v>0</v>
      </c>
      <c r="H58" s="27">
        <f>IF(OR($B58="",$C58=""),"",$C58*IFERROR(INDEX(PecCusto,MATCH($B58,PecCod,0)),0))</f>
        <v>0</v>
      </c>
      <c r="I58" s="32">
        <f>IF($A58="","",IFERROR(INDEX(OSStatus,MATCH($A58,OSNum,0)),"OS inexistente"))</f>
        <v>0</v>
      </c>
      <c r="J58" s="32">
        <f>IF($A58="","",IF($I58="OS inexistente","OS inexistente",IF($E58="Peça não cadastrada","Peça não cadastrada","OK")))</f>
        <v>0</v>
      </c>
    </row>
    <row r="59" spans="1:10">
      <c r="A59" s="17"/>
      <c r="B59" s="13"/>
      <c r="C59" s="20"/>
      <c r="D59" s="19"/>
      <c r="E59" s="26">
        <f>IF($B59="","",IFERROR(INDEX(PecDesc,MATCH($B59,PecCod,0)),"Peça não cadastrada"))</f>
        <v>0</v>
      </c>
      <c r="F59" s="27">
        <f>IF($B59="","",IF($D59&lt;&gt;"",$D59,IFERROR(INDEX(PecPreco,MATCH($B59,PecCod,0)),0)))</f>
        <v>0</v>
      </c>
      <c r="G59" s="27">
        <f>IF(OR($B59="",$C59=""),"",$C59*$F59)</f>
        <v>0</v>
      </c>
      <c r="H59" s="27">
        <f>IF(OR($B59="",$C59=""),"",$C59*IFERROR(INDEX(PecCusto,MATCH($B59,PecCod,0)),0))</f>
        <v>0</v>
      </c>
      <c r="I59" s="32">
        <f>IF($A59="","",IFERROR(INDEX(OSStatus,MATCH($A59,OSNum,0)),"OS inexistente"))</f>
        <v>0</v>
      </c>
      <c r="J59" s="32">
        <f>IF($A59="","",IF($I59="OS inexistente","OS inexistente",IF($E59="Peça não cadastrada","Peça não cadastrada","OK")))</f>
        <v>0</v>
      </c>
    </row>
    <row r="60" spans="1:10">
      <c r="A60" s="17"/>
      <c r="B60" s="13"/>
      <c r="C60" s="20"/>
      <c r="D60" s="19"/>
      <c r="E60" s="26">
        <f>IF($B60="","",IFERROR(INDEX(PecDesc,MATCH($B60,PecCod,0)),"Peça não cadastrada"))</f>
        <v>0</v>
      </c>
      <c r="F60" s="27">
        <f>IF($B60="","",IF($D60&lt;&gt;"",$D60,IFERROR(INDEX(PecPreco,MATCH($B60,PecCod,0)),0)))</f>
        <v>0</v>
      </c>
      <c r="G60" s="27">
        <f>IF(OR($B60="",$C60=""),"",$C60*$F60)</f>
        <v>0</v>
      </c>
      <c r="H60" s="27">
        <f>IF(OR($B60="",$C60=""),"",$C60*IFERROR(INDEX(PecCusto,MATCH($B60,PecCod,0)),0))</f>
        <v>0</v>
      </c>
      <c r="I60" s="32">
        <f>IF($A60="","",IFERROR(INDEX(OSStatus,MATCH($A60,OSNum,0)),"OS inexistente"))</f>
        <v>0</v>
      </c>
      <c r="J60" s="32">
        <f>IF($A60="","",IF($I60="OS inexistente","OS inexistente",IF($E60="Peça não cadastrada","Peça não cadastrada","OK")))</f>
        <v>0</v>
      </c>
    </row>
    <row r="61" spans="1:10">
      <c r="A61" s="17"/>
      <c r="B61" s="13"/>
      <c r="C61" s="20"/>
      <c r="D61" s="19"/>
      <c r="E61" s="26">
        <f>IF($B61="","",IFERROR(INDEX(PecDesc,MATCH($B61,PecCod,0)),"Peça não cadastrada"))</f>
        <v>0</v>
      </c>
      <c r="F61" s="27">
        <f>IF($B61="","",IF($D61&lt;&gt;"",$D61,IFERROR(INDEX(PecPreco,MATCH($B61,PecCod,0)),0)))</f>
        <v>0</v>
      </c>
      <c r="G61" s="27">
        <f>IF(OR($B61="",$C61=""),"",$C61*$F61)</f>
        <v>0</v>
      </c>
      <c r="H61" s="27">
        <f>IF(OR($B61="",$C61=""),"",$C61*IFERROR(INDEX(PecCusto,MATCH($B61,PecCod,0)),0))</f>
        <v>0</v>
      </c>
      <c r="I61" s="32">
        <f>IF($A61="","",IFERROR(INDEX(OSStatus,MATCH($A61,OSNum,0)),"OS inexistente"))</f>
        <v>0</v>
      </c>
      <c r="J61" s="32">
        <f>IF($A61="","",IF($I61="OS inexistente","OS inexistente",IF($E61="Peça não cadastrada","Peça não cadastrada","OK")))</f>
        <v>0</v>
      </c>
    </row>
    <row r="62" spans="1:10">
      <c r="A62" s="17"/>
      <c r="B62" s="13"/>
      <c r="C62" s="20"/>
      <c r="D62" s="19"/>
      <c r="E62" s="26">
        <f>IF($B62="","",IFERROR(INDEX(PecDesc,MATCH($B62,PecCod,0)),"Peça não cadastrada"))</f>
        <v>0</v>
      </c>
      <c r="F62" s="27">
        <f>IF($B62="","",IF($D62&lt;&gt;"",$D62,IFERROR(INDEX(PecPreco,MATCH($B62,PecCod,0)),0)))</f>
        <v>0</v>
      </c>
      <c r="G62" s="27">
        <f>IF(OR($B62="",$C62=""),"",$C62*$F62)</f>
        <v>0</v>
      </c>
      <c r="H62" s="27">
        <f>IF(OR($B62="",$C62=""),"",$C62*IFERROR(INDEX(PecCusto,MATCH($B62,PecCod,0)),0))</f>
        <v>0</v>
      </c>
      <c r="I62" s="32">
        <f>IF($A62="","",IFERROR(INDEX(OSStatus,MATCH($A62,OSNum,0)),"OS inexistente"))</f>
        <v>0</v>
      </c>
      <c r="J62" s="32">
        <f>IF($A62="","",IF($I62="OS inexistente","OS inexistente",IF($E62="Peça não cadastrada","Peça não cadastrada","OK")))</f>
        <v>0</v>
      </c>
    </row>
    <row r="63" spans="1:10">
      <c r="A63" s="17"/>
      <c r="B63" s="13"/>
      <c r="C63" s="20"/>
      <c r="D63" s="19"/>
      <c r="E63" s="26">
        <f>IF($B63="","",IFERROR(INDEX(PecDesc,MATCH($B63,PecCod,0)),"Peça não cadastrada"))</f>
        <v>0</v>
      </c>
      <c r="F63" s="27">
        <f>IF($B63="","",IF($D63&lt;&gt;"",$D63,IFERROR(INDEX(PecPreco,MATCH($B63,PecCod,0)),0)))</f>
        <v>0</v>
      </c>
      <c r="G63" s="27">
        <f>IF(OR($B63="",$C63=""),"",$C63*$F63)</f>
        <v>0</v>
      </c>
      <c r="H63" s="27">
        <f>IF(OR($B63="",$C63=""),"",$C63*IFERROR(INDEX(PecCusto,MATCH($B63,PecCod,0)),0))</f>
        <v>0</v>
      </c>
      <c r="I63" s="32">
        <f>IF($A63="","",IFERROR(INDEX(OSStatus,MATCH($A63,OSNum,0)),"OS inexistente"))</f>
        <v>0</v>
      </c>
      <c r="J63" s="32">
        <f>IF($A63="","",IF($I63="OS inexistente","OS inexistente",IF($E63="Peça não cadastrada","Peça não cadastrada","OK")))</f>
        <v>0</v>
      </c>
    </row>
    <row r="64" spans="1:10">
      <c r="A64" s="17"/>
      <c r="B64" s="13"/>
      <c r="C64" s="20"/>
      <c r="D64" s="19"/>
      <c r="E64" s="26">
        <f>IF($B64="","",IFERROR(INDEX(PecDesc,MATCH($B64,PecCod,0)),"Peça não cadastrada"))</f>
        <v>0</v>
      </c>
      <c r="F64" s="27">
        <f>IF($B64="","",IF($D64&lt;&gt;"",$D64,IFERROR(INDEX(PecPreco,MATCH($B64,PecCod,0)),0)))</f>
        <v>0</v>
      </c>
      <c r="G64" s="27">
        <f>IF(OR($B64="",$C64=""),"",$C64*$F64)</f>
        <v>0</v>
      </c>
      <c r="H64" s="27">
        <f>IF(OR($B64="",$C64=""),"",$C64*IFERROR(INDEX(PecCusto,MATCH($B64,PecCod,0)),0))</f>
        <v>0</v>
      </c>
      <c r="I64" s="32">
        <f>IF($A64="","",IFERROR(INDEX(OSStatus,MATCH($A64,OSNum,0)),"OS inexistente"))</f>
        <v>0</v>
      </c>
      <c r="J64" s="32">
        <f>IF($A64="","",IF($I64="OS inexistente","OS inexistente",IF($E64="Peça não cadastrada","Peça não cadastrada","OK")))</f>
        <v>0</v>
      </c>
    </row>
    <row r="65" spans="1:10">
      <c r="A65" s="17"/>
      <c r="B65" s="13"/>
      <c r="C65" s="20"/>
      <c r="D65" s="19"/>
      <c r="E65" s="26">
        <f>IF($B65="","",IFERROR(INDEX(PecDesc,MATCH($B65,PecCod,0)),"Peça não cadastrada"))</f>
        <v>0</v>
      </c>
      <c r="F65" s="27">
        <f>IF($B65="","",IF($D65&lt;&gt;"",$D65,IFERROR(INDEX(PecPreco,MATCH($B65,PecCod,0)),0)))</f>
        <v>0</v>
      </c>
      <c r="G65" s="27">
        <f>IF(OR($B65="",$C65=""),"",$C65*$F65)</f>
        <v>0</v>
      </c>
      <c r="H65" s="27">
        <f>IF(OR($B65="",$C65=""),"",$C65*IFERROR(INDEX(PecCusto,MATCH($B65,PecCod,0)),0))</f>
        <v>0</v>
      </c>
      <c r="I65" s="32">
        <f>IF($A65="","",IFERROR(INDEX(OSStatus,MATCH($A65,OSNum,0)),"OS inexistente"))</f>
        <v>0</v>
      </c>
      <c r="J65" s="32">
        <f>IF($A65="","",IF($I65="OS inexistente","OS inexistente",IF($E65="Peça não cadastrada","Peça não cadastrada","OK")))</f>
        <v>0</v>
      </c>
    </row>
    <row r="66" spans="1:10">
      <c r="A66" s="17"/>
      <c r="B66" s="13"/>
      <c r="C66" s="20"/>
      <c r="D66" s="19"/>
      <c r="E66" s="26">
        <f>IF($B66="","",IFERROR(INDEX(PecDesc,MATCH($B66,PecCod,0)),"Peça não cadastrada"))</f>
        <v>0</v>
      </c>
      <c r="F66" s="27">
        <f>IF($B66="","",IF($D66&lt;&gt;"",$D66,IFERROR(INDEX(PecPreco,MATCH($B66,PecCod,0)),0)))</f>
        <v>0</v>
      </c>
      <c r="G66" s="27">
        <f>IF(OR($B66="",$C66=""),"",$C66*$F66)</f>
        <v>0</v>
      </c>
      <c r="H66" s="27">
        <f>IF(OR($B66="",$C66=""),"",$C66*IFERROR(INDEX(PecCusto,MATCH($B66,PecCod,0)),0))</f>
        <v>0</v>
      </c>
      <c r="I66" s="32">
        <f>IF($A66="","",IFERROR(INDEX(OSStatus,MATCH($A66,OSNum,0)),"OS inexistente"))</f>
        <v>0</v>
      </c>
      <c r="J66" s="32">
        <f>IF($A66="","",IF($I66="OS inexistente","OS inexistente",IF($E66="Peça não cadastrada","Peça não cadastrada","OK")))</f>
        <v>0</v>
      </c>
    </row>
    <row r="67" spans="1:10">
      <c r="A67" s="17"/>
      <c r="B67" s="13"/>
      <c r="C67" s="20"/>
      <c r="D67" s="19"/>
      <c r="E67" s="26">
        <f>IF($B67="","",IFERROR(INDEX(PecDesc,MATCH($B67,PecCod,0)),"Peça não cadastrada"))</f>
        <v>0</v>
      </c>
      <c r="F67" s="27">
        <f>IF($B67="","",IF($D67&lt;&gt;"",$D67,IFERROR(INDEX(PecPreco,MATCH($B67,PecCod,0)),0)))</f>
        <v>0</v>
      </c>
      <c r="G67" s="27">
        <f>IF(OR($B67="",$C67=""),"",$C67*$F67)</f>
        <v>0</v>
      </c>
      <c r="H67" s="27">
        <f>IF(OR($B67="",$C67=""),"",$C67*IFERROR(INDEX(PecCusto,MATCH($B67,PecCod,0)),0))</f>
        <v>0</v>
      </c>
      <c r="I67" s="32">
        <f>IF($A67="","",IFERROR(INDEX(OSStatus,MATCH($A67,OSNum,0)),"OS inexistente"))</f>
        <v>0</v>
      </c>
      <c r="J67" s="32">
        <f>IF($A67="","",IF($I67="OS inexistente","OS inexistente",IF($E67="Peça não cadastrada","Peça não cadastrada","OK")))</f>
        <v>0</v>
      </c>
    </row>
    <row r="68" spans="1:10">
      <c r="A68" s="17"/>
      <c r="B68" s="13"/>
      <c r="C68" s="20"/>
      <c r="D68" s="19"/>
      <c r="E68" s="26">
        <f>IF($B68="","",IFERROR(INDEX(PecDesc,MATCH($B68,PecCod,0)),"Peça não cadastrada"))</f>
        <v>0</v>
      </c>
      <c r="F68" s="27">
        <f>IF($B68="","",IF($D68&lt;&gt;"",$D68,IFERROR(INDEX(PecPreco,MATCH($B68,PecCod,0)),0)))</f>
        <v>0</v>
      </c>
      <c r="G68" s="27">
        <f>IF(OR($B68="",$C68=""),"",$C68*$F68)</f>
        <v>0</v>
      </c>
      <c r="H68" s="27">
        <f>IF(OR($B68="",$C68=""),"",$C68*IFERROR(INDEX(PecCusto,MATCH($B68,PecCod,0)),0))</f>
        <v>0</v>
      </c>
      <c r="I68" s="32">
        <f>IF($A68="","",IFERROR(INDEX(OSStatus,MATCH($A68,OSNum,0)),"OS inexistente"))</f>
        <v>0</v>
      </c>
      <c r="J68" s="32">
        <f>IF($A68="","",IF($I68="OS inexistente","OS inexistente",IF($E68="Peça não cadastrada","Peça não cadastrada","OK")))</f>
        <v>0</v>
      </c>
    </row>
    <row r="69" spans="1:10">
      <c r="A69" s="17"/>
      <c r="B69" s="13"/>
      <c r="C69" s="20"/>
      <c r="D69" s="19"/>
      <c r="E69" s="26">
        <f>IF($B69="","",IFERROR(INDEX(PecDesc,MATCH($B69,PecCod,0)),"Peça não cadastrada"))</f>
        <v>0</v>
      </c>
      <c r="F69" s="27">
        <f>IF($B69="","",IF($D69&lt;&gt;"",$D69,IFERROR(INDEX(PecPreco,MATCH($B69,PecCod,0)),0)))</f>
        <v>0</v>
      </c>
      <c r="G69" s="27">
        <f>IF(OR($B69="",$C69=""),"",$C69*$F69)</f>
        <v>0</v>
      </c>
      <c r="H69" s="27">
        <f>IF(OR($B69="",$C69=""),"",$C69*IFERROR(INDEX(PecCusto,MATCH($B69,PecCod,0)),0))</f>
        <v>0</v>
      </c>
      <c r="I69" s="32">
        <f>IF($A69="","",IFERROR(INDEX(OSStatus,MATCH($A69,OSNum,0)),"OS inexistente"))</f>
        <v>0</v>
      </c>
      <c r="J69" s="32">
        <f>IF($A69="","",IF($I69="OS inexistente","OS inexistente",IF($E69="Peça não cadastrada","Peça não cadastrada","OK")))</f>
        <v>0</v>
      </c>
    </row>
    <row r="70" spans="1:10">
      <c r="A70" s="17"/>
      <c r="B70" s="13"/>
      <c r="C70" s="20"/>
      <c r="D70" s="19"/>
      <c r="E70" s="26">
        <f>IF($B70="","",IFERROR(INDEX(PecDesc,MATCH($B70,PecCod,0)),"Peça não cadastrada"))</f>
        <v>0</v>
      </c>
      <c r="F70" s="27">
        <f>IF($B70="","",IF($D70&lt;&gt;"",$D70,IFERROR(INDEX(PecPreco,MATCH($B70,PecCod,0)),0)))</f>
        <v>0</v>
      </c>
      <c r="G70" s="27">
        <f>IF(OR($B70="",$C70=""),"",$C70*$F70)</f>
        <v>0</v>
      </c>
      <c r="H70" s="27">
        <f>IF(OR($B70="",$C70=""),"",$C70*IFERROR(INDEX(PecCusto,MATCH($B70,PecCod,0)),0))</f>
        <v>0</v>
      </c>
      <c r="I70" s="32">
        <f>IF($A70="","",IFERROR(INDEX(OSStatus,MATCH($A70,OSNum,0)),"OS inexistente"))</f>
        <v>0</v>
      </c>
      <c r="J70" s="32">
        <f>IF($A70="","",IF($I70="OS inexistente","OS inexistente",IF($E70="Peça não cadastrada","Peça não cadastrada","OK")))</f>
        <v>0</v>
      </c>
    </row>
    <row r="71" spans="1:10">
      <c r="A71" s="17"/>
      <c r="B71" s="13"/>
      <c r="C71" s="20"/>
      <c r="D71" s="19"/>
      <c r="E71" s="26">
        <f>IF($B71="","",IFERROR(INDEX(PecDesc,MATCH($B71,PecCod,0)),"Peça não cadastrada"))</f>
        <v>0</v>
      </c>
      <c r="F71" s="27">
        <f>IF($B71="","",IF($D71&lt;&gt;"",$D71,IFERROR(INDEX(PecPreco,MATCH($B71,PecCod,0)),0)))</f>
        <v>0</v>
      </c>
      <c r="G71" s="27">
        <f>IF(OR($B71="",$C71=""),"",$C71*$F71)</f>
        <v>0</v>
      </c>
      <c r="H71" s="27">
        <f>IF(OR($B71="",$C71=""),"",$C71*IFERROR(INDEX(PecCusto,MATCH($B71,PecCod,0)),0))</f>
        <v>0</v>
      </c>
      <c r="I71" s="32">
        <f>IF($A71="","",IFERROR(INDEX(OSStatus,MATCH($A71,OSNum,0)),"OS inexistente"))</f>
        <v>0</v>
      </c>
      <c r="J71" s="32">
        <f>IF($A71="","",IF($I71="OS inexistente","OS inexistente",IF($E71="Peça não cadastrada","Peça não cadastrada","OK")))</f>
        <v>0</v>
      </c>
    </row>
    <row r="72" spans="1:10">
      <c r="A72" s="17"/>
      <c r="B72" s="13"/>
      <c r="C72" s="20"/>
      <c r="D72" s="19"/>
      <c r="E72" s="26">
        <f>IF($B72="","",IFERROR(INDEX(PecDesc,MATCH($B72,PecCod,0)),"Peça não cadastrada"))</f>
        <v>0</v>
      </c>
      <c r="F72" s="27">
        <f>IF($B72="","",IF($D72&lt;&gt;"",$D72,IFERROR(INDEX(PecPreco,MATCH($B72,PecCod,0)),0)))</f>
        <v>0</v>
      </c>
      <c r="G72" s="27">
        <f>IF(OR($B72="",$C72=""),"",$C72*$F72)</f>
        <v>0</v>
      </c>
      <c r="H72" s="27">
        <f>IF(OR($B72="",$C72=""),"",$C72*IFERROR(INDEX(PecCusto,MATCH($B72,PecCod,0)),0))</f>
        <v>0</v>
      </c>
      <c r="I72" s="32">
        <f>IF($A72="","",IFERROR(INDEX(OSStatus,MATCH($A72,OSNum,0)),"OS inexistente"))</f>
        <v>0</v>
      </c>
      <c r="J72" s="32">
        <f>IF($A72="","",IF($I72="OS inexistente","OS inexistente",IF($E72="Peça não cadastrada","Peça não cadastrada","OK")))</f>
        <v>0</v>
      </c>
    </row>
    <row r="73" spans="1:10">
      <c r="A73" s="17"/>
      <c r="B73" s="13"/>
      <c r="C73" s="20"/>
      <c r="D73" s="19"/>
      <c r="E73" s="26">
        <f>IF($B73="","",IFERROR(INDEX(PecDesc,MATCH($B73,PecCod,0)),"Peça não cadastrada"))</f>
        <v>0</v>
      </c>
      <c r="F73" s="27">
        <f>IF($B73="","",IF($D73&lt;&gt;"",$D73,IFERROR(INDEX(PecPreco,MATCH($B73,PecCod,0)),0)))</f>
        <v>0</v>
      </c>
      <c r="G73" s="27">
        <f>IF(OR($B73="",$C73=""),"",$C73*$F73)</f>
        <v>0</v>
      </c>
      <c r="H73" s="27">
        <f>IF(OR($B73="",$C73=""),"",$C73*IFERROR(INDEX(PecCusto,MATCH($B73,PecCod,0)),0))</f>
        <v>0</v>
      </c>
      <c r="I73" s="32">
        <f>IF($A73="","",IFERROR(INDEX(OSStatus,MATCH($A73,OSNum,0)),"OS inexistente"))</f>
        <v>0</v>
      </c>
      <c r="J73" s="32">
        <f>IF($A73="","",IF($I73="OS inexistente","OS inexistente",IF($E73="Peça não cadastrada","Peça não cadastrada","OK")))</f>
        <v>0</v>
      </c>
    </row>
    <row r="74" spans="1:10">
      <c r="A74" s="17"/>
      <c r="B74" s="13"/>
      <c r="C74" s="20"/>
      <c r="D74" s="19"/>
      <c r="E74" s="26">
        <f>IF($B74="","",IFERROR(INDEX(PecDesc,MATCH($B74,PecCod,0)),"Peça não cadastrada"))</f>
        <v>0</v>
      </c>
      <c r="F74" s="27">
        <f>IF($B74="","",IF($D74&lt;&gt;"",$D74,IFERROR(INDEX(PecPreco,MATCH($B74,PecCod,0)),0)))</f>
        <v>0</v>
      </c>
      <c r="G74" s="27">
        <f>IF(OR($B74="",$C74=""),"",$C74*$F74)</f>
        <v>0</v>
      </c>
      <c r="H74" s="27">
        <f>IF(OR($B74="",$C74=""),"",$C74*IFERROR(INDEX(PecCusto,MATCH($B74,PecCod,0)),0))</f>
        <v>0</v>
      </c>
      <c r="I74" s="32">
        <f>IF($A74="","",IFERROR(INDEX(OSStatus,MATCH($A74,OSNum,0)),"OS inexistente"))</f>
        <v>0</v>
      </c>
      <c r="J74" s="32">
        <f>IF($A74="","",IF($I74="OS inexistente","OS inexistente",IF($E74="Peça não cadastrada","Peça não cadastrada","OK")))</f>
        <v>0</v>
      </c>
    </row>
    <row r="75" spans="1:10">
      <c r="A75" s="17"/>
      <c r="B75" s="13"/>
      <c r="C75" s="20"/>
      <c r="D75" s="19"/>
      <c r="E75" s="26">
        <f>IF($B75="","",IFERROR(INDEX(PecDesc,MATCH($B75,PecCod,0)),"Peça não cadastrada"))</f>
        <v>0</v>
      </c>
      <c r="F75" s="27">
        <f>IF($B75="","",IF($D75&lt;&gt;"",$D75,IFERROR(INDEX(PecPreco,MATCH($B75,PecCod,0)),0)))</f>
        <v>0</v>
      </c>
      <c r="G75" s="27">
        <f>IF(OR($B75="",$C75=""),"",$C75*$F75)</f>
        <v>0</v>
      </c>
      <c r="H75" s="27">
        <f>IF(OR($B75="",$C75=""),"",$C75*IFERROR(INDEX(PecCusto,MATCH($B75,PecCod,0)),0))</f>
        <v>0</v>
      </c>
      <c r="I75" s="32">
        <f>IF($A75="","",IFERROR(INDEX(OSStatus,MATCH($A75,OSNum,0)),"OS inexistente"))</f>
        <v>0</v>
      </c>
      <c r="J75" s="32">
        <f>IF($A75="","",IF($I75="OS inexistente","OS inexistente",IF($E75="Peça não cadastrada","Peça não cadastrada","OK")))</f>
        <v>0</v>
      </c>
    </row>
    <row r="76" spans="1:10">
      <c r="A76" s="17"/>
      <c r="B76" s="13"/>
      <c r="C76" s="20"/>
      <c r="D76" s="19"/>
      <c r="E76" s="26">
        <f>IF($B76="","",IFERROR(INDEX(PecDesc,MATCH($B76,PecCod,0)),"Peça não cadastrada"))</f>
        <v>0</v>
      </c>
      <c r="F76" s="27">
        <f>IF($B76="","",IF($D76&lt;&gt;"",$D76,IFERROR(INDEX(PecPreco,MATCH($B76,PecCod,0)),0)))</f>
        <v>0</v>
      </c>
      <c r="G76" s="27">
        <f>IF(OR($B76="",$C76=""),"",$C76*$F76)</f>
        <v>0</v>
      </c>
      <c r="H76" s="27">
        <f>IF(OR($B76="",$C76=""),"",$C76*IFERROR(INDEX(PecCusto,MATCH($B76,PecCod,0)),0))</f>
        <v>0</v>
      </c>
      <c r="I76" s="32">
        <f>IF($A76="","",IFERROR(INDEX(OSStatus,MATCH($A76,OSNum,0)),"OS inexistente"))</f>
        <v>0</v>
      </c>
      <c r="J76" s="32">
        <f>IF($A76="","",IF($I76="OS inexistente","OS inexistente",IF($E76="Peça não cadastrada","Peça não cadastrada","OK")))</f>
        <v>0</v>
      </c>
    </row>
    <row r="77" spans="1:10">
      <c r="A77" s="17"/>
      <c r="B77" s="13"/>
      <c r="C77" s="20"/>
      <c r="D77" s="19"/>
      <c r="E77" s="26">
        <f>IF($B77="","",IFERROR(INDEX(PecDesc,MATCH($B77,PecCod,0)),"Peça não cadastrada"))</f>
        <v>0</v>
      </c>
      <c r="F77" s="27">
        <f>IF($B77="","",IF($D77&lt;&gt;"",$D77,IFERROR(INDEX(PecPreco,MATCH($B77,PecCod,0)),0)))</f>
        <v>0</v>
      </c>
      <c r="G77" s="27">
        <f>IF(OR($B77="",$C77=""),"",$C77*$F77)</f>
        <v>0</v>
      </c>
      <c r="H77" s="27">
        <f>IF(OR($B77="",$C77=""),"",$C77*IFERROR(INDEX(PecCusto,MATCH($B77,PecCod,0)),0))</f>
        <v>0</v>
      </c>
      <c r="I77" s="32">
        <f>IF($A77="","",IFERROR(INDEX(OSStatus,MATCH($A77,OSNum,0)),"OS inexistente"))</f>
        <v>0</v>
      </c>
      <c r="J77" s="32">
        <f>IF($A77="","",IF($I77="OS inexistente","OS inexistente",IF($E77="Peça não cadastrada","Peça não cadastrada","OK")))</f>
        <v>0</v>
      </c>
    </row>
    <row r="78" spans="1:10">
      <c r="A78" s="17"/>
      <c r="B78" s="13"/>
      <c r="C78" s="20"/>
      <c r="D78" s="19"/>
      <c r="E78" s="26">
        <f>IF($B78="","",IFERROR(INDEX(PecDesc,MATCH($B78,PecCod,0)),"Peça não cadastrada"))</f>
        <v>0</v>
      </c>
      <c r="F78" s="27">
        <f>IF($B78="","",IF($D78&lt;&gt;"",$D78,IFERROR(INDEX(PecPreco,MATCH($B78,PecCod,0)),0)))</f>
        <v>0</v>
      </c>
      <c r="G78" s="27">
        <f>IF(OR($B78="",$C78=""),"",$C78*$F78)</f>
        <v>0</v>
      </c>
      <c r="H78" s="27">
        <f>IF(OR($B78="",$C78=""),"",$C78*IFERROR(INDEX(PecCusto,MATCH($B78,PecCod,0)),0))</f>
        <v>0</v>
      </c>
      <c r="I78" s="32">
        <f>IF($A78="","",IFERROR(INDEX(OSStatus,MATCH($A78,OSNum,0)),"OS inexistente"))</f>
        <v>0</v>
      </c>
      <c r="J78" s="32">
        <f>IF($A78="","",IF($I78="OS inexistente","OS inexistente",IF($E78="Peça não cadastrada","Peça não cadastrada","OK")))</f>
        <v>0</v>
      </c>
    </row>
    <row r="79" spans="1:10">
      <c r="A79" s="17"/>
      <c r="B79" s="13"/>
      <c r="C79" s="20"/>
      <c r="D79" s="19"/>
      <c r="E79" s="26">
        <f>IF($B79="","",IFERROR(INDEX(PecDesc,MATCH($B79,PecCod,0)),"Peça não cadastrada"))</f>
        <v>0</v>
      </c>
      <c r="F79" s="27">
        <f>IF($B79="","",IF($D79&lt;&gt;"",$D79,IFERROR(INDEX(PecPreco,MATCH($B79,PecCod,0)),0)))</f>
        <v>0</v>
      </c>
      <c r="G79" s="27">
        <f>IF(OR($B79="",$C79=""),"",$C79*$F79)</f>
        <v>0</v>
      </c>
      <c r="H79" s="27">
        <f>IF(OR($B79="",$C79=""),"",$C79*IFERROR(INDEX(PecCusto,MATCH($B79,PecCod,0)),0))</f>
        <v>0</v>
      </c>
      <c r="I79" s="32">
        <f>IF($A79="","",IFERROR(INDEX(OSStatus,MATCH($A79,OSNum,0)),"OS inexistente"))</f>
        <v>0</v>
      </c>
      <c r="J79" s="32">
        <f>IF($A79="","",IF($I79="OS inexistente","OS inexistente",IF($E79="Peça não cadastrada","Peça não cadastrada","OK")))</f>
        <v>0</v>
      </c>
    </row>
    <row r="80" spans="1:10">
      <c r="A80" s="17"/>
      <c r="B80" s="13"/>
      <c r="C80" s="20"/>
      <c r="D80" s="19"/>
      <c r="E80" s="26">
        <f>IF($B80="","",IFERROR(INDEX(PecDesc,MATCH($B80,PecCod,0)),"Peça não cadastrada"))</f>
        <v>0</v>
      </c>
      <c r="F80" s="27">
        <f>IF($B80="","",IF($D80&lt;&gt;"",$D80,IFERROR(INDEX(PecPreco,MATCH($B80,PecCod,0)),0)))</f>
        <v>0</v>
      </c>
      <c r="G80" s="27">
        <f>IF(OR($B80="",$C80=""),"",$C80*$F80)</f>
        <v>0</v>
      </c>
      <c r="H80" s="27">
        <f>IF(OR($B80="",$C80=""),"",$C80*IFERROR(INDEX(PecCusto,MATCH($B80,PecCod,0)),0))</f>
        <v>0</v>
      </c>
      <c r="I80" s="32">
        <f>IF($A80="","",IFERROR(INDEX(OSStatus,MATCH($A80,OSNum,0)),"OS inexistente"))</f>
        <v>0</v>
      </c>
      <c r="J80" s="32">
        <f>IF($A80="","",IF($I80="OS inexistente","OS inexistente",IF($E80="Peça não cadastrada","Peça não cadastrada","OK")))</f>
        <v>0</v>
      </c>
    </row>
    <row r="81" spans="1:10">
      <c r="A81" s="17"/>
      <c r="B81" s="13"/>
      <c r="C81" s="20"/>
      <c r="D81" s="19"/>
      <c r="E81" s="26">
        <f>IF($B81="","",IFERROR(INDEX(PecDesc,MATCH($B81,PecCod,0)),"Peça não cadastrada"))</f>
        <v>0</v>
      </c>
      <c r="F81" s="27">
        <f>IF($B81="","",IF($D81&lt;&gt;"",$D81,IFERROR(INDEX(PecPreco,MATCH($B81,PecCod,0)),0)))</f>
        <v>0</v>
      </c>
      <c r="G81" s="27">
        <f>IF(OR($B81="",$C81=""),"",$C81*$F81)</f>
        <v>0</v>
      </c>
      <c r="H81" s="27">
        <f>IF(OR($B81="",$C81=""),"",$C81*IFERROR(INDEX(PecCusto,MATCH($B81,PecCod,0)),0))</f>
        <v>0</v>
      </c>
      <c r="I81" s="32">
        <f>IF($A81="","",IFERROR(INDEX(OSStatus,MATCH($A81,OSNum,0)),"OS inexistente"))</f>
        <v>0</v>
      </c>
      <c r="J81" s="32">
        <f>IF($A81="","",IF($I81="OS inexistente","OS inexistente",IF($E81="Peça não cadastrada","Peça não cadastrada","OK")))</f>
        <v>0</v>
      </c>
    </row>
    <row r="82" spans="1:10">
      <c r="A82" s="17"/>
      <c r="B82" s="13"/>
      <c r="C82" s="20"/>
      <c r="D82" s="19"/>
      <c r="E82" s="26">
        <f>IF($B82="","",IFERROR(INDEX(PecDesc,MATCH($B82,PecCod,0)),"Peça não cadastrada"))</f>
        <v>0</v>
      </c>
      <c r="F82" s="27">
        <f>IF($B82="","",IF($D82&lt;&gt;"",$D82,IFERROR(INDEX(PecPreco,MATCH($B82,PecCod,0)),0)))</f>
        <v>0</v>
      </c>
      <c r="G82" s="27">
        <f>IF(OR($B82="",$C82=""),"",$C82*$F82)</f>
        <v>0</v>
      </c>
      <c r="H82" s="27">
        <f>IF(OR($B82="",$C82=""),"",$C82*IFERROR(INDEX(PecCusto,MATCH($B82,PecCod,0)),0))</f>
        <v>0</v>
      </c>
      <c r="I82" s="32">
        <f>IF($A82="","",IFERROR(INDEX(OSStatus,MATCH($A82,OSNum,0)),"OS inexistente"))</f>
        <v>0</v>
      </c>
      <c r="J82" s="32">
        <f>IF($A82="","",IF($I82="OS inexistente","OS inexistente",IF($E82="Peça não cadastrada","Peça não cadastrada","OK")))</f>
        <v>0</v>
      </c>
    </row>
    <row r="83" spans="1:10">
      <c r="A83" s="17"/>
      <c r="B83" s="13"/>
      <c r="C83" s="20"/>
      <c r="D83" s="19"/>
      <c r="E83" s="26">
        <f>IF($B83="","",IFERROR(INDEX(PecDesc,MATCH($B83,PecCod,0)),"Peça não cadastrada"))</f>
        <v>0</v>
      </c>
      <c r="F83" s="27">
        <f>IF($B83="","",IF($D83&lt;&gt;"",$D83,IFERROR(INDEX(PecPreco,MATCH($B83,PecCod,0)),0)))</f>
        <v>0</v>
      </c>
      <c r="G83" s="27">
        <f>IF(OR($B83="",$C83=""),"",$C83*$F83)</f>
        <v>0</v>
      </c>
      <c r="H83" s="27">
        <f>IF(OR($B83="",$C83=""),"",$C83*IFERROR(INDEX(PecCusto,MATCH($B83,PecCod,0)),0))</f>
        <v>0</v>
      </c>
      <c r="I83" s="32">
        <f>IF($A83="","",IFERROR(INDEX(OSStatus,MATCH($A83,OSNum,0)),"OS inexistente"))</f>
        <v>0</v>
      </c>
      <c r="J83" s="32">
        <f>IF($A83="","",IF($I83="OS inexistente","OS inexistente",IF($E83="Peça não cadastrada","Peça não cadastrada","OK")))</f>
        <v>0</v>
      </c>
    </row>
    <row r="84" spans="1:10">
      <c r="A84" s="17"/>
      <c r="B84" s="13"/>
      <c r="C84" s="20"/>
      <c r="D84" s="19"/>
      <c r="E84" s="26">
        <f>IF($B84="","",IFERROR(INDEX(PecDesc,MATCH($B84,PecCod,0)),"Peça não cadastrada"))</f>
        <v>0</v>
      </c>
      <c r="F84" s="27">
        <f>IF($B84="","",IF($D84&lt;&gt;"",$D84,IFERROR(INDEX(PecPreco,MATCH($B84,PecCod,0)),0)))</f>
        <v>0</v>
      </c>
      <c r="G84" s="27">
        <f>IF(OR($B84="",$C84=""),"",$C84*$F84)</f>
        <v>0</v>
      </c>
      <c r="H84" s="27">
        <f>IF(OR($B84="",$C84=""),"",$C84*IFERROR(INDEX(PecCusto,MATCH($B84,PecCod,0)),0))</f>
        <v>0</v>
      </c>
      <c r="I84" s="32">
        <f>IF($A84="","",IFERROR(INDEX(OSStatus,MATCH($A84,OSNum,0)),"OS inexistente"))</f>
        <v>0</v>
      </c>
      <c r="J84" s="32">
        <f>IF($A84="","",IF($I84="OS inexistente","OS inexistente",IF($E84="Peça não cadastrada","Peça não cadastrada","OK")))</f>
        <v>0</v>
      </c>
    </row>
    <row r="85" spans="1:10">
      <c r="A85" s="17"/>
      <c r="B85" s="13"/>
      <c r="C85" s="20"/>
      <c r="D85" s="19"/>
      <c r="E85" s="26">
        <f>IF($B85="","",IFERROR(INDEX(PecDesc,MATCH($B85,PecCod,0)),"Peça não cadastrada"))</f>
        <v>0</v>
      </c>
      <c r="F85" s="27">
        <f>IF($B85="","",IF($D85&lt;&gt;"",$D85,IFERROR(INDEX(PecPreco,MATCH($B85,PecCod,0)),0)))</f>
        <v>0</v>
      </c>
      <c r="G85" s="27">
        <f>IF(OR($B85="",$C85=""),"",$C85*$F85)</f>
        <v>0</v>
      </c>
      <c r="H85" s="27">
        <f>IF(OR($B85="",$C85=""),"",$C85*IFERROR(INDEX(PecCusto,MATCH($B85,PecCod,0)),0))</f>
        <v>0</v>
      </c>
      <c r="I85" s="32">
        <f>IF($A85="","",IFERROR(INDEX(OSStatus,MATCH($A85,OSNum,0)),"OS inexistente"))</f>
        <v>0</v>
      </c>
      <c r="J85" s="32">
        <f>IF($A85="","",IF($I85="OS inexistente","OS inexistente",IF($E85="Peça não cadastrada","Peça não cadastrada","OK")))</f>
        <v>0</v>
      </c>
    </row>
    <row r="86" spans="1:10">
      <c r="A86" s="17"/>
      <c r="B86" s="13"/>
      <c r="C86" s="20"/>
      <c r="D86" s="19"/>
      <c r="E86" s="26">
        <f>IF($B86="","",IFERROR(INDEX(PecDesc,MATCH($B86,PecCod,0)),"Peça não cadastrada"))</f>
        <v>0</v>
      </c>
      <c r="F86" s="27">
        <f>IF($B86="","",IF($D86&lt;&gt;"",$D86,IFERROR(INDEX(PecPreco,MATCH($B86,PecCod,0)),0)))</f>
        <v>0</v>
      </c>
      <c r="G86" s="27">
        <f>IF(OR($B86="",$C86=""),"",$C86*$F86)</f>
        <v>0</v>
      </c>
      <c r="H86" s="27">
        <f>IF(OR($B86="",$C86=""),"",$C86*IFERROR(INDEX(PecCusto,MATCH($B86,PecCod,0)),0))</f>
        <v>0</v>
      </c>
      <c r="I86" s="32">
        <f>IF($A86="","",IFERROR(INDEX(OSStatus,MATCH($A86,OSNum,0)),"OS inexistente"))</f>
        <v>0</v>
      </c>
      <c r="J86" s="32">
        <f>IF($A86="","",IF($I86="OS inexistente","OS inexistente",IF($E86="Peça não cadastrada","Peça não cadastrada","OK")))</f>
        <v>0</v>
      </c>
    </row>
    <row r="87" spans="1:10">
      <c r="A87" s="17"/>
      <c r="B87" s="13"/>
      <c r="C87" s="20"/>
      <c r="D87" s="19"/>
      <c r="E87" s="26">
        <f>IF($B87="","",IFERROR(INDEX(PecDesc,MATCH($B87,PecCod,0)),"Peça não cadastrada"))</f>
        <v>0</v>
      </c>
      <c r="F87" s="27">
        <f>IF($B87="","",IF($D87&lt;&gt;"",$D87,IFERROR(INDEX(PecPreco,MATCH($B87,PecCod,0)),0)))</f>
        <v>0</v>
      </c>
      <c r="G87" s="27">
        <f>IF(OR($B87="",$C87=""),"",$C87*$F87)</f>
        <v>0</v>
      </c>
      <c r="H87" s="27">
        <f>IF(OR($B87="",$C87=""),"",$C87*IFERROR(INDEX(PecCusto,MATCH($B87,PecCod,0)),0))</f>
        <v>0</v>
      </c>
      <c r="I87" s="32">
        <f>IF($A87="","",IFERROR(INDEX(OSStatus,MATCH($A87,OSNum,0)),"OS inexistente"))</f>
        <v>0</v>
      </c>
      <c r="J87" s="32">
        <f>IF($A87="","",IF($I87="OS inexistente","OS inexistente",IF($E87="Peça não cadastrada","Peça não cadastrada","OK")))</f>
        <v>0</v>
      </c>
    </row>
    <row r="88" spans="1:10">
      <c r="A88" s="17"/>
      <c r="B88" s="13"/>
      <c r="C88" s="20"/>
      <c r="D88" s="19"/>
      <c r="E88" s="26">
        <f>IF($B88="","",IFERROR(INDEX(PecDesc,MATCH($B88,PecCod,0)),"Peça não cadastrada"))</f>
        <v>0</v>
      </c>
      <c r="F88" s="27">
        <f>IF($B88="","",IF($D88&lt;&gt;"",$D88,IFERROR(INDEX(PecPreco,MATCH($B88,PecCod,0)),0)))</f>
        <v>0</v>
      </c>
      <c r="G88" s="27">
        <f>IF(OR($B88="",$C88=""),"",$C88*$F88)</f>
        <v>0</v>
      </c>
      <c r="H88" s="27">
        <f>IF(OR($B88="",$C88=""),"",$C88*IFERROR(INDEX(PecCusto,MATCH($B88,PecCod,0)),0))</f>
        <v>0</v>
      </c>
      <c r="I88" s="32">
        <f>IF($A88="","",IFERROR(INDEX(OSStatus,MATCH($A88,OSNum,0)),"OS inexistente"))</f>
        <v>0</v>
      </c>
      <c r="J88" s="32">
        <f>IF($A88="","",IF($I88="OS inexistente","OS inexistente",IF($E88="Peça não cadastrada","Peça não cadastrada","OK")))</f>
        <v>0</v>
      </c>
    </row>
    <row r="89" spans="1:10">
      <c r="A89" s="17"/>
      <c r="B89" s="13"/>
      <c r="C89" s="20"/>
      <c r="D89" s="19"/>
      <c r="E89" s="26">
        <f>IF($B89="","",IFERROR(INDEX(PecDesc,MATCH($B89,PecCod,0)),"Peça não cadastrada"))</f>
        <v>0</v>
      </c>
      <c r="F89" s="27">
        <f>IF($B89="","",IF($D89&lt;&gt;"",$D89,IFERROR(INDEX(PecPreco,MATCH($B89,PecCod,0)),0)))</f>
        <v>0</v>
      </c>
      <c r="G89" s="27">
        <f>IF(OR($B89="",$C89=""),"",$C89*$F89)</f>
        <v>0</v>
      </c>
      <c r="H89" s="27">
        <f>IF(OR($B89="",$C89=""),"",$C89*IFERROR(INDEX(PecCusto,MATCH($B89,PecCod,0)),0))</f>
        <v>0</v>
      </c>
      <c r="I89" s="32">
        <f>IF($A89="","",IFERROR(INDEX(OSStatus,MATCH($A89,OSNum,0)),"OS inexistente"))</f>
        <v>0</v>
      </c>
      <c r="J89" s="32">
        <f>IF($A89="","",IF($I89="OS inexistente","OS inexistente",IF($E89="Peça não cadastrada","Peça não cadastrada","OK")))</f>
        <v>0</v>
      </c>
    </row>
    <row r="90" spans="1:10">
      <c r="A90" s="17"/>
      <c r="B90" s="13"/>
      <c r="C90" s="20"/>
      <c r="D90" s="19"/>
      <c r="E90" s="26">
        <f>IF($B90="","",IFERROR(INDEX(PecDesc,MATCH($B90,PecCod,0)),"Peça não cadastrada"))</f>
        <v>0</v>
      </c>
      <c r="F90" s="27">
        <f>IF($B90="","",IF($D90&lt;&gt;"",$D90,IFERROR(INDEX(PecPreco,MATCH($B90,PecCod,0)),0)))</f>
        <v>0</v>
      </c>
      <c r="G90" s="27">
        <f>IF(OR($B90="",$C90=""),"",$C90*$F90)</f>
        <v>0</v>
      </c>
      <c r="H90" s="27">
        <f>IF(OR($B90="",$C90=""),"",$C90*IFERROR(INDEX(PecCusto,MATCH($B90,PecCod,0)),0))</f>
        <v>0</v>
      </c>
      <c r="I90" s="32">
        <f>IF($A90="","",IFERROR(INDEX(OSStatus,MATCH($A90,OSNum,0)),"OS inexistente"))</f>
        <v>0</v>
      </c>
      <c r="J90" s="32">
        <f>IF($A90="","",IF($I90="OS inexistente","OS inexistente",IF($E90="Peça não cadastrada","Peça não cadastrada","OK")))</f>
        <v>0</v>
      </c>
    </row>
    <row r="91" spans="1:10">
      <c r="A91" s="17"/>
      <c r="B91" s="13"/>
      <c r="C91" s="20"/>
      <c r="D91" s="19"/>
      <c r="E91" s="26">
        <f>IF($B91="","",IFERROR(INDEX(PecDesc,MATCH($B91,PecCod,0)),"Peça não cadastrada"))</f>
        <v>0</v>
      </c>
      <c r="F91" s="27">
        <f>IF($B91="","",IF($D91&lt;&gt;"",$D91,IFERROR(INDEX(PecPreco,MATCH($B91,PecCod,0)),0)))</f>
        <v>0</v>
      </c>
      <c r="G91" s="27">
        <f>IF(OR($B91="",$C91=""),"",$C91*$F91)</f>
        <v>0</v>
      </c>
      <c r="H91" s="27">
        <f>IF(OR($B91="",$C91=""),"",$C91*IFERROR(INDEX(PecCusto,MATCH($B91,PecCod,0)),0))</f>
        <v>0</v>
      </c>
      <c r="I91" s="32">
        <f>IF($A91="","",IFERROR(INDEX(OSStatus,MATCH($A91,OSNum,0)),"OS inexistente"))</f>
        <v>0</v>
      </c>
      <c r="J91" s="32">
        <f>IF($A91="","",IF($I91="OS inexistente","OS inexistente",IF($E91="Peça não cadastrada","Peça não cadastrada","OK")))</f>
        <v>0</v>
      </c>
    </row>
    <row r="92" spans="1:10">
      <c r="A92" s="17"/>
      <c r="B92" s="13"/>
      <c r="C92" s="20"/>
      <c r="D92" s="19"/>
      <c r="E92" s="26">
        <f>IF($B92="","",IFERROR(INDEX(PecDesc,MATCH($B92,PecCod,0)),"Peça não cadastrada"))</f>
        <v>0</v>
      </c>
      <c r="F92" s="27">
        <f>IF($B92="","",IF($D92&lt;&gt;"",$D92,IFERROR(INDEX(PecPreco,MATCH($B92,PecCod,0)),0)))</f>
        <v>0</v>
      </c>
      <c r="G92" s="27">
        <f>IF(OR($B92="",$C92=""),"",$C92*$F92)</f>
        <v>0</v>
      </c>
      <c r="H92" s="27">
        <f>IF(OR($B92="",$C92=""),"",$C92*IFERROR(INDEX(PecCusto,MATCH($B92,PecCod,0)),0))</f>
        <v>0</v>
      </c>
      <c r="I92" s="32">
        <f>IF($A92="","",IFERROR(INDEX(OSStatus,MATCH($A92,OSNum,0)),"OS inexistente"))</f>
        <v>0</v>
      </c>
      <c r="J92" s="32">
        <f>IF($A92="","",IF($I92="OS inexistente","OS inexistente",IF($E92="Peça não cadastrada","Peça não cadastrada","OK")))</f>
        <v>0</v>
      </c>
    </row>
    <row r="93" spans="1:10">
      <c r="A93" s="17"/>
      <c r="B93" s="13"/>
      <c r="C93" s="20"/>
      <c r="D93" s="19"/>
      <c r="E93" s="26">
        <f>IF($B93="","",IFERROR(INDEX(PecDesc,MATCH($B93,PecCod,0)),"Peça não cadastrada"))</f>
        <v>0</v>
      </c>
      <c r="F93" s="27">
        <f>IF($B93="","",IF($D93&lt;&gt;"",$D93,IFERROR(INDEX(PecPreco,MATCH($B93,PecCod,0)),0)))</f>
        <v>0</v>
      </c>
      <c r="G93" s="27">
        <f>IF(OR($B93="",$C93=""),"",$C93*$F93)</f>
        <v>0</v>
      </c>
      <c r="H93" s="27">
        <f>IF(OR($B93="",$C93=""),"",$C93*IFERROR(INDEX(PecCusto,MATCH($B93,PecCod,0)),0))</f>
        <v>0</v>
      </c>
      <c r="I93" s="32">
        <f>IF($A93="","",IFERROR(INDEX(OSStatus,MATCH($A93,OSNum,0)),"OS inexistente"))</f>
        <v>0</v>
      </c>
      <c r="J93" s="32">
        <f>IF($A93="","",IF($I93="OS inexistente","OS inexistente",IF($E93="Peça não cadastrada","Peça não cadastrada","OK")))</f>
        <v>0</v>
      </c>
    </row>
    <row r="94" spans="1:10">
      <c r="A94" s="17"/>
      <c r="B94" s="13"/>
      <c r="C94" s="20"/>
      <c r="D94" s="19"/>
      <c r="E94" s="26">
        <f>IF($B94="","",IFERROR(INDEX(PecDesc,MATCH($B94,PecCod,0)),"Peça não cadastrada"))</f>
        <v>0</v>
      </c>
      <c r="F94" s="27">
        <f>IF($B94="","",IF($D94&lt;&gt;"",$D94,IFERROR(INDEX(PecPreco,MATCH($B94,PecCod,0)),0)))</f>
        <v>0</v>
      </c>
      <c r="G94" s="27">
        <f>IF(OR($B94="",$C94=""),"",$C94*$F94)</f>
        <v>0</v>
      </c>
      <c r="H94" s="27">
        <f>IF(OR($B94="",$C94=""),"",$C94*IFERROR(INDEX(PecCusto,MATCH($B94,PecCod,0)),0))</f>
        <v>0</v>
      </c>
      <c r="I94" s="32">
        <f>IF($A94="","",IFERROR(INDEX(OSStatus,MATCH($A94,OSNum,0)),"OS inexistente"))</f>
        <v>0</v>
      </c>
      <c r="J94" s="32">
        <f>IF($A94="","",IF($I94="OS inexistente","OS inexistente",IF($E94="Peça não cadastrada","Peça não cadastrada","OK")))</f>
        <v>0</v>
      </c>
    </row>
    <row r="95" spans="1:10">
      <c r="A95" s="17"/>
      <c r="B95" s="13"/>
      <c r="C95" s="20"/>
      <c r="D95" s="19"/>
      <c r="E95" s="26">
        <f>IF($B95="","",IFERROR(INDEX(PecDesc,MATCH($B95,PecCod,0)),"Peça não cadastrada"))</f>
        <v>0</v>
      </c>
      <c r="F95" s="27">
        <f>IF($B95="","",IF($D95&lt;&gt;"",$D95,IFERROR(INDEX(PecPreco,MATCH($B95,PecCod,0)),0)))</f>
        <v>0</v>
      </c>
      <c r="G95" s="27">
        <f>IF(OR($B95="",$C95=""),"",$C95*$F95)</f>
        <v>0</v>
      </c>
      <c r="H95" s="27">
        <f>IF(OR($B95="",$C95=""),"",$C95*IFERROR(INDEX(PecCusto,MATCH($B95,PecCod,0)),0))</f>
        <v>0</v>
      </c>
      <c r="I95" s="32">
        <f>IF($A95="","",IFERROR(INDEX(OSStatus,MATCH($A95,OSNum,0)),"OS inexistente"))</f>
        <v>0</v>
      </c>
      <c r="J95" s="32">
        <f>IF($A95="","",IF($I95="OS inexistente","OS inexistente",IF($E95="Peça não cadastrada","Peça não cadastrada","OK")))</f>
        <v>0</v>
      </c>
    </row>
    <row r="96" spans="1:10">
      <c r="A96" s="17"/>
      <c r="B96" s="13"/>
      <c r="C96" s="20"/>
      <c r="D96" s="19"/>
      <c r="E96" s="26">
        <f>IF($B96="","",IFERROR(INDEX(PecDesc,MATCH($B96,PecCod,0)),"Peça não cadastrada"))</f>
        <v>0</v>
      </c>
      <c r="F96" s="27">
        <f>IF($B96="","",IF($D96&lt;&gt;"",$D96,IFERROR(INDEX(PecPreco,MATCH($B96,PecCod,0)),0)))</f>
        <v>0</v>
      </c>
      <c r="G96" s="27">
        <f>IF(OR($B96="",$C96=""),"",$C96*$F96)</f>
        <v>0</v>
      </c>
      <c r="H96" s="27">
        <f>IF(OR($B96="",$C96=""),"",$C96*IFERROR(INDEX(PecCusto,MATCH($B96,PecCod,0)),0))</f>
        <v>0</v>
      </c>
      <c r="I96" s="32">
        <f>IF($A96="","",IFERROR(INDEX(OSStatus,MATCH($A96,OSNum,0)),"OS inexistente"))</f>
        <v>0</v>
      </c>
      <c r="J96" s="32">
        <f>IF($A96="","",IF($I96="OS inexistente","OS inexistente",IF($E96="Peça não cadastrada","Peça não cadastrada","OK")))</f>
        <v>0</v>
      </c>
    </row>
    <row r="97" spans="1:10">
      <c r="A97" s="17"/>
      <c r="B97" s="13"/>
      <c r="C97" s="20"/>
      <c r="D97" s="19"/>
      <c r="E97" s="26">
        <f>IF($B97="","",IFERROR(INDEX(PecDesc,MATCH($B97,PecCod,0)),"Peça não cadastrada"))</f>
        <v>0</v>
      </c>
      <c r="F97" s="27">
        <f>IF($B97="","",IF($D97&lt;&gt;"",$D97,IFERROR(INDEX(PecPreco,MATCH($B97,PecCod,0)),0)))</f>
        <v>0</v>
      </c>
      <c r="G97" s="27">
        <f>IF(OR($B97="",$C97=""),"",$C97*$F97)</f>
        <v>0</v>
      </c>
      <c r="H97" s="27">
        <f>IF(OR($B97="",$C97=""),"",$C97*IFERROR(INDEX(PecCusto,MATCH($B97,PecCod,0)),0))</f>
        <v>0</v>
      </c>
      <c r="I97" s="32">
        <f>IF($A97="","",IFERROR(INDEX(OSStatus,MATCH($A97,OSNum,0)),"OS inexistente"))</f>
        <v>0</v>
      </c>
      <c r="J97" s="32">
        <f>IF($A97="","",IF($I97="OS inexistente","OS inexistente",IF($E97="Peça não cadastrada","Peça não cadastrada","OK")))</f>
        <v>0</v>
      </c>
    </row>
    <row r="98" spans="1:10">
      <c r="A98" s="17"/>
      <c r="B98" s="13"/>
      <c r="C98" s="20"/>
      <c r="D98" s="19"/>
      <c r="E98" s="26">
        <f>IF($B98="","",IFERROR(INDEX(PecDesc,MATCH($B98,PecCod,0)),"Peça não cadastrada"))</f>
        <v>0</v>
      </c>
      <c r="F98" s="27">
        <f>IF($B98="","",IF($D98&lt;&gt;"",$D98,IFERROR(INDEX(PecPreco,MATCH($B98,PecCod,0)),0)))</f>
        <v>0</v>
      </c>
      <c r="G98" s="27">
        <f>IF(OR($B98="",$C98=""),"",$C98*$F98)</f>
        <v>0</v>
      </c>
      <c r="H98" s="27">
        <f>IF(OR($B98="",$C98=""),"",$C98*IFERROR(INDEX(PecCusto,MATCH($B98,PecCod,0)),0))</f>
        <v>0</v>
      </c>
      <c r="I98" s="32">
        <f>IF($A98="","",IFERROR(INDEX(OSStatus,MATCH($A98,OSNum,0)),"OS inexistente"))</f>
        <v>0</v>
      </c>
      <c r="J98" s="32">
        <f>IF($A98="","",IF($I98="OS inexistente","OS inexistente",IF($E98="Peça não cadastrada","Peça não cadastrada","OK")))</f>
        <v>0</v>
      </c>
    </row>
    <row r="99" spans="1:10">
      <c r="A99" s="17"/>
      <c r="B99" s="13"/>
      <c r="C99" s="20"/>
      <c r="D99" s="19"/>
      <c r="E99" s="26">
        <f>IF($B99="","",IFERROR(INDEX(PecDesc,MATCH($B99,PecCod,0)),"Peça não cadastrada"))</f>
        <v>0</v>
      </c>
      <c r="F99" s="27">
        <f>IF($B99="","",IF($D99&lt;&gt;"",$D99,IFERROR(INDEX(PecPreco,MATCH($B99,PecCod,0)),0)))</f>
        <v>0</v>
      </c>
      <c r="G99" s="27">
        <f>IF(OR($B99="",$C99=""),"",$C99*$F99)</f>
        <v>0</v>
      </c>
      <c r="H99" s="27">
        <f>IF(OR($B99="",$C99=""),"",$C99*IFERROR(INDEX(PecCusto,MATCH($B99,PecCod,0)),0))</f>
        <v>0</v>
      </c>
      <c r="I99" s="32">
        <f>IF($A99="","",IFERROR(INDEX(OSStatus,MATCH($A99,OSNum,0)),"OS inexistente"))</f>
        <v>0</v>
      </c>
      <c r="J99" s="32">
        <f>IF($A99="","",IF($I99="OS inexistente","OS inexistente",IF($E99="Peça não cadastrada","Peça não cadastrada","OK")))</f>
        <v>0</v>
      </c>
    </row>
    <row r="100" spans="1:10">
      <c r="A100" s="17"/>
      <c r="B100" s="13"/>
      <c r="C100" s="20"/>
      <c r="D100" s="19"/>
      <c r="E100" s="26">
        <f>IF($B100="","",IFERROR(INDEX(PecDesc,MATCH($B100,PecCod,0)),"Peça não cadastrada"))</f>
        <v>0</v>
      </c>
      <c r="F100" s="27">
        <f>IF($B100="","",IF($D100&lt;&gt;"",$D100,IFERROR(INDEX(PecPreco,MATCH($B100,PecCod,0)),0)))</f>
        <v>0</v>
      </c>
      <c r="G100" s="27">
        <f>IF(OR($B100="",$C100=""),"",$C100*$F100)</f>
        <v>0</v>
      </c>
      <c r="H100" s="27">
        <f>IF(OR($B100="",$C100=""),"",$C100*IFERROR(INDEX(PecCusto,MATCH($B100,PecCod,0)),0))</f>
        <v>0</v>
      </c>
      <c r="I100" s="32">
        <f>IF($A100="","",IFERROR(INDEX(OSStatus,MATCH($A100,OSNum,0)),"OS inexistente"))</f>
        <v>0</v>
      </c>
      <c r="J100" s="32">
        <f>IF($A100="","",IF($I100="OS inexistente","OS inexistente",IF($E100="Peça não cadastrada","Peça não cadastrada","OK")))</f>
        <v>0</v>
      </c>
    </row>
    <row r="101" spans="1:10">
      <c r="A101" s="17"/>
      <c r="B101" s="13"/>
      <c r="C101" s="20"/>
      <c r="D101" s="19"/>
      <c r="E101" s="26">
        <f>IF($B101="","",IFERROR(INDEX(PecDesc,MATCH($B101,PecCod,0)),"Peça não cadastrada"))</f>
        <v>0</v>
      </c>
      <c r="F101" s="27">
        <f>IF($B101="","",IF($D101&lt;&gt;"",$D101,IFERROR(INDEX(PecPreco,MATCH($B101,PecCod,0)),0)))</f>
        <v>0</v>
      </c>
      <c r="G101" s="27">
        <f>IF(OR($B101="",$C101=""),"",$C101*$F101)</f>
        <v>0</v>
      </c>
      <c r="H101" s="27">
        <f>IF(OR($B101="",$C101=""),"",$C101*IFERROR(INDEX(PecCusto,MATCH($B101,PecCod,0)),0))</f>
        <v>0</v>
      </c>
      <c r="I101" s="32">
        <f>IF($A101="","",IFERROR(INDEX(OSStatus,MATCH($A101,OSNum,0)),"OS inexistente"))</f>
        <v>0</v>
      </c>
      <c r="J101" s="32">
        <f>IF($A101="","",IF($I101="OS inexistente","OS inexistente",IF($E101="Peça não cadastrada","Peça não cadastrada","OK")))</f>
        <v>0</v>
      </c>
    </row>
    <row r="102" spans="1:10">
      <c r="A102" s="17"/>
      <c r="B102" s="13"/>
      <c r="C102" s="20"/>
      <c r="D102" s="19"/>
      <c r="E102" s="26">
        <f>IF($B102="","",IFERROR(INDEX(PecDesc,MATCH($B102,PecCod,0)),"Peça não cadastrada"))</f>
        <v>0</v>
      </c>
      <c r="F102" s="27">
        <f>IF($B102="","",IF($D102&lt;&gt;"",$D102,IFERROR(INDEX(PecPreco,MATCH($B102,PecCod,0)),0)))</f>
        <v>0</v>
      </c>
      <c r="G102" s="27">
        <f>IF(OR($B102="",$C102=""),"",$C102*$F102)</f>
        <v>0</v>
      </c>
      <c r="H102" s="27">
        <f>IF(OR($B102="",$C102=""),"",$C102*IFERROR(INDEX(PecCusto,MATCH($B102,PecCod,0)),0))</f>
        <v>0</v>
      </c>
      <c r="I102" s="32">
        <f>IF($A102="","",IFERROR(INDEX(OSStatus,MATCH($A102,OSNum,0)),"OS inexistente"))</f>
        <v>0</v>
      </c>
      <c r="J102" s="32">
        <f>IF($A102="","",IF($I102="OS inexistente","OS inexistente",IF($E102="Peça não cadastrada","Peça não cadastrada","OK")))</f>
        <v>0</v>
      </c>
    </row>
    <row r="103" spans="1:10">
      <c r="A103" s="17"/>
      <c r="B103" s="13"/>
      <c r="C103" s="20"/>
      <c r="D103" s="19"/>
      <c r="E103" s="26">
        <f>IF($B103="","",IFERROR(INDEX(PecDesc,MATCH($B103,PecCod,0)),"Peça não cadastrada"))</f>
        <v>0</v>
      </c>
      <c r="F103" s="27">
        <f>IF($B103="","",IF($D103&lt;&gt;"",$D103,IFERROR(INDEX(PecPreco,MATCH($B103,PecCod,0)),0)))</f>
        <v>0</v>
      </c>
      <c r="G103" s="27">
        <f>IF(OR($B103="",$C103=""),"",$C103*$F103)</f>
        <v>0</v>
      </c>
      <c r="H103" s="27">
        <f>IF(OR($B103="",$C103=""),"",$C103*IFERROR(INDEX(PecCusto,MATCH($B103,PecCod,0)),0))</f>
        <v>0</v>
      </c>
      <c r="I103" s="32">
        <f>IF($A103="","",IFERROR(INDEX(OSStatus,MATCH($A103,OSNum,0)),"OS inexistente"))</f>
        <v>0</v>
      </c>
      <c r="J103" s="32">
        <f>IF($A103="","",IF($I103="OS inexistente","OS inexistente",IF($E103="Peça não cadastrada","Peça não cadastrada","OK")))</f>
        <v>0</v>
      </c>
    </row>
    <row r="104" spans="1:10">
      <c r="A104" s="17"/>
      <c r="B104" s="13"/>
      <c r="C104" s="20"/>
      <c r="D104" s="19"/>
      <c r="E104" s="26">
        <f>IF($B104="","",IFERROR(INDEX(PecDesc,MATCH($B104,PecCod,0)),"Peça não cadastrada"))</f>
        <v>0</v>
      </c>
      <c r="F104" s="27">
        <f>IF($B104="","",IF($D104&lt;&gt;"",$D104,IFERROR(INDEX(PecPreco,MATCH($B104,PecCod,0)),0)))</f>
        <v>0</v>
      </c>
      <c r="G104" s="27">
        <f>IF(OR($B104="",$C104=""),"",$C104*$F104)</f>
        <v>0</v>
      </c>
      <c r="H104" s="27">
        <f>IF(OR($B104="",$C104=""),"",$C104*IFERROR(INDEX(PecCusto,MATCH($B104,PecCod,0)),0))</f>
        <v>0</v>
      </c>
      <c r="I104" s="32">
        <f>IF($A104="","",IFERROR(INDEX(OSStatus,MATCH($A104,OSNum,0)),"OS inexistente"))</f>
        <v>0</v>
      </c>
      <c r="J104" s="32">
        <f>IF($A104="","",IF($I104="OS inexistente","OS inexistente",IF($E104="Peça não cadastrada","Peça não cadastrada","OK")))</f>
        <v>0</v>
      </c>
    </row>
    <row r="105" spans="1:10">
      <c r="A105" s="17"/>
      <c r="B105" s="13"/>
      <c r="C105" s="20"/>
      <c r="D105" s="19"/>
      <c r="E105" s="26">
        <f>IF($B105="","",IFERROR(INDEX(PecDesc,MATCH($B105,PecCod,0)),"Peça não cadastrada"))</f>
        <v>0</v>
      </c>
      <c r="F105" s="27">
        <f>IF($B105="","",IF($D105&lt;&gt;"",$D105,IFERROR(INDEX(PecPreco,MATCH($B105,PecCod,0)),0)))</f>
        <v>0</v>
      </c>
      <c r="G105" s="27">
        <f>IF(OR($B105="",$C105=""),"",$C105*$F105)</f>
        <v>0</v>
      </c>
      <c r="H105" s="27">
        <f>IF(OR($B105="",$C105=""),"",$C105*IFERROR(INDEX(PecCusto,MATCH($B105,PecCod,0)),0))</f>
        <v>0</v>
      </c>
      <c r="I105" s="32">
        <f>IF($A105="","",IFERROR(INDEX(OSStatus,MATCH($A105,OSNum,0)),"OS inexistente"))</f>
        <v>0</v>
      </c>
      <c r="J105" s="32">
        <f>IF($A105="","",IF($I105="OS inexistente","OS inexistente",IF($E105="Peça não cadastrada","Peça não cadastrada","OK")))</f>
        <v>0</v>
      </c>
    </row>
    <row r="106" spans="1:10">
      <c r="A106" s="17"/>
      <c r="B106" s="13"/>
      <c r="C106" s="20"/>
      <c r="D106" s="19"/>
      <c r="E106" s="26">
        <f>IF($B106="","",IFERROR(INDEX(PecDesc,MATCH($B106,PecCod,0)),"Peça não cadastrada"))</f>
        <v>0</v>
      </c>
      <c r="F106" s="27">
        <f>IF($B106="","",IF($D106&lt;&gt;"",$D106,IFERROR(INDEX(PecPreco,MATCH($B106,PecCod,0)),0)))</f>
        <v>0</v>
      </c>
      <c r="G106" s="27">
        <f>IF(OR($B106="",$C106=""),"",$C106*$F106)</f>
        <v>0</v>
      </c>
      <c r="H106" s="27">
        <f>IF(OR($B106="",$C106=""),"",$C106*IFERROR(INDEX(PecCusto,MATCH($B106,PecCod,0)),0))</f>
        <v>0</v>
      </c>
      <c r="I106" s="32">
        <f>IF($A106="","",IFERROR(INDEX(OSStatus,MATCH($A106,OSNum,0)),"OS inexistente"))</f>
        <v>0</v>
      </c>
      <c r="J106" s="32">
        <f>IF($A106="","",IF($I106="OS inexistente","OS inexistente",IF($E106="Peça não cadastrada","Peça não cadastrada","OK")))</f>
        <v>0</v>
      </c>
    </row>
    <row r="107" spans="1:10">
      <c r="A107" s="17"/>
      <c r="B107" s="13"/>
      <c r="C107" s="20"/>
      <c r="D107" s="19"/>
      <c r="E107" s="26">
        <f>IF($B107="","",IFERROR(INDEX(PecDesc,MATCH($B107,PecCod,0)),"Peça não cadastrada"))</f>
        <v>0</v>
      </c>
      <c r="F107" s="27">
        <f>IF($B107="","",IF($D107&lt;&gt;"",$D107,IFERROR(INDEX(PecPreco,MATCH($B107,PecCod,0)),0)))</f>
        <v>0</v>
      </c>
      <c r="G107" s="27">
        <f>IF(OR($B107="",$C107=""),"",$C107*$F107)</f>
        <v>0</v>
      </c>
      <c r="H107" s="27">
        <f>IF(OR($B107="",$C107=""),"",$C107*IFERROR(INDEX(PecCusto,MATCH($B107,PecCod,0)),0))</f>
        <v>0</v>
      </c>
      <c r="I107" s="32">
        <f>IF($A107="","",IFERROR(INDEX(OSStatus,MATCH($A107,OSNum,0)),"OS inexistente"))</f>
        <v>0</v>
      </c>
      <c r="J107" s="32">
        <f>IF($A107="","",IF($I107="OS inexistente","OS inexistente",IF($E107="Peça não cadastrada","Peça não cadastrada","OK")))</f>
        <v>0</v>
      </c>
    </row>
    <row r="108" spans="1:10">
      <c r="A108" s="17"/>
      <c r="B108" s="13"/>
      <c r="C108" s="20"/>
      <c r="D108" s="19"/>
      <c r="E108" s="26">
        <f>IF($B108="","",IFERROR(INDEX(PecDesc,MATCH($B108,PecCod,0)),"Peça não cadastrada"))</f>
        <v>0</v>
      </c>
      <c r="F108" s="27">
        <f>IF($B108="","",IF($D108&lt;&gt;"",$D108,IFERROR(INDEX(PecPreco,MATCH($B108,PecCod,0)),0)))</f>
        <v>0</v>
      </c>
      <c r="G108" s="27">
        <f>IF(OR($B108="",$C108=""),"",$C108*$F108)</f>
        <v>0</v>
      </c>
      <c r="H108" s="27">
        <f>IF(OR($B108="",$C108=""),"",$C108*IFERROR(INDEX(PecCusto,MATCH($B108,PecCod,0)),0))</f>
        <v>0</v>
      </c>
      <c r="I108" s="32">
        <f>IF($A108="","",IFERROR(INDEX(OSStatus,MATCH($A108,OSNum,0)),"OS inexistente"))</f>
        <v>0</v>
      </c>
      <c r="J108" s="32">
        <f>IF($A108="","",IF($I108="OS inexistente","OS inexistente",IF($E108="Peça não cadastrada","Peça não cadastrada","OK")))</f>
        <v>0</v>
      </c>
    </row>
    <row r="109" spans="1:10">
      <c r="A109" s="17"/>
      <c r="B109" s="13"/>
      <c r="C109" s="20"/>
      <c r="D109" s="19"/>
      <c r="E109" s="26">
        <f>IF($B109="","",IFERROR(INDEX(PecDesc,MATCH($B109,PecCod,0)),"Peça não cadastrada"))</f>
        <v>0</v>
      </c>
      <c r="F109" s="27">
        <f>IF($B109="","",IF($D109&lt;&gt;"",$D109,IFERROR(INDEX(PecPreco,MATCH($B109,PecCod,0)),0)))</f>
        <v>0</v>
      </c>
      <c r="G109" s="27">
        <f>IF(OR($B109="",$C109=""),"",$C109*$F109)</f>
        <v>0</v>
      </c>
      <c r="H109" s="27">
        <f>IF(OR($B109="",$C109=""),"",$C109*IFERROR(INDEX(PecCusto,MATCH($B109,PecCod,0)),0))</f>
        <v>0</v>
      </c>
      <c r="I109" s="32">
        <f>IF($A109="","",IFERROR(INDEX(OSStatus,MATCH($A109,OSNum,0)),"OS inexistente"))</f>
        <v>0</v>
      </c>
      <c r="J109" s="32">
        <f>IF($A109="","",IF($I109="OS inexistente","OS inexistente",IF($E109="Peça não cadastrada","Peça não cadastrada","OK")))</f>
        <v>0</v>
      </c>
    </row>
    <row r="110" spans="1:10">
      <c r="A110" s="17"/>
      <c r="B110" s="13"/>
      <c r="C110" s="20"/>
      <c r="D110" s="19"/>
      <c r="E110" s="26">
        <f>IF($B110="","",IFERROR(INDEX(PecDesc,MATCH($B110,PecCod,0)),"Peça não cadastrada"))</f>
        <v>0</v>
      </c>
      <c r="F110" s="27">
        <f>IF($B110="","",IF($D110&lt;&gt;"",$D110,IFERROR(INDEX(PecPreco,MATCH($B110,PecCod,0)),0)))</f>
        <v>0</v>
      </c>
      <c r="G110" s="27">
        <f>IF(OR($B110="",$C110=""),"",$C110*$F110)</f>
        <v>0</v>
      </c>
      <c r="H110" s="27">
        <f>IF(OR($B110="",$C110=""),"",$C110*IFERROR(INDEX(PecCusto,MATCH($B110,PecCod,0)),0))</f>
        <v>0</v>
      </c>
      <c r="I110" s="32">
        <f>IF($A110="","",IFERROR(INDEX(OSStatus,MATCH($A110,OSNum,0)),"OS inexistente"))</f>
        <v>0</v>
      </c>
      <c r="J110" s="32">
        <f>IF($A110="","",IF($I110="OS inexistente","OS inexistente",IF($E110="Peça não cadastrada","Peça não cadastrada","OK")))</f>
        <v>0</v>
      </c>
    </row>
    <row r="111" spans="1:10">
      <c r="A111" s="17"/>
      <c r="B111" s="13"/>
      <c r="C111" s="20"/>
      <c r="D111" s="19"/>
      <c r="E111" s="26">
        <f>IF($B111="","",IFERROR(INDEX(PecDesc,MATCH($B111,PecCod,0)),"Peça não cadastrada"))</f>
        <v>0</v>
      </c>
      <c r="F111" s="27">
        <f>IF($B111="","",IF($D111&lt;&gt;"",$D111,IFERROR(INDEX(PecPreco,MATCH($B111,PecCod,0)),0)))</f>
        <v>0</v>
      </c>
      <c r="G111" s="27">
        <f>IF(OR($B111="",$C111=""),"",$C111*$F111)</f>
        <v>0</v>
      </c>
      <c r="H111" s="27">
        <f>IF(OR($B111="",$C111=""),"",$C111*IFERROR(INDEX(PecCusto,MATCH($B111,PecCod,0)),0))</f>
        <v>0</v>
      </c>
      <c r="I111" s="32">
        <f>IF($A111="","",IFERROR(INDEX(OSStatus,MATCH($A111,OSNum,0)),"OS inexistente"))</f>
        <v>0</v>
      </c>
      <c r="J111" s="32">
        <f>IF($A111="","",IF($I111="OS inexistente","OS inexistente",IF($E111="Peça não cadastrada","Peça não cadastrada","OK")))</f>
        <v>0</v>
      </c>
    </row>
    <row r="112" spans="1:10">
      <c r="A112" s="17"/>
      <c r="B112" s="13"/>
      <c r="C112" s="20"/>
      <c r="D112" s="19"/>
      <c r="E112" s="26">
        <f>IF($B112="","",IFERROR(INDEX(PecDesc,MATCH($B112,PecCod,0)),"Peça não cadastrada"))</f>
        <v>0</v>
      </c>
      <c r="F112" s="27">
        <f>IF($B112="","",IF($D112&lt;&gt;"",$D112,IFERROR(INDEX(PecPreco,MATCH($B112,PecCod,0)),0)))</f>
        <v>0</v>
      </c>
      <c r="G112" s="27">
        <f>IF(OR($B112="",$C112=""),"",$C112*$F112)</f>
        <v>0</v>
      </c>
      <c r="H112" s="27">
        <f>IF(OR($B112="",$C112=""),"",$C112*IFERROR(INDEX(PecCusto,MATCH($B112,PecCod,0)),0))</f>
        <v>0</v>
      </c>
      <c r="I112" s="32">
        <f>IF($A112="","",IFERROR(INDEX(OSStatus,MATCH($A112,OSNum,0)),"OS inexistente"))</f>
        <v>0</v>
      </c>
      <c r="J112" s="32">
        <f>IF($A112="","",IF($I112="OS inexistente","OS inexistente",IF($E112="Peça não cadastrada","Peça não cadastrada","OK")))</f>
        <v>0</v>
      </c>
    </row>
    <row r="113" spans="1:10">
      <c r="A113" s="17"/>
      <c r="B113" s="13"/>
      <c r="C113" s="20"/>
      <c r="D113" s="19"/>
      <c r="E113" s="26">
        <f>IF($B113="","",IFERROR(INDEX(PecDesc,MATCH($B113,PecCod,0)),"Peça não cadastrada"))</f>
        <v>0</v>
      </c>
      <c r="F113" s="27">
        <f>IF($B113="","",IF($D113&lt;&gt;"",$D113,IFERROR(INDEX(PecPreco,MATCH($B113,PecCod,0)),0)))</f>
        <v>0</v>
      </c>
      <c r="G113" s="27">
        <f>IF(OR($B113="",$C113=""),"",$C113*$F113)</f>
        <v>0</v>
      </c>
      <c r="H113" s="27">
        <f>IF(OR($B113="",$C113=""),"",$C113*IFERROR(INDEX(PecCusto,MATCH($B113,PecCod,0)),0))</f>
        <v>0</v>
      </c>
      <c r="I113" s="32">
        <f>IF($A113="","",IFERROR(INDEX(OSStatus,MATCH($A113,OSNum,0)),"OS inexistente"))</f>
        <v>0</v>
      </c>
      <c r="J113" s="32">
        <f>IF($A113="","",IF($I113="OS inexistente","OS inexistente",IF($E113="Peça não cadastrada","Peça não cadastrada","OK")))</f>
        <v>0</v>
      </c>
    </row>
    <row r="114" spans="1:10">
      <c r="A114" s="17"/>
      <c r="B114" s="13"/>
      <c r="C114" s="20"/>
      <c r="D114" s="19"/>
      <c r="E114" s="26">
        <f>IF($B114="","",IFERROR(INDEX(PecDesc,MATCH($B114,PecCod,0)),"Peça não cadastrada"))</f>
        <v>0</v>
      </c>
      <c r="F114" s="27">
        <f>IF($B114="","",IF($D114&lt;&gt;"",$D114,IFERROR(INDEX(PecPreco,MATCH($B114,PecCod,0)),0)))</f>
        <v>0</v>
      </c>
      <c r="G114" s="27">
        <f>IF(OR($B114="",$C114=""),"",$C114*$F114)</f>
        <v>0</v>
      </c>
      <c r="H114" s="27">
        <f>IF(OR($B114="",$C114=""),"",$C114*IFERROR(INDEX(PecCusto,MATCH($B114,PecCod,0)),0))</f>
        <v>0</v>
      </c>
      <c r="I114" s="32">
        <f>IF($A114="","",IFERROR(INDEX(OSStatus,MATCH($A114,OSNum,0)),"OS inexistente"))</f>
        <v>0</v>
      </c>
      <c r="J114" s="32">
        <f>IF($A114="","",IF($I114="OS inexistente","OS inexistente",IF($E114="Peça não cadastrada","Peça não cadastrada","OK")))</f>
        <v>0</v>
      </c>
    </row>
    <row r="115" spans="1:10">
      <c r="A115" s="17"/>
      <c r="B115" s="13"/>
      <c r="C115" s="20"/>
      <c r="D115" s="19"/>
      <c r="E115" s="26">
        <f>IF($B115="","",IFERROR(INDEX(PecDesc,MATCH($B115,PecCod,0)),"Peça não cadastrada"))</f>
        <v>0</v>
      </c>
      <c r="F115" s="27">
        <f>IF($B115="","",IF($D115&lt;&gt;"",$D115,IFERROR(INDEX(PecPreco,MATCH($B115,PecCod,0)),0)))</f>
        <v>0</v>
      </c>
      <c r="G115" s="27">
        <f>IF(OR($B115="",$C115=""),"",$C115*$F115)</f>
        <v>0</v>
      </c>
      <c r="H115" s="27">
        <f>IF(OR($B115="",$C115=""),"",$C115*IFERROR(INDEX(PecCusto,MATCH($B115,PecCod,0)),0))</f>
        <v>0</v>
      </c>
      <c r="I115" s="32">
        <f>IF($A115="","",IFERROR(INDEX(OSStatus,MATCH($A115,OSNum,0)),"OS inexistente"))</f>
        <v>0</v>
      </c>
      <c r="J115" s="32">
        <f>IF($A115="","",IF($I115="OS inexistente","OS inexistente",IF($E115="Peça não cadastrada","Peça não cadastrada","OK")))</f>
        <v>0</v>
      </c>
    </row>
    <row r="116" spans="1:10">
      <c r="A116" s="17"/>
      <c r="B116" s="13"/>
      <c r="C116" s="20"/>
      <c r="D116" s="19"/>
      <c r="E116" s="26">
        <f>IF($B116="","",IFERROR(INDEX(PecDesc,MATCH($B116,PecCod,0)),"Peça não cadastrada"))</f>
        <v>0</v>
      </c>
      <c r="F116" s="27">
        <f>IF($B116="","",IF($D116&lt;&gt;"",$D116,IFERROR(INDEX(PecPreco,MATCH($B116,PecCod,0)),0)))</f>
        <v>0</v>
      </c>
      <c r="G116" s="27">
        <f>IF(OR($B116="",$C116=""),"",$C116*$F116)</f>
        <v>0</v>
      </c>
      <c r="H116" s="27">
        <f>IF(OR($B116="",$C116=""),"",$C116*IFERROR(INDEX(PecCusto,MATCH($B116,PecCod,0)),0))</f>
        <v>0</v>
      </c>
      <c r="I116" s="32">
        <f>IF($A116="","",IFERROR(INDEX(OSStatus,MATCH($A116,OSNum,0)),"OS inexistente"))</f>
        <v>0</v>
      </c>
      <c r="J116" s="32">
        <f>IF($A116="","",IF($I116="OS inexistente","OS inexistente",IF($E116="Peça não cadastrada","Peça não cadastrada","OK")))</f>
        <v>0</v>
      </c>
    </row>
    <row r="117" spans="1:10">
      <c r="A117" s="17"/>
      <c r="B117" s="13"/>
      <c r="C117" s="20"/>
      <c r="D117" s="19"/>
      <c r="E117" s="26">
        <f>IF($B117="","",IFERROR(INDEX(PecDesc,MATCH($B117,PecCod,0)),"Peça não cadastrada"))</f>
        <v>0</v>
      </c>
      <c r="F117" s="27">
        <f>IF($B117="","",IF($D117&lt;&gt;"",$D117,IFERROR(INDEX(PecPreco,MATCH($B117,PecCod,0)),0)))</f>
        <v>0</v>
      </c>
      <c r="G117" s="27">
        <f>IF(OR($B117="",$C117=""),"",$C117*$F117)</f>
        <v>0</v>
      </c>
      <c r="H117" s="27">
        <f>IF(OR($B117="",$C117=""),"",$C117*IFERROR(INDEX(PecCusto,MATCH($B117,PecCod,0)),0))</f>
        <v>0</v>
      </c>
      <c r="I117" s="32">
        <f>IF($A117="","",IFERROR(INDEX(OSStatus,MATCH($A117,OSNum,0)),"OS inexistente"))</f>
        <v>0</v>
      </c>
      <c r="J117" s="32">
        <f>IF($A117="","",IF($I117="OS inexistente","OS inexistente",IF($E117="Peça não cadastrada","Peça não cadastrada","OK")))</f>
        <v>0</v>
      </c>
    </row>
    <row r="118" spans="1:10">
      <c r="A118" s="17"/>
      <c r="B118" s="13"/>
      <c r="C118" s="20"/>
      <c r="D118" s="19"/>
      <c r="E118" s="26">
        <f>IF($B118="","",IFERROR(INDEX(PecDesc,MATCH($B118,PecCod,0)),"Peça não cadastrada"))</f>
        <v>0</v>
      </c>
      <c r="F118" s="27">
        <f>IF($B118="","",IF($D118&lt;&gt;"",$D118,IFERROR(INDEX(PecPreco,MATCH($B118,PecCod,0)),0)))</f>
        <v>0</v>
      </c>
      <c r="G118" s="27">
        <f>IF(OR($B118="",$C118=""),"",$C118*$F118)</f>
        <v>0</v>
      </c>
      <c r="H118" s="27">
        <f>IF(OR($B118="",$C118=""),"",$C118*IFERROR(INDEX(PecCusto,MATCH($B118,PecCod,0)),0))</f>
        <v>0</v>
      </c>
      <c r="I118" s="32">
        <f>IF($A118="","",IFERROR(INDEX(OSStatus,MATCH($A118,OSNum,0)),"OS inexistente"))</f>
        <v>0</v>
      </c>
      <c r="J118" s="32">
        <f>IF($A118="","",IF($I118="OS inexistente","OS inexistente",IF($E118="Peça não cadastrada","Peça não cadastrada","OK")))</f>
        <v>0</v>
      </c>
    </row>
    <row r="119" spans="1:10">
      <c r="A119" s="17"/>
      <c r="B119" s="13"/>
      <c r="C119" s="20"/>
      <c r="D119" s="19"/>
      <c r="E119" s="26">
        <f>IF($B119="","",IFERROR(INDEX(PecDesc,MATCH($B119,PecCod,0)),"Peça não cadastrada"))</f>
        <v>0</v>
      </c>
      <c r="F119" s="27">
        <f>IF($B119="","",IF($D119&lt;&gt;"",$D119,IFERROR(INDEX(PecPreco,MATCH($B119,PecCod,0)),0)))</f>
        <v>0</v>
      </c>
      <c r="G119" s="27">
        <f>IF(OR($B119="",$C119=""),"",$C119*$F119)</f>
        <v>0</v>
      </c>
      <c r="H119" s="27">
        <f>IF(OR($B119="",$C119=""),"",$C119*IFERROR(INDEX(PecCusto,MATCH($B119,PecCod,0)),0))</f>
        <v>0</v>
      </c>
      <c r="I119" s="32">
        <f>IF($A119="","",IFERROR(INDEX(OSStatus,MATCH($A119,OSNum,0)),"OS inexistente"))</f>
        <v>0</v>
      </c>
      <c r="J119" s="32">
        <f>IF($A119="","",IF($I119="OS inexistente","OS inexistente",IF($E119="Peça não cadastrada","Peça não cadastrada","OK")))</f>
        <v>0</v>
      </c>
    </row>
    <row r="120" spans="1:10">
      <c r="A120" s="17"/>
      <c r="B120" s="13"/>
      <c r="C120" s="20"/>
      <c r="D120" s="19"/>
      <c r="E120" s="26">
        <f>IF($B120="","",IFERROR(INDEX(PecDesc,MATCH($B120,PecCod,0)),"Peça não cadastrada"))</f>
        <v>0</v>
      </c>
      <c r="F120" s="27">
        <f>IF($B120="","",IF($D120&lt;&gt;"",$D120,IFERROR(INDEX(PecPreco,MATCH($B120,PecCod,0)),0)))</f>
        <v>0</v>
      </c>
      <c r="G120" s="27">
        <f>IF(OR($B120="",$C120=""),"",$C120*$F120)</f>
        <v>0</v>
      </c>
      <c r="H120" s="27">
        <f>IF(OR($B120="",$C120=""),"",$C120*IFERROR(INDEX(PecCusto,MATCH($B120,PecCod,0)),0))</f>
        <v>0</v>
      </c>
      <c r="I120" s="32">
        <f>IF($A120="","",IFERROR(INDEX(OSStatus,MATCH($A120,OSNum,0)),"OS inexistente"))</f>
        <v>0</v>
      </c>
      <c r="J120" s="32">
        <f>IF($A120="","",IF($I120="OS inexistente","OS inexistente",IF($E120="Peça não cadastrada","Peça não cadastrada","OK")))</f>
        <v>0</v>
      </c>
    </row>
    <row r="121" spans="1:10">
      <c r="A121" s="17"/>
      <c r="B121" s="13"/>
      <c r="C121" s="20"/>
      <c r="D121" s="19"/>
      <c r="E121" s="26">
        <f>IF($B121="","",IFERROR(INDEX(PecDesc,MATCH($B121,PecCod,0)),"Peça não cadastrada"))</f>
        <v>0</v>
      </c>
      <c r="F121" s="27">
        <f>IF($B121="","",IF($D121&lt;&gt;"",$D121,IFERROR(INDEX(PecPreco,MATCH($B121,PecCod,0)),0)))</f>
        <v>0</v>
      </c>
      <c r="G121" s="27">
        <f>IF(OR($B121="",$C121=""),"",$C121*$F121)</f>
        <v>0</v>
      </c>
      <c r="H121" s="27">
        <f>IF(OR($B121="",$C121=""),"",$C121*IFERROR(INDEX(PecCusto,MATCH($B121,PecCod,0)),0))</f>
        <v>0</v>
      </c>
      <c r="I121" s="32">
        <f>IF($A121="","",IFERROR(INDEX(OSStatus,MATCH($A121,OSNum,0)),"OS inexistente"))</f>
        <v>0</v>
      </c>
      <c r="J121" s="32">
        <f>IF($A121="","",IF($I121="OS inexistente","OS inexistente",IF($E121="Peça não cadastrada","Peça não cadastrada","OK")))</f>
        <v>0</v>
      </c>
    </row>
    <row r="122" spans="1:10">
      <c r="A122" s="17"/>
      <c r="B122" s="13"/>
      <c r="C122" s="20"/>
      <c r="D122" s="19"/>
      <c r="E122" s="26">
        <f>IF($B122="","",IFERROR(INDEX(PecDesc,MATCH($B122,PecCod,0)),"Peça não cadastrada"))</f>
        <v>0</v>
      </c>
      <c r="F122" s="27">
        <f>IF($B122="","",IF($D122&lt;&gt;"",$D122,IFERROR(INDEX(PecPreco,MATCH($B122,PecCod,0)),0)))</f>
        <v>0</v>
      </c>
      <c r="G122" s="27">
        <f>IF(OR($B122="",$C122=""),"",$C122*$F122)</f>
        <v>0</v>
      </c>
      <c r="H122" s="27">
        <f>IF(OR($B122="",$C122=""),"",$C122*IFERROR(INDEX(PecCusto,MATCH($B122,PecCod,0)),0))</f>
        <v>0</v>
      </c>
      <c r="I122" s="32">
        <f>IF($A122="","",IFERROR(INDEX(OSStatus,MATCH($A122,OSNum,0)),"OS inexistente"))</f>
        <v>0</v>
      </c>
      <c r="J122" s="32">
        <f>IF($A122="","",IF($I122="OS inexistente","OS inexistente",IF($E122="Peça não cadastrada","Peça não cadastrada","OK")))</f>
        <v>0</v>
      </c>
    </row>
    <row r="123" spans="1:10">
      <c r="A123" s="17"/>
      <c r="B123" s="13"/>
      <c r="C123" s="20"/>
      <c r="D123" s="19"/>
      <c r="E123" s="26">
        <f>IF($B123="","",IFERROR(INDEX(PecDesc,MATCH($B123,PecCod,0)),"Peça não cadastrada"))</f>
        <v>0</v>
      </c>
      <c r="F123" s="27">
        <f>IF($B123="","",IF($D123&lt;&gt;"",$D123,IFERROR(INDEX(PecPreco,MATCH($B123,PecCod,0)),0)))</f>
        <v>0</v>
      </c>
      <c r="G123" s="27">
        <f>IF(OR($B123="",$C123=""),"",$C123*$F123)</f>
        <v>0</v>
      </c>
      <c r="H123" s="27">
        <f>IF(OR($B123="",$C123=""),"",$C123*IFERROR(INDEX(PecCusto,MATCH($B123,PecCod,0)),0))</f>
        <v>0</v>
      </c>
      <c r="I123" s="32">
        <f>IF($A123="","",IFERROR(INDEX(OSStatus,MATCH($A123,OSNum,0)),"OS inexistente"))</f>
        <v>0</v>
      </c>
      <c r="J123" s="32">
        <f>IF($A123="","",IF($I123="OS inexistente","OS inexistente",IF($E123="Peça não cadastrada","Peça não cadastrada","OK")))</f>
        <v>0</v>
      </c>
    </row>
    <row r="124" spans="1:10">
      <c r="A124" s="17"/>
      <c r="B124" s="13"/>
      <c r="C124" s="20"/>
      <c r="D124" s="19"/>
      <c r="E124" s="26">
        <f>IF($B124="","",IFERROR(INDEX(PecDesc,MATCH($B124,PecCod,0)),"Peça não cadastrada"))</f>
        <v>0</v>
      </c>
      <c r="F124" s="27">
        <f>IF($B124="","",IF($D124&lt;&gt;"",$D124,IFERROR(INDEX(PecPreco,MATCH($B124,PecCod,0)),0)))</f>
        <v>0</v>
      </c>
      <c r="G124" s="27">
        <f>IF(OR($B124="",$C124=""),"",$C124*$F124)</f>
        <v>0</v>
      </c>
      <c r="H124" s="27">
        <f>IF(OR($B124="",$C124=""),"",$C124*IFERROR(INDEX(PecCusto,MATCH($B124,PecCod,0)),0))</f>
        <v>0</v>
      </c>
      <c r="I124" s="32">
        <f>IF($A124="","",IFERROR(INDEX(OSStatus,MATCH($A124,OSNum,0)),"OS inexistente"))</f>
        <v>0</v>
      </c>
      <c r="J124" s="32">
        <f>IF($A124="","",IF($I124="OS inexistente","OS inexistente",IF($E124="Peça não cadastrada","Peça não cadastrada","OK")))</f>
        <v>0</v>
      </c>
    </row>
    <row r="125" spans="1:10">
      <c r="A125" s="17"/>
      <c r="B125" s="13"/>
      <c r="C125" s="20"/>
      <c r="D125" s="19"/>
      <c r="E125" s="26">
        <f>IF($B125="","",IFERROR(INDEX(PecDesc,MATCH($B125,PecCod,0)),"Peça não cadastrada"))</f>
        <v>0</v>
      </c>
      <c r="F125" s="27">
        <f>IF($B125="","",IF($D125&lt;&gt;"",$D125,IFERROR(INDEX(PecPreco,MATCH($B125,PecCod,0)),0)))</f>
        <v>0</v>
      </c>
      <c r="G125" s="27">
        <f>IF(OR($B125="",$C125=""),"",$C125*$F125)</f>
        <v>0</v>
      </c>
      <c r="H125" s="27">
        <f>IF(OR($B125="",$C125=""),"",$C125*IFERROR(INDEX(PecCusto,MATCH($B125,PecCod,0)),0))</f>
        <v>0</v>
      </c>
      <c r="I125" s="32">
        <f>IF($A125="","",IFERROR(INDEX(OSStatus,MATCH($A125,OSNum,0)),"OS inexistente"))</f>
        <v>0</v>
      </c>
      <c r="J125" s="32">
        <f>IF($A125="","",IF($I125="OS inexistente","OS inexistente",IF($E125="Peça não cadastrada","Peça não cadastrada","OK")))</f>
        <v>0</v>
      </c>
    </row>
    <row r="126" spans="1:10">
      <c r="A126" s="17"/>
      <c r="B126" s="13"/>
      <c r="C126" s="20"/>
      <c r="D126" s="19"/>
      <c r="E126" s="26">
        <f>IF($B126="","",IFERROR(INDEX(PecDesc,MATCH($B126,PecCod,0)),"Peça não cadastrada"))</f>
        <v>0</v>
      </c>
      <c r="F126" s="27">
        <f>IF($B126="","",IF($D126&lt;&gt;"",$D126,IFERROR(INDEX(PecPreco,MATCH($B126,PecCod,0)),0)))</f>
        <v>0</v>
      </c>
      <c r="G126" s="27">
        <f>IF(OR($B126="",$C126=""),"",$C126*$F126)</f>
        <v>0</v>
      </c>
      <c r="H126" s="27">
        <f>IF(OR($B126="",$C126=""),"",$C126*IFERROR(INDEX(PecCusto,MATCH($B126,PecCod,0)),0))</f>
        <v>0</v>
      </c>
      <c r="I126" s="32">
        <f>IF($A126="","",IFERROR(INDEX(OSStatus,MATCH($A126,OSNum,0)),"OS inexistente"))</f>
        <v>0</v>
      </c>
      <c r="J126" s="32">
        <f>IF($A126="","",IF($I126="OS inexistente","OS inexistente",IF($E126="Peça não cadastrada","Peça não cadastrada","OK")))</f>
        <v>0</v>
      </c>
    </row>
    <row r="127" spans="1:10">
      <c r="A127" s="17"/>
      <c r="B127" s="13"/>
      <c r="C127" s="20"/>
      <c r="D127" s="19"/>
      <c r="E127" s="26">
        <f>IF($B127="","",IFERROR(INDEX(PecDesc,MATCH($B127,PecCod,0)),"Peça não cadastrada"))</f>
        <v>0</v>
      </c>
      <c r="F127" s="27">
        <f>IF($B127="","",IF($D127&lt;&gt;"",$D127,IFERROR(INDEX(PecPreco,MATCH($B127,PecCod,0)),0)))</f>
        <v>0</v>
      </c>
      <c r="G127" s="27">
        <f>IF(OR($B127="",$C127=""),"",$C127*$F127)</f>
        <v>0</v>
      </c>
      <c r="H127" s="27">
        <f>IF(OR($B127="",$C127=""),"",$C127*IFERROR(INDEX(PecCusto,MATCH($B127,PecCod,0)),0))</f>
        <v>0</v>
      </c>
      <c r="I127" s="32">
        <f>IF($A127="","",IFERROR(INDEX(OSStatus,MATCH($A127,OSNum,0)),"OS inexistente"))</f>
        <v>0</v>
      </c>
      <c r="J127" s="32">
        <f>IF($A127="","",IF($I127="OS inexistente","OS inexistente",IF($E127="Peça não cadastrada","Peça não cadastrada","OK")))</f>
        <v>0</v>
      </c>
    </row>
    <row r="128" spans="1:10">
      <c r="A128" s="17"/>
      <c r="B128" s="13"/>
      <c r="C128" s="20"/>
      <c r="D128" s="19"/>
      <c r="E128" s="26">
        <f>IF($B128="","",IFERROR(INDEX(PecDesc,MATCH($B128,PecCod,0)),"Peça não cadastrada"))</f>
        <v>0</v>
      </c>
      <c r="F128" s="27">
        <f>IF($B128="","",IF($D128&lt;&gt;"",$D128,IFERROR(INDEX(PecPreco,MATCH($B128,PecCod,0)),0)))</f>
        <v>0</v>
      </c>
      <c r="G128" s="27">
        <f>IF(OR($B128="",$C128=""),"",$C128*$F128)</f>
        <v>0</v>
      </c>
      <c r="H128" s="27">
        <f>IF(OR($B128="",$C128=""),"",$C128*IFERROR(INDEX(PecCusto,MATCH($B128,PecCod,0)),0))</f>
        <v>0</v>
      </c>
      <c r="I128" s="32">
        <f>IF($A128="","",IFERROR(INDEX(OSStatus,MATCH($A128,OSNum,0)),"OS inexistente"))</f>
        <v>0</v>
      </c>
      <c r="J128" s="32">
        <f>IF($A128="","",IF($I128="OS inexistente","OS inexistente",IF($E128="Peça não cadastrada","Peça não cadastrada","OK")))</f>
        <v>0</v>
      </c>
    </row>
    <row r="129" spans="1:10">
      <c r="A129" s="17"/>
      <c r="B129" s="13"/>
      <c r="C129" s="20"/>
      <c r="D129" s="19"/>
      <c r="E129" s="26">
        <f>IF($B129="","",IFERROR(INDEX(PecDesc,MATCH($B129,PecCod,0)),"Peça não cadastrada"))</f>
        <v>0</v>
      </c>
      <c r="F129" s="27">
        <f>IF($B129="","",IF($D129&lt;&gt;"",$D129,IFERROR(INDEX(PecPreco,MATCH($B129,PecCod,0)),0)))</f>
        <v>0</v>
      </c>
      <c r="G129" s="27">
        <f>IF(OR($B129="",$C129=""),"",$C129*$F129)</f>
        <v>0</v>
      </c>
      <c r="H129" s="27">
        <f>IF(OR($B129="",$C129=""),"",$C129*IFERROR(INDEX(PecCusto,MATCH($B129,PecCod,0)),0))</f>
        <v>0</v>
      </c>
      <c r="I129" s="32">
        <f>IF($A129="","",IFERROR(INDEX(OSStatus,MATCH($A129,OSNum,0)),"OS inexistente"))</f>
        <v>0</v>
      </c>
      <c r="J129" s="32">
        <f>IF($A129="","",IF($I129="OS inexistente","OS inexistente",IF($E129="Peça não cadastrada","Peça não cadastrada","OK")))</f>
        <v>0</v>
      </c>
    </row>
    <row r="130" spans="1:10">
      <c r="A130" s="17"/>
      <c r="B130" s="13"/>
      <c r="C130" s="20"/>
      <c r="D130" s="19"/>
      <c r="E130" s="26">
        <f>IF($B130="","",IFERROR(INDEX(PecDesc,MATCH($B130,PecCod,0)),"Peça não cadastrada"))</f>
        <v>0</v>
      </c>
      <c r="F130" s="27">
        <f>IF($B130="","",IF($D130&lt;&gt;"",$D130,IFERROR(INDEX(PecPreco,MATCH($B130,PecCod,0)),0)))</f>
        <v>0</v>
      </c>
      <c r="G130" s="27">
        <f>IF(OR($B130="",$C130=""),"",$C130*$F130)</f>
        <v>0</v>
      </c>
      <c r="H130" s="27">
        <f>IF(OR($B130="",$C130=""),"",$C130*IFERROR(INDEX(PecCusto,MATCH($B130,PecCod,0)),0))</f>
        <v>0</v>
      </c>
      <c r="I130" s="32">
        <f>IF($A130="","",IFERROR(INDEX(OSStatus,MATCH($A130,OSNum,0)),"OS inexistente"))</f>
        <v>0</v>
      </c>
      <c r="J130" s="32">
        <f>IF($A130="","",IF($I130="OS inexistente","OS inexistente",IF($E130="Peça não cadastrada","Peça não cadastrada","OK")))</f>
        <v>0</v>
      </c>
    </row>
    <row r="131" spans="1:10">
      <c r="A131" s="17"/>
      <c r="B131" s="13"/>
      <c r="C131" s="20"/>
      <c r="D131" s="19"/>
      <c r="E131" s="26">
        <f>IF($B131="","",IFERROR(INDEX(PecDesc,MATCH($B131,PecCod,0)),"Peça não cadastrada"))</f>
        <v>0</v>
      </c>
      <c r="F131" s="27">
        <f>IF($B131="","",IF($D131&lt;&gt;"",$D131,IFERROR(INDEX(PecPreco,MATCH($B131,PecCod,0)),0)))</f>
        <v>0</v>
      </c>
      <c r="G131" s="27">
        <f>IF(OR($B131="",$C131=""),"",$C131*$F131)</f>
        <v>0</v>
      </c>
      <c r="H131" s="27">
        <f>IF(OR($B131="",$C131=""),"",$C131*IFERROR(INDEX(PecCusto,MATCH($B131,PecCod,0)),0))</f>
        <v>0</v>
      </c>
      <c r="I131" s="32">
        <f>IF($A131="","",IFERROR(INDEX(OSStatus,MATCH($A131,OSNum,0)),"OS inexistente"))</f>
        <v>0</v>
      </c>
      <c r="J131" s="32">
        <f>IF($A131="","",IF($I131="OS inexistente","OS inexistente",IF($E131="Peça não cadastrada","Peça não cadastrada","OK")))</f>
        <v>0</v>
      </c>
    </row>
    <row r="132" spans="1:10">
      <c r="A132" s="17"/>
      <c r="B132" s="13"/>
      <c r="C132" s="20"/>
      <c r="D132" s="19"/>
      <c r="E132" s="26">
        <f>IF($B132="","",IFERROR(INDEX(PecDesc,MATCH($B132,PecCod,0)),"Peça não cadastrada"))</f>
        <v>0</v>
      </c>
      <c r="F132" s="27">
        <f>IF($B132="","",IF($D132&lt;&gt;"",$D132,IFERROR(INDEX(PecPreco,MATCH($B132,PecCod,0)),0)))</f>
        <v>0</v>
      </c>
      <c r="G132" s="27">
        <f>IF(OR($B132="",$C132=""),"",$C132*$F132)</f>
        <v>0</v>
      </c>
      <c r="H132" s="27">
        <f>IF(OR($B132="",$C132=""),"",$C132*IFERROR(INDEX(PecCusto,MATCH($B132,PecCod,0)),0))</f>
        <v>0</v>
      </c>
      <c r="I132" s="32">
        <f>IF($A132="","",IFERROR(INDEX(OSStatus,MATCH($A132,OSNum,0)),"OS inexistente"))</f>
        <v>0</v>
      </c>
      <c r="J132" s="32">
        <f>IF($A132="","",IF($I132="OS inexistente","OS inexistente",IF($E132="Peça não cadastrada","Peça não cadastrada","OK")))</f>
        <v>0</v>
      </c>
    </row>
    <row r="133" spans="1:10">
      <c r="A133" s="17"/>
      <c r="B133" s="13"/>
      <c r="C133" s="20"/>
      <c r="D133" s="19"/>
      <c r="E133" s="26">
        <f>IF($B133="","",IFERROR(INDEX(PecDesc,MATCH($B133,PecCod,0)),"Peça não cadastrada"))</f>
        <v>0</v>
      </c>
      <c r="F133" s="27">
        <f>IF($B133="","",IF($D133&lt;&gt;"",$D133,IFERROR(INDEX(PecPreco,MATCH($B133,PecCod,0)),0)))</f>
        <v>0</v>
      </c>
      <c r="G133" s="27">
        <f>IF(OR($B133="",$C133=""),"",$C133*$F133)</f>
        <v>0</v>
      </c>
      <c r="H133" s="27">
        <f>IF(OR($B133="",$C133=""),"",$C133*IFERROR(INDEX(PecCusto,MATCH($B133,PecCod,0)),0))</f>
        <v>0</v>
      </c>
      <c r="I133" s="32">
        <f>IF($A133="","",IFERROR(INDEX(OSStatus,MATCH($A133,OSNum,0)),"OS inexistente"))</f>
        <v>0</v>
      </c>
      <c r="J133" s="32">
        <f>IF($A133="","",IF($I133="OS inexistente","OS inexistente",IF($E133="Peça não cadastrada","Peça não cadastrada","OK")))</f>
        <v>0</v>
      </c>
    </row>
    <row r="134" spans="1:10">
      <c r="A134" s="17"/>
      <c r="B134" s="13"/>
      <c r="C134" s="20"/>
      <c r="D134" s="19"/>
      <c r="E134" s="26">
        <f>IF($B134="","",IFERROR(INDEX(PecDesc,MATCH($B134,PecCod,0)),"Peça não cadastrada"))</f>
        <v>0</v>
      </c>
      <c r="F134" s="27">
        <f>IF($B134="","",IF($D134&lt;&gt;"",$D134,IFERROR(INDEX(PecPreco,MATCH($B134,PecCod,0)),0)))</f>
        <v>0</v>
      </c>
      <c r="G134" s="27">
        <f>IF(OR($B134="",$C134=""),"",$C134*$F134)</f>
        <v>0</v>
      </c>
      <c r="H134" s="27">
        <f>IF(OR($B134="",$C134=""),"",$C134*IFERROR(INDEX(PecCusto,MATCH($B134,PecCod,0)),0))</f>
        <v>0</v>
      </c>
      <c r="I134" s="32">
        <f>IF($A134="","",IFERROR(INDEX(OSStatus,MATCH($A134,OSNum,0)),"OS inexistente"))</f>
        <v>0</v>
      </c>
      <c r="J134" s="32">
        <f>IF($A134="","",IF($I134="OS inexistente","OS inexistente",IF($E134="Peça não cadastrada","Peça não cadastrada","OK")))</f>
        <v>0</v>
      </c>
    </row>
    <row r="135" spans="1:10">
      <c r="A135" s="17"/>
      <c r="B135" s="13"/>
      <c r="C135" s="20"/>
      <c r="D135" s="19"/>
      <c r="E135" s="26">
        <f>IF($B135="","",IFERROR(INDEX(PecDesc,MATCH($B135,PecCod,0)),"Peça não cadastrada"))</f>
        <v>0</v>
      </c>
      <c r="F135" s="27">
        <f>IF($B135="","",IF($D135&lt;&gt;"",$D135,IFERROR(INDEX(PecPreco,MATCH($B135,PecCod,0)),0)))</f>
        <v>0</v>
      </c>
      <c r="G135" s="27">
        <f>IF(OR($B135="",$C135=""),"",$C135*$F135)</f>
        <v>0</v>
      </c>
      <c r="H135" s="27">
        <f>IF(OR($B135="",$C135=""),"",$C135*IFERROR(INDEX(PecCusto,MATCH($B135,PecCod,0)),0))</f>
        <v>0</v>
      </c>
      <c r="I135" s="32">
        <f>IF($A135="","",IFERROR(INDEX(OSStatus,MATCH($A135,OSNum,0)),"OS inexistente"))</f>
        <v>0</v>
      </c>
      <c r="J135" s="32">
        <f>IF($A135="","",IF($I135="OS inexistente","OS inexistente",IF($E135="Peça não cadastrada","Peça não cadastrada","OK")))</f>
        <v>0</v>
      </c>
    </row>
    <row r="136" spans="1:10">
      <c r="A136" s="17"/>
      <c r="B136" s="13"/>
      <c r="C136" s="20"/>
      <c r="D136" s="19"/>
      <c r="E136" s="26">
        <f>IF($B136="","",IFERROR(INDEX(PecDesc,MATCH($B136,PecCod,0)),"Peça não cadastrada"))</f>
        <v>0</v>
      </c>
      <c r="F136" s="27">
        <f>IF($B136="","",IF($D136&lt;&gt;"",$D136,IFERROR(INDEX(PecPreco,MATCH($B136,PecCod,0)),0)))</f>
        <v>0</v>
      </c>
      <c r="G136" s="27">
        <f>IF(OR($B136="",$C136=""),"",$C136*$F136)</f>
        <v>0</v>
      </c>
      <c r="H136" s="27">
        <f>IF(OR($B136="",$C136=""),"",$C136*IFERROR(INDEX(PecCusto,MATCH($B136,PecCod,0)),0))</f>
        <v>0</v>
      </c>
      <c r="I136" s="32">
        <f>IF($A136="","",IFERROR(INDEX(OSStatus,MATCH($A136,OSNum,0)),"OS inexistente"))</f>
        <v>0</v>
      </c>
      <c r="J136" s="32">
        <f>IF($A136="","",IF($I136="OS inexistente","OS inexistente",IF($E136="Peça não cadastrada","Peça não cadastrada","OK")))</f>
        <v>0</v>
      </c>
    </row>
    <row r="137" spans="1:10">
      <c r="A137" s="17"/>
      <c r="B137" s="13"/>
      <c r="C137" s="20"/>
      <c r="D137" s="19"/>
      <c r="E137" s="26">
        <f>IF($B137="","",IFERROR(INDEX(PecDesc,MATCH($B137,PecCod,0)),"Peça não cadastrada"))</f>
        <v>0</v>
      </c>
      <c r="F137" s="27">
        <f>IF($B137="","",IF($D137&lt;&gt;"",$D137,IFERROR(INDEX(PecPreco,MATCH($B137,PecCod,0)),0)))</f>
        <v>0</v>
      </c>
      <c r="G137" s="27">
        <f>IF(OR($B137="",$C137=""),"",$C137*$F137)</f>
        <v>0</v>
      </c>
      <c r="H137" s="27">
        <f>IF(OR($B137="",$C137=""),"",$C137*IFERROR(INDEX(PecCusto,MATCH($B137,PecCod,0)),0))</f>
        <v>0</v>
      </c>
      <c r="I137" s="32">
        <f>IF($A137="","",IFERROR(INDEX(OSStatus,MATCH($A137,OSNum,0)),"OS inexistente"))</f>
        <v>0</v>
      </c>
      <c r="J137" s="32">
        <f>IF($A137="","",IF($I137="OS inexistente","OS inexistente",IF($E137="Peça não cadastrada","Peça não cadastrada","OK")))</f>
        <v>0</v>
      </c>
    </row>
    <row r="138" spans="1:10">
      <c r="A138" s="17"/>
      <c r="B138" s="13"/>
      <c r="C138" s="20"/>
      <c r="D138" s="19"/>
      <c r="E138" s="26">
        <f>IF($B138="","",IFERROR(INDEX(PecDesc,MATCH($B138,PecCod,0)),"Peça não cadastrada"))</f>
        <v>0</v>
      </c>
      <c r="F138" s="27">
        <f>IF($B138="","",IF($D138&lt;&gt;"",$D138,IFERROR(INDEX(PecPreco,MATCH($B138,PecCod,0)),0)))</f>
        <v>0</v>
      </c>
      <c r="G138" s="27">
        <f>IF(OR($B138="",$C138=""),"",$C138*$F138)</f>
        <v>0</v>
      </c>
      <c r="H138" s="27">
        <f>IF(OR($B138="",$C138=""),"",$C138*IFERROR(INDEX(PecCusto,MATCH($B138,PecCod,0)),0))</f>
        <v>0</v>
      </c>
      <c r="I138" s="32">
        <f>IF($A138="","",IFERROR(INDEX(OSStatus,MATCH($A138,OSNum,0)),"OS inexistente"))</f>
        <v>0</v>
      </c>
      <c r="J138" s="32">
        <f>IF($A138="","",IF($I138="OS inexistente","OS inexistente",IF($E138="Peça não cadastrada","Peça não cadastrada","OK")))</f>
        <v>0</v>
      </c>
    </row>
    <row r="139" spans="1:10">
      <c r="A139" s="17"/>
      <c r="B139" s="13"/>
      <c r="C139" s="20"/>
      <c r="D139" s="19"/>
      <c r="E139" s="26">
        <f>IF($B139="","",IFERROR(INDEX(PecDesc,MATCH($B139,PecCod,0)),"Peça não cadastrada"))</f>
        <v>0</v>
      </c>
      <c r="F139" s="27">
        <f>IF($B139="","",IF($D139&lt;&gt;"",$D139,IFERROR(INDEX(PecPreco,MATCH($B139,PecCod,0)),0)))</f>
        <v>0</v>
      </c>
      <c r="G139" s="27">
        <f>IF(OR($B139="",$C139=""),"",$C139*$F139)</f>
        <v>0</v>
      </c>
      <c r="H139" s="27">
        <f>IF(OR($B139="",$C139=""),"",$C139*IFERROR(INDEX(PecCusto,MATCH($B139,PecCod,0)),0))</f>
        <v>0</v>
      </c>
      <c r="I139" s="32">
        <f>IF($A139="","",IFERROR(INDEX(OSStatus,MATCH($A139,OSNum,0)),"OS inexistente"))</f>
        <v>0</v>
      </c>
      <c r="J139" s="32">
        <f>IF($A139="","",IF($I139="OS inexistente","OS inexistente",IF($E139="Peça não cadastrada","Peça não cadastrada","OK")))</f>
        <v>0</v>
      </c>
    </row>
    <row r="140" spans="1:10">
      <c r="A140" s="17"/>
      <c r="B140" s="13"/>
      <c r="C140" s="20"/>
      <c r="D140" s="19"/>
      <c r="E140" s="26">
        <f>IF($B140="","",IFERROR(INDEX(PecDesc,MATCH($B140,PecCod,0)),"Peça não cadastrada"))</f>
        <v>0</v>
      </c>
      <c r="F140" s="27">
        <f>IF($B140="","",IF($D140&lt;&gt;"",$D140,IFERROR(INDEX(PecPreco,MATCH($B140,PecCod,0)),0)))</f>
        <v>0</v>
      </c>
      <c r="G140" s="27">
        <f>IF(OR($B140="",$C140=""),"",$C140*$F140)</f>
        <v>0</v>
      </c>
      <c r="H140" s="27">
        <f>IF(OR($B140="",$C140=""),"",$C140*IFERROR(INDEX(PecCusto,MATCH($B140,PecCod,0)),0))</f>
        <v>0</v>
      </c>
      <c r="I140" s="32">
        <f>IF($A140="","",IFERROR(INDEX(OSStatus,MATCH($A140,OSNum,0)),"OS inexistente"))</f>
        <v>0</v>
      </c>
      <c r="J140" s="32">
        <f>IF($A140="","",IF($I140="OS inexistente","OS inexistente",IF($E140="Peça não cadastrada","Peça não cadastrada","OK")))</f>
        <v>0</v>
      </c>
    </row>
    <row r="141" spans="1:10">
      <c r="A141" s="17"/>
      <c r="B141" s="13"/>
      <c r="C141" s="20"/>
      <c r="D141" s="19"/>
      <c r="E141" s="26">
        <f>IF($B141="","",IFERROR(INDEX(PecDesc,MATCH($B141,PecCod,0)),"Peça não cadastrada"))</f>
        <v>0</v>
      </c>
      <c r="F141" s="27">
        <f>IF($B141="","",IF($D141&lt;&gt;"",$D141,IFERROR(INDEX(PecPreco,MATCH($B141,PecCod,0)),0)))</f>
        <v>0</v>
      </c>
      <c r="G141" s="27">
        <f>IF(OR($B141="",$C141=""),"",$C141*$F141)</f>
        <v>0</v>
      </c>
      <c r="H141" s="27">
        <f>IF(OR($B141="",$C141=""),"",$C141*IFERROR(INDEX(PecCusto,MATCH($B141,PecCod,0)),0))</f>
        <v>0</v>
      </c>
      <c r="I141" s="32">
        <f>IF($A141="","",IFERROR(INDEX(OSStatus,MATCH($A141,OSNum,0)),"OS inexistente"))</f>
        <v>0</v>
      </c>
      <c r="J141" s="32">
        <f>IF($A141="","",IF($I141="OS inexistente","OS inexistente",IF($E141="Peça não cadastrada","Peça não cadastrada","OK")))</f>
        <v>0</v>
      </c>
    </row>
    <row r="142" spans="1:10">
      <c r="A142" s="17"/>
      <c r="B142" s="13"/>
      <c r="C142" s="20"/>
      <c r="D142" s="19"/>
      <c r="E142" s="26">
        <f>IF($B142="","",IFERROR(INDEX(PecDesc,MATCH($B142,PecCod,0)),"Peça não cadastrada"))</f>
        <v>0</v>
      </c>
      <c r="F142" s="27">
        <f>IF($B142="","",IF($D142&lt;&gt;"",$D142,IFERROR(INDEX(PecPreco,MATCH($B142,PecCod,0)),0)))</f>
        <v>0</v>
      </c>
      <c r="G142" s="27">
        <f>IF(OR($B142="",$C142=""),"",$C142*$F142)</f>
        <v>0</v>
      </c>
      <c r="H142" s="27">
        <f>IF(OR($B142="",$C142=""),"",$C142*IFERROR(INDEX(PecCusto,MATCH($B142,PecCod,0)),0))</f>
        <v>0</v>
      </c>
      <c r="I142" s="32">
        <f>IF($A142="","",IFERROR(INDEX(OSStatus,MATCH($A142,OSNum,0)),"OS inexistente"))</f>
        <v>0</v>
      </c>
      <c r="J142" s="32">
        <f>IF($A142="","",IF($I142="OS inexistente","OS inexistente",IF($E142="Peça não cadastrada","Peça não cadastrada","OK")))</f>
        <v>0</v>
      </c>
    </row>
    <row r="143" spans="1:10">
      <c r="A143" s="17"/>
      <c r="B143" s="13"/>
      <c r="C143" s="20"/>
      <c r="D143" s="19"/>
      <c r="E143" s="26">
        <f>IF($B143="","",IFERROR(INDEX(PecDesc,MATCH($B143,PecCod,0)),"Peça não cadastrada"))</f>
        <v>0</v>
      </c>
      <c r="F143" s="27">
        <f>IF($B143="","",IF($D143&lt;&gt;"",$D143,IFERROR(INDEX(PecPreco,MATCH($B143,PecCod,0)),0)))</f>
        <v>0</v>
      </c>
      <c r="G143" s="27">
        <f>IF(OR($B143="",$C143=""),"",$C143*$F143)</f>
        <v>0</v>
      </c>
      <c r="H143" s="27">
        <f>IF(OR($B143="",$C143=""),"",$C143*IFERROR(INDEX(PecCusto,MATCH($B143,PecCod,0)),0))</f>
        <v>0</v>
      </c>
      <c r="I143" s="32">
        <f>IF($A143="","",IFERROR(INDEX(OSStatus,MATCH($A143,OSNum,0)),"OS inexistente"))</f>
        <v>0</v>
      </c>
      <c r="J143" s="32">
        <f>IF($A143="","",IF($I143="OS inexistente","OS inexistente",IF($E143="Peça não cadastrada","Peça não cadastrada","OK")))</f>
        <v>0</v>
      </c>
    </row>
    <row r="144" spans="1:10">
      <c r="A144" s="17"/>
      <c r="B144" s="13"/>
      <c r="C144" s="20"/>
      <c r="D144" s="19"/>
      <c r="E144" s="26">
        <f>IF($B144="","",IFERROR(INDEX(PecDesc,MATCH($B144,PecCod,0)),"Peça não cadastrada"))</f>
        <v>0</v>
      </c>
      <c r="F144" s="27">
        <f>IF($B144="","",IF($D144&lt;&gt;"",$D144,IFERROR(INDEX(PecPreco,MATCH($B144,PecCod,0)),0)))</f>
        <v>0</v>
      </c>
      <c r="G144" s="27">
        <f>IF(OR($B144="",$C144=""),"",$C144*$F144)</f>
        <v>0</v>
      </c>
      <c r="H144" s="27">
        <f>IF(OR($B144="",$C144=""),"",$C144*IFERROR(INDEX(PecCusto,MATCH($B144,PecCod,0)),0))</f>
        <v>0</v>
      </c>
      <c r="I144" s="32">
        <f>IF($A144="","",IFERROR(INDEX(OSStatus,MATCH($A144,OSNum,0)),"OS inexistente"))</f>
        <v>0</v>
      </c>
      <c r="J144" s="32">
        <f>IF($A144="","",IF($I144="OS inexistente","OS inexistente",IF($E144="Peça não cadastrada","Peça não cadastrada","OK")))</f>
        <v>0</v>
      </c>
    </row>
    <row r="145" spans="1:10">
      <c r="A145" s="17"/>
      <c r="B145" s="13"/>
      <c r="C145" s="20"/>
      <c r="D145" s="19"/>
      <c r="E145" s="26">
        <f>IF($B145="","",IFERROR(INDEX(PecDesc,MATCH($B145,PecCod,0)),"Peça não cadastrada"))</f>
        <v>0</v>
      </c>
      <c r="F145" s="27">
        <f>IF($B145="","",IF($D145&lt;&gt;"",$D145,IFERROR(INDEX(PecPreco,MATCH($B145,PecCod,0)),0)))</f>
        <v>0</v>
      </c>
      <c r="G145" s="27">
        <f>IF(OR($B145="",$C145=""),"",$C145*$F145)</f>
        <v>0</v>
      </c>
      <c r="H145" s="27">
        <f>IF(OR($B145="",$C145=""),"",$C145*IFERROR(INDEX(PecCusto,MATCH($B145,PecCod,0)),0))</f>
        <v>0</v>
      </c>
      <c r="I145" s="32">
        <f>IF($A145="","",IFERROR(INDEX(OSStatus,MATCH($A145,OSNum,0)),"OS inexistente"))</f>
        <v>0</v>
      </c>
      <c r="J145" s="32">
        <f>IF($A145="","",IF($I145="OS inexistente","OS inexistente",IF($E145="Peça não cadastrada","Peça não cadastrada","OK")))</f>
        <v>0</v>
      </c>
    </row>
    <row r="146" spans="1:10">
      <c r="A146" s="17"/>
      <c r="B146" s="13"/>
      <c r="C146" s="20"/>
      <c r="D146" s="19"/>
      <c r="E146" s="26">
        <f>IF($B146="","",IFERROR(INDEX(PecDesc,MATCH($B146,PecCod,0)),"Peça não cadastrada"))</f>
        <v>0</v>
      </c>
      <c r="F146" s="27">
        <f>IF($B146="","",IF($D146&lt;&gt;"",$D146,IFERROR(INDEX(PecPreco,MATCH($B146,PecCod,0)),0)))</f>
        <v>0</v>
      </c>
      <c r="G146" s="27">
        <f>IF(OR($B146="",$C146=""),"",$C146*$F146)</f>
        <v>0</v>
      </c>
      <c r="H146" s="27">
        <f>IF(OR($B146="",$C146=""),"",$C146*IFERROR(INDEX(PecCusto,MATCH($B146,PecCod,0)),0))</f>
        <v>0</v>
      </c>
      <c r="I146" s="32">
        <f>IF($A146="","",IFERROR(INDEX(OSStatus,MATCH($A146,OSNum,0)),"OS inexistente"))</f>
        <v>0</v>
      </c>
      <c r="J146" s="32">
        <f>IF($A146="","",IF($I146="OS inexistente","OS inexistente",IF($E146="Peça não cadastrada","Peça não cadastrada","OK")))</f>
        <v>0</v>
      </c>
    </row>
    <row r="147" spans="1:10">
      <c r="A147" s="17"/>
      <c r="B147" s="13"/>
      <c r="C147" s="20"/>
      <c r="D147" s="19"/>
      <c r="E147" s="26">
        <f>IF($B147="","",IFERROR(INDEX(PecDesc,MATCH($B147,PecCod,0)),"Peça não cadastrada"))</f>
        <v>0</v>
      </c>
      <c r="F147" s="27">
        <f>IF($B147="","",IF($D147&lt;&gt;"",$D147,IFERROR(INDEX(PecPreco,MATCH($B147,PecCod,0)),0)))</f>
        <v>0</v>
      </c>
      <c r="G147" s="27">
        <f>IF(OR($B147="",$C147=""),"",$C147*$F147)</f>
        <v>0</v>
      </c>
      <c r="H147" s="27">
        <f>IF(OR($B147="",$C147=""),"",$C147*IFERROR(INDEX(PecCusto,MATCH($B147,PecCod,0)),0))</f>
        <v>0</v>
      </c>
      <c r="I147" s="32">
        <f>IF($A147="","",IFERROR(INDEX(OSStatus,MATCH($A147,OSNum,0)),"OS inexistente"))</f>
        <v>0</v>
      </c>
      <c r="J147" s="32">
        <f>IF($A147="","",IF($I147="OS inexistente","OS inexistente",IF($E147="Peça não cadastrada","Peça não cadastrada","OK")))</f>
        <v>0</v>
      </c>
    </row>
    <row r="148" spans="1:10">
      <c r="A148" s="17"/>
      <c r="B148" s="13"/>
      <c r="C148" s="20"/>
      <c r="D148" s="19"/>
      <c r="E148" s="26">
        <f>IF($B148="","",IFERROR(INDEX(PecDesc,MATCH($B148,PecCod,0)),"Peça não cadastrada"))</f>
        <v>0</v>
      </c>
      <c r="F148" s="27">
        <f>IF($B148="","",IF($D148&lt;&gt;"",$D148,IFERROR(INDEX(PecPreco,MATCH($B148,PecCod,0)),0)))</f>
        <v>0</v>
      </c>
      <c r="G148" s="27">
        <f>IF(OR($B148="",$C148=""),"",$C148*$F148)</f>
        <v>0</v>
      </c>
      <c r="H148" s="27">
        <f>IF(OR($B148="",$C148=""),"",$C148*IFERROR(INDEX(PecCusto,MATCH($B148,PecCod,0)),0))</f>
        <v>0</v>
      </c>
      <c r="I148" s="32">
        <f>IF($A148="","",IFERROR(INDEX(OSStatus,MATCH($A148,OSNum,0)),"OS inexistente"))</f>
        <v>0</v>
      </c>
      <c r="J148" s="32">
        <f>IF($A148="","",IF($I148="OS inexistente","OS inexistente",IF($E148="Peça não cadastrada","Peça não cadastrada","OK")))</f>
        <v>0</v>
      </c>
    </row>
    <row r="149" spans="1:10">
      <c r="A149" s="17"/>
      <c r="B149" s="13"/>
      <c r="C149" s="20"/>
      <c r="D149" s="19"/>
      <c r="E149" s="26">
        <f>IF($B149="","",IFERROR(INDEX(PecDesc,MATCH($B149,PecCod,0)),"Peça não cadastrada"))</f>
        <v>0</v>
      </c>
      <c r="F149" s="27">
        <f>IF($B149="","",IF($D149&lt;&gt;"",$D149,IFERROR(INDEX(PecPreco,MATCH($B149,PecCod,0)),0)))</f>
        <v>0</v>
      </c>
      <c r="G149" s="27">
        <f>IF(OR($B149="",$C149=""),"",$C149*$F149)</f>
        <v>0</v>
      </c>
      <c r="H149" s="27">
        <f>IF(OR($B149="",$C149=""),"",$C149*IFERROR(INDEX(PecCusto,MATCH($B149,PecCod,0)),0))</f>
        <v>0</v>
      </c>
      <c r="I149" s="32">
        <f>IF($A149="","",IFERROR(INDEX(OSStatus,MATCH($A149,OSNum,0)),"OS inexistente"))</f>
        <v>0</v>
      </c>
      <c r="J149" s="32">
        <f>IF($A149="","",IF($I149="OS inexistente","OS inexistente",IF($E149="Peça não cadastrada","Peça não cadastrada","OK")))</f>
        <v>0</v>
      </c>
    </row>
    <row r="150" spans="1:10">
      <c r="A150" s="17"/>
      <c r="B150" s="13"/>
      <c r="C150" s="20"/>
      <c r="D150" s="19"/>
      <c r="E150" s="26">
        <f>IF($B150="","",IFERROR(INDEX(PecDesc,MATCH($B150,PecCod,0)),"Peça não cadastrada"))</f>
        <v>0</v>
      </c>
      <c r="F150" s="27">
        <f>IF($B150="","",IF($D150&lt;&gt;"",$D150,IFERROR(INDEX(PecPreco,MATCH($B150,PecCod,0)),0)))</f>
        <v>0</v>
      </c>
      <c r="G150" s="27">
        <f>IF(OR($B150="",$C150=""),"",$C150*$F150)</f>
        <v>0</v>
      </c>
      <c r="H150" s="27">
        <f>IF(OR($B150="",$C150=""),"",$C150*IFERROR(INDEX(PecCusto,MATCH($B150,PecCod,0)),0))</f>
        <v>0</v>
      </c>
      <c r="I150" s="32">
        <f>IF($A150="","",IFERROR(INDEX(OSStatus,MATCH($A150,OSNum,0)),"OS inexistente"))</f>
        <v>0</v>
      </c>
      <c r="J150" s="32">
        <f>IF($A150="","",IF($I150="OS inexistente","OS inexistente",IF($E150="Peça não cadastrada","Peça não cadastrada","OK")))</f>
        <v>0</v>
      </c>
    </row>
    <row r="151" spans="1:10">
      <c r="A151" s="17"/>
      <c r="B151" s="13"/>
      <c r="C151" s="20"/>
      <c r="D151" s="19"/>
      <c r="E151" s="26">
        <f>IF($B151="","",IFERROR(INDEX(PecDesc,MATCH($B151,PecCod,0)),"Peça não cadastrada"))</f>
        <v>0</v>
      </c>
      <c r="F151" s="27">
        <f>IF($B151="","",IF($D151&lt;&gt;"",$D151,IFERROR(INDEX(PecPreco,MATCH($B151,PecCod,0)),0)))</f>
        <v>0</v>
      </c>
      <c r="G151" s="27">
        <f>IF(OR($B151="",$C151=""),"",$C151*$F151)</f>
        <v>0</v>
      </c>
      <c r="H151" s="27">
        <f>IF(OR($B151="",$C151=""),"",$C151*IFERROR(INDEX(PecCusto,MATCH($B151,PecCod,0)),0))</f>
        <v>0</v>
      </c>
      <c r="I151" s="32">
        <f>IF($A151="","",IFERROR(INDEX(OSStatus,MATCH($A151,OSNum,0)),"OS inexistente"))</f>
        <v>0</v>
      </c>
      <c r="J151" s="32">
        <f>IF($A151="","",IF($I151="OS inexistente","OS inexistente",IF($E151="Peça não cadastrada","Peça não cadastrada","OK")))</f>
        <v>0</v>
      </c>
    </row>
    <row r="152" spans="1:10">
      <c r="A152" s="17"/>
      <c r="B152" s="13"/>
      <c r="C152" s="20"/>
      <c r="D152" s="19"/>
      <c r="E152" s="26">
        <f>IF($B152="","",IFERROR(INDEX(PecDesc,MATCH($B152,PecCod,0)),"Peça não cadastrada"))</f>
        <v>0</v>
      </c>
      <c r="F152" s="27">
        <f>IF($B152="","",IF($D152&lt;&gt;"",$D152,IFERROR(INDEX(PecPreco,MATCH($B152,PecCod,0)),0)))</f>
        <v>0</v>
      </c>
      <c r="G152" s="27">
        <f>IF(OR($B152="",$C152=""),"",$C152*$F152)</f>
        <v>0</v>
      </c>
      <c r="H152" s="27">
        <f>IF(OR($B152="",$C152=""),"",$C152*IFERROR(INDEX(PecCusto,MATCH($B152,PecCod,0)),0))</f>
        <v>0</v>
      </c>
      <c r="I152" s="32">
        <f>IF($A152="","",IFERROR(INDEX(OSStatus,MATCH($A152,OSNum,0)),"OS inexistente"))</f>
        <v>0</v>
      </c>
      <c r="J152" s="32">
        <f>IF($A152="","",IF($I152="OS inexistente","OS inexistente",IF($E152="Peça não cadastrada","Peça não cadastrada","OK")))</f>
        <v>0</v>
      </c>
    </row>
    <row r="153" spans="1:10">
      <c r="A153" s="17"/>
      <c r="B153" s="13"/>
      <c r="C153" s="20"/>
      <c r="D153" s="19"/>
      <c r="E153" s="26">
        <f>IF($B153="","",IFERROR(INDEX(PecDesc,MATCH($B153,PecCod,0)),"Peça não cadastrada"))</f>
        <v>0</v>
      </c>
      <c r="F153" s="27">
        <f>IF($B153="","",IF($D153&lt;&gt;"",$D153,IFERROR(INDEX(PecPreco,MATCH($B153,PecCod,0)),0)))</f>
        <v>0</v>
      </c>
      <c r="G153" s="27">
        <f>IF(OR($B153="",$C153=""),"",$C153*$F153)</f>
        <v>0</v>
      </c>
      <c r="H153" s="27">
        <f>IF(OR($B153="",$C153=""),"",$C153*IFERROR(INDEX(PecCusto,MATCH($B153,PecCod,0)),0))</f>
        <v>0</v>
      </c>
      <c r="I153" s="32">
        <f>IF($A153="","",IFERROR(INDEX(OSStatus,MATCH($A153,OSNum,0)),"OS inexistente"))</f>
        <v>0</v>
      </c>
      <c r="J153" s="32">
        <f>IF($A153="","",IF($I153="OS inexistente","OS inexistente",IF($E153="Peça não cadastrada","Peça não cadastrada","OK")))</f>
        <v>0</v>
      </c>
    </row>
    <row r="154" spans="1:10">
      <c r="A154" s="17"/>
      <c r="B154" s="13"/>
      <c r="C154" s="20"/>
      <c r="D154" s="19"/>
      <c r="E154" s="26">
        <f>IF($B154="","",IFERROR(INDEX(PecDesc,MATCH($B154,PecCod,0)),"Peça não cadastrada"))</f>
        <v>0</v>
      </c>
      <c r="F154" s="27">
        <f>IF($B154="","",IF($D154&lt;&gt;"",$D154,IFERROR(INDEX(PecPreco,MATCH($B154,PecCod,0)),0)))</f>
        <v>0</v>
      </c>
      <c r="G154" s="27">
        <f>IF(OR($B154="",$C154=""),"",$C154*$F154)</f>
        <v>0</v>
      </c>
      <c r="H154" s="27">
        <f>IF(OR($B154="",$C154=""),"",$C154*IFERROR(INDEX(PecCusto,MATCH($B154,PecCod,0)),0))</f>
        <v>0</v>
      </c>
      <c r="I154" s="32">
        <f>IF($A154="","",IFERROR(INDEX(OSStatus,MATCH($A154,OSNum,0)),"OS inexistente"))</f>
        <v>0</v>
      </c>
      <c r="J154" s="32">
        <f>IF($A154="","",IF($I154="OS inexistente","OS inexistente",IF($E154="Peça não cadastrada","Peça não cadastrada","OK")))</f>
        <v>0</v>
      </c>
    </row>
    <row r="155" spans="1:10">
      <c r="A155" s="17"/>
      <c r="B155" s="13"/>
      <c r="C155" s="20"/>
      <c r="D155" s="19"/>
      <c r="E155" s="26">
        <f>IF($B155="","",IFERROR(INDEX(PecDesc,MATCH($B155,PecCod,0)),"Peça não cadastrada"))</f>
        <v>0</v>
      </c>
      <c r="F155" s="27">
        <f>IF($B155="","",IF($D155&lt;&gt;"",$D155,IFERROR(INDEX(PecPreco,MATCH($B155,PecCod,0)),0)))</f>
        <v>0</v>
      </c>
      <c r="G155" s="27">
        <f>IF(OR($B155="",$C155=""),"",$C155*$F155)</f>
        <v>0</v>
      </c>
      <c r="H155" s="27">
        <f>IF(OR($B155="",$C155=""),"",$C155*IFERROR(INDEX(PecCusto,MATCH($B155,PecCod,0)),0))</f>
        <v>0</v>
      </c>
      <c r="I155" s="32">
        <f>IF($A155="","",IFERROR(INDEX(OSStatus,MATCH($A155,OSNum,0)),"OS inexistente"))</f>
        <v>0</v>
      </c>
      <c r="J155" s="32">
        <f>IF($A155="","",IF($I155="OS inexistente","OS inexistente",IF($E155="Peça não cadastrada","Peça não cadastrada","OK")))</f>
        <v>0</v>
      </c>
    </row>
    <row r="156" spans="1:10">
      <c r="A156" s="17"/>
      <c r="B156" s="13"/>
      <c r="C156" s="20"/>
      <c r="D156" s="19"/>
      <c r="E156" s="26">
        <f>IF($B156="","",IFERROR(INDEX(PecDesc,MATCH($B156,PecCod,0)),"Peça não cadastrada"))</f>
        <v>0</v>
      </c>
      <c r="F156" s="27">
        <f>IF($B156="","",IF($D156&lt;&gt;"",$D156,IFERROR(INDEX(PecPreco,MATCH($B156,PecCod,0)),0)))</f>
        <v>0</v>
      </c>
      <c r="G156" s="27">
        <f>IF(OR($B156="",$C156=""),"",$C156*$F156)</f>
        <v>0</v>
      </c>
      <c r="H156" s="27">
        <f>IF(OR($B156="",$C156=""),"",$C156*IFERROR(INDEX(PecCusto,MATCH($B156,PecCod,0)),0))</f>
        <v>0</v>
      </c>
      <c r="I156" s="32">
        <f>IF($A156="","",IFERROR(INDEX(OSStatus,MATCH($A156,OSNum,0)),"OS inexistente"))</f>
        <v>0</v>
      </c>
      <c r="J156" s="32">
        <f>IF($A156="","",IF($I156="OS inexistente","OS inexistente",IF($E156="Peça não cadastrada","Peça não cadastrada","OK")))</f>
        <v>0</v>
      </c>
    </row>
    <row r="157" spans="1:10">
      <c r="A157" s="17"/>
      <c r="B157" s="13"/>
      <c r="C157" s="20"/>
      <c r="D157" s="19"/>
      <c r="E157" s="26">
        <f>IF($B157="","",IFERROR(INDEX(PecDesc,MATCH($B157,PecCod,0)),"Peça não cadastrada"))</f>
        <v>0</v>
      </c>
      <c r="F157" s="27">
        <f>IF($B157="","",IF($D157&lt;&gt;"",$D157,IFERROR(INDEX(PecPreco,MATCH($B157,PecCod,0)),0)))</f>
        <v>0</v>
      </c>
      <c r="G157" s="27">
        <f>IF(OR($B157="",$C157=""),"",$C157*$F157)</f>
        <v>0</v>
      </c>
      <c r="H157" s="27">
        <f>IF(OR($B157="",$C157=""),"",$C157*IFERROR(INDEX(PecCusto,MATCH($B157,PecCod,0)),0))</f>
        <v>0</v>
      </c>
      <c r="I157" s="32">
        <f>IF($A157="","",IFERROR(INDEX(OSStatus,MATCH($A157,OSNum,0)),"OS inexistente"))</f>
        <v>0</v>
      </c>
      <c r="J157" s="32">
        <f>IF($A157="","",IF($I157="OS inexistente","OS inexistente",IF($E157="Peça não cadastrada","Peça não cadastrada","OK")))</f>
        <v>0</v>
      </c>
    </row>
    <row r="158" spans="1:10">
      <c r="A158" s="17"/>
      <c r="B158" s="13"/>
      <c r="C158" s="20"/>
      <c r="D158" s="19"/>
      <c r="E158" s="26">
        <f>IF($B158="","",IFERROR(INDEX(PecDesc,MATCH($B158,PecCod,0)),"Peça não cadastrada"))</f>
        <v>0</v>
      </c>
      <c r="F158" s="27">
        <f>IF($B158="","",IF($D158&lt;&gt;"",$D158,IFERROR(INDEX(PecPreco,MATCH($B158,PecCod,0)),0)))</f>
        <v>0</v>
      </c>
      <c r="G158" s="27">
        <f>IF(OR($B158="",$C158=""),"",$C158*$F158)</f>
        <v>0</v>
      </c>
      <c r="H158" s="27">
        <f>IF(OR($B158="",$C158=""),"",$C158*IFERROR(INDEX(PecCusto,MATCH($B158,PecCod,0)),0))</f>
        <v>0</v>
      </c>
      <c r="I158" s="32">
        <f>IF($A158="","",IFERROR(INDEX(OSStatus,MATCH($A158,OSNum,0)),"OS inexistente"))</f>
        <v>0</v>
      </c>
      <c r="J158" s="32">
        <f>IF($A158="","",IF($I158="OS inexistente","OS inexistente",IF($E158="Peça não cadastrada","Peça não cadastrada","OK")))</f>
        <v>0</v>
      </c>
    </row>
    <row r="159" spans="1:10">
      <c r="A159" s="17"/>
      <c r="B159" s="13"/>
      <c r="C159" s="20"/>
      <c r="D159" s="19"/>
      <c r="E159" s="26">
        <f>IF($B159="","",IFERROR(INDEX(PecDesc,MATCH($B159,PecCod,0)),"Peça não cadastrada"))</f>
        <v>0</v>
      </c>
      <c r="F159" s="27">
        <f>IF($B159="","",IF($D159&lt;&gt;"",$D159,IFERROR(INDEX(PecPreco,MATCH($B159,PecCod,0)),0)))</f>
        <v>0</v>
      </c>
      <c r="G159" s="27">
        <f>IF(OR($B159="",$C159=""),"",$C159*$F159)</f>
        <v>0</v>
      </c>
      <c r="H159" s="27">
        <f>IF(OR($B159="",$C159=""),"",$C159*IFERROR(INDEX(PecCusto,MATCH($B159,PecCod,0)),0))</f>
        <v>0</v>
      </c>
      <c r="I159" s="32">
        <f>IF($A159="","",IFERROR(INDEX(OSStatus,MATCH($A159,OSNum,0)),"OS inexistente"))</f>
        <v>0</v>
      </c>
      <c r="J159" s="32">
        <f>IF($A159="","",IF($I159="OS inexistente","OS inexistente",IF($E159="Peça não cadastrada","Peça não cadastrada","OK")))</f>
        <v>0</v>
      </c>
    </row>
    <row r="160" spans="1:10">
      <c r="A160" s="17"/>
      <c r="B160" s="13"/>
      <c r="C160" s="20"/>
      <c r="D160" s="19"/>
      <c r="E160" s="26">
        <f>IF($B160="","",IFERROR(INDEX(PecDesc,MATCH($B160,PecCod,0)),"Peça não cadastrada"))</f>
        <v>0</v>
      </c>
      <c r="F160" s="27">
        <f>IF($B160="","",IF($D160&lt;&gt;"",$D160,IFERROR(INDEX(PecPreco,MATCH($B160,PecCod,0)),0)))</f>
        <v>0</v>
      </c>
      <c r="G160" s="27">
        <f>IF(OR($B160="",$C160=""),"",$C160*$F160)</f>
        <v>0</v>
      </c>
      <c r="H160" s="27">
        <f>IF(OR($B160="",$C160=""),"",$C160*IFERROR(INDEX(PecCusto,MATCH($B160,PecCod,0)),0))</f>
        <v>0</v>
      </c>
      <c r="I160" s="32">
        <f>IF($A160="","",IFERROR(INDEX(OSStatus,MATCH($A160,OSNum,0)),"OS inexistente"))</f>
        <v>0</v>
      </c>
      <c r="J160" s="32">
        <f>IF($A160="","",IF($I160="OS inexistente","OS inexistente",IF($E160="Peça não cadastrada","Peça não cadastrada","OK")))</f>
        <v>0</v>
      </c>
    </row>
    <row r="161" spans="1:10">
      <c r="A161" s="17"/>
      <c r="B161" s="13"/>
      <c r="C161" s="20"/>
      <c r="D161" s="19"/>
      <c r="E161" s="26">
        <f>IF($B161="","",IFERROR(INDEX(PecDesc,MATCH($B161,PecCod,0)),"Peça não cadastrada"))</f>
        <v>0</v>
      </c>
      <c r="F161" s="27">
        <f>IF($B161="","",IF($D161&lt;&gt;"",$D161,IFERROR(INDEX(PecPreco,MATCH($B161,PecCod,0)),0)))</f>
        <v>0</v>
      </c>
      <c r="G161" s="27">
        <f>IF(OR($B161="",$C161=""),"",$C161*$F161)</f>
        <v>0</v>
      </c>
      <c r="H161" s="27">
        <f>IF(OR($B161="",$C161=""),"",$C161*IFERROR(INDEX(PecCusto,MATCH($B161,PecCod,0)),0))</f>
        <v>0</v>
      </c>
      <c r="I161" s="32">
        <f>IF($A161="","",IFERROR(INDEX(OSStatus,MATCH($A161,OSNum,0)),"OS inexistente"))</f>
        <v>0</v>
      </c>
      <c r="J161" s="32">
        <f>IF($A161="","",IF($I161="OS inexistente","OS inexistente",IF($E161="Peça não cadastrada","Peça não cadastrada","OK")))</f>
        <v>0</v>
      </c>
    </row>
    <row r="162" spans="1:10">
      <c r="A162" s="17"/>
      <c r="B162" s="13"/>
      <c r="C162" s="20"/>
      <c r="D162" s="19"/>
      <c r="E162" s="26">
        <f>IF($B162="","",IFERROR(INDEX(PecDesc,MATCH($B162,PecCod,0)),"Peça não cadastrada"))</f>
        <v>0</v>
      </c>
      <c r="F162" s="27">
        <f>IF($B162="","",IF($D162&lt;&gt;"",$D162,IFERROR(INDEX(PecPreco,MATCH($B162,PecCod,0)),0)))</f>
        <v>0</v>
      </c>
      <c r="G162" s="27">
        <f>IF(OR($B162="",$C162=""),"",$C162*$F162)</f>
        <v>0</v>
      </c>
      <c r="H162" s="27">
        <f>IF(OR($B162="",$C162=""),"",$C162*IFERROR(INDEX(PecCusto,MATCH($B162,PecCod,0)),0))</f>
        <v>0</v>
      </c>
      <c r="I162" s="32">
        <f>IF($A162="","",IFERROR(INDEX(OSStatus,MATCH($A162,OSNum,0)),"OS inexistente"))</f>
        <v>0</v>
      </c>
      <c r="J162" s="32">
        <f>IF($A162="","",IF($I162="OS inexistente","OS inexistente",IF($E162="Peça não cadastrada","Peça não cadastrada","OK")))</f>
        <v>0</v>
      </c>
    </row>
    <row r="163" spans="1:10">
      <c r="A163" s="17"/>
      <c r="B163" s="13"/>
      <c r="C163" s="20"/>
      <c r="D163" s="19"/>
      <c r="E163" s="26">
        <f>IF($B163="","",IFERROR(INDEX(PecDesc,MATCH($B163,PecCod,0)),"Peça não cadastrada"))</f>
        <v>0</v>
      </c>
      <c r="F163" s="27">
        <f>IF($B163="","",IF($D163&lt;&gt;"",$D163,IFERROR(INDEX(PecPreco,MATCH($B163,PecCod,0)),0)))</f>
        <v>0</v>
      </c>
      <c r="G163" s="27">
        <f>IF(OR($B163="",$C163=""),"",$C163*$F163)</f>
        <v>0</v>
      </c>
      <c r="H163" s="27">
        <f>IF(OR($B163="",$C163=""),"",$C163*IFERROR(INDEX(PecCusto,MATCH($B163,PecCod,0)),0))</f>
        <v>0</v>
      </c>
      <c r="I163" s="32">
        <f>IF($A163="","",IFERROR(INDEX(OSStatus,MATCH($A163,OSNum,0)),"OS inexistente"))</f>
        <v>0</v>
      </c>
      <c r="J163" s="32">
        <f>IF($A163="","",IF($I163="OS inexistente","OS inexistente",IF($E163="Peça não cadastrada","Peça não cadastrada","OK")))</f>
        <v>0</v>
      </c>
    </row>
    <row r="164" spans="1:10">
      <c r="A164" s="17"/>
      <c r="B164" s="13"/>
      <c r="C164" s="20"/>
      <c r="D164" s="19"/>
      <c r="E164" s="26">
        <f>IF($B164="","",IFERROR(INDEX(PecDesc,MATCH($B164,PecCod,0)),"Peça não cadastrada"))</f>
        <v>0</v>
      </c>
      <c r="F164" s="27">
        <f>IF($B164="","",IF($D164&lt;&gt;"",$D164,IFERROR(INDEX(PecPreco,MATCH($B164,PecCod,0)),0)))</f>
        <v>0</v>
      </c>
      <c r="G164" s="27">
        <f>IF(OR($B164="",$C164=""),"",$C164*$F164)</f>
        <v>0</v>
      </c>
      <c r="H164" s="27">
        <f>IF(OR($B164="",$C164=""),"",$C164*IFERROR(INDEX(PecCusto,MATCH($B164,PecCod,0)),0))</f>
        <v>0</v>
      </c>
      <c r="I164" s="32">
        <f>IF($A164="","",IFERROR(INDEX(OSStatus,MATCH($A164,OSNum,0)),"OS inexistente"))</f>
        <v>0</v>
      </c>
      <c r="J164" s="32">
        <f>IF($A164="","",IF($I164="OS inexistente","OS inexistente",IF($E164="Peça não cadastrada","Peça não cadastrada","OK")))</f>
        <v>0</v>
      </c>
    </row>
    <row r="165" spans="1:10">
      <c r="A165" s="17"/>
      <c r="B165" s="13"/>
      <c r="C165" s="20"/>
      <c r="D165" s="19"/>
      <c r="E165" s="26">
        <f>IF($B165="","",IFERROR(INDEX(PecDesc,MATCH($B165,PecCod,0)),"Peça não cadastrada"))</f>
        <v>0</v>
      </c>
      <c r="F165" s="27">
        <f>IF($B165="","",IF($D165&lt;&gt;"",$D165,IFERROR(INDEX(PecPreco,MATCH($B165,PecCod,0)),0)))</f>
        <v>0</v>
      </c>
      <c r="G165" s="27">
        <f>IF(OR($B165="",$C165=""),"",$C165*$F165)</f>
        <v>0</v>
      </c>
      <c r="H165" s="27">
        <f>IF(OR($B165="",$C165=""),"",$C165*IFERROR(INDEX(PecCusto,MATCH($B165,PecCod,0)),0))</f>
        <v>0</v>
      </c>
      <c r="I165" s="32">
        <f>IF($A165="","",IFERROR(INDEX(OSStatus,MATCH($A165,OSNum,0)),"OS inexistente"))</f>
        <v>0</v>
      </c>
      <c r="J165" s="32">
        <f>IF($A165="","",IF($I165="OS inexistente","OS inexistente",IF($E165="Peça não cadastrada","Peça não cadastrada","OK")))</f>
        <v>0</v>
      </c>
    </row>
    <row r="166" spans="1:10">
      <c r="A166" s="17"/>
      <c r="B166" s="13"/>
      <c r="C166" s="20"/>
      <c r="D166" s="19"/>
      <c r="E166" s="26">
        <f>IF($B166="","",IFERROR(INDEX(PecDesc,MATCH($B166,PecCod,0)),"Peça não cadastrada"))</f>
        <v>0</v>
      </c>
      <c r="F166" s="27">
        <f>IF($B166="","",IF($D166&lt;&gt;"",$D166,IFERROR(INDEX(PecPreco,MATCH($B166,PecCod,0)),0)))</f>
        <v>0</v>
      </c>
      <c r="G166" s="27">
        <f>IF(OR($B166="",$C166=""),"",$C166*$F166)</f>
        <v>0</v>
      </c>
      <c r="H166" s="27">
        <f>IF(OR($B166="",$C166=""),"",$C166*IFERROR(INDEX(PecCusto,MATCH($B166,PecCod,0)),0))</f>
        <v>0</v>
      </c>
      <c r="I166" s="32">
        <f>IF($A166="","",IFERROR(INDEX(OSStatus,MATCH($A166,OSNum,0)),"OS inexistente"))</f>
        <v>0</v>
      </c>
      <c r="J166" s="32">
        <f>IF($A166="","",IF($I166="OS inexistente","OS inexistente",IF($E166="Peça não cadastrada","Peça não cadastrada","OK")))</f>
        <v>0</v>
      </c>
    </row>
    <row r="167" spans="1:10">
      <c r="A167" s="17"/>
      <c r="B167" s="13"/>
      <c r="C167" s="20"/>
      <c r="D167" s="19"/>
      <c r="E167" s="26">
        <f>IF($B167="","",IFERROR(INDEX(PecDesc,MATCH($B167,PecCod,0)),"Peça não cadastrada"))</f>
        <v>0</v>
      </c>
      <c r="F167" s="27">
        <f>IF($B167="","",IF($D167&lt;&gt;"",$D167,IFERROR(INDEX(PecPreco,MATCH($B167,PecCod,0)),0)))</f>
        <v>0</v>
      </c>
      <c r="G167" s="27">
        <f>IF(OR($B167="",$C167=""),"",$C167*$F167)</f>
        <v>0</v>
      </c>
      <c r="H167" s="27">
        <f>IF(OR($B167="",$C167=""),"",$C167*IFERROR(INDEX(PecCusto,MATCH($B167,PecCod,0)),0))</f>
        <v>0</v>
      </c>
      <c r="I167" s="32">
        <f>IF($A167="","",IFERROR(INDEX(OSStatus,MATCH($A167,OSNum,0)),"OS inexistente"))</f>
        <v>0</v>
      </c>
      <c r="J167" s="32">
        <f>IF($A167="","",IF($I167="OS inexistente","OS inexistente",IF($E167="Peça não cadastrada","Peça não cadastrada","OK")))</f>
        <v>0</v>
      </c>
    </row>
    <row r="168" spans="1:10">
      <c r="A168" s="17"/>
      <c r="B168" s="13"/>
      <c r="C168" s="20"/>
      <c r="D168" s="19"/>
      <c r="E168" s="26">
        <f>IF($B168="","",IFERROR(INDEX(PecDesc,MATCH($B168,PecCod,0)),"Peça não cadastrada"))</f>
        <v>0</v>
      </c>
      <c r="F168" s="27">
        <f>IF($B168="","",IF($D168&lt;&gt;"",$D168,IFERROR(INDEX(PecPreco,MATCH($B168,PecCod,0)),0)))</f>
        <v>0</v>
      </c>
      <c r="G168" s="27">
        <f>IF(OR($B168="",$C168=""),"",$C168*$F168)</f>
        <v>0</v>
      </c>
      <c r="H168" s="27">
        <f>IF(OR($B168="",$C168=""),"",$C168*IFERROR(INDEX(PecCusto,MATCH($B168,PecCod,0)),0))</f>
        <v>0</v>
      </c>
      <c r="I168" s="32">
        <f>IF($A168="","",IFERROR(INDEX(OSStatus,MATCH($A168,OSNum,0)),"OS inexistente"))</f>
        <v>0</v>
      </c>
      <c r="J168" s="32">
        <f>IF($A168="","",IF($I168="OS inexistente","OS inexistente",IF($E168="Peça não cadastrada","Peça não cadastrada","OK")))</f>
        <v>0</v>
      </c>
    </row>
    <row r="169" spans="1:10">
      <c r="A169" s="17"/>
      <c r="B169" s="13"/>
      <c r="C169" s="20"/>
      <c r="D169" s="19"/>
      <c r="E169" s="26">
        <f>IF($B169="","",IFERROR(INDEX(PecDesc,MATCH($B169,PecCod,0)),"Peça não cadastrada"))</f>
        <v>0</v>
      </c>
      <c r="F169" s="27">
        <f>IF($B169="","",IF($D169&lt;&gt;"",$D169,IFERROR(INDEX(PecPreco,MATCH($B169,PecCod,0)),0)))</f>
        <v>0</v>
      </c>
      <c r="G169" s="27">
        <f>IF(OR($B169="",$C169=""),"",$C169*$F169)</f>
        <v>0</v>
      </c>
      <c r="H169" s="27">
        <f>IF(OR($B169="",$C169=""),"",$C169*IFERROR(INDEX(PecCusto,MATCH($B169,PecCod,0)),0))</f>
        <v>0</v>
      </c>
      <c r="I169" s="32">
        <f>IF($A169="","",IFERROR(INDEX(OSStatus,MATCH($A169,OSNum,0)),"OS inexistente"))</f>
        <v>0</v>
      </c>
      <c r="J169" s="32">
        <f>IF($A169="","",IF($I169="OS inexistente","OS inexistente",IF($E169="Peça não cadastrada","Peça não cadastrada","OK")))</f>
        <v>0</v>
      </c>
    </row>
    <row r="170" spans="1:10">
      <c r="A170" s="17"/>
      <c r="B170" s="13"/>
      <c r="C170" s="20"/>
      <c r="D170" s="19"/>
      <c r="E170" s="26">
        <f>IF($B170="","",IFERROR(INDEX(PecDesc,MATCH($B170,PecCod,0)),"Peça não cadastrada"))</f>
        <v>0</v>
      </c>
      <c r="F170" s="27">
        <f>IF($B170="","",IF($D170&lt;&gt;"",$D170,IFERROR(INDEX(PecPreco,MATCH($B170,PecCod,0)),0)))</f>
        <v>0</v>
      </c>
      <c r="G170" s="27">
        <f>IF(OR($B170="",$C170=""),"",$C170*$F170)</f>
        <v>0</v>
      </c>
      <c r="H170" s="27">
        <f>IF(OR($B170="",$C170=""),"",$C170*IFERROR(INDEX(PecCusto,MATCH($B170,PecCod,0)),0))</f>
        <v>0</v>
      </c>
      <c r="I170" s="32">
        <f>IF($A170="","",IFERROR(INDEX(OSStatus,MATCH($A170,OSNum,0)),"OS inexistente"))</f>
        <v>0</v>
      </c>
      <c r="J170" s="32">
        <f>IF($A170="","",IF($I170="OS inexistente","OS inexistente",IF($E170="Peça não cadastrada","Peça não cadastrada","OK")))</f>
        <v>0</v>
      </c>
    </row>
    <row r="171" spans="1:10">
      <c r="A171" s="17"/>
      <c r="B171" s="13"/>
      <c r="C171" s="20"/>
      <c r="D171" s="19"/>
      <c r="E171" s="26">
        <f>IF($B171="","",IFERROR(INDEX(PecDesc,MATCH($B171,PecCod,0)),"Peça não cadastrada"))</f>
        <v>0</v>
      </c>
      <c r="F171" s="27">
        <f>IF($B171="","",IF($D171&lt;&gt;"",$D171,IFERROR(INDEX(PecPreco,MATCH($B171,PecCod,0)),0)))</f>
        <v>0</v>
      </c>
      <c r="G171" s="27">
        <f>IF(OR($B171="",$C171=""),"",$C171*$F171)</f>
        <v>0</v>
      </c>
      <c r="H171" s="27">
        <f>IF(OR($B171="",$C171=""),"",$C171*IFERROR(INDEX(PecCusto,MATCH($B171,PecCod,0)),0))</f>
        <v>0</v>
      </c>
      <c r="I171" s="32">
        <f>IF($A171="","",IFERROR(INDEX(OSStatus,MATCH($A171,OSNum,0)),"OS inexistente"))</f>
        <v>0</v>
      </c>
      <c r="J171" s="32">
        <f>IF($A171="","",IF($I171="OS inexistente","OS inexistente",IF($E171="Peça não cadastrada","Peça não cadastrada","OK")))</f>
        <v>0</v>
      </c>
    </row>
    <row r="172" spans="1:10">
      <c r="A172" s="17"/>
      <c r="B172" s="13"/>
      <c r="C172" s="20"/>
      <c r="D172" s="19"/>
      <c r="E172" s="26">
        <f>IF($B172="","",IFERROR(INDEX(PecDesc,MATCH($B172,PecCod,0)),"Peça não cadastrada"))</f>
        <v>0</v>
      </c>
      <c r="F172" s="27">
        <f>IF($B172="","",IF($D172&lt;&gt;"",$D172,IFERROR(INDEX(PecPreco,MATCH($B172,PecCod,0)),0)))</f>
        <v>0</v>
      </c>
      <c r="G172" s="27">
        <f>IF(OR($B172="",$C172=""),"",$C172*$F172)</f>
        <v>0</v>
      </c>
      <c r="H172" s="27">
        <f>IF(OR($B172="",$C172=""),"",$C172*IFERROR(INDEX(PecCusto,MATCH($B172,PecCod,0)),0))</f>
        <v>0</v>
      </c>
      <c r="I172" s="32">
        <f>IF($A172="","",IFERROR(INDEX(OSStatus,MATCH($A172,OSNum,0)),"OS inexistente"))</f>
        <v>0</v>
      </c>
      <c r="J172" s="32">
        <f>IF($A172="","",IF($I172="OS inexistente","OS inexistente",IF($E172="Peça não cadastrada","Peça não cadastrada","OK")))</f>
        <v>0</v>
      </c>
    </row>
    <row r="173" spans="1:10">
      <c r="A173" s="17"/>
      <c r="B173" s="13"/>
      <c r="C173" s="20"/>
      <c r="D173" s="19"/>
      <c r="E173" s="26">
        <f>IF($B173="","",IFERROR(INDEX(PecDesc,MATCH($B173,PecCod,0)),"Peça não cadastrada"))</f>
        <v>0</v>
      </c>
      <c r="F173" s="27">
        <f>IF($B173="","",IF($D173&lt;&gt;"",$D173,IFERROR(INDEX(PecPreco,MATCH($B173,PecCod,0)),0)))</f>
        <v>0</v>
      </c>
      <c r="G173" s="27">
        <f>IF(OR($B173="",$C173=""),"",$C173*$F173)</f>
        <v>0</v>
      </c>
      <c r="H173" s="27">
        <f>IF(OR($B173="",$C173=""),"",$C173*IFERROR(INDEX(PecCusto,MATCH($B173,PecCod,0)),0))</f>
        <v>0</v>
      </c>
      <c r="I173" s="32">
        <f>IF($A173="","",IFERROR(INDEX(OSStatus,MATCH($A173,OSNum,0)),"OS inexistente"))</f>
        <v>0</v>
      </c>
      <c r="J173" s="32">
        <f>IF($A173="","",IF($I173="OS inexistente","OS inexistente",IF($E173="Peça não cadastrada","Peça não cadastrada","OK")))</f>
        <v>0</v>
      </c>
    </row>
    <row r="174" spans="1:10">
      <c r="A174" s="17"/>
      <c r="B174" s="13"/>
      <c r="C174" s="20"/>
      <c r="D174" s="19"/>
      <c r="E174" s="26">
        <f>IF($B174="","",IFERROR(INDEX(PecDesc,MATCH($B174,PecCod,0)),"Peça não cadastrada"))</f>
        <v>0</v>
      </c>
      <c r="F174" s="27">
        <f>IF($B174="","",IF($D174&lt;&gt;"",$D174,IFERROR(INDEX(PecPreco,MATCH($B174,PecCod,0)),0)))</f>
        <v>0</v>
      </c>
      <c r="G174" s="27">
        <f>IF(OR($B174="",$C174=""),"",$C174*$F174)</f>
        <v>0</v>
      </c>
      <c r="H174" s="27">
        <f>IF(OR($B174="",$C174=""),"",$C174*IFERROR(INDEX(PecCusto,MATCH($B174,PecCod,0)),0))</f>
        <v>0</v>
      </c>
      <c r="I174" s="32">
        <f>IF($A174="","",IFERROR(INDEX(OSStatus,MATCH($A174,OSNum,0)),"OS inexistente"))</f>
        <v>0</v>
      </c>
      <c r="J174" s="32">
        <f>IF($A174="","",IF($I174="OS inexistente","OS inexistente",IF($E174="Peça não cadastrada","Peça não cadastrada","OK")))</f>
        <v>0</v>
      </c>
    </row>
    <row r="175" spans="1:10">
      <c r="A175" s="17"/>
      <c r="B175" s="13"/>
      <c r="C175" s="20"/>
      <c r="D175" s="19"/>
      <c r="E175" s="26">
        <f>IF($B175="","",IFERROR(INDEX(PecDesc,MATCH($B175,PecCod,0)),"Peça não cadastrada"))</f>
        <v>0</v>
      </c>
      <c r="F175" s="27">
        <f>IF($B175="","",IF($D175&lt;&gt;"",$D175,IFERROR(INDEX(PecPreco,MATCH($B175,PecCod,0)),0)))</f>
        <v>0</v>
      </c>
      <c r="G175" s="27">
        <f>IF(OR($B175="",$C175=""),"",$C175*$F175)</f>
        <v>0</v>
      </c>
      <c r="H175" s="27">
        <f>IF(OR($B175="",$C175=""),"",$C175*IFERROR(INDEX(PecCusto,MATCH($B175,PecCod,0)),0))</f>
        <v>0</v>
      </c>
      <c r="I175" s="32">
        <f>IF($A175="","",IFERROR(INDEX(OSStatus,MATCH($A175,OSNum,0)),"OS inexistente"))</f>
        <v>0</v>
      </c>
      <c r="J175" s="32">
        <f>IF($A175="","",IF($I175="OS inexistente","OS inexistente",IF($E175="Peça não cadastrada","Peça não cadastrada","OK")))</f>
        <v>0</v>
      </c>
    </row>
    <row r="176" spans="1:10">
      <c r="A176" s="17"/>
      <c r="B176" s="13"/>
      <c r="C176" s="20"/>
      <c r="D176" s="19"/>
      <c r="E176" s="26">
        <f>IF($B176="","",IFERROR(INDEX(PecDesc,MATCH($B176,PecCod,0)),"Peça não cadastrada"))</f>
        <v>0</v>
      </c>
      <c r="F176" s="27">
        <f>IF($B176="","",IF($D176&lt;&gt;"",$D176,IFERROR(INDEX(PecPreco,MATCH($B176,PecCod,0)),0)))</f>
        <v>0</v>
      </c>
      <c r="G176" s="27">
        <f>IF(OR($B176="",$C176=""),"",$C176*$F176)</f>
        <v>0</v>
      </c>
      <c r="H176" s="27">
        <f>IF(OR($B176="",$C176=""),"",$C176*IFERROR(INDEX(PecCusto,MATCH($B176,PecCod,0)),0))</f>
        <v>0</v>
      </c>
      <c r="I176" s="32">
        <f>IF($A176="","",IFERROR(INDEX(OSStatus,MATCH($A176,OSNum,0)),"OS inexistente"))</f>
        <v>0</v>
      </c>
      <c r="J176" s="32">
        <f>IF($A176="","",IF($I176="OS inexistente","OS inexistente",IF($E176="Peça não cadastrada","Peça não cadastrada","OK")))</f>
        <v>0</v>
      </c>
    </row>
    <row r="177" spans="1:10">
      <c r="A177" s="17"/>
      <c r="B177" s="13"/>
      <c r="C177" s="20"/>
      <c r="D177" s="19"/>
      <c r="E177" s="26">
        <f>IF($B177="","",IFERROR(INDEX(PecDesc,MATCH($B177,PecCod,0)),"Peça não cadastrada"))</f>
        <v>0</v>
      </c>
      <c r="F177" s="27">
        <f>IF($B177="","",IF($D177&lt;&gt;"",$D177,IFERROR(INDEX(PecPreco,MATCH($B177,PecCod,0)),0)))</f>
        <v>0</v>
      </c>
      <c r="G177" s="27">
        <f>IF(OR($B177="",$C177=""),"",$C177*$F177)</f>
        <v>0</v>
      </c>
      <c r="H177" s="27">
        <f>IF(OR($B177="",$C177=""),"",$C177*IFERROR(INDEX(PecCusto,MATCH($B177,PecCod,0)),0))</f>
        <v>0</v>
      </c>
      <c r="I177" s="32">
        <f>IF($A177="","",IFERROR(INDEX(OSStatus,MATCH($A177,OSNum,0)),"OS inexistente"))</f>
        <v>0</v>
      </c>
      <c r="J177" s="32">
        <f>IF($A177="","",IF($I177="OS inexistente","OS inexistente",IF($E177="Peça não cadastrada","Peça não cadastrada","OK")))</f>
        <v>0</v>
      </c>
    </row>
    <row r="178" spans="1:10">
      <c r="A178" s="17"/>
      <c r="B178" s="13"/>
      <c r="C178" s="20"/>
      <c r="D178" s="19"/>
      <c r="E178" s="26">
        <f>IF($B178="","",IFERROR(INDEX(PecDesc,MATCH($B178,PecCod,0)),"Peça não cadastrada"))</f>
        <v>0</v>
      </c>
      <c r="F178" s="27">
        <f>IF($B178="","",IF($D178&lt;&gt;"",$D178,IFERROR(INDEX(PecPreco,MATCH($B178,PecCod,0)),0)))</f>
        <v>0</v>
      </c>
      <c r="G178" s="27">
        <f>IF(OR($B178="",$C178=""),"",$C178*$F178)</f>
        <v>0</v>
      </c>
      <c r="H178" s="27">
        <f>IF(OR($B178="",$C178=""),"",$C178*IFERROR(INDEX(PecCusto,MATCH($B178,PecCod,0)),0))</f>
        <v>0</v>
      </c>
      <c r="I178" s="32">
        <f>IF($A178="","",IFERROR(INDEX(OSStatus,MATCH($A178,OSNum,0)),"OS inexistente"))</f>
        <v>0</v>
      </c>
      <c r="J178" s="32">
        <f>IF($A178="","",IF($I178="OS inexistente","OS inexistente",IF($E178="Peça não cadastrada","Peça não cadastrada","OK")))</f>
        <v>0</v>
      </c>
    </row>
    <row r="179" spans="1:10">
      <c r="A179" s="17"/>
      <c r="B179" s="13"/>
      <c r="C179" s="20"/>
      <c r="D179" s="19"/>
      <c r="E179" s="26">
        <f>IF($B179="","",IFERROR(INDEX(PecDesc,MATCH($B179,PecCod,0)),"Peça não cadastrada"))</f>
        <v>0</v>
      </c>
      <c r="F179" s="27">
        <f>IF($B179="","",IF($D179&lt;&gt;"",$D179,IFERROR(INDEX(PecPreco,MATCH($B179,PecCod,0)),0)))</f>
        <v>0</v>
      </c>
      <c r="G179" s="27">
        <f>IF(OR($B179="",$C179=""),"",$C179*$F179)</f>
        <v>0</v>
      </c>
      <c r="H179" s="27">
        <f>IF(OR($B179="",$C179=""),"",$C179*IFERROR(INDEX(PecCusto,MATCH($B179,PecCod,0)),0))</f>
        <v>0</v>
      </c>
      <c r="I179" s="32">
        <f>IF($A179="","",IFERROR(INDEX(OSStatus,MATCH($A179,OSNum,0)),"OS inexistente"))</f>
        <v>0</v>
      </c>
      <c r="J179" s="32">
        <f>IF($A179="","",IF($I179="OS inexistente","OS inexistente",IF($E179="Peça não cadastrada","Peça não cadastrada","OK")))</f>
        <v>0</v>
      </c>
    </row>
    <row r="180" spans="1:10">
      <c r="A180" s="17"/>
      <c r="B180" s="13"/>
      <c r="C180" s="20"/>
      <c r="D180" s="19"/>
      <c r="E180" s="26">
        <f>IF($B180="","",IFERROR(INDEX(PecDesc,MATCH($B180,PecCod,0)),"Peça não cadastrada"))</f>
        <v>0</v>
      </c>
      <c r="F180" s="27">
        <f>IF($B180="","",IF($D180&lt;&gt;"",$D180,IFERROR(INDEX(PecPreco,MATCH($B180,PecCod,0)),0)))</f>
        <v>0</v>
      </c>
      <c r="G180" s="27">
        <f>IF(OR($B180="",$C180=""),"",$C180*$F180)</f>
        <v>0</v>
      </c>
      <c r="H180" s="27">
        <f>IF(OR($B180="",$C180=""),"",$C180*IFERROR(INDEX(PecCusto,MATCH($B180,PecCod,0)),0))</f>
        <v>0</v>
      </c>
      <c r="I180" s="32">
        <f>IF($A180="","",IFERROR(INDEX(OSStatus,MATCH($A180,OSNum,0)),"OS inexistente"))</f>
        <v>0</v>
      </c>
      <c r="J180" s="32">
        <f>IF($A180="","",IF($I180="OS inexistente","OS inexistente",IF($E180="Peça não cadastrada","Peça não cadastrada","OK")))</f>
        <v>0</v>
      </c>
    </row>
    <row r="181" spans="1:10">
      <c r="A181" s="17"/>
      <c r="B181" s="13"/>
      <c r="C181" s="20"/>
      <c r="D181" s="19"/>
      <c r="E181" s="26">
        <f>IF($B181="","",IFERROR(INDEX(PecDesc,MATCH($B181,PecCod,0)),"Peça não cadastrada"))</f>
        <v>0</v>
      </c>
      <c r="F181" s="27">
        <f>IF($B181="","",IF($D181&lt;&gt;"",$D181,IFERROR(INDEX(PecPreco,MATCH($B181,PecCod,0)),0)))</f>
        <v>0</v>
      </c>
      <c r="G181" s="27">
        <f>IF(OR($B181="",$C181=""),"",$C181*$F181)</f>
        <v>0</v>
      </c>
      <c r="H181" s="27">
        <f>IF(OR($B181="",$C181=""),"",$C181*IFERROR(INDEX(PecCusto,MATCH($B181,PecCod,0)),0))</f>
        <v>0</v>
      </c>
      <c r="I181" s="32">
        <f>IF($A181="","",IFERROR(INDEX(OSStatus,MATCH($A181,OSNum,0)),"OS inexistente"))</f>
        <v>0</v>
      </c>
      <c r="J181" s="32">
        <f>IF($A181="","",IF($I181="OS inexistente","OS inexistente",IF($E181="Peça não cadastrada","Peça não cadastrada","OK")))</f>
        <v>0</v>
      </c>
    </row>
    <row r="182" spans="1:10">
      <c r="A182" s="17"/>
      <c r="B182" s="13"/>
      <c r="C182" s="20"/>
      <c r="D182" s="19"/>
      <c r="E182" s="26">
        <f>IF($B182="","",IFERROR(INDEX(PecDesc,MATCH($B182,PecCod,0)),"Peça não cadastrada"))</f>
        <v>0</v>
      </c>
      <c r="F182" s="27">
        <f>IF($B182="","",IF($D182&lt;&gt;"",$D182,IFERROR(INDEX(PecPreco,MATCH($B182,PecCod,0)),0)))</f>
        <v>0</v>
      </c>
      <c r="G182" s="27">
        <f>IF(OR($B182="",$C182=""),"",$C182*$F182)</f>
        <v>0</v>
      </c>
      <c r="H182" s="27">
        <f>IF(OR($B182="",$C182=""),"",$C182*IFERROR(INDEX(PecCusto,MATCH($B182,PecCod,0)),0))</f>
        <v>0</v>
      </c>
      <c r="I182" s="32">
        <f>IF($A182="","",IFERROR(INDEX(OSStatus,MATCH($A182,OSNum,0)),"OS inexistente"))</f>
        <v>0</v>
      </c>
      <c r="J182" s="32">
        <f>IF($A182="","",IF($I182="OS inexistente","OS inexistente",IF($E182="Peça não cadastrada","Peça não cadastrada","OK")))</f>
        <v>0</v>
      </c>
    </row>
    <row r="183" spans="1:10">
      <c r="A183" s="17"/>
      <c r="B183" s="13"/>
      <c r="C183" s="20"/>
      <c r="D183" s="19"/>
      <c r="E183" s="26">
        <f>IF($B183="","",IFERROR(INDEX(PecDesc,MATCH($B183,PecCod,0)),"Peça não cadastrada"))</f>
        <v>0</v>
      </c>
      <c r="F183" s="27">
        <f>IF($B183="","",IF($D183&lt;&gt;"",$D183,IFERROR(INDEX(PecPreco,MATCH($B183,PecCod,0)),0)))</f>
        <v>0</v>
      </c>
      <c r="G183" s="27">
        <f>IF(OR($B183="",$C183=""),"",$C183*$F183)</f>
        <v>0</v>
      </c>
      <c r="H183" s="27">
        <f>IF(OR($B183="",$C183=""),"",$C183*IFERROR(INDEX(PecCusto,MATCH($B183,PecCod,0)),0))</f>
        <v>0</v>
      </c>
      <c r="I183" s="32">
        <f>IF($A183="","",IFERROR(INDEX(OSStatus,MATCH($A183,OSNum,0)),"OS inexistente"))</f>
        <v>0</v>
      </c>
      <c r="J183" s="32">
        <f>IF($A183="","",IF($I183="OS inexistente","OS inexistente",IF($E183="Peça não cadastrada","Peça não cadastrada","OK")))</f>
        <v>0</v>
      </c>
    </row>
    <row r="184" spans="1:10">
      <c r="A184" s="17"/>
      <c r="B184" s="13"/>
      <c r="C184" s="20"/>
      <c r="D184" s="19"/>
      <c r="E184" s="26">
        <f>IF($B184="","",IFERROR(INDEX(PecDesc,MATCH($B184,PecCod,0)),"Peça não cadastrada"))</f>
        <v>0</v>
      </c>
      <c r="F184" s="27">
        <f>IF($B184="","",IF($D184&lt;&gt;"",$D184,IFERROR(INDEX(PecPreco,MATCH($B184,PecCod,0)),0)))</f>
        <v>0</v>
      </c>
      <c r="G184" s="27">
        <f>IF(OR($B184="",$C184=""),"",$C184*$F184)</f>
        <v>0</v>
      </c>
      <c r="H184" s="27">
        <f>IF(OR($B184="",$C184=""),"",$C184*IFERROR(INDEX(PecCusto,MATCH($B184,PecCod,0)),0))</f>
        <v>0</v>
      </c>
      <c r="I184" s="32">
        <f>IF($A184="","",IFERROR(INDEX(OSStatus,MATCH($A184,OSNum,0)),"OS inexistente"))</f>
        <v>0</v>
      </c>
      <c r="J184" s="32">
        <f>IF($A184="","",IF($I184="OS inexistente","OS inexistente",IF($E184="Peça não cadastrada","Peça não cadastrada","OK")))</f>
        <v>0</v>
      </c>
    </row>
    <row r="185" spans="1:10">
      <c r="A185" s="17"/>
      <c r="B185" s="13"/>
      <c r="C185" s="20"/>
      <c r="D185" s="19"/>
      <c r="E185" s="26">
        <f>IF($B185="","",IFERROR(INDEX(PecDesc,MATCH($B185,PecCod,0)),"Peça não cadastrada"))</f>
        <v>0</v>
      </c>
      <c r="F185" s="27">
        <f>IF($B185="","",IF($D185&lt;&gt;"",$D185,IFERROR(INDEX(PecPreco,MATCH($B185,PecCod,0)),0)))</f>
        <v>0</v>
      </c>
      <c r="G185" s="27">
        <f>IF(OR($B185="",$C185=""),"",$C185*$F185)</f>
        <v>0</v>
      </c>
      <c r="H185" s="27">
        <f>IF(OR($B185="",$C185=""),"",$C185*IFERROR(INDEX(PecCusto,MATCH($B185,PecCod,0)),0))</f>
        <v>0</v>
      </c>
      <c r="I185" s="32">
        <f>IF($A185="","",IFERROR(INDEX(OSStatus,MATCH($A185,OSNum,0)),"OS inexistente"))</f>
        <v>0</v>
      </c>
      <c r="J185" s="32">
        <f>IF($A185="","",IF($I185="OS inexistente","OS inexistente",IF($E185="Peça não cadastrada","Peça não cadastrada","OK")))</f>
        <v>0</v>
      </c>
    </row>
    <row r="186" spans="1:10">
      <c r="A186" s="17"/>
      <c r="B186" s="13"/>
      <c r="C186" s="20"/>
      <c r="D186" s="19"/>
      <c r="E186" s="26">
        <f>IF($B186="","",IFERROR(INDEX(PecDesc,MATCH($B186,PecCod,0)),"Peça não cadastrada"))</f>
        <v>0</v>
      </c>
      <c r="F186" s="27">
        <f>IF($B186="","",IF($D186&lt;&gt;"",$D186,IFERROR(INDEX(PecPreco,MATCH($B186,PecCod,0)),0)))</f>
        <v>0</v>
      </c>
      <c r="G186" s="27">
        <f>IF(OR($B186="",$C186=""),"",$C186*$F186)</f>
        <v>0</v>
      </c>
      <c r="H186" s="27">
        <f>IF(OR($B186="",$C186=""),"",$C186*IFERROR(INDEX(PecCusto,MATCH($B186,PecCod,0)),0))</f>
        <v>0</v>
      </c>
      <c r="I186" s="32">
        <f>IF($A186="","",IFERROR(INDEX(OSStatus,MATCH($A186,OSNum,0)),"OS inexistente"))</f>
        <v>0</v>
      </c>
      <c r="J186" s="32">
        <f>IF($A186="","",IF($I186="OS inexistente","OS inexistente",IF($E186="Peça não cadastrada","Peça não cadastrada","OK")))</f>
        <v>0</v>
      </c>
    </row>
    <row r="187" spans="1:10">
      <c r="A187" s="17"/>
      <c r="B187" s="13"/>
      <c r="C187" s="20"/>
      <c r="D187" s="19"/>
      <c r="E187" s="26">
        <f>IF($B187="","",IFERROR(INDEX(PecDesc,MATCH($B187,PecCod,0)),"Peça não cadastrada"))</f>
        <v>0</v>
      </c>
      <c r="F187" s="27">
        <f>IF($B187="","",IF($D187&lt;&gt;"",$D187,IFERROR(INDEX(PecPreco,MATCH($B187,PecCod,0)),0)))</f>
        <v>0</v>
      </c>
      <c r="G187" s="27">
        <f>IF(OR($B187="",$C187=""),"",$C187*$F187)</f>
        <v>0</v>
      </c>
      <c r="H187" s="27">
        <f>IF(OR($B187="",$C187=""),"",$C187*IFERROR(INDEX(PecCusto,MATCH($B187,PecCod,0)),0))</f>
        <v>0</v>
      </c>
      <c r="I187" s="32">
        <f>IF($A187="","",IFERROR(INDEX(OSStatus,MATCH($A187,OSNum,0)),"OS inexistente"))</f>
        <v>0</v>
      </c>
      <c r="J187" s="32">
        <f>IF($A187="","",IF($I187="OS inexistente","OS inexistente",IF($E187="Peça não cadastrada","Peça não cadastrada","OK")))</f>
        <v>0</v>
      </c>
    </row>
    <row r="188" spans="1:10">
      <c r="A188" s="17"/>
      <c r="B188" s="13"/>
      <c r="C188" s="20"/>
      <c r="D188" s="19"/>
      <c r="E188" s="26">
        <f>IF($B188="","",IFERROR(INDEX(PecDesc,MATCH($B188,PecCod,0)),"Peça não cadastrada"))</f>
        <v>0</v>
      </c>
      <c r="F188" s="27">
        <f>IF($B188="","",IF($D188&lt;&gt;"",$D188,IFERROR(INDEX(PecPreco,MATCH($B188,PecCod,0)),0)))</f>
        <v>0</v>
      </c>
      <c r="G188" s="27">
        <f>IF(OR($B188="",$C188=""),"",$C188*$F188)</f>
        <v>0</v>
      </c>
      <c r="H188" s="27">
        <f>IF(OR($B188="",$C188=""),"",$C188*IFERROR(INDEX(PecCusto,MATCH($B188,PecCod,0)),0))</f>
        <v>0</v>
      </c>
      <c r="I188" s="32">
        <f>IF($A188="","",IFERROR(INDEX(OSStatus,MATCH($A188,OSNum,0)),"OS inexistente"))</f>
        <v>0</v>
      </c>
      <c r="J188" s="32">
        <f>IF($A188="","",IF($I188="OS inexistente","OS inexistente",IF($E188="Peça não cadastrada","Peça não cadastrada","OK")))</f>
        <v>0</v>
      </c>
    </row>
    <row r="189" spans="1:10">
      <c r="A189" s="17"/>
      <c r="B189" s="13"/>
      <c r="C189" s="20"/>
      <c r="D189" s="19"/>
      <c r="E189" s="26">
        <f>IF($B189="","",IFERROR(INDEX(PecDesc,MATCH($B189,PecCod,0)),"Peça não cadastrada"))</f>
        <v>0</v>
      </c>
      <c r="F189" s="27">
        <f>IF($B189="","",IF($D189&lt;&gt;"",$D189,IFERROR(INDEX(PecPreco,MATCH($B189,PecCod,0)),0)))</f>
        <v>0</v>
      </c>
      <c r="G189" s="27">
        <f>IF(OR($B189="",$C189=""),"",$C189*$F189)</f>
        <v>0</v>
      </c>
      <c r="H189" s="27">
        <f>IF(OR($B189="",$C189=""),"",$C189*IFERROR(INDEX(PecCusto,MATCH($B189,PecCod,0)),0))</f>
        <v>0</v>
      </c>
      <c r="I189" s="32">
        <f>IF($A189="","",IFERROR(INDEX(OSStatus,MATCH($A189,OSNum,0)),"OS inexistente"))</f>
        <v>0</v>
      </c>
      <c r="J189" s="32">
        <f>IF($A189="","",IF($I189="OS inexistente","OS inexistente",IF($E189="Peça não cadastrada","Peça não cadastrada","OK")))</f>
        <v>0</v>
      </c>
    </row>
    <row r="190" spans="1:10">
      <c r="A190" s="17"/>
      <c r="B190" s="13"/>
      <c r="C190" s="20"/>
      <c r="D190" s="19"/>
      <c r="E190" s="26">
        <f>IF($B190="","",IFERROR(INDEX(PecDesc,MATCH($B190,PecCod,0)),"Peça não cadastrada"))</f>
        <v>0</v>
      </c>
      <c r="F190" s="27">
        <f>IF($B190="","",IF($D190&lt;&gt;"",$D190,IFERROR(INDEX(PecPreco,MATCH($B190,PecCod,0)),0)))</f>
        <v>0</v>
      </c>
      <c r="G190" s="27">
        <f>IF(OR($B190="",$C190=""),"",$C190*$F190)</f>
        <v>0</v>
      </c>
      <c r="H190" s="27">
        <f>IF(OR($B190="",$C190=""),"",$C190*IFERROR(INDEX(PecCusto,MATCH($B190,PecCod,0)),0))</f>
        <v>0</v>
      </c>
      <c r="I190" s="32">
        <f>IF($A190="","",IFERROR(INDEX(OSStatus,MATCH($A190,OSNum,0)),"OS inexistente"))</f>
        <v>0</v>
      </c>
      <c r="J190" s="32">
        <f>IF($A190="","",IF($I190="OS inexistente","OS inexistente",IF($E190="Peça não cadastrada","Peça não cadastrada","OK")))</f>
        <v>0</v>
      </c>
    </row>
    <row r="191" spans="1:10">
      <c r="A191" s="17"/>
      <c r="B191" s="13"/>
      <c r="C191" s="20"/>
      <c r="D191" s="19"/>
      <c r="E191" s="26">
        <f>IF($B191="","",IFERROR(INDEX(PecDesc,MATCH($B191,PecCod,0)),"Peça não cadastrada"))</f>
        <v>0</v>
      </c>
      <c r="F191" s="27">
        <f>IF($B191="","",IF($D191&lt;&gt;"",$D191,IFERROR(INDEX(PecPreco,MATCH($B191,PecCod,0)),0)))</f>
        <v>0</v>
      </c>
      <c r="G191" s="27">
        <f>IF(OR($B191="",$C191=""),"",$C191*$F191)</f>
        <v>0</v>
      </c>
      <c r="H191" s="27">
        <f>IF(OR($B191="",$C191=""),"",$C191*IFERROR(INDEX(PecCusto,MATCH($B191,PecCod,0)),0))</f>
        <v>0</v>
      </c>
      <c r="I191" s="32">
        <f>IF($A191="","",IFERROR(INDEX(OSStatus,MATCH($A191,OSNum,0)),"OS inexistente"))</f>
        <v>0</v>
      </c>
      <c r="J191" s="32">
        <f>IF($A191="","",IF($I191="OS inexistente","OS inexistente",IF($E191="Peça não cadastrada","Peça não cadastrada","OK")))</f>
        <v>0</v>
      </c>
    </row>
    <row r="192" spans="1:10">
      <c r="A192" s="17"/>
      <c r="B192" s="13"/>
      <c r="C192" s="20"/>
      <c r="D192" s="19"/>
      <c r="E192" s="26">
        <f>IF($B192="","",IFERROR(INDEX(PecDesc,MATCH($B192,PecCod,0)),"Peça não cadastrada"))</f>
        <v>0</v>
      </c>
      <c r="F192" s="27">
        <f>IF($B192="","",IF($D192&lt;&gt;"",$D192,IFERROR(INDEX(PecPreco,MATCH($B192,PecCod,0)),0)))</f>
        <v>0</v>
      </c>
      <c r="G192" s="27">
        <f>IF(OR($B192="",$C192=""),"",$C192*$F192)</f>
        <v>0</v>
      </c>
      <c r="H192" s="27">
        <f>IF(OR($B192="",$C192=""),"",$C192*IFERROR(INDEX(PecCusto,MATCH($B192,PecCod,0)),0))</f>
        <v>0</v>
      </c>
      <c r="I192" s="32">
        <f>IF($A192="","",IFERROR(INDEX(OSStatus,MATCH($A192,OSNum,0)),"OS inexistente"))</f>
        <v>0</v>
      </c>
      <c r="J192" s="32">
        <f>IF($A192="","",IF($I192="OS inexistente","OS inexistente",IF($E192="Peça não cadastrada","Peça não cadastrada","OK")))</f>
        <v>0</v>
      </c>
    </row>
    <row r="193" spans="1:10">
      <c r="A193" s="17"/>
      <c r="B193" s="13"/>
      <c r="C193" s="20"/>
      <c r="D193" s="19"/>
      <c r="E193" s="26">
        <f>IF($B193="","",IFERROR(INDEX(PecDesc,MATCH($B193,PecCod,0)),"Peça não cadastrada"))</f>
        <v>0</v>
      </c>
      <c r="F193" s="27">
        <f>IF($B193="","",IF($D193&lt;&gt;"",$D193,IFERROR(INDEX(PecPreco,MATCH($B193,PecCod,0)),0)))</f>
        <v>0</v>
      </c>
      <c r="G193" s="27">
        <f>IF(OR($B193="",$C193=""),"",$C193*$F193)</f>
        <v>0</v>
      </c>
      <c r="H193" s="27">
        <f>IF(OR($B193="",$C193=""),"",$C193*IFERROR(INDEX(PecCusto,MATCH($B193,PecCod,0)),0))</f>
        <v>0</v>
      </c>
      <c r="I193" s="32">
        <f>IF($A193="","",IFERROR(INDEX(OSStatus,MATCH($A193,OSNum,0)),"OS inexistente"))</f>
        <v>0</v>
      </c>
      <c r="J193" s="32">
        <f>IF($A193="","",IF($I193="OS inexistente","OS inexistente",IF($E193="Peça não cadastrada","Peça não cadastrada","OK")))</f>
        <v>0</v>
      </c>
    </row>
    <row r="194" spans="1:10">
      <c r="A194" s="17"/>
      <c r="B194" s="13"/>
      <c r="C194" s="20"/>
      <c r="D194" s="19"/>
      <c r="E194" s="26">
        <f>IF($B194="","",IFERROR(INDEX(PecDesc,MATCH($B194,PecCod,0)),"Peça não cadastrada"))</f>
        <v>0</v>
      </c>
      <c r="F194" s="27">
        <f>IF($B194="","",IF($D194&lt;&gt;"",$D194,IFERROR(INDEX(PecPreco,MATCH($B194,PecCod,0)),0)))</f>
        <v>0</v>
      </c>
      <c r="G194" s="27">
        <f>IF(OR($B194="",$C194=""),"",$C194*$F194)</f>
        <v>0</v>
      </c>
      <c r="H194" s="27">
        <f>IF(OR($B194="",$C194=""),"",$C194*IFERROR(INDEX(PecCusto,MATCH($B194,PecCod,0)),0))</f>
        <v>0</v>
      </c>
      <c r="I194" s="32">
        <f>IF($A194="","",IFERROR(INDEX(OSStatus,MATCH($A194,OSNum,0)),"OS inexistente"))</f>
        <v>0</v>
      </c>
      <c r="J194" s="32">
        <f>IF($A194="","",IF($I194="OS inexistente","OS inexistente",IF($E194="Peça não cadastrada","Peça não cadastrada","OK")))</f>
        <v>0</v>
      </c>
    </row>
    <row r="195" spans="1:10">
      <c r="A195" s="17"/>
      <c r="B195" s="13"/>
      <c r="C195" s="20"/>
      <c r="D195" s="19"/>
      <c r="E195" s="26">
        <f>IF($B195="","",IFERROR(INDEX(PecDesc,MATCH($B195,PecCod,0)),"Peça não cadastrada"))</f>
        <v>0</v>
      </c>
      <c r="F195" s="27">
        <f>IF($B195="","",IF($D195&lt;&gt;"",$D195,IFERROR(INDEX(PecPreco,MATCH($B195,PecCod,0)),0)))</f>
        <v>0</v>
      </c>
      <c r="G195" s="27">
        <f>IF(OR($B195="",$C195=""),"",$C195*$F195)</f>
        <v>0</v>
      </c>
      <c r="H195" s="27">
        <f>IF(OR($B195="",$C195=""),"",$C195*IFERROR(INDEX(PecCusto,MATCH($B195,PecCod,0)),0))</f>
        <v>0</v>
      </c>
      <c r="I195" s="32">
        <f>IF($A195="","",IFERROR(INDEX(OSStatus,MATCH($A195,OSNum,0)),"OS inexistente"))</f>
        <v>0</v>
      </c>
      <c r="J195" s="32">
        <f>IF($A195="","",IF($I195="OS inexistente","OS inexistente",IF($E195="Peça não cadastrada","Peça não cadastrada","OK")))</f>
        <v>0</v>
      </c>
    </row>
    <row r="196" spans="1:10">
      <c r="A196" s="17"/>
      <c r="B196" s="13"/>
      <c r="C196" s="20"/>
      <c r="D196" s="19"/>
      <c r="E196" s="26">
        <f>IF($B196="","",IFERROR(INDEX(PecDesc,MATCH($B196,PecCod,0)),"Peça não cadastrada"))</f>
        <v>0</v>
      </c>
      <c r="F196" s="27">
        <f>IF($B196="","",IF($D196&lt;&gt;"",$D196,IFERROR(INDEX(PecPreco,MATCH($B196,PecCod,0)),0)))</f>
        <v>0</v>
      </c>
      <c r="G196" s="27">
        <f>IF(OR($B196="",$C196=""),"",$C196*$F196)</f>
        <v>0</v>
      </c>
      <c r="H196" s="27">
        <f>IF(OR($B196="",$C196=""),"",$C196*IFERROR(INDEX(PecCusto,MATCH($B196,PecCod,0)),0))</f>
        <v>0</v>
      </c>
      <c r="I196" s="32">
        <f>IF($A196="","",IFERROR(INDEX(OSStatus,MATCH($A196,OSNum,0)),"OS inexistente"))</f>
        <v>0</v>
      </c>
      <c r="J196" s="32">
        <f>IF($A196="","",IF($I196="OS inexistente","OS inexistente",IF($E196="Peça não cadastrada","Peça não cadastrada","OK")))</f>
        <v>0</v>
      </c>
    </row>
    <row r="197" spans="1:10">
      <c r="A197" s="17"/>
      <c r="B197" s="13"/>
      <c r="C197" s="20"/>
      <c r="D197" s="19"/>
      <c r="E197" s="26">
        <f>IF($B197="","",IFERROR(INDEX(PecDesc,MATCH($B197,PecCod,0)),"Peça não cadastrada"))</f>
        <v>0</v>
      </c>
      <c r="F197" s="27">
        <f>IF($B197="","",IF($D197&lt;&gt;"",$D197,IFERROR(INDEX(PecPreco,MATCH($B197,PecCod,0)),0)))</f>
        <v>0</v>
      </c>
      <c r="G197" s="27">
        <f>IF(OR($B197="",$C197=""),"",$C197*$F197)</f>
        <v>0</v>
      </c>
      <c r="H197" s="27">
        <f>IF(OR($B197="",$C197=""),"",$C197*IFERROR(INDEX(PecCusto,MATCH($B197,PecCod,0)),0))</f>
        <v>0</v>
      </c>
      <c r="I197" s="32">
        <f>IF($A197="","",IFERROR(INDEX(OSStatus,MATCH($A197,OSNum,0)),"OS inexistente"))</f>
        <v>0</v>
      </c>
      <c r="J197" s="32">
        <f>IF($A197="","",IF($I197="OS inexistente","OS inexistente",IF($E197="Peça não cadastrada","Peça não cadastrada","OK")))</f>
        <v>0</v>
      </c>
    </row>
    <row r="198" spans="1:10">
      <c r="A198" s="17"/>
      <c r="B198" s="13"/>
      <c r="C198" s="20"/>
      <c r="D198" s="19"/>
      <c r="E198" s="26">
        <f>IF($B198="","",IFERROR(INDEX(PecDesc,MATCH($B198,PecCod,0)),"Peça não cadastrada"))</f>
        <v>0</v>
      </c>
      <c r="F198" s="27">
        <f>IF($B198="","",IF($D198&lt;&gt;"",$D198,IFERROR(INDEX(PecPreco,MATCH($B198,PecCod,0)),0)))</f>
        <v>0</v>
      </c>
      <c r="G198" s="27">
        <f>IF(OR($B198="",$C198=""),"",$C198*$F198)</f>
        <v>0</v>
      </c>
      <c r="H198" s="27">
        <f>IF(OR($B198="",$C198=""),"",$C198*IFERROR(INDEX(PecCusto,MATCH($B198,PecCod,0)),0))</f>
        <v>0</v>
      </c>
      <c r="I198" s="32">
        <f>IF($A198="","",IFERROR(INDEX(OSStatus,MATCH($A198,OSNum,0)),"OS inexistente"))</f>
        <v>0</v>
      </c>
      <c r="J198" s="32">
        <f>IF($A198="","",IF($I198="OS inexistente","OS inexistente",IF($E198="Peça não cadastrada","Peça não cadastrada","OK")))</f>
        <v>0</v>
      </c>
    </row>
    <row r="199" spans="1:10">
      <c r="A199" s="17"/>
      <c r="B199" s="13"/>
      <c r="C199" s="20"/>
      <c r="D199" s="19"/>
      <c r="E199" s="26">
        <f>IF($B199="","",IFERROR(INDEX(PecDesc,MATCH($B199,PecCod,0)),"Peça não cadastrada"))</f>
        <v>0</v>
      </c>
      <c r="F199" s="27">
        <f>IF($B199="","",IF($D199&lt;&gt;"",$D199,IFERROR(INDEX(PecPreco,MATCH($B199,PecCod,0)),0)))</f>
        <v>0</v>
      </c>
      <c r="G199" s="27">
        <f>IF(OR($B199="",$C199=""),"",$C199*$F199)</f>
        <v>0</v>
      </c>
      <c r="H199" s="27">
        <f>IF(OR($B199="",$C199=""),"",$C199*IFERROR(INDEX(PecCusto,MATCH($B199,PecCod,0)),0))</f>
        <v>0</v>
      </c>
      <c r="I199" s="32">
        <f>IF($A199="","",IFERROR(INDEX(OSStatus,MATCH($A199,OSNum,0)),"OS inexistente"))</f>
        <v>0</v>
      </c>
      <c r="J199" s="32">
        <f>IF($A199="","",IF($I199="OS inexistente","OS inexistente",IF($E199="Peça não cadastrada","Peça não cadastrada","OK")))</f>
        <v>0</v>
      </c>
    </row>
    <row r="200" spans="1:10">
      <c r="A200" s="17"/>
      <c r="B200" s="13"/>
      <c r="C200" s="20"/>
      <c r="D200" s="19"/>
      <c r="E200" s="26">
        <f>IF($B200="","",IFERROR(INDEX(PecDesc,MATCH($B200,PecCod,0)),"Peça não cadastrada"))</f>
        <v>0</v>
      </c>
      <c r="F200" s="27">
        <f>IF($B200="","",IF($D200&lt;&gt;"",$D200,IFERROR(INDEX(PecPreco,MATCH($B200,PecCod,0)),0)))</f>
        <v>0</v>
      </c>
      <c r="G200" s="27">
        <f>IF(OR($B200="",$C200=""),"",$C200*$F200)</f>
        <v>0</v>
      </c>
      <c r="H200" s="27">
        <f>IF(OR($B200="",$C200=""),"",$C200*IFERROR(INDEX(PecCusto,MATCH($B200,PecCod,0)),0))</f>
        <v>0</v>
      </c>
      <c r="I200" s="32">
        <f>IF($A200="","",IFERROR(INDEX(OSStatus,MATCH($A200,OSNum,0)),"OS inexistente"))</f>
        <v>0</v>
      </c>
      <c r="J200" s="32">
        <f>IF($A200="","",IF($I200="OS inexistente","OS inexistente",IF($E200="Peça não cadastrada","Peça não cadastrada","OK")))</f>
        <v>0</v>
      </c>
    </row>
    <row r="201" spans="1:10">
      <c r="A201" s="17"/>
      <c r="B201" s="13"/>
      <c r="C201" s="20"/>
      <c r="D201" s="19"/>
      <c r="E201" s="26">
        <f>IF($B201="","",IFERROR(INDEX(PecDesc,MATCH($B201,PecCod,0)),"Peça não cadastrada"))</f>
        <v>0</v>
      </c>
      <c r="F201" s="27">
        <f>IF($B201="","",IF($D201&lt;&gt;"",$D201,IFERROR(INDEX(PecPreco,MATCH($B201,PecCod,0)),0)))</f>
        <v>0</v>
      </c>
      <c r="G201" s="27">
        <f>IF(OR($B201="",$C201=""),"",$C201*$F201)</f>
        <v>0</v>
      </c>
      <c r="H201" s="27">
        <f>IF(OR($B201="",$C201=""),"",$C201*IFERROR(INDEX(PecCusto,MATCH($B201,PecCod,0)),0))</f>
        <v>0</v>
      </c>
      <c r="I201" s="32">
        <f>IF($A201="","",IFERROR(INDEX(OSStatus,MATCH($A201,OSNum,0)),"OS inexistente"))</f>
        <v>0</v>
      </c>
      <c r="J201" s="32">
        <f>IF($A201="","",IF($I201="OS inexistente","OS inexistente",IF($E201="Peça não cadastrada","Peça não cadastrada","OK")))</f>
        <v>0</v>
      </c>
    </row>
    <row r="202" spans="1:10">
      <c r="A202" s="17"/>
      <c r="B202" s="13"/>
      <c r="C202" s="20"/>
      <c r="D202" s="19"/>
      <c r="E202" s="26">
        <f>IF($B202="","",IFERROR(INDEX(PecDesc,MATCH($B202,PecCod,0)),"Peça não cadastrada"))</f>
        <v>0</v>
      </c>
      <c r="F202" s="27">
        <f>IF($B202="","",IF($D202&lt;&gt;"",$D202,IFERROR(INDEX(PecPreco,MATCH($B202,PecCod,0)),0)))</f>
        <v>0</v>
      </c>
      <c r="G202" s="27">
        <f>IF(OR($B202="",$C202=""),"",$C202*$F202)</f>
        <v>0</v>
      </c>
      <c r="H202" s="27">
        <f>IF(OR($B202="",$C202=""),"",$C202*IFERROR(INDEX(PecCusto,MATCH($B202,PecCod,0)),0))</f>
        <v>0</v>
      </c>
      <c r="I202" s="32">
        <f>IF($A202="","",IFERROR(INDEX(OSStatus,MATCH($A202,OSNum,0)),"OS inexistente"))</f>
        <v>0</v>
      </c>
      <c r="J202" s="32">
        <f>IF($A202="","",IF($I202="OS inexistente","OS inexistente",IF($E202="Peça não cadastrada","Peça não cadastrada","OK")))</f>
        <v>0</v>
      </c>
    </row>
    <row r="203" spans="1:10">
      <c r="A203" s="17"/>
      <c r="B203" s="13"/>
      <c r="C203" s="20"/>
      <c r="D203" s="19"/>
      <c r="E203" s="26">
        <f>IF($B203="","",IFERROR(INDEX(PecDesc,MATCH($B203,PecCod,0)),"Peça não cadastrada"))</f>
        <v>0</v>
      </c>
      <c r="F203" s="27">
        <f>IF($B203="","",IF($D203&lt;&gt;"",$D203,IFERROR(INDEX(PecPreco,MATCH($B203,PecCod,0)),0)))</f>
        <v>0</v>
      </c>
      <c r="G203" s="27">
        <f>IF(OR($B203="",$C203=""),"",$C203*$F203)</f>
        <v>0</v>
      </c>
      <c r="H203" s="27">
        <f>IF(OR($B203="",$C203=""),"",$C203*IFERROR(INDEX(PecCusto,MATCH($B203,PecCod,0)),0))</f>
        <v>0</v>
      </c>
      <c r="I203" s="32">
        <f>IF($A203="","",IFERROR(INDEX(OSStatus,MATCH($A203,OSNum,0)),"OS inexistente"))</f>
        <v>0</v>
      </c>
      <c r="J203" s="32">
        <f>IF($A203="","",IF($I203="OS inexistente","OS inexistente",IF($E203="Peça não cadastrada","Peça não cadastrada","OK")))</f>
        <v>0</v>
      </c>
    </row>
    <row r="204" spans="1:10">
      <c r="A204" s="17"/>
      <c r="B204" s="13"/>
      <c r="C204" s="20"/>
      <c r="D204" s="19"/>
      <c r="E204" s="26">
        <f>IF($B204="","",IFERROR(INDEX(PecDesc,MATCH($B204,PecCod,0)),"Peça não cadastrada"))</f>
        <v>0</v>
      </c>
      <c r="F204" s="27">
        <f>IF($B204="","",IF($D204&lt;&gt;"",$D204,IFERROR(INDEX(PecPreco,MATCH($B204,PecCod,0)),0)))</f>
        <v>0</v>
      </c>
      <c r="G204" s="27">
        <f>IF(OR($B204="",$C204=""),"",$C204*$F204)</f>
        <v>0</v>
      </c>
      <c r="H204" s="27">
        <f>IF(OR($B204="",$C204=""),"",$C204*IFERROR(INDEX(PecCusto,MATCH($B204,PecCod,0)),0))</f>
        <v>0</v>
      </c>
      <c r="I204" s="32">
        <f>IF($A204="","",IFERROR(INDEX(OSStatus,MATCH($A204,OSNum,0)),"OS inexistente"))</f>
        <v>0</v>
      </c>
      <c r="J204" s="32">
        <f>IF($A204="","",IF($I204="OS inexistente","OS inexistente",IF($E204="Peça não cadastrada","Peça não cadastrada","OK")))</f>
        <v>0</v>
      </c>
    </row>
    <row r="205" spans="1:10">
      <c r="A205" s="17"/>
      <c r="B205" s="13"/>
      <c r="C205" s="20"/>
      <c r="D205" s="19"/>
      <c r="E205" s="26">
        <f>IF($B205="","",IFERROR(INDEX(PecDesc,MATCH($B205,PecCod,0)),"Peça não cadastrada"))</f>
        <v>0</v>
      </c>
      <c r="F205" s="27">
        <f>IF($B205="","",IF($D205&lt;&gt;"",$D205,IFERROR(INDEX(PecPreco,MATCH($B205,PecCod,0)),0)))</f>
        <v>0</v>
      </c>
      <c r="G205" s="27">
        <f>IF(OR($B205="",$C205=""),"",$C205*$F205)</f>
        <v>0</v>
      </c>
      <c r="H205" s="27">
        <f>IF(OR($B205="",$C205=""),"",$C205*IFERROR(INDEX(PecCusto,MATCH($B205,PecCod,0)),0))</f>
        <v>0</v>
      </c>
      <c r="I205" s="32">
        <f>IF($A205="","",IFERROR(INDEX(OSStatus,MATCH($A205,OSNum,0)),"OS inexistente"))</f>
        <v>0</v>
      </c>
      <c r="J205" s="32">
        <f>IF($A205="","",IF($I205="OS inexistente","OS inexistente",IF($E205="Peça não cadastrada","Peça não cadastrada","OK")))</f>
        <v>0</v>
      </c>
    </row>
    <row r="206" spans="1:10">
      <c r="A206" s="17"/>
      <c r="B206" s="13"/>
      <c r="C206" s="20"/>
      <c r="D206" s="19"/>
      <c r="E206" s="26">
        <f>IF($B206="","",IFERROR(INDEX(PecDesc,MATCH($B206,PecCod,0)),"Peça não cadastrada"))</f>
        <v>0</v>
      </c>
      <c r="F206" s="27">
        <f>IF($B206="","",IF($D206&lt;&gt;"",$D206,IFERROR(INDEX(PecPreco,MATCH($B206,PecCod,0)),0)))</f>
        <v>0</v>
      </c>
      <c r="G206" s="27">
        <f>IF(OR($B206="",$C206=""),"",$C206*$F206)</f>
        <v>0</v>
      </c>
      <c r="H206" s="27">
        <f>IF(OR($B206="",$C206=""),"",$C206*IFERROR(INDEX(PecCusto,MATCH($B206,PecCod,0)),0))</f>
        <v>0</v>
      </c>
      <c r="I206" s="32">
        <f>IF($A206="","",IFERROR(INDEX(OSStatus,MATCH($A206,OSNum,0)),"OS inexistente"))</f>
        <v>0</v>
      </c>
      <c r="J206" s="32">
        <f>IF($A206="","",IF($I206="OS inexistente","OS inexistente",IF($E206="Peça não cadastrada","Peça não cadastrada","OK")))</f>
        <v>0</v>
      </c>
    </row>
    <row r="207" spans="1:10">
      <c r="A207" s="17"/>
      <c r="B207" s="13"/>
      <c r="C207" s="20"/>
      <c r="D207" s="19"/>
      <c r="E207" s="26">
        <f>IF($B207="","",IFERROR(INDEX(PecDesc,MATCH($B207,PecCod,0)),"Peça não cadastrada"))</f>
        <v>0</v>
      </c>
      <c r="F207" s="27">
        <f>IF($B207="","",IF($D207&lt;&gt;"",$D207,IFERROR(INDEX(PecPreco,MATCH($B207,PecCod,0)),0)))</f>
        <v>0</v>
      </c>
      <c r="G207" s="27">
        <f>IF(OR($B207="",$C207=""),"",$C207*$F207)</f>
        <v>0</v>
      </c>
      <c r="H207" s="27">
        <f>IF(OR($B207="",$C207=""),"",$C207*IFERROR(INDEX(PecCusto,MATCH($B207,PecCod,0)),0))</f>
        <v>0</v>
      </c>
      <c r="I207" s="32">
        <f>IF($A207="","",IFERROR(INDEX(OSStatus,MATCH($A207,OSNum,0)),"OS inexistente"))</f>
        <v>0</v>
      </c>
      <c r="J207" s="32">
        <f>IF($A207="","",IF($I207="OS inexistente","OS inexistente",IF($E207="Peça não cadastrada","Peça não cadastrada","OK")))</f>
        <v>0</v>
      </c>
    </row>
    <row r="208" spans="1:10">
      <c r="A208" s="17"/>
      <c r="B208" s="13"/>
      <c r="C208" s="20"/>
      <c r="D208" s="19"/>
      <c r="E208" s="26">
        <f>IF($B208="","",IFERROR(INDEX(PecDesc,MATCH($B208,PecCod,0)),"Peça não cadastrada"))</f>
        <v>0</v>
      </c>
      <c r="F208" s="27">
        <f>IF($B208="","",IF($D208&lt;&gt;"",$D208,IFERROR(INDEX(PecPreco,MATCH($B208,PecCod,0)),0)))</f>
        <v>0</v>
      </c>
      <c r="G208" s="27">
        <f>IF(OR($B208="",$C208=""),"",$C208*$F208)</f>
        <v>0</v>
      </c>
      <c r="H208" s="27">
        <f>IF(OR($B208="",$C208=""),"",$C208*IFERROR(INDEX(PecCusto,MATCH($B208,PecCod,0)),0))</f>
        <v>0</v>
      </c>
      <c r="I208" s="32">
        <f>IF($A208="","",IFERROR(INDEX(OSStatus,MATCH($A208,OSNum,0)),"OS inexistente"))</f>
        <v>0</v>
      </c>
      <c r="J208" s="32">
        <f>IF($A208="","",IF($I208="OS inexistente","OS inexistente",IF($E208="Peça não cadastrada","Peça não cadastrada","OK")))</f>
        <v>0</v>
      </c>
    </row>
    <row r="209" spans="1:10">
      <c r="A209" s="17"/>
      <c r="B209" s="13"/>
      <c r="C209" s="20"/>
      <c r="D209" s="19"/>
      <c r="E209" s="26">
        <f>IF($B209="","",IFERROR(INDEX(PecDesc,MATCH($B209,PecCod,0)),"Peça não cadastrada"))</f>
        <v>0</v>
      </c>
      <c r="F209" s="27">
        <f>IF($B209="","",IF($D209&lt;&gt;"",$D209,IFERROR(INDEX(PecPreco,MATCH($B209,PecCod,0)),0)))</f>
        <v>0</v>
      </c>
      <c r="G209" s="27">
        <f>IF(OR($B209="",$C209=""),"",$C209*$F209)</f>
        <v>0</v>
      </c>
      <c r="H209" s="27">
        <f>IF(OR($B209="",$C209=""),"",$C209*IFERROR(INDEX(PecCusto,MATCH($B209,PecCod,0)),0))</f>
        <v>0</v>
      </c>
      <c r="I209" s="32">
        <f>IF($A209="","",IFERROR(INDEX(OSStatus,MATCH($A209,OSNum,0)),"OS inexistente"))</f>
        <v>0</v>
      </c>
      <c r="J209" s="32">
        <f>IF($A209="","",IF($I209="OS inexistente","OS inexistente",IF($E209="Peça não cadastrada","Peça não cadastrada","OK")))</f>
        <v>0</v>
      </c>
    </row>
    <row r="210" spans="1:10">
      <c r="A210" s="17"/>
      <c r="B210" s="13"/>
      <c r="C210" s="20"/>
      <c r="D210" s="19"/>
      <c r="E210" s="26">
        <f>IF($B210="","",IFERROR(INDEX(PecDesc,MATCH($B210,PecCod,0)),"Peça não cadastrada"))</f>
        <v>0</v>
      </c>
      <c r="F210" s="27">
        <f>IF($B210="","",IF($D210&lt;&gt;"",$D210,IFERROR(INDEX(PecPreco,MATCH($B210,PecCod,0)),0)))</f>
        <v>0</v>
      </c>
      <c r="G210" s="27">
        <f>IF(OR($B210="",$C210=""),"",$C210*$F210)</f>
        <v>0</v>
      </c>
      <c r="H210" s="27">
        <f>IF(OR($B210="",$C210=""),"",$C210*IFERROR(INDEX(PecCusto,MATCH($B210,PecCod,0)),0))</f>
        <v>0</v>
      </c>
      <c r="I210" s="32">
        <f>IF($A210="","",IFERROR(INDEX(OSStatus,MATCH($A210,OSNum,0)),"OS inexistente"))</f>
        <v>0</v>
      </c>
      <c r="J210" s="32">
        <f>IF($A210="","",IF($I210="OS inexistente","OS inexistente",IF($E210="Peça não cadastrada","Peça não cadastrada","OK")))</f>
        <v>0</v>
      </c>
    </row>
    <row r="211" spans="1:10">
      <c r="A211" s="17"/>
      <c r="B211" s="13"/>
      <c r="C211" s="20"/>
      <c r="D211" s="19"/>
      <c r="E211" s="26">
        <f>IF($B211="","",IFERROR(INDEX(PecDesc,MATCH($B211,PecCod,0)),"Peça não cadastrada"))</f>
        <v>0</v>
      </c>
      <c r="F211" s="27">
        <f>IF($B211="","",IF($D211&lt;&gt;"",$D211,IFERROR(INDEX(PecPreco,MATCH($B211,PecCod,0)),0)))</f>
        <v>0</v>
      </c>
      <c r="G211" s="27">
        <f>IF(OR($B211="",$C211=""),"",$C211*$F211)</f>
        <v>0</v>
      </c>
      <c r="H211" s="27">
        <f>IF(OR($B211="",$C211=""),"",$C211*IFERROR(INDEX(PecCusto,MATCH($B211,PecCod,0)),0))</f>
        <v>0</v>
      </c>
      <c r="I211" s="32">
        <f>IF($A211="","",IFERROR(INDEX(OSStatus,MATCH($A211,OSNum,0)),"OS inexistente"))</f>
        <v>0</v>
      </c>
      <c r="J211" s="32">
        <f>IF($A211="","",IF($I211="OS inexistente","OS inexistente",IF($E211="Peça não cadastrada","Peça não cadastrada","OK")))</f>
        <v>0</v>
      </c>
    </row>
    <row r="212" spans="1:10">
      <c r="A212" s="17"/>
      <c r="B212" s="13"/>
      <c r="C212" s="20"/>
      <c r="D212" s="19"/>
      <c r="E212" s="26">
        <f>IF($B212="","",IFERROR(INDEX(PecDesc,MATCH($B212,PecCod,0)),"Peça não cadastrada"))</f>
        <v>0</v>
      </c>
      <c r="F212" s="27">
        <f>IF($B212="","",IF($D212&lt;&gt;"",$D212,IFERROR(INDEX(PecPreco,MATCH($B212,PecCod,0)),0)))</f>
        <v>0</v>
      </c>
      <c r="G212" s="27">
        <f>IF(OR($B212="",$C212=""),"",$C212*$F212)</f>
        <v>0</v>
      </c>
      <c r="H212" s="27">
        <f>IF(OR($B212="",$C212=""),"",$C212*IFERROR(INDEX(PecCusto,MATCH($B212,PecCod,0)),0))</f>
        <v>0</v>
      </c>
      <c r="I212" s="32">
        <f>IF($A212="","",IFERROR(INDEX(OSStatus,MATCH($A212,OSNum,0)),"OS inexistente"))</f>
        <v>0</v>
      </c>
      <c r="J212" s="32">
        <f>IF($A212="","",IF($I212="OS inexistente","OS inexistente",IF($E212="Peça não cadastrada","Peça não cadastrada","OK")))</f>
        <v>0</v>
      </c>
    </row>
    <row r="213" spans="1:10">
      <c r="A213" s="17"/>
      <c r="B213" s="13"/>
      <c r="C213" s="20"/>
      <c r="D213" s="19"/>
      <c r="E213" s="26">
        <f>IF($B213="","",IFERROR(INDEX(PecDesc,MATCH($B213,PecCod,0)),"Peça não cadastrada"))</f>
        <v>0</v>
      </c>
      <c r="F213" s="27">
        <f>IF($B213="","",IF($D213&lt;&gt;"",$D213,IFERROR(INDEX(PecPreco,MATCH($B213,PecCod,0)),0)))</f>
        <v>0</v>
      </c>
      <c r="G213" s="27">
        <f>IF(OR($B213="",$C213=""),"",$C213*$F213)</f>
        <v>0</v>
      </c>
      <c r="H213" s="27">
        <f>IF(OR($B213="",$C213=""),"",$C213*IFERROR(INDEX(PecCusto,MATCH($B213,PecCod,0)),0))</f>
        <v>0</v>
      </c>
      <c r="I213" s="32">
        <f>IF($A213="","",IFERROR(INDEX(OSStatus,MATCH($A213,OSNum,0)),"OS inexistente"))</f>
        <v>0</v>
      </c>
      <c r="J213" s="32">
        <f>IF($A213="","",IF($I213="OS inexistente","OS inexistente",IF($E213="Peça não cadastrada","Peça não cadastrada","OK")))</f>
        <v>0</v>
      </c>
    </row>
    <row r="214" spans="1:10">
      <c r="A214" s="17"/>
      <c r="B214" s="13"/>
      <c r="C214" s="20"/>
      <c r="D214" s="19"/>
      <c r="E214" s="26">
        <f>IF($B214="","",IFERROR(INDEX(PecDesc,MATCH($B214,PecCod,0)),"Peça não cadastrada"))</f>
        <v>0</v>
      </c>
      <c r="F214" s="27">
        <f>IF($B214="","",IF($D214&lt;&gt;"",$D214,IFERROR(INDEX(PecPreco,MATCH($B214,PecCod,0)),0)))</f>
        <v>0</v>
      </c>
      <c r="G214" s="27">
        <f>IF(OR($B214="",$C214=""),"",$C214*$F214)</f>
        <v>0</v>
      </c>
      <c r="H214" s="27">
        <f>IF(OR($B214="",$C214=""),"",$C214*IFERROR(INDEX(PecCusto,MATCH($B214,PecCod,0)),0))</f>
        <v>0</v>
      </c>
      <c r="I214" s="32">
        <f>IF($A214="","",IFERROR(INDEX(OSStatus,MATCH($A214,OSNum,0)),"OS inexistente"))</f>
        <v>0</v>
      </c>
      <c r="J214" s="32">
        <f>IF($A214="","",IF($I214="OS inexistente","OS inexistente",IF($E214="Peça não cadastrada","Peça não cadastrada","OK")))</f>
        <v>0</v>
      </c>
    </row>
    <row r="215" spans="1:10">
      <c r="A215" s="17"/>
      <c r="B215" s="13"/>
      <c r="C215" s="20"/>
      <c r="D215" s="19"/>
      <c r="E215" s="26">
        <f>IF($B215="","",IFERROR(INDEX(PecDesc,MATCH($B215,PecCod,0)),"Peça não cadastrada"))</f>
        <v>0</v>
      </c>
      <c r="F215" s="27">
        <f>IF($B215="","",IF($D215&lt;&gt;"",$D215,IFERROR(INDEX(PecPreco,MATCH($B215,PecCod,0)),0)))</f>
        <v>0</v>
      </c>
      <c r="G215" s="27">
        <f>IF(OR($B215="",$C215=""),"",$C215*$F215)</f>
        <v>0</v>
      </c>
      <c r="H215" s="27">
        <f>IF(OR($B215="",$C215=""),"",$C215*IFERROR(INDEX(PecCusto,MATCH($B215,PecCod,0)),0))</f>
        <v>0</v>
      </c>
      <c r="I215" s="32">
        <f>IF($A215="","",IFERROR(INDEX(OSStatus,MATCH($A215,OSNum,0)),"OS inexistente"))</f>
        <v>0</v>
      </c>
      <c r="J215" s="32">
        <f>IF($A215="","",IF($I215="OS inexistente","OS inexistente",IF($E215="Peça não cadastrada","Peça não cadastrada","OK")))</f>
        <v>0</v>
      </c>
    </row>
    <row r="216" spans="1:10">
      <c r="A216" s="17"/>
      <c r="B216" s="13"/>
      <c r="C216" s="20"/>
      <c r="D216" s="19"/>
      <c r="E216" s="26">
        <f>IF($B216="","",IFERROR(INDEX(PecDesc,MATCH($B216,PecCod,0)),"Peça não cadastrada"))</f>
        <v>0</v>
      </c>
      <c r="F216" s="27">
        <f>IF($B216="","",IF($D216&lt;&gt;"",$D216,IFERROR(INDEX(PecPreco,MATCH($B216,PecCod,0)),0)))</f>
        <v>0</v>
      </c>
      <c r="G216" s="27">
        <f>IF(OR($B216="",$C216=""),"",$C216*$F216)</f>
        <v>0</v>
      </c>
      <c r="H216" s="27">
        <f>IF(OR($B216="",$C216=""),"",$C216*IFERROR(INDEX(PecCusto,MATCH($B216,PecCod,0)),0))</f>
        <v>0</v>
      </c>
      <c r="I216" s="32">
        <f>IF($A216="","",IFERROR(INDEX(OSStatus,MATCH($A216,OSNum,0)),"OS inexistente"))</f>
        <v>0</v>
      </c>
      <c r="J216" s="32">
        <f>IF($A216="","",IF($I216="OS inexistente","OS inexistente",IF($E216="Peça não cadastrada","Peça não cadastrada","OK")))</f>
        <v>0</v>
      </c>
    </row>
    <row r="217" spans="1:10">
      <c r="A217" s="17"/>
      <c r="B217" s="13"/>
      <c r="C217" s="20"/>
      <c r="D217" s="19"/>
      <c r="E217" s="26">
        <f>IF($B217="","",IFERROR(INDEX(PecDesc,MATCH($B217,PecCod,0)),"Peça não cadastrada"))</f>
        <v>0</v>
      </c>
      <c r="F217" s="27">
        <f>IF($B217="","",IF($D217&lt;&gt;"",$D217,IFERROR(INDEX(PecPreco,MATCH($B217,PecCod,0)),0)))</f>
        <v>0</v>
      </c>
      <c r="G217" s="27">
        <f>IF(OR($B217="",$C217=""),"",$C217*$F217)</f>
        <v>0</v>
      </c>
      <c r="H217" s="27">
        <f>IF(OR($B217="",$C217=""),"",$C217*IFERROR(INDEX(PecCusto,MATCH($B217,PecCod,0)),0))</f>
        <v>0</v>
      </c>
      <c r="I217" s="32">
        <f>IF($A217="","",IFERROR(INDEX(OSStatus,MATCH($A217,OSNum,0)),"OS inexistente"))</f>
        <v>0</v>
      </c>
      <c r="J217" s="32">
        <f>IF($A217="","",IF($I217="OS inexistente","OS inexistente",IF($E217="Peça não cadastrada","Peça não cadastrada","OK")))</f>
        <v>0</v>
      </c>
    </row>
    <row r="218" spans="1:10">
      <c r="A218" s="17"/>
      <c r="B218" s="13"/>
      <c r="C218" s="20"/>
      <c r="D218" s="19"/>
      <c r="E218" s="26">
        <f>IF($B218="","",IFERROR(INDEX(PecDesc,MATCH($B218,PecCod,0)),"Peça não cadastrada"))</f>
        <v>0</v>
      </c>
      <c r="F218" s="27">
        <f>IF($B218="","",IF($D218&lt;&gt;"",$D218,IFERROR(INDEX(PecPreco,MATCH($B218,PecCod,0)),0)))</f>
        <v>0</v>
      </c>
      <c r="G218" s="27">
        <f>IF(OR($B218="",$C218=""),"",$C218*$F218)</f>
        <v>0</v>
      </c>
      <c r="H218" s="27">
        <f>IF(OR($B218="",$C218=""),"",$C218*IFERROR(INDEX(PecCusto,MATCH($B218,PecCod,0)),0))</f>
        <v>0</v>
      </c>
      <c r="I218" s="32">
        <f>IF($A218="","",IFERROR(INDEX(OSStatus,MATCH($A218,OSNum,0)),"OS inexistente"))</f>
        <v>0</v>
      </c>
      <c r="J218" s="32">
        <f>IF($A218="","",IF($I218="OS inexistente","OS inexistente",IF($E218="Peça não cadastrada","Peça não cadastrada","OK")))</f>
        <v>0</v>
      </c>
    </row>
    <row r="219" spans="1:10">
      <c r="A219" s="17"/>
      <c r="B219" s="13"/>
      <c r="C219" s="20"/>
      <c r="D219" s="19"/>
      <c r="E219" s="26">
        <f>IF($B219="","",IFERROR(INDEX(PecDesc,MATCH($B219,PecCod,0)),"Peça não cadastrada"))</f>
        <v>0</v>
      </c>
      <c r="F219" s="27">
        <f>IF($B219="","",IF($D219&lt;&gt;"",$D219,IFERROR(INDEX(PecPreco,MATCH($B219,PecCod,0)),0)))</f>
        <v>0</v>
      </c>
      <c r="G219" s="27">
        <f>IF(OR($B219="",$C219=""),"",$C219*$F219)</f>
        <v>0</v>
      </c>
      <c r="H219" s="27">
        <f>IF(OR($B219="",$C219=""),"",$C219*IFERROR(INDEX(PecCusto,MATCH($B219,PecCod,0)),0))</f>
        <v>0</v>
      </c>
      <c r="I219" s="32">
        <f>IF($A219="","",IFERROR(INDEX(OSStatus,MATCH($A219,OSNum,0)),"OS inexistente"))</f>
        <v>0</v>
      </c>
      <c r="J219" s="32">
        <f>IF($A219="","",IF($I219="OS inexistente","OS inexistente",IF($E219="Peça não cadastrada","Peça não cadastrada","OK")))</f>
        <v>0</v>
      </c>
    </row>
    <row r="220" spans="1:10">
      <c r="A220" s="17"/>
      <c r="B220" s="13"/>
      <c r="C220" s="20"/>
      <c r="D220" s="19"/>
      <c r="E220" s="26">
        <f>IF($B220="","",IFERROR(INDEX(PecDesc,MATCH($B220,PecCod,0)),"Peça não cadastrada"))</f>
        <v>0</v>
      </c>
      <c r="F220" s="27">
        <f>IF($B220="","",IF($D220&lt;&gt;"",$D220,IFERROR(INDEX(PecPreco,MATCH($B220,PecCod,0)),0)))</f>
        <v>0</v>
      </c>
      <c r="G220" s="27">
        <f>IF(OR($B220="",$C220=""),"",$C220*$F220)</f>
        <v>0</v>
      </c>
      <c r="H220" s="27">
        <f>IF(OR($B220="",$C220=""),"",$C220*IFERROR(INDEX(PecCusto,MATCH($B220,PecCod,0)),0))</f>
        <v>0</v>
      </c>
      <c r="I220" s="32">
        <f>IF($A220="","",IFERROR(INDEX(OSStatus,MATCH($A220,OSNum,0)),"OS inexistente"))</f>
        <v>0</v>
      </c>
      <c r="J220" s="32">
        <f>IF($A220="","",IF($I220="OS inexistente","OS inexistente",IF($E220="Peça não cadastrada","Peça não cadastrada","OK")))</f>
        <v>0</v>
      </c>
    </row>
    <row r="221" spans="1:10">
      <c r="A221" s="17"/>
      <c r="B221" s="13"/>
      <c r="C221" s="20"/>
      <c r="D221" s="19"/>
      <c r="E221" s="26">
        <f>IF($B221="","",IFERROR(INDEX(PecDesc,MATCH($B221,PecCod,0)),"Peça não cadastrada"))</f>
        <v>0</v>
      </c>
      <c r="F221" s="27">
        <f>IF($B221="","",IF($D221&lt;&gt;"",$D221,IFERROR(INDEX(PecPreco,MATCH($B221,PecCod,0)),0)))</f>
        <v>0</v>
      </c>
      <c r="G221" s="27">
        <f>IF(OR($B221="",$C221=""),"",$C221*$F221)</f>
        <v>0</v>
      </c>
      <c r="H221" s="27">
        <f>IF(OR($B221="",$C221=""),"",$C221*IFERROR(INDEX(PecCusto,MATCH($B221,PecCod,0)),0))</f>
        <v>0</v>
      </c>
      <c r="I221" s="32">
        <f>IF($A221="","",IFERROR(INDEX(OSStatus,MATCH($A221,OSNum,0)),"OS inexistente"))</f>
        <v>0</v>
      </c>
      <c r="J221" s="32">
        <f>IF($A221="","",IF($I221="OS inexistente","OS inexistente",IF($E221="Peça não cadastrada","Peça não cadastrada","OK")))</f>
        <v>0</v>
      </c>
    </row>
    <row r="222" spans="1:10">
      <c r="A222" s="17"/>
      <c r="B222" s="13"/>
      <c r="C222" s="20"/>
      <c r="D222" s="19"/>
      <c r="E222" s="26">
        <f>IF($B222="","",IFERROR(INDEX(PecDesc,MATCH($B222,PecCod,0)),"Peça não cadastrada"))</f>
        <v>0</v>
      </c>
      <c r="F222" s="27">
        <f>IF($B222="","",IF($D222&lt;&gt;"",$D222,IFERROR(INDEX(PecPreco,MATCH($B222,PecCod,0)),0)))</f>
        <v>0</v>
      </c>
      <c r="G222" s="27">
        <f>IF(OR($B222="",$C222=""),"",$C222*$F222)</f>
        <v>0</v>
      </c>
      <c r="H222" s="27">
        <f>IF(OR($B222="",$C222=""),"",$C222*IFERROR(INDEX(PecCusto,MATCH($B222,PecCod,0)),0))</f>
        <v>0</v>
      </c>
      <c r="I222" s="32">
        <f>IF($A222="","",IFERROR(INDEX(OSStatus,MATCH($A222,OSNum,0)),"OS inexistente"))</f>
        <v>0</v>
      </c>
      <c r="J222" s="32">
        <f>IF($A222="","",IF($I222="OS inexistente","OS inexistente",IF($E222="Peça não cadastrada","Peça não cadastrada","OK")))</f>
        <v>0</v>
      </c>
    </row>
    <row r="223" spans="1:10">
      <c r="A223" s="17"/>
      <c r="B223" s="13"/>
      <c r="C223" s="20"/>
      <c r="D223" s="19"/>
      <c r="E223" s="26">
        <f>IF($B223="","",IFERROR(INDEX(PecDesc,MATCH($B223,PecCod,0)),"Peça não cadastrada"))</f>
        <v>0</v>
      </c>
      <c r="F223" s="27">
        <f>IF($B223="","",IF($D223&lt;&gt;"",$D223,IFERROR(INDEX(PecPreco,MATCH($B223,PecCod,0)),0)))</f>
        <v>0</v>
      </c>
      <c r="G223" s="27">
        <f>IF(OR($B223="",$C223=""),"",$C223*$F223)</f>
        <v>0</v>
      </c>
      <c r="H223" s="27">
        <f>IF(OR($B223="",$C223=""),"",$C223*IFERROR(INDEX(PecCusto,MATCH($B223,PecCod,0)),0))</f>
        <v>0</v>
      </c>
      <c r="I223" s="32">
        <f>IF($A223="","",IFERROR(INDEX(OSStatus,MATCH($A223,OSNum,0)),"OS inexistente"))</f>
        <v>0</v>
      </c>
      <c r="J223" s="32">
        <f>IF($A223="","",IF($I223="OS inexistente","OS inexistente",IF($E223="Peça não cadastrada","Peça não cadastrada","OK")))</f>
        <v>0</v>
      </c>
    </row>
    <row r="224" spans="1:10">
      <c r="A224" s="17"/>
      <c r="B224" s="13"/>
      <c r="C224" s="20"/>
      <c r="D224" s="19"/>
      <c r="E224" s="26">
        <f>IF($B224="","",IFERROR(INDEX(PecDesc,MATCH($B224,PecCod,0)),"Peça não cadastrada"))</f>
        <v>0</v>
      </c>
      <c r="F224" s="27">
        <f>IF($B224="","",IF($D224&lt;&gt;"",$D224,IFERROR(INDEX(PecPreco,MATCH($B224,PecCod,0)),0)))</f>
        <v>0</v>
      </c>
      <c r="G224" s="27">
        <f>IF(OR($B224="",$C224=""),"",$C224*$F224)</f>
        <v>0</v>
      </c>
      <c r="H224" s="27">
        <f>IF(OR($B224="",$C224=""),"",$C224*IFERROR(INDEX(PecCusto,MATCH($B224,PecCod,0)),0))</f>
        <v>0</v>
      </c>
      <c r="I224" s="32">
        <f>IF($A224="","",IFERROR(INDEX(OSStatus,MATCH($A224,OSNum,0)),"OS inexistente"))</f>
        <v>0</v>
      </c>
      <c r="J224" s="32">
        <f>IF($A224="","",IF($I224="OS inexistente","OS inexistente",IF($E224="Peça não cadastrada","Peça não cadastrada","OK")))</f>
        <v>0</v>
      </c>
    </row>
    <row r="225" spans="1:10">
      <c r="A225" s="17"/>
      <c r="B225" s="13"/>
      <c r="C225" s="20"/>
      <c r="D225" s="19"/>
      <c r="E225" s="26">
        <f>IF($B225="","",IFERROR(INDEX(PecDesc,MATCH($B225,PecCod,0)),"Peça não cadastrada"))</f>
        <v>0</v>
      </c>
      <c r="F225" s="27">
        <f>IF($B225="","",IF($D225&lt;&gt;"",$D225,IFERROR(INDEX(PecPreco,MATCH($B225,PecCod,0)),0)))</f>
        <v>0</v>
      </c>
      <c r="G225" s="27">
        <f>IF(OR($B225="",$C225=""),"",$C225*$F225)</f>
        <v>0</v>
      </c>
      <c r="H225" s="27">
        <f>IF(OR($B225="",$C225=""),"",$C225*IFERROR(INDEX(PecCusto,MATCH($B225,PecCod,0)),0))</f>
        <v>0</v>
      </c>
      <c r="I225" s="32">
        <f>IF($A225="","",IFERROR(INDEX(OSStatus,MATCH($A225,OSNum,0)),"OS inexistente"))</f>
        <v>0</v>
      </c>
      <c r="J225" s="32">
        <f>IF($A225="","",IF($I225="OS inexistente","OS inexistente",IF($E225="Peça não cadastrada","Peça não cadastrada","OK")))</f>
        <v>0</v>
      </c>
    </row>
    <row r="226" spans="1:10">
      <c r="A226" s="17"/>
      <c r="B226" s="13"/>
      <c r="C226" s="20"/>
      <c r="D226" s="19"/>
      <c r="E226" s="26">
        <f>IF($B226="","",IFERROR(INDEX(PecDesc,MATCH($B226,PecCod,0)),"Peça não cadastrada"))</f>
        <v>0</v>
      </c>
      <c r="F226" s="27">
        <f>IF($B226="","",IF($D226&lt;&gt;"",$D226,IFERROR(INDEX(PecPreco,MATCH($B226,PecCod,0)),0)))</f>
        <v>0</v>
      </c>
      <c r="G226" s="27">
        <f>IF(OR($B226="",$C226=""),"",$C226*$F226)</f>
        <v>0</v>
      </c>
      <c r="H226" s="27">
        <f>IF(OR($B226="",$C226=""),"",$C226*IFERROR(INDEX(PecCusto,MATCH($B226,PecCod,0)),0))</f>
        <v>0</v>
      </c>
      <c r="I226" s="32">
        <f>IF($A226="","",IFERROR(INDEX(OSStatus,MATCH($A226,OSNum,0)),"OS inexistente"))</f>
        <v>0</v>
      </c>
      <c r="J226" s="32">
        <f>IF($A226="","",IF($I226="OS inexistente","OS inexistente",IF($E226="Peça não cadastrada","Peça não cadastrada","OK")))</f>
        <v>0</v>
      </c>
    </row>
    <row r="227" spans="1:10">
      <c r="A227" s="17"/>
      <c r="B227" s="13"/>
      <c r="C227" s="20"/>
      <c r="D227" s="19"/>
      <c r="E227" s="26">
        <f>IF($B227="","",IFERROR(INDEX(PecDesc,MATCH($B227,PecCod,0)),"Peça não cadastrada"))</f>
        <v>0</v>
      </c>
      <c r="F227" s="27">
        <f>IF($B227="","",IF($D227&lt;&gt;"",$D227,IFERROR(INDEX(PecPreco,MATCH($B227,PecCod,0)),0)))</f>
        <v>0</v>
      </c>
      <c r="G227" s="27">
        <f>IF(OR($B227="",$C227=""),"",$C227*$F227)</f>
        <v>0</v>
      </c>
      <c r="H227" s="27">
        <f>IF(OR($B227="",$C227=""),"",$C227*IFERROR(INDEX(PecCusto,MATCH($B227,PecCod,0)),0))</f>
        <v>0</v>
      </c>
      <c r="I227" s="32">
        <f>IF($A227="","",IFERROR(INDEX(OSStatus,MATCH($A227,OSNum,0)),"OS inexistente"))</f>
        <v>0</v>
      </c>
      <c r="J227" s="32">
        <f>IF($A227="","",IF($I227="OS inexistente","OS inexistente",IF($E227="Peça não cadastrada","Peça não cadastrada","OK")))</f>
        <v>0</v>
      </c>
    </row>
    <row r="228" spans="1:10">
      <c r="A228" s="17"/>
      <c r="B228" s="13"/>
      <c r="C228" s="20"/>
      <c r="D228" s="19"/>
      <c r="E228" s="26">
        <f>IF($B228="","",IFERROR(INDEX(PecDesc,MATCH($B228,PecCod,0)),"Peça não cadastrada"))</f>
        <v>0</v>
      </c>
      <c r="F228" s="27">
        <f>IF($B228="","",IF($D228&lt;&gt;"",$D228,IFERROR(INDEX(PecPreco,MATCH($B228,PecCod,0)),0)))</f>
        <v>0</v>
      </c>
      <c r="G228" s="27">
        <f>IF(OR($B228="",$C228=""),"",$C228*$F228)</f>
        <v>0</v>
      </c>
      <c r="H228" s="27">
        <f>IF(OR($B228="",$C228=""),"",$C228*IFERROR(INDEX(PecCusto,MATCH($B228,PecCod,0)),0))</f>
        <v>0</v>
      </c>
      <c r="I228" s="32">
        <f>IF($A228="","",IFERROR(INDEX(OSStatus,MATCH($A228,OSNum,0)),"OS inexistente"))</f>
        <v>0</v>
      </c>
      <c r="J228" s="32">
        <f>IF($A228="","",IF($I228="OS inexistente","OS inexistente",IF($E228="Peça não cadastrada","Peça não cadastrada","OK")))</f>
        <v>0</v>
      </c>
    </row>
    <row r="229" spans="1:10">
      <c r="A229" s="17"/>
      <c r="B229" s="13"/>
      <c r="C229" s="20"/>
      <c r="D229" s="19"/>
      <c r="E229" s="26">
        <f>IF($B229="","",IFERROR(INDEX(PecDesc,MATCH($B229,PecCod,0)),"Peça não cadastrada"))</f>
        <v>0</v>
      </c>
      <c r="F229" s="27">
        <f>IF($B229="","",IF($D229&lt;&gt;"",$D229,IFERROR(INDEX(PecPreco,MATCH($B229,PecCod,0)),0)))</f>
        <v>0</v>
      </c>
      <c r="G229" s="27">
        <f>IF(OR($B229="",$C229=""),"",$C229*$F229)</f>
        <v>0</v>
      </c>
      <c r="H229" s="27">
        <f>IF(OR($B229="",$C229=""),"",$C229*IFERROR(INDEX(PecCusto,MATCH($B229,PecCod,0)),0))</f>
        <v>0</v>
      </c>
      <c r="I229" s="32">
        <f>IF($A229="","",IFERROR(INDEX(OSStatus,MATCH($A229,OSNum,0)),"OS inexistente"))</f>
        <v>0</v>
      </c>
      <c r="J229" s="32">
        <f>IF($A229="","",IF($I229="OS inexistente","OS inexistente",IF($E229="Peça não cadastrada","Peça não cadastrada","OK")))</f>
        <v>0</v>
      </c>
    </row>
    <row r="230" spans="1:10">
      <c r="A230" s="17"/>
      <c r="B230" s="13"/>
      <c r="C230" s="20"/>
      <c r="D230" s="19"/>
      <c r="E230" s="26">
        <f>IF($B230="","",IFERROR(INDEX(PecDesc,MATCH($B230,PecCod,0)),"Peça não cadastrada"))</f>
        <v>0</v>
      </c>
      <c r="F230" s="27">
        <f>IF($B230="","",IF($D230&lt;&gt;"",$D230,IFERROR(INDEX(PecPreco,MATCH($B230,PecCod,0)),0)))</f>
        <v>0</v>
      </c>
      <c r="G230" s="27">
        <f>IF(OR($B230="",$C230=""),"",$C230*$F230)</f>
        <v>0</v>
      </c>
      <c r="H230" s="27">
        <f>IF(OR($B230="",$C230=""),"",$C230*IFERROR(INDEX(PecCusto,MATCH($B230,PecCod,0)),0))</f>
        <v>0</v>
      </c>
      <c r="I230" s="32">
        <f>IF($A230="","",IFERROR(INDEX(OSStatus,MATCH($A230,OSNum,0)),"OS inexistente"))</f>
        <v>0</v>
      </c>
      <c r="J230" s="32">
        <f>IF($A230="","",IF($I230="OS inexistente","OS inexistente",IF($E230="Peça não cadastrada","Peça não cadastrada","OK")))</f>
        <v>0</v>
      </c>
    </row>
    <row r="231" spans="1:10">
      <c r="A231" s="17"/>
      <c r="B231" s="13"/>
      <c r="C231" s="20"/>
      <c r="D231" s="19"/>
      <c r="E231" s="26">
        <f>IF($B231="","",IFERROR(INDEX(PecDesc,MATCH($B231,PecCod,0)),"Peça não cadastrada"))</f>
        <v>0</v>
      </c>
      <c r="F231" s="27">
        <f>IF($B231="","",IF($D231&lt;&gt;"",$D231,IFERROR(INDEX(PecPreco,MATCH($B231,PecCod,0)),0)))</f>
        <v>0</v>
      </c>
      <c r="G231" s="27">
        <f>IF(OR($B231="",$C231=""),"",$C231*$F231)</f>
        <v>0</v>
      </c>
      <c r="H231" s="27">
        <f>IF(OR($B231="",$C231=""),"",$C231*IFERROR(INDEX(PecCusto,MATCH($B231,PecCod,0)),0))</f>
        <v>0</v>
      </c>
      <c r="I231" s="32">
        <f>IF($A231="","",IFERROR(INDEX(OSStatus,MATCH($A231,OSNum,0)),"OS inexistente"))</f>
        <v>0</v>
      </c>
      <c r="J231" s="32">
        <f>IF($A231="","",IF($I231="OS inexistente","OS inexistente",IF($E231="Peça não cadastrada","Peça não cadastrada","OK")))</f>
        <v>0</v>
      </c>
    </row>
    <row r="232" spans="1:10">
      <c r="A232" s="17"/>
      <c r="B232" s="13"/>
      <c r="C232" s="20"/>
      <c r="D232" s="19"/>
      <c r="E232" s="26">
        <f>IF($B232="","",IFERROR(INDEX(PecDesc,MATCH($B232,PecCod,0)),"Peça não cadastrada"))</f>
        <v>0</v>
      </c>
      <c r="F232" s="27">
        <f>IF($B232="","",IF($D232&lt;&gt;"",$D232,IFERROR(INDEX(PecPreco,MATCH($B232,PecCod,0)),0)))</f>
        <v>0</v>
      </c>
      <c r="G232" s="27">
        <f>IF(OR($B232="",$C232=""),"",$C232*$F232)</f>
        <v>0</v>
      </c>
      <c r="H232" s="27">
        <f>IF(OR($B232="",$C232=""),"",$C232*IFERROR(INDEX(PecCusto,MATCH($B232,PecCod,0)),0))</f>
        <v>0</v>
      </c>
      <c r="I232" s="32">
        <f>IF($A232="","",IFERROR(INDEX(OSStatus,MATCH($A232,OSNum,0)),"OS inexistente"))</f>
        <v>0</v>
      </c>
      <c r="J232" s="32">
        <f>IF($A232="","",IF($I232="OS inexistente","OS inexistente",IF($E232="Peça não cadastrada","Peça não cadastrada","OK")))</f>
        <v>0</v>
      </c>
    </row>
    <row r="233" spans="1:10">
      <c r="A233" s="17"/>
      <c r="B233" s="13"/>
      <c r="C233" s="20"/>
      <c r="D233" s="19"/>
      <c r="E233" s="26">
        <f>IF($B233="","",IFERROR(INDEX(PecDesc,MATCH($B233,PecCod,0)),"Peça não cadastrada"))</f>
        <v>0</v>
      </c>
      <c r="F233" s="27">
        <f>IF($B233="","",IF($D233&lt;&gt;"",$D233,IFERROR(INDEX(PecPreco,MATCH($B233,PecCod,0)),0)))</f>
        <v>0</v>
      </c>
      <c r="G233" s="27">
        <f>IF(OR($B233="",$C233=""),"",$C233*$F233)</f>
        <v>0</v>
      </c>
      <c r="H233" s="27">
        <f>IF(OR($B233="",$C233=""),"",$C233*IFERROR(INDEX(PecCusto,MATCH($B233,PecCod,0)),0))</f>
        <v>0</v>
      </c>
      <c r="I233" s="32">
        <f>IF($A233="","",IFERROR(INDEX(OSStatus,MATCH($A233,OSNum,0)),"OS inexistente"))</f>
        <v>0</v>
      </c>
      <c r="J233" s="32">
        <f>IF($A233="","",IF($I233="OS inexistente","OS inexistente",IF($E233="Peça não cadastrada","Peça não cadastrada","OK")))</f>
        <v>0</v>
      </c>
    </row>
    <row r="234" spans="1:10">
      <c r="A234" s="17"/>
      <c r="B234" s="13"/>
      <c r="C234" s="20"/>
      <c r="D234" s="19"/>
      <c r="E234" s="26">
        <f>IF($B234="","",IFERROR(INDEX(PecDesc,MATCH($B234,PecCod,0)),"Peça não cadastrada"))</f>
        <v>0</v>
      </c>
      <c r="F234" s="27">
        <f>IF($B234="","",IF($D234&lt;&gt;"",$D234,IFERROR(INDEX(PecPreco,MATCH($B234,PecCod,0)),0)))</f>
        <v>0</v>
      </c>
      <c r="G234" s="27">
        <f>IF(OR($B234="",$C234=""),"",$C234*$F234)</f>
        <v>0</v>
      </c>
      <c r="H234" s="27">
        <f>IF(OR($B234="",$C234=""),"",$C234*IFERROR(INDEX(PecCusto,MATCH($B234,PecCod,0)),0))</f>
        <v>0</v>
      </c>
      <c r="I234" s="32">
        <f>IF($A234="","",IFERROR(INDEX(OSStatus,MATCH($A234,OSNum,0)),"OS inexistente"))</f>
        <v>0</v>
      </c>
      <c r="J234" s="32">
        <f>IF($A234="","",IF($I234="OS inexistente","OS inexistente",IF($E234="Peça não cadastrada","Peça não cadastrada","OK")))</f>
        <v>0</v>
      </c>
    </row>
    <row r="235" spans="1:10">
      <c r="A235" s="17"/>
      <c r="B235" s="13"/>
      <c r="C235" s="20"/>
      <c r="D235" s="19"/>
      <c r="E235" s="26">
        <f>IF($B235="","",IFERROR(INDEX(PecDesc,MATCH($B235,PecCod,0)),"Peça não cadastrada"))</f>
        <v>0</v>
      </c>
      <c r="F235" s="27">
        <f>IF($B235="","",IF($D235&lt;&gt;"",$D235,IFERROR(INDEX(PecPreco,MATCH($B235,PecCod,0)),0)))</f>
        <v>0</v>
      </c>
      <c r="G235" s="27">
        <f>IF(OR($B235="",$C235=""),"",$C235*$F235)</f>
        <v>0</v>
      </c>
      <c r="H235" s="27">
        <f>IF(OR($B235="",$C235=""),"",$C235*IFERROR(INDEX(PecCusto,MATCH($B235,PecCod,0)),0))</f>
        <v>0</v>
      </c>
      <c r="I235" s="32">
        <f>IF($A235="","",IFERROR(INDEX(OSStatus,MATCH($A235,OSNum,0)),"OS inexistente"))</f>
        <v>0</v>
      </c>
      <c r="J235" s="32">
        <f>IF($A235="","",IF($I235="OS inexistente","OS inexistente",IF($E235="Peça não cadastrada","Peça não cadastrada","OK")))</f>
        <v>0</v>
      </c>
    </row>
    <row r="236" spans="1:10">
      <c r="A236" s="17"/>
      <c r="B236" s="13"/>
      <c r="C236" s="20"/>
      <c r="D236" s="19"/>
      <c r="E236" s="26">
        <f>IF($B236="","",IFERROR(INDEX(PecDesc,MATCH($B236,PecCod,0)),"Peça não cadastrada"))</f>
        <v>0</v>
      </c>
      <c r="F236" s="27">
        <f>IF($B236="","",IF($D236&lt;&gt;"",$D236,IFERROR(INDEX(PecPreco,MATCH($B236,PecCod,0)),0)))</f>
        <v>0</v>
      </c>
      <c r="G236" s="27">
        <f>IF(OR($B236="",$C236=""),"",$C236*$F236)</f>
        <v>0</v>
      </c>
      <c r="H236" s="27">
        <f>IF(OR($B236="",$C236=""),"",$C236*IFERROR(INDEX(PecCusto,MATCH($B236,PecCod,0)),0))</f>
        <v>0</v>
      </c>
      <c r="I236" s="32">
        <f>IF($A236="","",IFERROR(INDEX(OSStatus,MATCH($A236,OSNum,0)),"OS inexistente"))</f>
        <v>0</v>
      </c>
      <c r="J236" s="32">
        <f>IF($A236="","",IF($I236="OS inexistente","OS inexistente",IF($E236="Peça não cadastrada","Peça não cadastrada","OK")))</f>
        <v>0</v>
      </c>
    </row>
    <row r="237" spans="1:10">
      <c r="A237" s="17"/>
      <c r="B237" s="13"/>
      <c r="C237" s="20"/>
      <c r="D237" s="19"/>
      <c r="E237" s="26">
        <f>IF($B237="","",IFERROR(INDEX(PecDesc,MATCH($B237,PecCod,0)),"Peça não cadastrada"))</f>
        <v>0</v>
      </c>
      <c r="F237" s="27">
        <f>IF($B237="","",IF($D237&lt;&gt;"",$D237,IFERROR(INDEX(PecPreco,MATCH($B237,PecCod,0)),0)))</f>
        <v>0</v>
      </c>
      <c r="G237" s="27">
        <f>IF(OR($B237="",$C237=""),"",$C237*$F237)</f>
        <v>0</v>
      </c>
      <c r="H237" s="27">
        <f>IF(OR($B237="",$C237=""),"",$C237*IFERROR(INDEX(PecCusto,MATCH($B237,PecCod,0)),0))</f>
        <v>0</v>
      </c>
      <c r="I237" s="32">
        <f>IF($A237="","",IFERROR(INDEX(OSStatus,MATCH($A237,OSNum,0)),"OS inexistente"))</f>
        <v>0</v>
      </c>
      <c r="J237" s="32">
        <f>IF($A237="","",IF($I237="OS inexistente","OS inexistente",IF($E237="Peça não cadastrada","Peça não cadastrada","OK")))</f>
        <v>0</v>
      </c>
    </row>
    <row r="238" spans="1:10">
      <c r="A238" s="17"/>
      <c r="B238" s="13"/>
      <c r="C238" s="20"/>
      <c r="D238" s="19"/>
      <c r="E238" s="26">
        <f>IF($B238="","",IFERROR(INDEX(PecDesc,MATCH($B238,PecCod,0)),"Peça não cadastrada"))</f>
        <v>0</v>
      </c>
      <c r="F238" s="27">
        <f>IF($B238="","",IF($D238&lt;&gt;"",$D238,IFERROR(INDEX(PecPreco,MATCH($B238,PecCod,0)),0)))</f>
        <v>0</v>
      </c>
      <c r="G238" s="27">
        <f>IF(OR($B238="",$C238=""),"",$C238*$F238)</f>
        <v>0</v>
      </c>
      <c r="H238" s="27">
        <f>IF(OR($B238="",$C238=""),"",$C238*IFERROR(INDEX(PecCusto,MATCH($B238,PecCod,0)),0))</f>
        <v>0</v>
      </c>
      <c r="I238" s="32">
        <f>IF($A238="","",IFERROR(INDEX(OSStatus,MATCH($A238,OSNum,0)),"OS inexistente"))</f>
        <v>0</v>
      </c>
      <c r="J238" s="32">
        <f>IF($A238="","",IF($I238="OS inexistente","OS inexistente",IF($E238="Peça não cadastrada","Peça não cadastrada","OK")))</f>
        <v>0</v>
      </c>
    </row>
    <row r="239" spans="1:10">
      <c r="A239" s="17"/>
      <c r="B239" s="13"/>
      <c r="C239" s="20"/>
      <c r="D239" s="19"/>
      <c r="E239" s="26">
        <f>IF($B239="","",IFERROR(INDEX(PecDesc,MATCH($B239,PecCod,0)),"Peça não cadastrada"))</f>
        <v>0</v>
      </c>
      <c r="F239" s="27">
        <f>IF($B239="","",IF($D239&lt;&gt;"",$D239,IFERROR(INDEX(PecPreco,MATCH($B239,PecCod,0)),0)))</f>
        <v>0</v>
      </c>
      <c r="G239" s="27">
        <f>IF(OR($B239="",$C239=""),"",$C239*$F239)</f>
        <v>0</v>
      </c>
      <c r="H239" s="27">
        <f>IF(OR($B239="",$C239=""),"",$C239*IFERROR(INDEX(PecCusto,MATCH($B239,PecCod,0)),0))</f>
        <v>0</v>
      </c>
      <c r="I239" s="32">
        <f>IF($A239="","",IFERROR(INDEX(OSStatus,MATCH($A239,OSNum,0)),"OS inexistente"))</f>
        <v>0</v>
      </c>
      <c r="J239" s="32">
        <f>IF($A239="","",IF($I239="OS inexistente","OS inexistente",IF($E239="Peça não cadastrada","Peça não cadastrada","OK")))</f>
        <v>0</v>
      </c>
    </row>
    <row r="240" spans="1:10">
      <c r="A240" s="17"/>
      <c r="B240" s="13"/>
      <c r="C240" s="20"/>
      <c r="D240" s="19"/>
      <c r="E240" s="26">
        <f>IF($B240="","",IFERROR(INDEX(PecDesc,MATCH($B240,PecCod,0)),"Peça não cadastrada"))</f>
        <v>0</v>
      </c>
      <c r="F240" s="27">
        <f>IF($B240="","",IF($D240&lt;&gt;"",$D240,IFERROR(INDEX(PecPreco,MATCH($B240,PecCod,0)),0)))</f>
        <v>0</v>
      </c>
      <c r="G240" s="27">
        <f>IF(OR($B240="",$C240=""),"",$C240*$F240)</f>
        <v>0</v>
      </c>
      <c r="H240" s="27">
        <f>IF(OR($B240="",$C240=""),"",$C240*IFERROR(INDEX(PecCusto,MATCH($B240,PecCod,0)),0))</f>
        <v>0</v>
      </c>
      <c r="I240" s="32">
        <f>IF($A240="","",IFERROR(INDEX(OSStatus,MATCH($A240,OSNum,0)),"OS inexistente"))</f>
        <v>0</v>
      </c>
      <c r="J240" s="32">
        <f>IF($A240="","",IF($I240="OS inexistente","OS inexistente",IF($E240="Peça não cadastrada","Peça não cadastrada","OK")))</f>
        <v>0</v>
      </c>
    </row>
    <row r="241" spans="1:10">
      <c r="A241" s="17"/>
      <c r="B241" s="13"/>
      <c r="C241" s="20"/>
      <c r="D241" s="19"/>
      <c r="E241" s="26">
        <f>IF($B241="","",IFERROR(INDEX(PecDesc,MATCH($B241,PecCod,0)),"Peça não cadastrada"))</f>
        <v>0</v>
      </c>
      <c r="F241" s="27">
        <f>IF($B241="","",IF($D241&lt;&gt;"",$D241,IFERROR(INDEX(PecPreco,MATCH($B241,PecCod,0)),0)))</f>
        <v>0</v>
      </c>
      <c r="G241" s="27">
        <f>IF(OR($B241="",$C241=""),"",$C241*$F241)</f>
        <v>0</v>
      </c>
      <c r="H241" s="27">
        <f>IF(OR($B241="",$C241=""),"",$C241*IFERROR(INDEX(PecCusto,MATCH($B241,PecCod,0)),0))</f>
        <v>0</v>
      </c>
      <c r="I241" s="32">
        <f>IF($A241="","",IFERROR(INDEX(OSStatus,MATCH($A241,OSNum,0)),"OS inexistente"))</f>
        <v>0</v>
      </c>
      <c r="J241" s="32">
        <f>IF($A241="","",IF($I241="OS inexistente","OS inexistente",IF($E241="Peça não cadastrada","Peça não cadastrada","OK")))</f>
        <v>0</v>
      </c>
    </row>
    <row r="242" spans="1:10">
      <c r="A242" s="17"/>
      <c r="B242" s="13"/>
      <c r="C242" s="20"/>
      <c r="D242" s="19"/>
      <c r="E242" s="26">
        <f>IF($B242="","",IFERROR(INDEX(PecDesc,MATCH($B242,PecCod,0)),"Peça não cadastrada"))</f>
        <v>0</v>
      </c>
      <c r="F242" s="27">
        <f>IF($B242="","",IF($D242&lt;&gt;"",$D242,IFERROR(INDEX(PecPreco,MATCH($B242,PecCod,0)),0)))</f>
        <v>0</v>
      </c>
      <c r="G242" s="27">
        <f>IF(OR($B242="",$C242=""),"",$C242*$F242)</f>
        <v>0</v>
      </c>
      <c r="H242" s="27">
        <f>IF(OR($B242="",$C242=""),"",$C242*IFERROR(INDEX(PecCusto,MATCH($B242,PecCod,0)),0))</f>
        <v>0</v>
      </c>
      <c r="I242" s="32">
        <f>IF($A242="","",IFERROR(INDEX(OSStatus,MATCH($A242,OSNum,0)),"OS inexistente"))</f>
        <v>0</v>
      </c>
      <c r="J242" s="32">
        <f>IF($A242="","",IF($I242="OS inexistente","OS inexistente",IF($E242="Peça não cadastrada","Peça não cadastrada","OK")))</f>
        <v>0</v>
      </c>
    </row>
    <row r="243" spans="1:10">
      <c r="A243" s="17"/>
      <c r="B243" s="13"/>
      <c r="C243" s="20"/>
      <c r="D243" s="19"/>
      <c r="E243" s="26">
        <f>IF($B243="","",IFERROR(INDEX(PecDesc,MATCH($B243,PecCod,0)),"Peça não cadastrada"))</f>
        <v>0</v>
      </c>
      <c r="F243" s="27">
        <f>IF($B243="","",IF($D243&lt;&gt;"",$D243,IFERROR(INDEX(PecPreco,MATCH($B243,PecCod,0)),0)))</f>
        <v>0</v>
      </c>
      <c r="G243" s="27">
        <f>IF(OR($B243="",$C243=""),"",$C243*$F243)</f>
        <v>0</v>
      </c>
      <c r="H243" s="27">
        <f>IF(OR($B243="",$C243=""),"",$C243*IFERROR(INDEX(PecCusto,MATCH($B243,PecCod,0)),0))</f>
        <v>0</v>
      </c>
      <c r="I243" s="32">
        <f>IF($A243="","",IFERROR(INDEX(OSStatus,MATCH($A243,OSNum,0)),"OS inexistente"))</f>
        <v>0</v>
      </c>
      <c r="J243" s="32">
        <f>IF($A243="","",IF($I243="OS inexistente","OS inexistente",IF($E243="Peça não cadastrada","Peça não cadastrada","OK")))</f>
        <v>0</v>
      </c>
    </row>
    <row r="244" spans="1:10">
      <c r="A244" s="17"/>
      <c r="B244" s="13"/>
      <c r="C244" s="20"/>
      <c r="D244" s="19"/>
      <c r="E244" s="26">
        <f>IF($B244="","",IFERROR(INDEX(PecDesc,MATCH($B244,PecCod,0)),"Peça não cadastrada"))</f>
        <v>0</v>
      </c>
      <c r="F244" s="27">
        <f>IF($B244="","",IF($D244&lt;&gt;"",$D244,IFERROR(INDEX(PecPreco,MATCH($B244,PecCod,0)),0)))</f>
        <v>0</v>
      </c>
      <c r="G244" s="27">
        <f>IF(OR($B244="",$C244=""),"",$C244*$F244)</f>
        <v>0</v>
      </c>
      <c r="H244" s="27">
        <f>IF(OR($B244="",$C244=""),"",$C244*IFERROR(INDEX(PecCusto,MATCH($B244,PecCod,0)),0))</f>
        <v>0</v>
      </c>
      <c r="I244" s="32">
        <f>IF($A244="","",IFERROR(INDEX(OSStatus,MATCH($A244,OSNum,0)),"OS inexistente"))</f>
        <v>0</v>
      </c>
      <c r="J244" s="32">
        <f>IF($A244="","",IF($I244="OS inexistente","OS inexistente",IF($E244="Peça não cadastrada","Peça não cadastrada","OK")))</f>
        <v>0</v>
      </c>
    </row>
    <row r="245" spans="1:10">
      <c r="A245" s="17"/>
      <c r="B245" s="13"/>
      <c r="C245" s="20"/>
      <c r="D245" s="19"/>
      <c r="E245" s="26">
        <f>IF($B245="","",IFERROR(INDEX(PecDesc,MATCH($B245,PecCod,0)),"Peça não cadastrada"))</f>
        <v>0</v>
      </c>
      <c r="F245" s="27">
        <f>IF($B245="","",IF($D245&lt;&gt;"",$D245,IFERROR(INDEX(PecPreco,MATCH($B245,PecCod,0)),0)))</f>
        <v>0</v>
      </c>
      <c r="G245" s="27">
        <f>IF(OR($B245="",$C245=""),"",$C245*$F245)</f>
        <v>0</v>
      </c>
      <c r="H245" s="27">
        <f>IF(OR($B245="",$C245=""),"",$C245*IFERROR(INDEX(PecCusto,MATCH($B245,PecCod,0)),0))</f>
        <v>0</v>
      </c>
      <c r="I245" s="32">
        <f>IF($A245="","",IFERROR(INDEX(OSStatus,MATCH($A245,OSNum,0)),"OS inexistente"))</f>
        <v>0</v>
      </c>
      <c r="J245" s="32">
        <f>IF($A245="","",IF($I245="OS inexistente","OS inexistente",IF($E245="Peça não cadastrada","Peça não cadastrada","OK")))</f>
        <v>0</v>
      </c>
    </row>
    <row r="246" spans="1:10">
      <c r="A246" s="17"/>
      <c r="B246" s="13"/>
      <c r="C246" s="20"/>
      <c r="D246" s="19"/>
      <c r="E246" s="26">
        <f>IF($B246="","",IFERROR(INDEX(PecDesc,MATCH($B246,PecCod,0)),"Peça não cadastrada"))</f>
        <v>0</v>
      </c>
      <c r="F246" s="27">
        <f>IF($B246="","",IF($D246&lt;&gt;"",$D246,IFERROR(INDEX(PecPreco,MATCH($B246,PecCod,0)),0)))</f>
        <v>0</v>
      </c>
      <c r="G246" s="27">
        <f>IF(OR($B246="",$C246=""),"",$C246*$F246)</f>
        <v>0</v>
      </c>
      <c r="H246" s="27">
        <f>IF(OR($B246="",$C246=""),"",$C246*IFERROR(INDEX(PecCusto,MATCH($B246,PecCod,0)),0))</f>
        <v>0</v>
      </c>
      <c r="I246" s="32">
        <f>IF($A246="","",IFERROR(INDEX(OSStatus,MATCH($A246,OSNum,0)),"OS inexistente"))</f>
        <v>0</v>
      </c>
      <c r="J246" s="32">
        <f>IF($A246="","",IF($I246="OS inexistente","OS inexistente",IF($E246="Peça não cadastrada","Peça não cadastrada","OK")))</f>
        <v>0</v>
      </c>
    </row>
    <row r="247" spans="1:10">
      <c r="A247" s="17"/>
      <c r="B247" s="13"/>
      <c r="C247" s="20"/>
      <c r="D247" s="19"/>
      <c r="E247" s="26">
        <f>IF($B247="","",IFERROR(INDEX(PecDesc,MATCH($B247,PecCod,0)),"Peça não cadastrada"))</f>
        <v>0</v>
      </c>
      <c r="F247" s="27">
        <f>IF($B247="","",IF($D247&lt;&gt;"",$D247,IFERROR(INDEX(PecPreco,MATCH($B247,PecCod,0)),0)))</f>
        <v>0</v>
      </c>
      <c r="G247" s="27">
        <f>IF(OR($B247="",$C247=""),"",$C247*$F247)</f>
        <v>0</v>
      </c>
      <c r="H247" s="27">
        <f>IF(OR($B247="",$C247=""),"",$C247*IFERROR(INDEX(PecCusto,MATCH($B247,PecCod,0)),0))</f>
        <v>0</v>
      </c>
      <c r="I247" s="32">
        <f>IF($A247="","",IFERROR(INDEX(OSStatus,MATCH($A247,OSNum,0)),"OS inexistente"))</f>
        <v>0</v>
      </c>
      <c r="J247" s="32">
        <f>IF($A247="","",IF($I247="OS inexistente","OS inexistente",IF($E247="Peça não cadastrada","Peça não cadastrada","OK")))</f>
        <v>0</v>
      </c>
    </row>
    <row r="248" spans="1:10">
      <c r="A248" s="17"/>
      <c r="B248" s="13"/>
      <c r="C248" s="20"/>
      <c r="D248" s="19"/>
      <c r="E248" s="26">
        <f>IF($B248="","",IFERROR(INDEX(PecDesc,MATCH($B248,PecCod,0)),"Peça não cadastrada"))</f>
        <v>0</v>
      </c>
      <c r="F248" s="27">
        <f>IF($B248="","",IF($D248&lt;&gt;"",$D248,IFERROR(INDEX(PecPreco,MATCH($B248,PecCod,0)),0)))</f>
        <v>0</v>
      </c>
      <c r="G248" s="27">
        <f>IF(OR($B248="",$C248=""),"",$C248*$F248)</f>
        <v>0</v>
      </c>
      <c r="H248" s="27">
        <f>IF(OR($B248="",$C248=""),"",$C248*IFERROR(INDEX(PecCusto,MATCH($B248,PecCod,0)),0))</f>
        <v>0</v>
      </c>
      <c r="I248" s="32">
        <f>IF($A248="","",IFERROR(INDEX(OSStatus,MATCH($A248,OSNum,0)),"OS inexistente"))</f>
        <v>0</v>
      </c>
      <c r="J248" s="32">
        <f>IF($A248="","",IF($I248="OS inexistente","OS inexistente",IF($E248="Peça não cadastrada","Peça não cadastrada","OK")))</f>
        <v>0</v>
      </c>
    </row>
    <row r="249" spans="1:10">
      <c r="A249" s="17"/>
      <c r="B249" s="13"/>
      <c r="C249" s="20"/>
      <c r="D249" s="19"/>
      <c r="E249" s="26">
        <f>IF($B249="","",IFERROR(INDEX(PecDesc,MATCH($B249,PecCod,0)),"Peça não cadastrada"))</f>
        <v>0</v>
      </c>
      <c r="F249" s="27">
        <f>IF($B249="","",IF($D249&lt;&gt;"",$D249,IFERROR(INDEX(PecPreco,MATCH($B249,PecCod,0)),0)))</f>
        <v>0</v>
      </c>
      <c r="G249" s="27">
        <f>IF(OR($B249="",$C249=""),"",$C249*$F249)</f>
        <v>0</v>
      </c>
      <c r="H249" s="27">
        <f>IF(OR($B249="",$C249=""),"",$C249*IFERROR(INDEX(PecCusto,MATCH($B249,PecCod,0)),0))</f>
        <v>0</v>
      </c>
      <c r="I249" s="32">
        <f>IF($A249="","",IFERROR(INDEX(OSStatus,MATCH($A249,OSNum,0)),"OS inexistente"))</f>
        <v>0</v>
      </c>
      <c r="J249" s="32">
        <f>IF($A249="","",IF($I249="OS inexistente","OS inexistente",IF($E249="Peça não cadastrada","Peça não cadastrada","OK")))</f>
        <v>0</v>
      </c>
    </row>
    <row r="250" spans="1:10">
      <c r="A250" s="17"/>
      <c r="B250" s="13"/>
      <c r="C250" s="20"/>
      <c r="D250" s="19"/>
      <c r="E250" s="26">
        <f>IF($B250="","",IFERROR(INDEX(PecDesc,MATCH($B250,PecCod,0)),"Peça não cadastrada"))</f>
        <v>0</v>
      </c>
      <c r="F250" s="27">
        <f>IF($B250="","",IF($D250&lt;&gt;"",$D250,IFERROR(INDEX(PecPreco,MATCH($B250,PecCod,0)),0)))</f>
        <v>0</v>
      </c>
      <c r="G250" s="27">
        <f>IF(OR($B250="",$C250=""),"",$C250*$F250)</f>
        <v>0</v>
      </c>
      <c r="H250" s="27">
        <f>IF(OR($B250="",$C250=""),"",$C250*IFERROR(INDEX(PecCusto,MATCH($B250,PecCod,0)),0))</f>
        <v>0</v>
      </c>
      <c r="I250" s="32">
        <f>IF($A250="","",IFERROR(INDEX(OSStatus,MATCH($A250,OSNum,0)),"OS inexistente"))</f>
        <v>0</v>
      </c>
      <c r="J250" s="32">
        <f>IF($A250="","",IF($I250="OS inexistente","OS inexistente",IF($E250="Peça não cadastrada","Peça não cadastrada","OK")))</f>
        <v>0</v>
      </c>
    </row>
    <row r="251" spans="1:10">
      <c r="A251" s="17"/>
      <c r="B251" s="13"/>
      <c r="C251" s="20"/>
      <c r="D251" s="19"/>
      <c r="E251" s="26">
        <f>IF($B251="","",IFERROR(INDEX(PecDesc,MATCH($B251,PecCod,0)),"Peça não cadastrada"))</f>
        <v>0</v>
      </c>
      <c r="F251" s="27">
        <f>IF($B251="","",IF($D251&lt;&gt;"",$D251,IFERROR(INDEX(PecPreco,MATCH($B251,PecCod,0)),0)))</f>
        <v>0</v>
      </c>
      <c r="G251" s="27">
        <f>IF(OR($B251="",$C251=""),"",$C251*$F251)</f>
        <v>0</v>
      </c>
      <c r="H251" s="27">
        <f>IF(OR($B251="",$C251=""),"",$C251*IFERROR(INDEX(PecCusto,MATCH($B251,PecCod,0)),0))</f>
        <v>0</v>
      </c>
      <c r="I251" s="32">
        <f>IF($A251="","",IFERROR(INDEX(OSStatus,MATCH($A251,OSNum,0)),"OS inexistente"))</f>
        <v>0</v>
      </c>
      <c r="J251" s="32">
        <f>IF($A251="","",IF($I251="OS inexistente","OS inexistente",IF($E251="Peça não cadastrada","Peça não cadastrada","OK")))</f>
        <v>0</v>
      </c>
    </row>
    <row r="252" spans="1:10">
      <c r="A252" s="17"/>
      <c r="B252" s="13"/>
      <c r="C252" s="20"/>
      <c r="D252" s="19"/>
      <c r="E252" s="26">
        <f>IF($B252="","",IFERROR(INDEX(PecDesc,MATCH($B252,PecCod,0)),"Peça não cadastrada"))</f>
        <v>0</v>
      </c>
      <c r="F252" s="27">
        <f>IF($B252="","",IF($D252&lt;&gt;"",$D252,IFERROR(INDEX(PecPreco,MATCH($B252,PecCod,0)),0)))</f>
        <v>0</v>
      </c>
      <c r="G252" s="27">
        <f>IF(OR($B252="",$C252=""),"",$C252*$F252)</f>
        <v>0</v>
      </c>
      <c r="H252" s="27">
        <f>IF(OR($B252="",$C252=""),"",$C252*IFERROR(INDEX(PecCusto,MATCH($B252,PecCod,0)),0))</f>
        <v>0</v>
      </c>
      <c r="I252" s="32">
        <f>IF($A252="","",IFERROR(INDEX(OSStatus,MATCH($A252,OSNum,0)),"OS inexistente"))</f>
        <v>0</v>
      </c>
      <c r="J252" s="32">
        <f>IF($A252="","",IF($I252="OS inexistente","OS inexistente",IF($E252="Peça não cadastrada","Peça não cadastrada","OK")))</f>
        <v>0</v>
      </c>
    </row>
    <row r="253" spans="1:10">
      <c r="A253" s="17"/>
      <c r="B253" s="13"/>
      <c r="C253" s="20"/>
      <c r="D253" s="19"/>
      <c r="E253" s="26">
        <f>IF($B253="","",IFERROR(INDEX(PecDesc,MATCH($B253,PecCod,0)),"Peça não cadastrada"))</f>
        <v>0</v>
      </c>
      <c r="F253" s="27">
        <f>IF($B253="","",IF($D253&lt;&gt;"",$D253,IFERROR(INDEX(PecPreco,MATCH($B253,PecCod,0)),0)))</f>
        <v>0</v>
      </c>
      <c r="G253" s="27">
        <f>IF(OR($B253="",$C253=""),"",$C253*$F253)</f>
        <v>0</v>
      </c>
      <c r="H253" s="27">
        <f>IF(OR($B253="",$C253=""),"",$C253*IFERROR(INDEX(PecCusto,MATCH($B253,PecCod,0)),0))</f>
        <v>0</v>
      </c>
      <c r="I253" s="32">
        <f>IF($A253="","",IFERROR(INDEX(OSStatus,MATCH($A253,OSNum,0)),"OS inexistente"))</f>
        <v>0</v>
      </c>
      <c r="J253" s="32">
        <f>IF($A253="","",IF($I253="OS inexistente","OS inexistente",IF($E253="Peça não cadastrada","Peça não cadastrada","OK")))</f>
        <v>0</v>
      </c>
    </row>
    <row r="254" spans="1:10">
      <c r="A254" s="17"/>
      <c r="B254" s="13"/>
      <c r="C254" s="20"/>
      <c r="D254" s="19"/>
      <c r="E254" s="26">
        <f>IF($B254="","",IFERROR(INDEX(PecDesc,MATCH($B254,PecCod,0)),"Peça não cadastrada"))</f>
        <v>0</v>
      </c>
      <c r="F254" s="27">
        <f>IF($B254="","",IF($D254&lt;&gt;"",$D254,IFERROR(INDEX(PecPreco,MATCH($B254,PecCod,0)),0)))</f>
        <v>0</v>
      </c>
      <c r="G254" s="27">
        <f>IF(OR($B254="",$C254=""),"",$C254*$F254)</f>
        <v>0</v>
      </c>
      <c r="H254" s="27">
        <f>IF(OR($B254="",$C254=""),"",$C254*IFERROR(INDEX(PecCusto,MATCH($B254,PecCod,0)),0))</f>
        <v>0</v>
      </c>
      <c r="I254" s="32">
        <f>IF($A254="","",IFERROR(INDEX(OSStatus,MATCH($A254,OSNum,0)),"OS inexistente"))</f>
        <v>0</v>
      </c>
      <c r="J254" s="32">
        <f>IF($A254="","",IF($I254="OS inexistente","OS inexistente",IF($E254="Peça não cadastrada","Peça não cadastrada","OK")))</f>
        <v>0</v>
      </c>
    </row>
    <row r="255" spans="1:10">
      <c r="A255" s="17"/>
      <c r="B255" s="13"/>
      <c r="C255" s="20"/>
      <c r="D255" s="19"/>
      <c r="E255" s="26">
        <f>IF($B255="","",IFERROR(INDEX(PecDesc,MATCH($B255,PecCod,0)),"Peça não cadastrada"))</f>
        <v>0</v>
      </c>
      <c r="F255" s="27">
        <f>IF($B255="","",IF($D255&lt;&gt;"",$D255,IFERROR(INDEX(PecPreco,MATCH($B255,PecCod,0)),0)))</f>
        <v>0</v>
      </c>
      <c r="G255" s="27">
        <f>IF(OR($B255="",$C255=""),"",$C255*$F255)</f>
        <v>0</v>
      </c>
      <c r="H255" s="27">
        <f>IF(OR($B255="",$C255=""),"",$C255*IFERROR(INDEX(PecCusto,MATCH($B255,PecCod,0)),0))</f>
        <v>0</v>
      </c>
      <c r="I255" s="32">
        <f>IF($A255="","",IFERROR(INDEX(OSStatus,MATCH($A255,OSNum,0)),"OS inexistente"))</f>
        <v>0</v>
      </c>
      <c r="J255" s="32">
        <f>IF($A255="","",IF($I255="OS inexistente","OS inexistente",IF($E255="Peça não cadastrada","Peça não cadastrada","OK")))</f>
        <v>0</v>
      </c>
    </row>
    <row r="256" spans="1:10">
      <c r="A256" s="17"/>
      <c r="B256" s="13"/>
      <c r="C256" s="20"/>
      <c r="D256" s="19"/>
      <c r="E256" s="26">
        <f>IF($B256="","",IFERROR(INDEX(PecDesc,MATCH($B256,PecCod,0)),"Peça não cadastrada"))</f>
        <v>0</v>
      </c>
      <c r="F256" s="27">
        <f>IF($B256="","",IF($D256&lt;&gt;"",$D256,IFERROR(INDEX(PecPreco,MATCH($B256,PecCod,0)),0)))</f>
        <v>0</v>
      </c>
      <c r="G256" s="27">
        <f>IF(OR($B256="",$C256=""),"",$C256*$F256)</f>
        <v>0</v>
      </c>
      <c r="H256" s="27">
        <f>IF(OR($B256="",$C256=""),"",$C256*IFERROR(INDEX(PecCusto,MATCH($B256,PecCod,0)),0))</f>
        <v>0</v>
      </c>
      <c r="I256" s="32">
        <f>IF($A256="","",IFERROR(INDEX(OSStatus,MATCH($A256,OSNum,0)),"OS inexistente"))</f>
        <v>0</v>
      </c>
      <c r="J256" s="32">
        <f>IF($A256="","",IF($I256="OS inexistente","OS inexistente",IF($E256="Peça não cadastrada","Peça não cadastrada","OK")))</f>
        <v>0</v>
      </c>
    </row>
    <row r="257" spans="1:10">
      <c r="A257" s="17"/>
      <c r="B257" s="13"/>
      <c r="C257" s="20"/>
      <c r="D257" s="19"/>
      <c r="E257" s="26">
        <f>IF($B257="","",IFERROR(INDEX(PecDesc,MATCH($B257,PecCod,0)),"Peça não cadastrada"))</f>
        <v>0</v>
      </c>
      <c r="F257" s="27">
        <f>IF($B257="","",IF($D257&lt;&gt;"",$D257,IFERROR(INDEX(PecPreco,MATCH($B257,PecCod,0)),0)))</f>
        <v>0</v>
      </c>
      <c r="G257" s="27">
        <f>IF(OR($B257="",$C257=""),"",$C257*$F257)</f>
        <v>0</v>
      </c>
      <c r="H257" s="27">
        <f>IF(OR($B257="",$C257=""),"",$C257*IFERROR(INDEX(PecCusto,MATCH($B257,PecCod,0)),0))</f>
        <v>0</v>
      </c>
      <c r="I257" s="32">
        <f>IF($A257="","",IFERROR(INDEX(OSStatus,MATCH($A257,OSNum,0)),"OS inexistente"))</f>
        <v>0</v>
      </c>
      <c r="J257" s="32">
        <f>IF($A257="","",IF($I257="OS inexistente","OS inexistente",IF($E257="Peça não cadastrada","Peça não cadastrada","OK")))</f>
        <v>0</v>
      </c>
    </row>
    <row r="258" spans="1:10">
      <c r="A258" s="17"/>
      <c r="B258" s="13"/>
      <c r="C258" s="20"/>
      <c r="D258" s="19"/>
      <c r="E258" s="26">
        <f>IF($B258="","",IFERROR(INDEX(PecDesc,MATCH($B258,PecCod,0)),"Peça não cadastrada"))</f>
        <v>0</v>
      </c>
      <c r="F258" s="27">
        <f>IF($B258="","",IF($D258&lt;&gt;"",$D258,IFERROR(INDEX(PecPreco,MATCH($B258,PecCod,0)),0)))</f>
        <v>0</v>
      </c>
      <c r="G258" s="27">
        <f>IF(OR($B258="",$C258=""),"",$C258*$F258)</f>
        <v>0</v>
      </c>
      <c r="H258" s="27">
        <f>IF(OR($B258="",$C258=""),"",$C258*IFERROR(INDEX(PecCusto,MATCH($B258,PecCod,0)),0))</f>
        <v>0</v>
      </c>
      <c r="I258" s="32">
        <f>IF($A258="","",IFERROR(INDEX(OSStatus,MATCH($A258,OSNum,0)),"OS inexistente"))</f>
        <v>0</v>
      </c>
      <c r="J258" s="32">
        <f>IF($A258="","",IF($I258="OS inexistente","OS inexistente",IF($E258="Peça não cadastrada","Peça não cadastrada","OK")))</f>
        <v>0</v>
      </c>
    </row>
    <row r="259" spans="1:10">
      <c r="A259" s="17"/>
      <c r="B259" s="13"/>
      <c r="C259" s="20"/>
      <c r="D259" s="19"/>
      <c r="E259" s="26">
        <f>IF($B259="","",IFERROR(INDEX(PecDesc,MATCH($B259,PecCod,0)),"Peça não cadastrada"))</f>
        <v>0</v>
      </c>
      <c r="F259" s="27">
        <f>IF($B259="","",IF($D259&lt;&gt;"",$D259,IFERROR(INDEX(PecPreco,MATCH($B259,PecCod,0)),0)))</f>
        <v>0</v>
      </c>
      <c r="G259" s="27">
        <f>IF(OR($B259="",$C259=""),"",$C259*$F259)</f>
        <v>0</v>
      </c>
      <c r="H259" s="27">
        <f>IF(OR($B259="",$C259=""),"",$C259*IFERROR(INDEX(PecCusto,MATCH($B259,PecCod,0)),0))</f>
        <v>0</v>
      </c>
      <c r="I259" s="32">
        <f>IF($A259="","",IFERROR(INDEX(OSStatus,MATCH($A259,OSNum,0)),"OS inexistente"))</f>
        <v>0</v>
      </c>
      <c r="J259" s="32">
        <f>IF($A259="","",IF($I259="OS inexistente","OS inexistente",IF($E259="Peça não cadastrada","Peça não cadastrada","OK")))</f>
        <v>0</v>
      </c>
    </row>
    <row r="260" spans="1:10">
      <c r="A260" s="17"/>
      <c r="B260" s="13"/>
      <c r="C260" s="20"/>
      <c r="D260" s="19"/>
      <c r="E260" s="26">
        <f>IF($B260="","",IFERROR(INDEX(PecDesc,MATCH($B260,PecCod,0)),"Peça não cadastrada"))</f>
        <v>0</v>
      </c>
      <c r="F260" s="27">
        <f>IF($B260="","",IF($D260&lt;&gt;"",$D260,IFERROR(INDEX(PecPreco,MATCH($B260,PecCod,0)),0)))</f>
        <v>0</v>
      </c>
      <c r="G260" s="27">
        <f>IF(OR($B260="",$C260=""),"",$C260*$F260)</f>
        <v>0</v>
      </c>
      <c r="H260" s="27">
        <f>IF(OR($B260="",$C260=""),"",$C260*IFERROR(INDEX(PecCusto,MATCH($B260,PecCod,0)),0))</f>
        <v>0</v>
      </c>
      <c r="I260" s="32">
        <f>IF($A260="","",IFERROR(INDEX(OSStatus,MATCH($A260,OSNum,0)),"OS inexistente"))</f>
        <v>0</v>
      </c>
      <c r="J260" s="32">
        <f>IF($A260="","",IF($I260="OS inexistente","OS inexistente",IF($E260="Peça não cadastrada","Peça não cadastrada","OK")))</f>
        <v>0</v>
      </c>
    </row>
    <row r="261" spans="1:10">
      <c r="A261" s="17"/>
      <c r="B261" s="13"/>
      <c r="C261" s="20"/>
      <c r="D261" s="19"/>
      <c r="E261" s="26">
        <f>IF($B261="","",IFERROR(INDEX(PecDesc,MATCH($B261,PecCod,0)),"Peça não cadastrada"))</f>
        <v>0</v>
      </c>
      <c r="F261" s="27">
        <f>IF($B261="","",IF($D261&lt;&gt;"",$D261,IFERROR(INDEX(PecPreco,MATCH($B261,PecCod,0)),0)))</f>
        <v>0</v>
      </c>
      <c r="G261" s="27">
        <f>IF(OR($B261="",$C261=""),"",$C261*$F261)</f>
        <v>0</v>
      </c>
      <c r="H261" s="27">
        <f>IF(OR($B261="",$C261=""),"",$C261*IFERROR(INDEX(PecCusto,MATCH($B261,PecCod,0)),0))</f>
        <v>0</v>
      </c>
      <c r="I261" s="32">
        <f>IF($A261="","",IFERROR(INDEX(OSStatus,MATCH($A261,OSNum,0)),"OS inexistente"))</f>
        <v>0</v>
      </c>
      <c r="J261" s="32">
        <f>IF($A261="","",IF($I261="OS inexistente","OS inexistente",IF($E261="Peça não cadastrada","Peça não cadastrada","OK")))</f>
        <v>0</v>
      </c>
    </row>
    <row r="262" spans="1:10">
      <c r="A262" s="17"/>
      <c r="B262" s="13"/>
      <c r="C262" s="20"/>
      <c r="D262" s="19"/>
      <c r="E262" s="26">
        <f>IF($B262="","",IFERROR(INDEX(PecDesc,MATCH($B262,PecCod,0)),"Peça não cadastrada"))</f>
        <v>0</v>
      </c>
      <c r="F262" s="27">
        <f>IF($B262="","",IF($D262&lt;&gt;"",$D262,IFERROR(INDEX(PecPreco,MATCH($B262,PecCod,0)),0)))</f>
        <v>0</v>
      </c>
      <c r="G262" s="27">
        <f>IF(OR($B262="",$C262=""),"",$C262*$F262)</f>
        <v>0</v>
      </c>
      <c r="H262" s="27">
        <f>IF(OR($B262="",$C262=""),"",$C262*IFERROR(INDEX(PecCusto,MATCH($B262,PecCod,0)),0))</f>
        <v>0</v>
      </c>
      <c r="I262" s="32">
        <f>IF($A262="","",IFERROR(INDEX(OSStatus,MATCH($A262,OSNum,0)),"OS inexistente"))</f>
        <v>0</v>
      </c>
      <c r="J262" s="32">
        <f>IF($A262="","",IF($I262="OS inexistente","OS inexistente",IF($E262="Peça não cadastrada","Peça não cadastrada","OK")))</f>
        <v>0</v>
      </c>
    </row>
    <row r="263" spans="1:10">
      <c r="A263" s="17"/>
      <c r="B263" s="13"/>
      <c r="C263" s="20"/>
      <c r="D263" s="19"/>
      <c r="E263" s="26">
        <f>IF($B263="","",IFERROR(INDEX(PecDesc,MATCH($B263,PecCod,0)),"Peça não cadastrada"))</f>
        <v>0</v>
      </c>
      <c r="F263" s="27">
        <f>IF($B263="","",IF($D263&lt;&gt;"",$D263,IFERROR(INDEX(PecPreco,MATCH($B263,PecCod,0)),0)))</f>
        <v>0</v>
      </c>
      <c r="G263" s="27">
        <f>IF(OR($B263="",$C263=""),"",$C263*$F263)</f>
        <v>0</v>
      </c>
      <c r="H263" s="27">
        <f>IF(OR($B263="",$C263=""),"",$C263*IFERROR(INDEX(PecCusto,MATCH($B263,PecCod,0)),0))</f>
        <v>0</v>
      </c>
      <c r="I263" s="32">
        <f>IF($A263="","",IFERROR(INDEX(OSStatus,MATCH($A263,OSNum,0)),"OS inexistente"))</f>
        <v>0</v>
      </c>
      <c r="J263" s="32">
        <f>IF($A263="","",IF($I263="OS inexistente","OS inexistente",IF($E263="Peça não cadastrada","Peça não cadastrada","OK")))</f>
        <v>0</v>
      </c>
    </row>
    <row r="264" spans="1:10">
      <c r="A264" s="17"/>
      <c r="B264" s="13"/>
      <c r="C264" s="20"/>
      <c r="D264" s="19"/>
      <c r="E264" s="26">
        <f>IF($B264="","",IFERROR(INDEX(PecDesc,MATCH($B264,PecCod,0)),"Peça não cadastrada"))</f>
        <v>0</v>
      </c>
      <c r="F264" s="27">
        <f>IF($B264="","",IF($D264&lt;&gt;"",$D264,IFERROR(INDEX(PecPreco,MATCH($B264,PecCod,0)),0)))</f>
        <v>0</v>
      </c>
      <c r="G264" s="27">
        <f>IF(OR($B264="",$C264=""),"",$C264*$F264)</f>
        <v>0</v>
      </c>
      <c r="H264" s="27">
        <f>IF(OR($B264="",$C264=""),"",$C264*IFERROR(INDEX(PecCusto,MATCH($B264,PecCod,0)),0))</f>
        <v>0</v>
      </c>
      <c r="I264" s="32">
        <f>IF($A264="","",IFERROR(INDEX(OSStatus,MATCH($A264,OSNum,0)),"OS inexistente"))</f>
        <v>0</v>
      </c>
      <c r="J264" s="32">
        <f>IF($A264="","",IF($I264="OS inexistente","OS inexistente",IF($E264="Peça não cadastrada","Peça não cadastrada","OK")))</f>
        <v>0</v>
      </c>
    </row>
    <row r="265" spans="1:10">
      <c r="A265" s="17"/>
      <c r="B265" s="13"/>
      <c r="C265" s="20"/>
      <c r="D265" s="19"/>
      <c r="E265" s="26">
        <f>IF($B265="","",IFERROR(INDEX(PecDesc,MATCH($B265,PecCod,0)),"Peça não cadastrada"))</f>
        <v>0</v>
      </c>
      <c r="F265" s="27">
        <f>IF($B265="","",IF($D265&lt;&gt;"",$D265,IFERROR(INDEX(PecPreco,MATCH($B265,PecCod,0)),0)))</f>
        <v>0</v>
      </c>
      <c r="G265" s="27">
        <f>IF(OR($B265="",$C265=""),"",$C265*$F265)</f>
        <v>0</v>
      </c>
      <c r="H265" s="27">
        <f>IF(OR($B265="",$C265=""),"",$C265*IFERROR(INDEX(PecCusto,MATCH($B265,PecCod,0)),0))</f>
        <v>0</v>
      </c>
      <c r="I265" s="32">
        <f>IF($A265="","",IFERROR(INDEX(OSStatus,MATCH($A265,OSNum,0)),"OS inexistente"))</f>
        <v>0</v>
      </c>
      <c r="J265" s="32">
        <f>IF($A265="","",IF($I265="OS inexistente","OS inexistente",IF($E265="Peça não cadastrada","Peça não cadastrada","OK")))</f>
        <v>0</v>
      </c>
    </row>
    <row r="266" spans="1:10">
      <c r="A266" s="17"/>
      <c r="B266" s="13"/>
      <c r="C266" s="20"/>
      <c r="D266" s="19"/>
      <c r="E266" s="26">
        <f>IF($B266="","",IFERROR(INDEX(PecDesc,MATCH($B266,PecCod,0)),"Peça não cadastrada"))</f>
        <v>0</v>
      </c>
      <c r="F266" s="27">
        <f>IF($B266="","",IF($D266&lt;&gt;"",$D266,IFERROR(INDEX(PecPreco,MATCH($B266,PecCod,0)),0)))</f>
        <v>0</v>
      </c>
      <c r="G266" s="27">
        <f>IF(OR($B266="",$C266=""),"",$C266*$F266)</f>
        <v>0</v>
      </c>
      <c r="H266" s="27">
        <f>IF(OR($B266="",$C266=""),"",$C266*IFERROR(INDEX(PecCusto,MATCH($B266,PecCod,0)),0))</f>
        <v>0</v>
      </c>
      <c r="I266" s="32">
        <f>IF($A266="","",IFERROR(INDEX(OSStatus,MATCH($A266,OSNum,0)),"OS inexistente"))</f>
        <v>0</v>
      </c>
      <c r="J266" s="32">
        <f>IF($A266="","",IF($I266="OS inexistente","OS inexistente",IF($E266="Peça não cadastrada","Peça não cadastrada","OK")))</f>
        <v>0</v>
      </c>
    </row>
    <row r="267" spans="1:10">
      <c r="A267" s="17"/>
      <c r="B267" s="13"/>
      <c r="C267" s="20"/>
      <c r="D267" s="19"/>
      <c r="E267" s="26">
        <f>IF($B267="","",IFERROR(INDEX(PecDesc,MATCH($B267,PecCod,0)),"Peça não cadastrada"))</f>
        <v>0</v>
      </c>
      <c r="F267" s="27">
        <f>IF($B267="","",IF($D267&lt;&gt;"",$D267,IFERROR(INDEX(PecPreco,MATCH($B267,PecCod,0)),0)))</f>
        <v>0</v>
      </c>
      <c r="G267" s="27">
        <f>IF(OR($B267="",$C267=""),"",$C267*$F267)</f>
        <v>0</v>
      </c>
      <c r="H267" s="27">
        <f>IF(OR($B267="",$C267=""),"",$C267*IFERROR(INDEX(PecCusto,MATCH($B267,PecCod,0)),0))</f>
        <v>0</v>
      </c>
      <c r="I267" s="32">
        <f>IF($A267="","",IFERROR(INDEX(OSStatus,MATCH($A267,OSNum,0)),"OS inexistente"))</f>
        <v>0</v>
      </c>
      <c r="J267" s="32">
        <f>IF($A267="","",IF($I267="OS inexistente","OS inexistente",IF($E267="Peça não cadastrada","Peça não cadastrada","OK")))</f>
        <v>0</v>
      </c>
    </row>
    <row r="268" spans="1:10">
      <c r="A268" s="17"/>
      <c r="B268" s="13"/>
      <c r="C268" s="20"/>
      <c r="D268" s="19"/>
      <c r="E268" s="26">
        <f>IF($B268="","",IFERROR(INDEX(PecDesc,MATCH($B268,PecCod,0)),"Peça não cadastrada"))</f>
        <v>0</v>
      </c>
      <c r="F268" s="27">
        <f>IF($B268="","",IF($D268&lt;&gt;"",$D268,IFERROR(INDEX(PecPreco,MATCH($B268,PecCod,0)),0)))</f>
        <v>0</v>
      </c>
      <c r="G268" s="27">
        <f>IF(OR($B268="",$C268=""),"",$C268*$F268)</f>
        <v>0</v>
      </c>
      <c r="H268" s="27">
        <f>IF(OR($B268="",$C268=""),"",$C268*IFERROR(INDEX(PecCusto,MATCH($B268,PecCod,0)),0))</f>
        <v>0</v>
      </c>
      <c r="I268" s="32">
        <f>IF($A268="","",IFERROR(INDEX(OSStatus,MATCH($A268,OSNum,0)),"OS inexistente"))</f>
        <v>0</v>
      </c>
      <c r="J268" s="32">
        <f>IF($A268="","",IF($I268="OS inexistente","OS inexistente",IF($E268="Peça não cadastrada","Peça não cadastrada","OK")))</f>
        <v>0</v>
      </c>
    </row>
    <row r="269" spans="1:10">
      <c r="A269" s="17"/>
      <c r="B269" s="13"/>
      <c r="C269" s="20"/>
      <c r="D269" s="19"/>
      <c r="E269" s="26">
        <f>IF($B269="","",IFERROR(INDEX(PecDesc,MATCH($B269,PecCod,0)),"Peça não cadastrada"))</f>
        <v>0</v>
      </c>
      <c r="F269" s="27">
        <f>IF($B269="","",IF($D269&lt;&gt;"",$D269,IFERROR(INDEX(PecPreco,MATCH($B269,PecCod,0)),0)))</f>
        <v>0</v>
      </c>
      <c r="G269" s="27">
        <f>IF(OR($B269="",$C269=""),"",$C269*$F269)</f>
        <v>0</v>
      </c>
      <c r="H269" s="27">
        <f>IF(OR($B269="",$C269=""),"",$C269*IFERROR(INDEX(PecCusto,MATCH($B269,PecCod,0)),0))</f>
        <v>0</v>
      </c>
      <c r="I269" s="32">
        <f>IF($A269="","",IFERROR(INDEX(OSStatus,MATCH($A269,OSNum,0)),"OS inexistente"))</f>
        <v>0</v>
      </c>
      <c r="J269" s="32">
        <f>IF($A269="","",IF($I269="OS inexistente","OS inexistente",IF($E269="Peça não cadastrada","Peça não cadastrada","OK")))</f>
        <v>0</v>
      </c>
    </row>
    <row r="270" spans="1:10">
      <c r="A270" s="17"/>
      <c r="B270" s="13"/>
      <c r="C270" s="20"/>
      <c r="D270" s="19"/>
      <c r="E270" s="26">
        <f>IF($B270="","",IFERROR(INDEX(PecDesc,MATCH($B270,PecCod,0)),"Peça não cadastrada"))</f>
        <v>0</v>
      </c>
      <c r="F270" s="27">
        <f>IF($B270="","",IF($D270&lt;&gt;"",$D270,IFERROR(INDEX(PecPreco,MATCH($B270,PecCod,0)),0)))</f>
        <v>0</v>
      </c>
      <c r="G270" s="27">
        <f>IF(OR($B270="",$C270=""),"",$C270*$F270)</f>
        <v>0</v>
      </c>
      <c r="H270" s="27">
        <f>IF(OR($B270="",$C270=""),"",$C270*IFERROR(INDEX(PecCusto,MATCH($B270,PecCod,0)),0))</f>
        <v>0</v>
      </c>
      <c r="I270" s="32">
        <f>IF($A270="","",IFERROR(INDEX(OSStatus,MATCH($A270,OSNum,0)),"OS inexistente"))</f>
        <v>0</v>
      </c>
      <c r="J270" s="32">
        <f>IF($A270="","",IF($I270="OS inexistente","OS inexistente",IF($E270="Peça não cadastrada","Peça não cadastrada","OK")))</f>
        <v>0</v>
      </c>
    </row>
    <row r="271" spans="1:10">
      <c r="A271" s="17"/>
      <c r="B271" s="13"/>
      <c r="C271" s="20"/>
      <c r="D271" s="19"/>
      <c r="E271" s="26">
        <f>IF($B271="","",IFERROR(INDEX(PecDesc,MATCH($B271,PecCod,0)),"Peça não cadastrada"))</f>
        <v>0</v>
      </c>
      <c r="F271" s="27">
        <f>IF($B271="","",IF($D271&lt;&gt;"",$D271,IFERROR(INDEX(PecPreco,MATCH($B271,PecCod,0)),0)))</f>
        <v>0</v>
      </c>
      <c r="G271" s="27">
        <f>IF(OR($B271="",$C271=""),"",$C271*$F271)</f>
        <v>0</v>
      </c>
      <c r="H271" s="27">
        <f>IF(OR($B271="",$C271=""),"",$C271*IFERROR(INDEX(PecCusto,MATCH($B271,PecCod,0)),0))</f>
        <v>0</v>
      </c>
      <c r="I271" s="32">
        <f>IF($A271="","",IFERROR(INDEX(OSStatus,MATCH($A271,OSNum,0)),"OS inexistente"))</f>
        <v>0</v>
      </c>
      <c r="J271" s="32">
        <f>IF($A271="","",IF($I271="OS inexistente","OS inexistente",IF($E271="Peça não cadastrada","Peça não cadastrada","OK")))</f>
        <v>0</v>
      </c>
    </row>
    <row r="272" spans="1:10">
      <c r="A272" s="17"/>
      <c r="B272" s="13"/>
      <c r="C272" s="20"/>
      <c r="D272" s="19"/>
      <c r="E272" s="26">
        <f>IF($B272="","",IFERROR(INDEX(PecDesc,MATCH($B272,PecCod,0)),"Peça não cadastrada"))</f>
        <v>0</v>
      </c>
      <c r="F272" s="27">
        <f>IF($B272="","",IF($D272&lt;&gt;"",$D272,IFERROR(INDEX(PecPreco,MATCH($B272,PecCod,0)),0)))</f>
        <v>0</v>
      </c>
      <c r="G272" s="27">
        <f>IF(OR($B272="",$C272=""),"",$C272*$F272)</f>
        <v>0</v>
      </c>
      <c r="H272" s="27">
        <f>IF(OR($B272="",$C272=""),"",$C272*IFERROR(INDEX(PecCusto,MATCH($B272,PecCod,0)),0))</f>
        <v>0</v>
      </c>
      <c r="I272" s="32">
        <f>IF($A272="","",IFERROR(INDEX(OSStatus,MATCH($A272,OSNum,0)),"OS inexistente"))</f>
        <v>0</v>
      </c>
      <c r="J272" s="32">
        <f>IF($A272="","",IF($I272="OS inexistente","OS inexistente",IF($E272="Peça não cadastrada","Peça não cadastrada","OK")))</f>
        <v>0</v>
      </c>
    </row>
    <row r="273" spans="1:10">
      <c r="A273" s="17"/>
      <c r="B273" s="13"/>
      <c r="C273" s="20"/>
      <c r="D273" s="19"/>
      <c r="E273" s="26">
        <f>IF($B273="","",IFERROR(INDEX(PecDesc,MATCH($B273,PecCod,0)),"Peça não cadastrada"))</f>
        <v>0</v>
      </c>
      <c r="F273" s="27">
        <f>IF($B273="","",IF($D273&lt;&gt;"",$D273,IFERROR(INDEX(PecPreco,MATCH($B273,PecCod,0)),0)))</f>
        <v>0</v>
      </c>
      <c r="G273" s="27">
        <f>IF(OR($B273="",$C273=""),"",$C273*$F273)</f>
        <v>0</v>
      </c>
      <c r="H273" s="27">
        <f>IF(OR($B273="",$C273=""),"",$C273*IFERROR(INDEX(PecCusto,MATCH($B273,PecCod,0)),0))</f>
        <v>0</v>
      </c>
      <c r="I273" s="32">
        <f>IF($A273="","",IFERROR(INDEX(OSStatus,MATCH($A273,OSNum,0)),"OS inexistente"))</f>
        <v>0</v>
      </c>
      <c r="J273" s="32">
        <f>IF($A273="","",IF($I273="OS inexistente","OS inexistente",IF($E273="Peça não cadastrada","Peça não cadastrada","OK")))</f>
        <v>0</v>
      </c>
    </row>
    <row r="274" spans="1:10">
      <c r="A274" s="17"/>
      <c r="B274" s="13"/>
      <c r="C274" s="20"/>
      <c r="D274" s="19"/>
      <c r="E274" s="26">
        <f>IF($B274="","",IFERROR(INDEX(PecDesc,MATCH($B274,PecCod,0)),"Peça não cadastrada"))</f>
        <v>0</v>
      </c>
      <c r="F274" s="27">
        <f>IF($B274="","",IF($D274&lt;&gt;"",$D274,IFERROR(INDEX(PecPreco,MATCH($B274,PecCod,0)),0)))</f>
        <v>0</v>
      </c>
      <c r="G274" s="27">
        <f>IF(OR($B274="",$C274=""),"",$C274*$F274)</f>
        <v>0</v>
      </c>
      <c r="H274" s="27">
        <f>IF(OR($B274="",$C274=""),"",$C274*IFERROR(INDEX(PecCusto,MATCH($B274,PecCod,0)),0))</f>
        <v>0</v>
      </c>
      <c r="I274" s="32">
        <f>IF($A274="","",IFERROR(INDEX(OSStatus,MATCH($A274,OSNum,0)),"OS inexistente"))</f>
        <v>0</v>
      </c>
      <c r="J274" s="32">
        <f>IF($A274="","",IF($I274="OS inexistente","OS inexistente",IF($E274="Peça não cadastrada","Peça não cadastrada","OK")))</f>
        <v>0</v>
      </c>
    </row>
    <row r="275" spans="1:10">
      <c r="A275" s="17"/>
      <c r="B275" s="13"/>
      <c r="C275" s="20"/>
      <c r="D275" s="19"/>
      <c r="E275" s="26">
        <f>IF($B275="","",IFERROR(INDEX(PecDesc,MATCH($B275,PecCod,0)),"Peça não cadastrada"))</f>
        <v>0</v>
      </c>
      <c r="F275" s="27">
        <f>IF($B275="","",IF($D275&lt;&gt;"",$D275,IFERROR(INDEX(PecPreco,MATCH($B275,PecCod,0)),0)))</f>
        <v>0</v>
      </c>
      <c r="G275" s="27">
        <f>IF(OR($B275="",$C275=""),"",$C275*$F275)</f>
        <v>0</v>
      </c>
      <c r="H275" s="27">
        <f>IF(OR($B275="",$C275=""),"",$C275*IFERROR(INDEX(PecCusto,MATCH($B275,PecCod,0)),0))</f>
        <v>0</v>
      </c>
      <c r="I275" s="32">
        <f>IF($A275="","",IFERROR(INDEX(OSStatus,MATCH($A275,OSNum,0)),"OS inexistente"))</f>
        <v>0</v>
      </c>
      <c r="J275" s="32">
        <f>IF($A275="","",IF($I275="OS inexistente","OS inexistente",IF($E275="Peça não cadastrada","Peça não cadastrada","OK")))</f>
        <v>0</v>
      </c>
    </row>
    <row r="276" spans="1:10">
      <c r="A276" s="17"/>
      <c r="B276" s="13"/>
      <c r="C276" s="20"/>
      <c r="D276" s="19"/>
      <c r="E276" s="26">
        <f>IF($B276="","",IFERROR(INDEX(PecDesc,MATCH($B276,PecCod,0)),"Peça não cadastrada"))</f>
        <v>0</v>
      </c>
      <c r="F276" s="27">
        <f>IF($B276="","",IF($D276&lt;&gt;"",$D276,IFERROR(INDEX(PecPreco,MATCH($B276,PecCod,0)),0)))</f>
        <v>0</v>
      </c>
      <c r="G276" s="27">
        <f>IF(OR($B276="",$C276=""),"",$C276*$F276)</f>
        <v>0</v>
      </c>
      <c r="H276" s="27">
        <f>IF(OR($B276="",$C276=""),"",$C276*IFERROR(INDEX(PecCusto,MATCH($B276,PecCod,0)),0))</f>
        <v>0</v>
      </c>
      <c r="I276" s="32">
        <f>IF($A276="","",IFERROR(INDEX(OSStatus,MATCH($A276,OSNum,0)),"OS inexistente"))</f>
        <v>0</v>
      </c>
      <c r="J276" s="32">
        <f>IF($A276="","",IF($I276="OS inexistente","OS inexistente",IF($E276="Peça não cadastrada","Peça não cadastrada","OK")))</f>
        <v>0</v>
      </c>
    </row>
    <row r="277" spans="1:10">
      <c r="A277" s="17"/>
      <c r="B277" s="13"/>
      <c r="C277" s="20"/>
      <c r="D277" s="19"/>
      <c r="E277" s="26">
        <f>IF($B277="","",IFERROR(INDEX(PecDesc,MATCH($B277,PecCod,0)),"Peça não cadastrada"))</f>
        <v>0</v>
      </c>
      <c r="F277" s="27">
        <f>IF($B277="","",IF($D277&lt;&gt;"",$D277,IFERROR(INDEX(PecPreco,MATCH($B277,PecCod,0)),0)))</f>
        <v>0</v>
      </c>
      <c r="G277" s="27">
        <f>IF(OR($B277="",$C277=""),"",$C277*$F277)</f>
        <v>0</v>
      </c>
      <c r="H277" s="27">
        <f>IF(OR($B277="",$C277=""),"",$C277*IFERROR(INDEX(PecCusto,MATCH($B277,PecCod,0)),0))</f>
        <v>0</v>
      </c>
      <c r="I277" s="32">
        <f>IF($A277="","",IFERROR(INDEX(OSStatus,MATCH($A277,OSNum,0)),"OS inexistente"))</f>
        <v>0</v>
      </c>
      <c r="J277" s="32">
        <f>IF($A277="","",IF($I277="OS inexistente","OS inexistente",IF($E277="Peça não cadastrada","Peça não cadastrada","OK")))</f>
        <v>0</v>
      </c>
    </row>
    <row r="278" spans="1:10">
      <c r="A278" s="17"/>
      <c r="B278" s="13"/>
      <c r="C278" s="20"/>
      <c r="D278" s="19"/>
      <c r="E278" s="26">
        <f>IF($B278="","",IFERROR(INDEX(PecDesc,MATCH($B278,PecCod,0)),"Peça não cadastrada"))</f>
        <v>0</v>
      </c>
      <c r="F278" s="27">
        <f>IF($B278="","",IF($D278&lt;&gt;"",$D278,IFERROR(INDEX(PecPreco,MATCH($B278,PecCod,0)),0)))</f>
        <v>0</v>
      </c>
      <c r="G278" s="27">
        <f>IF(OR($B278="",$C278=""),"",$C278*$F278)</f>
        <v>0</v>
      </c>
      <c r="H278" s="27">
        <f>IF(OR($B278="",$C278=""),"",$C278*IFERROR(INDEX(PecCusto,MATCH($B278,PecCod,0)),0))</f>
        <v>0</v>
      </c>
      <c r="I278" s="32">
        <f>IF($A278="","",IFERROR(INDEX(OSStatus,MATCH($A278,OSNum,0)),"OS inexistente"))</f>
        <v>0</v>
      </c>
      <c r="J278" s="32">
        <f>IF($A278="","",IF($I278="OS inexistente","OS inexistente",IF($E278="Peça não cadastrada","Peça não cadastrada","OK")))</f>
        <v>0</v>
      </c>
    </row>
    <row r="279" spans="1:10">
      <c r="A279" s="17"/>
      <c r="B279" s="13"/>
      <c r="C279" s="20"/>
      <c r="D279" s="19"/>
      <c r="E279" s="26">
        <f>IF($B279="","",IFERROR(INDEX(PecDesc,MATCH($B279,PecCod,0)),"Peça não cadastrada"))</f>
        <v>0</v>
      </c>
      <c r="F279" s="27">
        <f>IF($B279="","",IF($D279&lt;&gt;"",$D279,IFERROR(INDEX(PecPreco,MATCH($B279,PecCod,0)),0)))</f>
        <v>0</v>
      </c>
      <c r="G279" s="27">
        <f>IF(OR($B279="",$C279=""),"",$C279*$F279)</f>
        <v>0</v>
      </c>
      <c r="H279" s="27">
        <f>IF(OR($B279="",$C279=""),"",$C279*IFERROR(INDEX(PecCusto,MATCH($B279,PecCod,0)),0))</f>
        <v>0</v>
      </c>
      <c r="I279" s="32">
        <f>IF($A279="","",IFERROR(INDEX(OSStatus,MATCH($A279,OSNum,0)),"OS inexistente"))</f>
        <v>0</v>
      </c>
      <c r="J279" s="32">
        <f>IF($A279="","",IF($I279="OS inexistente","OS inexistente",IF($E279="Peça não cadastrada","Peça não cadastrada","OK")))</f>
        <v>0</v>
      </c>
    </row>
    <row r="280" spans="1:10">
      <c r="A280" s="17"/>
      <c r="B280" s="13"/>
      <c r="C280" s="20"/>
      <c r="D280" s="19"/>
      <c r="E280" s="26">
        <f>IF($B280="","",IFERROR(INDEX(PecDesc,MATCH($B280,PecCod,0)),"Peça não cadastrada"))</f>
        <v>0</v>
      </c>
      <c r="F280" s="27">
        <f>IF($B280="","",IF($D280&lt;&gt;"",$D280,IFERROR(INDEX(PecPreco,MATCH($B280,PecCod,0)),0)))</f>
        <v>0</v>
      </c>
      <c r="G280" s="27">
        <f>IF(OR($B280="",$C280=""),"",$C280*$F280)</f>
        <v>0</v>
      </c>
      <c r="H280" s="27">
        <f>IF(OR($B280="",$C280=""),"",$C280*IFERROR(INDEX(PecCusto,MATCH($B280,PecCod,0)),0))</f>
        <v>0</v>
      </c>
      <c r="I280" s="32">
        <f>IF($A280="","",IFERROR(INDEX(OSStatus,MATCH($A280,OSNum,0)),"OS inexistente"))</f>
        <v>0</v>
      </c>
      <c r="J280" s="32">
        <f>IF($A280="","",IF($I280="OS inexistente","OS inexistente",IF($E280="Peça não cadastrada","Peça não cadastrada","OK")))</f>
        <v>0</v>
      </c>
    </row>
    <row r="281" spans="1:10">
      <c r="A281" s="17"/>
      <c r="B281" s="13"/>
      <c r="C281" s="20"/>
      <c r="D281" s="19"/>
      <c r="E281" s="26">
        <f>IF($B281="","",IFERROR(INDEX(PecDesc,MATCH($B281,PecCod,0)),"Peça não cadastrada"))</f>
        <v>0</v>
      </c>
      <c r="F281" s="27">
        <f>IF($B281="","",IF($D281&lt;&gt;"",$D281,IFERROR(INDEX(PecPreco,MATCH($B281,PecCod,0)),0)))</f>
        <v>0</v>
      </c>
      <c r="G281" s="27">
        <f>IF(OR($B281="",$C281=""),"",$C281*$F281)</f>
        <v>0</v>
      </c>
      <c r="H281" s="27">
        <f>IF(OR($B281="",$C281=""),"",$C281*IFERROR(INDEX(PecCusto,MATCH($B281,PecCod,0)),0))</f>
        <v>0</v>
      </c>
      <c r="I281" s="32">
        <f>IF($A281="","",IFERROR(INDEX(OSStatus,MATCH($A281,OSNum,0)),"OS inexistente"))</f>
        <v>0</v>
      </c>
      <c r="J281" s="32">
        <f>IF($A281="","",IF($I281="OS inexistente","OS inexistente",IF($E281="Peça não cadastrada","Peça não cadastrada","OK")))</f>
        <v>0</v>
      </c>
    </row>
    <row r="282" spans="1:10">
      <c r="A282" s="17"/>
      <c r="B282" s="13"/>
      <c r="C282" s="20"/>
      <c r="D282" s="19"/>
      <c r="E282" s="26">
        <f>IF($B282="","",IFERROR(INDEX(PecDesc,MATCH($B282,PecCod,0)),"Peça não cadastrada"))</f>
        <v>0</v>
      </c>
      <c r="F282" s="27">
        <f>IF($B282="","",IF($D282&lt;&gt;"",$D282,IFERROR(INDEX(PecPreco,MATCH($B282,PecCod,0)),0)))</f>
        <v>0</v>
      </c>
      <c r="G282" s="27">
        <f>IF(OR($B282="",$C282=""),"",$C282*$F282)</f>
        <v>0</v>
      </c>
      <c r="H282" s="27">
        <f>IF(OR($B282="",$C282=""),"",$C282*IFERROR(INDEX(PecCusto,MATCH($B282,PecCod,0)),0))</f>
        <v>0</v>
      </c>
      <c r="I282" s="32">
        <f>IF($A282="","",IFERROR(INDEX(OSStatus,MATCH($A282,OSNum,0)),"OS inexistente"))</f>
        <v>0</v>
      </c>
      <c r="J282" s="32">
        <f>IF($A282="","",IF($I282="OS inexistente","OS inexistente",IF($E282="Peça não cadastrada","Peça não cadastrada","OK")))</f>
        <v>0</v>
      </c>
    </row>
    <row r="283" spans="1:10">
      <c r="A283" s="17"/>
      <c r="B283" s="13"/>
      <c r="C283" s="20"/>
      <c r="D283" s="19"/>
      <c r="E283" s="26">
        <f>IF($B283="","",IFERROR(INDEX(PecDesc,MATCH($B283,PecCod,0)),"Peça não cadastrada"))</f>
        <v>0</v>
      </c>
      <c r="F283" s="27">
        <f>IF($B283="","",IF($D283&lt;&gt;"",$D283,IFERROR(INDEX(PecPreco,MATCH($B283,PecCod,0)),0)))</f>
        <v>0</v>
      </c>
      <c r="G283" s="27">
        <f>IF(OR($B283="",$C283=""),"",$C283*$F283)</f>
        <v>0</v>
      </c>
      <c r="H283" s="27">
        <f>IF(OR($B283="",$C283=""),"",$C283*IFERROR(INDEX(PecCusto,MATCH($B283,PecCod,0)),0))</f>
        <v>0</v>
      </c>
      <c r="I283" s="32">
        <f>IF($A283="","",IFERROR(INDEX(OSStatus,MATCH($A283,OSNum,0)),"OS inexistente"))</f>
        <v>0</v>
      </c>
      <c r="J283" s="32">
        <f>IF($A283="","",IF($I283="OS inexistente","OS inexistente",IF($E283="Peça não cadastrada","Peça não cadastrada","OK")))</f>
        <v>0</v>
      </c>
    </row>
    <row r="284" spans="1:10">
      <c r="A284" s="17"/>
      <c r="B284" s="13"/>
      <c r="C284" s="20"/>
      <c r="D284" s="19"/>
      <c r="E284" s="26">
        <f>IF($B284="","",IFERROR(INDEX(PecDesc,MATCH($B284,PecCod,0)),"Peça não cadastrada"))</f>
        <v>0</v>
      </c>
      <c r="F284" s="27">
        <f>IF($B284="","",IF($D284&lt;&gt;"",$D284,IFERROR(INDEX(PecPreco,MATCH($B284,PecCod,0)),0)))</f>
        <v>0</v>
      </c>
      <c r="G284" s="27">
        <f>IF(OR($B284="",$C284=""),"",$C284*$F284)</f>
        <v>0</v>
      </c>
      <c r="H284" s="27">
        <f>IF(OR($B284="",$C284=""),"",$C284*IFERROR(INDEX(PecCusto,MATCH($B284,PecCod,0)),0))</f>
        <v>0</v>
      </c>
      <c r="I284" s="32">
        <f>IF($A284="","",IFERROR(INDEX(OSStatus,MATCH($A284,OSNum,0)),"OS inexistente"))</f>
        <v>0</v>
      </c>
      <c r="J284" s="32">
        <f>IF($A284="","",IF($I284="OS inexistente","OS inexistente",IF($E284="Peça não cadastrada","Peça não cadastrada","OK")))</f>
        <v>0</v>
      </c>
    </row>
    <row r="285" spans="1:10">
      <c r="A285" s="17"/>
      <c r="B285" s="13"/>
      <c r="C285" s="20"/>
      <c r="D285" s="19"/>
      <c r="E285" s="26">
        <f>IF($B285="","",IFERROR(INDEX(PecDesc,MATCH($B285,PecCod,0)),"Peça não cadastrada"))</f>
        <v>0</v>
      </c>
      <c r="F285" s="27">
        <f>IF($B285="","",IF($D285&lt;&gt;"",$D285,IFERROR(INDEX(PecPreco,MATCH($B285,PecCod,0)),0)))</f>
        <v>0</v>
      </c>
      <c r="G285" s="27">
        <f>IF(OR($B285="",$C285=""),"",$C285*$F285)</f>
        <v>0</v>
      </c>
      <c r="H285" s="27">
        <f>IF(OR($B285="",$C285=""),"",$C285*IFERROR(INDEX(PecCusto,MATCH($B285,PecCod,0)),0))</f>
        <v>0</v>
      </c>
      <c r="I285" s="32">
        <f>IF($A285="","",IFERROR(INDEX(OSStatus,MATCH($A285,OSNum,0)),"OS inexistente"))</f>
        <v>0</v>
      </c>
      <c r="J285" s="32">
        <f>IF($A285="","",IF($I285="OS inexistente","OS inexistente",IF($E285="Peça não cadastrada","Peça não cadastrada","OK")))</f>
        <v>0</v>
      </c>
    </row>
    <row r="286" spans="1:10">
      <c r="A286" s="17"/>
      <c r="B286" s="13"/>
      <c r="C286" s="20"/>
      <c r="D286" s="19"/>
      <c r="E286" s="26">
        <f>IF($B286="","",IFERROR(INDEX(PecDesc,MATCH($B286,PecCod,0)),"Peça não cadastrada"))</f>
        <v>0</v>
      </c>
      <c r="F286" s="27">
        <f>IF($B286="","",IF($D286&lt;&gt;"",$D286,IFERROR(INDEX(PecPreco,MATCH($B286,PecCod,0)),0)))</f>
        <v>0</v>
      </c>
      <c r="G286" s="27">
        <f>IF(OR($B286="",$C286=""),"",$C286*$F286)</f>
        <v>0</v>
      </c>
      <c r="H286" s="27">
        <f>IF(OR($B286="",$C286=""),"",$C286*IFERROR(INDEX(PecCusto,MATCH($B286,PecCod,0)),0))</f>
        <v>0</v>
      </c>
      <c r="I286" s="32">
        <f>IF($A286="","",IFERROR(INDEX(OSStatus,MATCH($A286,OSNum,0)),"OS inexistente"))</f>
        <v>0</v>
      </c>
      <c r="J286" s="32">
        <f>IF($A286="","",IF($I286="OS inexistente","OS inexistente",IF($E286="Peça não cadastrada","Peça não cadastrada","OK")))</f>
        <v>0</v>
      </c>
    </row>
    <row r="287" spans="1:10">
      <c r="A287" s="17"/>
      <c r="B287" s="13"/>
      <c r="C287" s="20"/>
      <c r="D287" s="19"/>
      <c r="E287" s="26">
        <f>IF($B287="","",IFERROR(INDEX(PecDesc,MATCH($B287,PecCod,0)),"Peça não cadastrada"))</f>
        <v>0</v>
      </c>
      <c r="F287" s="27">
        <f>IF($B287="","",IF($D287&lt;&gt;"",$D287,IFERROR(INDEX(PecPreco,MATCH($B287,PecCod,0)),0)))</f>
        <v>0</v>
      </c>
      <c r="G287" s="27">
        <f>IF(OR($B287="",$C287=""),"",$C287*$F287)</f>
        <v>0</v>
      </c>
      <c r="H287" s="27">
        <f>IF(OR($B287="",$C287=""),"",$C287*IFERROR(INDEX(PecCusto,MATCH($B287,PecCod,0)),0))</f>
        <v>0</v>
      </c>
      <c r="I287" s="32">
        <f>IF($A287="","",IFERROR(INDEX(OSStatus,MATCH($A287,OSNum,0)),"OS inexistente"))</f>
        <v>0</v>
      </c>
      <c r="J287" s="32">
        <f>IF($A287="","",IF($I287="OS inexistente","OS inexistente",IF($E287="Peça não cadastrada","Peça não cadastrada","OK")))</f>
        <v>0</v>
      </c>
    </row>
    <row r="288" spans="1:10">
      <c r="A288" s="17"/>
      <c r="B288" s="13"/>
      <c r="C288" s="20"/>
      <c r="D288" s="19"/>
      <c r="E288" s="26">
        <f>IF($B288="","",IFERROR(INDEX(PecDesc,MATCH($B288,PecCod,0)),"Peça não cadastrada"))</f>
        <v>0</v>
      </c>
      <c r="F288" s="27">
        <f>IF($B288="","",IF($D288&lt;&gt;"",$D288,IFERROR(INDEX(PecPreco,MATCH($B288,PecCod,0)),0)))</f>
        <v>0</v>
      </c>
      <c r="G288" s="27">
        <f>IF(OR($B288="",$C288=""),"",$C288*$F288)</f>
        <v>0</v>
      </c>
      <c r="H288" s="27">
        <f>IF(OR($B288="",$C288=""),"",$C288*IFERROR(INDEX(PecCusto,MATCH($B288,PecCod,0)),0))</f>
        <v>0</v>
      </c>
      <c r="I288" s="32">
        <f>IF($A288="","",IFERROR(INDEX(OSStatus,MATCH($A288,OSNum,0)),"OS inexistente"))</f>
        <v>0</v>
      </c>
      <c r="J288" s="32">
        <f>IF($A288="","",IF($I288="OS inexistente","OS inexistente",IF($E288="Peça não cadastrada","Peça não cadastrada","OK")))</f>
        <v>0</v>
      </c>
    </row>
    <row r="289" spans="1:10">
      <c r="A289" s="17"/>
      <c r="B289" s="13"/>
      <c r="C289" s="20"/>
      <c r="D289" s="19"/>
      <c r="E289" s="26">
        <f>IF($B289="","",IFERROR(INDEX(PecDesc,MATCH($B289,PecCod,0)),"Peça não cadastrada"))</f>
        <v>0</v>
      </c>
      <c r="F289" s="27">
        <f>IF($B289="","",IF($D289&lt;&gt;"",$D289,IFERROR(INDEX(PecPreco,MATCH($B289,PecCod,0)),0)))</f>
        <v>0</v>
      </c>
      <c r="G289" s="27">
        <f>IF(OR($B289="",$C289=""),"",$C289*$F289)</f>
        <v>0</v>
      </c>
      <c r="H289" s="27">
        <f>IF(OR($B289="",$C289=""),"",$C289*IFERROR(INDEX(PecCusto,MATCH($B289,PecCod,0)),0))</f>
        <v>0</v>
      </c>
      <c r="I289" s="32">
        <f>IF($A289="","",IFERROR(INDEX(OSStatus,MATCH($A289,OSNum,0)),"OS inexistente"))</f>
        <v>0</v>
      </c>
      <c r="J289" s="32">
        <f>IF($A289="","",IF($I289="OS inexistente","OS inexistente",IF($E289="Peça não cadastrada","Peça não cadastrada","OK")))</f>
        <v>0</v>
      </c>
    </row>
    <row r="290" spans="1:10">
      <c r="A290" s="17"/>
      <c r="B290" s="13"/>
      <c r="C290" s="20"/>
      <c r="D290" s="19"/>
      <c r="E290" s="26">
        <f>IF($B290="","",IFERROR(INDEX(PecDesc,MATCH($B290,PecCod,0)),"Peça não cadastrada"))</f>
        <v>0</v>
      </c>
      <c r="F290" s="27">
        <f>IF($B290="","",IF($D290&lt;&gt;"",$D290,IFERROR(INDEX(PecPreco,MATCH($B290,PecCod,0)),0)))</f>
        <v>0</v>
      </c>
      <c r="G290" s="27">
        <f>IF(OR($B290="",$C290=""),"",$C290*$F290)</f>
        <v>0</v>
      </c>
      <c r="H290" s="27">
        <f>IF(OR($B290="",$C290=""),"",$C290*IFERROR(INDEX(PecCusto,MATCH($B290,PecCod,0)),0))</f>
        <v>0</v>
      </c>
      <c r="I290" s="32">
        <f>IF($A290="","",IFERROR(INDEX(OSStatus,MATCH($A290,OSNum,0)),"OS inexistente"))</f>
        <v>0</v>
      </c>
      <c r="J290" s="32">
        <f>IF($A290="","",IF($I290="OS inexistente","OS inexistente",IF($E290="Peça não cadastrada","Peça não cadastrada","OK")))</f>
        <v>0</v>
      </c>
    </row>
    <row r="291" spans="1:10">
      <c r="A291" s="17"/>
      <c r="B291" s="13"/>
      <c r="C291" s="20"/>
      <c r="D291" s="19"/>
      <c r="E291" s="26">
        <f>IF($B291="","",IFERROR(INDEX(PecDesc,MATCH($B291,PecCod,0)),"Peça não cadastrada"))</f>
        <v>0</v>
      </c>
      <c r="F291" s="27">
        <f>IF($B291="","",IF($D291&lt;&gt;"",$D291,IFERROR(INDEX(PecPreco,MATCH($B291,PecCod,0)),0)))</f>
        <v>0</v>
      </c>
      <c r="G291" s="27">
        <f>IF(OR($B291="",$C291=""),"",$C291*$F291)</f>
        <v>0</v>
      </c>
      <c r="H291" s="27">
        <f>IF(OR($B291="",$C291=""),"",$C291*IFERROR(INDEX(PecCusto,MATCH($B291,PecCod,0)),0))</f>
        <v>0</v>
      </c>
      <c r="I291" s="32">
        <f>IF($A291="","",IFERROR(INDEX(OSStatus,MATCH($A291,OSNum,0)),"OS inexistente"))</f>
        <v>0</v>
      </c>
      <c r="J291" s="32">
        <f>IF($A291="","",IF($I291="OS inexistente","OS inexistente",IF($E291="Peça não cadastrada","Peça não cadastrada","OK")))</f>
        <v>0</v>
      </c>
    </row>
    <row r="292" spans="1:10">
      <c r="A292" s="17"/>
      <c r="B292" s="13"/>
      <c r="C292" s="20"/>
      <c r="D292" s="19"/>
      <c r="E292" s="26">
        <f>IF($B292="","",IFERROR(INDEX(PecDesc,MATCH($B292,PecCod,0)),"Peça não cadastrada"))</f>
        <v>0</v>
      </c>
      <c r="F292" s="27">
        <f>IF($B292="","",IF($D292&lt;&gt;"",$D292,IFERROR(INDEX(PecPreco,MATCH($B292,PecCod,0)),0)))</f>
        <v>0</v>
      </c>
      <c r="G292" s="27">
        <f>IF(OR($B292="",$C292=""),"",$C292*$F292)</f>
        <v>0</v>
      </c>
      <c r="H292" s="27">
        <f>IF(OR($B292="",$C292=""),"",$C292*IFERROR(INDEX(PecCusto,MATCH($B292,PecCod,0)),0))</f>
        <v>0</v>
      </c>
      <c r="I292" s="32">
        <f>IF($A292="","",IFERROR(INDEX(OSStatus,MATCH($A292,OSNum,0)),"OS inexistente"))</f>
        <v>0</v>
      </c>
      <c r="J292" s="32">
        <f>IF($A292="","",IF($I292="OS inexistente","OS inexistente",IF($E292="Peça não cadastrada","Peça não cadastrada","OK")))</f>
        <v>0</v>
      </c>
    </row>
    <row r="293" spans="1:10">
      <c r="A293" s="17"/>
      <c r="B293" s="13"/>
      <c r="C293" s="20"/>
      <c r="D293" s="19"/>
      <c r="E293" s="26">
        <f>IF($B293="","",IFERROR(INDEX(PecDesc,MATCH($B293,PecCod,0)),"Peça não cadastrada"))</f>
        <v>0</v>
      </c>
      <c r="F293" s="27">
        <f>IF($B293="","",IF($D293&lt;&gt;"",$D293,IFERROR(INDEX(PecPreco,MATCH($B293,PecCod,0)),0)))</f>
        <v>0</v>
      </c>
      <c r="G293" s="27">
        <f>IF(OR($B293="",$C293=""),"",$C293*$F293)</f>
        <v>0</v>
      </c>
      <c r="H293" s="27">
        <f>IF(OR($B293="",$C293=""),"",$C293*IFERROR(INDEX(PecCusto,MATCH($B293,PecCod,0)),0))</f>
        <v>0</v>
      </c>
      <c r="I293" s="32">
        <f>IF($A293="","",IFERROR(INDEX(OSStatus,MATCH($A293,OSNum,0)),"OS inexistente"))</f>
        <v>0</v>
      </c>
      <c r="J293" s="32">
        <f>IF($A293="","",IF($I293="OS inexistente","OS inexistente",IF($E293="Peça não cadastrada","Peça não cadastrada","OK")))</f>
        <v>0</v>
      </c>
    </row>
    <row r="294" spans="1:10">
      <c r="A294" s="17"/>
      <c r="B294" s="13"/>
      <c r="C294" s="20"/>
      <c r="D294" s="19"/>
      <c r="E294" s="26">
        <f>IF($B294="","",IFERROR(INDEX(PecDesc,MATCH($B294,PecCod,0)),"Peça não cadastrada"))</f>
        <v>0</v>
      </c>
      <c r="F294" s="27">
        <f>IF($B294="","",IF($D294&lt;&gt;"",$D294,IFERROR(INDEX(PecPreco,MATCH($B294,PecCod,0)),0)))</f>
        <v>0</v>
      </c>
      <c r="G294" s="27">
        <f>IF(OR($B294="",$C294=""),"",$C294*$F294)</f>
        <v>0</v>
      </c>
      <c r="H294" s="27">
        <f>IF(OR($B294="",$C294=""),"",$C294*IFERROR(INDEX(PecCusto,MATCH($B294,PecCod,0)),0))</f>
        <v>0</v>
      </c>
      <c r="I294" s="32">
        <f>IF($A294="","",IFERROR(INDEX(OSStatus,MATCH($A294,OSNum,0)),"OS inexistente"))</f>
        <v>0</v>
      </c>
      <c r="J294" s="32">
        <f>IF($A294="","",IF($I294="OS inexistente","OS inexistente",IF($E294="Peça não cadastrada","Peça não cadastrada","OK")))</f>
        <v>0</v>
      </c>
    </row>
    <row r="295" spans="1:10">
      <c r="A295" s="17"/>
      <c r="B295" s="13"/>
      <c r="C295" s="20"/>
      <c r="D295" s="19"/>
      <c r="E295" s="26">
        <f>IF($B295="","",IFERROR(INDEX(PecDesc,MATCH($B295,PecCod,0)),"Peça não cadastrada"))</f>
        <v>0</v>
      </c>
      <c r="F295" s="27">
        <f>IF($B295="","",IF($D295&lt;&gt;"",$D295,IFERROR(INDEX(PecPreco,MATCH($B295,PecCod,0)),0)))</f>
        <v>0</v>
      </c>
      <c r="G295" s="27">
        <f>IF(OR($B295="",$C295=""),"",$C295*$F295)</f>
        <v>0</v>
      </c>
      <c r="H295" s="27">
        <f>IF(OR($B295="",$C295=""),"",$C295*IFERROR(INDEX(PecCusto,MATCH($B295,PecCod,0)),0))</f>
        <v>0</v>
      </c>
      <c r="I295" s="32">
        <f>IF($A295="","",IFERROR(INDEX(OSStatus,MATCH($A295,OSNum,0)),"OS inexistente"))</f>
        <v>0</v>
      </c>
      <c r="J295" s="32">
        <f>IF($A295="","",IF($I295="OS inexistente","OS inexistente",IF($E295="Peça não cadastrada","Peça não cadastrada","OK")))</f>
        <v>0</v>
      </c>
    </row>
    <row r="296" spans="1:10">
      <c r="A296" s="17"/>
      <c r="B296" s="13"/>
      <c r="C296" s="20"/>
      <c r="D296" s="19"/>
      <c r="E296" s="26">
        <f>IF($B296="","",IFERROR(INDEX(PecDesc,MATCH($B296,PecCod,0)),"Peça não cadastrada"))</f>
        <v>0</v>
      </c>
      <c r="F296" s="27">
        <f>IF($B296="","",IF($D296&lt;&gt;"",$D296,IFERROR(INDEX(PecPreco,MATCH($B296,PecCod,0)),0)))</f>
        <v>0</v>
      </c>
      <c r="G296" s="27">
        <f>IF(OR($B296="",$C296=""),"",$C296*$F296)</f>
        <v>0</v>
      </c>
      <c r="H296" s="27">
        <f>IF(OR($B296="",$C296=""),"",$C296*IFERROR(INDEX(PecCusto,MATCH($B296,PecCod,0)),0))</f>
        <v>0</v>
      </c>
      <c r="I296" s="32">
        <f>IF($A296="","",IFERROR(INDEX(OSStatus,MATCH($A296,OSNum,0)),"OS inexistente"))</f>
        <v>0</v>
      </c>
      <c r="J296" s="32">
        <f>IF($A296="","",IF($I296="OS inexistente","OS inexistente",IF($E296="Peça não cadastrada","Peça não cadastrada","OK")))</f>
        <v>0</v>
      </c>
    </row>
    <row r="297" spans="1:10">
      <c r="A297" s="17"/>
      <c r="B297" s="13"/>
      <c r="C297" s="20"/>
      <c r="D297" s="19"/>
      <c r="E297" s="26">
        <f>IF($B297="","",IFERROR(INDEX(PecDesc,MATCH($B297,PecCod,0)),"Peça não cadastrada"))</f>
        <v>0</v>
      </c>
      <c r="F297" s="27">
        <f>IF($B297="","",IF($D297&lt;&gt;"",$D297,IFERROR(INDEX(PecPreco,MATCH($B297,PecCod,0)),0)))</f>
        <v>0</v>
      </c>
      <c r="G297" s="27">
        <f>IF(OR($B297="",$C297=""),"",$C297*$F297)</f>
        <v>0</v>
      </c>
      <c r="H297" s="27">
        <f>IF(OR($B297="",$C297=""),"",$C297*IFERROR(INDEX(PecCusto,MATCH($B297,PecCod,0)),0))</f>
        <v>0</v>
      </c>
      <c r="I297" s="32">
        <f>IF($A297="","",IFERROR(INDEX(OSStatus,MATCH($A297,OSNum,0)),"OS inexistente"))</f>
        <v>0</v>
      </c>
      <c r="J297" s="32">
        <f>IF($A297="","",IF($I297="OS inexistente","OS inexistente",IF($E297="Peça não cadastrada","Peça não cadastrada","OK")))</f>
        <v>0</v>
      </c>
    </row>
    <row r="298" spans="1:10">
      <c r="A298" s="17"/>
      <c r="B298" s="13"/>
      <c r="C298" s="20"/>
      <c r="D298" s="19"/>
      <c r="E298" s="26">
        <f>IF($B298="","",IFERROR(INDEX(PecDesc,MATCH($B298,PecCod,0)),"Peça não cadastrada"))</f>
        <v>0</v>
      </c>
      <c r="F298" s="27">
        <f>IF($B298="","",IF($D298&lt;&gt;"",$D298,IFERROR(INDEX(PecPreco,MATCH($B298,PecCod,0)),0)))</f>
        <v>0</v>
      </c>
      <c r="G298" s="27">
        <f>IF(OR($B298="",$C298=""),"",$C298*$F298)</f>
        <v>0</v>
      </c>
      <c r="H298" s="27">
        <f>IF(OR($B298="",$C298=""),"",$C298*IFERROR(INDEX(PecCusto,MATCH($B298,PecCod,0)),0))</f>
        <v>0</v>
      </c>
      <c r="I298" s="32">
        <f>IF($A298="","",IFERROR(INDEX(OSStatus,MATCH($A298,OSNum,0)),"OS inexistente"))</f>
        <v>0</v>
      </c>
      <c r="J298" s="32">
        <f>IF($A298="","",IF($I298="OS inexistente","OS inexistente",IF($E298="Peça não cadastrada","Peça não cadastrada","OK")))</f>
        <v>0</v>
      </c>
    </row>
    <row r="299" spans="1:10">
      <c r="A299" s="17"/>
      <c r="B299" s="13"/>
      <c r="C299" s="20"/>
      <c r="D299" s="19"/>
      <c r="E299" s="26">
        <f>IF($B299="","",IFERROR(INDEX(PecDesc,MATCH($B299,PecCod,0)),"Peça não cadastrada"))</f>
        <v>0</v>
      </c>
      <c r="F299" s="27">
        <f>IF($B299="","",IF($D299&lt;&gt;"",$D299,IFERROR(INDEX(PecPreco,MATCH($B299,PecCod,0)),0)))</f>
        <v>0</v>
      </c>
      <c r="G299" s="27">
        <f>IF(OR($B299="",$C299=""),"",$C299*$F299)</f>
        <v>0</v>
      </c>
      <c r="H299" s="27">
        <f>IF(OR($B299="",$C299=""),"",$C299*IFERROR(INDEX(PecCusto,MATCH($B299,PecCod,0)),0))</f>
        <v>0</v>
      </c>
      <c r="I299" s="32">
        <f>IF($A299="","",IFERROR(INDEX(OSStatus,MATCH($A299,OSNum,0)),"OS inexistente"))</f>
        <v>0</v>
      </c>
      <c r="J299" s="32">
        <f>IF($A299="","",IF($I299="OS inexistente","OS inexistente",IF($E299="Peça não cadastrada","Peça não cadastrada","OK")))</f>
        <v>0</v>
      </c>
    </row>
    <row r="300" spans="1:10">
      <c r="A300" s="17"/>
      <c r="B300" s="13"/>
      <c r="C300" s="20"/>
      <c r="D300" s="19"/>
      <c r="E300" s="26">
        <f>IF($B300="","",IFERROR(INDEX(PecDesc,MATCH($B300,PecCod,0)),"Peça não cadastrada"))</f>
        <v>0</v>
      </c>
      <c r="F300" s="27">
        <f>IF($B300="","",IF($D300&lt;&gt;"",$D300,IFERROR(INDEX(PecPreco,MATCH($B300,PecCod,0)),0)))</f>
        <v>0</v>
      </c>
      <c r="G300" s="27">
        <f>IF(OR($B300="",$C300=""),"",$C300*$F300)</f>
        <v>0</v>
      </c>
      <c r="H300" s="27">
        <f>IF(OR($B300="",$C300=""),"",$C300*IFERROR(INDEX(PecCusto,MATCH($B300,PecCod,0)),0))</f>
        <v>0</v>
      </c>
      <c r="I300" s="32">
        <f>IF($A300="","",IFERROR(INDEX(OSStatus,MATCH($A300,OSNum,0)),"OS inexistente"))</f>
        <v>0</v>
      </c>
      <c r="J300" s="32">
        <f>IF($A300="","",IF($I300="OS inexistente","OS inexistente",IF($E300="Peça não cadastrada","Peça não cadastrada","OK")))</f>
        <v>0</v>
      </c>
    </row>
    <row r="301" spans="1:10">
      <c r="A301" s="17"/>
      <c r="B301" s="13"/>
      <c r="C301" s="20"/>
      <c r="D301" s="19"/>
      <c r="E301" s="26">
        <f>IF($B301="","",IFERROR(INDEX(PecDesc,MATCH($B301,PecCod,0)),"Peça não cadastrada"))</f>
        <v>0</v>
      </c>
      <c r="F301" s="27">
        <f>IF($B301="","",IF($D301&lt;&gt;"",$D301,IFERROR(INDEX(PecPreco,MATCH($B301,PecCod,0)),0)))</f>
        <v>0</v>
      </c>
      <c r="G301" s="27">
        <f>IF(OR($B301="",$C301=""),"",$C301*$F301)</f>
        <v>0</v>
      </c>
      <c r="H301" s="27">
        <f>IF(OR($B301="",$C301=""),"",$C301*IFERROR(INDEX(PecCusto,MATCH($B301,PecCod,0)),0))</f>
        <v>0</v>
      </c>
      <c r="I301" s="32">
        <f>IF($A301="","",IFERROR(INDEX(OSStatus,MATCH($A301,OSNum,0)),"OS inexistente"))</f>
        <v>0</v>
      </c>
      <c r="J301" s="32">
        <f>IF($A301="","",IF($I301="OS inexistente","OS inexistente",IF($E301="Peça não cadastrada","Peça não cadastrada","OK")))</f>
        <v>0</v>
      </c>
    </row>
    <row r="302" spans="1:10">
      <c r="A302" s="17"/>
      <c r="B302" s="13"/>
      <c r="C302" s="20"/>
      <c r="D302" s="19"/>
      <c r="E302" s="26">
        <f>IF($B302="","",IFERROR(INDEX(PecDesc,MATCH($B302,PecCod,0)),"Peça não cadastrada"))</f>
        <v>0</v>
      </c>
      <c r="F302" s="27">
        <f>IF($B302="","",IF($D302&lt;&gt;"",$D302,IFERROR(INDEX(PecPreco,MATCH($B302,PecCod,0)),0)))</f>
        <v>0</v>
      </c>
      <c r="G302" s="27">
        <f>IF(OR($B302="",$C302=""),"",$C302*$F302)</f>
        <v>0</v>
      </c>
      <c r="H302" s="27">
        <f>IF(OR($B302="",$C302=""),"",$C302*IFERROR(INDEX(PecCusto,MATCH($B302,PecCod,0)),0))</f>
        <v>0</v>
      </c>
      <c r="I302" s="32">
        <f>IF($A302="","",IFERROR(INDEX(OSStatus,MATCH($A302,OSNum,0)),"OS inexistente"))</f>
        <v>0</v>
      </c>
      <c r="J302" s="32">
        <f>IF($A302="","",IF($I302="OS inexistente","OS inexistente",IF($E302="Peça não cadastrada","Peça não cadastrada","OK")))</f>
        <v>0</v>
      </c>
    </row>
    <row r="303" spans="1:10">
      <c r="A303" s="17"/>
      <c r="B303" s="13"/>
      <c r="C303" s="20"/>
      <c r="D303" s="19"/>
      <c r="E303" s="26">
        <f>IF($B303="","",IFERROR(INDEX(PecDesc,MATCH($B303,PecCod,0)),"Peça não cadastrada"))</f>
        <v>0</v>
      </c>
      <c r="F303" s="27">
        <f>IF($B303="","",IF($D303&lt;&gt;"",$D303,IFERROR(INDEX(PecPreco,MATCH($B303,PecCod,0)),0)))</f>
        <v>0</v>
      </c>
      <c r="G303" s="27">
        <f>IF(OR($B303="",$C303=""),"",$C303*$F303)</f>
        <v>0</v>
      </c>
      <c r="H303" s="27">
        <f>IF(OR($B303="",$C303=""),"",$C303*IFERROR(INDEX(PecCusto,MATCH($B303,PecCod,0)),0))</f>
        <v>0</v>
      </c>
      <c r="I303" s="32">
        <f>IF($A303="","",IFERROR(INDEX(OSStatus,MATCH($A303,OSNum,0)),"OS inexistente"))</f>
        <v>0</v>
      </c>
      <c r="J303" s="32">
        <f>IF($A303="","",IF($I303="OS inexistente","OS inexistente",IF($E303="Peça não cadastrada","Peça não cadastrada","OK")))</f>
        <v>0</v>
      </c>
    </row>
    <row r="304" spans="1:10">
      <c r="A304" s="17"/>
      <c r="B304" s="13"/>
      <c r="C304" s="20"/>
      <c r="D304" s="19"/>
      <c r="E304" s="26">
        <f>IF($B304="","",IFERROR(INDEX(PecDesc,MATCH($B304,PecCod,0)),"Peça não cadastrada"))</f>
        <v>0</v>
      </c>
      <c r="F304" s="27">
        <f>IF($B304="","",IF($D304&lt;&gt;"",$D304,IFERROR(INDEX(PecPreco,MATCH($B304,PecCod,0)),0)))</f>
        <v>0</v>
      </c>
      <c r="G304" s="27">
        <f>IF(OR($B304="",$C304=""),"",$C304*$F304)</f>
        <v>0</v>
      </c>
      <c r="H304" s="27">
        <f>IF(OR($B304="",$C304=""),"",$C304*IFERROR(INDEX(PecCusto,MATCH($B304,PecCod,0)),0))</f>
        <v>0</v>
      </c>
      <c r="I304" s="32">
        <f>IF($A304="","",IFERROR(INDEX(OSStatus,MATCH($A304,OSNum,0)),"OS inexistente"))</f>
        <v>0</v>
      </c>
      <c r="J304" s="32">
        <f>IF($A304="","",IF($I304="OS inexistente","OS inexistente",IF($E304="Peça não cadastrada","Peça não cadastrada","OK")))</f>
        <v>0</v>
      </c>
    </row>
    <row r="305" spans="1:10">
      <c r="A305" s="17"/>
      <c r="B305" s="13"/>
      <c r="C305" s="20"/>
      <c r="D305" s="19"/>
      <c r="E305" s="26">
        <f>IF($B305="","",IFERROR(INDEX(PecDesc,MATCH($B305,PecCod,0)),"Peça não cadastrada"))</f>
        <v>0</v>
      </c>
      <c r="F305" s="27">
        <f>IF($B305="","",IF($D305&lt;&gt;"",$D305,IFERROR(INDEX(PecPreco,MATCH($B305,PecCod,0)),0)))</f>
        <v>0</v>
      </c>
      <c r="G305" s="27">
        <f>IF(OR($B305="",$C305=""),"",$C305*$F305)</f>
        <v>0</v>
      </c>
      <c r="H305" s="27">
        <f>IF(OR($B305="",$C305=""),"",$C305*IFERROR(INDEX(PecCusto,MATCH($B305,PecCod,0)),0))</f>
        <v>0</v>
      </c>
      <c r="I305" s="32">
        <f>IF($A305="","",IFERROR(INDEX(OSStatus,MATCH($A305,OSNum,0)),"OS inexistente"))</f>
        <v>0</v>
      </c>
      <c r="J305" s="32">
        <f>IF($A305="","",IF($I305="OS inexistente","OS inexistente",IF($E305="Peça não cadastrada","Peça não cadastrada","OK")))</f>
        <v>0</v>
      </c>
    </row>
    <row r="306" spans="1:10">
      <c r="A306" s="17"/>
      <c r="B306" s="13"/>
      <c r="C306" s="20"/>
      <c r="D306" s="19"/>
      <c r="E306" s="26">
        <f>IF($B306="","",IFERROR(INDEX(PecDesc,MATCH($B306,PecCod,0)),"Peça não cadastrada"))</f>
        <v>0</v>
      </c>
      <c r="F306" s="27">
        <f>IF($B306="","",IF($D306&lt;&gt;"",$D306,IFERROR(INDEX(PecPreco,MATCH($B306,PecCod,0)),0)))</f>
        <v>0</v>
      </c>
      <c r="G306" s="27">
        <f>IF(OR($B306="",$C306=""),"",$C306*$F306)</f>
        <v>0</v>
      </c>
      <c r="H306" s="27">
        <f>IF(OR($B306="",$C306=""),"",$C306*IFERROR(INDEX(PecCusto,MATCH($B306,PecCod,0)),0))</f>
        <v>0</v>
      </c>
      <c r="I306" s="32">
        <f>IF($A306="","",IFERROR(INDEX(OSStatus,MATCH($A306,OSNum,0)),"OS inexistente"))</f>
        <v>0</v>
      </c>
      <c r="J306" s="32">
        <f>IF($A306="","",IF($I306="OS inexistente","OS inexistente",IF($E306="Peça não cadastrada","Peça não cadastrada","OK")))</f>
        <v>0</v>
      </c>
    </row>
    <row r="307" spans="1:10">
      <c r="A307" s="17"/>
      <c r="B307" s="13"/>
      <c r="C307" s="20"/>
      <c r="D307" s="19"/>
      <c r="E307" s="26">
        <f>IF($B307="","",IFERROR(INDEX(PecDesc,MATCH($B307,PecCod,0)),"Peça não cadastrada"))</f>
        <v>0</v>
      </c>
      <c r="F307" s="27">
        <f>IF($B307="","",IF($D307&lt;&gt;"",$D307,IFERROR(INDEX(PecPreco,MATCH($B307,PecCod,0)),0)))</f>
        <v>0</v>
      </c>
      <c r="G307" s="27">
        <f>IF(OR($B307="",$C307=""),"",$C307*$F307)</f>
        <v>0</v>
      </c>
      <c r="H307" s="27">
        <f>IF(OR($B307="",$C307=""),"",$C307*IFERROR(INDEX(PecCusto,MATCH($B307,PecCod,0)),0))</f>
        <v>0</v>
      </c>
      <c r="I307" s="32">
        <f>IF($A307="","",IFERROR(INDEX(OSStatus,MATCH($A307,OSNum,0)),"OS inexistente"))</f>
        <v>0</v>
      </c>
      <c r="J307" s="32">
        <f>IF($A307="","",IF($I307="OS inexistente","OS inexistente",IF($E307="Peça não cadastrada","Peça não cadastrada","OK")))</f>
        <v>0</v>
      </c>
    </row>
    <row r="308" spans="1:10">
      <c r="A308" s="17"/>
      <c r="B308" s="13"/>
      <c r="C308" s="20"/>
      <c r="D308" s="19"/>
      <c r="E308" s="26">
        <f>IF($B308="","",IFERROR(INDEX(PecDesc,MATCH($B308,PecCod,0)),"Peça não cadastrada"))</f>
        <v>0</v>
      </c>
      <c r="F308" s="27">
        <f>IF($B308="","",IF($D308&lt;&gt;"",$D308,IFERROR(INDEX(PecPreco,MATCH($B308,PecCod,0)),0)))</f>
        <v>0</v>
      </c>
      <c r="G308" s="27">
        <f>IF(OR($B308="",$C308=""),"",$C308*$F308)</f>
        <v>0</v>
      </c>
      <c r="H308" s="27">
        <f>IF(OR($B308="",$C308=""),"",$C308*IFERROR(INDEX(PecCusto,MATCH($B308,PecCod,0)),0))</f>
        <v>0</v>
      </c>
      <c r="I308" s="32">
        <f>IF($A308="","",IFERROR(INDEX(OSStatus,MATCH($A308,OSNum,0)),"OS inexistente"))</f>
        <v>0</v>
      </c>
      <c r="J308" s="32">
        <f>IF($A308="","",IF($I308="OS inexistente","OS inexistente",IF($E308="Peça não cadastrada","Peça não cadastrada","OK")))</f>
        <v>0</v>
      </c>
    </row>
    <row r="309" spans="1:10">
      <c r="A309" s="17"/>
      <c r="B309" s="13"/>
      <c r="C309" s="20"/>
      <c r="D309" s="19"/>
      <c r="E309" s="26">
        <f>IF($B309="","",IFERROR(INDEX(PecDesc,MATCH($B309,PecCod,0)),"Peça não cadastrada"))</f>
        <v>0</v>
      </c>
      <c r="F309" s="27">
        <f>IF($B309="","",IF($D309&lt;&gt;"",$D309,IFERROR(INDEX(PecPreco,MATCH($B309,PecCod,0)),0)))</f>
        <v>0</v>
      </c>
      <c r="G309" s="27">
        <f>IF(OR($B309="",$C309=""),"",$C309*$F309)</f>
        <v>0</v>
      </c>
      <c r="H309" s="27">
        <f>IF(OR($B309="",$C309=""),"",$C309*IFERROR(INDEX(PecCusto,MATCH($B309,PecCod,0)),0))</f>
        <v>0</v>
      </c>
      <c r="I309" s="32">
        <f>IF($A309="","",IFERROR(INDEX(OSStatus,MATCH($A309,OSNum,0)),"OS inexistente"))</f>
        <v>0</v>
      </c>
      <c r="J309" s="32">
        <f>IF($A309="","",IF($I309="OS inexistente","OS inexistente",IF($E309="Peça não cadastrada","Peça não cadastrada","OK")))</f>
        <v>0</v>
      </c>
    </row>
    <row r="310" spans="1:10">
      <c r="A310" s="17"/>
      <c r="B310" s="13"/>
      <c r="C310" s="20"/>
      <c r="D310" s="19"/>
      <c r="E310" s="26">
        <f>IF($B310="","",IFERROR(INDEX(PecDesc,MATCH($B310,PecCod,0)),"Peça não cadastrada"))</f>
        <v>0</v>
      </c>
      <c r="F310" s="27">
        <f>IF($B310="","",IF($D310&lt;&gt;"",$D310,IFERROR(INDEX(PecPreco,MATCH($B310,PecCod,0)),0)))</f>
        <v>0</v>
      </c>
      <c r="G310" s="27">
        <f>IF(OR($B310="",$C310=""),"",$C310*$F310)</f>
        <v>0</v>
      </c>
      <c r="H310" s="27">
        <f>IF(OR($B310="",$C310=""),"",$C310*IFERROR(INDEX(PecCusto,MATCH($B310,PecCod,0)),0))</f>
        <v>0</v>
      </c>
      <c r="I310" s="32">
        <f>IF($A310="","",IFERROR(INDEX(OSStatus,MATCH($A310,OSNum,0)),"OS inexistente"))</f>
        <v>0</v>
      </c>
      <c r="J310" s="32">
        <f>IF($A310="","",IF($I310="OS inexistente","OS inexistente",IF($E310="Peça não cadastrada","Peça não cadastrada","OK")))</f>
        <v>0</v>
      </c>
    </row>
    <row r="311" spans="1:10">
      <c r="A311" s="17"/>
      <c r="B311" s="13"/>
      <c r="C311" s="20"/>
      <c r="D311" s="19"/>
      <c r="E311" s="26">
        <f>IF($B311="","",IFERROR(INDEX(PecDesc,MATCH($B311,PecCod,0)),"Peça não cadastrada"))</f>
        <v>0</v>
      </c>
      <c r="F311" s="27">
        <f>IF($B311="","",IF($D311&lt;&gt;"",$D311,IFERROR(INDEX(PecPreco,MATCH($B311,PecCod,0)),0)))</f>
        <v>0</v>
      </c>
      <c r="G311" s="27">
        <f>IF(OR($B311="",$C311=""),"",$C311*$F311)</f>
        <v>0</v>
      </c>
      <c r="H311" s="27">
        <f>IF(OR($B311="",$C311=""),"",$C311*IFERROR(INDEX(PecCusto,MATCH($B311,PecCod,0)),0))</f>
        <v>0</v>
      </c>
      <c r="I311" s="32">
        <f>IF($A311="","",IFERROR(INDEX(OSStatus,MATCH($A311,OSNum,0)),"OS inexistente"))</f>
        <v>0</v>
      </c>
      <c r="J311" s="32">
        <f>IF($A311="","",IF($I311="OS inexistente","OS inexistente",IF($E311="Peça não cadastrada","Peça não cadastrada","OK")))</f>
        <v>0</v>
      </c>
    </row>
    <row r="312" spans="1:10">
      <c r="A312" s="17"/>
      <c r="B312" s="13"/>
      <c r="C312" s="20"/>
      <c r="D312" s="19"/>
      <c r="E312" s="26">
        <f>IF($B312="","",IFERROR(INDEX(PecDesc,MATCH($B312,PecCod,0)),"Peça não cadastrada"))</f>
        <v>0</v>
      </c>
      <c r="F312" s="27">
        <f>IF($B312="","",IF($D312&lt;&gt;"",$D312,IFERROR(INDEX(PecPreco,MATCH($B312,PecCod,0)),0)))</f>
        <v>0</v>
      </c>
      <c r="G312" s="27">
        <f>IF(OR($B312="",$C312=""),"",$C312*$F312)</f>
        <v>0</v>
      </c>
      <c r="H312" s="27">
        <f>IF(OR($B312="",$C312=""),"",$C312*IFERROR(INDEX(PecCusto,MATCH($B312,PecCod,0)),0))</f>
        <v>0</v>
      </c>
      <c r="I312" s="32">
        <f>IF($A312="","",IFERROR(INDEX(OSStatus,MATCH($A312,OSNum,0)),"OS inexistente"))</f>
        <v>0</v>
      </c>
      <c r="J312" s="32">
        <f>IF($A312="","",IF($I312="OS inexistente","OS inexistente",IF($E312="Peça não cadastrada","Peça não cadastrada","OK")))</f>
        <v>0</v>
      </c>
    </row>
    <row r="313" spans="1:10">
      <c r="A313" s="17"/>
      <c r="B313" s="13"/>
      <c r="C313" s="20"/>
      <c r="D313" s="19"/>
      <c r="E313" s="26">
        <f>IF($B313="","",IFERROR(INDEX(PecDesc,MATCH($B313,PecCod,0)),"Peça não cadastrada"))</f>
        <v>0</v>
      </c>
      <c r="F313" s="27">
        <f>IF($B313="","",IF($D313&lt;&gt;"",$D313,IFERROR(INDEX(PecPreco,MATCH($B313,PecCod,0)),0)))</f>
        <v>0</v>
      </c>
      <c r="G313" s="27">
        <f>IF(OR($B313="",$C313=""),"",$C313*$F313)</f>
        <v>0</v>
      </c>
      <c r="H313" s="27">
        <f>IF(OR($B313="",$C313=""),"",$C313*IFERROR(INDEX(PecCusto,MATCH($B313,PecCod,0)),0))</f>
        <v>0</v>
      </c>
      <c r="I313" s="32">
        <f>IF($A313="","",IFERROR(INDEX(OSStatus,MATCH($A313,OSNum,0)),"OS inexistente"))</f>
        <v>0</v>
      </c>
      <c r="J313" s="32">
        <f>IF($A313="","",IF($I313="OS inexistente","OS inexistente",IF($E313="Peça não cadastrada","Peça não cadastrada","OK")))</f>
        <v>0</v>
      </c>
    </row>
    <row r="314" spans="1:10">
      <c r="A314" s="17"/>
      <c r="B314" s="13"/>
      <c r="C314" s="20"/>
      <c r="D314" s="19"/>
      <c r="E314" s="26">
        <f>IF($B314="","",IFERROR(INDEX(PecDesc,MATCH($B314,PecCod,0)),"Peça não cadastrada"))</f>
        <v>0</v>
      </c>
      <c r="F314" s="27">
        <f>IF($B314="","",IF($D314&lt;&gt;"",$D314,IFERROR(INDEX(PecPreco,MATCH($B314,PecCod,0)),0)))</f>
        <v>0</v>
      </c>
      <c r="G314" s="27">
        <f>IF(OR($B314="",$C314=""),"",$C314*$F314)</f>
        <v>0</v>
      </c>
      <c r="H314" s="27">
        <f>IF(OR($B314="",$C314=""),"",$C314*IFERROR(INDEX(PecCusto,MATCH($B314,PecCod,0)),0))</f>
        <v>0</v>
      </c>
      <c r="I314" s="32">
        <f>IF($A314="","",IFERROR(INDEX(OSStatus,MATCH($A314,OSNum,0)),"OS inexistente"))</f>
        <v>0</v>
      </c>
      <c r="J314" s="32">
        <f>IF($A314="","",IF($I314="OS inexistente","OS inexistente",IF($E314="Peça não cadastrada","Peça não cadastrada","OK")))</f>
        <v>0</v>
      </c>
    </row>
    <row r="315" spans="1:10">
      <c r="A315" s="17"/>
      <c r="B315" s="13"/>
      <c r="C315" s="20"/>
      <c r="D315" s="19"/>
      <c r="E315" s="26">
        <f>IF($B315="","",IFERROR(INDEX(PecDesc,MATCH($B315,PecCod,0)),"Peça não cadastrada"))</f>
        <v>0</v>
      </c>
      <c r="F315" s="27">
        <f>IF($B315="","",IF($D315&lt;&gt;"",$D315,IFERROR(INDEX(PecPreco,MATCH($B315,PecCod,0)),0)))</f>
        <v>0</v>
      </c>
      <c r="G315" s="27">
        <f>IF(OR($B315="",$C315=""),"",$C315*$F315)</f>
        <v>0</v>
      </c>
      <c r="H315" s="27">
        <f>IF(OR($B315="",$C315=""),"",$C315*IFERROR(INDEX(PecCusto,MATCH($B315,PecCod,0)),0))</f>
        <v>0</v>
      </c>
      <c r="I315" s="32">
        <f>IF($A315="","",IFERROR(INDEX(OSStatus,MATCH($A315,OSNum,0)),"OS inexistente"))</f>
        <v>0</v>
      </c>
      <c r="J315" s="32">
        <f>IF($A315="","",IF($I315="OS inexistente","OS inexistente",IF($E315="Peça não cadastrada","Peça não cadastrada","OK")))</f>
        <v>0</v>
      </c>
    </row>
    <row r="316" spans="1:10">
      <c r="A316" s="17"/>
      <c r="B316" s="13"/>
      <c r="C316" s="20"/>
      <c r="D316" s="19"/>
      <c r="E316" s="26">
        <f>IF($B316="","",IFERROR(INDEX(PecDesc,MATCH($B316,PecCod,0)),"Peça não cadastrada"))</f>
        <v>0</v>
      </c>
      <c r="F316" s="27">
        <f>IF($B316="","",IF($D316&lt;&gt;"",$D316,IFERROR(INDEX(PecPreco,MATCH($B316,PecCod,0)),0)))</f>
        <v>0</v>
      </c>
      <c r="G316" s="27">
        <f>IF(OR($B316="",$C316=""),"",$C316*$F316)</f>
        <v>0</v>
      </c>
      <c r="H316" s="27">
        <f>IF(OR($B316="",$C316=""),"",$C316*IFERROR(INDEX(PecCusto,MATCH($B316,PecCod,0)),0))</f>
        <v>0</v>
      </c>
      <c r="I316" s="32">
        <f>IF($A316="","",IFERROR(INDEX(OSStatus,MATCH($A316,OSNum,0)),"OS inexistente"))</f>
        <v>0</v>
      </c>
      <c r="J316" s="32">
        <f>IF($A316="","",IF($I316="OS inexistente","OS inexistente",IF($E316="Peça não cadastrada","Peça não cadastrada","OK")))</f>
        <v>0</v>
      </c>
    </row>
    <row r="317" spans="1:10">
      <c r="A317" s="17"/>
      <c r="B317" s="13"/>
      <c r="C317" s="20"/>
      <c r="D317" s="19"/>
      <c r="E317" s="26">
        <f>IF($B317="","",IFERROR(INDEX(PecDesc,MATCH($B317,PecCod,0)),"Peça não cadastrada"))</f>
        <v>0</v>
      </c>
      <c r="F317" s="27">
        <f>IF($B317="","",IF($D317&lt;&gt;"",$D317,IFERROR(INDEX(PecPreco,MATCH($B317,PecCod,0)),0)))</f>
        <v>0</v>
      </c>
      <c r="G317" s="27">
        <f>IF(OR($B317="",$C317=""),"",$C317*$F317)</f>
        <v>0</v>
      </c>
      <c r="H317" s="27">
        <f>IF(OR($B317="",$C317=""),"",$C317*IFERROR(INDEX(PecCusto,MATCH($B317,PecCod,0)),0))</f>
        <v>0</v>
      </c>
      <c r="I317" s="32">
        <f>IF($A317="","",IFERROR(INDEX(OSStatus,MATCH($A317,OSNum,0)),"OS inexistente"))</f>
        <v>0</v>
      </c>
      <c r="J317" s="32">
        <f>IF($A317="","",IF($I317="OS inexistente","OS inexistente",IF($E317="Peça não cadastrada","Peça não cadastrada","OK")))</f>
        <v>0</v>
      </c>
    </row>
    <row r="318" spans="1:10">
      <c r="A318" s="17"/>
      <c r="B318" s="13"/>
      <c r="C318" s="20"/>
      <c r="D318" s="19"/>
      <c r="E318" s="26">
        <f>IF($B318="","",IFERROR(INDEX(PecDesc,MATCH($B318,PecCod,0)),"Peça não cadastrada"))</f>
        <v>0</v>
      </c>
      <c r="F318" s="27">
        <f>IF($B318="","",IF($D318&lt;&gt;"",$D318,IFERROR(INDEX(PecPreco,MATCH($B318,PecCod,0)),0)))</f>
        <v>0</v>
      </c>
      <c r="G318" s="27">
        <f>IF(OR($B318="",$C318=""),"",$C318*$F318)</f>
        <v>0</v>
      </c>
      <c r="H318" s="27">
        <f>IF(OR($B318="",$C318=""),"",$C318*IFERROR(INDEX(PecCusto,MATCH($B318,PecCod,0)),0))</f>
        <v>0</v>
      </c>
      <c r="I318" s="32">
        <f>IF($A318="","",IFERROR(INDEX(OSStatus,MATCH($A318,OSNum,0)),"OS inexistente"))</f>
        <v>0</v>
      </c>
      <c r="J318" s="32">
        <f>IF($A318="","",IF($I318="OS inexistente","OS inexistente",IF($E318="Peça não cadastrada","Peça não cadastrada","OK")))</f>
        <v>0</v>
      </c>
    </row>
    <row r="319" spans="1:10">
      <c r="A319" s="17"/>
      <c r="B319" s="13"/>
      <c r="C319" s="20"/>
      <c r="D319" s="19"/>
      <c r="E319" s="26">
        <f>IF($B319="","",IFERROR(INDEX(PecDesc,MATCH($B319,PecCod,0)),"Peça não cadastrada"))</f>
        <v>0</v>
      </c>
      <c r="F319" s="27">
        <f>IF($B319="","",IF($D319&lt;&gt;"",$D319,IFERROR(INDEX(PecPreco,MATCH($B319,PecCod,0)),0)))</f>
        <v>0</v>
      </c>
      <c r="G319" s="27">
        <f>IF(OR($B319="",$C319=""),"",$C319*$F319)</f>
        <v>0</v>
      </c>
      <c r="H319" s="27">
        <f>IF(OR($B319="",$C319=""),"",$C319*IFERROR(INDEX(PecCusto,MATCH($B319,PecCod,0)),0))</f>
        <v>0</v>
      </c>
      <c r="I319" s="32">
        <f>IF($A319="","",IFERROR(INDEX(OSStatus,MATCH($A319,OSNum,0)),"OS inexistente"))</f>
        <v>0</v>
      </c>
      <c r="J319" s="32">
        <f>IF($A319="","",IF($I319="OS inexistente","OS inexistente",IF($E319="Peça não cadastrada","Peça não cadastrada","OK")))</f>
        <v>0</v>
      </c>
    </row>
    <row r="320" spans="1:10">
      <c r="A320" s="17"/>
      <c r="B320" s="13"/>
      <c r="C320" s="20"/>
      <c r="D320" s="19"/>
      <c r="E320" s="26">
        <f>IF($B320="","",IFERROR(INDEX(PecDesc,MATCH($B320,PecCod,0)),"Peça não cadastrada"))</f>
        <v>0</v>
      </c>
      <c r="F320" s="27">
        <f>IF($B320="","",IF($D320&lt;&gt;"",$D320,IFERROR(INDEX(PecPreco,MATCH($B320,PecCod,0)),0)))</f>
        <v>0</v>
      </c>
      <c r="G320" s="27">
        <f>IF(OR($B320="",$C320=""),"",$C320*$F320)</f>
        <v>0</v>
      </c>
      <c r="H320" s="27">
        <f>IF(OR($B320="",$C320=""),"",$C320*IFERROR(INDEX(PecCusto,MATCH($B320,PecCod,0)),0))</f>
        <v>0</v>
      </c>
      <c r="I320" s="32">
        <f>IF($A320="","",IFERROR(INDEX(OSStatus,MATCH($A320,OSNum,0)),"OS inexistente"))</f>
        <v>0</v>
      </c>
      <c r="J320" s="32">
        <f>IF($A320="","",IF($I320="OS inexistente","OS inexistente",IF($E320="Peça não cadastrada","Peça não cadastrada","OK")))</f>
        <v>0</v>
      </c>
    </row>
    <row r="321" spans="1:10">
      <c r="A321" s="17"/>
      <c r="B321" s="13"/>
      <c r="C321" s="20"/>
      <c r="D321" s="19"/>
      <c r="E321" s="26">
        <f>IF($B321="","",IFERROR(INDEX(PecDesc,MATCH($B321,PecCod,0)),"Peça não cadastrada"))</f>
        <v>0</v>
      </c>
      <c r="F321" s="27">
        <f>IF($B321="","",IF($D321&lt;&gt;"",$D321,IFERROR(INDEX(PecPreco,MATCH($B321,PecCod,0)),0)))</f>
        <v>0</v>
      </c>
      <c r="G321" s="27">
        <f>IF(OR($B321="",$C321=""),"",$C321*$F321)</f>
        <v>0</v>
      </c>
      <c r="H321" s="27">
        <f>IF(OR($B321="",$C321=""),"",$C321*IFERROR(INDEX(PecCusto,MATCH($B321,PecCod,0)),0))</f>
        <v>0</v>
      </c>
      <c r="I321" s="32">
        <f>IF($A321="","",IFERROR(INDEX(OSStatus,MATCH($A321,OSNum,0)),"OS inexistente"))</f>
        <v>0</v>
      </c>
      <c r="J321" s="32">
        <f>IF($A321="","",IF($I321="OS inexistente","OS inexistente",IF($E321="Peça não cadastrada","Peça não cadastrada","OK")))</f>
        <v>0</v>
      </c>
    </row>
    <row r="322" spans="1:10">
      <c r="A322" s="17"/>
      <c r="B322" s="13"/>
      <c r="C322" s="20"/>
      <c r="D322" s="19"/>
      <c r="E322" s="26">
        <f>IF($B322="","",IFERROR(INDEX(PecDesc,MATCH($B322,PecCod,0)),"Peça não cadastrada"))</f>
        <v>0</v>
      </c>
      <c r="F322" s="27">
        <f>IF($B322="","",IF($D322&lt;&gt;"",$D322,IFERROR(INDEX(PecPreco,MATCH($B322,PecCod,0)),0)))</f>
        <v>0</v>
      </c>
      <c r="G322" s="27">
        <f>IF(OR($B322="",$C322=""),"",$C322*$F322)</f>
        <v>0</v>
      </c>
      <c r="H322" s="27">
        <f>IF(OR($B322="",$C322=""),"",$C322*IFERROR(INDEX(PecCusto,MATCH($B322,PecCod,0)),0))</f>
        <v>0</v>
      </c>
      <c r="I322" s="32">
        <f>IF($A322="","",IFERROR(INDEX(OSStatus,MATCH($A322,OSNum,0)),"OS inexistente"))</f>
        <v>0</v>
      </c>
      <c r="J322" s="32">
        <f>IF($A322="","",IF($I322="OS inexistente","OS inexistente",IF($E322="Peça não cadastrada","Peça não cadastrada","OK")))</f>
        <v>0</v>
      </c>
    </row>
    <row r="323" spans="1:10">
      <c r="A323" s="17"/>
      <c r="B323" s="13"/>
      <c r="C323" s="20"/>
      <c r="D323" s="19"/>
      <c r="E323" s="26">
        <f>IF($B323="","",IFERROR(INDEX(PecDesc,MATCH($B323,PecCod,0)),"Peça não cadastrada"))</f>
        <v>0</v>
      </c>
      <c r="F323" s="27">
        <f>IF($B323="","",IF($D323&lt;&gt;"",$D323,IFERROR(INDEX(PecPreco,MATCH($B323,PecCod,0)),0)))</f>
        <v>0</v>
      </c>
      <c r="G323" s="27">
        <f>IF(OR($B323="",$C323=""),"",$C323*$F323)</f>
        <v>0</v>
      </c>
      <c r="H323" s="27">
        <f>IF(OR($B323="",$C323=""),"",$C323*IFERROR(INDEX(PecCusto,MATCH($B323,PecCod,0)),0))</f>
        <v>0</v>
      </c>
      <c r="I323" s="32">
        <f>IF($A323="","",IFERROR(INDEX(OSStatus,MATCH($A323,OSNum,0)),"OS inexistente"))</f>
        <v>0</v>
      </c>
      <c r="J323" s="32">
        <f>IF($A323="","",IF($I323="OS inexistente","OS inexistente",IF($E323="Peça não cadastrada","Peça não cadastrada","OK")))</f>
        <v>0</v>
      </c>
    </row>
    <row r="324" spans="1:10">
      <c r="A324" s="17"/>
      <c r="B324" s="13"/>
      <c r="C324" s="20"/>
      <c r="D324" s="19"/>
      <c r="E324" s="26">
        <f>IF($B324="","",IFERROR(INDEX(PecDesc,MATCH($B324,PecCod,0)),"Peça não cadastrada"))</f>
        <v>0</v>
      </c>
      <c r="F324" s="27">
        <f>IF($B324="","",IF($D324&lt;&gt;"",$D324,IFERROR(INDEX(PecPreco,MATCH($B324,PecCod,0)),0)))</f>
        <v>0</v>
      </c>
      <c r="G324" s="27">
        <f>IF(OR($B324="",$C324=""),"",$C324*$F324)</f>
        <v>0</v>
      </c>
      <c r="H324" s="27">
        <f>IF(OR($B324="",$C324=""),"",$C324*IFERROR(INDEX(PecCusto,MATCH($B324,PecCod,0)),0))</f>
        <v>0</v>
      </c>
      <c r="I324" s="32">
        <f>IF($A324="","",IFERROR(INDEX(OSStatus,MATCH($A324,OSNum,0)),"OS inexistente"))</f>
        <v>0</v>
      </c>
      <c r="J324" s="32">
        <f>IF($A324="","",IF($I324="OS inexistente","OS inexistente",IF($E324="Peça não cadastrada","Peça não cadastrada","OK")))</f>
        <v>0</v>
      </c>
    </row>
    <row r="325" spans="1:10">
      <c r="A325" s="17"/>
      <c r="B325" s="13"/>
      <c r="C325" s="20"/>
      <c r="D325" s="19"/>
      <c r="E325" s="26">
        <f>IF($B325="","",IFERROR(INDEX(PecDesc,MATCH($B325,PecCod,0)),"Peça não cadastrada"))</f>
        <v>0</v>
      </c>
      <c r="F325" s="27">
        <f>IF($B325="","",IF($D325&lt;&gt;"",$D325,IFERROR(INDEX(PecPreco,MATCH($B325,PecCod,0)),0)))</f>
        <v>0</v>
      </c>
      <c r="G325" s="27">
        <f>IF(OR($B325="",$C325=""),"",$C325*$F325)</f>
        <v>0</v>
      </c>
      <c r="H325" s="27">
        <f>IF(OR($B325="",$C325=""),"",$C325*IFERROR(INDEX(PecCusto,MATCH($B325,PecCod,0)),0))</f>
        <v>0</v>
      </c>
      <c r="I325" s="32">
        <f>IF($A325="","",IFERROR(INDEX(OSStatus,MATCH($A325,OSNum,0)),"OS inexistente"))</f>
        <v>0</v>
      </c>
      <c r="J325" s="32">
        <f>IF($A325="","",IF($I325="OS inexistente","OS inexistente",IF($E325="Peça não cadastrada","Peça não cadastrada","OK")))</f>
        <v>0</v>
      </c>
    </row>
    <row r="326" spans="1:10">
      <c r="A326" s="17"/>
      <c r="B326" s="13"/>
      <c r="C326" s="20"/>
      <c r="D326" s="19"/>
      <c r="E326" s="26">
        <f>IF($B326="","",IFERROR(INDEX(PecDesc,MATCH($B326,PecCod,0)),"Peça não cadastrada"))</f>
        <v>0</v>
      </c>
      <c r="F326" s="27">
        <f>IF($B326="","",IF($D326&lt;&gt;"",$D326,IFERROR(INDEX(PecPreco,MATCH($B326,PecCod,0)),0)))</f>
        <v>0</v>
      </c>
      <c r="G326" s="27">
        <f>IF(OR($B326="",$C326=""),"",$C326*$F326)</f>
        <v>0</v>
      </c>
      <c r="H326" s="27">
        <f>IF(OR($B326="",$C326=""),"",$C326*IFERROR(INDEX(PecCusto,MATCH($B326,PecCod,0)),0))</f>
        <v>0</v>
      </c>
      <c r="I326" s="32">
        <f>IF($A326="","",IFERROR(INDEX(OSStatus,MATCH($A326,OSNum,0)),"OS inexistente"))</f>
        <v>0</v>
      </c>
      <c r="J326" s="32">
        <f>IF($A326="","",IF($I326="OS inexistente","OS inexistente",IF($E326="Peça não cadastrada","Peça não cadastrada","OK")))</f>
        <v>0</v>
      </c>
    </row>
    <row r="327" spans="1:10">
      <c r="A327" s="17"/>
      <c r="B327" s="13"/>
      <c r="C327" s="20"/>
      <c r="D327" s="19"/>
      <c r="E327" s="26">
        <f>IF($B327="","",IFERROR(INDEX(PecDesc,MATCH($B327,PecCod,0)),"Peça não cadastrada"))</f>
        <v>0</v>
      </c>
      <c r="F327" s="27">
        <f>IF($B327="","",IF($D327&lt;&gt;"",$D327,IFERROR(INDEX(PecPreco,MATCH($B327,PecCod,0)),0)))</f>
        <v>0</v>
      </c>
      <c r="G327" s="27">
        <f>IF(OR($B327="",$C327=""),"",$C327*$F327)</f>
        <v>0</v>
      </c>
      <c r="H327" s="27">
        <f>IF(OR($B327="",$C327=""),"",$C327*IFERROR(INDEX(PecCusto,MATCH($B327,PecCod,0)),0))</f>
        <v>0</v>
      </c>
      <c r="I327" s="32">
        <f>IF($A327="","",IFERROR(INDEX(OSStatus,MATCH($A327,OSNum,0)),"OS inexistente"))</f>
        <v>0</v>
      </c>
      <c r="J327" s="32">
        <f>IF($A327="","",IF($I327="OS inexistente","OS inexistente",IF($E327="Peça não cadastrada","Peça não cadastrada","OK")))</f>
        <v>0</v>
      </c>
    </row>
    <row r="328" spans="1:10">
      <c r="A328" s="17"/>
      <c r="B328" s="13"/>
      <c r="C328" s="20"/>
      <c r="D328" s="19"/>
      <c r="E328" s="26">
        <f>IF($B328="","",IFERROR(INDEX(PecDesc,MATCH($B328,PecCod,0)),"Peça não cadastrada"))</f>
        <v>0</v>
      </c>
      <c r="F328" s="27">
        <f>IF($B328="","",IF($D328&lt;&gt;"",$D328,IFERROR(INDEX(PecPreco,MATCH($B328,PecCod,0)),0)))</f>
        <v>0</v>
      </c>
      <c r="G328" s="27">
        <f>IF(OR($B328="",$C328=""),"",$C328*$F328)</f>
        <v>0</v>
      </c>
      <c r="H328" s="27">
        <f>IF(OR($B328="",$C328=""),"",$C328*IFERROR(INDEX(PecCusto,MATCH($B328,PecCod,0)),0))</f>
        <v>0</v>
      </c>
      <c r="I328" s="32">
        <f>IF($A328="","",IFERROR(INDEX(OSStatus,MATCH($A328,OSNum,0)),"OS inexistente"))</f>
        <v>0</v>
      </c>
      <c r="J328" s="32">
        <f>IF($A328="","",IF($I328="OS inexistente","OS inexistente",IF($E328="Peça não cadastrada","Peça não cadastrada","OK")))</f>
        <v>0</v>
      </c>
    </row>
    <row r="329" spans="1:10">
      <c r="A329" s="17"/>
      <c r="B329" s="13"/>
      <c r="C329" s="20"/>
      <c r="D329" s="19"/>
      <c r="E329" s="26">
        <f>IF($B329="","",IFERROR(INDEX(PecDesc,MATCH($B329,PecCod,0)),"Peça não cadastrada"))</f>
        <v>0</v>
      </c>
      <c r="F329" s="27">
        <f>IF($B329="","",IF($D329&lt;&gt;"",$D329,IFERROR(INDEX(PecPreco,MATCH($B329,PecCod,0)),0)))</f>
        <v>0</v>
      </c>
      <c r="G329" s="27">
        <f>IF(OR($B329="",$C329=""),"",$C329*$F329)</f>
        <v>0</v>
      </c>
      <c r="H329" s="27">
        <f>IF(OR($B329="",$C329=""),"",$C329*IFERROR(INDEX(PecCusto,MATCH($B329,PecCod,0)),0))</f>
        <v>0</v>
      </c>
      <c r="I329" s="32">
        <f>IF($A329="","",IFERROR(INDEX(OSStatus,MATCH($A329,OSNum,0)),"OS inexistente"))</f>
        <v>0</v>
      </c>
      <c r="J329" s="32">
        <f>IF($A329="","",IF($I329="OS inexistente","OS inexistente",IF($E329="Peça não cadastrada","Peça não cadastrada","OK")))</f>
        <v>0</v>
      </c>
    </row>
    <row r="330" spans="1:10">
      <c r="A330" s="17"/>
      <c r="B330" s="13"/>
      <c r="C330" s="20"/>
      <c r="D330" s="19"/>
      <c r="E330" s="26">
        <f>IF($B330="","",IFERROR(INDEX(PecDesc,MATCH($B330,PecCod,0)),"Peça não cadastrada"))</f>
        <v>0</v>
      </c>
      <c r="F330" s="27">
        <f>IF($B330="","",IF($D330&lt;&gt;"",$D330,IFERROR(INDEX(PecPreco,MATCH($B330,PecCod,0)),0)))</f>
        <v>0</v>
      </c>
      <c r="G330" s="27">
        <f>IF(OR($B330="",$C330=""),"",$C330*$F330)</f>
        <v>0</v>
      </c>
      <c r="H330" s="27">
        <f>IF(OR($B330="",$C330=""),"",$C330*IFERROR(INDEX(PecCusto,MATCH($B330,PecCod,0)),0))</f>
        <v>0</v>
      </c>
      <c r="I330" s="32">
        <f>IF($A330="","",IFERROR(INDEX(OSStatus,MATCH($A330,OSNum,0)),"OS inexistente"))</f>
        <v>0</v>
      </c>
      <c r="J330" s="32">
        <f>IF($A330="","",IF($I330="OS inexistente","OS inexistente",IF($E330="Peça não cadastrada","Peça não cadastrada","OK")))</f>
        <v>0</v>
      </c>
    </row>
    <row r="331" spans="1:10">
      <c r="A331" s="17"/>
      <c r="B331" s="13"/>
      <c r="C331" s="20"/>
      <c r="D331" s="19"/>
      <c r="E331" s="26">
        <f>IF($B331="","",IFERROR(INDEX(PecDesc,MATCH($B331,PecCod,0)),"Peça não cadastrada"))</f>
        <v>0</v>
      </c>
      <c r="F331" s="27">
        <f>IF($B331="","",IF($D331&lt;&gt;"",$D331,IFERROR(INDEX(PecPreco,MATCH($B331,PecCod,0)),0)))</f>
        <v>0</v>
      </c>
      <c r="G331" s="27">
        <f>IF(OR($B331="",$C331=""),"",$C331*$F331)</f>
        <v>0</v>
      </c>
      <c r="H331" s="27">
        <f>IF(OR($B331="",$C331=""),"",$C331*IFERROR(INDEX(PecCusto,MATCH($B331,PecCod,0)),0))</f>
        <v>0</v>
      </c>
      <c r="I331" s="32">
        <f>IF($A331="","",IFERROR(INDEX(OSStatus,MATCH($A331,OSNum,0)),"OS inexistente"))</f>
        <v>0</v>
      </c>
      <c r="J331" s="32">
        <f>IF($A331="","",IF($I331="OS inexistente","OS inexistente",IF($E331="Peça não cadastrada","Peça não cadastrada","OK")))</f>
        <v>0</v>
      </c>
    </row>
    <row r="332" spans="1:10">
      <c r="A332" s="17"/>
      <c r="B332" s="13"/>
      <c r="C332" s="20"/>
      <c r="D332" s="19"/>
      <c r="E332" s="26">
        <f>IF($B332="","",IFERROR(INDEX(PecDesc,MATCH($B332,PecCod,0)),"Peça não cadastrada"))</f>
        <v>0</v>
      </c>
      <c r="F332" s="27">
        <f>IF($B332="","",IF($D332&lt;&gt;"",$D332,IFERROR(INDEX(PecPreco,MATCH($B332,PecCod,0)),0)))</f>
        <v>0</v>
      </c>
      <c r="G332" s="27">
        <f>IF(OR($B332="",$C332=""),"",$C332*$F332)</f>
        <v>0</v>
      </c>
      <c r="H332" s="27">
        <f>IF(OR($B332="",$C332=""),"",$C332*IFERROR(INDEX(PecCusto,MATCH($B332,PecCod,0)),0))</f>
        <v>0</v>
      </c>
      <c r="I332" s="32">
        <f>IF($A332="","",IFERROR(INDEX(OSStatus,MATCH($A332,OSNum,0)),"OS inexistente"))</f>
        <v>0</v>
      </c>
      <c r="J332" s="32">
        <f>IF($A332="","",IF($I332="OS inexistente","OS inexistente",IF($E332="Peça não cadastrada","Peça não cadastrada","OK")))</f>
        <v>0</v>
      </c>
    </row>
    <row r="333" spans="1:10">
      <c r="A333" s="17"/>
      <c r="B333" s="13"/>
      <c r="C333" s="20"/>
      <c r="D333" s="19"/>
      <c r="E333" s="26">
        <f>IF($B333="","",IFERROR(INDEX(PecDesc,MATCH($B333,PecCod,0)),"Peça não cadastrada"))</f>
        <v>0</v>
      </c>
      <c r="F333" s="27">
        <f>IF($B333="","",IF($D333&lt;&gt;"",$D333,IFERROR(INDEX(PecPreco,MATCH($B333,PecCod,0)),0)))</f>
        <v>0</v>
      </c>
      <c r="G333" s="27">
        <f>IF(OR($B333="",$C333=""),"",$C333*$F333)</f>
        <v>0</v>
      </c>
      <c r="H333" s="27">
        <f>IF(OR($B333="",$C333=""),"",$C333*IFERROR(INDEX(PecCusto,MATCH($B333,PecCod,0)),0))</f>
        <v>0</v>
      </c>
      <c r="I333" s="32">
        <f>IF($A333="","",IFERROR(INDEX(OSStatus,MATCH($A333,OSNum,0)),"OS inexistente"))</f>
        <v>0</v>
      </c>
      <c r="J333" s="32">
        <f>IF($A333="","",IF($I333="OS inexistente","OS inexistente",IF($E333="Peça não cadastrada","Peça não cadastrada","OK")))</f>
        <v>0</v>
      </c>
    </row>
    <row r="334" spans="1:10">
      <c r="A334" s="17"/>
      <c r="B334" s="13"/>
      <c r="C334" s="20"/>
      <c r="D334" s="19"/>
      <c r="E334" s="26">
        <f>IF($B334="","",IFERROR(INDEX(PecDesc,MATCH($B334,PecCod,0)),"Peça não cadastrada"))</f>
        <v>0</v>
      </c>
      <c r="F334" s="27">
        <f>IF($B334="","",IF($D334&lt;&gt;"",$D334,IFERROR(INDEX(PecPreco,MATCH($B334,PecCod,0)),0)))</f>
        <v>0</v>
      </c>
      <c r="G334" s="27">
        <f>IF(OR($B334="",$C334=""),"",$C334*$F334)</f>
        <v>0</v>
      </c>
      <c r="H334" s="27">
        <f>IF(OR($B334="",$C334=""),"",$C334*IFERROR(INDEX(PecCusto,MATCH($B334,PecCod,0)),0))</f>
        <v>0</v>
      </c>
      <c r="I334" s="32">
        <f>IF($A334="","",IFERROR(INDEX(OSStatus,MATCH($A334,OSNum,0)),"OS inexistente"))</f>
        <v>0</v>
      </c>
      <c r="J334" s="32">
        <f>IF($A334="","",IF($I334="OS inexistente","OS inexistente",IF($E334="Peça não cadastrada","Peça não cadastrada","OK")))</f>
        <v>0</v>
      </c>
    </row>
    <row r="335" spans="1:10">
      <c r="A335" s="17"/>
      <c r="B335" s="13"/>
      <c r="C335" s="20"/>
      <c r="D335" s="19"/>
      <c r="E335" s="26">
        <f>IF($B335="","",IFERROR(INDEX(PecDesc,MATCH($B335,PecCod,0)),"Peça não cadastrada"))</f>
        <v>0</v>
      </c>
      <c r="F335" s="27">
        <f>IF($B335="","",IF($D335&lt;&gt;"",$D335,IFERROR(INDEX(PecPreco,MATCH($B335,PecCod,0)),0)))</f>
        <v>0</v>
      </c>
      <c r="G335" s="27">
        <f>IF(OR($B335="",$C335=""),"",$C335*$F335)</f>
        <v>0</v>
      </c>
      <c r="H335" s="27">
        <f>IF(OR($B335="",$C335=""),"",$C335*IFERROR(INDEX(PecCusto,MATCH($B335,PecCod,0)),0))</f>
        <v>0</v>
      </c>
      <c r="I335" s="32">
        <f>IF($A335="","",IFERROR(INDEX(OSStatus,MATCH($A335,OSNum,0)),"OS inexistente"))</f>
        <v>0</v>
      </c>
      <c r="J335" s="32">
        <f>IF($A335="","",IF($I335="OS inexistente","OS inexistente",IF($E335="Peça não cadastrada","Peça não cadastrada","OK")))</f>
        <v>0</v>
      </c>
    </row>
    <row r="336" spans="1:10">
      <c r="A336" s="17"/>
      <c r="B336" s="13"/>
      <c r="C336" s="20"/>
      <c r="D336" s="19"/>
      <c r="E336" s="26">
        <f>IF($B336="","",IFERROR(INDEX(PecDesc,MATCH($B336,PecCod,0)),"Peça não cadastrada"))</f>
        <v>0</v>
      </c>
      <c r="F336" s="27">
        <f>IF($B336="","",IF($D336&lt;&gt;"",$D336,IFERROR(INDEX(PecPreco,MATCH($B336,PecCod,0)),0)))</f>
        <v>0</v>
      </c>
      <c r="G336" s="27">
        <f>IF(OR($B336="",$C336=""),"",$C336*$F336)</f>
        <v>0</v>
      </c>
      <c r="H336" s="27">
        <f>IF(OR($B336="",$C336=""),"",$C336*IFERROR(INDEX(PecCusto,MATCH($B336,PecCod,0)),0))</f>
        <v>0</v>
      </c>
      <c r="I336" s="32">
        <f>IF($A336="","",IFERROR(INDEX(OSStatus,MATCH($A336,OSNum,0)),"OS inexistente"))</f>
        <v>0</v>
      </c>
      <c r="J336" s="32">
        <f>IF($A336="","",IF($I336="OS inexistente","OS inexistente",IF($E336="Peça não cadastrada","Peça não cadastrada","OK")))</f>
        <v>0</v>
      </c>
    </row>
    <row r="337" spans="1:10">
      <c r="A337" s="17"/>
      <c r="B337" s="13"/>
      <c r="C337" s="20"/>
      <c r="D337" s="19"/>
      <c r="E337" s="26">
        <f>IF($B337="","",IFERROR(INDEX(PecDesc,MATCH($B337,PecCod,0)),"Peça não cadastrada"))</f>
        <v>0</v>
      </c>
      <c r="F337" s="27">
        <f>IF($B337="","",IF($D337&lt;&gt;"",$D337,IFERROR(INDEX(PecPreco,MATCH($B337,PecCod,0)),0)))</f>
        <v>0</v>
      </c>
      <c r="G337" s="27">
        <f>IF(OR($B337="",$C337=""),"",$C337*$F337)</f>
        <v>0</v>
      </c>
      <c r="H337" s="27">
        <f>IF(OR($B337="",$C337=""),"",$C337*IFERROR(INDEX(PecCusto,MATCH($B337,PecCod,0)),0))</f>
        <v>0</v>
      </c>
      <c r="I337" s="32">
        <f>IF($A337="","",IFERROR(INDEX(OSStatus,MATCH($A337,OSNum,0)),"OS inexistente"))</f>
        <v>0</v>
      </c>
      <c r="J337" s="32">
        <f>IF($A337="","",IF($I337="OS inexistente","OS inexistente",IF($E337="Peça não cadastrada","Peça não cadastrada","OK")))</f>
        <v>0</v>
      </c>
    </row>
    <row r="338" spans="1:10">
      <c r="A338" s="17"/>
      <c r="B338" s="13"/>
      <c r="C338" s="20"/>
      <c r="D338" s="19"/>
      <c r="E338" s="26">
        <f>IF($B338="","",IFERROR(INDEX(PecDesc,MATCH($B338,PecCod,0)),"Peça não cadastrada"))</f>
        <v>0</v>
      </c>
      <c r="F338" s="27">
        <f>IF($B338="","",IF($D338&lt;&gt;"",$D338,IFERROR(INDEX(PecPreco,MATCH($B338,PecCod,0)),0)))</f>
        <v>0</v>
      </c>
      <c r="G338" s="27">
        <f>IF(OR($B338="",$C338=""),"",$C338*$F338)</f>
        <v>0</v>
      </c>
      <c r="H338" s="27">
        <f>IF(OR($B338="",$C338=""),"",$C338*IFERROR(INDEX(PecCusto,MATCH($B338,PecCod,0)),0))</f>
        <v>0</v>
      </c>
      <c r="I338" s="32">
        <f>IF($A338="","",IFERROR(INDEX(OSStatus,MATCH($A338,OSNum,0)),"OS inexistente"))</f>
        <v>0</v>
      </c>
      <c r="J338" s="32">
        <f>IF($A338="","",IF($I338="OS inexistente","OS inexistente",IF($E338="Peça não cadastrada","Peça não cadastrada","OK")))</f>
        <v>0</v>
      </c>
    </row>
    <row r="339" spans="1:10">
      <c r="A339" s="17"/>
      <c r="B339" s="13"/>
      <c r="C339" s="20"/>
      <c r="D339" s="19"/>
      <c r="E339" s="26">
        <f>IF($B339="","",IFERROR(INDEX(PecDesc,MATCH($B339,PecCod,0)),"Peça não cadastrada"))</f>
        <v>0</v>
      </c>
      <c r="F339" s="27">
        <f>IF($B339="","",IF($D339&lt;&gt;"",$D339,IFERROR(INDEX(PecPreco,MATCH($B339,PecCod,0)),0)))</f>
        <v>0</v>
      </c>
      <c r="G339" s="27">
        <f>IF(OR($B339="",$C339=""),"",$C339*$F339)</f>
        <v>0</v>
      </c>
      <c r="H339" s="27">
        <f>IF(OR($B339="",$C339=""),"",$C339*IFERROR(INDEX(PecCusto,MATCH($B339,PecCod,0)),0))</f>
        <v>0</v>
      </c>
      <c r="I339" s="32">
        <f>IF($A339="","",IFERROR(INDEX(OSStatus,MATCH($A339,OSNum,0)),"OS inexistente"))</f>
        <v>0</v>
      </c>
      <c r="J339" s="32">
        <f>IF($A339="","",IF($I339="OS inexistente","OS inexistente",IF($E339="Peça não cadastrada","Peça não cadastrada","OK")))</f>
        <v>0</v>
      </c>
    </row>
    <row r="340" spans="1:10">
      <c r="A340" s="17"/>
      <c r="B340" s="13"/>
      <c r="C340" s="20"/>
      <c r="D340" s="19"/>
      <c r="E340" s="26">
        <f>IF($B340="","",IFERROR(INDEX(PecDesc,MATCH($B340,PecCod,0)),"Peça não cadastrada"))</f>
        <v>0</v>
      </c>
      <c r="F340" s="27">
        <f>IF($B340="","",IF($D340&lt;&gt;"",$D340,IFERROR(INDEX(PecPreco,MATCH($B340,PecCod,0)),0)))</f>
        <v>0</v>
      </c>
      <c r="G340" s="27">
        <f>IF(OR($B340="",$C340=""),"",$C340*$F340)</f>
        <v>0</v>
      </c>
      <c r="H340" s="27">
        <f>IF(OR($B340="",$C340=""),"",$C340*IFERROR(INDEX(PecCusto,MATCH($B340,PecCod,0)),0))</f>
        <v>0</v>
      </c>
      <c r="I340" s="32">
        <f>IF($A340="","",IFERROR(INDEX(OSStatus,MATCH($A340,OSNum,0)),"OS inexistente"))</f>
        <v>0</v>
      </c>
      <c r="J340" s="32">
        <f>IF($A340="","",IF($I340="OS inexistente","OS inexistente",IF($E340="Peça não cadastrada","Peça não cadastrada","OK")))</f>
        <v>0</v>
      </c>
    </row>
    <row r="341" spans="1:10">
      <c r="A341" s="17"/>
      <c r="B341" s="13"/>
      <c r="C341" s="20"/>
      <c r="D341" s="19"/>
      <c r="E341" s="26">
        <f>IF($B341="","",IFERROR(INDEX(PecDesc,MATCH($B341,PecCod,0)),"Peça não cadastrada"))</f>
        <v>0</v>
      </c>
      <c r="F341" s="27">
        <f>IF($B341="","",IF($D341&lt;&gt;"",$D341,IFERROR(INDEX(PecPreco,MATCH($B341,PecCod,0)),0)))</f>
        <v>0</v>
      </c>
      <c r="G341" s="27">
        <f>IF(OR($B341="",$C341=""),"",$C341*$F341)</f>
        <v>0</v>
      </c>
      <c r="H341" s="27">
        <f>IF(OR($B341="",$C341=""),"",$C341*IFERROR(INDEX(PecCusto,MATCH($B341,PecCod,0)),0))</f>
        <v>0</v>
      </c>
      <c r="I341" s="32">
        <f>IF($A341="","",IFERROR(INDEX(OSStatus,MATCH($A341,OSNum,0)),"OS inexistente"))</f>
        <v>0</v>
      </c>
      <c r="J341" s="32">
        <f>IF($A341="","",IF($I341="OS inexistente","OS inexistente",IF($E341="Peça não cadastrada","Peça não cadastrada","OK")))</f>
        <v>0</v>
      </c>
    </row>
    <row r="342" spans="1:10">
      <c r="A342" s="17"/>
      <c r="B342" s="13"/>
      <c r="C342" s="20"/>
      <c r="D342" s="19"/>
      <c r="E342" s="26">
        <f>IF($B342="","",IFERROR(INDEX(PecDesc,MATCH($B342,PecCod,0)),"Peça não cadastrada"))</f>
        <v>0</v>
      </c>
      <c r="F342" s="27">
        <f>IF($B342="","",IF($D342&lt;&gt;"",$D342,IFERROR(INDEX(PecPreco,MATCH($B342,PecCod,0)),0)))</f>
        <v>0</v>
      </c>
      <c r="G342" s="27">
        <f>IF(OR($B342="",$C342=""),"",$C342*$F342)</f>
        <v>0</v>
      </c>
      <c r="H342" s="27">
        <f>IF(OR($B342="",$C342=""),"",$C342*IFERROR(INDEX(PecCusto,MATCH($B342,PecCod,0)),0))</f>
        <v>0</v>
      </c>
      <c r="I342" s="32">
        <f>IF($A342="","",IFERROR(INDEX(OSStatus,MATCH($A342,OSNum,0)),"OS inexistente"))</f>
        <v>0</v>
      </c>
      <c r="J342" s="32">
        <f>IF($A342="","",IF($I342="OS inexistente","OS inexistente",IF($E342="Peça não cadastrada","Peça não cadastrada","OK")))</f>
        <v>0</v>
      </c>
    </row>
    <row r="343" spans="1:10">
      <c r="A343" s="17"/>
      <c r="B343" s="13"/>
      <c r="C343" s="20"/>
      <c r="D343" s="19"/>
      <c r="E343" s="26">
        <f>IF($B343="","",IFERROR(INDEX(PecDesc,MATCH($B343,PecCod,0)),"Peça não cadastrada"))</f>
        <v>0</v>
      </c>
      <c r="F343" s="27">
        <f>IF($B343="","",IF($D343&lt;&gt;"",$D343,IFERROR(INDEX(PecPreco,MATCH($B343,PecCod,0)),0)))</f>
        <v>0</v>
      </c>
      <c r="G343" s="27">
        <f>IF(OR($B343="",$C343=""),"",$C343*$F343)</f>
        <v>0</v>
      </c>
      <c r="H343" s="27">
        <f>IF(OR($B343="",$C343=""),"",$C343*IFERROR(INDEX(PecCusto,MATCH($B343,PecCod,0)),0))</f>
        <v>0</v>
      </c>
      <c r="I343" s="32">
        <f>IF($A343="","",IFERROR(INDEX(OSStatus,MATCH($A343,OSNum,0)),"OS inexistente"))</f>
        <v>0</v>
      </c>
      <c r="J343" s="32">
        <f>IF($A343="","",IF($I343="OS inexistente","OS inexistente",IF($E343="Peça não cadastrada","Peça não cadastrada","OK")))</f>
        <v>0</v>
      </c>
    </row>
    <row r="344" spans="1:10">
      <c r="A344" s="17"/>
      <c r="B344" s="13"/>
      <c r="C344" s="20"/>
      <c r="D344" s="19"/>
      <c r="E344" s="26">
        <f>IF($B344="","",IFERROR(INDEX(PecDesc,MATCH($B344,PecCod,0)),"Peça não cadastrada"))</f>
        <v>0</v>
      </c>
      <c r="F344" s="27">
        <f>IF($B344="","",IF($D344&lt;&gt;"",$D344,IFERROR(INDEX(PecPreco,MATCH($B344,PecCod,0)),0)))</f>
        <v>0</v>
      </c>
      <c r="G344" s="27">
        <f>IF(OR($B344="",$C344=""),"",$C344*$F344)</f>
        <v>0</v>
      </c>
      <c r="H344" s="27">
        <f>IF(OR($B344="",$C344=""),"",$C344*IFERROR(INDEX(PecCusto,MATCH($B344,PecCod,0)),0))</f>
        <v>0</v>
      </c>
      <c r="I344" s="32">
        <f>IF($A344="","",IFERROR(INDEX(OSStatus,MATCH($A344,OSNum,0)),"OS inexistente"))</f>
        <v>0</v>
      </c>
      <c r="J344" s="32">
        <f>IF($A344="","",IF($I344="OS inexistente","OS inexistente",IF($E344="Peça não cadastrada","Peça não cadastrada","OK")))</f>
        <v>0</v>
      </c>
    </row>
    <row r="345" spans="1:10">
      <c r="A345" s="17"/>
      <c r="B345" s="13"/>
      <c r="C345" s="20"/>
      <c r="D345" s="19"/>
      <c r="E345" s="26">
        <f>IF($B345="","",IFERROR(INDEX(PecDesc,MATCH($B345,PecCod,0)),"Peça não cadastrada"))</f>
        <v>0</v>
      </c>
      <c r="F345" s="27">
        <f>IF($B345="","",IF($D345&lt;&gt;"",$D345,IFERROR(INDEX(PecPreco,MATCH($B345,PecCod,0)),0)))</f>
        <v>0</v>
      </c>
      <c r="G345" s="27">
        <f>IF(OR($B345="",$C345=""),"",$C345*$F345)</f>
        <v>0</v>
      </c>
      <c r="H345" s="27">
        <f>IF(OR($B345="",$C345=""),"",$C345*IFERROR(INDEX(PecCusto,MATCH($B345,PecCod,0)),0))</f>
        <v>0</v>
      </c>
      <c r="I345" s="32">
        <f>IF($A345="","",IFERROR(INDEX(OSStatus,MATCH($A345,OSNum,0)),"OS inexistente"))</f>
        <v>0</v>
      </c>
      <c r="J345" s="32">
        <f>IF($A345="","",IF($I345="OS inexistente","OS inexistente",IF($E345="Peça não cadastrada","Peça não cadastrada","OK")))</f>
        <v>0</v>
      </c>
    </row>
    <row r="346" spans="1:10">
      <c r="A346" s="17"/>
      <c r="B346" s="13"/>
      <c r="C346" s="20"/>
      <c r="D346" s="19"/>
      <c r="E346" s="26">
        <f>IF($B346="","",IFERROR(INDEX(PecDesc,MATCH($B346,PecCod,0)),"Peça não cadastrada"))</f>
        <v>0</v>
      </c>
      <c r="F346" s="27">
        <f>IF($B346="","",IF($D346&lt;&gt;"",$D346,IFERROR(INDEX(PecPreco,MATCH($B346,PecCod,0)),0)))</f>
        <v>0</v>
      </c>
      <c r="G346" s="27">
        <f>IF(OR($B346="",$C346=""),"",$C346*$F346)</f>
        <v>0</v>
      </c>
      <c r="H346" s="27">
        <f>IF(OR($B346="",$C346=""),"",$C346*IFERROR(INDEX(PecCusto,MATCH($B346,PecCod,0)),0))</f>
        <v>0</v>
      </c>
      <c r="I346" s="32">
        <f>IF($A346="","",IFERROR(INDEX(OSStatus,MATCH($A346,OSNum,0)),"OS inexistente"))</f>
        <v>0</v>
      </c>
      <c r="J346" s="32">
        <f>IF($A346="","",IF($I346="OS inexistente","OS inexistente",IF($E346="Peça não cadastrada","Peça não cadastrada","OK")))</f>
        <v>0</v>
      </c>
    </row>
    <row r="347" spans="1:10">
      <c r="A347" s="17"/>
      <c r="B347" s="13"/>
      <c r="C347" s="20"/>
      <c r="D347" s="19"/>
      <c r="E347" s="26">
        <f>IF($B347="","",IFERROR(INDEX(PecDesc,MATCH($B347,PecCod,0)),"Peça não cadastrada"))</f>
        <v>0</v>
      </c>
      <c r="F347" s="27">
        <f>IF($B347="","",IF($D347&lt;&gt;"",$D347,IFERROR(INDEX(PecPreco,MATCH($B347,PecCod,0)),0)))</f>
        <v>0</v>
      </c>
      <c r="G347" s="27">
        <f>IF(OR($B347="",$C347=""),"",$C347*$F347)</f>
        <v>0</v>
      </c>
      <c r="H347" s="27">
        <f>IF(OR($B347="",$C347=""),"",$C347*IFERROR(INDEX(PecCusto,MATCH($B347,PecCod,0)),0))</f>
        <v>0</v>
      </c>
      <c r="I347" s="32">
        <f>IF($A347="","",IFERROR(INDEX(OSStatus,MATCH($A347,OSNum,0)),"OS inexistente"))</f>
        <v>0</v>
      </c>
      <c r="J347" s="32">
        <f>IF($A347="","",IF($I347="OS inexistente","OS inexistente",IF($E347="Peça não cadastrada","Peça não cadastrada","OK")))</f>
        <v>0</v>
      </c>
    </row>
    <row r="348" spans="1:10">
      <c r="A348" s="17"/>
      <c r="B348" s="13"/>
      <c r="C348" s="20"/>
      <c r="D348" s="19"/>
      <c r="E348" s="26">
        <f>IF($B348="","",IFERROR(INDEX(PecDesc,MATCH($B348,PecCod,0)),"Peça não cadastrada"))</f>
        <v>0</v>
      </c>
      <c r="F348" s="27">
        <f>IF($B348="","",IF($D348&lt;&gt;"",$D348,IFERROR(INDEX(PecPreco,MATCH($B348,PecCod,0)),0)))</f>
        <v>0</v>
      </c>
      <c r="G348" s="27">
        <f>IF(OR($B348="",$C348=""),"",$C348*$F348)</f>
        <v>0</v>
      </c>
      <c r="H348" s="27">
        <f>IF(OR($B348="",$C348=""),"",$C348*IFERROR(INDEX(PecCusto,MATCH($B348,PecCod,0)),0))</f>
        <v>0</v>
      </c>
      <c r="I348" s="32">
        <f>IF($A348="","",IFERROR(INDEX(OSStatus,MATCH($A348,OSNum,0)),"OS inexistente"))</f>
        <v>0</v>
      </c>
      <c r="J348" s="32">
        <f>IF($A348="","",IF($I348="OS inexistente","OS inexistente",IF($E348="Peça não cadastrada","Peça não cadastrada","OK")))</f>
        <v>0</v>
      </c>
    </row>
    <row r="349" spans="1:10">
      <c r="A349" s="17"/>
      <c r="B349" s="13"/>
      <c r="C349" s="20"/>
      <c r="D349" s="19"/>
      <c r="E349" s="26">
        <f>IF($B349="","",IFERROR(INDEX(PecDesc,MATCH($B349,PecCod,0)),"Peça não cadastrada"))</f>
        <v>0</v>
      </c>
      <c r="F349" s="27">
        <f>IF($B349="","",IF($D349&lt;&gt;"",$D349,IFERROR(INDEX(PecPreco,MATCH($B349,PecCod,0)),0)))</f>
        <v>0</v>
      </c>
      <c r="G349" s="27">
        <f>IF(OR($B349="",$C349=""),"",$C349*$F349)</f>
        <v>0</v>
      </c>
      <c r="H349" s="27">
        <f>IF(OR($B349="",$C349=""),"",$C349*IFERROR(INDEX(PecCusto,MATCH($B349,PecCod,0)),0))</f>
        <v>0</v>
      </c>
      <c r="I349" s="32">
        <f>IF($A349="","",IFERROR(INDEX(OSStatus,MATCH($A349,OSNum,0)),"OS inexistente"))</f>
        <v>0</v>
      </c>
      <c r="J349" s="32">
        <f>IF($A349="","",IF($I349="OS inexistente","OS inexistente",IF($E349="Peça não cadastrada","Peça não cadastrada","OK")))</f>
        <v>0</v>
      </c>
    </row>
    <row r="350" spans="1:10">
      <c r="A350" s="17"/>
      <c r="B350" s="13"/>
      <c r="C350" s="20"/>
      <c r="D350" s="19"/>
      <c r="E350" s="26">
        <f>IF($B350="","",IFERROR(INDEX(PecDesc,MATCH($B350,PecCod,0)),"Peça não cadastrada"))</f>
        <v>0</v>
      </c>
      <c r="F350" s="27">
        <f>IF($B350="","",IF($D350&lt;&gt;"",$D350,IFERROR(INDEX(PecPreco,MATCH($B350,PecCod,0)),0)))</f>
        <v>0</v>
      </c>
      <c r="G350" s="27">
        <f>IF(OR($B350="",$C350=""),"",$C350*$F350)</f>
        <v>0</v>
      </c>
      <c r="H350" s="27">
        <f>IF(OR($B350="",$C350=""),"",$C350*IFERROR(INDEX(PecCusto,MATCH($B350,PecCod,0)),0))</f>
        <v>0</v>
      </c>
      <c r="I350" s="32">
        <f>IF($A350="","",IFERROR(INDEX(OSStatus,MATCH($A350,OSNum,0)),"OS inexistente"))</f>
        <v>0</v>
      </c>
      <c r="J350" s="32">
        <f>IF($A350="","",IF($I350="OS inexistente","OS inexistente",IF($E350="Peça não cadastrada","Peça não cadastrada","OK")))</f>
        <v>0</v>
      </c>
    </row>
    <row r="351" spans="1:10">
      <c r="A351" s="17"/>
      <c r="B351" s="13"/>
      <c r="C351" s="20"/>
      <c r="D351" s="19"/>
      <c r="E351" s="26">
        <f>IF($B351="","",IFERROR(INDEX(PecDesc,MATCH($B351,PecCod,0)),"Peça não cadastrada"))</f>
        <v>0</v>
      </c>
      <c r="F351" s="27">
        <f>IF($B351="","",IF($D351&lt;&gt;"",$D351,IFERROR(INDEX(PecPreco,MATCH($B351,PecCod,0)),0)))</f>
        <v>0</v>
      </c>
      <c r="G351" s="27">
        <f>IF(OR($B351="",$C351=""),"",$C351*$F351)</f>
        <v>0</v>
      </c>
      <c r="H351" s="27">
        <f>IF(OR($B351="",$C351=""),"",$C351*IFERROR(INDEX(PecCusto,MATCH($B351,PecCod,0)),0))</f>
        <v>0</v>
      </c>
      <c r="I351" s="32">
        <f>IF($A351="","",IFERROR(INDEX(OSStatus,MATCH($A351,OSNum,0)),"OS inexistente"))</f>
        <v>0</v>
      </c>
      <c r="J351" s="32">
        <f>IF($A351="","",IF($I351="OS inexistente","OS inexistente",IF($E351="Peça não cadastrada","Peça não cadastrada","OK")))</f>
        <v>0</v>
      </c>
    </row>
    <row r="352" spans="1:10">
      <c r="A352" s="17"/>
      <c r="B352" s="13"/>
      <c r="C352" s="20"/>
      <c r="D352" s="19"/>
      <c r="E352" s="26">
        <f>IF($B352="","",IFERROR(INDEX(PecDesc,MATCH($B352,PecCod,0)),"Peça não cadastrada"))</f>
        <v>0</v>
      </c>
      <c r="F352" s="27">
        <f>IF($B352="","",IF($D352&lt;&gt;"",$D352,IFERROR(INDEX(PecPreco,MATCH($B352,PecCod,0)),0)))</f>
        <v>0</v>
      </c>
      <c r="G352" s="27">
        <f>IF(OR($B352="",$C352=""),"",$C352*$F352)</f>
        <v>0</v>
      </c>
      <c r="H352" s="27">
        <f>IF(OR($B352="",$C352=""),"",$C352*IFERROR(INDEX(PecCusto,MATCH($B352,PecCod,0)),0))</f>
        <v>0</v>
      </c>
      <c r="I352" s="32">
        <f>IF($A352="","",IFERROR(INDEX(OSStatus,MATCH($A352,OSNum,0)),"OS inexistente"))</f>
        <v>0</v>
      </c>
      <c r="J352" s="32">
        <f>IF($A352="","",IF($I352="OS inexistente","OS inexistente",IF($E352="Peça não cadastrada","Peça não cadastrada","OK")))</f>
        <v>0</v>
      </c>
    </row>
    <row r="353" spans="1:10">
      <c r="A353" s="17"/>
      <c r="B353" s="13"/>
      <c r="C353" s="20"/>
      <c r="D353" s="19"/>
      <c r="E353" s="26">
        <f>IF($B353="","",IFERROR(INDEX(PecDesc,MATCH($B353,PecCod,0)),"Peça não cadastrada"))</f>
        <v>0</v>
      </c>
      <c r="F353" s="27">
        <f>IF($B353="","",IF($D353&lt;&gt;"",$D353,IFERROR(INDEX(PecPreco,MATCH($B353,PecCod,0)),0)))</f>
        <v>0</v>
      </c>
      <c r="G353" s="27">
        <f>IF(OR($B353="",$C353=""),"",$C353*$F353)</f>
        <v>0</v>
      </c>
      <c r="H353" s="27">
        <f>IF(OR($B353="",$C353=""),"",$C353*IFERROR(INDEX(PecCusto,MATCH($B353,PecCod,0)),0))</f>
        <v>0</v>
      </c>
      <c r="I353" s="32">
        <f>IF($A353="","",IFERROR(INDEX(OSStatus,MATCH($A353,OSNum,0)),"OS inexistente"))</f>
        <v>0</v>
      </c>
      <c r="J353" s="32">
        <f>IF($A353="","",IF($I353="OS inexistente","OS inexistente",IF($E353="Peça não cadastrada","Peça não cadastrada","OK")))</f>
        <v>0</v>
      </c>
    </row>
    <row r="354" spans="1:10">
      <c r="A354" s="17"/>
      <c r="B354" s="13"/>
      <c r="C354" s="20"/>
      <c r="D354" s="19"/>
      <c r="E354" s="26">
        <f>IF($B354="","",IFERROR(INDEX(PecDesc,MATCH($B354,PecCod,0)),"Peça não cadastrada"))</f>
        <v>0</v>
      </c>
      <c r="F354" s="27">
        <f>IF($B354="","",IF($D354&lt;&gt;"",$D354,IFERROR(INDEX(PecPreco,MATCH($B354,PecCod,0)),0)))</f>
        <v>0</v>
      </c>
      <c r="G354" s="27">
        <f>IF(OR($B354="",$C354=""),"",$C354*$F354)</f>
        <v>0</v>
      </c>
      <c r="H354" s="27">
        <f>IF(OR($B354="",$C354=""),"",$C354*IFERROR(INDEX(PecCusto,MATCH($B354,PecCod,0)),0))</f>
        <v>0</v>
      </c>
      <c r="I354" s="32">
        <f>IF($A354="","",IFERROR(INDEX(OSStatus,MATCH($A354,OSNum,0)),"OS inexistente"))</f>
        <v>0</v>
      </c>
      <c r="J354" s="32">
        <f>IF($A354="","",IF($I354="OS inexistente","OS inexistente",IF($E354="Peça não cadastrada","Peça não cadastrada","OK")))</f>
        <v>0</v>
      </c>
    </row>
    <row r="355" spans="1:10">
      <c r="A355" s="17"/>
      <c r="B355" s="13"/>
      <c r="C355" s="20"/>
      <c r="D355" s="19"/>
      <c r="E355" s="26">
        <f>IF($B355="","",IFERROR(INDEX(PecDesc,MATCH($B355,PecCod,0)),"Peça não cadastrada"))</f>
        <v>0</v>
      </c>
      <c r="F355" s="27">
        <f>IF($B355="","",IF($D355&lt;&gt;"",$D355,IFERROR(INDEX(PecPreco,MATCH($B355,PecCod,0)),0)))</f>
        <v>0</v>
      </c>
      <c r="G355" s="27">
        <f>IF(OR($B355="",$C355=""),"",$C355*$F355)</f>
        <v>0</v>
      </c>
      <c r="H355" s="27">
        <f>IF(OR($B355="",$C355=""),"",$C355*IFERROR(INDEX(PecCusto,MATCH($B355,PecCod,0)),0))</f>
        <v>0</v>
      </c>
      <c r="I355" s="32">
        <f>IF($A355="","",IFERROR(INDEX(OSStatus,MATCH($A355,OSNum,0)),"OS inexistente"))</f>
        <v>0</v>
      </c>
      <c r="J355" s="32">
        <f>IF($A355="","",IF($I355="OS inexistente","OS inexistente",IF($E355="Peça não cadastrada","Peça não cadastrada","OK")))</f>
        <v>0</v>
      </c>
    </row>
    <row r="356" spans="1:10">
      <c r="A356" s="17"/>
      <c r="B356" s="13"/>
      <c r="C356" s="20"/>
      <c r="D356" s="19"/>
      <c r="E356" s="26">
        <f>IF($B356="","",IFERROR(INDEX(PecDesc,MATCH($B356,PecCod,0)),"Peça não cadastrada"))</f>
        <v>0</v>
      </c>
      <c r="F356" s="27">
        <f>IF($B356="","",IF($D356&lt;&gt;"",$D356,IFERROR(INDEX(PecPreco,MATCH($B356,PecCod,0)),0)))</f>
        <v>0</v>
      </c>
      <c r="G356" s="27">
        <f>IF(OR($B356="",$C356=""),"",$C356*$F356)</f>
        <v>0</v>
      </c>
      <c r="H356" s="27">
        <f>IF(OR($B356="",$C356=""),"",$C356*IFERROR(INDEX(PecCusto,MATCH($B356,PecCod,0)),0))</f>
        <v>0</v>
      </c>
      <c r="I356" s="32">
        <f>IF($A356="","",IFERROR(INDEX(OSStatus,MATCH($A356,OSNum,0)),"OS inexistente"))</f>
        <v>0</v>
      </c>
      <c r="J356" s="32">
        <f>IF($A356="","",IF($I356="OS inexistente","OS inexistente",IF($E356="Peça não cadastrada","Peça não cadastrada","OK")))</f>
        <v>0</v>
      </c>
    </row>
    <row r="357" spans="1:10">
      <c r="A357" s="17"/>
      <c r="B357" s="13"/>
      <c r="C357" s="20"/>
      <c r="D357" s="19"/>
      <c r="E357" s="26">
        <f>IF($B357="","",IFERROR(INDEX(PecDesc,MATCH($B357,PecCod,0)),"Peça não cadastrada"))</f>
        <v>0</v>
      </c>
      <c r="F357" s="27">
        <f>IF($B357="","",IF($D357&lt;&gt;"",$D357,IFERROR(INDEX(PecPreco,MATCH($B357,PecCod,0)),0)))</f>
        <v>0</v>
      </c>
      <c r="G357" s="27">
        <f>IF(OR($B357="",$C357=""),"",$C357*$F357)</f>
        <v>0</v>
      </c>
      <c r="H357" s="27">
        <f>IF(OR($B357="",$C357=""),"",$C357*IFERROR(INDEX(PecCusto,MATCH($B357,PecCod,0)),0))</f>
        <v>0</v>
      </c>
      <c r="I357" s="32">
        <f>IF($A357="","",IFERROR(INDEX(OSStatus,MATCH($A357,OSNum,0)),"OS inexistente"))</f>
        <v>0</v>
      </c>
      <c r="J357" s="32">
        <f>IF($A357="","",IF($I357="OS inexistente","OS inexistente",IF($E357="Peça não cadastrada","Peça não cadastrada","OK")))</f>
        <v>0</v>
      </c>
    </row>
    <row r="358" spans="1:10">
      <c r="A358" s="17"/>
      <c r="B358" s="13"/>
      <c r="C358" s="20"/>
      <c r="D358" s="19"/>
      <c r="E358" s="26">
        <f>IF($B358="","",IFERROR(INDEX(PecDesc,MATCH($B358,PecCod,0)),"Peça não cadastrada"))</f>
        <v>0</v>
      </c>
      <c r="F358" s="27">
        <f>IF($B358="","",IF($D358&lt;&gt;"",$D358,IFERROR(INDEX(PecPreco,MATCH($B358,PecCod,0)),0)))</f>
        <v>0</v>
      </c>
      <c r="G358" s="27">
        <f>IF(OR($B358="",$C358=""),"",$C358*$F358)</f>
        <v>0</v>
      </c>
      <c r="H358" s="27">
        <f>IF(OR($B358="",$C358=""),"",$C358*IFERROR(INDEX(PecCusto,MATCH($B358,PecCod,0)),0))</f>
        <v>0</v>
      </c>
      <c r="I358" s="32">
        <f>IF($A358="","",IFERROR(INDEX(OSStatus,MATCH($A358,OSNum,0)),"OS inexistente"))</f>
        <v>0</v>
      </c>
      <c r="J358" s="32">
        <f>IF($A358="","",IF($I358="OS inexistente","OS inexistente",IF($E358="Peça não cadastrada","Peça não cadastrada","OK")))</f>
        <v>0</v>
      </c>
    </row>
    <row r="359" spans="1:10">
      <c r="A359" s="17"/>
      <c r="B359" s="13"/>
      <c r="C359" s="20"/>
      <c r="D359" s="19"/>
      <c r="E359" s="26">
        <f>IF($B359="","",IFERROR(INDEX(PecDesc,MATCH($B359,PecCod,0)),"Peça não cadastrada"))</f>
        <v>0</v>
      </c>
      <c r="F359" s="27">
        <f>IF($B359="","",IF($D359&lt;&gt;"",$D359,IFERROR(INDEX(PecPreco,MATCH($B359,PecCod,0)),0)))</f>
        <v>0</v>
      </c>
      <c r="G359" s="27">
        <f>IF(OR($B359="",$C359=""),"",$C359*$F359)</f>
        <v>0</v>
      </c>
      <c r="H359" s="27">
        <f>IF(OR($B359="",$C359=""),"",$C359*IFERROR(INDEX(PecCusto,MATCH($B359,PecCod,0)),0))</f>
        <v>0</v>
      </c>
      <c r="I359" s="32">
        <f>IF($A359="","",IFERROR(INDEX(OSStatus,MATCH($A359,OSNum,0)),"OS inexistente"))</f>
        <v>0</v>
      </c>
      <c r="J359" s="32">
        <f>IF($A359="","",IF($I359="OS inexistente","OS inexistente",IF($E359="Peça não cadastrada","Peça não cadastrada","OK")))</f>
        <v>0</v>
      </c>
    </row>
    <row r="360" spans="1:10">
      <c r="A360" s="17"/>
      <c r="B360" s="13"/>
      <c r="C360" s="20"/>
      <c r="D360" s="19"/>
      <c r="E360" s="26">
        <f>IF($B360="","",IFERROR(INDEX(PecDesc,MATCH($B360,PecCod,0)),"Peça não cadastrada"))</f>
        <v>0</v>
      </c>
      <c r="F360" s="27">
        <f>IF($B360="","",IF($D360&lt;&gt;"",$D360,IFERROR(INDEX(PecPreco,MATCH($B360,PecCod,0)),0)))</f>
        <v>0</v>
      </c>
      <c r="G360" s="27">
        <f>IF(OR($B360="",$C360=""),"",$C360*$F360)</f>
        <v>0</v>
      </c>
      <c r="H360" s="27">
        <f>IF(OR($B360="",$C360=""),"",$C360*IFERROR(INDEX(PecCusto,MATCH($B360,PecCod,0)),0))</f>
        <v>0</v>
      </c>
      <c r="I360" s="32">
        <f>IF($A360="","",IFERROR(INDEX(OSStatus,MATCH($A360,OSNum,0)),"OS inexistente"))</f>
        <v>0</v>
      </c>
      <c r="J360" s="32">
        <f>IF($A360="","",IF($I360="OS inexistente","OS inexistente",IF($E360="Peça não cadastrada","Peça não cadastrada","OK")))</f>
        <v>0</v>
      </c>
    </row>
    <row r="361" spans="1:10">
      <c r="A361" s="17"/>
      <c r="B361" s="13"/>
      <c r="C361" s="20"/>
      <c r="D361" s="19"/>
      <c r="E361" s="26">
        <f>IF($B361="","",IFERROR(INDEX(PecDesc,MATCH($B361,PecCod,0)),"Peça não cadastrada"))</f>
        <v>0</v>
      </c>
      <c r="F361" s="27">
        <f>IF($B361="","",IF($D361&lt;&gt;"",$D361,IFERROR(INDEX(PecPreco,MATCH($B361,PecCod,0)),0)))</f>
        <v>0</v>
      </c>
      <c r="G361" s="27">
        <f>IF(OR($B361="",$C361=""),"",$C361*$F361)</f>
        <v>0</v>
      </c>
      <c r="H361" s="27">
        <f>IF(OR($B361="",$C361=""),"",$C361*IFERROR(INDEX(PecCusto,MATCH($B361,PecCod,0)),0))</f>
        <v>0</v>
      </c>
      <c r="I361" s="32">
        <f>IF($A361="","",IFERROR(INDEX(OSStatus,MATCH($A361,OSNum,0)),"OS inexistente"))</f>
        <v>0</v>
      </c>
      <c r="J361" s="32">
        <f>IF($A361="","",IF($I361="OS inexistente","OS inexistente",IF($E361="Peça não cadastrada","Peça não cadastrada","OK")))</f>
        <v>0</v>
      </c>
    </row>
    <row r="362" spans="1:10">
      <c r="A362" s="17"/>
      <c r="B362" s="13"/>
      <c r="C362" s="20"/>
      <c r="D362" s="19"/>
      <c r="E362" s="26">
        <f>IF($B362="","",IFERROR(INDEX(PecDesc,MATCH($B362,PecCod,0)),"Peça não cadastrada"))</f>
        <v>0</v>
      </c>
      <c r="F362" s="27">
        <f>IF($B362="","",IF($D362&lt;&gt;"",$D362,IFERROR(INDEX(PecPreco,MATCH($B362,PecCod,0)),0)))</f>
        <v>0</v>
      </c>
      <c r="G362" s="27">
        <f>IF(OR($B362="",$C362=""),"",$C362*$F362)</f>
        <v>0</v>
      </c>
      <c r="H362" s="27">
        <f>IF(OR($B362="",$C362=""),"",$C362*IFERROR(INDEX(PecCusto,MATCH($B362,PecCod,0)),0))</f>
        <v>0</v>
      </c>
      <c r="I362" s="32">
        <f>IF($A362="","",IFERROR(INDEX(OSStatus,MATCH($A362,OSNum,0)),"OS inexistente"))</f>
        <v>0</v>
      </c>
      <c r="J362" s="32">
        <f>IF($A362="","",IF($I362="OS inexistente","OS inexistente",IF($E362="Peça não cadastrada","Peça não cadastrada","OK")))</f>
        <v>0</v>
      </c>
    </row>
    <row r="363" spans="1:10">
      <c r="A363" s="17"/>
      <c r="B363" s="13"/>
      <c r="C363" s="20"/>
      <c r="D363" s="19"/>
      <c r="E363" s="26">
        <f>IF($B363="","",IFERROR(INDEX(PecDesc,MATCH($B363,PecCod,0)),"Peça não cadastrada"))</f>
        <v>0</v>
      </c>
      <c r="F363" s="27">
        <f>IF($B363="","",IF($D363&lt;&gt;"",$D363,IFERROR(INDEX(PecPreco,MATCH($B363,PecCod,0)),0)))</f>
        <v>0</v>
      </c>
      <c r="G363" s="27">
        <f>IF(OR($B363="",$C363=""),"",$C363*$F363)</f>
        <v>0</v>
      </c>
      <c r="H363" s="27">
        <f>IF(OR($B363="",$C363=""),"",$C363*IFERROR(INDEX(PecCusto,MATCH($B363,PecCod,0)),0))</f>
        <v>0</v>
      </c>
      <c r="I363" s="32">
        <f>IF($A363="","",IFERROR(INDEX(OSStatus,MATCH($A363,OSNum,0)),"OS inexistente"))</f>
        <v>0</v>
      </c>
      <c r="J363" s="32">
        <f>IF($A363="","",IF($I363="OS inexistente","OS inexistente",IF($E363="Peça não cadastrada","Peça não cadastrada","OK")))</f>
        <v>0</v>
      </c>
    </row>
    <row r="364" spans="1:10">
      <c r="A364" s="17"/>
      <c r="B364" s="13"/>
      <c r="C364" s="20"/>
      <c r="D364" s="19"/>
      <c r="E364" s="26">
        <f>IF($B364="","",IFERROR(INDEX(PecDesc,MATCH($B364,PecCod,0)),"Peça não cadastrada"))</f>
        <v>0</v>
      </c>
      <c r="F364" s="27">
        <f>IF($B364="","",IF($D364&lt;&gt;"",$D364,IFERROR(INDEX(PecPreco,MATCH($B364,PecCod,0)),0)))</f>
        <v>0</v>
      </c>
      <c r="G364" s="27">
        <f>IF(OR($B364="",$C364=""),"",$C364*$F364)</f>
        <v>0</v>
      </c>
      <c r="H364" s="27">
        <f>IF(OR($B364="",$C364=""),"",$C364*IFERROR(INDEX(PecCusto,MATCH($B364,PecCod,0)),0))</f>
        <v>0</v>
      </c>
      <c r="I364" s="32">
        <f>IF($A364="","",IFERROR(INDEX(OSStatus,MATCH($A364,OSNum,0)),"OS inexistente"))</f>
        <v>0</v>
      </c>
      <c r="J364" s="32">
        <f>IF($A364="","",IF($I364="OS inexistente","OS inexistente",IF($E364="Peça não cadastrada","Peça não cadastrada","OK")))</f>
        <v>0</v>
      </c>
    </row>
    <row r="365" spans="1:10">
      <c r="A365" s="17"/>
      <c r="B365" s="13"/>
      <c r="C365" s="20"/>
      <c r="D365" s="19"/>
      <c r="E365" s="26">
        <f>IF($B365="","",IFERROR(INDEX(PecDesc,MATCH($B365,PecCod,0)),"Peça não cadastrada"))</f>
        <v>0</v>
      </c>
      <c r="F365" s="27">
        <f>IF($B365="","",IF($D365&lt;&gt;"",$D365,IFERROR(INDEX(PecPreco,MATCH($B365,PecCod,0)),0)))</f>
        <v>0</v>
      </c>
      <c r="G365" s="27">
        <f>IF(OR($B365="",$C365=""),"",$C365*$F365)</f>
        <v>0</v>
      </c>
      <c r="H365" s="27">
        <f>IF(OR($B365="",$C365=""),"",$C365*IFERROR(INDEX(PecCusto,MATCH($B365,PecCod,0)),0))</f>
        <v>0</v>
      </c>
      <c r="I365" s="32">
        <f>IF($A365="","",IFERROR(INDEX(OSStatus,MATCH($A365,OSNum,0)),"OS inexistente"))</f>
        <v>0</v>
      </c>
      <c r="J365" s="32">
        <f>IF($A365="","",IF($I365="OS inexistente","OS inexistente",IF($E365="Peça não cadastrada","Peça não cadastrada","OK")))</f>
        <v>0</v>
      </c>
    </row>
    <row r="366" spans="1:10">
      <c r="A366" s="17"/>
      <c r="B366" s="13"/>
      <c r="C366" s="20"/>
      <c r="D366" s="19"/>
      <c r="E366" s="26">
        <f>IF($B366="","",IFERROR(INDEX(PecDesc,MATCH($B366,PecCod,0)),"Peça não cadastrada"))</f>
        <v>0</v>
      </c>
      <c r="F366" s="27">
        <f>IF($B366="","",IF($D366&lt;&gt;"",$D366,IFERROR(INDEX(PecPreco,MATCH($B366,PecCod,0)),0)))</f>
        <v>0</v>
      </c>
      <c r="G366" s="27">
        <f>IF(OR($B366="",$C366=""),"",$C366*$F366)</f>
        <v>0</v>
      </c>
      <c r="H366" s="27">
        <f>IF(OR($B366="",$C366=""),"",$C366*IFERROR(INDEX(PecCusto,MATCH($B366,PecCod,0)),0))</f>
        <v>0</v>
      </c>
      <c r="I366" s="32">
        <f>IF($A366="","",IFERROR(INDEX(OSStatus,MATCH($A366,OSNum,0)),"OS inexistente"))</f>
        <v>0</v>
      </c>
      <c r="J366" s="32">
        <f>IF($A366="","",IF($I366="OS inexistente","OS inexistente",IF($E366="Peça não cadastrada","Peça não cadastrada","OK")))</f>
        <v>0</v>
      </c>
    </row>
    <row r="367" spans="1:10">
      <c r="A367" s="17"/>
      <c r="B367" s="13"/>
      <c r="C367" s="20"/>
      <c r="D367" s="19"/>
      <c r="E367" s="26">
        <f>IF($B367="","",IFERROR(INDEX(PecDesc,MATCH($B367,PecCod,0)),"Peça não cadastrada"))</f>
        <v>0</v>
      </c>
      <c r="F367" s="27">
        <f>IF($B367="","",IF($D367&lt;&gt;"",$D367,IFERROR(INDEX(PecPreco,MATCH($B367,PecCod,0)),0)))</f>
        <v>0</v>
      </c>
      <c r="G367" s="27">
        <f>IF(OR($B367="",$C367=""),"",$C367*$F367)</f>
        <v>0</v>
      </c>
      <c r="H367" s="27">
        <f>IF(OR($B367="",$C367=""),"",$C367*IFERROR(INDEX(PecCusto,MATCH($B367,PecCod,0)),0))</f>
        <v>0</v>
      </c>
      <c r="I367" s="32">
        <f>IF($A367="","",IFERROR(INDEX(OSStatus,MATCH($A367,OSNum,0)),"OS inexistente"))</f>
        <v>0</v>
      </c>
      <c r="J367" s="32">
        <f>IF($A367="","",IF($I367="OS inexistente","OS inexistente",IF($E367="Peça não cadastrada","Peça não cadastrada","OK")))</f>
        <v>0</v>
      </c>
    </row>
    <row r="368" spans="1:10">
      <c r="A368" s="17"/>
      <c r="B368" s="13"/>
      <c r="C368" s="20"/>
      <c r="D368" s="19"/>
      <c r="E368" s="26">
        <f>IF($B368="","",IFERROR(INDEX(PecDesc,MATCH($B368,PecCod,0)),"Peça não cadastrada"))</f>
        <v>0</v>
      </c>
      <c r="F368" s="27">
        <f>IF($B368="","",IF($D368&lt;&gt;"",$D368,IFERROR(INDEX(PecPreco,MATCH($B368,PecCod,0)),0)))</f>
        <v>0</v>
      </c>
      <c r="G368" s="27">
        <f>IF(OR($B368="",$C368=""),"",$C368*$F368)</f>
        <v>0</v>
      </c>
      <c r="H368" s="27">
        <f>IF(OR($B368="",$C368=""),"",$C368*IFERROR(INDEX(PecCusto,MATCH($B368,PecCod,0)),0))</f>
        <v>0</v>
      </c>
      <c r="I368" s="32">
        <f>IF($A368="","",IFERROR(INDEX(OSStatus,MATCH($A368,OSNum,0)),"OS inexistente"))</f>
        <v>0</v>
      </c>
      <c r="J368" s="32">
        <f>IF($A368="","",IF($I368="OS inexistente","OS inexistente",IF($E368="Peça não cadastrada","Peça não cadastrada","OK")))</f>
        <v>0</v>
      </c>
    </row>
    <row r="369" spans="1:10">
      <c r="A369" s="17"/>
      <c r="B369" s="13"/>
      <c r="C369" s="20"/>
      <c r="D369" s="19"/>
      <c r="E369" s="26">
        <f>IF($B369="","",IFERROR(INDEX(PecDesc,MATCH($B369,PecCod,0)),"Peça não cadastrada"))</f>
        <v>0</v>
      </c>
      <c r="F369" s="27">
        <f>IF($B369="","",IF($D369&lt;&gt;"",$D369,IFERROR(INDEX(PecPreco,MATCH($B369,PecCod,0)),0)))</f>
        <v>0</v>
      </c>
      <c r="G369" s="27">
        <f>IF(OR($B369="",$C369=""),"",$C369*$F369)</f>
        <v>0</v>
      </c>
      <c r="H369" s="27">
        <f>IF(OR($B369="",$C369=""),"",$C369*IFERROR(INDEX(PecCusto,MATCH($B369,PecCod,0)),0))</f>
        <v>0</v>
      </c>
      <c r="I369" s="32">
        <f>IF($A369="","",IFERROR(INDEX(OSStatus,MATCH($A369,OSNum,0)),"OS inexistente"))</f>
        <v>0</v>
      </c>
      <c r="J369" s="32">
        <f>IF($A369="","",IF($I369="OS inexistente","OS inexistente",IF($E369="Peça não cadastrada","Peça não cadastrada","OK")))</f>
        <v>0</v>
      </c>
    </row>
    <row r="370" spans="1:10">
      <c r="A370" s="17"/>
      <c r="B370" s="13"/>
      <c r="C370" s="20"/>
      <c r="D370" s="19"/>
      <c r="E370" s="26">
        <f>IF($B370="","",IFERROR(INDEX(PecDesc,MATCH($B370,PecCod,0)),"Peça não cadastrada"))</f>
        <v>0</v>
      </c>
      <c r="F370" s="27">
        <f>IF($B370="","",IF($D370&lt;&gt;"",$D370,IFERROR(INDEX(PecPreco,MATCH($B370,PecCod,0)),0)))</f>
        <v>0</v>
      </c>
      <c r="G370" s="27">
        <f>IF(OR($B370="",$C370=""),"",$C370*$F370)</f>
        <v>0</v>
      </c>
      <c r="H370" s="27">
        <f>IF(OR($B370="",$C370=""),"",$C370*IFERROR(INDEX(PecCusto,MATCH($B370,PecCod,0)),0))</f>
        <v>0</v>
      </c>
      <c r="I370" s="32">
        <f>IF($A370="","",IFERROR(INDEX(OSStatus,MATCH($A370,OSNum,0)),"OS inexistente"))</f>
        <v>0</v>
      </c>
      <c r="J370" s="32">
        <f>IF($A370="","",IF($I370="OS inexistente","OS inexistente",IF($E370="Peça não cadastrada","Peça não cadastrada","OK")))</f>
        <v>0</v>
      </c>
    </row>
    <row r="371" spans="1:10">
      <c r="A371" s="17"/>
      <c r="B371" s="13"/>
      <c r="C371" s="20"/>
      <c r="D371" s="19"/>
      <c r="E371" s="26">
        <f>IF($B371="","",IFERROR(INDEX(PecDesc,MATCH($B371,PecCod,0)),"Peça não cadastrada"))</f>
        <v>0</v>
      </c>
      <c r="F371" s="27">
        <f>IF($B371="","",IF($D371&lt;&gt;"",$D371,IFERROR(INDEX(PecPreco,MATCH($B371,PecCod,0)),0)))</f>
        <v>0</v>
      </c>
      <c r="G371" s="27">
        <f>IF(OR($B371="",$C371=""),"",$C371*$F371)</f>
        <v>0</v>
      </c>
      <c r="H371" s="27">
        <f>IF(OR($B371="",$C371=""),"",$C371*IFERROR(INDEX(PecCusto,MATCH($B371,PecCod,0)),0))</f>
        <v>0</v>
      </c>
      <c r="I371" s="32">
        <f>IF($A371="","",IFERROR(INDEX(OSStatus,MATCH($A371,OSNum,0)),"OS inexistente"))</f>
        <v>0</v>
      </c>
      <c r="J371" s="32">
        <f>IF($A371="","",IF($I371="OS inexistente","OS inexistente",IF($E371="Peça não cadastrada","Peça não cadastrada","OK")))</f>
        <v>0</v>
      </c>
    </row>
    <row r="372" spans="1:10">
      <c r="A372" s="17"/>
      <c r="B372" s="13"/>
      <c r="C372" s="20"/>
      <c r="D372" s="19"/>
      <c r="E372" s="26">
        <f>IF($B372="","",IFERROR(INDEX(PecDesc,MATCH($B372,PecCod,0)),"Peça não cadastrada"))</f>
        <v>0</v>
      </c>
      <c r="F372" s="27">
        <f>IF($B372="","",IF($D372&lt;&gt;"",$D372,IFERROR(INDEX(PecPreco,MATCH($B372,PecCod,0)),0)))</f>
        <v>0</v>
      </c>
      <c r="G372" s="27">
        <f>IF(OR($B372="",$C372=""),"",$C372*$F372)</f>
        <v>0</v>
      </c>
      <c r="H372" s="27">
        <f>IF(OR($B372="",$C372=""),"",$C372*IFERROR(INDEX(PecCusto,MATCH($B372,PecCod,0)),0))</f>
        <v>0</v>
      </c>
      <c r="I372" s="32">
        <f>IF($A372="","",IFERROR(INDEX(OSStatus,MATCH($A372,OSNum,0)),"OS inexistente"))</f>
        <v>0</v>
      </c>
      <c r="J372" s="32">
        <f>IF($A372="","",IF($I372="OS inexistente","OS inexistente",IF($E372="Peça não cadastrada","Peça não cadastrada","OK")))</f>
        <v>0</v>
      </c>
    </row>
    <row r="373" spans="1:10">
      <c r="A373" s="17"/>
      <c r="B373" s="13"/>
      <c r="C373" s="20"/>
      <c r="D373" s="19"/>
      <c r="E373" s="26">
        <f>IF($B373="","",IFERROR(INDEX(PecDesc,MATCH($B373,PecCod,0)),"Peça não cadastrada"))</f>
        <v>0</v>
      </c>
      <c r="F373" s="27">
        <f>IF($B373="","",IF($D373&lt;&gt;"",$D373,IFERROR(INDEX(PecPreco,MATCH($B373,PecCod,0)),0)))</f>
        <v>0</v>
      </c>
      <c r="G373" s="27">
        <f>IF(OR($B373="",$C373=""),"",$C373*$F373)</f>
        <v>0</v>
      </c>
      <c r="H373" s="27">
        <f>IF(OR($B373="",$C373=""),"",$C373*IFERROR(INDEX(PecCusto,MATCH($B373,PecCod,0)),0))</f>
        <v>0</v>
      </c>
      <c r="I373" s="32">
        <f>IF($A373="","",IFERROR(INDEX(OSStatus,MATCH($A373,OSNum,0)),"OS inexistente"))</f>
        <v>0</v>
      </c>
      <c r="J373" s="32">
        <f>IF($A373="","",IF($I373="OS inexistente","OS inexistente",IF($E373="Peça não cadastrada","Peça não cadastrada","OK")))</f>
        <v>0</v>
      </c>
    </row>
    <row r="374" spans="1:10">
      <c r="A374" s="17"/>
      <c r="B374" s="13"/>
      <c r="C374" s="20"/>
      <c r="D374" s="19"/>
      <c r="E374" s="26">
        <f>IF($B374="","",IFERROR(INDEX(PecDesc,MATCH($B374,PecCod,0)),"Peça não cadastrada"))</f>
        <v>0</v>
      </c>
      <c r="F374" s="27">
        <f>IF($B374="","",IF($D374&lt;&gt;"",$D374,IFERROR(INDEX(PecPreco,MATCH($B374,PecCod,0)),0)))</f>
        <v>0</v>
      </c>
      <c r="G374" s="27">
        <f>IF(OR($B374="",$C374=""),"",$C374*$F374)</f>
        <v>0</v>
      </c>
      <c r="H374" s="27">
        <f>IF(OR($B374="",$C374=""),"",$C374*IFERROR(INDEX(PecCusto,MATCH($B374,PecCod,0)),0))</f>
        <v>0</v>
      </c>
      <c r="I374" s="32">
        <f>IF($A374="","",IFERROR(INDEX(OSStatus,MATCH($A374,OSNum,0)),"OS inexistente"))</f>
        <v>0</v>
      </c>
      <c r="J374" s="32">
        <f>IF($A374="","",IF($I374="OS inexistente","OS inexistente",IF($E374="Peça não cadastrada","Peça não cadastrada","OK")))</f>
        <v>0</v>
      </c>
    </row>
    <row r="375" spans="1:10">
      <c r="A375" s="17"/>
      <c r="B375" s="13"/>
      <c r="C375" s="20"/>
      <c r="D375" s="19"/>
      <c r="E375" s="26">
        <f>IF($B375="","",IFERROR(INDEX(PecDesc,MATCH($B375,PecCod,0)),"Peça não cadastrada"))</f>
        <v>0</v>
      </c>
      <c r="F375" s="27">
        <f>IF($B375="","",IF($D375&lt;&gt;"",$D375,IFERROR(INDEX(PecPreco,MATCH($B375,PecCod,0)),0)))</f>
        <v>0</v>
      </c>
      <c r="G375" s="27">
        <f>IF(OR($B375="",$C375=""),"",$C375*$F375)</f>
        <v>0</v>
      </c>
      <c r="H375" s="27">
        <f>IF(OR($B375="",$C375=""),"",$C375*IFERROR(INDEX(PecCusto,MATCH($B375,PecCod,0)),0))</f>
        <v>0</v>
      </c>
      <c r="I375" s="32">
        <f>IF($A375="","",IFERROR(INDEX(OSStatus,MATCH($A375,OSNum,0)),"OS inexistente"))</f>
        <v>0</v>
      </c>
      <c r="J375" s="32">
        <f>IF($A375="","",IF($I375="OS inexistente","OS inexistente",IF($E375="Peça não cadastrada","Peça não cadastrada","OK")))</f>
        <v>0</v>
      </c>
    </row>
    <row r="376" spans="1:10">
      <c r="A376" s="17"/>
      <c r="B376" s="13"/>
      <c r="C376" s="20"/>
      <c r="D376" s="19"/>
      <c r="E376" s="26">
        <f>IF($B376="","",IFERROR(INDEX(PecDesc,MATCH($B376,PecCod,0)),"Peça não cadastrada"))</f>
        <v>0</v>
      </c>
      <c r="F376" s="27">
        <f>IF($B376="","",IF($D376&lt;&gt;"",$D376,IFERROR(INDEX(PecPreco,MATCH($B376,PecCod,0)),0)))</f>
        <v>0</v>
      </c>
      <c r="G376" s="27">
        <f>IF(OR($B376="",$C376=""),"",$C376*$F376)</f>
        <v>0</v>
      </c>
      <c r="H376" s="27">
        <f>IF(OR($B376="",$C376=""),"",$C376*IFERROR(INDEX(PecCusto,MATCH($B376,PecCod,0)),0))</f>
        <v>0</v>
      </c>
      <c r="I376" s="32">
        <f>IF($A376="","",IFERROR(INDEX(OSStatus,MATCH($A376,OSNum,0)),"OS inexistente"))</f>
        <v>0</v>
      </c>
      <c r="J376" s="32">
        <f>IF($A376="","",IF($I376="OS inexistente","OS inexistente",IF($E376="Peça não cadastrada","Peça não cadastrada","OK")))</f>
        <v>0</v>
      </c>
    </row>
    <row r="377" spans="1:10">
      <c r="A377" s="17"/>
      <c r="B377" s="13"/>
      <c r="C377" s="20"/>
      <c r="D377" s="19"/>
      <c r="E377" s="26">
        <f>IF($B377="","",IFERROR(INDEX(PecDesc,MATCH($B377,PecCod,0)),"Peça não cadastrada"))</f>
        <v>0</v>
      </c>
      <c r="F377" s="27">
        <f>IF($B377="","",IF($D377&lt;&gt;"",$D377,IFERROR(INDEX(PecPreco,MATCH($B377,PecCod,0)),0)))</f>
        <v>0</v>
      </c>
      <c r="G377" s="27">
        <f>IF(OR($B377="",$C377=""),"",$C377*$F377)</f>
        <v>0</v>
      </c>
      <c r="H377" s="27">
        <f>IF(OR($B377="",$C377=""),"",$C377*IFERROR(INDEX(PecCusto,MATCH($B377,PecCod,0)),0))</f>
        <v>0</v>
      </c>
      <c r="I377" s="32">
        <f>IF($A377="","",IFERROR(INDEX(OSStatus,MATCH($A377,OSNum,0)),"OS inexistente"))</f>
        <v>0</v>
      </c>
      <c r="J377" s="32">
        <f>IF($A377="","",IF($I377="OS inexistente","OS inexistente",IF($E377="Peça não cadastrada","Peça não cadastrada","OK")))</f>
        <v>0</v>
      </c>
    </row>
    <row r="378" spans="1:10">
      <c r="A378" s="17"/>
      <c r="B378" s="13"/>
      <c r="C378" s="20"/>
      <c r="D378" s="19"/>
      <c r="E378" s="26">
        <f>IF($B378="","",IFERROR(INDEX(PecDesc,MATCH($B378,PecCod,0)),"Peça não cadastrada"))</f>
        <v>0</v>
      </c>
      <c r="F378" s="27">
        <f>IF($B378="","",IF($D378&lt;&gt;"",$D378,IFERROR(INDEX(PecPreco,MATCH($B378,PecCod,0)),0)))</f>
        <v>0</v>
      </c>
      <c r="G378" s="27">
        <f>IF(OR($B378="",$C378=""),"",$C378*$F378)</f>
        <v>0</v>
      </c>
      <c r="H378" s="27">
        <f>IF(OR($B378="",$C378=""),"",$C378*IFERROR(INDEX(PecCusto,MATCH($B378,PecCod,0)),0))</f>
        <v>0</v>
      </c>
      <c r="I378" s="32">
        <f>IF($A378="","",IFERROR(INDEX(OSStatus,MATCH($A378,OSNum,0)),"OS inexistente"))</f>
        <v>0</v>
      </c>
      <c r="J378" s="32">
        <f>IF($A378="","",IF($I378="OS inexistente","OS inexistente",IF($E378="Peça não cadastrada","Peça não cadastrada","OK")))</f>
        <v>0</v>
      </c>
    </row>
    <row r="379" spans="1:10">
      <c r="A379" s="17"/>
      <c r="B379" s="13"/>
      <c r="C379" s="20"/>
      <c r="D379" s="19"/>
      <c r="E379" s="26">
        <f>IF($B379="","",IFERROR(INDEX(PecDesc,MATCH($B379,PecCod,0)),"Peça não cadastrada"))</f>
        <v>0</v>
      </c>
      <c r="F379" s="27">
        <f>IF($B379="","",IF($D379&lt;&gt;"",$D379,IFERROR(INDEX(PecPreco,MATCH($B379,PecCod,0)),0)))</f>
        <v>0</v>
      </c>
      <c r="G379" s="27">
        <f>IF(OR($B379="",$C379=""),"",$C379*$F379)</f>
        <v>0</v>
      </c>
      <c r="H379" s="27">
        <f>IF(OR($B379="",$C379=""),"",$C379*IFERROR(INDEX(PecCusto,MATCH($B379,PecCod,0)),0))</f>
        <v>0</v>
      </c>
      <c r="I379" s="32">
        <f>IF($A379="","",IFERROR(INDEX(OSStatus,MATCH($A379,OSNum,0)),"OS inexistente"))</f>
        <v>0</v>
      </c>
      <c r="J379" s="32">
        <f>IF($A379="","",IF($I379="OS inexistente","OS inexistente",IF($E379="Peça não cadastrada","Peça não cadastrada","OK")))</f>
        <v>0</v>
      </c>
    </row>
    <row r="380" spans="1:10">
      <c r="A380" s="17"/>
      <c r="B380" s="13"/>
      <c r="C380" s="20"/>
      <c r="D380" s="19"/>
      <c r="E380" s="26">
        <f>IF($B380="","",IFERROR(INDEX(PecDesc,MATCH($B380,PecCod,0)),"Peça não cadastrada"))</f>
        <v>0</v>
      </c>
      <c r="F380" s="27">
        <f>IF($B380="","",IF($D380&lt;&gt;"",$D380,IFERROR(INDEX(PecPreco,MATCH($B380,PecCod,0)),0)))</f>
        <v>0</v>
      </c>
      <c r="G380" s="27">
        <f>IF(OR($B380="",$C380=""),"",$C380*$F380)</f>
        <v>0</v>
      </c>
      <c r="H380" s="27">
        <f>IF(OR($B380="",$C380=""),"",$C380*IFERROR(INDEX(PecCusto,MATCH($B380,PecCod,0)),0))</f>
        <v>0</v>
      </c>
      <c r="I380" s="32">
        <f>IF($A380="","",IFERROR(INDEX(OSStatus,MATCH($A380,OSNum,0)),"OS inexistente"))</f>
        <v>0</v>
      </c>
      <c r="J380" s="32">
        <f>IF($A380="","",IF($I380="OS inexistente","OS inexistente",IF($E380="Peça não cadastrada","Peça não cadastrada","OK")))</f>
        <v>0</v>
      </c>
    </row>
    <row r="381" spans="1:10">
      <c r="A381" s="17"/>
      <c r="B381" s="13"/>
      <c r="C381" s="20"/>
      <c r="D381" s="19"/>
      <c r="E381" s="26">
        <f>IF($B381="","",IFERROR(INDEX(PecDesc,MATCH($B381,PecCod,0)),"Peça não cadastrada"))</f>
        <v>0</v>
      </c>
      <c r="F381" s="27">
        <f>IF($B381="","",IF($D381&lt;&gt;"",$D381,IFERROR(INDEX(PecPreco,MATCH($B381,PecCod,0)),0)))</f>
        <v>0</v>
      </c>
      <c r="G381" s="27">
        <f>IF(OR($B381="",$C381=""),"",$C381*$F381)</f>
        <v>0</v>
      </c>
      <c r="H381" s="27">
        <f>IF(OR($B381="",$C381=""),"",$C381*IFERROR(INDEX(PecCusto,MATCH($B381,PecCod,0)),0))</f>
        <v>0</v>
      </c>
      <c r="I381" s="32">
        <f>IF($A381="","",IFERROR(INDEX(OSStatus,MATCH($A381,OSNum,0)),"OS inexistente"))</f>
        <v>0</v>
      </c>
      <c r="J381" s="32">
        <f>IF($A381="","",IF($I381="OS inexistente","OS inexistente",IF($E381="Peça não cadastrada","Peça não cadastrada","OK")))</f>
        <v>0</v>
      </c>
    </row>
    <row r="382" spans="1:10">
      <c r="A382" s="17"/>
      <c r="B382" s="13"/>
      <c r="C382" s="20"/>
      <c r="D382" s="19"/>
      <c r="E382" s="26">
        <f>IF($B382="","",IFERROR(INDEX(PecDesc,MATCH($B382,PecCod,0)),"Peça não cadastrada"))</f>
        <v>0</v>
      </c>
      <c r="F382" s="27">
        <f>IF($B382="","",IF($D382&lt;&gt;"",$D382,IFERROR(INDEX(PecPreco,MATCH($B382,PecCod,0)),0)))</f>
        <v>0</v>
      </c>
      <c r="G382" s="27">
        <f>IF(OR($B382="",$C382=""),"",$C382*$F382)</f>
        <v>0</v>
      </c>
      <c r="H382" s="27">
        <f>IF(OR($B382="",$C382=""),"",$C382*IFERROR(INDEX(PecCusto,MATCH($B382,PecCod,0)),0))</f>
        <v>0</v>
      </c>
      <c r="I382" s="32">
        <f>IF($A382="","",IFERROR(INDEX(OSStatus,MATCH($A382,OSNum,0)),"OS inexistente"))</f>
        <v>0</v>
      </c>
      <c r="J382" s="32">
        <f>IF($A382="","",IF($I382="OS inexistente","OS inexistente",IF($E382="Peça não cadastrada","Peça não cadastrada","OK")))</f>
        <v>0</v>
      </c>
    </row>
    <row r="383" spans="1:10">
      <c r="A383" s="17"/>
      <c r="B383" s="13"/>
      <c r="C383" s="20"/>
      <c r="D383" s="19"/>
      <c r="E383" s="26">
        <f>IF($B383="","",IFERROR(INDEX(PecDesc,MATCH($B383,PecCod,0)),"Peça não cadastrada"))</f>
        <v>0</v>
      </c>
      <c r="F383" s="27">
        <f>IF($B383="","",IF($D383&lt;&gt;"",$D383,IFERROR(INDEX(PecPreco,MATCH($B383,PecCod,0)),0)))</f>
        <v>0</v>
      </c>
      <c r="G383" s="27">
        <f>IF(OR($B383="",$C383=""),"",$C383*$F383)</f>
        <v>0</v>
      </c>
      <c r="H383" s="27">
        <f>IF(OR($B383="",$C383=""),"",$C383*IFERROR(INDEX(PecCusto,MATCH($B383,PecCod,0)),0))</f>
        <v>0</v>
      </c>
      <c r="I383" s="32">
        <f>IF($A383="","",IFERROR(INDEX(OSStatus,MATCH($A383,OSNum,0)),"OS inexistente"))</f>
        <v>0</v>
      </c>
      <c r="J383" s="32">
        <f>IF($A383="","",IF($I383="OS inexistente","OS inexistente",IF($E383="Peça não cadastrada","Peça não cadastrada","OK")))</f>
        <v>0</v>
      </c>
    </row>
    <row r="384" spans="1:10">
      <c r="A384" s="17"/>
      <c r="B384" s="13"/>
      <c r="C384" s="20"/>
      <c r="D384" s="19"/>
      <c r="E384" s="26">
        <f>IF($B384="","",IFERROR(INDEX(PecDesc,MATCH($B384,PecCod,0)),"Peça não cadastrada"))</f>
        <v>0</v>
      </c>
      <c r="F384" s="27">
        <f>IF($B384="","",IF($D384&lt;&gt;"",$D384,IFERROR(INDEX(PecPreco,MATCH($B384,PecCod,0)),0)))</f>
        <v>0</v>
      </c>
      <c r="G384" s="27">
        <f>IF(OR($B384="",$C384=""),"",$C384*$F384)</f>
        <v>0</v>
      </c>
      <c r="H384" s="27">
        <f>IF(OR($B384="",$C384=""),"",$C384*IFERROR(INDEX(PecCusto,MATCH($B384,PecCod,0)),0))</f>
        <v>0</v>
      </c>
      <c r="I384" s="32">
        <f>IF($A384="","",IFERROR(INDEX(OSStatus,MATCH($A384,OSNum,0)),"OS inexistente"))</f>
        <v>0</v>
      </c>
      <c r="J384" s="32">
        <f>IF($A384="","",IF($I384="OS inexistente","OS inexistente",IF($E384="Peça não cadastrada","Peça não cadastrada","OK")))</f>
        <v>0</v>
      </c>
    </row>
    <row r="385" spans="1:10">
      <c r="A385" s="17"/>
      <c r="B385" s="13"/>
      <c r="C385" s="20"/>
      <c r="D385" s="19"/>
      <c r="E385" s="26">
        <f>IF($B385="","",IFERROR(INDEX(PecDesc,MATCH($B385,PecCod,0)),"Peça não cadastrada"))</f>
        <v>0</v>
      </c>
      <c r="F385" s="27">
        <f>IF($B385="","",IF($D385&lt;&gt;"",$D385,IFERROR(INDEX(PecPreco,MATCH($B385,PecCod,0)),0)))</f>
        <v>0</v>
      </c>
      <c r="G385" s="27">
        <f>IF(OR($B385="",$C385=""),"",$C385*$F385)</f>
        <v>0</v>
      </c>
      <c r="H385" s="27">
        <f>IF(OR($B385="",$C385=""),"",$C385*IFERROR(INDEX(PecCusto,MATCH($B385,PecCod,0)),0))</f>
        <v>0</v>
      </c>
      <c r="I385" s="32">
        <f>IF($A385="","",IFERROR(INDEX(OSStatus,MATCH($A385,OSNum,0)),"OS inexistente"))</f>
        <v>0</v>
      </c>
      <c r="J385" s="32">
        <f>IF($A385="","",IF($I385="OS inexistente","OS inexistente",IF($E385="Peça não cadastrada","Peça não cadastrada","OK")))</f>
        <v>0</v>
      </c>
    </row>
    <row r="386" spans="1:10">
      <c r="A386" s="17"/>
      <c r="B386" s="13"/>
      <c r="C386" s="20"/>
      <c r="D386" s="19"/>
      <c r="E386" s="26">
        <f>IF($B386="","",IFERROR(INDEX(PecDesc,MATCH($B386,PecCod,0)),"Peça não cadastrada"))</f>
        <v>0</v>
      </c>
      <c r="F386" s="27">
        <f>IF($B386="","",IF($D386&lt;&gt;"",$D386,IFERROR(INDEX(PecPreco,MATCH($B386,PecCod,0)),0)))</f>
        <v>0</v>
      </c>
      <c r="G386" s="27">
        <f>IF(OR($B386="",$C386=""),"",$C386*$F386)</f>
        <v>0</v>
      </c>
      <c r="H386" s="27">
        <f>IF(OR($B386="",$C386=""),"",$C386*IFERROR(INDEX(PecCusto,MATCH($B386,PecCod,0)),0))</f>
        <v>0</v>
      </c>
      <c r="I386" s="32">
        <f>IF($A386="","",IFERROR(INDEX(OSStatus,MATCH($A386,OSNum,0)),"OS inexistente"))</f>
        <v>0</v>
      </c>
      <c r="J386" s="32">
        <f>IF($A386="","",IF($I386="OS inexistente","OS inexistente",IF($E386="Peça não cadastrada","Peça não cadastrada","OK")))</f>
        <v>0</v>
      </c>
    </row>
    <row r="387" spans="1:10">
      <c r="A387" s="17"/>
      <c r="B387" s="13"/>
      <c r="C387" s="20"/>
      <c r="D387" s="19"/>
      <c r="E387" s="26">
        <f>IF($B387="","",IFERROR(INDEX(PecDesc,MATCH($B387,PecCod,0)),"Peça não cadastrada"))</f>
        <v>0</v>
      </c>
      <c r="F387" s="27">
        <f>IF($B387="","",IF($D387&lt;&gt;"",$D387,IFERROR(INDEX(PecPreco,MATCH($B387,PecCod,0)),0)))</f>
        <v>0</v>
      </c>
      <c r="G387" s="27">
        <f>IF(OR($B387="",$C387=""),"",$C387*$F387)</f>
        <v>0</v>
      </c>
      <c r="H387" s="27">
        <f>IF(OR($B387="",$C387=""),"",$C387*IFERROR(INDEX(PecCusto,MATCH($B387,PecCod,0)),0))</f>
        <v>0</v>
      </c>
      <c r="I387" s="32">
        <f>IF($A387="","",IFERROR(INDEX(OSStatus,MATCH($A387,OSNum,0)),"OS inexistente"))</f>
        <v>0</v>
      </c>
      <c r="J387" s="32">
        <f>IF($A387="","",IF($I387="OS inexistente","OS inexistente",IF($E387="Peça não cadastrada","Peça não cadastrada","OK")))</f>
        <v>0</v>
      </c>
    </row>
    <row r="388" spans="1:10">
      <c r="A388" s="17"/>
      <c r="B388" s="13"/>
      <c r="C388" s="20"/>
      <c r="D388" s="19"/>
      <c r="E388" s="26">
        <f>IF($B388="","",IFERROR(INDEX(PecDesc,MATCH($B388,PecCod,0)),"Peça não cadastrada"))</f>
        <v>0</v>
      </c>
      <c r="F388" s="27">
        <f>IF($B388="","",IF($D388&lt;&gt;"",$D388,IFERROR(INDEX(PecPreco,MATCH($B388,PecCod,0)),0)))</f>
        <v>0</v>
      </c>
      <c r="G388" s="27">
        <f>IF(OR($B388="",$C388=""),"",$C388*$F388)</f>
        <v>0</v>
      </c>
      <c r="H388" s="27">
        <f>IF(OR($B388="",$C388=""),"",$C388*IFERROR(INDEX(PecCusto,MATCH($B388,PecCod,0)),0))</f>
        <v>0</v>
      </c>
      <c r="I388" s="32">
        <f>IF($A388="","",IFERROR(INDEX(OSStatus,MATCH($A388,OSNum,0)),"OS inexistente"))</f>
        <v>0</v>
      </c>
      <c r="J388" s="32">
        <f>IF($A388="","",IF($I388="OS inexistente","OS inexistente",IF($E388="Peça não cadastrada","Peça não cadastrada","OK")))</f>
        <v>0</v>
      </c>
    </row>
    <row r="389" spans="1:10">
      <c r="A389" s="17"/>
      <c r="B389" s="13"/>
      <c r="C389" s="20"/>
      <c r="D389" s="19"/>
      <c r="E389" s="26">
        <f>IF($B389="","",IFERROR(INDEX(PecDesc,MATCH($B389,PecCod,0)),"Peça não cadastrada"))</f>
        <v>0</v>
      </c>
      <c r="F389" s="27">
        <f>IF($B389="","",IF($D389&lt;&gt;"",$D389,IFERROR(INDEX(PecPreco,MATCH($B389,PecCod,0)),0)))</f>
        <v>0</v>
      </c>
      <c r="G389" s="27">
        <f>IF(OR($B389="",$C389=""),"",$C389*$F389)</f>
        <v>0</v>
      </c>
      <c r="H389" s="27">
        <f>IF(OR($B389="",$C389=""),"",$C389*IFERROR(INDEX(PecCusto,MATCH($B389,PecCod,0)),0))</f>
        <v>0</v>
      </c>
      <c r="I389" s="32">
        <f>IF($A389="","",IFERROR(INDEX(OSStatus,MATCH($A389,OSNum,0)),"OS inexistente"))</f>
        <v>0</v>
      </c>
      <c r="J389" s="32">
        <f>IF($A389="","",IF($I389="OS inexistente","OS inexistente",IF($E389="Peça não cadastrada","Peça não cadastrada","OK")))</f>
        <v>0</v>
      </c>
    </row>
    <row r="390" spans="1:10">
      <c r="A390" s="17"/>
      <c r="B390" s="13"/>
      <c r="C390" s="20"/>
      <c r="D390" s="19"/>
      <c r="E390" s="26">
        <f>IF($B390="","",IFERROR(INDEX(PecDesc,MATCH($B390,PecCod,0)),"Peça não cadastrada"))</f>
        <v>0</v>
      </c>
      <c r="F390" s="27">
        <f>IF($B390="","",IF($D390&lt;&gt;"",$D390,IFERROR(INDEX(PecPreco,MATCH($B390,PecCod,0)),0)))</f>
        <v>0</v>
      </c>
      <c r="G390" s="27">
        <f>IF(OR($B390="",$C390=""),"",$C390*$F390)</f>
        <v>0</v>
      </c>
      <c r="H390" s="27">
        <f>IF(OR($B390="",$C390=""),"",$C390*IFERROR(INDEX(PecCusto,MATCH($B390,PecCod,0)),0))</f>
        <v>0</v>
      </c>
      <c r="I390" s="32">
        <f>IF($A390="","",IFERROR(INDEX(OSStatus,MATCH($A390,OSNum,0)),"OS inexistente"))</f>
        <v>0</v>
      </c>
      <c r="J390" s="32">
        <f>IF($A390="","",IF($I390="OS inexistente","OS inexistente",IF($E390="Peça não cadastrada","Peça não cadastrada","OK")))</f>
        <v>0</v>
      </c>
    </row>
    <row r="391" spans="1:10">
      <c r="A391" s="17"/>
      <c r="B391" s="13"/>
      <c r="C391" s="20"/>
      <c r="D391" s="19"/>
      <c r="E391" s="26">
        <f>IF($B391="","",IFERROR(INDEX(PecDesc,MATCH($B391,PecCod,0)),"Peça não cadastrada"))</f>
        <v>0</v>
      </c>
      <c r="F391" s="27">
        <f>IF($B391="","",IF($D391&lt;&gt;"",$D391,IFERROR(INDEX(PecPreco,MATCH($B391,PecCod,0)),0)))</f>
        <v>0</v>
      </c>
      <c r="G391" s="27">
        <f>IF(OR($B391="",$C391=""),"",$C391*$F391)</f>
        <v>0</v>
      </c>
      <c r="H391" s="27">
        <f>IF(OR($B391="",$C391=""),"",$C391*IFERROR(INDEX(PecCusto,MATCH($B391,PecCod,0)),0))</f>
        <v>0</v>
      </c>
      <c r="I391" s="32">
        <f>IF($A391="","",IFERROR(INDEX(OSStatus,MATCH($A391,OSNum,0)),"OS inexistente"))</f>
        <v>0</v>
      </c>
      <c r="J391" s="32">
        <f>IF($A391="","",IF($I391="OS inexistente","OS inexistente",IF($E391="Peça não cadastrada","Peça não cadastrada","OK")))</f>
        <v>0</v>
      </c>
    </row>
    <row r="392" spans="1:10">
      <c r="A392" s="17"/>
      <c r="B392" s="13"/>
      <c r="C392" s="20"/>
      <c r="D392" s="19"/>
      <c r="E392" s="26">
        <f>IF($B392="","",IFERROR(INDEX(PecDesc,MATCH($B392,PecCod,0)),"Peça não cadastrada"))</f>
        <v>0</v>
      </c>
      <c r="F392" s="27">
        <f>IF($B392="","",IF($D392&lt;&gt;"",$D392,IFERROR(INDEX(PecPreco,MATCH($B392,PecCod,0)),0)))</f>
        <v>0</v>
      </c>
      <c r="G392" s="27">
        <f>IF(OR($B392="",$C392=""),"",$C392*$F392)</f>
        <v>0</v>
      </c>
      <c r="H392" s="27">
        <f>IF(OR($B392="",$C392=""),"",$C392*IFERROR(INDEX(PecCusto,MATCH($B392,PecCod,0)),0))</f>
        <v>0</v>
      </c>
      <c r="I392" s="32">
        <f>IF($A392="","",IFERROR(INDEX(OSStatus,MATCH($A392,OSNum,0)),"OS inexistente"))</f>
        <v>0</v>
      </c>
      <c r="J392" s="32">
        <f>IF($A392="","",IF($I392="OS inexistente","OS inexistente",IF($E392="Peça não cadastrada","Peça não cadastrada","OK")))</f>
        <v>0</v>
      </c>
    </row>
    <row r="393" spans="1:10">
      <c r="A393" s="17"/>
      <c r="B393" s="13"/>
      <c r="C393" s="20"/>
      <c r="D393" s="19"/>
      <c r="E393" s="26">
        <f>IF($B393="","",IFERROR(INDEX(PecDesc,MATCH($B393,PecCod,0)),"Peça não cadastrada"))</f>
        <v>0</v>
      </c>
      <c r="F393" s="27">
        <f>IF($B393="","",IF($D393&lt;&gt;"",$D393,IFERROR(INDEX(PecPreco,MATCH($B393,PecCod,0)),0)))</f>
        <v>0</v>
      </c>
      <c r="G393" s="27">
        <f>IF(OR($B393="",$C393=""),"",$C393*$F393)</f>
        <v>0</v>
      </c>
      <c r="H393" s="27">
        <f>IF(OR($B393="",$C393=""),"",$C393*IFERROR(INDEX(PecCusto,MATCH($B393,PecCod,0)),0))</f>
        <v>0</v>
      </c>
      <c r="I393" s="32">
        <f>IF($A393="","",IFERROR(INDEX(OSStatus,MATCH($A393,OSNum,0)),"OS inexistente"))</f>
        <v>0</v>
      </c>
      <c r="J393" s="32">
        <f>IF($A393="","",IF($I393="OS inexistente","OS inexistente",IF($E393="Peça não cadastrada","Peça não cadastrada","OK")))</f>
        <v>0</v>
      </c>
    </row>
    <row r="394" spans="1:10">
      <c r="A394" s="17"/>
      <c r="B394" s="13"/>
      <c r="C394" s="20"/>
      <c r="D394" s="19"/>
      <c r="E394" s="26">
        <f>IF($B394="","",IFERROR(INDEX(PecDesc,MATCH($B394,PecCod,0)),"Peça não cadastrada"))</f>
        <v>0</v>
      </c>
      <c r="F394" s="27">
        <f>IF($B394="","",IF($D394&lt;&gt;"",$D394,IFERROR(INDEX(PecPreco,MATCH($B394,PecCod,0)),0)))</f>
        <v>0</v>
      </c>
      <c r="G394" s="27">
        <f>IF(OR($B394="",$C394=""),"",$C394*$F394)</f>
        <v>0</v>
      </c>
      <c r="H394" s="27">
        <f>IF(OR($B394="",$C394=""),"",$C394*IFERROR(INDEX(PecCusto,MATCH($B394,PecCod,0)),0))</f>
        <v>0</v>
      </c>
      <c r="I394" s="32">
        <f>IF($A394="","",IFERROR(INDEX(OSStatus,MATCH($A394,OSNum,0)),"OS inexistente"))</f>
        <v>0</v>
      </c>
      <c r="J394" s="32">
        <f>IF($A394="","",IF($I394="OS inexistente","OS inexistente",IF($E394="Peça não cadastrada","Peça não cadastrada","OK")))</f>
        <v>0</v>
      </c>
    </row>
    <row r="395" spans="1:10">
      <c r="A395" s="17"/>
      <c r="B395" s="13"/>
      <c r="C395" s="20"/>
      <c r="D395" s="19"/>
      <c r="E395" s="26">
        <f>IF($B395="","",IFERROR(INDEX(PecDesc,MATCH($B395,PecCod,0)),"Peça não cadastrada"))</f>
        <v>0</v>
      </c>
      <c r="F395" s="27">
        <f>IF($B395="","",IF($D395&lt;&gt;"",$D395,IFERROR(INDEX(PecPreco,MATCH($B395,PecCod,0)),0)))</f>
        <v>0</v>
      </c>
      <c r="G395" s="27">
        <f>IF(OR($B395="",$C395=""),"",$C395*$F395)</f>
        <v>0</v>
      </c>
      <c r="H395" s="27">
        <f>IF(OR($B395="",$C395=""),"",$C395*IFERROR(INDEX(PecCusto,MATCH($B395,PecCod,0)),0))</f>
        <v>0</v>
      </c>
      <c r="I395" s="32">
        <f>IF($A395="","",IFERROR(INDEX(OSStatus,MATCH($A395,OSNum,0)),"OS inexistente"))</f>
        <v>0</v>
      </c>
      <c r="J395" s="32">
        <f>IF($A395="","",IF($I395="OS inexistente","OS inexistente",IF($E395="Peça não cadastrada","Peça não cadastrada","OK")))</f>
        <v>0</v>
      </c>
    </row>
    <row r="396" spans="1:10">
      <c r="A396" s="17"/>
      <c r="B396" s="13"/>
      <c r="C396" s="20"/>
      <c r="D396" s="19"/>
      <c r="E396" s="26">
        <f>IF($B396="","",IFERROR(INDEX(PecDesc,MATCH($B396,PecCod,0)),"Peça não cadastrada"))</f>
        <v>0</v>
      </c>
      <c r="F396" s="27">
        <f>IF($B396="","",IF($D396&lt;&gt;"",$D396,IFERROR(INDEX(PecPreco,MATCH($B396,PecCod,0)),0)))</f>
        <v>0</v>
      </c>
      <c r="G396" s="27">
        <f>IF(OR($B396="",$C396=""),"",$C396*$F396)</f>
        <v>0</v>
      </c>
      <c r="H396" s="27">
        <f>IF(OR($B396="",$C396=""),"",$C396*IFERROR(INDEX(PecCusto,MATCH($B396,PecCod,0)),0))</f>
        <v>0</v>
      </c>
      <c r="I396" s="32">
        <f>IF($A396="","",IFERROR(INDEX(OSStatus,MATCH($A396,OSNum,0)),"OS inexistente"))</f>
        <v>0</v>
      </c>
      <c r="J396" s="32">
        <f>IF($A396="","",IF($I396="OS inexistente","OS inexistente",IF($E396="Peça não cadastrada","Peça não cadastrada","OK")))</f>
        <v>0</v>
      </c>
    </row>
    <row r="397" spans="1:10">
      <c r="A397" s="17"/>
      <c r="B397" s="13"/>
      <c r="C397" s="20"/>
      <c r="D397" s="19"/>
      <c r="E397" s="26">
        <f>IF($B397="","",IFERROR(INDEX(PecDesc,MATCH($B397,PecCod,0)),"Peça não cadastrada"))</f>
        <v>0</v>
      </c>
      <c r="F397" s="27">
        <f>IF($B397="","",IF($D397&lt;&gt;"",$D397,IFERROR(INDEX(PecPreco,MATCH($B397,PecCod,0)),0)))</f>
        <v>0</v>
      </c>
      <c r="G397" s="27">
        <f>IF(OR($B397="",$C397=""),"",$C397*$F397)</f>
        <v>0</v>
      </c>
      <c r="H397" s="27">
        <f>IF(OR($B397="",$C397=""),"",$C397*IFERROR(INDEX(PecCusto,MATCH($B397,PecCod,0)),0))</f>
        <v>0</v>
      </c>
      <c r="I397" s="32">
        <f>IF($A397="","",IFERROR(INDEX(OSStatus,MATCH($A397,OSNum,0)),"OS inexistente"))</f>
        <v>0</v>
      </c>
      <c r="J397" s="32">
        <f>IF($A397="","",IF($I397="OS inexistente","OS inexistente",IF($E397="Peça não cadastrada","Peça não cadastrada","OK")))</f>
        <v>0</v>
      </c>
    </row>
    <row r="398" spans="1:10">
      <c r="A398" s="17"/>
      <c r="B398" s="13"/>
      <c r="C398" s="20"/>
      <c r="D398" s="19"/>
      <c r="E398" s="26">
        <f>IF($B398="","",IFERROR(INDEX(PecDesc,MATCH($B398,PecCod,0)),"Peça não cadastrada"))</f>
        <v>0</v>
      </c>
      <c r="F398" s="27">
        <f>IF($B398="","",IF($D398&lt;&gt;"",$D398,IFERROR(INDEX(PecPreco,MATCH($B398,PecCod,0)),0)))</f>
        <v>0</v>
      </c>
      <c r="G398" s="27">
        <f>IF(OR($B398="",$C398=""),"",$C398*$F398)</f>
        <v>0</v>
      </c>
      <c r="H398" s="27">
        <f>IF(OR($B398="",$C398=""),"",$C398*IFERROR(INDEX(PecCusto,MATCH($B398,PecCod,0)),0))</f>
        <v>0</v>
      </c>
      <c r="I398" s="32">
        <f>IF($A398="","",IFERROR(INDEX(OSStatus,MATCH($A398,OSNum,0)),"OS inexistente"))</f>
        <v>0</v>
      </c>
      <c r="J398" s="32">
        <f>IF($A398="","",IF($I398="OS inexistente","OS inexistente",IF($E398="Peça não cadastrada","Peça não cadastrada","OK")))</f>
        <v>0</v>
      </c>
    </row>
    <row r="399" spans="1:10">
      <c r="A399" s="17"/>
      <c r="B399" s="13"/>
      <c r="C399" s="20"/>
      <c r="D399" s="19"/>
      <c r="E399" s="26">
        <f>IF($B399="","",IFERROR(INDEX(PecDesc,MATCH($B399,PecCod,0)),"Peça não cadastrada"))</f>
        <v>0</v>
      </c>
      <c r="F399" s="27">
        <f>IF($B399="","",IF($D399&lt;&gt;"",$D399,IFERROR(INDEX(PecPreco,MATCH($B399,PecCod,0)),0)))</f>
        <v>0</v>
      </c>
      <c r="G399" s="27">
        <f>IF(OR($B399="",$C399=""),"",$C399*$F399)</f>
        <v>0</v>
      </c>
      <c r="H399" s="27">
        <f>IF(OR($B399="",$C399=""),"",$C399*IFERROR(INDEX(PecCusto,MATCH($B399,PecCod,0)),0))</f>
        <v>0</v>
      </c>
      <c r="I399" s="32">
        <f>IF($A399="","",IFERROR(INDEX(OSStatus,MATCH($A399,OSNum,0)),"OS inexistente"))</f>
        <v>0</v>
      </c>
      <c r="J399" s="32">
        <f>IF($A399="","",IF($I399="OS inexistente","OS inexistente",IF($E399="Peça não cadastrada","Peça não cadastrada","OK")))</f>
        <v>0</v>
      </c>
    </row>
    <row r="400" spans="1:10">
      <c r="A400" s="17"/>
      <c r="B400" s="13"/>
      <c r="C400" s="20"/>
      <c r="D400" s="19"/>
      <c r="E400" s="26">
        <f>IF($B400="","",IFERROR(INDEX(PecDesc,MATCH($B400,PecCod,0)),"Peça não cadastrada"))</f>
        <v>0</v>
      </c>
      <c r="F400" s="27">
        <f>IF($B400="","",IF($D400&lt;&gt;"",$D400,IFERROR(INDEX(PecPreco,MATCH($B400,PecCod,0)),0)))</f>
        <v>0</v>
      </c>
      <c r="G400" s="27">
        <f>IF(OR($B400="",$C400=""),"",$C400*$F400)</f>
        <v>0</v>
      </c>
      <c r="H400" s="27">
        <f>IF(OR($B400="",$C400=""),"",$C400*IFERROR(INDEX(PecCusto,MATCH($B400,PecCod,0)),0))</f>
        <v>0</v>
      </c>
      <c r="I400" s="32">
        <f>IF($A400="","",IFERROR(INDEX(OSStatus,MATCH($A400,OSNum,0)),"OS inexistente"))</f>
        <v>0</v>
      </c>
      <c r="J400" s="32">
        <f>IF($A400="","",IF($I400="OS inexistente","OS inexistente",IF($E400="Peça não cadastrada","Peça não cadastrada","OK")))</f>
        <v>0</v>
      </c>
    </row>
    <row r="401" spans="1:10">
      <c r="A401" s="17"/>
      <c r="B401" s="13"/>
      <c r="C401" s="20"/>
      <c r="D401" s="19"/>
      <c r="E401" s="26">
        <f>IF($B401="","",IFERROR(INDEX(PecDesc,MATCH($B401,PecCod,0)),"Peça não cadastrada"))</f>
        <v>0</v>
      </c>
      <c r="F401" s="27">
        <f>IF($B401="","",IF($D401&lt;&gt;"",$D401,IFERROR(INDEX(PecPreco,MATCH($B401,PecCod,0)),0)))</f>
        <v>0</v>
      </c>
      <c r="G401" s="27">
        <f>IF(OR($B401="",$C401=""),"",$C401*$F401)</f>
        <v>0</v>
      </c>
      <c r="H401" s="27">
        <f>IF(OR($B401="",$C401=""),"",$C401*IFERROR(INDEX(PecCusto,MATCH($B401,PecCod,0)),0))</f>
        <v>0</v>
      </c>
      <c r="I401" s="32">
        <f>IF($A401="","",IFERROR(INDEX(OSStatus,MATCH($A401,OSNum,0)),"OS inexistente"))</f>
        <v>0</v>
      </c>
      <c r="J401" s="32">
        <f>IF($A401="","",IF($I401="OS inexistente","OS inexistente",IF($E401="Peça não cadastrada","Peça não cadastrada","OK")))</f>
        <v>0</v>
      </c>
    </row>
    <row r="402" spans="1:10">
      <c r="A402" s="17"/>
      <c r="B402" s="13"/>
      <c r="C402" s="20"/>
      <c r="D402" s="19"/>
      <c r="E402" s="26">
        <f>IF($B402="","",IFERROR(INDEX(PecDesc,MATCH($B402,PecCod,0)),"Peça não cadastrada"))</f>
        <v>0</v>
      </c>
      <c r="F402" s="27">
        <f>IF($B402="","",IF($D402&lt;&gt;"",$D402,IFERROR(INDEX(PecPreco,MATCH($B402,PecCod,0)),0)))</f>
        <v>0</v>
      </c>
      <c r="G402" s="27">
        <f>IF(OR($B402="",$C402=""),"",$C402*$F402)</f>
        <v>0</v>
      </c>
      <c r="H402" s="27">
        <f>IF(OR($B402="",$C402=""),"",$C402*IFERROR(INDEX(PecCusto,MATCH($B402,PecCod,0)),0))</f>
        <v>0</v>
      </c>
      <c r="I402" s="32">
        <f>IF($A402="","",IFERROR(INDEX(OSStatus,MATCH($A402,OSNum,0)),"OS inexistente"))</f>
        <v>0</v>
      </c>
      <c r="J402" s="32">
        <f>IF($A402="","",IF($I402="OS inexistente","OS inexistente",IF($E402="Peça não cadastrada","Peça não cadastrada","OK")))</f>
        <v>0</v>
      </c>
    </row>
    <row r="403" spans="1:10">
      <c r="A403" s="17"/>
      <c r="B403" s="13"/>
      <c r="C403" s="20"/>
      <c r="D403" s="19"/>
      <c r="E403" s="26">
        <f>IF($B403="","",IFERROR(INDEX(PecDesc,MATCH($B403,PecCod,0)),"Peça não cadastrada"))</f>
        <v>0</v>
      </c>
      <c r="F403" s="27">
        <f>IF($B403="","",IF($D403&lt;&gt;"",$D403,IFERROR(INDEX(PecPreco,MATCH($B403,PecCod,0)),0)))</f>
        <v>0</v>
      </c>
      <c r="G403" s="27">
        <f>IF(OR($B403="",$C403=""),"",$C403*$F403)</f>
        <v>0</v>
      </c>
      <c r="H403" s="27">
        <f>IF(OR($B403="",$C403=""),"",$C403*IFERROR(INDEX(PecCusto,MATCH($B403,PecCod,0)),0))</f>
        <v>0</v>
      </c>
      <c r="I403" s="32">
        <f>IF($A403="","",IFERROR(INDEX(OSStatus,MATCH($A403,OSNum,0)),"OS inexistente"))</f>
        <v>0</v>
      </c>
      <c r="J403" s="32">
        <f>IF($A403="","",IF($I403="OS inexistente","OS inexistente",IF($E403="Peça não cadastrada","Peça não cadastrada","OK")))</f>
        <v>0</v>
      </c>
    </row>
    <row r="404" spans="1:10">
      <c r="A404" s="17"/>
      <c r="B404" s="13"/>
      <c r="C404" s="20"/>
      <c r="D404" s="19"/>
      <c r="E404" s="26">
        <f>IF($B404="","",IFERROR(INDEX(PecDesc,MATCH($B404,PecCod,0)),"Peça não cadastrada"))</f>
        <v>0</v>
      </c>
      <c r="F404" s="27">
        <f>IF($B404="","",IF($D404&lt;&gt;"",$D404,IFERROR(INDEX(PecPreco,MATCH($B404,PecCod,0)),0)))</f>
        <v>0</v>
      </c>
      <c r="G404" s="27">
        <f>IF(OR($B404="",$C404=""),"",$C404*$F404)</f>
        <v>0</v>
      </c>
      <c r="H404" s="27">
        <f>IF(OR($B404="",$C404=""),"",$C404*IFERROR(INDEX(PecCusto,MATCH($B404,PecCod,0)),0))</f>
        <v>0</v>
      </c>
      <c r="I404" s="32">
        <f>IF($A404="","",IFERROR(INDEX(OSStatus,MATCH($A404,OSNum,0)),"OS inexistente"))</f>
        <v>0</v>
      </c>
      <c r="J404" s="32">
        <f>IF($A404="","",IF($I404="OS inexistente","OS inexistente",IF($E404="Peça não cadastrada","Peça não cadastrada","OK")))</f>
        <v>0</v>
      </c>
    </row>
    <row r="405" spans="1:10">
      <c r="A405" s="17"/>
      <c r="B405" s="13"/>
      <c r="C405" s="20"/>
      <c r="D405" s="19"/>
      <c r="E405" s="26">
        <f>IF($B405="","",IFERROR(INDEX(PecDesc,MATCH($B405,PecCod,0)),"Peça não cadastrada"))</f>
        <v>0</v>
      </c>
      <c r="F405" s="27">
        <f>IF($B405="","",IF($D405&lt;&gt;"",$D405,IFERROR(INDEX(PecPreco,MATCH($B405,PecCod,0)),0)))</f>
        <v>0</v>
      </c>
      <c r="G405" s="27">
        <f>IF(OR($B405="",$C405=""),"",$C405*$F405)</f>
        <v>0</v>
      </c>
      <c r="H405" s="27">
        <f>IF(OR($B405="",$C405=""),"",$C405*IFERROR(INDEX(PecCusto,MATCH($B405,PecCod,0)),0))</f>
        <v>0</v>
      </c>
      <c r="I405" s="32">
        <f>IF($A405="","",IFERROR(INDEX(OSStatus,MATCH($A405,OSNum,0)),"OS inexistente"))</f>
        <v>0</v>
      </c>
      <c r="J405" s="32">
        <f>IF($A405="","",IF($I405="OS inexistente","OS inexistente",IF($E405="Peça não cadastrada","Peça não cadastrada","OK")))</f>
        <v>0</v>
      </c>
    </row>
    <row r="406" spans="1:10">
      <c r="A406" s="17"/>
      <c r="B406" s="13"/>
      <c r="C406" s="20"/>
      <c r="D406" s="19"/>
      <c r="E406" s="26">
        <f>IF($B406="","",IFERROR(INDEX(PecDesc,MATCH($B406,PecCod,0)),"Peça não cadastrada"))</f>
        <v>0</v>
      </c>
      <c r="F406" s="27">
        <f>IF($B406="","",IF($D406&lt;&gt;"",$D406,IFERROR(INDEX(PecPreco,MATCH($B406,PecCod,0)),0)))</f>
        <v>0</v>
      </c>
      <c r="G406" s="27">
        <f>IF(OR($B406="",$C406=""),"",$C406*$F406)</f>
        <v>0</v>
      </c>
      <c r="H406" s="27">
        <f>IF(OR($B406="",$C406=""),"",$C406*IFERROR(INDEX(PecCusto,MATCH($B406,PecCod,0)),0))</f>
        <v>0</v>
      </c>
      <c r="I406" s="32">
        <f>IF($A406="","",IFERROR(INDEX(OSStatus,MATCH($A406,OSNum,0)),"OS inexistente"))</f>
        <v>0</v>
      </c>
      <c r="J406" s="32">
        <f>IF($A406="","",IF($I406="OS inexistente","OS inexistente",IF($E406="Peça não cadastrada","Peça não cadastrada","OK")))</f>
        <v>0</v>
      </c>
    </row>
    <row r="407" spans="1:10">
      <c r="A407" s="17"/>
      <c r="B407" s="13"/>
      <c r="C407" s="20"/>
      <c r="D407" s="19"/>
      <c r="E407" s="26">
        <f>IF($B407="","",IFERROR(INDEX(PecDesc,MATCH($B407,PecCod,0)),"Peça não cadastrada"))</f>
        <v>0</v>
      </c>
      <c r="F407" s="27">
        <f>IF($B407="","",IF($D407&lt;&gt;"",$D407,IFERROR(INDEX(PecPreco,MATCH($B407,PecCod,0)),0)))</f>
        <v>0</v>
      </c>
      <c r="G407" s="27">
        <f>IF(OR($B407="",$C407=""),"",$C407*$F407)</f>
        <v>0</v>
      </c>
      <c r="H407" s="27">
        <f>IF(OR($B407="",$C407=""),"",$C407*IFERROR(INDEX(PecCusto,MATCH($B407,PecCod,0)),0))</f>
        <v>0</v>
      </c>
      <c r="I407" s="32">
        <f>IF($A407="","",IFERROR(INDEX(OSStatus,MATCH($A407,OSNum,0)),"OS inexistente"))</f>
        <v>0</v>
      </c>
      <c r="J407" s="32">
        <f>IF($A407="","",IF($I407="OS inexistente","OS inexistente",IF($E407="Peça não cadastrada","Peça não cadastrada","OK")))</f>
        <v>0</v>
      </c>
    </row>
    <row r="408" spans="1:10">
      <c r="A408" s="17"/>
      <c r="B408" s="13"/>
      <c r="C408" s="20"/>
      <c r="D408" s="19"/>
      <c r="E408" s="26">
        <f>IF($B408="","",IFERROR(INDEX(PecDesc,MATCH($B408,PecCod,0)),"Peça não cadastrada"))</f>
        <v>0</v>
      </c>
      <c r="F408" s="27">
        <f>IF($B408="","",IF($D408&lt;&gt;"",$D408,IFERROR(INDEX(PecPreco,MATCH($B408,PecCod,0)),0)))</f>
        <v>0</v>
      </c>
      <c r="G408" s="27">
        <f>IF(OR($B408="",$C408=""),"",$C408*$F408)</f>
        <v>0</v>
      </c>
      <c r="H408" s="27">
        <f>IF(OR($B408="",$C408=""),"",$C408*IFERROR(INDEX(PecCusto,MATCH($B408,PecCod,0)),0))</f>
        <v>0</v>
      </c>
      <c r="I408" s="32">
        <f>IF($A408="","",IFERROR(INDEX(OSStatus,MATCH($A408,OSNum,0)),"OS inexistente"))</f>
        <v>0</v>
      </c>
      <c r="J408" s="32">
        <f>IF($A408="","",IF($I408="OS inexistente","OS inexistente",IF($E408="Peça não cadastrada","Peça não cadastrada","OK")))</f>
        <v>0</v>
      </c>
    </row>
    <row r="409" spans="1:10">
      <c r="A409" s="17"/>
      <c r="B409" s="13"/>
      <c r="C409" s="20"/>
      <c r="D409" s="19"/>
      <c r="E409" s="26">
        <f>IF($B409="","",IFERROR(INDEX(PecDesc,MATCH($B409,PecCod,0)),"Peça não cadastrada"))</f>
        <v>0</v>
      </c>
      <c r="F409" s="27">
        <f>IF($B409="","",IF($D409&lt;&gt;"",$D409,IFERROR(INDEX(PecPreco,MATCH($B409,PecCod,0)),0)))</f>
        <v>0</v>
      </c>
      <c r="G409" s="27">
        <f>IF(OR($B409="",$C409=""),"",$C409*$F409)</f>
        <v>0</v>
      </c>
      <c r="H409" s="27">
        <f>IF(OR($B409="",$C409=""),"",$C409*IFERROR(INDEX(PecCusto,MATCH($B409,PecCod,0)),0))</f>
        <v>0</v>
      </c>
      <c r="I409" s="32">
        <f>IF($A409="","",IFERROR(INDEX(OSStatus,MATCH($A409,OSNum,0)),"OS inexistente"))</f>
        <v>0</v>
      </c>
      <c r="J409" s="32">
        <f>IF($A409="","",IF($I409="OS inexistente","OS inexistente",IF($E409="Peça não cadastrada","Peça não cadastrada","OK")))</f>
        <v>0</v>
      </c>
    </row>
    <row r="410" spans="1:10">
      <c r="A410" s="17"/>
      <c r="B410" s="13"/>
      <c r="C410" s="20"/>
      <c r="D410" s="19"/>
      <c r="E410" s="26">
        <f>IF($B410="","",IFERROR(INDEX(PecDesc,MATCH($B410,PecCod,0)),"Peça não cadastrada"))</f>
        <v>0</v>
      </c>
      <c r="F410" s="27">
        <f>IF($B410="","",IF($D410&lt;&gt;"",$D410,IFERROR(INDEX(PecPreco,MATCH($B410,PecCod,0)),0)))</f>
        <v>0</v>
      </c>
      <c r="G410" s="27">
        <f>IF(OR($B410="",$C410=""),"",$C410*$F410)</f>
        <v>0</v>
      </c>
      <c r="H410" s="27">
        <f>IF(OR($B410="",$C410=""),"",$C410*IFERROR(INDEX(PecCusto,MATCH($B410,PecCod,0)),0))</f>
        <v>0</v>
      </c>
      <c r="I410" s="32">
        <f>IF($A410="","",IFERROR(INDEX(OSStatus,MATCH($A410,OSNum,0)),"OS inexistente"))</f>
        <v>0</v>
      </c>
      <c r="J410" s="32">
        <f>IF($A410="","",IF($I410="OS inexistente","OS inexistente",IF($E410="Peça não cadastrada","Peça não cadastrada","OK")))</f>
        <v>0</v>
      </c>
    </row>
    <row r="411" spans="1:10">
      <c r="A411" s="17"/>
      <c r="B411" s="13"/>
      <c r="C411" s="20"/>
      <c r="D411" s="19"/>
      <c r="E411" s="26">
        <f>IF($B411="","",IFERROR(INDEX(PecDesc,MATCH($B411,PecCod,0)),"Peça não cadastrada"))</f>
        <v>0</v>
      </c>
      <c r="F411" s="27">
        <f>IF($B411="","",IF($D411&lt;&gt;"",$D411,IFERROR(INDEX(PecPreco,MATCH($B411,PecCod,0)),0)))</f>
        <v>0</v>
      </c>
      <c r="G411" s="27">
        <f>IF(OR($B411="",$C411=""),"",$C411*$F411)</f>
        <v>0</v>
      </c>
      <c r="H411" s="27">
        <f>IF(OR($B411="",$C411=""),"",$C411*IFERROR(INDEX(PecCusto,MATCH($B411,PecCod,0)),0))</f>
        <v>0</v>
      </c>
      <c r="I411" s="32">
        <f>IF($A411="","",IFERROR(INDEX(OSStatus,MATCH($A411,OSNum,0)),"OS inexistente"))</f>
        <v>0</v>
      </c>
      <c r="J411" s="32">
        <f>IF($A411="","",IF($I411="OS inexistente","OS inexistente",IF($E411="Peça não cadastrada","Peça não cadastrada","OK")))</f>
        <v>0</v>
      </c>
    </row>
    <row r="412" spans="1:10">
      <c r="A412" s="17"/>
      <c r="B412" s="13"/>
      <c r="C412" s="20"/>
      <c r="D412" s="19"/>
      <c r="E412" s="26">
        <f>IF($B412="","",IFERROR(INDEX(PecDesc,MATCH($B412,PecCod,0)),"Peça não cadastrada"))</f>
        <v>0</v>
      </c>
      <c r="F412" s="27">
        <f>IF($B412="","",IF($D412&lt;&gt;"",$D412,IFERROR(INDEX(PecPreco,MATCH($B412,PecCod,0)),0)))</f>
        <v>0</v>
      </c>
      <c r="G412" s="27">
        <f>IF(OR($B412="",$C412=""),"",$C412*$F412)</f>
        <v>0</v>
      </c>
      <c r="H412" s="27">
        <f>IF(OR($B412="",$C412=""),"",$C412*IFERROR(INDEX(PecCusto,MATCH($B412,PecCod,0)),0))</f>
        <v>0</v>
      </c>
      <c r="I412" s="32">
        <f>IF($A412="","",IFERROR(INDEX(OSStatus,MATCH($A412,OSNum,0)),"OS inexistente"))</f>
        <v>0</v>
      </c>
      <c r="J412" s="32">
        <f>IF($A412="","",IF($I412="OS inexistente","OS inexistente",IF($E412="Peça não cadastrada","Peça não cadastrada","OK")))</f>
        <v>0</v>
      </c>
    </row>
    <row r="413" spans="1:10">
      <c r="A413" s="17"/>
      <c r="B413" s="13"/>
      <c r="C413" s="20"/>
      <c r="D413" s="19"/>
      <c r="E413" s="26">
        <f>IF($B413="","",IFERROR(INDEX(PecDesc,MATCH($B413,PecCod,0)),"Peça não cadastrada"))</f>
        <v>0</v>
      </c>
      <c r="F413" s="27">
        <f>IF($B413="","",IF($D413&lt;&gt;"",$D413,IFERROR(INDEX(PecPreco,MATCH($B413,PecCod,0)),0)))</f>
        <v>0</v>
      </c>
      <c r="G413" s="27">
        <f>IF(OR($B413="",$C413=""),"",$C413*$F413)</f>
        <v>0</v>
      </c>
      <c r="H413" s="27">
        <f>IF(OR($B413="",$C413=""),"",$C413*IFERROR(INDEX(PecCusto,MATCH($B413,PecCod,0)),0))</f>
        <v>0</v>
      </c>
      <c r="I413" s="32">
        <f>IF($A413="","",IFERROR(INDEX(OSStatus,MATCH($A413,OSNum,0)),"OS inexistente"))</f>
        <v>0</v>
      </c>
      <c r="J413" s="32">
        <f>IF($A413="","",IF($I413="OS inexistente","OS inexistente",IF($E413="Peça não cadastrada","Peça não cadastrada","OK")))</f>
        <v>0</v>
      </c>
    </row>
    <row r="414" spans="1:10">
      <c r="A414" s="17"/>
      <c r="B414" s="13"/>
      <c r="C414" s="20"/>
      <c r="D414" s="19"/>
      <c r="E414" s="26">
        <f>IF($B414="","",IFERROR(INDEX(PecDesc,MATCH($B414,PecCod,0)),"Peça não cadastrada"))</f>
        <v>0</v>
      </c>
      <c r="F414" s="27">
        <f>IF($B414="","",IF($D414&lt;&gt;"",$D414,IFERROR(INDEX(PecPreco,MATCH($B414,PecCod,0)),0)))</f>
        <v>0</v>
      </c>
      <c r="G414" s="27">
        <f>IF(OR($B414="",$C414=""),"",$C414*$F414)</f>
        <v>0</v>
      </c>
      <c r="H414" s="27">
        <f>IF(OR($B414="",$C414=""),"",$C414*IFERROR(INDEX(PecCusto,MATCH($B414,PecCod,0)),0))</f>
        <v>0</v>
      </c>
      <c r="I414" s="32">
        <f>IF($A414="","",IFERROR(INDEX(OSStatus,MATCH($A414,OSNum,0)),"OS inexistente"))</f>
        <v>0</v>
      </c>
      <c r="J414" s="32">
        <f>IF($A414="","",IF($I414="OS inexistente","OS inexistente",IF($E414="Peça não cadastrada","Peça não cadastrada","OK")))</f>
        <v>0</v>
      </c>
    </row>
    <row r="415" spans="1:10">
      <c r="A415" s="17"/>
      <c r="B415" s="13"/>
      <c r="C415" s="20"/>
      <c r="D415" s="19"/>
      <c r="E415" s="26">
        <f>IF($B415="","",IFERROR(INDEX(PecDesc,MATCH($B415,PecCod,0)),"Peça não cadastrada"))</f>
        <v>0</v>
      </c>
      <c r="F415" s="27">
        <f>IF($B415="","",IF($D415&lt;&gt;"",$D415,IFERROR(INDEX(PecPreco,MATCH($B415,PecCod,0)),0)))</f>
        <v>0</v>
      </c>
      <c r="G415" s="27">
        <f>IF(OR($B415="",$C415=""),"",$C415*$F415)</f>
        <v>0</v>
      </c>
      <c r="H415" s="27">
        <f>IF(OR($B415="",$C415=""),"",$C415*IFERROR(INDEX(PecCusto,MATCH($B415,PecCod,0)),0))</f>
        <v>0</v>
      </c>
      <c r="I415" s="32">
        <f>IF($A415="","",IFERROR(INDEX(OSStatus,MATCH($A415,OSNum,0)),"OS inexistente"))</f>
        <v>0</v>
      </c>
      <c r="J415" s="32">
        <f>IF($A415="","",IF($I415="OS inexistente","OS inexistente",IF($E415="Peça não cadastrada","Peça não cadastrada","OK")))</f>
        <v>0</v>
      </c>
    </row>
    <row r="416" spans="1:10">
      <c r="A416" s="17"/>
      <c r="B416" s="13"/>
      <c r="C416" s="20"/>
      <c r="D416" s="19"/>
      <c r="E416" s="26">
        <f>IF($B416="","",IFERROR(INDEX(PecDesc,MATCH($B416,PecCod,0)),"Peça não cadastrada"))</f>
        <v>0</v>
      </c>
      <c r="F416" s="27">
        <f>IF($B416="","",IF($D416&lt;&gt;"",$D416,IFERROR(INDEX(PecPreco,MATCH($B416,PecCod,0)),0)))</f>
        <v>0</v>
      </c>
      <c r="G416" s="27">
        <f>IF(OR($B416="",$C416=""),"",$C416*$F416)</f>
        <v>0</v>
      </c>
      <c r="H416" s="27">
        <f>IF(OR($B416="",$C416=""),"",$C416*IFERROR(INDEX(PecCusto,MATCH($B416,PecCod,0)),0))</f>
        <v>0</v>
      </c>
      <c r="I416" s="32">
        <f>IF($A416="","",IFERROR(INDEX(OSStatus,MATCH($A416,OSNum,0)),"OS inexistente"))</f>
        <v>0</v>
      </c>
      <c r="J416" s="32">
        <f>IF($A416="","",IF($I416="OS inexistente","OS inexistente",IF($E416="Peça não cadastrada","Peça não cadastrada","OK")))</f>
        <v>0</v>
      </c>
    </row>
    <row r="417" spans="1:10">
      <c r="A417" s="17"/>
      <c r="B417" s="13"/>
      <c r="C417" s="20"/>
      <c r="D417" s="19"/>
      <c r="E417" s="26">
        <f>IF($B417="","",IFERROR(INDEX(PecDesc,MATCH($B417,PecCod,0)),"Peça não cadastrada"))</f>
        <v>0</v>
      </c>
      <c r="F417" s="27">
        <f>IF($B417="","",IF($D417&lt;&gt;"",$D417,IFERROR(INDEX(PecPreco,MATCH($B417,PecCod,0)),0)))</f>
        <v>0</v>
      </c>
      <c r="G417" s="27">
        <f>IF(OR($B417="",$C417=""),"",$C417*$F417)</f>
        <v>0</v>
      </c>
      <c r="H417" s="27">
        <f>IF(OR($B417="",$C417=""),"",$C417*IFERROR(INDEX(PecCusto,MATCH($B417,PecCod,0)),0))</f>
        <v>0</v>
      </c>
      <c r="I417" s="32">
        <f>IF($A417="","",IFERROR(INDEX(OSStatus,MATCH($A417,OSNum,0)),"OS inexistente"))</f>
        <v>0</v>
      </c>
      <c r="J417" s="32">
        <f>IF($A417="","",IF($I417="OS inexistente","OS inexistente",IF($E417="Peça não cadastrada","Peça não cadastrada","OK")))</f>
        <v>0</v>
      </c>
    </row>
    <row r="418" spans="1:10">
      <c r="A418" s="17"/>
      <c r="B418" s="13"/>
      <c r="C418" s="20"/>
      <c r="D418" s="19"/>
      <c r="E418" s="26">
        <f>IF($B418="","",IFERROR(INDEX(PecDesc,MATCH($B418,PecCod,0)),"Peça não cadastrada"))</f>
        <v>0</v>
      </c>
      <c r="F418" s="27">
        <f>IF($B418="","",IF($D418&lt;&gt;"",$D418,IFERROR(INDEX(PecPreco,MATCH($B418,PecCod,0)),0)))</f>
        <v>0</v>
      </c>
      <c r="G418" s="27">
        <f>IF(OR($B418="",$C418=""),"",$C418*$F418)</f>
        <v>0</v>
      </c>
      <c r="H418" s="27">
        <f>IF(OR($B418="",$C418=""),"",$C418*IFERROR(INDEX(PecCusto,MATCH($B418,PecCod,0)),0))</f>
        <v>0</v>
      </c>
      <c r="I418" s="32">
        <f>IF($A418="","",IFERROR(INDEX(OSStatus,MATCH($A418,OSNum,0)),"OS inexistente"))</f>
        <v>0</v>
      </c>
      <c r="J418" s="32">
        <f>IF($A418="","",IF($I418="OS inexistente","OS inexistente",IF($E418="Peça não cadastrada","Peça não cadastrada","OK")))</f>
        <v>0</v>
      </c>
    </row>
    <row r="419" spans="1:10">
      <c r="A419" s="17"/>
      <c r="B419" s="13"/>
      <c r="C419" s="20"/>
      <c r="D419" s="19"/>
      <c r="E419" s="26">
        <f>IF($B419="","",IFERROR(INDEX(PecDesc,MATCH($B419,PecCod,0)),"Peça não cadastrada"))</f>
        <v>0</v>
      </c>
      <c r="F419" s="27">
        <f>IF($B419="","",IF($D419&lt;&gt;"",$D419,IFERROR(INDEX(PecPreco,MATCH($B419,PecCod,0)),0)))</f>
        <v>0</v>
      </c>
      <c r="G419" s="27">
        <f>IF(OR($B419="",$C419=""),"",$C419*$F419)</f>
        <v>0</v>
      </c>
      <c r="H419" s="27">
        <f>IF(OR($B419="",$C419=""),"",$C419*IFERROR(INDEX(PecCusto,MATCH($B419,PecCod,0)),0))</f>
        <v>0</v>
      </c>
      <c r="I419" s="32">
        <f>IF($A419="","",IFERROR(INDEX(OSStatus,MATCH($A419,OSNum,0)),"OS inexistente"))</f>
        <v>0</v>
      </c>
      <c r="J419" s="32">
        <f>IF($A419="","",IF($I419="OS inexistente","OS inexistente",IF($E419="Peça não cadastrada","Peça não cadastrada","OK")))</f>
        <v>0</v>
      </c>
    </row>
    <row r="420" spans="1:10">
      <c r="A420" s="17"/>
      <c r="B420" s="13"/>
      <c r="C420" s="20"/>
      <c r="D420" s="19"/>
      <c r="E420" s="26">
        <f>IF($B420="","",IFERROR(INDEX(PecDesc,MATCH($B420,PecCod,0)),"Peça não cadastrada"))</f>
        <v>0</v>
      </c>
      <c r="F420" s="27">
        <f>IF($B420="","",IF($D420&lt;&gt;"",$D420,IFERROR(INDEX(PecPreco,MATCH($B420,PecCod,0)),0)))</f>
        <v>0</v>
      </c>
      <c r="G420" s="27">
        <f>IF(OR($B420="",$C420=""),"",$C420*$F420)</f>
        <v>0</v>
      </c>
      <c r="H420" s="27">
        <f>IF(OR($B420="",$C420=""),"",$C420*IFERROR(INDEX(PecCusto,MATCH($B420,PecCod,0)),0))</f>
        <v>0</v>
      </c>
      <c r="I420" s="32">
        <f>IF($A420="","",IFERROR(INDEX(OSStatus,MATCH($A420,OSNum,0)),"OS inexistente"))</f>
        <v>0</v>
      </c>
      <c r="J420" s="32">
        <f>IF($A420="","",IF($I420="OS inexistente","OS inexistente",IF($E420="Peça não cadastrada","Peça não cadastrada","OK")))</f>
        <v>0</v>
      </c>
    </row>
    <row r="421" spans="1:10">
      <c r="A421" s="17"/>
      <c r="B421" s="13"/>
      <c r="C421" s="20"/>
      <c r="D421" s="19"/>
      <c r="E421" s="26">
        <f>IF($B421="","",IFERROR(INDEX(PecDesc,MATCH($B421,PecCod,0)),"Peça não cadastrada"))</f>
        <v>0</v>
      </c>
      <c r="F421" s="27">
        <f>IF($B421="","",IF($D421&lt;&gt;"",$D421,IFERROR(INDEX(PecPreco,MATCH($B421,PecCod,0)),0)))</f>
        <v>0</v>
      </c>
      <c r="G421" s="27">
        <f>IF(OR($B421="",$C421=""),"",$C421*$F421)</f>
        <v>0</v>
      </c>
      <c r="H421" s="27">
        <f>IF(OR($B421="",$C421=""),"",$C421*IFERROR(INDEX(PecCusto,MATCH($B421,PecCod,0)),0))</f>
        <v>0</v>
      </c>
      <c r="I421" s="32">
        <f>IF($A421="","",IFERROR(INDEX(OSStatus,MATCH($A421,OSNum,0)),"OS inexistente"))</f>
        <v>0</v>
      </c>
      <c r="J421" s="32">
        <f>IF($A421="","",IF($I421="OS inexistente","OS inexistente",IF($E421="Peça não cadastrada","Peça não cadastrada","OK")))</f>
        <v>0</v>
      </c>
    </row>
    <row r="422" spans="1:10">
      <c r="A422" s="17"/>
      <c r="B422" s="13"/>
      <c r="C422" s="20"/>
      <c r="D422" s="19"/>
      <c r="E422" s="26">
        <f>IF($B422="","",IFERROR(INDEX(PecDesc,MATCH($B422,PecCod,0)),"Peça não cadastrada"))</f>
        <v>0</v>
      </c>
      <c r="F422" s="27">
        <f>IF($B422="","",IF($D422&lt;&gt;"",$D422,IFERROR(INDEX(PecPreco,MATCH($B422,PecCod,0)),0)))</f>
        <v>0</v>
      </c>
      <c r="G422" s="27">
        <f>IF(OR($B422="",$C422=""),"",$C422*$F422)</f>
        <v>0</v>
      </c>
      <c r="H422" s="27">
        <f>IF(OR($B422="",$C422=""),"",$C422*IFERROR(INDEX(PecCusto,MATCH($B422,PecCod,0)),0))</f>
        <v>0</v>
      </c>
      <c r="I422" s="32">
        <f>IF($A422="","",IFERROR(INDEX(OSStatus,MATCH($A422,OSNum,0)),"OS inexistente"))</f>
        <v>0</v>
      </c>
      <c r="J422" s="32">
        <f>IF($A422="","",IF($I422="OS inexistente","OS inexistente",IF($E422="Peça não cadastrada","Peça não cadastrada","OK")))</f>
        <v>0</v>
      </c>
    </row>
    <row r="423" spans="1:10">
      <c r="A423" s="17"/>
      <c r="B423" s="13"/>
      <c r="C423" s="20"/>
      <c r="D423" s="19"/>
      <c r="E423" s="26">
        <f>IF($B423="","",IFERROR(INDEX(PecDesc,MATCH($B423,PecCod,0)),"Peça não cadastrada"))</f>
        <v>0</v>
      </c>
      <c r="F423" s="27">
        <f>IF($B423="","",IF($D423&lt;&gt;"",$D423,IFERROR(INDEX(PecPreco,MATCH($B423,PecCod,0)),0)))</f>
        <v>0</v>
      </c>
      <c r="G423" s="27">
        <f>IF(OR($B423="",$C423=""),"",$C423*$F423)</f>
        <v>0</v>
      </c>
      <c r="H423" s="27">
        <f>IF(OR($B423="",$C423=""),"",$C423*IFERROR(INDEX(PecCusto,MATCH($B423,PecCod,0)),0))</f>
        <v>0</v>
      </c>
      <c r="I423" s="32">
        <f>IF($A423="","",IFERROR(INDEX(OSStatus,MATCH($A423,OSNum,0)),"OS inexistente"))</f>
        <v>0</v>
      </c>
      <c r="J423" s="32">
        <f>IF($A423="","",IF($I423="OS inexistente","OS inexistente",IF($E423="Peça não cadastrada","Peça não cadastrada","OK")))</f>
        <v>0</v>
      </c>
    </row>
    <row r="424" spans="1:10">
      <c r="A424" s="17"/>
      <c r="B424" s="13"/>
      <c r="C424" s="20"/>
      <c r="D424" s="19"/>
      <c r="E424" s="26">
        <f>IF($B424="","",IFERROR(INDEX(PecDesc,MATCH($B424,PecCod,0)),"Peça não cadastrada"))</f>
        <v>0</v>
      </c>
      <c r="F424" s="27">
        <f>IF($B424="","",IF($D424&lt;&gt;"",$D424,IFERROR(INDEX(PecPreco,MATCH($B424,PecCod,0)),0)))</f>
        <v>0</v>
      </c>
      <c r="G424" s="27">
        <f>IF(OR($B424="",$C424=""),"",$C424*$F424)</f>
        <v>0</v>
      </c>
      <c r="H424" s="27">
        <f>IF(OR($B424="",$C424=""),"",$C424*IFERROR(INDEX(PecCusto,MATCH($B424,PecCod,0)),0))</f>
        <v>0</v>
      </c>
      <c r="I424" s="32">
        <f>IF($A424="","",IFERROR(INDEX(OSStatus,MATCH($A424,OSNum,0)),"OS inexistente"))</f>
        <v>0</v>
      </c>
      <c r="J424" s="32">
        <f>IF($A424="","",IF($I424="OS inexistente","OS inexistente",IF($E424="Peça não cadastrada","Peça não cadastrada","OK")))</f>
        <v>0</v>
      </c>
    </row>
    <row r="425" spans="1:10">
      <c r="A425" s="17"/>
      <c r="B425" s="13"/>
      <c r="C425" s="20"/>
      <c r="D425" s="19"/>
      <c r="E425" s="26">
        <f>IF($B425="","",IFERROR(INDEX(PecDesc,MATCH($B425,PecCod,0)),"Peça não cadastrada"))</f>
        <v>0</v>
      </c>
      <c r="F425" s="27">
        <f>IF($B425="","",IF($D425&lt;&gt;"",$D425,IFERROR(INDEX(PecPreco,MATCH($B425,PecCod,0)),0)))</f>
        <v>0</v>
      </c>
      <c r="G425" s="27">
        <f>IF(OR($B425="",$C425=""),"",$C425*$F425)</f>
        <v>0</v>
      </c>
      <c r="H425" s="27">
        <f>IF(OR($B425="",$C425=""),"",$C425*IFERROR(INDEX(PecCusto,MATCH($B425,PecCod,0)),0))</f>
        <v>0</v>
      </c>
      <c r="I425" s="32">
        <f>IF($A425="","",IFERROR(INDEX(OSStatus,MATCH($A425,OSNum,0)),"OS inexistente"))</f>
        <v>0</v>
      </c>
      <c r="J425" s="32">
        <f>IF($A425="","",IF($I425="OS inexistente","OS inexistente",IF($E425="Peça não cadastrada","Peça não cadastrada","OK")))</f>
        <v>0</v>
      </c>
    </row>
    <row r="426" spans="1:10">
      <c r="A426" s="17"/>
      <c r="B426" s="13"/>
      <c r="C426" s="20"/>
      <c r="D426" s="19"/>
      <c r="E426" s="26">
        <f>IF($B426="","",IFERROR(INDEX(PecDesc,MATCH($B426,PecCod,0)),"Peça não cadastrada"))</f>
        <v>0</v>
      </c>
      <c r="F426" s="27">
        <f>IF($B426="","",IF($D426&lt;&gt;"",$D426,IFERROR(INDEX(PecPreco,MATCH($B426,PecCod,0)),0)))</f>
        <v>0</v>
      </c>
      <c r="G426" s="27">
        <f>IF(OR($B426="",$C426=""),"",$C426*$F426)</f>
        <v>0</v>
      </c>
      <c r="H426" s="27">
        <f>IF(OR($B426="",$C426=""),"",$C426*IFERROR(INDEX(PecCusto,MATCH($B426,PecCod,0)),0))</f>
        <v>0</v>
      </c>
      <c r="I426" s="32">
        <f>IF($A426="","",IFERROR(INDEX(OSStatus,MATCH($A426,OSNum,0)),"OS inexistente"))</f>
        <v>0</v>
      </c>
      <c r="J426" s="32">
        <f>IF($A426="","",IF($I426="OS inexistente","OS inexistente",IF($E426="Peça não cadastrada","Peça não cadastrada","OK")))</f>
        <v>0</v>
      </c>
    </row>
    <row r="427" spans="1:10">
      <c r="A427" s="17"/>
      <c r="B427" s="13"/>
      <c r="C427" s="20"/>
      <c r="D427" s="19"/>
      <c r="E427" s="26">
        <f>IF($B427="","",IFERROR(INDEX(PecDesc,MATCH($B427,PecCod,0)),"Peça não cadastrada"))</f>
        <v>0</v>
      </c>
      <c r="F427" s="27">
        <f>IF($B427="","",IF($D427&lt;&gt;"",$D427,IFERROR(INDEX(PecPreco,MATCH($B427,PecCod,0)),0)))</f>
        <v>0</v>
      </c>
      <c r="G427" s="27">
        <f>IF(OR($B427="",$C427=""),"",$C427*$F427)</f>
        <v>0</v>
      </c>
      <c r="H427" s="27">
        <f>IF(OR($B427="",$C427=""),"",$C427*IFERROR(INDEX(PecCusto,MATCH($B427,PecCod,0)),0))</f>
        <v>0</v>
      </c>
      <c r="I427" s="32">
        <f>IF($A427="","",IFERROR(INDEX(OSStatus,MATCH($A427,OSNum,0)),"OS inexistente"))</f>
        <v>0</v>
      </c>
      <c r="J427" s="32">
        <f>IF($A427="","",IF($I427="OS inexistente","OS inexistente",IF($E427="Peça não cadastrada","Peça não cadastrada","OK")))</f>
        <v>0</v>
      </c>
    </row>
    <row r="428" spans="1:10">
      <c r="A428" s="17"/>
      <c r="B428" s="13"/>
      <c r="C428" s="20"/>
      <c r="D428" s="19"/>
      <c r="E428" s="26">
        <f>IF($B428="","",IFERROR(INDEX(PecDesc,MATCH($B428,PecCod,0)),"Peça não cadastrada"))</f>
        <v>0</v>
      </c>
      <c r="F428" s="27">
        <f>IF($B428="","",IF($D428&lt;&gt;"",$D428,IFERROR(INDEX(PecPreco,MATCH($B428,PecCod,0)),0)))</f>
        <v>0</v>
      </c>
      <c r="G428" s="27">
        <f>IF(OR($B428="",$C428=""),"",$C428*$F428)</f>
        <v>0</v>
      </c>
      <c r="H428" s="27">
        <f>IF(OR($B428="",$C428=""),"",$C428*IFERROR(INDEX(PecCusto,MATCH($B428,PecCod,0)),0))</f>
        <v>0</v>
      </c>
      <c r="I428" s="32">
        <f>IF($A428="","",IFERROR(INDEX(OSStatus,MATCH($A428,OSNum,0)),"OS inexistente"))</f>
        <v>0</v>
      </c>
      <c r="J428" s="32">
        <f>IF($A428="","",IF($I428="OS inexistente","OS inexistente",IF($E428="Peça não cadastrada","Peça não cadastrada","OK")))</f>
        <v>0</v>
      </c>
    </row>
    <row r="429" spans="1:10">
      <c r="A429" s="17"/>
      <c r="B429" s="13"/>
      <c r="C429" s="20"/>
      <c r="D429" s="19"/>
      <c r="E429" s="26">
        <f>IF($B429="","",IFERROR(INDEX(PecDesc,MATCH($B429,PecCod,0)),"Peça não cadastrada"))</f>
        <v>0</v>
      </c>
      <c r="F429" s="27">
        <f>IF($B429="","",IF($D429&lt;&gt;"",$D429,IFERROR(INDEX(PecPreco,MATCH($B429,PecCod,0)),0)))</f>
        <v>0</v>
      </c>
      <c r="G429" s="27">
        <f>IF(OR($B429="",$C429=""),"",$C429*$F429)</f>
        <v>0</v>
      </c>
      <c r="H429" s="27">
        <f>IF(OR($B429="",$C429=""),"",$C429*IFERROR(INDEX(PecCusto,MATCH($B429,PecCod,0)),0))</f>
        <v>0</v>
      </c>
      <c r="I429" s="32">
        <f>IF($A429="","",IFERROR(INDEX(OSStatus,MATCH($A429,OSNum,0)),"OS inexistente"))</f>
        <v>0</v>
      </c>
      <c r="J429" s="32">
        <f>IF($A429="","",IF($I429="OS inexistente","OS inexistente",IF($E429="Peça não cadastrada","Peça não cadastrada","OK")))</f>
        <v>0</v>
      </c>
    </row>
    <row r="430" spans="1:10">
      <c r="A430" s="17"/>
      <c r="B430" s="13"/>
      <c r="C430" s="20"/>
      <c r="D430" s="19"/>
      <c r="E430" s="26">
        <f>IF($B430="","",IFERROR(INDEX(PecDesc,MATCH($B430,PecCod,0)),"Peça não cadastrada"))</f>
        <v>0</v>
      </c>
      <c r="F430" s="27">
        <f>IF($B430="","",IF($D430&lt;&gt;"",$D430,IFERROR(INDEX(PecPreco,MATCH($B430,PecCod,0)),0)))</f>
        <v>0</v>
      </c>
      <c r="G430" s="27">
        <f>IF(OR($B430="",$C430=""),"",$C430*$F430)</f>
        <v>0</v>
      </c>
      <c r="H430" s="27">
        <f>IF(OR($B430="",$C430=""),"",$C430*IFERROR(INDEX(PecCusto,MATCH($B430,PecCod,0)),0))</f>
        <v>0</v>
      </c>
      <c r="I430" s="32">
        <f>IF($A430="","",IFERROR(INDEX(OSStatus,MATCH($A430,OSNum,0)),"OS inexistente"))</f>
        <v>0</v>
      </c>
      <c r="J430" s="32">
        <f>IF($A430="","",IF($I430="OS inexistente","OS inexistente",IF($E430="Peça não cadastrada","Peça não cadastrada","OK")))</f>
        <v>0</v>
      </c>
    </row>
    <row r="431" spans="1:10">
      <c r="A431" s="17"/>
      <c r="B431" s="13"/>
      <c r="C431" s="20"/>
      <c r="D431" s="19"/>
      <c r="E431" s="26">
        <f>IF($B431="","",IFERROR(INDEX(PecDesc,MATCH($B431,PecCod,0)),"Peça não cadastrada"))</f>
        <v>0</v>
      </c>
      <c r="F431" s="27">
        <f>IF($B431="","",IF($D431&lt;&gt;"",$D431,IFERROR(INDEX(PecPreco,MATCH($B431,PecCod,0)),0)))</f>
        <v>0</v>
      </c>
      <c r="G431" s="27">
        <f>IF(OR($B431="",$C431=""),"",$C431*$F431)</f>
        <v>0</v>
      </c>
      <c r="H431" s="27">
        <f>IF(OR($B431="",$C431=""),"",$C431*IFERROR(INDEX(PecCusto,MATCH($B431,PecCod,0)),0))</f>
        <v>0</v>
      </c>
      <c r="I431" s="32">
        <f>IF($A431="","",IFERROR(INDEX(OSStatus,MATCH($A431,OSNum,0)),"OS inexistente"))</f>
        <v>0</v>
      </c>
      <c r="J431" s="32">
        <f>IF($A431="","",IF($I431="OS inexistente","OS inexistente",IF($E431="Peça não cadastrada","Peça não cadastrada","OK")))</f>
        <v>0</v>
      </c>
    </row>
    <row r="432" spans="1:10">
      <c r="A432" s="17"/>
      <c r="B432" s="13"/>
      <c r="C432" s="20"/>
      <c r="D432" s="19"/>
      <c r="E432" s="26">
        <f>IF($B432="","",IFERROR(INDEX(PecDesc,MATCH($B432,PecCod,0)),"Peça não cadastrada"))</f>
        <v>0</v>
      </c>
      <c r="F432" s="27">
        <f>IF($B432="","",IF($D432&lt;&gt;"",$D432,IFERROR(INDEX(PecPreco,MATCH($B432,PecCod,0)),0)))</f>
        <v>0</v>
      </c>
      <c r="G432" s="27">
        <f>IF(OR($B432="",$C432=""),"",$C432*$F432)</f>
        <v>0</v>
      </c>
      <c r="H432" s="27">
        <f>IF(OR($B432="",$C432=""),"",$C432*IFERROR(INDEX(PecCusto,MATCH($B432,PecCod,0)),0))</f>
        <v>0</v>
      </c>
      <c r="I432" s="32">
        <f>IF($A432="","",IFERROR(INDEX(OSStatus,MATCH($A432,OSNum,0)),"OS inexistente"))</f>
        <v>0</v>
      </c>
      <c r="J432" s="32">
        <f>IF($A432="","",IF($I432="OS inexistente","OS inexistente",IF($E432="Peça não cadastrada","Peça não cadastrada","OK")))</f>
        <v>0</v>
      </c>
    </row>
    <row r="433" spans="1:10">
      <c r="A433" s="17"/>
      <c r="B433" s="13"/>
      <c r="C433" s="20"/>
      <c r="D433" s="19"/>
      <c r="E433" s="26">
        <f>IF($B433="","",IFERROR(INDEX(PecDesc,MATCH($B433,PecCod,0)),"Peça não cadastrada"))</f>
        <v>0</v>
      </c>
      <c r="F433" s="27">
        <f>IF($B433="","",IF($D433&lt;&gt;"",$D433,IFERROR(INDEX(PecPreco,MATCH($B433,PecCod,0)),0)))</f>
        <v>0</v>
      </c>
      <c r="G433" s="27">
        <f>IF(OR($B433="",$C433=""),"",$C433*$F433)</f>
        <v>0</v>
      </c>
      <c r="H433" s="27">
        <f>IF(OR($B433="",$C433=""),"",$C433*IFERROR(INDEX(PecCusto,MATCH($B433,PecCod,0)),0))</f>
        <v>0</v>
      </c>
      <c r="I433" s="32">
        <f>IF($A433="","",IFERROR(INDEX(OSStatus,MATCH($A433,OSNum,0)),"OS inexistente"))</f>
        <v>0</v>
      </c>
      <c r="J433" s="32">
        <f>IF($A433="","",IF($I433="OS inexistente","OS inexistente",IF($E433="Peça não cadastrada","Peça não cadastrada","OK")))</f>
        <v>0</v>
      </c>
    </row>
    <row r="434" spans="1:10">
      <c r="A434" s="17"/>
      <c r="B434" s="13"/>
      <c r="C434" s="20"/>
      <c r="D434" s="19"/>
      <c r="E434" s="26">
        <f>IF($B434="","",IFERROR(INDEX(PecDesc,MATCH($B434,PecCod,0)),"Peça não cadastrada"))</f>
        <v>0</v>
      </c>
      <c r="F434" s="27">
        <f>IF($B434="","",IF($D434&lt;&gt;"",$D434,IFERROR(INDEX(PecPreco,MATCH($B434,PecCod,0)),0)))</f>
        <v>0</v>
      </c>
      <c r="G434" s="27">
        <f>IF(OR($B434="",$C434=""),"",$C434*$F434)</f>
        <v>0</v>
      </c>
      <c r="H434" s="27">
        <f>IF(OR($B434="",$C434=""),"",$C434*IFERROR(INDEX(PecCusto,MATCH($B434,PecCod,0)),0))</f>
        <v>0</v>
      </c>
      <c r="I434" s="32">
        <f>IF($A434="","",IFERROR(INDEX(OSStatus,MATCH($A434,OSNum,0)),"OS inexistente"))</f>
        <v>0</v>
      </c>
      <c r="J434" s="32">
        <f>IF($A434="","",IF($I434="OS inexistente","OS inexistente",IF($E434="Peça não cadastrada","Peça não cadastrada","OK")))</f>
        <v>0</v>
      </c>
    </row>
    <row r="435" spans="1:10">
      <c r="A435" s="17"/>
      <c r="B435" s="13"/>
      <c r="C435" s="20"/>
      <c r="D435" s="19"/>
      <c r="E435" s="26">
        <f>IF($B435="","",IFERROR(INDEX(PecDesc,MATCH($B435,PecCod,0)),"Peça não cadastrada"))</f>
        <v>0</v>
      </c>
      <c r="F435" s="27">
        <f>IF($B435="","",IF($D435&lt;&gt;"",$D435,IFERROR(INDEX(PecPreco,MATCH($B435,PecCod,0)),0)))</f>
        <v>0</v>
      </c>
      <c r="G435" s="27">
        <f>IF(OR($B435="",$C435=""),"",$C435*$F435)</f>
        <v>0</v>
      </c>
      <c r="H435" s="27">
        <f>IF(OR($B435="",$C435=""),"",$C435*IFERROR(INDEX(PecCusto,MATCH($B435,PecCod,0)),0))</f>
        <v>0</v>
      </c>
      <c r="I435" s="32">
        <f>IF($A435="","",IFERROR(INDEX(OSStatus,MATCH($A435,OSNum,0)),"OS inexistente"))</f>
        <v>0</v>
      </c>
      <c r="J435" s="32">
        <f>IF($A435="","",IF($I435="OS inexistente","OS inexistente",IF($E435="Peça não cadastrada","Peça não cadastrada","OK")))</f>
        <v>0</v>
      </c>
    </row>
    <row r="436" spans="1:10">
      <c r="A436" s="17"/>
      <c r="B436" s="13"/>
      <c r="C436" s="20"/>
      <c r="D436" s="19"/>
      <c r="E436" s="26">
        <f>IF($B436="","",IFERROR(INDEX(PecDesc,MATCH($B436,PecCod,0)),"Peça não cadastrada"))</f>
        <v>0</v>
      </c>
      <c r="F436" s="27">
        <f>IF($B436="","",IF($D436&lt;&gt;"",$D436,IFERROR(INDEX(PecPreco,MATCH($B436,PecCod,0)),0)))</f>
        <v>0</v>
      </c>
      <c r="G436" s="27">
        <f>IF(OR($B436="",$C436=""),"",$C436*$F436)</f>
        <v>0</v>
      </c>
      <c r="H436" s="27">
        <f>IF(OR($B436="",$C436=""),"",$C436*IFERROR(INDEX(PecCusto,MATCH($B436,PecCod,0)),0))</f>
        <v>0</v>
      </c>
      <c r="I436" s="32">
        <f>IF($A436="","",IFERROR(INDEX(OSStatus,MATCH($A436,OSNum,0)),"OS inexistente"))</f>
        <v>0</v>
      </c>
      <c r="J436" s="32">
        <f>IF($A436="","",IF($I436="OS inexistente","OS inexistente",IF($E436="Peça não cadastrada","Peça não cadastrada","OK")))</f>
        <v>0</v>
      </c>
    </row>
    <row r="437" spans="1:10">
      <c r="A437" s="17"/>
      <c r="B437" s="13"/>
      <c r="C437" s="20"/>
      <c r="D437" s="19"/>
      <c r="E437" s="26">
        <f>IF($B437="","",IFERROR(INDEX(PecDesc,MATCH($B437,PecCod,0)),"Peça não cadastrada"))</f>
        <v>0</v>
      </c>
      <c r="F437" s="27">
        <f>IF($B437="","",IF($D437&lt;&gt;"",$D437,IFERROR(INDEX(PecPreco,MATCH($B437,PecCod,0)),0)))</f>
        <v>0</v>
      </c>
      <c r="G437" s="27">
        <f>IF(OR($B437="",$C437=""),"",$C437*$F437)</f>
        <v>0</v>
      </c>
      <c r="H437" s="27">
        <f>IF(OR($B437="",$C437=""),"",$C437*IFERROR(INDEX(PecCusto,MATCH($B437,PecCod,0)),0))</f>
        <v>0</v>
      </c>
      <c r="I437" s="32">
        <f>IF($A437="","",IFERROR(INDEX(OSStatus,MATCH($A437,OSNum,0)),"OS inexistente"))</f>
        <v>0</v>
      </c>
      <c r="J437" s="32">
        <f>IF($A437="","",IF($I437="OS inexistente","OS inexistente",IF($E437="Peça não cadastrada","Peça não cadastrada","OK")))</f>
        <v>0</v>
      </c>
    </row>
    <row r="438" spans="1:10">
      <c r="A438" s="17"/>
      <c r="B438" s="13"/>
      <c r="C438" s="20"/>
      <c r="D438" s="19"/>
      <c r="E438" s="26">
        <f>IF($B438="","",IFERROR(INDEX(PecDesc,MATCH($B438,PecCod,0)),"Peça não cadastrada"))</f>
        <v>0</v>
      </c>
      <c r="F438" s="27">
        <f>IF($B438="","",IF($D438&lt;&gt;"",$D438,IFERROR(INDEX(PecPreco,MATCH($B438,PecCod,0)),0)))</f>
        <v>0</v>
      </c>
      <c r="G438" s="27">
        <f>IF(OR($B438="",$C438=""),"",$C438*$F438)</f>
        <v>0</v>
      </c>
      <c r="H438" s="27">
        <f>IF(OR($B438="",$C438=""),"",$C438*IFERROR(INDEX(PecCusto,MATCH($B438,PecCod,0)),0))</f>
        <v>0</v>
      </c>
      <c r="I438" s="32">
        <f>IF($A438="","",IFERROR(INDEX(OSStatus,MATCH($A438,OSNum,0)),"OS inexistente"))</f>
        <v>0</v>
      </c>
      <c r="J438" s="32">
        <f>IF($A438="","",IF($I438="OS inexistente","OS inexistente",IF($E438="Peça não cadastrada","Peça não cadastrada","OK")))</f>
        <v>0</v>
      </c>
    </row>
    <row r="439" spans="1:10">
      <c r="A439" s="17"/>
      <c r="B439" s="13"/>
      <c r="C439" s="20"/>
      <c r="D439" s="19"/>
      <c r="E439" s="26">
        <f>IF($B439="","",IFERROR(INDEX(PecDesc,MATCH($B439,PecCod,0)),"Peça não cadastrada"))</f>
        <v>0</v>
      </c>
      <c r="F439" s="27">
        <f>IF($B439="","",IF($D439&lt;&gt;"",$D439,IFERROR(INDEX(PecPreco,MATCH($B439,PecCod,0)),0)))</f>
        <v>0</v>
      </c>
      <c r="G439" s="27">
        <f>IF(OR($B439="",$C439=""),"",$C439*$F439)</f>
        <v>0</v>
      </c>
      <c r="H439" s="27">
        <f>IF(OR($B439="",$C439=""),"",$C439*IFERROR(INDEX(PecCusto,MATCH($B439,PecCod,0)),0))</f>
        <v>0</v>
      </c>
      <c r="I439" s="32">
        <f>IF($A439="","",IFERROR(INDEX(OSStatus,MATCH($A439,OSNum,0)),"OS inexistente"))</f>
        <v>0</v>
      </c>
      <c r="J439" s="32">
        <f>IF($A439="","",IF($I439="OS inexistente","OS inexistente",IF($E439="Peça não cadastrada","Peça não cadastrada","OK")))</f>
        <v>0</v>
      </c>
    </row>
    <row r="440" spans="1:10">
      <c r="A440" s="17"/>
      <c r="B440" s="13"/>
      <c r="C440" s="20"/>
      <c r="D440" s="19"/>
      <c r="E440" s="26">
        <f>IF($B440="","",IFERROR(INDEX(PecDesc,MATCH($B440,PecCod,0)),"Peça não cadastrada"))</f>
        <v>0</v>
      </c>
      <c r="F440" s="27">
        <f>IF($B440="","",IF($D440&lt;&gt;"",$D440,IFERROR(INDEX(PecPreco,MATCH($B440,PecCod,0)),0)))</f>
        <v>0</v>
      </c>
      <c r="G440" s="27">
        <f>IF(OR($B440="",$C440=""),"",$C440*$F440)</f>
        <v>0</v>
      </c>
      <c r="H440" s="27">
        <f>IF(OR($B440="",$C440=""),"",$C440*IFERROR(INDEX(PecCusto,MATCH($B440,PecCod,0)),0))</f>
        <v>0</v>
      </c>
      <c r="I440" s="32">
        <f>IF($A440="","",IFERROR(INDEX(OSStatus,MATCH($A440,OSNum,0)),"OS inexistente"))</f>
        <v>0</v>
      </c>
      <c r="J440" s="32">
        <f>IF($A440="","",IF($I440="OS inexistente","OS inexistente",IF($E440="Peça não cadastrada","Peça não cadastrada","OK")))</f>
        <v>0</v>
      </c>
    </row>
    <row r="441" spans="1:10">
      <c r="A441" s="17"/>
      <c r="B441" s="13"/>
      <c r="C441" s="20"/>
      <c r="D441" s="19"/>
      <c r="E441" s="26">
        <f>IF($B441="","",IFERROR(INDEX(PecDesc,MATCH($B441,PecCod,0)),"Peça não cadastrada"))</f>
        <v>0</v>
      </c>
      <c r="F441" s="27">
        <f>IF($B441="","",IF($D441&lt;&gt;"",$D441,IFERROR(INDEX(PecPreco,MATCH($B441,PecCod,0)),0)))</f>
        <v>0</v>
      </c>
      <c r="G441" s="27">
        <f>IF(OR($B441="",$C441=""),"",$C441*$F441)</f>
        <v>0</v>
      </c>
      <c r="H441" s="27">
        <f>IF(OR($B441="",$C441=""),"",$C441*IFERROR(INDEX(PecCusto,MATCH($B441,PecCod,0)),0))</f>
        <v>0</v>
      </c>
      <c r="I441" s="32">
        <f>IF($A441="","",IFERROR(INDEX(OSStatus,MATCH($A441,OSNum,0)),"OS inexistente"))</f>
        <v>0</v>
      </c>
      <c r="J441" s="32">
        <f>IF($A441="","",IF($I441="OS inexistente","OS inexistente",IF($E441="Peça não cadastrada","Peça não cadastrada","OK")))</f>
        <v>0</v>
      </c>
    </row>
    <row r="442" spans="1:10">
      <c r="A442" s="17"/>
      <c r="B442" s="13"/>
      <c r="C442" s="20"/>
      <c r="D442" s="19"/>
      <c r="E442" s="26">
        <f>IF($B442="","",IFERROR(INDEX(PecDesc,MATCH($B442,PecCod,0)),"Peça não cadastrada"))</f>
        <v>0</v>
      </c>
      <c r="F442" s="27">
        <f>IF($B442="","",IF($D442&lt;&gt;"",$D442,IFERROR(INDEX(PecPreco,MATCH($B442,PecCod,0)),0)))</f>
        <v>0</v>
      </c>
      <c r="G442" s="27">
        <f>IF(OR($B442="",$C442=""),"",$C442*$F442)</f>
        <v>0</v>
      </c>
      <c r="H442" s="27">
        <f>IF(OR($B442="",$C442=""),"",$C442*IFERROR(INDEX(PecCusto,MATCH($B442,PecCod,0)),0))</f>
        <v>0</v>
      </c>
      <c r="I442" s="32">
        <f>IF($A442="","",IFERROR(INDEX(OSStatus,MATCH($A442,OSNum,0)),"OS inexistente"))</f>
        <v>0</v>
      </c>
      <c r="J442" s="32">
        <f>IF($A442="","",IF($I442="OS inexistente","OS inexistente",IF($E442="Peça não cadastrada","Peça não cadastrada","OK")))</f>
        <v>0</v>
      </c>
    </row>
    <row r="443" spans="1:10">
      <c r="A443" s="17"/>
      <c r="B443" s="13"/>
      <c r="C443" s="20"/>
      <c r="D443" s="19"/>
      <c r="E443" s="26">
        <f>IF($B443="","",IFERROR(INDEX(PecDesc,MATCH($B443,PecCod,0)),"Peça não cadastrada"))</f>
        <v>0</v>
      </c>
      <c r="F443" s="27">
        <f>IF($B443="","",IF($D443&lt;&gt;"",$D443,IFERROR(INDEX(PecPreco,MATCH($B443,PecCod,0)),0)))</f>
        <v>0</v>
      </c>
      <c r="G443" s="27">
        <f>IF(OR($B443="",$C443=""),"",$C443*$F443)</f>
        <v>0</v>
      </c>
      <c r="H443" s="27">
        <f>IF(OR($B443="",$C443=""),"",$C443*IFERROR(INDEX(PecCusto,MATCH($B443,PecCod,0)),0))</f>
        <v>0</v>
      </c>
      <c r="I443" s="32">
        <f>IF($A443="","",IFERROR(INDEX(OSStatus,MATCH($A443,OSNum,0)),"OS inexistente"))</f>
        <v>0</v>
      </c>
      <c r="J443" s="32">
        <f>IF($A443="","",IF($I443="OS inexistente","OS inexistente",IF($E443="Peça não cadastrada","Peça não cadastrada","OK")))</f>
        <v>0</v>
      </c>
    </row>
    <row r="444" spans="1:10">
      <c r="A444" s="17"/>
      <c r="B444" s="13"/>
      <c r="C444" s="20"/>
      <c r="D444" s="19"/>
      <c r="E444" s="26">
        <f>IF($B444="","",IFERROR(INDEX(PecDesc,MATCH($B444,PecCod,0)),"Peça não cadastrada"))</f>
        <v>0</v>
      </c>
      <c r="F444" s="27">
        <f>IF($B444="","",IF($D444&lt;&gt;"",$D444,IFERROR(INDEX(PecPreco,MATCH($B444,PecCod,0)),0)))</f>
        <v>0</v>
      </c>
      <c r="G444" s="27">
        <f>IF(OR($B444="",$C444=""),"",$C444*$F444)</f>
        <v>0</v>
      </c>
      <c r="H444" s="27">
        <f>IF(OR($B444="",$C444=""),"",$C444*IFERROR(INDEX(PecCusto,MATCH($B444,PecCod,0)),0))</f>
        <v>0</v>
      </c>
      <c r="I444" s="32">
        <f>IF($A444="","",IFERROR(INDEX(OSStatus,MATCH($A444,OSNum,0)),"OS inexistente"))</f>
        <v>0</v>
      </c>
      <c r="J444" s="32">
        <f>IF($A444="","",IF($I444="OS inexistente","OS inexistente",IF($E444="Peça não cadastrada","Peça não cadastrada","OK")))</f>
        <v>0</v>
      </c>
    </row>
    <row r="445" spans="1:10">
      <c r="A445" s="17"/>
      <c r="B445" s="13"/>
      <c r="C445" s="20"/>
      <c r="D445" s="19"/>
      <c r="E445" s="26">
        <f>IF($B445="","",IFERROR(INDEX(PecDesc,MATCH($B445,PecCod,0)),"Peça não cadastrada"))</f>
        <v>0</v>
      </c>
      <c r="F445" s="27">
        <f>IF($B445="","",IF($D445&lt;&gt;"",$D445,IFERROR(INDEX(PecPreco,MATCH($B445,PecCod,0)),0)))</f>
        <v>0</v>
      </c>
      <c r="G445" s="27">
        <f>IF(OR($B445="",$C445=""),"",$C445*$F445)</f>
        <v>0</v>
      </c>
      <c r="H445" s="27">
        <f>IF(OR($B445="",$C445=""),"",$C445*IFERROR(INDEX(PecCusto,MATCH($B445,PecCod,0)),0))</f>
        <v>0</v>
      </c>
      <c r="I445" s="32">
        <f>IF($A445="","",IFERROR(INDEX(OSStatus,MATCH($A445,OSNum,0)),"OS inexistente"))</f>
        <v>0</v>
      </c>
      <c r="J445" s="32">
        <f>IF($A445="","",IF($I445="OS inexistente","OS inexistente",IF($E445="Peça não cadastrada","Peça não cadastrada","OK")))</f>
        <v>0</v>
      </c>
    </row>
    <row r="446" spans="1:10">
      <c r="A446" s="17"/>
      <c r="B446" s="13"/>
      <c r="C446" s="20"/>
      <c r="D446" s="19"/>
      <c r="E446" s="26">
        <f>IF($B446="","",IFERROR(INDEX(PecDesc,MATCH($B446,PecCod,0)),"Peça não cadastrada"))</f>
        <v>0</v>
      </c>
      <c r="F446" s="27">
        <f>IF($B446="","",IF($D446&lt;&gt;"",$D446,IFERROR(INDEX(PecPreco,MATCH($B446,PecCod,0)),0)))</f>
        <v>0</v>
      </c>
      <c r="G446" s="27">
        <f>IF(OR($B446="",$C446=""),"",$C446*$F446)</f>
        <v>0</v>
      </c>
      <c r="H446" s="27">
        <f>IF(OR($B446="",$C446=""),"",$C446*IFERROR(INDEX(PecCusto,MATCH($B446,PecCod,0)),0))</f>
        <v>0</v>
      </c>
      <c r="I446" s="32">
        <f>IF($A446="","",IFERROR(INDEX(OSStatus,MATCH($A446,OSNum,0)),"OS inexistente"))</f>
        <v>0</v>
      </c>
      <c r="J446" s="32">
        <f>IF($A446="","",IF($I446="OS inexistente","OS inexistente",IF($E446="Peça não cadastrada","Peça não cadastrada","OK")))</f>
        <v>0</v>
      </c>
    </row>
    <row r="447" spans="1:10">
      <c r="A447" s="17"/>
      <c r="B447" s="13"/>
      <c r="C447" s="20"/>
      <c r="D447" s="19"/>
      <c r="E447" s="26">
        <f>IF($B447="","",IFERROR(INDEX(PecDesc,MATCH($B447,PecCod,0)),"Peça não cadastrada"))</f>
        <v>0</v>
      </c>
      <c r="F447" s="27">
        <f>IF($B447="","",IF($D447&lt;&gt;"",$D447,IFERROR(INDEX(PecPreco,MATCH($B447,PecCod,0)),0)))</f>
        <v>0</v>
      </c>
      <c r="G447" s="27">
        <f>IF(OR($B447="",$C447=""),"",$C447*$F447)</f>
        <v>0</v>
      </c>
      <c r="H447" s="27">
        <f>IF(OR($B447="",$C447=""),"",$C447*IFERROR(INDEX(PecCusto,MATCH($B447,PecCod,0)),0))</f>
        <v>0</v>
      </c>
      <c r="I447" s="32">
        <f>IF($A447="","",IFERROR(INDEX(OSStatus,MATCH($A447,OSNum,0)),"OS inexistente"))</f>
        <v>0</v>
      </c>
      <c r="J447" s="32">
        <f>IF($A447="","",IF($I447="OS inexistente","OS inexistente",IF($E447="Peça não cadastrada","Peça não cadastrada","OK")))</f>
        <v>0</v>
      </c>
    </row>
    <row r="448" spans="1:10">
      <c r="A448" s="17"/>
      <c r="B448" s="13"/>
      <c r="C448" s="20"/>
      <c r="D448" s="19"/>
      <c r="E448" s="26">
        <f>IF($B448="","",IFERROR(INDEX(PecDesc,MATCH($B448,PecCod,0)),"Peça não cadastrada"))</f>
        <v>0</v>
      </c>
      <c r="F448" s="27">
        <f>IF($B448="","",IF($D448&lt;&gt;"",$D448,IFERROR(INDEX(PecPreco,MATCH($B448,PecCod,0)),0)))</f>
        <v>0</v>
      </c>
      <c r="G448" s="27">
        <f>IF(OR($B448="",$C448=""),"",$C448*$F448)</f>
        <v>0</v>
      </c>
      <c r="H448" s="27">
        <f>IF(OR($B448="",$C448=""),"",$C448*IFERROR(INDEX(PecCusto,MATCH($B448,PecCod,0)),0))</f>
        <v>0</v>
      </c>
      <c r="I448" s="32">
        <f>IF($A448="","",IFERROR(INDEX(OSStatus,MATCH($A448,OSNum,0)),"OS inexistente"))</f>
        <v>0</v>
      </c>
      <c r="J448" s="32">
        <f>IF($A448="","",IF($I448="OS inexistente","OS inexistente",IF($E448="Peça não cadastrada","Peça não cadastrada","OK")))</f>
        <v>0</v>
      </c>
    </row>
    <row r="449" spans="1:10">
      <c r="A449" s="17"/>
      <c r="B449" s="13"/>
      <c r="C449" s="20"/>
      <c r="D449" s="19"/>
      <c r="E449" s="26">
        <f>IF($B449="","",IFERROR(INDEX(PecDesc,MATCH($B449,PecCod,0)),"Peça não cadastrada"))</f>
        <v>0</v>
      </c>
      <c r="F449" s="27">
        <f>IF($B449="","",IF($D449&lt;&gt;"",$D449,IFERROR(INDEX(PecPreco,MATCH($B449,PecCod,0)),0)))</f>
        <v>0</v>
      </c>
      <c r="G449" s="27">
        <f>IF(OR($B449="",$C449=""),"",$C449*$F449)</f>
        <v>0</v>
      </c>
      <c r="H449" s="27">
        <f>IF(OR($B449="",$C449=""),"",$C449*IFERROR(INDEX(PecCusto,MATCH($B449,PecCod,0)),0))</f>
        <v>0</v>
      </c>
      <c r="I449" s="32">
        <f>IF($A449="","",IFERROR(INDEX(OSStatus,MATCH($A449,OSNum,0)),"OS inexistente"))</f>
        <v>0</v>
      </c>
      <c r="J449" s="32">
        <f>IF($A449="","",IF($I449="OS inexistente","OS inexistente",IF($E449="Peça não cadastrada","Peça não cadastrada","OK")))</f>
        <v>0</v>
      </c>
    </row>
    <row r="450" spans="1:10">
      <c r="A450" s="17"/>
      <c r="B450" s="13"/>
      <c r="C450" s="20"/>
      <c r="D450" s="19"/>
      <c r="E450" s="26">
        <f>IF($B450="","",IFERROR(INDEX(PecDesc,MATCH($B450,PecCod,0)),"Peça não cadastrada"))</f>
        <v>0</v>
      </c>
      <c r="F450" s="27">
        <f>IF($B450="","",IF($D450&lt;&gt;"",$D450,IFERROR(INDEX(PecPreco,MATCH($B450,PecCod,0)),0)))</f>
        <v>0</v>
      </c>
      <c r="G450" s="27">
        <f>IF(OR($B450="",$C450=""),"",$C450*$F450)</f>
        <v>0</v>
      </c>
      <c r="H450" s="27">
        <f>IF(OR($B450="",$C450=""),"",$C450*IFERROR(INDEX(PecCusto,MATCH($B450,PecCod,0)),0))</f>
        <v>0</v>
      </c>
      <c r="I450" s="32">
        <f>IF($A450="","",IFERROR(INDEX(OSStatus,MATCH($A450,OSNum,0)),"OS inexistente"))</f>
        <v>0</v>
      </c>
      <c r="J450" s="32">
        <f>IF($A450="","",IF($I450="OS inexistente","OS inexistente",IF($E450="Peça não cadastrada","Peça não cadastrada","OK")))</f>
        <v>0</v>
      </c>
    </row>
    <row r="451" spans="1:10">
      <c r="A451" s="17"/>
      <c r="B451" s="13"/>
      <c r="C451" s="20"/>
      <c r="D451" s="19"/>
      <c r="E451" s="26">
        <f>IF($B451="","",IFERROR(INDEX(PecDesc,MATCH($B451,PecCod,0)),"Peça não cadastrada"))</f>
        <v>0</v>
      </c>
      <c r="F451" s="27">
        <f>IF($B451="","",IF($D451&lt;&gt;"",$D451,IFERROR(INDEX(PecPreco,MATCH($B451,PecCod,0)),0)))</f>
        <v>0</v>
      </c>
      <c r="G451" s="27">
        <f>IF(OR($B451="",$C451=""),"",$C451*$F451)</f>
        <v>0</v>
      </c>
      <c r="H451" s="27">
        <f>IF(OR($B451="",$C451=""),"",$C451*IFERROR(INDEX(PecCusto,MATCH($B451,PecCod,0)),0))</f>
        <v>0</v>
      </c>
      <c r="I451" s="32">
        <f>IF($A451="","",IFERROR(INDEX(OSStatus,MATCH($A451,OSNum,0)),"OS inexistente"))</f>
        <v>0</v>
      </c>
      <c r="J451" s="32">
        <f>IF($A451="","",IF($I451="OS inexistente","OS inexistente",IF($E451="Peça não cadastrada","Peça não cadastrada","OK")))</f>
        <v>0</v>
      </c>
    </row>
    <row r="452" spans="1:10">
      <c r="A452" s="17"/>
      <c r="B452" s="13"/>
      <c r="C452" s="20"/>
      <c r="D452" s="19"/>
      <c r="E452" s="26">
        <f>IF($B452="","",IFERROR(INDEX(PecDesc,MATCH($B452,PecCod,0)),"Peça não cadastrada"))</f>
        <v>0</v>
      </c>
      <c r="F452" s="27">
        <f>IF($B452="","",IF($D452&lt;&gt;"",$D452,IFERROR(INDEX(PecPreco,MATCH($B452,PecCod,0)),0)))</f>
        <v>0</v>
      </c>
      <c r="G452" s="27">
        <f>IF(OR($B452="",$C452=""),"",$C452*$F452)</f>
        <v>0</v>
      </c>
      <c r="H452" s="27">
        <f>IF(OR($B452="",$C452=""),"",$C452*IFERROR(INDEX(PecCusto,MATCH($B452,PecCod,0)),0))</f>
        <v>0</v>
      </c>
      <c r="I452" s="32">
        <f>IF($A452="","",IFERROR(INDEX(OSStatus,MATCH($A452,OSNum,0)),"OS inexistente"))</f>
        <v>0</v>
      </c>
      <c r="J452" s="32">
        <f>IF($A452="","",IF($I452="OS inexistente","OS inexistente",IF($E452="Peça não cadastrada","Peça não cadastrada","OK")))</f>
        <v>0</v>
      </c>
    </row>
    <row r="453" spans="1:10">
      <c r="A453" s="17"/>
      <c r="B453" s="13"/>
      <c r="C453" s="20"/>
      <c r="D453" s="19"/>
      <c r="E453" s="26">
        <f>IF($B453="","",IFERROR(INDEX(PecDesc,MATCH($B453,PecCod,0)),"Peça não cadastrada"))</f>
        <v>0</v>
      </c>
      <c r="F453" s="27">
        <f>IF($B453="","",IF($D453&lt;&gt;"",$D453,IFERROR(INDEX(PecPreco,MATCH($B453,PecCod,0)),0)))</f>
        <v>0</v>
      </c>
      <c r="G453" s="27">
        <f>IF(OR($B453="",$C453=""),"",$C453*$F453)</f>
        <v>0</v>
      </c>
      <c r="H453" s="27">
        <f>IF(OR($B453="",$C453=""),"",$C453*IFERROR(INDEX(PecCusto,MATCH($B453,PecCod,0)),0))</f>
        <v>0</v>
      </c>
      <c r="I453" s="32">
        <f>IF($A453="","",IFERROR(INDEX(OSStatus,MATCH($A453,OSNum,0)),"OS inexistente"))</f>
        <v>0</v>
      </c>
      <c r="J453" s="32">
        <f>IF($A453="","",IF($I453="OS inexistente","OS inexistente",IF($E453="Peça não cadastrada","Peça não cadastrada","OK")))</f>
        <v>0</v>
      </c>
    </row>
    <row r="454" spans="1:10">
      <c r="A454" s="17"/>
      <c r="B454" s="13"/>
      <c r="C454" s="20"/>
      <c r="D454" s="19"/>
      <c r="E454" s="26">
        <f>IF($B454="","",IFERROR(INDEX(PecDesc,MATCH($B454,PecCod,0)),"Peça não cadastrada"))</f>
        <v>0</v>
      </c>
      <c r="F454" s="27">
        <f>IF($B454="","",IF($D454&lt;&gt;"",$D454,IFERROR(INDEX(PecPreco,MATCH($B454,PecCod,0)),0)))</f>
        <v>0</v>
      </c>
      <c r="G454" s="27">
        <f>IF(OR($B454="",$C454=""),"",$C454*$F454)</f>
        <v>0</v>
      </c>
      <c r="H454" s="27">
        <f>IF(OR($B454="",$C454=""),"",$C454*IFERROR(INDEX(PecCusto,MATCH($B454,PecCod,0)),0))</f>
        <v>0</v>
      </c>
      <c r="I454" s="32">
        <f>IF($A454="","",IFERROR(INDEX(OSStatus,MATCH($A454,OSNum,0)),"OS inexistente"))</f>
        <v>0</v>
      </c>
      <c r="J454" s="32">
        <f>IF($A454="","",IF($I454="OS inexistente","OS inexistente",IF($E454="Peça não cadastrada","Peça não cadastrada","OK")))</f>
        <v>0</v>
      </c>
    </row>
    <row r="455" spans="1:10">
      <c r="A455" s="17"/>
      <c r="B455" s="13"/>
      <c r="C455" s="20"/>
      <c r="D455" s="19"/>
      <c r="E455" s="26">
        <f>IF($B455="","",IFERROR(INDEX(PecDesc,MATCH($B455,PecCod,0)),"Peça não cadastrada"))</f>
        <v>0</v>
      </c>
      <c r="F455" s="27">
        <f>IF($B455="","",IF($D455&lt;&gt;"",$D455,IFERROR(INDEX(PecPreco,MATCH($B455,PecCod,0)),0)))</f>
        <v>0</v>
      </c>
      <c r="G455" s="27">
        <f>IF(OR($B455="",$C455=""),"",$C455*$F455)</f>
        <v>0</v>
      </c>
      <c r="H455" s="27">
        <f>IF(OR($B455="",$C455=""),"",$C455*IFERROR(INDEX(PecCusto,MATCH($B455,PecCod,0)),0))</f>
        <v>0</v>
      </c>
      <c r="I455" s="32">
        <f>IF($A455="","",IFERROR(INDEX(OSStatus,MATCH($A455,OSNum,0)),"OS inexistente"))</f>
        <v>0</v>
      </c>
      <c r="J455" s="32">
        <f>IF($A455="","",IF($I455="OS inexistente","OS inexistente",IF($E455="Peça não cadastrada","Peça não cadastrada","OK")))</f>
        <v>0</v>
      </c>
    </row>
    <row r="456" spans="1:10">
      <c r="A456" s="17"/>
      <c r="B456" s="13"/>
      <c r="C456" s="20"/>
      <c r="D456" s="19"/>
      <c r="E456" s="26">
        <f>IF($B456="","",IFERROR(INDEX(PecDesc,MATCH($B456,PecCod,0)),"Peça não cadastrada"))</f>
        <v>0</v>
      </c>
      <c r="F456" s="27">
        <f>IF($B456="","",IF($D456&lt;&gt;"",$D456,IFERROR(INDEX(PecPreco,MATCH($B456,PecCod,0)),0)))</f>
        <v>0</v>
      </c>
      <c r="G456" s="27">
        <f>IF(OR($B456="",$C456=""),"",$C456*$F456)</f>
        <v>0</v>
      </c>
      <c r="H456" s="27">
        <f>IF(OR($B456="",$C456=""),"",$C456*IFERROR(INDEX(PecCusto,MATCH($B456,PecCod,0)),0))</f>
        <v>0</v>
      </c>
      <c r="I456" s="32">
        <f>IF($A456="","",IFERROR(INDEX(OSStatus,MATCH($A456,OSNum,0)),"OS inexistente"))</f>
        <v>0</v>
      </c>
      <c r="J456" s="32">
        <f>IF($A456="","",IF($I456="OS inexistente","OS inexistente",IF($E456="Peça não cadastrada","Peça não cadastrada","OK")))</f>
        <v>0</v>
      </c>
    </row>
    <row r="457" spans="1:10">
      <c r="A457" s="17"/>
      <c r="B457" s="13"/>
      <c r="C457" s="20"/>
      <c r="D457" s="19"/>
      <c r="E457" s="26">
        <f>IF($B457="","",IFERROR(INDEX(PecDesc,MATCH($B457,PecCod,0)),"Peça não cadastrada"))</f>
        <v>0</v>
      </c>
      <c r="F457" s="27">
        <f>IF($B457="","",IF($D457&lt;&gt;"",$D457,IFERROR(INDEX(PecPreco,MATCH($B457,PecCod,0)),0)))</f>
        <v>0</v>
      </c>
      <c r="G457" s="27">
        <f>IF(OR($B457="",$C457=""),"",$C457*$F457)</f>
        <v>0</v>
      </c>
      <c r="H457" s="27">
        <f>IF(OR($B457="",$C457=""),"",$C457*IFERROR(INDEX(PecCusto,MATCH($B457,PecCod,0)),0))</f>
        <v>0</v>
      </c>
      <c r="I457" s="32">
        <f>IF($A457="","",IFERROR(INDEX(OSStatus,MATCH($A457,OSNum,0)),"OS inexistente"))</f>
        <v>0</v>
      </c>
      <c r="J457" s="32">
        <f>IF($A457="","",IF($I457="OS inexistente","OS inexistente",IF($E457="Peça não cadastrada","Peça não cadastrada","OK")))</f>
        <v>0</v>
      </c>
    </row>
    <row r="458" spans="1:10">
      <c r="A458" s="17"/>
      <c r="B458" s="13"/>
      <c r="C458" s="20"/>
      <c r="D458" s="19"/>
      <c r="E458" s="26">
        <f>IF($B458="","",IFERROR(INDEX(PecDesc,MATCH($B458,PecCod,0)),"Peça não cadastrada"))</f>
        <v>0</v>
      </c>
      <c r="F458" s="27">
        <f>IF($B458="","",IF($D458&lt;&gt;"",$D458,IFERROR(INDEX(PecPreco,MATCH($B458,PecCod,0)),0)))</f>
        <v>0</v>
      </c>
      <c r="G458" s="27">
        <f>IF(OR($B458="",$C458=""),"",$C458*$F458)</f>
        <v>0</v>
      </c>
      <c r="H458" s="27">
        <f>IF(OR($B458="",$C458=""),"",$C458*IFERROR(INDEX(PecCusto,MATCH($B458,PecCod,0)),0))</f>
        <v>0</v>
      </c>
      <c r="I458" s="32">
        <f>IF($A458="","",IFERROR(INDEX(OSStatus,MATCH($A458,OSNum,0)),"OS inexistente"))</f>
        <v>0</v>
      </c>
      <c r="J458" s="32">
        <f>IF($A458="","",IF($I458="OS inexistente","OS inexistente",IF($E458="Peça não cadastrada","Peça não cadastrada","OK")))</f>
        <v>0</v>
      </c>
    </row>
    <row r="459" spans="1:10">
      <c r="A459" s="17"/>
      <c r="B459" s="13"/>
      <c r="C459" s="20"/>
      <c r="D459" s="19"/>
      <c r="E459" s="26">
        <f>IF($B459="","",IFERROR(INDEX(PecDesc,MATCH($B459,PecCod,0)),"Peça não cadastrada"))</f>
        <v>0</v>
      </c>
      <c r="F459" s="27">
        <f>IF($B459="","",IF($D459&lt;&gt;"",$D459,IFERROR(INDEX(PecPreco,MATCH($B459,PecCod,0)),0)))</f>
        <v>0</v>
      </c>
      <c r="G459" s="27">
        <f>IF(OR($B459="",$C459=""),"",$C459*$F459)</f>
        <v>0</v>
      </c>
      <c r="H459" s="27">
        <f>IF(OR($B459="",$C459=""),"",$C459*IFERROR(INDEX(PecCusto,MATCH($B459,PecCod,0)),0))</f>
        <v>0</v>
      </c>
      <c r="I459" s="32">
        <f>IF($A459="","",IFERROR(INDEX(OSStatus,MATCH($A459,OSNum,0)),"OS inexistente"))</f>
        <v>0</v>
      </c>
      <c r="J459" s="32">
        <f>IF($A459="","",IF($I459="OS inexistente","OS inexistente",IF($E459="Peça não cadastrada","Peça não cadastrada","OK")))</f>
        <v>0</v>
      </c>
    </row>
    <row r="460" spans="1:10">
      <c r="A460" s="17"/>
      <c r="B460" s="13"/>
      <c r="C460" s="20"/>
      <c r="D460" s="19"/>
      <c r="E460" s="26">
        <f>IF($B460="","",IFERROR(INDEX(PecDesc,MATCH($B460,PecCod,0)),"Peça não cadastrada"))</f>
        <v>0</v>
      </c>
      <c r="F460" s="27">
        <f>IF($B460="","",IF($D460&lt;&gt;"",$D460,IFERROR(INDEX(PecPreco,MATCH($B460,PecCod,0)),0)))</f>
        <v>0</v>
      </c>
      <c r="G460" s="27">
        <f>IF(OR($B460="",$C460=""),"",$C460*$F460)</f>
        <v>0</v>
      </c>
      <c r="H460" s="27">
        <f>IF(OR($B460="",$C460=""),"",$C460*IFERROR(INDEX(PecCusto,MATCH($B460,PecCod,0)),0))</f>
        <v>0</v>
      </c>
      <c r="I460" s="32">
        <f>IF($A460="","",IFERROR(INDEX(OSStatus,MATCH($A460,OSNum,0)),"OS inexistente"))</f>
        <v>0</v>
      </c>
      <c r="J460" s="32">
        <f>IF($A460="","",IF($I460="OS inexistente","OS inexistente",IF($E460="Peça não cadastrada","Peça não cadastrada","OK")))</f>
        <v>0</v>
      </c>
    </row>
    <row r="461" spans="1:10">
      <c r="A461" s="17"/>
      <c r="B461" s="13"/>
      <c r="C461" s="20"/>
      <c r="D461" s="19"/>
      <c r="E461" s="26">
        <f>IF($B461="","",IFERROR(INDEX(PecDesc,MATCH($B461,PecCod,0)),"Peça não cadastrada"))</f>
        <v>0</v>
      </c>
      <c r="F461" s="27">
        <f>IF($B461="","",IF($D461&lt;&gt;"",$D461,IFERROR(INDEX(PecPreco,MATCH($B461,PecCod,0)),0)))</f>
        <v>0</v>
      </c>
      <c r="G461" s="27">
        <f>IF(OR($B461="",$C461=""),"",$C461*$F461)</f>
        <v>0</v>
      </c>
      <c r="H461" s="27">
        <f>IF(OR($B461="",$C461=""),"",$C461*IFERROR(INDEX(PecCusto,MATCH($B461,PecCod,0)),0))</f>
        <v>0</v>
      </c>
      <c r="I461" s="32">
        <f>IF($A461="","",IFERROR(INDEX(OSStatus,MATCH($A461,OSNum,0)),"OS inexistente"))</f>
        <v>0</v>
      </c>
      <c r="J461" s="32">
        <f>IF($A461="","",IF($I461="OS inexistente","OS inexistente",IF($E461="Peça não cadastrada","Peça não cadastrada","OK")))</f>
        <v>0</v>
      </c>
    </row>
    <row r="462" spans="1:10">
      <c r="A462" s="17"/>
      <c r="B462" s="13"/>
      <c r="C462" s="20"/>
      <c r="D462" s="19"/>
      <c r="E462" s="26">
        <f>IF($B462="","",IFERROR(INDEX(PecDesc,MATCH($B462,PecCod,0)),"Peça não cadastrada"))</f>
        <v>0</v>
      </c>
      <c r="F462" s="27">
        <f>IF($B462="","",IF($D462&lt;&gt;"",$D462,IFERROR(INDEX(PecPreco,MATCH($B462,PecCod,0)),0)))</f>
        <v>0</v>
      </c>
      <c r="G462" s="27">
        <f>IF(OR($B462="",$C462=""),"",$C462*$F462)</f>
        <v>0</v>
      </c>
      <c r="H462" s="27">
        <f>IF(OR($B462="",$C462=""),"",$C462*IFERROR(INDEX(PecCusto,MATCH($B462,PecCod,0)),0))</f>
        <v>0</v>
      </c>
      <c r="I462" s="32">
        <f>IF($A462="","",IFERROR(INDEX(OSStatus,MATCH($A462,OSNum,0)),"OS inexistente"))</f>
        <v>0</v>
      </c>
      <c r="J462" s="32">
        <f>IF($A462="","",IF($I462="OS inexistente","OS inexistente",IF($E462="Peça não cadastrada","Peça não cadastrada","OK")))</f>
        <v>0</v>
      </c>
    </row>
    <row r="463" spans="1:10">
      <c r="A463" s="17"/>
      <c r="B463" s="13"/>
      <c r="C463" s="20"/>
      <c r="D463" s="19"/>
      <c r="E463" s="26">
        <f>IF($B463="","",IFERROR(INDEX(PecDesc,MATCH($B463,PecCod,0)),"Peça não cadastrada"))</f>
        <v>0</v>
      </c>
      <c r="F463" s="27">
        <f>IF($B463="","",IF($D463&lt;&gt;"",$D463,IFERROR(INDEX(PecPreco,MATCH($B463,PecCod,0)),0)))</f>
        <v>0</v>
      </c>
      <c r="G463" s="27">
        <f>IF(OR($B463="",$C463=""),"",$C463*$F463)</f>
        <v>0</v>
      </c>
      <c r="H463" s="27">
        <f>IF(OR($B463="",$C463=""),"",$C463*IFERROR(INDEX(PecCusto,MATCH($B463,PecCod,0)),0))</f>
        <v>0</v>
      </c>
      <c r="I463" s="32">
        <f>IF($A463="","",IFERROR(INDEX(OSStatus,MATCH($A463,OSNum,0)),"OS inexistente"))</f>
        <v>0</v>
      </c>
      <c r="J463" s="32">
        <f>IF($A463="","",IF($I463="OS inexistente","OS inexistente",IF($E463="Peça não cadastrada","Peça não cadastrada","OK")))</f>
        <v>0</v>
      </c>
    </row>
    <row r="464" spans="1:10">
      <c r="A464" s="17"/>
      <c r="B464" s="13"/>
      <c r="C464" s="20"/>
      <c r="D464" s="19"/>
      <c r="E464" s="26">
        <f>IF($B464="","",IFERROR(INDEX(PecDesc,MATCH($B464,PecCod,0)),"Peça não cadastrada"))</f>
        <v>0</v>
      </c>
      <c r="F464" s="27">
        <f>IF($B464="","",IF($D464&lt;&gt;"",$D464,IFERROR(INDEX(PecPreco,MATCH($B464,PecCod,0)),0)))</f>
        <v>0</v>
      </c>
      <c r="G464" s="27">
        <f>IF(OR($B464="",$C464=""),"",$C464*$F464)</f>
        <v>0</v>
      </c>
      <c r="H464" s="27">
        <f>IF(OR($B464="",$C464=""),"",$C464*IFERROR(INDEX(PecCusto,MATCH($B464,PecCod,0)),0))</f>
        <v>0</v>
      </c>
      <c r="I464" s="32">
        <f>IF($A464="","",IFERROR(INDEX(OSStatus,MATCH($A464,OSNum,0)),"OS inexistente"))</f>
        <v>0</v>
      </c>
      <c r="J464" s="32">
        <f>IF($A464="","",IF($I464="OS inexistente","OS inexistente",IF($E464="Peça não cadastrada","Peça não cadastrada","OK")))</f>
        <v>0</v>
      </c>
    </row>
    <row r="465" spans="1:10">
      <c r="A465" s="17"/>
      <c r="B465" s="13"/>
      <c r="C465" s="20"/>
      <c r="D465" s="19"/>
      <c r="E465" s="26">
        <f>IF($B465="","",IFERROR(INDEX(PecDesc,MATCH($B465,PecCod,0)),"Peça não cadastrada"))</f>
        <v>0</v>
      </c>
      <c r="F465" s="27">
        <f>IF($B465="","",IF($D465&lt;&gt;"",$D465,IFERROR(INDEX(PecPreco,MATCH($B465,PecCod,0)),0)))</f>
        <v>0</v>
      </c>
      <c r="G465" s="27">
        <f>IF(OR($B465="",$C465=""),"",$C465*$F465)</f>
        <v>0</v>
      </c>
      <c r="H465" s="27">
        <f>IF(OR($B465="",$C465=""),"",$C465*IFERROR(INDEX(PecCusto,MATCH($B465,PecCod,0)),0))</f>
        <v>0</v>
      </c>
      <c r="I465" s="32">
        <f>IF($A465="","",IFERROR(INDEX(OSStatus,MATCH($A465,OSNum,0)),"OS inexistente"))</f>
        <v>0</v>
      </c>
      <c r="J465" s="32">
        <f>IF($A465="","",IF($I465="OS inexistente","OS inexistente",IF($E465="Peça não cadastrada","Peça não cadastrada","OK")))</f>
        <v>0</v>
      </c>
    </row>
    <row r="466" spans="1:10">
      <c r="A466" s="17"/>
      <c r="B466" s="13"/>
      <c r="C466" s="20"/>
      <c r="D466" s="19"/>
      <c r="E466" s="26">
        <f>IF($B466="","",IFERROR(INDEX(PecDesc,MATCH($B466,PecCod,0)),"Peça não cadastrada"))</f>
        <v>0</v>
      </c>
      <c r="F466" s="27">
        <f>IF($B466="","",IF($D466&lt;&gt;"",$D466,IFERROR(INDEX(PecPreco,MATCH($B466,PecCod,0)),0)))</f>
        <v>0</v>
      </c>
      <c r="G466" s="27">
        <f>IF(OR($B466="",$C466=""),"",$C466*$F466)</f>
        <v>0</v>
      </c>
      <c r="H466" s="27">
        <f>IF(OR($B466="",$C466=""),"",$C466*IFERROR(INDEX(PecCusto,MATCH($B466,PecCod,0)),0))</f>
        <v>0</v>
      </c>
      <c r="I466" s="32">
        <f>IF($A466="","",IFERROR(INDEX(OSStatus,MATCH($A466,OSNum,0)),"OS inexistente"))</f>
        <v>0</v>
      </c>
      <c r="J466" s="32">
        <f>IF($A466="","",IF($I466="OS inexistente","OS inexistente",IF($E466="Peça não cadastrada","Peça não cadastrada","OK")))</f>
        <v>0</v>
      </c>
    </row>
    <row r="467" spans="1:10">
      <c r="A467" s="17"/>
      <c r="B467" s="13"/>
      <c r="C467" s="20"/>
      <c r="D467" s="19"/>
      <c r="E467" s="26">
        <f>IF($B467="","",IFERROR(INDEX(PecDesc,MATCH($B467,PecCod,0)),"Peça não cadastrada"))</f>
        <v>0</v>
      </c>
      <c r="F467" s="27">
        <f>IF($B467="","",IF($D467&lt;&gt;"",$D467,IFERROR(INDEX(PecPreco,MATCH($B467,PecCod,0)),0)))</f>
        <v>0</v>
      </c>
      <c r="G467" s="27">
        <f>IF(OR($B467="",$C467=""),"",$C467*$F467)</f>
        <v>0</v>
      </c>
      <c r="H467" s="27">
        <f>IF(OR($B467="",$C467=""),"",$C467*IFERROR(INDEX(PecCusto,MATCH($B467,PecCod,0)),0))</f>
        <v>0</v>
      </c>
      <c r="I467" s="32">
        <f>IF($A467="","",IFERROR(INDEX(OSStatus,MATCH($A467,OSNum,0)),"OS inexistente"))</f>
        <v>0</v>
      </c>
      <c r="J467" s="32">
        <f>IF($A467="","",IF($I467="OS inexistente","OS inexistente",IF($E467="Peça não cadastrada","Peça não cadastrada","OK")))</f>
        <v>0</v>
      </c>
    </row>
    <row r="468" spans="1:10">
      <c r="A468" s="17"/>
      <c r="B468" s="13"/>
      <c r="C468" s="20"/>
      <c r="D468" s="19"/>
      <c r="E468" s="26">
        <f>IF($B468="","",IFERROR(INDEX(PecDesc,MATCH($B468,PecCod,0)),"Peça não cadastrada"))</f>
        <v>0</v>
      </c>
      <c r="F468" s="27">
        <f>IF($B468="","",IF($D468&lt;&gt;"",$D468,IFERROR(INDEX(PecPreco,MATCH($B468,PecCod,0)),0)))</f>
        <v>0</v>
      </c>
      <c r="G468" s="27">
        <f>IF(OR($B468="",$C468=""),"",$C468*$F468)</f>
        <v>0</v>
      </c>
      <c r="H468" s="27">
        <f>IF(OR($B468="",$C468=""),"",$C468*IFERROR(INDEX(PecCusto,MATCH($B468,PecCod,0)),0))</f>
        <v>0</v>
      </c>
      <c r="I468" s="32">
        <f>IF($A468="","",IFERROR(INDEX(OSStatus,MATCH($A468,OSNum,0)),"OS inexistente"))</f>
        <v>0</v>
      </c>
      <c r="J468" s="32">
        <f>IF($A468="","",IF($I468="OS inexistente","OS inexistente",IF($E468="Peça não cadastrada","Peça não cadastrada","OK")))</f>
        <v>0</v>
      </c>
    </row>
    <row r="469" spans="1:10">
      <c r="A469" s="17"/>
      <c r="B469" s="13"/>
      <c r="C469" s="20"/>
      <c r="D469" s="19"/>
      <c r="E469" s="26">
        <f>IF($B469="","",IFERROR(INDEX(PecDesc,MATCH($B469,PecCod,0)),"Peça não cadastrada"))</f>
        <v>0</v>
      </c>
      <c r="F469" s="27">
        <f>IF($B469="","",IF($D469&lt;&gt;"",$D469,IFERROR(INDEX(PecPreco,MATCH($B469,PecCod,0)),0)))</f>
        <v>0</v>
      </c>
      <c r="G469" s="27">
        <f>IF(OR($B469="",$C469=""),"",$C469*$F469)</f>
        <v>0</v>
      </c>
      <c r="H469" s="27">
        <f>IF(OR($B469="",$C469=""),"",$C469*IFERROR(INDEX(PecCusto,MATCH($B469,PecCod,0)),0))</f>
        <v>0</v>
      </c>
      <c r="I469" s="32">
        <f>IF($A469="","",IFERROR(INDEX(OSStatus,MATCH($A469,OSNum,0)),"OS inexistente"))</f>
        <v>0</v>
      </c>
      <c r="J469" s="32">
        <f>IF($A469="","",IF($I469="OS inexistente","OS inexistente",IF($E469="Peça não cadastrada","Peça não cadastrada","OK")))</f>
        <v>0</v>
      </c>
    </row>
    <row r="470" spans="1:10">
      <c r="A470" s="17"/>
      <c r="B470" s="13"/>
      <c r="C470" s="20"/>
      <c r="D470" s="19"/>
      <c r="E470" s="26">
        <f>IF($B470="","",IFERROR(INDEX(PecDesc,MATCH($B470,PecCod,0)),"Peça não cadastrada"))</f>
        <v>0</v>
      </c>
      <c r="F470" s="27">
        <f>IF($B470="","",IF($D470&lt;&gt;"",$D470,IFERROR(INDEX(PecPreco,MATCH($B470,PecCod,0)),0)))</f>
        <v>0</v>
      </c>
      <c r="G470" s="27">
        <f>IF(OR($B470="",$C470=""),"",$C470*$F470)</f>
        <v>0</v>
      </c>
      <c r="H470" s="27">
        <f>IF(OR($B470="",$C470=""),"",$C470*IFERROR(INDEX(PecCusto,MATCH($B470,PecCod,0)),0))</f>
        <v>0</v>
      </c>
      <c r="I470" s="32">
        <f>IF($A470="","",IFERROR(INDEX(OSStatus,MATCH($A470,OSNum,0)),"OS inexistente"))</f>
        <v>0</v>
      </c>
      <c r="J470" s="32">
        <f>IF($A470="","",IF($I470="OS inexistente","OS inexistente",IF($E470="Peça não cadastrada","Peça não cadastrada","OK")))</f>
        <v>0</v>
      </c>
    </row>
    <row r="471" spans="1:10">
      <c r="A471" s="17"/>
      <c r="B471" s="13"/>
      <c r="C471" s="20"/>
      <c r="D471" s="19"/>
      <c r="E471" s="26">
        <f>IF($B471="","",IFERROR(INDEX(PecDesc,MATCH($B471,PecCod,0)),"Peça não cadastrada"))</f>
        <v>0</v>
      </c>
      <c r="F471" s="27">
        <f>IF($B471="","",IF($D471&lt;&gt;"",$D471,IFERROR(INDEX(PecPreco,MATCH($B471,PecCod,0)),0)))</f>
        <v>0</v>
      </c>
      <c r="G471" s="27">
        <f>IF(OR($B471="",$C471=""),"",$C471*$F471)</f>
        <v>0</v>
      </c>
      <c r="H471" s="27">
        <f>IF(OR($B471="",$C471=""),"",$C471*IFERROR(INDEX(PecCusto,MATCH($B471,PecCod,0)),0))</f>
        <v>0</v>
      </c>
      <c r="I471" s="32">
        <f>IF($A471="","",IFERROR(INDEX(OSStatus,MATCH($A471,OSNum,0)),"OS inexistente"))</f>
        <v>0</v>
      </c>
      <c r="J471" s="32">
        <f>IF($A471="","",IF($I471="OS inexistente","OS inexistente",IF($E471="Peça não cadastrada","Peça não cadastrada","OK")))</f>
        <v>0</v>
      </c>
    </row>
    <row r="472" spans="1:10">
      <c r="A472" s="17"/>
      <c r="B472" s="13"/>
      <c r="C472" s="20"/>
      <c r="D472" s="19"/>
      <c r="E472" s="26">
        <f>IF($B472="","",IFERROR(INDEX(PecDesc,MATCH($B472,PecCod,0)),"Peça não cadastrada"))</f>
        <v>0</v>
      </c>
      <c r="F472" s="27">
        <f>IF($B472="","",IF($D472&lt;&gt;"",$D472,IFERROR(INDEX(PecPreco,MATCH($B472,PecCod,0)),0)))</f>
        <v>0</v>
      </c>
      <c r="G472" s="27">
        <f>IF(OR($B472="",$C472=""),"",$C472*$F472)</f>
        <v>0</v>
      </c>
      <c r="H472" s="27">
        <f>IF(OR($B472="",$C472=""),"",$C472*IFERROR(INDEX(PecCusto,MATCH($B472,PecCod,0)),0))</f>
        <v>0</v>
      </c>
      <c r="I472" s="32">
        <f>IF($A472="","",IFERROR(INDEX(OSStatus,MATCH($A472,OSNum,0)),"OS inexistente"))</f>
        <v>0</v>
      </c>
      <c r="J472" s="32">
        <f>IF($A472="","",IF($I472="OS inexistente","OS inexistente",IF($E472="Peça não cadastrada","Peça não cadastrada","OK")))</f>
        <v>0</v>
      </c>
    </row>
    <row r="473" spans="1:10">
      <c r="A473" s="17"/>
      <c r="B473" s="13"/>
      <c r="C473" s="20"/>
      <c r="D473" s="19"/>
      <c r="E473" s="26">
        <f>IF($B473="","",IFERROR(INDEX(PecDesc,MATCH($B473,PecCod,0)),"Peça não cadastrada"))</f>
        <v>0</v>
      </c>
      <c r="F473" s="27">
        <f>IF($B473="","",IF($D473&lt;&gt;"",$D473,IFERROR(INDEX(PecPreco,MATCH($B473,PecCod,0)),0)))</f>
        <v>0</v>
      </c>
      <c r="G473" s="27">
        <f>IF(OR($B473="",$C473=""),"",$C473*$F473)</f>
        <v>0</v>
      </c>
      <c r="H473" s="27">
        <f>IF(OR($B473="",$C473=""),"",$C473*IFERROR(INDEX(PecCusto,MATCH($B473,PecCod,0)),0))</f>
        <v>0</v>
      </c>
      <c r="I473" s="32">
        <f>IF($A473="","",IFERROR(INDEX(OSStatus,MATCH($A473,OSNum,0)),"OS inexistente"))</f>
        <v>0</v>
      </c>
      <c r="J473" s="32">
        <f>IF($A473="","",IF($I473="OS inexistente","OS inexistente",IF($E473="Peça não cadastrada","Peça não cadastrada","OK")))</f>
        <v>0</v>
      </c>
    </row>
    <row r="474" spans="1:10">
      <c r="A474" s="17"/>
      <c r="B474" s="13"/>
      <c r="C474" s="20"/>
      <c r="D474" s="19"/>
      <c r="E474" s="26">
        <f>IF($B474="","",IFERROR(INDEX(PecDesc,MATCH($B474,PecCod,0)),"Peça não cadastrada"))</f>
        <v>0</v>
      </c>
      <c r="F474" s="27">
        <f>IF($B474="","",IF($D474&lt;&gt;"",$D474,IFERROR(INDEX(PecPreco,MATCH($B474,PecCod,0)),0)))</f>
        <v>0</v>
      </c>
      <c r="G474" s="27">
        <f>IF(OR($B474="",$C474=""),"",$C474*$F474)</f>
        <v>0</v>
      </c>
      <c r="H474" s="27">
        <f>IF(OR($B474="",$C474=""),"",$C474*IFERROR(INDEX(PecCusto,MATCH($B474,PecCod,0)),0))</f>
        <v>0</v>
      </c>
      <c r="I474" s="32">
        <f>IF($A474="","",IFERROR(INDEX(OSStatus,MATCH($A474,OSNum,0)),"OS inexistente"))</f>
        <v>0</v>
      </c>
      <c r="J474" s="32">
        <f>IF($A474="","",IF($I474="OS inexistente","OS inexistente",IF($E474="Peça não cadastrada","Peça não cadastrada","OK")))</f>
        <v>0</v>
      </c>
    </row>
    <row r="475" spans="1:10">
      <c r="A475" s="17"/>
      <c r="B475" s="13"/>
      <c r="C475" s="20"/>
      <c r="D475" s="19"/>
      <c r="E475" s="26">
        <f>IF($B475="","",IFERROR(INDEX(PecDesc,MATCH($B475,PecCod,0)),"Peça não cadastrada"))</f>
        <v>0</v>
      </c>
      <c r="F475" s="27">
        <f>IF($B475="","",IF($D475&lt;&gt;"",$D475,IFERROR(INDEX(PecPreco,MATCH($B475,PecCod,0)),0)))</f>
        <v>0</v>
      </c>
      <c r="G475" s="27">
        <f>IF(OR($B475="",$C475=""),"",$C475*$F475)</f>
        <v>0</v>
      </c>
      <c r="H475" s="27">
        <f>IF(OR($B475="",$C475=""),"",$C475*IFERROR(INDEX(PecCusto,MATCH($B475,PecCod,0)),0))</f>
        <v>0</v>
      </c>
      <c r="I475" s="32">
        <f>IF($A475="","",IFERROR(INDEX(OSStatus,MATCH($A475,OSNum,0)),"OS inexistente"))</f>
        <v>0</v>
      </c>
      <c r="J475" s="32">
        <f>IF($A475="","",IF($I475="OS inexistente","OS inexistente",IF($E475="Peça não cadastrada","Peça não cadastrada","OK")))</f>
        <v>0</v>
      </c>
    </row>
    <row r="476" spans="1:10">
      <c r="A476" s="17"/>
      <c r="B476" s="13"/>
      <c r="C476" s="20"/>
      <c r="D476" s="19"/>
      <c r="E476" s="26">
        <f>IF($B476="","",IFERROR(INDEX(PecDesc,MATCH($B476,PecCod,0)),"Peça não cadastrada"))</f>
        <v>0</v>
      </c>
      <c r="F476" s="27">
        <f>IF($B476="","",IF($D476&lt;&gt;"",$D476,IFERROR(INDEX(PecPreco,MATCH($B476,PecCod,0)),0)))</f>
        <v>0</v>
      </c>
      <c r="G476" s="27">
        <f>IF(OR($B476="",$C476=""),"",$C476*$F476)</f>
        <v>0</v>
      </c>
      <c r="H476" s="27">
        <f>IF(OR($B476="",$C476=""),"",$C476*IFERROR(INDEX(PecCusto,MATCH($B476,PecCod,0)),0))</f>
        <v>0</v>
      </c>
      <c r="I476" s="32">
        <f>IF($A476="","",IFERROR(INDEX(OSStatus,MATCH($A476,OSNum,0)),"OS inexistente"))</f>
        <v>0</v>
      </c>
      <c r="J476" s="32">
        <f>IF($A476="","",IF($I476="OS inexistente","OS inexistente",IF($E476="Peça não cadastrada","Peça não cadastrada","OK")))</f>
        <v>0</v>
      </c>
    </row>
    <row r="477" spans="1:10">
      <c r="A477" s="17"/>
      <c r="B477" s="13"/>
      <c r="C477" s="20"/>
      <c r="D477" s="19"/>
      <c r="E477" s="26">
        <f>IF($B477="","",IFERROR(INDEX(PecDesc,MATCH($B477,PecCod,0)),"Peça não cadastrada"))</f>
        <v>0</v>
      </c>
      <c r="F477" s="27">
        <f>IF($B477="","",IF($D477&lt;&gt;"",$D477,IFERROR(INDEX(PecPreco,MATCH($B477,PecCod,0)),0)))</f>
        <v>0</v>
      </c>
      <c r="G477" s="27">
        <f>IF(OR($B477="",$C477=""),"",$C477*$F477)</f>
        <v>0</v>
      </c>
      <c r="H477" s="27">
        <f>IF(OR($B477="",$C477=""),"",$C477*IFERROR(INDEX(PecCusto,MATCH($B477,PecCod,0)),0))</f>
        <v>0</v>
      </c>
      <c r="I477" s="32">
        <f>IF($A477="","",IFERROR(INDEX(OSStatus,MATCH($A477,OSNum,0)),"OS inexistente"))</f>
        <v>0</v>
      </c>
      <c r="J477" s="32">
        <f>IF($A477="","",IF($I477="OS inexistente","OS inexistente",IF($E477="Peça não cadastrada","Peça não cadastrada","OK")))</f>
        <v>0</v>
      </c>
    </row>
    <row r="478" spans="1:10">
      <c r="A478" s="17"/>
      <c r="B478" s="13"/>
      <c r="C478" s="20"/>
      <c r="D478" s="19"/>
      <c r="E478" s="26">
        <f>IF($B478="","",IFERROR(INDEX(PecDesc,MATCH($B478,PecCod,0)),"Peça não cadastrada"))</f>
        <v>0</v>
      </c>
      <c r="F478" s="27">
        <f>IF($B478="","",IF($D478&lt;&gt;"",$D478,IFERROR(INDEX(PecPreco,MATCH($B478,PecCod,0)),0)))</f>
        <v>0</v>
      </c>
      <c r="G478" s="27">
        <f>IF(OR($B478="",$C478=""),"",$C478*$F478)</f>
        <v>0</v>
      </c>
      <c r="H478" s="27">
        <f>IF(OR($B478="",$C478=""),"",$C478*IFERROR(INDEX(PecCusto,MATCH($B478,PecCod,0)),0))</f>
        <v>0</v>
      </c>
      <c r="I478" s="32">
        <f>IF($A478="","",IFERROR(INDEX(OSStatus,MATCH($A478,OSNum,0)),"OS inexistente"))</f>
        <v>0</v>
      </c>
      <c r="J478" s="32">
        <f>IF($A478="","",IF($I478="OS inexistente","OS inexistente",IF($E478="Peça não cadastrada","Peça não cadastrada","OK")))</f>
        <v>0</v>
      </c>
    </row>
    <row r="479" spans="1:10">
      <c r="A479" s="17"/>
      <c r="B479" s="13"/>
      <c r="C479" s="20"/>
      <c r="D479" s="19"/>
      <c r="E479" s="26">
        <f>IF($B479="","",IFERROR(INDEX(PecDesc,MATCH($B479,PecCod,0)),"Peça não cadastrada"))</f>
        <v>0</v>
      </c>
      <c r="F479" s="27">
        <f>IF($B479="","",IF($D479&lt;&gt;"",$D479,IFERROR(INDEX(PecPreco,MATCH($B479,PecCod,0)),0)))</f>
        <v>0</v>
      </c>
      <c r="G479" s="27">
        <f>IF(OR($B479="",$C479=""),"",$C479*$F479)</f>
        <v>0</v>
      </c>
      <c r="H479" s="27">
        <f>IF(OR($B479="",$C479=""),"",$C479*IFERROR(INDEX(PecCusto,MATCH($B479,PecCod,0)),0))</f>
        <v>0</v>
      </c>
      <c r="I479" s="32">
        <f>IF($A479="","",IFERROR(INDEX(OSStatus,MATCH($A479,OSNum,0)),"OS inexistente"))</f>
        <v>0</v>
      </c>
      <c r="J479" s="32">
        <f>IF($A479="","",IF($I479="OS inexistente","OS inexistente",IF($E479="Peça não cadastrada","Peça não cadastrada","OK")))</f>
        <v>0</v>
      </c>
    </row>
    <row r="480" spans="1:10">
      <c r="A480" s="17"/>
      <c r="B480" s="13"/>
      <c r="C480" s="20"/>
      <c r="D480" s="19"/>
      <c r="E480" s="26">
        <f>IF($B480="","",IFERROR(INDEX(PecDesc,MATCH($B480,PecCod,0)),"Peça não cadastrada"))</f>
        <v>0</v>
      </c>
      <c r="F480" s="27">
        <f>IF($B480="","",IF($D480&lt;&gt;"",$D480,IFERROR(INDEX(PecPreco,MATCH($B480,PecCod,0)),0)))</f>
        <v>0</v>
      </c>
      <c r="G480" s="27">
        <f>IF(OR($B480="",$C480=""),"",$C480*$F480)</f>
        <v>0</v>
      </c>
      <c r="H480" s="27">
        <f>IF(OR($B480="",$C480=""),"",$C480*IFERROR(INDEX(PecCusto,MATCH($B480,PecCod,0)),0))</f>
        <v>0</v>
      </c>
      <c r="I480" s="32">
        <f>IF($A480="","",IFERROR(INDEX(OSStatus,MATCH($A480,OSNum,0)),"OS inexistente"))</f>
        <v>0</v>
      </c>
      <c r="J480" s="32">
        <f>IF($A480="","",IF($I480="OS inexistente","OS inexistente",IF($E480="Peça não cadastrada","Peça não cadastrada","OK")))</f>
        <v>0</v>
      </c>
    </row>
    <row r="481" spans="1:10">
      <c r="A481" s="17"/>
      <c r="B481" s="13"/>
      <c r="C481" s="20"/>
      <c r="D481" s="19"/>
      <c r="E481" s="26">
        <f>IF($B481="","",IFERROR(INDEX(PecDesc,MATCH($B481,PecCod,0)),"Peça não cadastrada"))</f>
        <v>0</v>
      </c>
      <c r="F481" s="27">
        <f>IF($B481="","",IF($D481&lt;&gt;"",$D481,IFERROR(INDEX(PecPreco,MATCH($B481,PecCod,0)),0)))</f>
        <v>0</v>
      </c>
      <c r="G481" s="27">
        <f>IF(OR($B481="",$C481=""),"",$C481*$F481)</f>
        <v>0</v>
      </c>
      <c r="H481" s="27">
        <f>IF(OR($B481="",$C481=""),"",$C481*IFERROR(INDEX(PecCusto,MATCH($B481,PecCod,0)),0))</f>
        <v>0</v>
      </c>
      <c r="I481" s="32">
        <f>IF($A481="","",IFERROR(INDEX(OSStatus,MATCH($A481,OSNum,0)),"OS inexistente"))</f>
        <v>0</v>
      </c>
      <c r="J481" s="32">
        <f>IF($A481="","",IF($I481="OS inexistente","OS inexistente",IF($E481="Peça não cadastrada","Peça não cadastrada","OK")))</f>
        <v>0</v>
      </c>
    </row>
    <row r="482" spans="1:10">
      <c r="A482" s="17"/>
      <c r="B482" s="13"/>
      <c r="C482" s="20"/>
      <c r="D482" s="19"/>
      <c r="E482" s="26">
        <f>IF($B482="","",IFERROR(INDEX(PecDesc,MATCH($B482,PecCod,0)),"Peça não cadastrada"))</f>
        <v>0</v>
      </c>
      <c r="F482" s="27">
        <f>IF($B482="","",IF($D482&lt;&gt;"",$D482,IFERROR(INDEX(PecPreco,MATCH($B482,PecCod,0)),0)))</f>
        <v>0</v>
      </c>
      <c r="G482" s="27">
        <f>IF(OR($B482="",$C482=""),"",$C482*$F482)</f>
        <v>0</v>
      </c>
      <c r="H482" s="27">
        <f>IF(OR($B482="",$C482=""),"",$C482*IFERROR(INDEX(PecCusto,MATCH($B482,PecCod,0)),0))</f>
        <v>0</v>
      </c>
      <c r="I482" s="32">
        <f>IF($A482="","",IFERROR(INDEX(OSStatus,MATCH($A482,OSNum,0)),"OS inexistente"))</f>
        <v>0</v>
      </c>
      <c r="J482" s="32">
        <f>IF($A482="","",IF($I482="OS inexistente","OS inexistente",IF($E482="Peça não cadastrada","Peça não cadastrada","OK")))</f>
        <v>0</v>
      </c>
    </row>
    <row r="483" spans="1:10">
      <c r="A483" s="17"/>
      <c r="B483" s="13"/>
      <c r="C483" s="20"/>
      <c r="D483" s="19"/>
      <c r="E483" s="26">
        <f>IF($B483="","",IFERROR(INDEX(PecDesc,MATCH($B483,PecCod,0)),"Peça não cadastrada"))</f>
        <v>0</v>
      </c>
      <c r="F483" s="27">
        <f>IF($B483="","",IF($D483&lt;&gt;"",$D483,IFERROR(INDEX(PecPreco,MATCH($B483,PecCod,0)),0)))</f>
        <v>0</v>
      </c>
      <c r="G483" s="27">
        <f>IF(OR($B483="",$C483=""),"",$C483*$F483)</f>
        <v>0</v>
      </c>
      <c r="H483" s="27">
        <f>IF(OR($B483="",$C483=""),"",$C483*IFERROR(INDEX(PecCusto,MATCH($B483,PecCod,0)),0))</f>
        <v>0</v>
      </c>
      <c r="I483" s="32">
        <f>IF($A483="","",IFERROR(INDEX(OSStatus,MATCH($A483,OSNum,0)),"OS inexistente"))</f>
        <v>0</v>
      </c>
      <c r="J483" s="32">
        <f>IF($A483="","",IF($I483="OS inexistente","OS inexistente",IF($E483="Peça não cadastrada","Peça não cadastrada","OK")))</f>
        <v>0</v>
      </c>
    </row>
    <row r="484" spans="1:10">
      <c r="A484" s="17"/>
      <c r="B484" s="13"/>
      <c r="C484" s="20"/>
      <c r="D484" s="19"/>
      <c r="E484" s="26">
        <f>IF($B484="","",IFERROR(INDEX(PecDesc,MATCH($B484,PecCod,0)),"Peça não cadastrada"))</f>
        <v>0</v>
      </c>
      <c r="F484" s="27">
        <f>IF($B484="","",IF($D484&lt;&gt;"",$D484,IFERROR(INDEX(PecPreco,MATCH($B484,PecCod,0)),0)))</f>
        <v>0</v>
      </c>
      <c r="G484" s="27">
        <f>IF(OR($B484="",$C484=""),"",$C484*$F484)</f>
        <v>0</v>
      </c>
      <c r="H484" s="27">
        <f>IF(OR($B484="",$C484=""),"",$C484*IFERROR(INDEX(PecCusto,MATCH($B484,PecCod,0)),0))</f>
        <v>0</v>
      </c>
      <c r="I484" s="32">
        <f>IF($A484="","",IFERROR(INDEX(OSStatus,MATCH($A484,OSNum,0)),"OS inexistente"))</f>
        <v>0</v>
      </c>
      <c r="J484" s="32">
        <f>IF($A484="","",IF($I484="OS inexistente","OS inexistente",IF($E484="Peça não cadastrada","Peça não cadastrada","OK")))</f>
        <v>0</v>
      </c>
    </row>
    <row r="485" spans="1:10">
      <c r="A485" s="17"/>
      <c r="B485" s="13"/>
      <c r="C485" s="20"/>
      <c r="D485" s="19"/>
      <c r="E485" s="26">
        <f>IF($B485="","",IFERROR(INDEX(PecDesc,MATCH($B485,PecCod,0)),"Peça não cadastrada"))</f>
        <v>0</v>
      </c>
      <c r="F485" s="27">
        <f>IF($B485="","",IF($D485&lt;&gt;"",$D485,IFERROR(INDEX(PecPreco,MATCH($B485,PecCod,0)),0)))</f>
        <v>0</v>
      </c>
      <c r="G485" s="27">
        <f>IF(OR($B485="",$C485=""),"",$C485*$F485)</f>
        <v>0</v>
      </c>
      <c r="H485" s="27">
        <f>IF(OR($B485="",$C485=""),"",$C485*IFERROR(INDEX(PecCusto,MATCH($B485,PecCod,0)),0))</f>
        <v>0</v>
      </c>
      <c r="I485" s="32">
        <f>IF($A485="","",IFERROR(INDEX(OSStatus,MATCH($A485,OSNum,0)),"OS inexistente"))</f>
        <v>0</v>
      </c>
      <c r="J485" s="32">
        <f>IF($A485="","",IF($I485="OS inexistente","OS inexistente",IF($E485="Peça não cadastrada","Peça não cadastrada","OK")))</f>
        <v>0</v>
      </c>
    </row>
    <row r="486" spans="1:10">
      <c r="A486" s="17"/>
      <c r="B486" s="13"/>
      <c r="C486" s="20"/>
      <c r="D486" s="19"/>
      <c r="E486" s="26">
        <f>IF($B486="","",IFERROR(INDEX(PecDesc,MATCH($B486,PecCod,0)),"Peça não cadastrada"))</f>
        <v>0</v>
      </c>
      <c r="F486" s="27">
        <f>IF($B486="","",IF($D486&lt;&gt;"",$D486,IFERROR(INDEX(PecPreco,MATCH($B486,PecCod,0)),0)))</f>
        <v>0</v>
      </c>
      <c r="G486" s="27">
        <f>IF(OR($B486="",$C486=""),"",$C486*$F486)</f>
        <v>0</v>
      </c>
      <c r="H486" s="27">
        <f>IF(OR($B486="",$C486=""),"",$C486*IFERROR(INDEX(PecCusto,MATCH($B486,PecCod,0)),0))</f>
        <v>0</v>
      </c>
      <c r="I486" s="32">
        <f>IF($A486="","",IFERROR(INDEX(OSStatus,MATCH($A486,OSNum,0)),"OS inexistente"))</f>
        <v>0</v>
      </c>
      <c r="J486" s="32">
        <f>IF($A486="","",IF($I486="OS inexistente","OS inexistente",IF($E486="Peça não cadastrada","Peça não cadastrada","OK")))</f>
        <v>0</v>
      </c>
    </row>
    <row r="487" spans="1:10">
      <c r="A487" s="17"/>
      <c r="B487" s="13"/>
      <c r="C487" s="20"/>
      <c r="D487" s="19"/>
      <c r="E487" s="26">
        <f>IF($B487="","",IFERROR(INDEX(PecDesc,MATCH($B487,PecCod,0)),"Peça não cadastrada"))</f>
        <v>0</v>
      </c>
      <c r="F487" s="27">
        <f>IF($B487="","",IF($D487&lt;&gt;"",$D487,IFERROR(INDEX(PecPreco,MATCH($B487,PecCod,0)),0)))</f>
        <v>0</v>
      </c>
      <c r="G487" s="27">
        <f>IF(OR($B487="",$C487=""),"",$C487*$F487)</f>
        <v>0</v>
      </c>
      <c r="H487" s="27">
        <f>IF(OR($B487="",$C487=""),"",$C487*IFERROR(INDEX(PecCusto,MATCH($B487,PecCod,0)),0))</f>
        <v>0</v>
      </c>
      <c r="I487" s="32">
        <f>IF($A487="","",IFERROR(INDEX(OSStatus,MATCH($A487,OSNum,0)),"OS inexistente"))</f>
        <v>0</v>
      </c>
      <c r="J487" s="32">
        <f>IF($A487="","",IF($I487="OS inexistente","OS inexistente",IF($E487="Peça não cadastrada","Peça não cadastrada","OK")))</f>
        <v>0</v>
      </c>
    </row>
    <row r="488" spans="1:10">
      <c r="A488" s="17"/>
      <c r="B488" s="13"/>
      <c r="C488" s="20"/>
      <c r="D488" s="19"/>
      <c r="E488" s="26">
        <f>IF($B488="","",IFERROR(INDEX(PecDesc,MATCH($B488,PecCod,0)),"Peça não cadastrada"))</f>
        <v>0</v>
      </c>
      <c r="F488" s="27">
        <f>IF($B488="","",IF($D488&lt;&gt;"",$D488,IFERROR(INDEX(PecPreco,MATCH($B488,PecCod,0)),0)))</f>
        <v>0</v>
      </c>
      <c r="G488" s="27">
        <f>IF(OR($B488="",$C488=""),"",$C488*$F488)</f>
        <v>0</v>
      </c>
      <c r="H488" s="27">
        <f>IF(OR($B488="",$C488=""),"",$C488*IFERROR(INDEX(PecCusto,MATCH($B488,PecCod,0)),0))</f>
        <v>0</v>
      </c>
      <c r="I488" s="32">
        <f>IF($A488="","",IFERROR(INDEX(OSStatus,MATCH($A488,OSNum,0)),"OS inexistente"))</f>
        <v>0</v>
      </c>
      <c r="J488" s="32">
        <f>IF($A488="","",IF($I488="OS inexistente","OS inexistente",IF($E488="Peça não cadastrada","Peça não cadastrada","OK")))</f>
        <v>0</v>
      </c>
    </row>
    <row r="489" spans="1:10">
      <c r="A489" s="17"/>
      <c r="B489" s="13"/>
      <c r="C489" s="20"/>
      <c r="D489" s="19"/>
      <c r="E489" s="26">
        <f>IF($B489="","",IFERROR(INDEX(PecDesc,MATCH($B489,PecCod,0)),"Peça não cadastrada"))</f>
        <v>0</v>
      </c>
      <c r="F489" s="27">
        <f>IF($B489="","",IF($D489&lt;&gt;"",$D489,IFERROR(INDEX(PecPreco,MATCH($B489,PecCod,0)),0)))</f>
        <v>0</v>
      </c>
      <c r="G489" s="27">
        <f>IF(OR($B489="",$C489=""),"",$C489*$F489)</f>
        <v>0</v>
      </c>
      <c r="H489" s="27">
        <f>IF(OR($B489="",$C489=""),"",$C489*IFERROR(INDEX(PecCusto,MATCH($B489,PecCod,0)),0))</f>
        <v>0</v>
      </c>
      <c r="I489" s="32">
        <f>IF($A489="","",IFERROR(INDEX(OSStatus,MATCH($A489,OSNum,0)),"OS inexistente"))</f>
        <v>0</v>
      </c>
      <c r="J489" s="32">
        <f>IF($A489="","",IF($I489="OS inexistente","OS inexistente",IF($E489="Peça não cadastrada","Peça não cadastrada","OK")))</f>
        <v>0</v>
      </c>
    </row>
    <row r="490" spans="1:10">
      <c r="A490" s="17"/>
      <c r="B490" s="13"/>
      <c r="C490" s="20"/>
      <c r="D490" s="19"/>
      <c r="E490" s="26">
        <f>IF($B490="","",IFERROR(INDEX(PecDesc,MATCH($B490,PecCod,0)),"Peça não cadastrada"))</f>
        <v>0</v>
      </c>
      <c r="F490" s="27">
        <f>IF($B490="","",IF($D490&lt;&gt;"",$D490,IFERROR(INDEX(PecPreco,MATCH($B490,PecCod,0)),0)))</f>
        <v>0</v>
      </c>
      <c r="G490" s="27">
        <f>IF(OR($B490="",$C490=""),"",$C490*$F490)</f>
        <v>0</v>
      </c>
      <c r="H490" s="27">
        <f>IF(OR($B490="",$C490=""),"",$C490*IFERROR(INDEX(PecCusto,MATCH($B490,PecCod,0)),0))</f>
        <v>0</v>
      </c>
      <c r="I490" s="32">
        <f>IF($A490="","",IFERROR(INDEX(OSStatus,MATCH($A490,OSNum,0)),"OS inexistente"))</f>
        <v>0</v>
      </c>
      <c r="J490" s="32">
        <f>IF($A490="","",IF($I490="OS inexistente","OS inexistente",IF($E490="Peça não cadastrada","Peça não cadastrada","OK")))</f>
        <v>0</v>
      </c>
    </row>
    <row r="491" spans="1:10">
      <c r="A491" s="17"/>
      <c r="B491" s="13"/>
      <c r="C491" s="20"/>
      <c r="D491" s="19"/>
      <c r="E491" s="26">
        <f>IF($B491="","",IFERROR(INDEX(PecDesc,MATCH($B491,PecCod,0)),"Peça não cadastrada"))</f>
        <v>0</v>
      </c>
      <c r="F491" s="27">
        <f>IF($B491="","",IF($D491&lt;&gt;"",$D491,IFERROR(INDEX(PecPreco,MATCH($B491,PecCod,0)),0)))</f>
        <v>0</v>
      </c>
      <c r="G491" s="27">
        <f>IF(OR($B491="",$C491=""),"",$C491*$F491)</f>
        <v>0</v>
      </c>
      <c r="H491" s="27">
        <f>IF(OR($B491="",$C491=""),"",$C491*IFERROR(INDEX(PecCusto,MATCH($B491,PecCod,0)),0))</f>
        <v>0</v>
      </c>
      <c r="I491" s="32">
        <f>IF($A491="","",IFERROR(INDEX(OSStatus,MATCH($A491,OSNum,0)),"OS inexistente"))</f>
        <v>0</v>
      </c>
      <c r="J491" s="32">
        <f>IF($A491="","",IF($I491="OS inexistente","OS inexistente",IF($E491="Peça não cadastrada","Peça não cadastrada","OK")))</f>
        <v>0</v>
      </c>
    </row>
    <row r="492" spans="1:10">
      <c r="A492" s="17"/>
      <c r="B492" s="13"/>
      <c r="C492" s="20"/>
      <c r="D492" s="19"/>
      <c r="E492" s="26">
        <f>IF($B492="","",IFERROR(INDEX(PecDesc,MATCH($B492,PecCod,0)),"Peça não cadastrada"))</f>
        <v>0</v>
      </c>
      <c r="F492" s="27">
        <f>IF($B492="","",IF($D492&lt;&gt;"",$D492,IFERROR(INDEX(PecPreco,MATCH($B492,PecCod,0)),0)))</f>
        <v>0</v>
      </c>
      <c r="G492" s="27">
        <f>IF(OR($B492="",$C492=""),"",$C492*$F492)</f>
        <v>0</v>
      </c>
      <c r="H492" s="27">
        <f>IF(OR($B492="",$C492=""),"",$C492*IFERROR(INDEX(PecCusto,MATCH($B492,PecCod,0)),0))</f>
        <v>0</v>
      </c>
      <c r="I492" s="32">
        <f>IF($A492="","",IFERROR(INDEX(OSStatus,MATCH($A492,OSNum,0)),"OS inexistente"))</f>
        <v>0</v>
      </c>
      <c r="J492" s="32">
        <f>IF($A492="","",IF($I492="OS inexistente","OS inexistente",IF($E492="Peça não cadastrada","Peça não cadastrada","OK")))</f>
        <v>0</v>
      </c>
    </row>
    <row r="493" spans="1:10">
      <c r="A493" s="17"/>
      <c r="B493" s="13"/>
      <c r="C493" s="20"/>
      <c r="D493" s="19"/>
      <c r="E493" s="26">
        <f>IF($B493="","",IFERROR(INDEX(PecDesc,MATCH($B493,PecCod,0)),"Peça não cadastrada"))</f>
        <v>0</v>
      </c>
      <c r="F493" s="27">
        <f>IF($B493="","",IF($D493&lt;&gt;"",$D493,IFERROR(INDEX(PecPreco,MATCH($B493,PecCod,0)),0)))</f>
        <v>0</v>
      </c>
      <c r="G493" s="27">
        <f>IF(OR($B493="",$C493=""),"",$C493*$F493)</f>
        <v>0</v>
      </c>
      <c r="H493" s="27">
        <f>IF(OR($B493="",$C493=""),"",$C493*IFERROR(INDEX(PecCusto,MATCH($B493,PecCod,0)),0))</f>
        <v>0</v>
      </c>
      <c r="I493" s="32">
        <f>IF($A493="","",IFERROR(INDEX(OSStatus,MATCH($A493,OSNum,0)),"OS inexistente"))</f>
        <v>0</v>
      </c>
      <c r="J493" s="32">
        <f>IF($A493="","",IF($I493="OS inexistente","OS inexistente",IF($E493="Peça não cadastrada","Peça não cadastrada","OK")))</f>
        <v>0</v>
      </c>
    </row>
    <row r="494" spans="1:10">
      <c r="A494" s="17"/>
      <c r="B494" s="13"/>
      <c r="C494" s="20"/>
      <c r="D494" s="19"/>
      <c r="E494" s="26">
        <f>IF($B494="","",IFERROR(INDEX(PecDesc,MATCH($B494,PecCod,0)),"Peça não cadastrada"))</f>
        <v>0</v>
      </c>
      <c r="F494" s="27">
        <f>IF($B494="","",IF($D494&lt;&gt;"",$D494,IFERROR(INDEX(PecPreco,MATCH($B494,PecCod,0)),0)))</f>
        <v>0</v>
      </c>
      <c r="G494" s="27">
        <f>IF(OR($B494="",$C494=""),"",$C494*$F494)</f>
        <v>0</v>
      </c>
      <c r="H494" s="27">
        <f>IF(OR($B494="",$C494=""),"",$C494*IFERROR(INDEX(PecCusto,MATCH($B494,PecCod,0)),0))</f>
        <v>0</v>
      </c>
      <c r="I494" s="32">
        <f>IF($A494="","",IFERROR(INDEX(OSStatus,MATCH($A494,OSNum,0)),"OS inexistente"))</f>
        <v>0</v>
      </c>
      <c r="J494" s="32">
        <f>IF($A494="","",IF($I494="OS inexistente","OS inexistente",IF($E494="Peça não cadastrada","Peça não cadastrada","OK")))</f>
        <v>0</v>
      </c>
    </row>
    <row r="495" spans="1:10">
      <c r="A495" s="17"/>
      <c r="B495" s="13"/>
      <c r="C495" s="20"/>
      <c r="D495" s="19"/>
      <c r="E495" s="26">
        <f>IF($B495="","",IFERROR(INDEX(PecDesc,MATCH($B495,PecCod,0)),"Peça não cadastrada"))</f>
        <v>0</v>
      </c>
      <c r="F495" s="27">
        <f>IF($B495="","",IF($D495&lt;&gt;"",$D495,IFERROR(INDEX(PecPreco,MATCH($B495,PecCod,0)),0)))</f>
        <v>0</v>
      </c>
      <c r="G495" s="27">
        <f>IF(OR($B495="",$C495=""),"",$C495*$F495)</f>
        <v>0</v>
      </c>
      <c r="H495" s="27">
        <f>IF(OR($B495="",$C495=""),"",$C495*IFERROR(INDEX(PecCusto,MATCH($B495,PecCod,0)),0))</f>
        <v>0</v>
      </c>
      <c r="I495" s="32">
        <f>IF($A495="","",IFERROR(INDEX(OSStatus,MATCH($A495,OSNum,0)),"OS inexistente"))</f>
        <v>0</v>
      </c>
      <c r="J495" s="32">
        <f>IF($A495="","",IF($I495="OS inexistente","OS inexistente",IF($E495="Peça não cadastrada","Peça não cadastrada","OK")))</f>
        <v>0</v>
      </c>
    </row>
    <row r="496" spans="1:10">
      <c r="A496" s="17"/>
      <c r="B496" s="13"/>
      <c r="C496" s="20"/>
      <c r="D496" s="19"/>
      <c r="E496" s="26">
        <f>IF($B496="","",IFERROR(INDEX(PecDesc,MATCH($B496,PecCod,0)),"Peça não cadastrada"))</f>
        <v>0</v>
      </c>
      <c r="F496" s="27">
        <f>IF($B496="","",IF($D496&lt;&gt;"",$D496,IFERROR(INDEX(PecPreco,MATCH($B496,PecCod,0)),0)))</f>
        <v>0</v>
      </c>
      <c r="G496" s="27">
        <f>IF(OR($B496="",$C496=""),"",$C496*$F496)</f>
        <v>0</v>
      </c>
      <c r="H496" s="27">
        <f>IF(OR($B496="",$C496=""),"",$C496*IFERROR(INDEX(PecCusto,MATCH($B496,PecCod,0)),0))</f>
        <v>0</v>
      </c>
      <c r="I496" s="32">
        <f>IF($A496="","",IFERROR(INDEX(OSStatus,MATCH($A496,OSNum,0)),"OS inexistente"))</f>
        <v>0</v>
      </c>
      <c r="J496" s="32">
        <f>IF($A496="","",IF($I496="OS inexistente","OS inexistente",IF($E496="Peça não cadastrada","Peça não cadastrada","OK")))</f>
        <v>0</v>
      </c>
    </row>
    <row r="497" spans="1:10">
      <c r="A497" s="17"/>
      <c r="B497" s="13"/>
      <c r="C497" s="20"/>
      <c r="D497" s="19"/>
      <c r="E497" s="26">
        <f>IF($B497="","",IFERROR(INDEX(PecDesc,MATCH($B497,PecCod,0)),"Peça não cadastrada"))</f>
        <v>0</v>
      </c>
      <c r="F497" s="27">
        <f>IF($B497="","",IF($D497&lt;&gt;"",$D497,IFERROR(INDEX(PecPreco,MATCH($B497,PecCod,0)),0)))</f>
        <v>0</v>
      </c>
      <c r="G497" s="27">
        <f>IF(OR($B497="",$C497=""),"",$C497*$F497)</f>
        <v>0</v>
      </c>
      <c r="H497" s="27">
        <f>IF(OR($B497="",$C497=""),"",$C497*IFERROR(INDEX(PecCusto,MATCH($B497,PecCod,0)),0))</f>
        <v>0</v>
      </c>
      <c r="I497" s="32">
        <f>IF($A497="","",IFERROR(INDEX(OSStatus,MATCH($A497,OSNum,0)),"OS inexistente"))</f>
        <v>0</v>
      </c>
      <c r="J497" s="32">
        <f>IF($A497="","",IF($I497="OS inexistente","OS inexistente",IF($E497="Peça não cadastrada","Peça não cadastrada","OK")))</f>
        <v>0</v>
      </c>
    </row>
    <row r="498" spans="1:10">
      <c r="A498" s="17"/>
      <c r="B498" s="13"/>
      <c r="C498" s="20"/>
      <c r="D498" s="19"/>
      <c r="E498" s="26">
        <f>IF($B498="","",IFERROR(INDEX(PecDesc,MATCH($B498,PecCod,0)),"Peça não cadastrada"))</f>
        <v>0</v>
      </c>
      <c r="F498" s="27">
        <f>IF($B498="","",IF($D498&lt;&gt;"",$D498,IFERROR(INDEX(PecPreco,MATCH($B498,PecCod,0)),0)))</f>
        <v>0</v>
      </c>
      <c r="G498" s="27">
        <f>IF(OR($B498="",$C498=""),"",$C498*$F498)</f>
        <v>0</v>
      </c>
      <c r="H498" s="27">
        <f>IF(OR($B498="",$C498=""),"",$C498*IFERROR(INDEX(PecCusto,MATCH($B498,PecCod,0)),0))</f>
        <v>0</v>
      </c>
      <c r="I498" s="32">
        <f>IF($A498="","",IFERROR(INDEX(OSStatus,MATCH($A498,OSNum,0)),"OS inexistente"))</f>
        <v>0</v>
      </c>
      <c r="J498" s="32">
        <f>IF($A498="","",IF($I498="OS inexistente","OS inexistente",IF($E498="Peça não cadastrada","Peça não cadastrada","OK")))</f>
        <v>0</v>
      </c>
    </row>
    <row r="499" spans="1:10">
      <c r="A499" s="17"/>
      <c r="B499" s="13"/>
      <c r="C499" s="20"/>
      <c r="D499" s="19"/>
      <c r="E499" s="26">
        <f>IF($B499="","",IFERROR(INDEX(PecDesc,MATCH($B499,PecCod,0)),"Peça não cadastrada"))</f>
        <v>0</v>
      </c>
      <c r="F499" s="27">
        <f>IF($B499="","",IF($D499&lt;&gt;"",$D499,IFERROR(INDEX(PecPreco,MATCH($B499,PecCod,0)),0)))</f>
        <v>0</v>
      </c>
      <c r="G499" s="27">
        <f>IF(OR($B499="",$C499=""),"",$C499*$F499)</f>
        <v>0</v>
      </c>
      <c r="H499" s="27">
        <f>IF(OR($B499="",$C499=""),"",$C499*IFERROR(INDEX(PecCusto,MATCH($B499,PecCod,0)),0))</f>
        <v>0</v>
      </c>
      <c r="I499" s="32">
        <f>IF($A499="","",IFERROR(INDEX(OSStatus,MATCH($A499,OSNum,0)),"OS inexistente"))</f>
        <v>0</v>
      </c>
      <c r="J499" s="32">
        <f>IF($A499="","",IF($I499="OS inexistente","OS inexistente",IF($E499="Peça não cadastrada","Peça não cadastrada","OK")))</f>
        <v>0</v>
      </c>
    </row>
    <row r="500" spans="1:10">
      <c r="A500" s="17"/>
      <c r="B500" s="13"/>
      <c r="C500" s="20"/>
      <c r="D500" s="19"/>
      <c r="E500" s="26">
        <f>IF($B500="","",IFERROR(INDEX(PecDesc,MATCH($B500,PecCod,0)),"Peça não cadastrada"))</f>
        <v>0</v>
      </c>
      <c r="F500" s="27">
        <f>IF($B500="","",IF($D500&lt;&gt;"",$D500,IFERROR(INDEX(PecPreco,MATCH($B500,PecCod,0)),0)))</f>
        <v>0</v>
      </c>
      <c r="G500" s="27">
        <f>IF(OR($B500="",$C500=""),"",$C500*$F500)</f>
        <v>0</v>
      </c>
      <c r="H500" s="27">
        <f>IF(OR($B500="",$C500=""),"",$C500*IFERROR(INDEX(PecCusto,MATCH($B500,PecCod,0)),0))</f>
        <v>0</v>
      </c>
      <c r="I500" s="32">
        <f>IF($A500="","",IFERROR(INDEX(OSStatus,MATCH($A500,OSNum,0)),"OS inexistente"))</f>
        <v>0</v>
      </c>
      <c r="J500" s="32">
        <f>IF($A500="","",IF($I500="OS inexistente","OS inexistente",IF($E500="Peça não cadastrada","Peça não cadastrada","OK")))</f>
        <v>0</v>
      </c>
    </row>
    <row r="501" spans="1:10">
      <c r="A501" s="17"/>
      <c r="B501" s="13"/>
      <c r="C501" s="20"/>
      <c r="D501" s="19"/>
      <c r="E501" s="26">
        <f>IF($B501="","",IFERROR(INDEX(PecDesc,MATCH($B501,PecCod,0)),"Peça não cadastrada"))</f>
        <v>0</v>
      </c>
      <c r="F501" s="27">
        <f>IF($B501="","",IF($D501&lt;&gt;"",$D501,IFERROR(INDEX(PecPreco,MATCH($B501,PecCod,0)),0)))</f>
        <v>0</v>
      </c>
      <c r="G501" s="27">
        <f>IF(OR($B501="",$C501=""),"",$C501*$F501)</f>
        <v>0</v>
      </c>
      <c r="H501" s="27">
        <f>IF(OR($B501="",$C501=""),"",$C501*IFERROR(INDEX(PecCusto,MATCH($B501,PecCod,0)),0))</f>
        <v>0</v>
      </c>
      <c r="I501" s="32">
        <f>IF($A501="","",IFERROR(INDEX(OSStatus,MATCH($A501,OSNum,0)),"OS inexistente"))</f>
        <v>0</v>
      </c>
      <c r="J501" s="32">
        <f>IF($A501="","",IF($I501="OS inexistente","OS inexistente",IF($E501="Peça não cadastrada","Peça não cadastrada","OK")))</f>
        <v>0</v>
      </c>
    </row>
    <row r="502" spans="1:10">
      <c r="A502" s="17"/>
      <c r="B502" s="13"/>
      <c r="C502" s="20"/>
      <c r="D502" s="19"/>
      <c r="E502" s="26">
        <f>IF($B502="","",IFERROR(INDEX(PecDesc,MATCH($B502,PecCod,0)),"Peça não cadastrada"))</f>
        <v>0</v>
      </c>
      <c r="F502" s="27">
        <f>IF($B502="","",IF($D502&lt;&gt;"",$D502,IFERROR(INDEX(PecPreco,MATCH($B502,PecCod,0)),0)))</f>
        <v>0</v>
      </c>
      <c r="G502" s="27">
        <f>IF(OR($B502="",$C502=""),"",$C502*$F502)</f>
        <v>0</v>
      </c>
      <c r="H502" s="27">
        <f>IF(OR($B502="",$C502=""),"",$C502*IFERROR(INDEX(PecCusto,MATCH($B502,PecCod,0)),0))</f>
        <v>0</v>
      </c>
      <c r="I502" s="32">
        <f>IF($A502="","",IFERROR(INDEX(OSStatus,MATCH($A502,OSNum,0)),"OS inexistente"))</f>
        <v>0</v>
      </c>
      <c r="J502" s="32">
        <f>IF($A502="","",IF($I502="OS inexistente","OS inexistente",IF($E502="Peça não cadastrada","Peça não cadastrada","OK")))</f>
        <v>0</v>
      </c>
    </row>
    <row r="503" spans="1:10">
      <c r="A503" s="17"/>
      <c r="B503" s="13"/>
      <c r="C503" s="20"/>
      <c r="D503" s="19"/>
      <c r="E503" s="26">
        <f>IF($B503="","",IFERROR(INDEX(PecDesc,MATCH($B503,PecCod,0)),"Peça não cadastrada"))</f>
        <v>0</v>
      </c>
      <c r="F503" s="27">
        <f>IF($B503="","",IF($D503&lt;&gt;"",$D503,IFERROR(INDEX(PecPreco,MATCH($B503,PecCod,0)),0)))</f>
        <v>0</v>
      </c>
      <c r="G503" s="27">
        <f>IF(OR($B503="",$C503=""),"",$C503*$F503)</f>
        <v>0</v>
      </c>
      <c r="H503" s="27">
        <f>IF(OR($B503="",$C503=""),"",$C503*IFERROR(INDEX(PecCusto,MATCH($B503,PecCod,0)),0))</f>
        <v>0</v>
      </c>
      <c r="I503" s="32">
        <f>IF($A503="","",IFERROR(INDEX(OSStatus,MATCH($A503,OSNum,0)),"OS inexistente"))</f>
        <v>0</v>
      </c>
      <c r="J503" s="32">
        <f>IF($A503="","",IF($I503="OS inexistente","OS inexistente",IF($E503="Peça não cadastrada","Peça não cadastrada","OK")))</f>
        <v>0</v>
      </c>
    </row>
    <row r="504" spans="1:10">
      <c r="A504" s="17"/>
      <c r="B504" s="13"/>
      <c r="C504" s="20"/>
      <c r="D504" s="19"/>
      <c r="E504" s="26">
        <f>IF($B504="","",IFERROR(INDEX(PecDesc,MATCH($B504,PecCod,0)),"Peça não cadastrada"))</f>
        <v>0</v>
      </c>
      <c r="F504" s="27">
        <f>IF($B504="","",IF($D504&lt;&gt;"",$D504,IFERROR(INDEX(PecPreco,MATCH($B504,PecCod,0)),0)))</f>
        <v>0</v>
      </c>
      <c r="G504" s="27">
        <f>IF(OR($B504="",$C504=""),"",$C504*$F504)</f>
        <v>0</v>
      </c>
      <c r="H504" s="27">
        <f>IF(OR($B504="",$C504=""),"",$C504*IFERROR(INDEX(PecCusto,MATCH($B504,PecCod,0)),0))</f>
        <v>0</v>
      </c>
      <c r="I504" s="32">
        <f>IF($A504="","",IFERROR(INDEX(OSStatus,MATCH($A504,OSNum,0)),"OS inexistente"))</f>
        <v>0</v>
      </c>
      <c r="J504" s="32">
        <f>IF($A504="","",IF($I504="OS inexistente","OS inexistente",IF($E504="Peça não cadastrada","Peça não cadastrada","OK")))</f>
        <v>0</v>
      </c>
    </row>
    <row r="505" spans="1:10">
      <c r="A505" s="17"/>
      <c r="B505" s="13"/>
      <c r="C505" s="20"/>
      <c r="D505" s="19"/>
      <c r="E505" s="26">
        <f>IF($B505="","",IFERROR(INDEX(PecDesc,MATCH($B505,PecCod,0)),"Peça não cadastrada"))</f>
        <v>0</v>
      </c>
      <c r="F505" s="27">
        <f>IF($B505="","",IF($D505&lt;&gt;"",$D505,IFERROR(INDEX(PecPreco,MATCH($B505,PecCod,0)),0)))</f>
        <v>0</v>
      </c>
      <c r="G505" s="27">
        <f>IF(OR($B505="",$C505=""),"",$C505*$F505)</f>
        <v>0</v>
      </c>
      <c r="H505" s="27">
        <f>IF(OR($B505="",$C505=""),"",$C505*IFERROR(INDEX(PecCusto,MATCH($B505,PecCod,0)),0))</f>
        <v>0</v>
      </c>
      <c r="I505" s="32">
        <f>IF($A505="","",IFERROR(INDEX(OSStatus,MATCH($A505,OSNum,0)),"OS inexistente"))</f>
        <v>0</v>
      </c>
      <c r="J505" s="32">
        <f>IF($A505="","",IF($I505="OS inexistente","OS inexistente",IF($E505="Peça não cadastrada","Peça não cadastrada","OK")))</f>
        <v>0</v>
      </c>
    </row>
    <row r="506" spans="1:10">
      <c r="A506" s="17"/>
      <c r="B506" s="13"/>
      <c r="C506" s="20"/>
      <c r="D506" s="19"/>
      <c r="E506" s="26">
        <f>IF($B506="","",IFERROR(INDEX(PecDesc,MATCH($B506,PecCod,0)),"Peça não cadastrada"))</f>
        <v>0</v>
      </c>
      <c r="F506" s="27">
        <f>IF($B506="","",IF($D506&lt;&gt;"",$D506,IFERROR(INDEX(PecPreco,MATCH($B506,PecCod,0)),0)))</f>
        <v>0</v>
      </c>
      <c r="G506" s="27">
        <f>IF(OR($B506="",$C506=""),"",$C506*$F506)</f>
        <v>0</v>
      </c>
      <c r="H506" s="27">
        <f>IF(OR($B506="",$C506=""),"",$C506*IFERROR(INDEX(PecCusto,MATCH($B506,PecCod,0)),0))</f>
        <v>0</v>
      </c>
      <c r="I506" s="32">
        <f>IF($A506="","",IFERROR(INDEX(OSStatus,MATCH($A506,OSNum,0)),"OS inexistente"))</f>
        <v>0</v>
      </c>
      <c r="J506" s="32">
        <f>IF($A506="","",IF($I506="OS inexistente","OS inexistente",IF($E506="Peça não cadastrada","Peça não cadastrada","OK")))</f>
        <v>0</v>
      </c>
    </row>
    <row r="507" spans="1:10">
      <c r="A507" s="17"/>
      <c r="B507" s="13"/>
      <c r="C507" s="20"/>
      <c r="D507" s="19"/>
      <c r="E507" s="26">
        <f>IF($B507="","",IFERROR(INDEX(PecDesc,MATCH($B507,PecCod,0)),"Peça não cadastrada"))</f>
        <v>0</v>
      </c>
      <c r="F507" s="27">
        <f>IF($B507="","",IF($D507&lt;&gt;"",$D507,IFERROR(INDEX(PecPreco,MATCH($B507,PecCod,0)),0)))</f>
        <v>0</v>
      </c>
      <c r="G507" s="27">
        <f>IF(OR($B507="",$C507=""),"",$C507*$F507)</f>
        <v>0</v>
      </c>
      <c r="H507" s="27">
        <f>IF(OR($B507="",$C507=""),"",$C507*IFERROR(INDEX(PecCusto,MATCH($B507,PecCod,0)),0))</f>
        <v>0</v>
      </c>
      <c r="I507" s="32">
        <f>IF($A507="","",IFERROR(INDEX(OSStatus,MATCH($A507,OSNum,0)),"OS inexistente"))</f>
        <v>0</v>
      </c>
      <c r="J507" s="32">
        <f>IF($A507="","",IF($I507="OS inexistente","OS inexistente",IF($E507="Peça não cadastrada","Peça não cadastrada","OK")))</f>
        <v>0</v>
      </c>
    </row>
    <row r="508" spans="1:10">
      <c r="A508" s="17"/>
      <c r="B508" s="13"/>
      <c r="C508" s="20"/>
      <c r="D508" s="19"/>
      <c r="E508" s="26">
        <f>IF($B508="","",IFERROR(INDEX(PecDesc,MATCH($B508,PecCod,0)),"Peça não cadastrada"))</f>
        <v>0</v>
      </c>
      <c r="F508" s="27">
        <f>IF($B508="","",IF($D508&lt;&gt;"",$D508,IFERROR(INDEX(PecPreco,MATCH($B508,PecCod,0)),0)))</f>
        <v>0</v>
      </c>
      <c r="G508" s="27">
        <f>IF(OR($B508="",$C508=""),"",$C508*$F508)</f>
        <v>0</v>
      </c>
      <c r="H508" s="27">
        <f>IF(OR($B508="",$C508=""),"",$C508*IFERROR(INDEX(PecCusto,MATCH($B508,PecCod,0)),0))</f>
        <v>0</v>
      </c>
      <c r="I508" s="32">
        <f>IF($A508="","",IFERROR(INDEX(OSStatus,MATCH($A508,OSNum,0)),"OS inexistente"))</f>
        <v>0</v>
      </c>
      <c r="J508" s="32">
        <f>IF($A508="","",IF($I508="OS inexistente","OS inexistente",IF($E508="Peça não cadastrada","Peça não cadastrada","OK")))</f>
        <v>0</v>
      </c>
    </row>
    <row r="509" spans="1:10">
      <c r="A509" s="17"/>
      <c r="B509" s="13"/>
      <c r="C509" s="20"/>
      <c r="D509" s="19"/>
      <c r="E509" s="26">
        <f>IF($B509="","",IFERROR(INDEX(PecDesc,MATCH($B509,PecCod,0)),"Peça não cadastrada"))</f>
        <v>0</v>
      </c>
      <c r="F509" s="27">
        <f>IF($B509="","",IF($D509&lt;&gt;"",$D509,IFERROR(INDEX(PecPreco,MATCH($B509,PecCod,0)),0)))</f>
        <v>0</v>
      </c>
      <c r="G509" s="27">
        <f>IF(OR($B509="",$C509=""),"",$C509*$F509)</f>
        <v>0</v>
      </c>
      <c r="H509" s="27">
        <f>IF(OR($B509="",$C509=""),"",$C509*IFERROR(INDEX(PecCusto,MATCH($B509,PecCod,0)),0))</f>
        <v>0</v>
      </c>
      <c r="I509" s="32">
        <f>IF($A509="","",IFERROR(INDEX(OSStatus,MATCH($A509,OSNum,0)),"OS inexistente"))</f>
        <v>0</v>
      </c>
      <c r="J509" s="32">
        <f>IF($A509="","",IF($I509="OS inexistente","OS inexistente",IF($E509="Peça não cadastrada","Peça não cadastrada","OK")))</f>
        <v>0</v>
      </c>
    </row>
    <row r="510" spans="1:10">
      <c r="A510" s="17"/>
      <c r="B510" s="13"/>
      <c r="C510" s="20"/>
      <c r="D510" s="19"/>
      <c r="E510" s="26">
        <f>IF($B510="","",IFERROR(INDEX(PecDesc,MATCH($B510,PecCod,0)),"Peça não cadastrada"))</f>
        <v>0</v>
      </c>
      <c r="F510" s="27">
        <f>IF($B510="","",IF($D510&lt;&gt;"",$D510,IFERROR(INDEX(PecPreco,MATCH($B510,PecCod,0)),0)))</f>
        <v>0</v>
      </c>
      <c r="G510" s="27">
        <f>IF(OR($B510="",$C510=""),"",$C510*$F510)</f>
        <v>0</v>
      </c>
      <c r="H510" s="27">
        <f>IF(OR($B510="",$C510=""),"",$C510*IFERROR(INDEX(PecCusto,MATCH($B510,PecCod,0)),0))</f>
        <v>0</v>
      </c>
      <c r="I510" s="32">
        <f>IF($A510="","",IFERROR(INDEX(OSStatus,MATCH($A510,OSNum,0)),"OS inexistente"))</f>
        <v>0</v>
      </c>
      <c r="J510" s="32">
        <f>IF($A510="","",IF($I510="OS inexistente","OS inexistente",IF($E510="Peça não cadastrada","Peça não cadastrada","OK")))</f>
        <v>0</v>
      </c>
    </row>
    <row r="511" spans="1:10">
      <c r="A511" s="17"/>
      <c r="B511" s="13"/>
      <c r="C511" s="20"/>
      <c r="D511" s="19"/>
      <c r="E511" s="26">
        <f>IF($B511="","",IFERROR(INDEX(PecDesc,MATCH($B511,PecCod,0)),"Peça não cadastrada"))</f>
        <v>0</v>
      </c>
      <c r="F511" s="27">
        <f>IF($B511="","",IF($D511&lt;&gt;"",$D511,IFERROR(INDEX(PecPreco,MATCH($B511,PecCod,0)),0)))</f>
        <v>0</v>
      </c>
      <c r="G511" s="27">
        <f>IF(OR($B511="",$C511=""),"",$C511*$F511)</f>
        <v>0</v>
      </c>
      <c r="H511" s="27">
        <f>IF(OR($B511="",$C511=""),"",$C511*IFERROR(INDEX(PecCusto,MATCH($B511,PecCod,0)),0))</f>
        <v>0</v>
      </c>
      <c r="I511" s="32">
        <f>IF($A511="","",IFERROR(INDEX(OSStatus,MATCH($A511,OSNum,0)),"OS inexistente"))</f>
        <v>0</v>
      </c>
      <c r="J511" s="32">
        <f>IF($A511="","",IF($I511="OS inexistente","OS inexistente",IF($E511="Peça não cadastrada","Peça não cadastrada","OK")))</f>
        <v>0</v>
      </c>
    </row>
    <row r="512" spans="1:10">
      <c r="A512" s="17"/>
      <c r="B512" s="13"/>
      <c r="C512" s="20"/>
      <c r="D512" s="19"/>
      <c r="E512" s="26">
        <f>IF($B512="","",IFERROR(INDEX(PecDesc,MATCH($B512,PecCod,0)),"Peça não cadastrada"))</f>
        <v>0</v>
      </c>
      <c r="F512" s="27">
        <f>IF($B512="","",IF($D512&lt;&gt;"",$D512,IFERROR(INDEX(PecPreco,MATCH($B512,PecCod,0)),0)))</f>
        <v>0</v>
      </c>
      <c r="G512" s="27">
        <f>IF(OR($B512="",$C512=""),"",$C512*$F512)</f>
        <v>0</v>
      </c>
      <c r="H512" s="27">
        <f>IF(OR($B512="",$C512=""),"",$C512*IFERROR(INDEX(PecCusto,MATCH($B512,PecCod,0)),0))</f>
        <v>0</v>
      </c>
      <c r="I512" s="32">
        <f>IF($A512="","",IFERROR(INDEX(OSStatus,MATCH($A512,OSNum,0)),"OS inexistente"))</f>
        <v>0</v>
      </c>
      <c r="J512" s="32">
        <f>IF($A512="","",IF($I512="OS inexistente","OS inexistente",IF($E512="Peça não cadastrada","Peça não cadastrada","OK")))</f>
        <v>0</v>
      </c>
    </row>
    <row r="513" spans="1:10">
      <c r="A513" s="17"/>
      <c r="B513" s="13"/>
      <c r="C513" s="20"/>
      <c r="D513" s="19"/>
      <c r="E513" s="26">
        <f>IF($B513="","",IFERROR(INDEX(PecDesc,MATCH($B513,PecCod,0)),"Peça não cadastrada"))</f>
        <v>0</v>
      </c>
      <c r="F513" s="27">
        <f>IF($B513="","",IF($D513&lt;&gt;"",$D513,IFERROR(INDEX(PecPreco,MATCH($B513,PecCod,0)),0)))</f>
        <v>0</v>
      </c>
      <c r="G513" s="27">
        <f>IF(OR($B513="",$C513=""),"",$C513*$F513)</f>
        <v>0</v>
      </c>
      <c r="H513" s="27">
        <f>IF(OR($B513="",$C513=""),"",$C513*IFERROR(INDEX(PecCusto,MATCH($B513,PecCod,0)),0))</f>
        <v>0</v>
      </c>
      <c r="I513" s="32">
        <f>IF($A513="","",IFERROR(INDEX(OSStatus,MATCH($A513,OSNum,0)),"OS inexistente"))</f>
        <v>0</v>
      </c>
      <c r="J513" s="32">
        <f>IF($A513="","",IF($I513="OS inexistente","OS inexistente",IF($E513="Peça não cadastrada","Peça não cadastrada","OK")))</f>
        <v>0</v>
      </c>
    </row>
    <row r="514" spans="1:10">
      <c r="A514" s="17"/>
      <c r="B514" s="13"/>
      <c r="C514" s="20"/>
      <c r="D514" s="19"/>
      <c r="E514" s="26">
        <f>IF($B514="","",IFERROR(INDEX(PecDesc,MATCH($B514,PecCod,0)),"Peça não cadastrada"))</f>
        <v>0</v>
      </c>
      <c r="F514" s="27">
        <f>IF($B514="","",IF($D514&lt;&gt;"",$D514,IFERROR(INDEX(PecPreco,MATCH($B514,PecCod,0)),0)))</f>
        <v>0</v>
      </c>
      <c r="G514" s="27">
        <f>IF(OR($B514="",$C514=""),"",$C514*$F514)</f>
        <v>0</v>
      </c>
      <c r="H514" s="27">
        <f>IF(OR($B514="",$C514=""),"",$C514*IFERROR(INDEX(PecCusto,MATCH($B514,PecCod,0)),0))</f>
        <v>0</v>
      </c>
      <c r="I514" s="32">
        <f>IF($A514="","",IFERROR(INDEX(OSStatus,MATCH($A514,OSNum,0)),"OS inexistente"))</f>
        <v>0</v>
      </c>
      <c r="J514" s="32">
        <f>IF($A514="","",IF($I514="OS inexistente","OS inexistente",IF($E514="Peça não cadastrada","Peça não cadastrada","OK")))</f>
        <v>0</v>
      </c>
    </row>
    <row r="515" spans="1:10">
      <c r="A515" s="17"/>
      <c r="B515" s="13"/>
      <c r="C515" s="20"/>
      <c r="D515" s="19"/>
      <c r="E515" s="26">
        <f>IF($B515="","",IFERROR(INDEX(PecDesc,MATCH($B515,PecCod,0)),"Peça não cadastrada"))</f>
        <v>0</v>
      </c>
      <c r="F515" s="27">
        <f>IF($B515="","",IF($D515&lt;&gt;"",$D515,IFERROR(INDEX(PecPreco,MATCH($B515,PecCod,0)),0)))</f>
        <v>0</v>
      </c>
      <c r="G515" s="27">
        <f>IF(OR($B515="",$C515=""),"",$C515*$F515)</f>
        <v>0</v>
      </c>
      <c r="H515" s="27">
        <f>IF(OR($B515="",$C515=""),"",$C515*IFERROR(INDEX(PecCusto,MATCH($B515,PecCod,0)),0))</f>
        <v>0</v>
      </c>
      <c r="I515" s="32">
        <f>IF($A515="","",IFERROR(INDEX(OSStatus,MATCH($A515,OSNum,0)),"OS inexistente"))</f>
        <v>0</v>
      </c>
      <c r="J515" s="32">
        <f>IF($A515="","",IF($I515="OS inexistente","OS inexistente",IF($E515="Peça não cadastrada","Peça não cadastrada","OK")))</f>
        <v>0</v>
      </c>
    </row>
    <row r="516" spans="1:10">
      <c r="A516" s="17"/>
      <c r="B516" s="13"/>
      <c r="C516" s="20"/>
      <c r="D516" s="19"/>
      <c r="E516" s="26">
        <f>IF($B516="","",IFERROR(INDEX(PecDesc,MATCH($B516,PecCod,0)),"Peça não cadastrada"))</f>
        <v>0</v>
      </c>
      <c r="F516" s="27">
        <f>IF($B516="","",IF($D516&lt;&gt;"",$D516,IFERROR(INDEX(PecPreco,MATCH($B516,PecCod,0)),0)))</f>
        <v>0</v>
      </c>
      <c r="G516" s="27">
        <f>IF(OR($B516="",$C516=""),"",$C516*$F516)</f>
        <v>0</v>
      </c>
      <c r="H516" s="27">
        <f>IF(OR($B516="",$C516=""),"",$C516*IFERROR(INDEX(PecCusto,MATCH($B516,PecCod,0)),0))</f>
        <v>0</v>
      </c>
      <c r="I516" s="32">
        <f>IF($A516="","",IFERROR(INDEX(OSStatus,MATCH($A516,OSNum,0)),"OS inexistente"))</f>
        <v>0</v>
      </c>
      <c r="J516" s="32">
        <f>IF($A516="","",IF($I516="OS inexistente","OS inexistente",IF($E516="Peça não cadastrada","Peça não cadastrada","OK")))</f>
        <v>0</v>
      </c>
    </row>
    <row r="517" spans="1:10">
      <c r="A517" s="17"/>
      <c r="B517" s="13"/>
      <c r="C517" s="20"/>
      <c r="D517" s="19"/>
      <c r="E517" s="26">
        <f>IF($B517="","",IFERROR(INDEX(PecDesc,MATCH($B517,PecCod,0)),"Peça não cadastrada"))</f>
        <v>0</v>
      </c>
      <c r="F517" s="27">
        <f>IF($B517="","",IF($D517&lt;&gt;"",$D517,IFERROR(INDEX(PecPreco,MATCH($B517,PecCod,0)),0)))</f>
        <v>0</v>
      </c>
      <c r="G517" s="27">
        <f>IF(OR($B517="",$C517=""),"",$C517*$F517)</f>
        <v>0</v>
      </c>
      <c r="H517" s="27">
        <f>IF(OR($B517="",$C517=""),"",$C517*IFERROR(INDEX(PecCusto,MATCH($B517,PecCod,0)),0))</f>
        <v>0</v>
      </c>
      <c r="I517" s="32">
        <f>IF($A517="","",IFERROR(INDEX(OSStatus,MATCH($A517,OSNum,0)),"OS inexistente"))</f>
        <v>0</v>
      </c>
      <c r="J517" s="32">
        <f>IF($A517="","",IF($I517="OS inexistente","OS inexistente",IF($E517="Peça não cadastrada","Peça não cadastrada","OK")))</f>
        <v>0</v>
      </c>
    </row>
    <row r="518" spans="1:10">
      <c r="A518" s="17"/>
      <c r="B518" s="13"/>
      <c r="C518" s="20"/>
      <c r="D518" s="19"/>
      <c r="E518" s="26">
        <f>IF($B518="","",IFERROR(INDEX(PecDesc,MATCH($B518,PecCod,0)),"Peça não cadastrada"))</f>
        <v>0</v>
      </c>
      <c r="F518" s="27">
        <f>IF($B518="","",IF($D518&lt;&gt;"",$D518,IFERROR(INDEX(PecPreco,MATCH($B518,PecCod,0)),0)))</f>
        <v>0</v>
      </c>
      <c r="G518" s="27">
        <f>IF(OR($B518="",$C518=""),"",$C518*$F518)</f>
        <v>0</v>
      </c>
      <c r="H518" s="27">
        <f>IF(OR($B518="",$C518=""),"",$C518*IFERROR(INDEX(PecCusto,MATCH($B518,PecCod,0)),0))</f>
        <v>0</v>
      </c>
      <c r="I518" s="32">
        <f>IF($A518="","",IFERROR(INDEX(OSStatus,MATCH($A518,OSNum,0)),"OS inexistente"))</f>
        <v>0</v>
      </c>
      <c r="J518" s="32">
        <f>IF($A518="","",IF($I518="OS inexistente","OS inexistente",IF($E518="Peça não cadastrada","Peça não cadastrada","OK")))</f>
        <v>0</v>
      </c>
    </row>
    <row r="519" spans="1:10">
      <c r="A519" s="17"/>
      <c r="B519" s="13"/>
      <c r="C519" s="20"/>
      <c r="D519" s="19"/>
      <c r="E519" s="26">
        <f>IF($B519="","",IFERROR(INDEX(PecDesc,MATCH($B519,PecCod,0)),"Peça não cadastrada"))</f>
        <v>0</v>
      </c>
      <c r="F519" s="27">
        <f>IF($B519="","",IF($D519&lt;&gt;"",$D519,IFERROR(INDEX(PecPreco,MATCH($B519,PecCod,0)),0)))</f>
        <v>0</v>
      </c>
      <c r="G519" s="27">
        <f>IF(OR($B519="",$C519=""),"",$C519*$F519)</f>
        <v>0</v>
      </c>
      <c r="H519" s="27">
        <f>IF(OR($B519="",$C519=""),"",$C519*IFERROR(INDEX(PecCusto,MATCH($B519,PecCod,0)),0))</f>
        <v>0</v>
      </c>
      <c r="I519" s="32">
        <f>IF($A519="","",IFERROR(INDEX(OSStatus,MATCH($A519,OSNum,0)),"OS inexistente"))</f>
        <v>0</v>
      </c>
      <c r="J519" s="32">
        <f>IF($A519="","",IF($I519="OS inexistente","OS inexistente",IF($E519="Peça não cadastrada","Peça não cadastrada","OK")))</f>
        <v>0</v>
      </c>
    </row>
    <row r="520" spans="1:10">
      <c r="A520" s="17"/>
      <c r="B520" s="13"/>
      <c r="C520" s="20"/>
      <c r="D520" s="19"/>
      <c r="E520" s="26">
        <f>IF($B520="","",IFERROR(INDEX(PecDesc,MATCH($B520,PecCod,0)),"Peça não cadastrada"))</f>
        <v>0</v>
      </c>
      <c r="F520" s="27">
        <f>IF($B520="","",IF($D520&lt;&gt;"",$D520,IFERROR(INDEX(PecPreco,MATCH($B520,PecCod,0)),0)))</f>
        <v>0</v>
      </c>
      <c r="G520" s="27">
        <f>IF(OR($B520="",$C520=""),"",$C520*$F520)</f>
        <v>0</v>
      </c>
      <c r="H520" s="27">
        <f>IF(OR($B520="",$C520=""),"",$C520*IFERROR(INDEX(PecCusto,MATCH($B520,PecCod,0)),0))</f>
        <v>0</v>
      </c>
      <c r="I520" s="32">
        <f>IF($A520="","",IFERROR(INDEX(OSStatus,MATCH($A520,OSNum,0)),"OS inexistente"))</f>
        <v>0</v>
      </c>
      <c r="J520" s="32">
        <f>IF($A520="","",IF($I520="OS inexistente","OS inexistente",IF($E520="Peça não cadastrada","Peça não cadastrada","OK")))</f>
        <v>0</v>
      </c>
    </row>
    <row r="521" spans="1:10">
      <c r="A521" s="17"/>
      <c r="B521" s="13"/>
      <c r="C521" s="20"/>
      <c r="D521" s="19"/>
      <c r="E521" s="26">
        <f>IF($B521="","",IFERROR(INDEX(PecDesc,MATCH($B521,PecCod,0)),"Peça não cadastrada"))</f>
        <v>0</v>
      </c>
      <c r="F521" s="27">
        <f>IF($B521="","",IF($D521&lt;&gt;"",$D521,IFERROR(INDEX(PecPreco,MATCH($B521,PecCod,0)),0)))</f>
        <v>0</v>
      </c>
      <c r="G521" s="27">
        <f>IF(OR($B521="",$C521=""),"",$C521*$F521)</f>
        <v>0</v>
      </c>
      <c r="H521" s="27">
        <f>IF(OR($B521="",$C521=""),"",$C521*IFERROR(INDEX(PecCusto,MATCH($B521,PecCod,0)),0))</f>
        <v>0</v>
      </c>
      <c r="I521" s="32">
        <f>IF($A521="","",IFERROR(INDEX(OSStatus,MATCH($A521,OSNum,0)),"OS inexistente"))</f>
        <v>0</v>
      </c>
      <c r="J521" s="32">
        <f>IF($A521="","",IF($I521="OS inexistente","OS inexistente",IF($E521="Peça não cadastrada","Peça não cadastrada","OK")))</f>
        <v>0</v>
      </c>
    </row>
    <row r="522" spans="1:10">
      <c r="A522" s="17"/>
      <c r="B522" s="13"/>
      <c r="C522" s="20"/>
      <c r="D522" s="19"/>
      <c r="E522" s="26">
        <f>IF($B522="","",IFERROR(INDEX(PecDesc,MATCH($B522,PecCod,0)),"Peça não cadastrada"))</f>
        <v>0</v>
      </c>
      <c r="F522" s="27">
        <f>IF($B522="","",IF($D522&lt;&gt;"",$D522,IFERROR(INDEX(PecPreco,MATCH($B522,PecCod,0)),0)))</f>
        <v>0</v>
      </c>
      <c r="G522" s="27">
        <f>IF(OR($B522="",$C522=""),"",$C522*$F522)</f>
        <v>0</v>
      </c>
      <c r="H522" s="27">
        <f>IF(OR($B522="",$C522=""),"",$C522*IFERROR(INDEX(PecCusto,MATCH($B522,PecCod,0)),0))</f>
        <v>0</v>
      </c>
      <c r="I522" s="32">
        <f>IF($A522="","",IFERROR(INDEX(OSStatus,MATCH($A522,OSNum,0)),"OS inexistente"))</f>
        <v>0</v>
      </c>
      <c r="J522" s="32">
        <f>IF($A522="","",IF($I522="OS inexistente","OS inexistente",IF($E522="Peça não cadastrada","Peça não cadastrada","OK")))</f>
        <v>0</v>
      </c>
    </row>
    <row r="523" spans="1:10">
      <c r="A523" s="17"/>
      <c r="B523" s="13"/>
      <c r="C523" s="20"/>
      <c r="D523" s="19"/>
      <c r="E523" s="26">
        <f>IF($B523="","",IFERROR(INDEX(PecDesc,MATCH($B523,PecCod,0)),"Peça não cadastrada"))</f>
        <v>0</v>
      </c>
      <c r="F523" s="27">
        <f>IF($B523="","",IF($D523&lt;&gt;"",$D523,IFERROR(INDEX(PecPreco,MATCH($B523,PecCod,0)),0)))</f>
        <v>0</v>
      </c>
      <c r="G523" s="27">
        <f>IF(OR($B523="",$C523=""),"",$C523*$F523)</f>
        <v>0</v>
      </c>
      <c r="H523" s="27">
        <f>IF(OR($B523="",$C523=""),"",$C523*IFERROR(INDEX(PecCusto,MATCH($B523,PecCod,0)),0))</f>
        <v>0</v>
      </c>
      <c r="I523" s="32">
        <f>IF($A523="","",IFERROR(INDEX(OSStatus,MATCH($A523,OSNum,0)),"OS inexistente"))</f>
        <v>0</v>
      </c>
      <c r="J523" s="32">
        <f>IF($A523="","",IF($I523="OS inexistente","OS inexistente",IF($E523="Peça não cadastrada","Peça não cadastrada","OK")))</f>
        <v>0</v>
      </c>
    </row>
    <row r="524" spans="1:10">
      <c r="A524" s="17"/>
      <c r="B524" s="13"/>
      <c r="C524" s="20"/>
      <c r="D524" s="19"/>
      <c r="E524" s="26">
        <f>IF($B524="","",IFERROR(INDEX(PecDesc,MATCH($B524,PecCod,0)),"Peça não cadastrada"))</f>
        <v>0</v>
      </c>
      <c r="F524" s="27">
        <f>IF($B524="","",IF($D524&lt;&gt;"",$D524,IFERROR(INDEX(PecPreco,MATCH($B524,PecCod,0)),0)))</f>
        <v>0</v>
      </c>
      <c r="G524" s="27">
        <f>IF(OR($B524="",$C524=""),"",$C524*$F524)</f>
        <v>0</v>
      </c>
      <c r="H524" s="27">
        <f>IF(OR($B524="",$C524=""),"",$C524*IFERROR(INDEX(PecCusto,MATCH($B524,PecCod,0)),0))</f>
        <v>0</v>
      </c>
      <c r="I524" s="32">
        <f>IF($A524="","",IFERROR(INDEX(OSStatus,MATCH($A524,OSNum,0)),"OS inexistente"))</f>
        <v>0</v>
      </c>
      <c r="J524" s="32">
        <f>IF($A524="","",IF($I524="OS inexistente","OS inexistente",IF($E524="Peça não cadastrada","Peça não cadastrada","OK")))</f>
        <v>0</v>
      </c>
    </row>
    <row r="525" spans="1:10">
      <c r="A525" s="17"/>
      <c r="B525" s="13"/>
      <c r="C525" s="20"/>
      <c r="D525" s="19"/>
      <c r="E525" s="26">
        <f>IF($B525="","",IFERROR(INDEX(PecDesc,MATCH($B525,PecCod,0)),"Peça não cadastrada"))</f>
        <v>0</v>
      </c>
      <c r="F525" s="27">
        <f>IF($B525="","",IF($D525&lt;&gt;"",$D525,IFERROR(INDEX(PecPreco,MATCH($B525,PecCod,0)),0)))</f>
        <v>0</v>
      </c>
      <c r="G525" s="27">
        <f>IF(OR($B525="",$C525=""),"",$C525*$F525)</f>
        <v>0</v>
      </c>
      <c r="H525" s="27">
        <f>IF(OR($B525="",$C525=""),"",$C525*IFERROR(INDEX(PecCusto,MATCH($B525,PecCod,0)),0))</f>
        <v>0</v>
      </c>
      <c r="I525" s="32">
        <f>IF($A525="","",IFERROR(INDEX(OSStatus,MATCH($A525,OSNum,0)),"OS inexistente"))</f>
        <v>0</v>
      </c>
      <c r="J525" s="32">
        <f>IF($A525="","",IF($I525="OS inexistente","OS inexistente",IF($E525="Peça não cadastrada","Peça não cadastrada","OK")))</f>
        <v>0</v>
      </c>
    </row>
    <row r="526" spans="1:10">
      <c r="A526" s="17"/>
      <c r="B526" s="13"/>
      <c r="C526" s="20"/>
      <c r="D526" s="19"/>
      <c r="E526" s="26">
        <f>IF($B526="","",IFERROR(INDEX(PecDesc,MATCH($B526,PecCod,0)),"Peça não cadastrada"))</f>
        <v>0</v>
      </c>
      <c r="F526" s="27">
        <f>IF($B526="","",IF($D526&lt;&gt;"",$D526,IFERROR(INDEX(PecPreco,MATCH($B526,PecCod,0)),0)))</f>
        <v>0</v>
      </c>
      <c r="G526" s="27">
        <f>IF(OR($B526="",$C526=""),"",$C526*$F526)</f>
        <v>0</v>
      </c>
      <c r="H526" s="27">
        <f>IF(OR($B526="",$C526=""),"",$C526*IFERROR(INDEX(PecCusto,MATCH($B526,PecCod,0)),0))</f>
        <v>0</v>
      </c>
      <c r="I526" s="32">
        <f>IF($A526="","",IFERROR(INDEX(OSStatus,MATCH($A526,OSNum,0)),"OS inexistente"))</f>
        <v>0</v>
      </c>
      <c r="J526" s="32">
        <f>IF($A526="","",IF($I526="OS inexistente","OS inexistente",IF($E526="Peça não cadastrada","Peça não cadastrada","OK")))</f>
        <v>0</v>
      </c>
    </row>
    <row r="527" spans="1:10">
      <c r="A527" s="17"/>
      <c r="B527" s="13"/>
      <c r="C527" s="20"/>
      <c r="D527" s="19"/>
      <c r="E527" s="26">
        <f>IF($B527="","",IFERROR(INDEX(PecDesc,MATCH($B527,PecCod,0)),"Peça não cadastrada"))</f>
        <v>0</v>
      </c>
      <c r="F527" s="27">
        <f>IF($B527="","",IF($D527&lt;&gt;"",$D527,IFERROR(INDEX(PecPreco,MATCH($B527,PecCod,0)),0)))</f>
        <v>0</v>
      </c>
      <c r="G527" s="27">
        <f>IF(OR($B527="",$C527=""),"",$C527*$F527)</f>
        <v>0</v>
      </c>
      <c r="H527" s="27">
        <f>IF(OR($B527="",$C527=""),"",$C527*IFERROR(INDEX(PecCusto,MATCH($B527,PecCod,0)),0))</f>
        <v>0</v>
      </c>
      <c r="I527" s="32">
        <f>IF($A527="","",IFERROR(INDEX(OSStatus,MATCH($A527,OSNum,0)),"OS inexistente"))</f>
        <v>0</v>
      </c>
      <c r="J527" s="32">
        <f>IF($A527="","",IF($I527="OS inexistente","OS inexistente",IF($E527="Peça não cadastrada","Peça não cadastrada","OK")))</f>
        <v>0</v>
      </c>
    </row>
    <row r="528" spans="1:10">
      <c r="A528" s="17"/>
      <c r="B528" s="13"/>
      <c r="C528" s="20"/>
      <c r="D528" s="19"/>
      <c r="E528" s="26">
        <f>IF($B528="","",IFERROR(INDEX(PecDesc,MATCH($B528,PecCod,0)),"Peça não cadastrada"))</f>
        <v>0</v>
      </c>
      <c r="F528" s="27">
        <f>IF($B528="","",IF($D528&lt;&gt;"",$D528,IFERROR(INDEX(PecPreco,MATCH($B528,PecCod,0)),0)))</f>
        <v>0</v>
      </c>
      <c r="G528" s="27">
        <f>IF(OR($B528="",$C528=""),"",$C528*$F528)</f>
        <v>0</v>
      </c>
      <c r="H528" s="27">
        <f>IF(OR($B528="",$C528=""),"",$C528*IFERROR(INDEX(PecCusto,MATCH($B528,PecCod,0)),0))</f>
        <v>0</v>
      </c>
      <c r="I528" s="32">
        <f>IF($A528="","",IFERROR(INDEX(OSStatus,MATCH($A528,OSNum,0)),"OS inexistente"))</f>
        <v>0</v>
      </c>
      <c r="J528" s="32">
        <f>IF($A528="","",IF($I528="OS inexistente","OS inexistente",IF($E528="Peça não cadastrada","Peça não cadastrada","OK")))</f>
        <v>0</v>
      </c>
    </row>
    <row r="529" spans="1:10">
      <c r="A529" s="17"/>
      <c r="B529" s="13"/>
      <c r="C529" s="20"/>
      <c r="D529" s="19"/>
      <c r="E529" s="26">
        <f>IF($B529="","",IFERROR(INDEX(PecDesc,MATCH($B529,PecCod,0)),"Peça não cadastrada"))</f>
        <v>0</v>
      </c>
      <c r="F529" s="27">
        <f>IF($B529="","",IF($D529&lt;&gt;"",$D529,IFERROR(INDEX(PecPreco,MATCH($B529,PecCod,0)),0)))</f>
        <v>0</v>
      </c>
      <c r="G529" s="27">
        <f>IF(OR($B529="",$C529=""),"",$C529*$F529)</f>
        <v>0</v>
      </c>
      <c r="H529" s="27">
        <f>IF(OR($B529="",$C529=""),"",$C529*IFERROR(INDEX(PecCusto,MATCH($B529,PecCod,0)),0))</f>
        <v>0</v>
      </c>
      <c r="I529" s="32">
        <f>IF($A529="","",IFERROR(INDEX(OSStatus,MATCH($A529,OSNum,0)),"OS inexistente"))</f>
        <v>0</v>
      </c>
      <c r="J529" s="32">
        <f>IF($A529="","",IF($I529="OS inexistente","OS inexistente",IF($E529="Peça não cadastrada","Peça não cadastrada","OK")))</f>
        <v>0</v>
      </c>
    </row>
    <row r="530" spans="1:10">
      <c r="A530" s="17"/>
      <c r="B530" s="13"/>
      <c r="C530" s="20"/>
      <c r="D530" s="19"/>
      <c r="E530" s="26">
        <f>IF($B530="","",IFERROR(INDEX(PecDesc,MATCH($B530,PecCod,0)),"Peça não cadastrada"))</f>
        <v>0</v>
      </c>
      <c r="F530" s="27">
        <f>IF($B530="","",IF($D530&lt;&gt;"",$D530,IFERROR(INDEX(PecPreco,MATCH($B530,PecCod,0)),0)))</f>
        <v>0</v>
      </c>
      <c r="G530" s="27">
        <f>IF(OR($B530="",$C530=""),"",$C530*$F530)</f>
        <v>0</v>
      </c>
      <c r="H530" s="27">
        <f>IF(OR($B530="",$C530=""),"",$C530*IFERROR(INDEX(PecCusto,MATCH($B530,PecCod,0)),0))</f>
        <v>0</v>
      </c>
      <c r="I530" s="32">
        <f>IF($A530="","",IFERROR(INDEX(OSStatus,MATCH($A530,OSNum,0)),"OS inexistente"))</f>
        <v>0</v>
      </c>
      <c r="J530" s="32">
        <f>IF($A530="","",IF($I530="OS inexistente","OS inexistente",IF($E530="Peça não cadastrada","Peça não cadastrada","OK")))</f>
        <v>0</v>
      </c>
    </row>
    <row r="531" spans="1:10">
      <c r="A531" s="17"/>
      <c r="B531" s="13"/>
      <c r="C531" s="20"/>
      <c r="D531" s="19"/>
      <c r="E531" s="26">
        <f>IF($B531="","",IFERROR(INDEX(PecDesc,MATCH($B531,PecCod,0)),"Peça não cadastrada"))</f>
        <v>0</v>
      </c>
      <c r="F531" s="27">
        <f>IF($B531="","",IF($D531&lt;&gt;"",$D531,IFERROR(INDEX(PecPreco,MATCH($B531,PecCod,0)),0)))</f>
        <v>0</v>
      </c>
      <c r="G531" s="27">
        <f>IF(OR($B531="",$C531=""),"",$C531*$F531)</f>
        <v>0</v>
      </c>
      <c r="H531" s="27">
        <f>IF(OR($B531="",$C531=""),"",$C531*IFERROR(INDEX(PecCusto,MATCH($B531,PecCod,0)),0))</f>
        <v>0</v>
      </c>
      <c r="I531" s="32">
        <f>IF($A531="","",IFERROR(INDEX(OSStatus,MATCH($A531,OSNum,0)),"OS inexistente"))</f>
        <v>0</v>
      </c>
      <c r="J531" s="32">
        <f>IF($A531="","",IF($I531="OS inexistente","OS inexistente",IF($E531="Peça não cadastrada","Peça não cadastrada","OK")))</f>
        <v>0</v>
      </c>
    </row>
    <row r="532" spans="1:10">
      <c r="A532" s="17"/>
      <c r="B532" s="13"/>
      <c r="C532" s="20"/>
      <c r="D532" s="19"/>
      <c r="E532" s="26">
        <f>IF($B532="","",IFERROR(INDEX(PecDesc,MATCH($B532,PecCod,0)),"Peça não cadastrada"))</f>
        <v>0</v>
      </c>
      <c r="F532" s="27">
        <f>IF($B532="","",IF($D532&lt;&gt;"",$D532,IFERROR(INDEX(PecPreco,MATCH($B532,PecCod,0)),0)))</f>
        <v>0</v>
      </c>
      <c r="G532" s="27">
        <f>IF(OR($B532="",$C532=""),"",$C532*$F532)</f>
        <v>0</v>
      </c>
      <c r="H532" s="27">
        <f>IF(OR($B532="",$C532=""),"",$C532*IFERROR(INDEX(PecCusto,MATCH($B532,PecCod,0)),0))</f>
        <v>0</v>
      </c>
      <c r="I532" s="32">
        <f>IF($A532="","",IFERROR(INDEX(OSStatus,MATCH($A532,OSNum,0)),"OS inexistente"))</f>
        <v>0</v>
      </c>
      <c r="J532" s="32">
        <f>IF($A532="","",IF($I532="OS inexistente","OS inexistente",IF($E532="Peça não cadastrada","Peça não cadastrada","OK")))</f>
        <v>0</v>
      </c>
    </row>
    <row r="533" spans="1:10">
      <c r="A533" s="17"/>
      <c r="B533" s="13"/>
      <c r="C533" s="20"/>
      <c r="D533" s="19"/>
      <c r="E533" s="26">
        <f>IF($B533="","",IFERROR(INDEX(PecDesc,MATCH($B533,PecCod,0)),"Peça não cadastrada"))</f>
        <v>0</v>
      </c>
      <c r="F533" s="27">
        <f>IF($B533="","",IF($D533&lt;&gt;"",$D533,IFERROR(INDEX(PecPreco,MATCH($B533,PecCod,0)),0)))</f>
        <v>0</v>
      </c>
      <c r="G533" s="27">
        <f>IF(OR($B533="",$C533=""),"",$C533*$F533)</f>
        <v>0</v>
      </c>
      <c r="H533" s="27">
        <f>IF(OR($B533="",$C533=""),"",$C533*IFERROR(INDEX(PecCusto,MATCH($B533,PecCod,0)),0))</f>
        <v>0</v>
      </c>
      <c r="I533" s="32">
        <f>IF($A533="","",IFERROR(INDEX(OSStatus,MATCH($A533,OSNum,0)),"OS inexistente"))</f>
        <v>0</v>
      </c>
      <c r="J533" s="32">
        <f>IF($A533="","",IF($I533="OS inexistente","OS inexistente",IF($E533="Peça não cadastrada","Peça não cadastrada","OK")))</f>
        <v>0</v>
      </c>
    </row>
    <row r="534" spans="1:10">
      <c r="A534" s="17"/>
      <c r="B534" s="13"/>
      <c r="C534" s="20"/>
      <c r="D534" s="19"/>
      <c r="E534" s="26">
        <f>IF($B534="","",IFERROR(INDEX(PecDesc,MATCH($B534,PecCod,0)),"Peça não cadastrada"))</f>
        <v>0</v>
      </c>
      <c r="F534" s="27">
        <f>IF($B534="","",IF($D534&lt;&gt;"",$D534,IFERROR(INDEX(PecPreco,MATCH($B534,PecCod,0)),0)))</f>
        <v>0</v>
      </c>
      <c r="G534" s="27">
        <f>IF(OR($B534="",$C534=""),"",$C534*$F534)</f>
        <v>0</v>
      </c>
      <c r="H534" s="27">
        <f>IF(OR($B534="",$C534=""),"",$C534*IFERROR(INDEX(PecCusto,MATCH($B534,PecCod,0)),0))</f>
        <v>0</v>
      </c>
      <c r="I534" s="32">
        <f>IF($A534="","",IFERROR(INDEX(OSStatus,MATCH($A534,OSNum,0)),"OS inexistente"))</f>
        <v>0</v>
      </c>
      <c r="J534" s="32">
        <f>IF($A534="","",IF($I534="OS inexistente","OS inexistente",IF($E534="Peça não cadastrada","Peça não cadastrada","OK")))</f>
        <v>0</v>
      </c>
    </row>
    <row r="535" spans="1:10">
      <c r="A535" s="17"/>
      <c r="B535" s="13"/>
      <c r="C535" s="20"/>
      <c r="D535" s="19"/>
      <c r="E535" s="26">
        <f>IF($B535="","",IFERROR(INDEX(PecDesc,MATCH($B535,PecCod,0)),"Peça não cadastrada"))</f>
        <v>0</v>
      </c>
      <c r="F535" s="27">
        <f>IF($B535="","",IF($D535&lt;&gt;"",$D535,IFERROR(INDEX(PecPreco,MATCH($B535,PecCod,0)),0)))</f>
        <v>0</v>
      </c>
      <c r="G535" s="27">
        <f>IF(OR($B535="",$C535=""),"",$C535*$F535)</f>
        <v>0</v>
      </c>
      <c r="H535" s="27">
        <f>IF(OR($B535="",$C535=""),"",$C535*IFERROR(INDEX(PecCusto,MATCH($B535,PecCod,0)),0))</f>
        <v>0</v>
      </c>
      <c r="I535" s="32">
        <f>IF($A535="","",IFERROR(INDEX(OSStatus,MATCH($A535,OSNum,0)),"OS inexistente"))</f>
        <v>0</v>
      </c>
      <c r="J535" s="32">
        <f>IF($A535="","",IF($I535="OS inexistente","OS inexistente",IF($E535="Peça não cadastrada","Peça não cadastrada","OK")))</f>
        <v>0</v>
      </c>
    </row>
    <row r="536" spans="1:10">
      <c r="A536" s="17"/>
      <c r="B536" s="13"/>
      <c r="C536" s="20"/>
      <c r="D536" s="19"/>
      <c r="E536" s="26">
        <f>IF($B536="","",IFERROR(INDEX(PecDesc,MATCH($B536,PecCod,0)),"Peça não cadastrada"))</f>
        <v>0</v>
      </c>
      <c r="F536" s="27">
        <f>IF($B536="","",IF($D536&lt;&gt;"",$D536,IFERROR(INDEX(PecPreco,MATCH($B536,PecCod,0)),0)))</f>
        <v>0</v>
      </c>
      <c r="G536" s="27">
        <f>IF(OR($B536="",$C536=""),"",$C536*$F536)</f>
        <v>0</v>
      </c>
      <c r="H536" s="27">
        <f>IF(OR($B536="",$C536=""),"",$C536*IFERROR(INDEX(PecCusto,MATCH($B536,PecCod,0)),0))</f>
        <v>0</v>
      </c>
      <c r="I536" s="32">
        <f>IF($A536="","",IFERROR(INDEX(OSStatus,MATCH($A536,OSNum,0)),"OS inexistente"))</f>
        <v>0</v>
      </c>
      <c r="J536" s="32">
        <f>IF($A536="","",IF($I536="OS inexistente","OS inexistente",IF($E536="Peça não cadastrada","Peça não cadastrada","OK")))</f>
        <v>0</v>
      </c>
    </row>
    <row r="537" spans="1:10">
      <c r="A537" s="17"/>
      <c r="B537" s="13"/>
      <c r="C537" s="20"/>
      <c r="D537" s="19"/>
      <c r="E537" s="26">
        <f>IF($B537="","",IFERROR(INDEX(PecDesc,MATCH($B537,PecCod,0)),"Peça não cadastrada"))</f>
        <v>0</v>
      </c>
      <c r="F537" s="27">
        <f>IF($B537="","",IF($D537&lt;&gt;"",$D537,IFERROR(INDEX(PecPreco,MATCH($B537,PecCod,0)),0)))</f>
        <v>0</v>
      </c>
      <c r="G537" s="27">
        <f>IF(OR($B537="",$C537=""),"",$C537*$F537)</f>
        <v>0</v>
      </c>
      <c r="H537" s="27">
        <f>IF(OR($B537="",$C537=""),"",$C537*IFERROR(INDEX(PecCusto,MATCH($B537,PecCod,0)),0))</f>
        <v>0</v>
      </c>
      <c r="I537" s="32">
        <f>IF($A537="","",IFERROR(INDEX(OSStatus,MATCH($A537,OSNum,0)),"OS inexistente"))</f>
        <v>0</v>
      </c>
      <c r="J537" s="32">
        <f>IF($A537="","",IF($I537="OS inexistente","OS inexistente",IF($E537="Peça não cadastrada","Peça não cadastrada","OK")))</f>
        <v>0</v>
      </c>
    </row>
    <row r="538" spans="1:10">
      <c r="A538" s="17"/>
      <c r="B538" s="13"/>
      <c r="C538" s="20"/>
      <c r="D538" s="19"/>
      <c r="E538" s="26">
        <f>IF($B538="","",IFERROR(INDEX(PecDesc,MATCH($B538,PecCod,0)),"Peça não cadastrada"))</f>
        <v>0</v>
      </c>
      <c r="F538" s="27">
        <f>IF($B538="","",IF($D538&lt;&gt;"",$D538,IFERROR(INDEX(PecPreco,MATCH($B538,PecCod,0)),0)))</f>
        <v>0</v>
      </c>
      <c r="G538" s="27">
        <f>IF(OR($B538="",$C538=""),"",$C538*$F538)</f>
        <v>0</v>
      </c>
      <c r="H538" s="27">
        <f>IF(OR($B538="",$C538=""),"",$C538*IFERROR(INDEX(PecCusto,MATCH($B538,PecCod,0)),0))</f>
        <v>0</v>
      </c>
      <c r="I538" s="32">
        <f>IF($A538="","",IFERROR(INDEX(OSStatus,MATCH($A538,OSNum,0)),"OS inexistente"))</f>
        <v>0</v>
      </c>
      <c r="J538" s="32">
        <f>IF($A538="","",IF($I538="OS inexistente","OS inexistente",IF($E538="Peça não cadastrada","Peça não cadastrada","OK")))</f>
        <v>0</v>
      </c>
    </row>
    <row r="539" spans="1:10">
      <c r="A539" s="17"/>
      <c r="B539" s="13"/>
      <c r="C539" s="20"/>
      <c r="D539" s="19"/>
      <c r="E539" s="26">
        <f>IF($B539="","",IFERROR(INDEX(PecDesc,MATCH($B539,PecCod,0)),"Peça não cadastrada"))</f>
        <v>0</v>
      </c>
      <c r="F539" s="27">
        <f>IF($B539="","",IF($D539&lt;&gt;"",$D539,IFERROR(INDEX(PecPreco,MATCH($B539,PecCod,0)),0)))</f>
        <v>0</v>
      </c>
      <c r="G539" s="27">
        <f>IF(OR($B539="",$C539=""),"",$C539*$F539)</f>
        <v>0</v>
      </c>
      <c r="H539" s="27">
        <f>IF(OR($B539="",$C539=""),"",$C539*IFERROR(INDEX(PecCusto,MATCH($B539,PecCod,0)),0))</f>
        <v>0</v>
      </c>
      <c r="I539" s="32">
        <f>IF($A539="","",IFERROR(INDEX(OSStatus,MATCH($A539,OSNum,0)),"OS inexistente"))</f>
        <v>0</v>
      </c>
      <c r="J539" s="32">
        <f>IF($A539="","",IF($I539="OS inexistente","OS inexistente",IF($E539="Peça não cadastrada","Peça não cadastrada","OK")))</f>
        <v>0</v>
      </c>
    </row>
    <row r="540" spans="1:10">
      <c r="A540" s="17"/>
      <c r="B540" s="13"/>
      <c r="C540" s="20"/>
      <c r="D540" s="19"/>
      <c r="E540" s="26">
        <f>IF($B540="","",IFERROR(INDEX(PecDesc,MATCH($B540,PecCod,0)),"Peça não cadastrada"))</f>
        <v>0</v>
      </c>
      <c r="F540" s="27">
        <f>IF($B540="","",IF($D540&lt;&gt;"",$D540,IFERROR(INDEX(PecPreco,MATCH($B540,PecCod,0)),0)))</f>
        <v>0</v>
      </c>
      <c r="G540" s="27">
        <f>IF(OR($B540="",$C540=""),"",$C540*$F540)</f>
        <v>0</v>
      </c>
      <c r="H540" s="27">
        <f>IF(OR($B540="",$C540=""),"",$C540*IFERROR(INDEX(PecCusto,MATCH($B540,PecCod,0)),0))</f>
        <v>0</v>
      </c>
      <c r="I540" s="32">
        <f>IF($A540="","",IFERROR(INDEX(OSStatus,MATCH($A540,OSNum,0)),"OS inexistente"))</f>
        <v>0</v>
      </c>
      <c r="J540" s="32">
        <f>IF($A540="","",IF($I540="OS inexistente","OS inexistente",IF($E540="Peça não cadastrada","Peça não cadastrada","OK")))</f>
        <v>0</v>
      </c>
    </row>
    <row r="541" spans="1:10">
      <c r="A541" s="17"/>
      <c r="B541" s="13"/>
      <c r="C541" s="20"/>
      <c r="D541" s="19"/>
      <c r="E541" s="26">
        <f>IF($B541="","",IFERROR(INDEX(PecDesc,MATCH($B541,PecCod,0)),"Peça não cadastrada"))</f>
        <v>0</v>
      </c>
      <c r="F541" s="27">
        <f>IF($B541="","",IF($D541&lt;&gt;"",$D541,IFERROR(INDEX(PecPreco,MATCH($B541,PecCod,0)),0)))</f>
        <v>0</v>
      </c>
      <c r="G541" s="27">
        <f>IF(OR($B541="",$C541=""),"",$C541*$F541)</f>
        <v>0</v>
      </c>
      <c r="H541" s="27">
        <f>IF(OR($B541="",$C541=""),"",$C541*IFERROR(INDEX(PecCusto,MATCH($B541,PecCod,0)),0))</f>
        <v>0</v>
      </c>
      <c r="I541" s="32">
        <f>IF($A541="","",IFERROR(INDEX(OSStatus,MATCH($A541,OSNum,0)),"OS inexistente"))</f>
        <v>0</v>
      </c>
      <c r="J541" s="32">
        <f>IF($A541="","",IF($I541="OS inexistente","OS inexistente",IF($E541="Peça não cadastrada","Peça não cadastrada","OK")))</f>
        <v>0</v>
      </c>
    </row>
    <row r="542" spans="1:10">
      <c r="A542" s="17"/>
      <c r="B542" s="13"/>
      <c r="C542" s="20"/>
      <c r="D542" s="19"/>
      <c r="E542" s="26">
        <f>IF($B542="","",IFERROR(INDEX(PecDesc,MATCH($B542,PecCod,0)),"Peça não cadastrada"))</f>
        <v>0</v>
      </c>
      <c r="F542" s="27">
        <f>IF($B542="","",IF($D542&lt;&gt;"",$D542,IFERROR(INDEX(PecPreco,MATCH($B542,PecCod,0)),0)))</f>
        <v>0</v>
      </c>
      <c r="G542" s="27">
        <f>IF(OR($B542="",$C542=""),"",$C542*$F542)</f>
        <v>0</v>
      </c>
      <c r="H542" s="27">
        <f>IF(OR($B542="",$C542=""),"",$C542*IFERROR(INDEX(PecCusto,MATCH($B542,PecCod,0)),0))</f>
        <v>0</v>
      </c>
      <c r="I542" s="32">
        <f>IF($A542="","",IFERROR(INDEX(OSStatus,MATCH($A542,OSNum,0)),"OS inexistente"))</f>
        <v>0</v>
      </c>
      <c r="J542" s="32">
        <f>IF($A542="","",IF($I542="OS inexistente","OS inexistente",IF($E542="Peça não cadastrada","Peça não cadastrada","OK")))</f>
        <v>0</v>
      </c>
    </row>
    <row r="543" spans="1:10">
      <c r="A543" s="17"/>
      <c r="B543" s="13"/>
      <c r="C543" s="20"/>
      <c r="D543" s="19"/>
      <c r="E543" s="26">
        <f>IF($B543="","",IFERROR(INDEX(PecDesc,MATCH($B543,PecCod,0)),"Peça não cadastrada"))</f>
        <v>0</v>
      </c>
      <c r="F543" s="27">
        <f>IF($B543="","",IF($D543&lt;&gt;"",$D543,IFERROR(INDEX(PecPreco,MATCH($B543,PecCod,0)),0)))</f>
        <v>0</v>
      </c>
      <c r="G543" s="27">
        <f>IF(OR($B543="",$C543=""),"",$C543*$F543)</f>
        <v>0</v>
      </c>
      <c r="H543" s="27">
        <f>IF(OR($B543="",$C543=""),"",$C543*IFERROR(INDEX(PecCusto,MATCH($B543,PecCod,0)),0))</f>
        <v>0</v>
      </c>
      <c r="I543" s="32">
        <f>IF($A543="","",IFERROR(INDEX(OSStatus,MATCH($A543,OSNum,0)),"OS inexistente"))</f>
        <v>0</v>
      </c>
      <c r="J543" s="32">
        <f>IF($A543="","",IF($I543="OS inexistente","OS inexistente",IF($E543="Peça não cadastrada","Peça não cadastrada","OK")))</f>
        <v>0</v>
      </c>
    </row>
    <row r="544" spans="1:10">
      <c r="A544" s="17"/>
      <c r="B544" s="13"/>
      <c r="C544" s="20"/>
      <c r="D544" s="19"/>
      <c r="E544" s="26">
        <f>IF($B544="","",IFERROR(INDEX(PecDesc,MATCH($B544,PecCod,0)),"Peça não cadastrada"))</f>
        <v>0</v>
      </c>
      <c r="F544" s="27">
        <f>IF($B544="","",IF($D544&lt;&gt;"",$D544,IFERROR(INDEX(PecPreco,MATCH($B544,PecCod,0)),0)))</f>
        <v>0</v>
      </c>
      <c r="G544" s="27">
        <f>IF(OR($B544="",$C544=""),"",$C544*$F544)</f>
        <v>0</v>
      </c>
      <c r="H544" s="27">
        <f>IF(OR($B544="",$C544=""),"",$C544*IFERROR(INDEX(PecCusto,MATCH($B544,PecCod,0)),0))</f>
        <v>0</v>
      </c>
      <c r="I544" s="32">
        <f>IF($A544="","",IFERROR(INDEX(OSStatus,MATCH($A544,OSNum,0)),"OS inexistente"))</f>
        <v>0</v>
      </c>
      <c r="J544" s="32">
        <f>IF($A544="","",IF($I544="OS inexistente","OS inexistente",IF($E544="Peça não cadastrada","Peça não cadastrada","OK")))</f>
        <v>0</v>
      </c>
    </row>
    <row r="545" spans="1:10">
      <c r="A545" s="17"/>
      <c r="B545" s="13"/>
      <c r="C545" s="20"/>
      <c r="D545" s="19"/>
      <c r="E545" s="26">
        <f>IF($B545="","",IFERROR(INDEX(PecDesc,MATCH($B545,PecCod,0)),"Peça não cadastrada"))</f>
        <v>0</v>
      </c>
      <c r="F545" s="27">
        <f>IF($B545="","",IF($D545&lt;&gt;"",$D545,IFERROR(INDEX(PecPreco,MATCH($B545,PecCod,0)),0)))</f>
        <v>0</v>
      </c>
      <c r="G545" s="27">
        <f>IF(OR($B545="",$C545=""),"",$C545*$F545)</f>
        <v>0</v>
      </c>
      <c r="H545" s="27">
        <f>IF(OR($B545="",$C545=""),"",$C545*IFERROR(INDEX(PecCusto,MATCH($B545,PecCod,0)),0))</f>
        <v>0</v>
      </c>
      <c r="I545" s="32">
        <f>IF($A545="","",IFERROR(INDEX(OSStatus,MATCH($A545,OSNum,0)),"OS inexistente"))</f>
        <v>0</v>
      </c>
      <c r="J545" s="32">
        <f>IF($A545="","",IF($I545="OS inexistente","OS inexistente",IF($E545="Peça não cadastrada","Peça não cadastrada","OK")))</f>
        <v>0</v>
      </c>
    </row>
    <row r="546" spans="1:10">
      <c r="A546" s="17"/>
      <c r="B546" s="13"/>
      <c r="C546" s="20"/>
      <c r="D546" s="19"/>
      <c r="E546" s="26">
        <f>IF($B546="","",IFERROR(INDEX(PecDesc,MATCH($B546,PecCod,0)),"Peça não cadastrada"))</f>
        <v>0</v>
      </c>
      <c r="F546" s="27">
        <f>IF($B546="","",IF($D546&lt;&gt;"",$D546,IFERROR(INDEX(PecPreco,MATCH($B546,PecCod,0)),0)))</f>
        <v>0</v>
      </c>
      <c r="G546" s="27">
        <f>IF(OR($B546="",$C546=""),"",$C546*$F546)</f>
        <v>0</v>
      </c>
      <c r="H546" s="27">
        <f>IF(OR($B546="",$C546=""),"",$C546*IFERROR(INDEX(PecCusto,MATCH($B546,PecCod,0)),0))</f>
        <v>0</v>
      </c>
      <c r="I546" s="32">
        <f>IF($A546="","",IFERROR(INDEX(OSStatus,MATCH($A546,OSNum,0)),"OS inexistente"))</f>
        <v>0</v>
      </c>
      <c r="J546" s="32">
        <f>IF($A546="","",IF($I546="OS inexistente","OS inexistente",IF($E546="Peça não cadastrada","Peça não cadastrada","OK")))</f>
        <v>0</v>
      </c>
    </row>
    <row r="547" spans="1:10">
      <c r="A547" s="17"/>
      <c r="B547" s="13"/>
      <c r="C547" s="20"/>
      <c r="D547" s="19"/>
      <c r="E547" s="26">
        <f>IF($B547="","",IFERROR(INDEX(PecDesc,MATCH($B547,PecCod,0)),"Peça não cadastrada"))</f>
        <v>0</v>
      </c>
      <c r="F547" s="27">
        <f>IF($B547="","",IF($D547&lt;&gt;"",$D547,IFERROR(INDEX(PecPreco,MATCH($B547,PecCod,0)),0)))</f>
        <v>0</v>
      </c>
      <c r="G547" s="27">
        <f>IF(OR($B547="",$C547=""),"",$C547*$F547)</f>
        <v>0</v>
      </c>
      <c r="H547" s="27">
        <f>IF(OR($B547="",$C547=""),"",$C547*IFERROR(INDEX(PecCusto,MATCH($B547,PecCod,0)),0))</f>
        <v>0</v>
      </c>
      <c r="I547" s="32">
        <f>IF($A547="","",IFERROR(INDEX(OSStatus,MATCH($A547,OSNum,0)),"OS inexistente"))</f>
        <v>0</v>
      </c>
      <c r="J547" s="32">
        <f>IF($A547="","",IF($I547="OS inexistente","OS inexistente",IF($E547="Peça não cadastrada","Peça não cadastrada","OK")))</f>
        <v>0</v>
      </c>
    </row>
    <row r="548" spans="1:10">
      <c r="A548" s="17"/>
      <c r="B548" s="13"/>
      <c r="C548" s="20"/>
      <c r="D548" s="19"/>
      <c r="E548" s="26">
        <f>IF($B548="","",IFERROR(INDEX(PecDesc,MATCH($B548,PecCod,0)),"Peça não cadastrada"))</f>
        <v>0</v>
      </c>
      <c r="F548" s="27">
        <f>IF($B548="","",IF($D548&lt;&gt;"",$D548,IFERROR(INDEX(PecPreco,MATCH($B548,PecCod,0)),0)))</f>
        <v>0</v>
      </c>
      <c r="G548" s="27">
        <f>IF(OR($B548="",$C548=""),"",$C548*$F548)</f>
        <v>0</v>
      </c>
      <c r="H548" s="27">
        <f>IF(OR($B548="",$C548=""),"",$C548*IFERROR(INDEX(PecCusto,MATCH($B548,PecCod,0)),0))</f>
        <v>0</v>
      </c>
      <c r="I548" s="32">
        <f>IF($A548="","",IFERROR(INDEX(OSStatus,MATCH($A548,OSNum,0)),"OS inexistente"))</f>
        <v>0</v>
      </c>
      <c r="J548" s="32">
        <f>IF($A548="","",IF($I548="OS inexistente","OS inexistente",IF($E548="Peça não cadastrada","Peça não cadastrada","OK")))</f>
        <v>0</v>
      </c>
    </row>
    <row r="549" spans="1:10">
      <c r="A549" s="17"/>
      <c r="B549" s="13"/>
      <c r="C549" s="20"/>
      <c r="D549" s="19"/>
      <c r="E549" s="26">
        <f>IF($B549="","",IFERROR(INDEX(PecDesc,MATCH($B549,PecCod,0)),"Peça não cadastrada"))</f>
        <v>0</v>
      </c>
      <c r="F549" s="27">
        <f>IF($B549="","",IF($D549&lt;&gt;"",$D549,IFERROR(INDEX(PecPreco,MATCH($B549,PecCod,0)),0)))</f>
        <v>0</v>
      </c>
      <c r="G549" s="27">
        <f>IF(OR($B549="",$C549=""),"",$C549*$F549)</f>
        <v>0</v>
      </c>
      <c r="H549" s="27">
        <f>IF(OR($B549="",$C549=""),"",$C549*IFERROR(INDEX(PecCusto,MATCH($B549,PecCod,0)),0))</f>
        <v>0</v>
      </c>
      <c r="I549" s="32">
        <f>IF($A549="","",IFERROR(INDEX(OSStatus,MATCH($A549,OSNum,0)),"OS inexistente"))</f>
        <v>0</v>
      </c>
      <c r="J549" s="32">
        <f>IF($A549="","",IF($I549="OS inexistente","OS inexistente",IF($E549="Peça não cadastrada","Peça não cadastrada","OK")))</f>
        <v>0</v>
      </c>
    </row>
    <row r="550" spans="1:10">
      <c r="A550" s="17"/>
      <c r="B550" s="13"/>
      <c r="C550" s="20"/>
      <c r="D550" s="19"/>
      <c r="E550" s="26">
        <f>IF($B550="","",IFERROR(INDEX(PecDesc,MATCH($B550,PecCod,0)),"Peça não cadastrada"))</f>
        <v>0</v>
      </c>
      <c r="F550" s="27">
        <f>IF($B550="","",IF($D550&lt;&gt;"",$D550,IFERROR(INDEX(PecPreco,MATCH($B550,PecCod,0)),0)))</f>
        <v>0</v>
      </c>
      <c r="G550" s="27">
        <f>IF(OR($B550="",$C550=""),"",$C550*$F550)</f>
        <v>0</v>
      </c>
      <c r="H550" s="27">
        <f>IF(OR($B550="",$C550=""),"",$C550*IFERROR(INDEX(PecCusto,MATCH($B550,PecCod,0)),0))</f>
        <v>0</v>
      </c>
      <c r="I550" s="32">
        <f>IF($A550="","",IFERROR(INDEX(OSStatus,MATCH($A550,OSNum,0)),"OS inexistente"))</f>
        <v>0</v>
      </c>
      <c r="J550" s="32">
        <f>IF($A550="","",IF($I550="OS inexistente","OS inexistente",IF($E550="Peça não cadastrada","Peça não cadastrada","OK")))</f>
        <v>0</v>
      </c>
    </row>
    <row r="551" spans="1:10">
      <c r="A551" s="17"/>
      <c r="B551" s="13"/>
      <c r="C551" s="20"/>
      <c r="D551" s="19"/>
      <c r="E551" s="26">
        <f>IF($B551="","",IFERROR(INDEX(PecDesc,MATCH($B551,PecCod,0)),"Peça não cadastrada"))</f>
        <v>0</v>
      </c>
      <c r="F551" s="27">
        <f>IF($B551="","",IF($D551&lt;&gt;"",$D551,IFERROR(INDEX(PecPreco,MATCH($B551,PecCod,0)),0)))</f>
        <v>0</v>
      </c>
      <c r="G551" s="27">
        <f>IF(OR($B551="",$C551=""),"",$C551*$F551)</f>
        <v>0</v>
      </c>
      <c r="H551" s="27">
        <f>IF(OR($B551="",$C551=""),"",$C551*IFERROR(INDEX(PecCusto,MATCH($B551,PecCod,0)),0))</f>
        <v>0</v>
      </c>
      <c r="I551" s="32">
        <f>IF($A551="","",IFERROR(INDEX(OSStatus,MATCH($A551,OSNum,0)),"OS inexistente"))</f>
        <v>0</v>
      </c>
      <c r="J551" s="32">
        <f>IF($A551="","",IF($I551="OS inexistente","OS inexistente",IF($E551="Peça não cadastrada","Peça não cadastrada","OK")))</f>
        <v>0</v>
      </c>
    </row>
    <row r="552" spans="1:10">
      <c r="A552" s="17"/>
      <c r="B552" s="13"/>
      <c r="C552" s="20"/>
      <c r="D552" s="19"/>
      <c r="E552" s="26">
        <f>IF($B552="","",IFERROR(INDEX(PecDesc,MATCH($B552,PecCod,0)),"Peça não cadastrada"))</f>
        <v>0</v>
      </c>
      <c r="F552" s="27">
        <f>IF($B552="","",IF($D552&lt;&gt;"",$D552,IFERROR(INDEX(PecPreco,MATCH($B552,PecCod,0)),0)))</f>
        <v>0</v>
      </c>
      <c r="G552" s="27">
        <f>IF(OR($B552="",$C552=""),"",$C552*$F552)</f>
        <v>0</v>
      </c>
      <c r="H552" s="27">
        <f>IF(OR($B552="",$C552=""),"",$C552*IFERROR(INDEX(PecCusto,MATCH($B552,PecCod,0)),0))</f>
        <v>0</v>
      </c>
      <c r="I552" s="32">
        <f>IF($A552="","",IFERROR(INDEX(OSStatus,MATCH($A552,OSNum,0)),"OS inexistente"))</f>
        <v>0</v>
      </c>
      <c r="J552" s="32">
        <f>IF($A552="","",IF($I552="OS inexistente","OS inexistente",IF($E552="Peça não cadastrada","Peça não cadastrada","OK")))</f>
        <v>0</v>
      </c>
    </row>
    <row r="553" spans="1:10">
      <c r="A553" s="17"/>
      <c r="B553" s="13"/>
      <c r="C553" s="20"/>
      <c r="D553" s="19"/>
      <c r="E553" s="26">
        <f>IF($B553="","",IFERROR(INDEX(PecDesc,MATCH($B553,PecCod,0)),"Peça não cadastrada"))</f>
        <v>0</v>
      </c>
      <c r="F553" s="27">
        <f>IF($B553="","",IF($D553&lt;&gt;"",$D553,IFERROR(INDEX(PecPreco,MATCH($B553,PecCod,0)),0)))</f>
        <v>0</v>
      </c>
      <c r="G553" s="27">
        <f>IF(OR($B553="",$C553=""),"",$C553*$F553)</f>
        <v>0</v>
      </c>
      <c r="H553" s="27">
        <f>IF(OR($B553="",$C553=""),"",$C553*IFERROR(INDEX(PecCusto,MATCH($B553,PecCod,0)),0))</f>
        <v>0</v>
      </c>
      <c r="I553" s="32">
        <f>IF($A553="","",IFERROR(INDEX(OSStatus,MATCH($A553,OSNum,0)),"OS inexistente"))</f>
        <v>0</v>
      </c>
      <c r="J553" s="32">
        <f>IF($A553="","",IF($I553="OS inexistente","OS inexistente",IF($E553="Peça não cadastrada","Peça não cadastrada","OK")))</f>
        <v>0</v>
      </c>
    </row>
    <row r="554" spans="1:10">
      <c r="A554" s="17"/>
      <c r="B554" s="13"/>
      <c r="C554" s="20"/>
      <c r="D554" s="19"/>
      <c r="E554" s="26">
        <f>IF($B554="","",IFERROR(INDEX(PecDesc,MATCH($B554,PecCod,0)),"Peça não cadastrada"))</f>
        <v>0</v>
      </c>
      <c r="F554" s="27">
        <f>IF($B554="","",IF($D554&lt;&gt;"",$D554,IFERROR(INDEX(PecPreco,MATCH($B554,PecCod,0)),0)))</f>
        <v>0</v>
      </c>
      <c r="G554" s="27">
        <f>IF(OR($B554="",$C554=""),"",$C554*$F554)</f>
        <v>0</v>
      </c>
      <c r="H554" s="27">
        <f>IF(OR($B554="",$C554=""),"",$C554*IFERROR(INDEX(PecCusto,MATCH($B554,PecCod,0)),0))</f>
        <v>0</v>
      </c>
      <c r="I554" s="32">
        <f>IF($A554="","",IFERROR(INDEX(OSStatus,MATCH($A554,OSNum,0)),"OS inexistente"))</f>
        <v>0</v>
      </c>
      <c r="J554" s="32">
        <f>IF($A554="","",IF($I554="OS inexistente","OS inexistente",IF($E554="Peça não cadastrada","Peça não cadastrada","OK")))</f>
        <v>0</v>
      </c>
    </row>
    <row r="555" spans="1:10">
      <c r="A555" s="17"/>
      <c r="B555" s="13"/>
      <c r="C555" s="20"/>
      <c r="D555" s="19"/>
      <c r="E555" s="26">
        <f>IF($B555="","",IFERROR(INDEX(PecDesc,MATCH($B555,PecCod,0)),"Peça não cadastrada"))</f>
        <v>0</v>
      </c>
      <c r="F555" s="27">
        <f>IF($B555="","",IF($D555&lt;&gt;"",$D555,IFERROR(INDEX(PecPreco,MATCH($B555,PecCod,0)),0)))</f>
        <v>0</v>
      </c>
      <c r="G555" s="27">
        <f>IF(OR($B555="",$C555=""),"",$C555*$F555)</f>
        <v>0</v>
      </c>
      <c r="H555" s="27">
        <f>IF(OR($B555="",$C555=""),"",$C555*IFERROR(INDEX(PecCusto,MATCH($B555,PecCod,0)),0))</f>
        <v>0</v>
      </c>
      <c r="I555" s="32">
        <f>IF($A555="","",IFERROR(INDEX(OSStatus,MATCH($A555,OSNum,0)),"OS inexistente"))</f>
        <v>0</v>
      </c>
      <c r="J555" s="32">
        <f>IF($A555="","",IF($I555="OS inexistente","OS inexistente",IF($E555="Peça não cadastrada","Peça não cadastrada","OK")))</f>
        <v>0</v>
      </c>
    </row>
    <row r="556" spans="1:10">
      <c r="A556" s="17"/>
      <c r="B556" s="13"/>
      <c r="C556" s="20"/>
      <c r="D556" s="19"/>
      <c r="E556" s="26">
        <f>IF($B556="","",IFERROR(INDEX(PecDesc,MATCH($B556,PecCod,0)),"Peça não cadastrada"))</f>
        <v>0</v>
      </c>
      <c r="F556" s="27">
        <f>IF($B556="","",IF($D556&lt;&gt;"",$D556,IFERROR(INDEX(PecPreco,MATCH($B556,PecCod,0)),0)))</f>
        <v>0</v>
      </c>
      <c r="G556" s="27">
        <f>IF(OR($B556="",$C556=""),"",$C556*$F556)</f>
        <v>0</v>
      </c>
      <c r="H556" s="27">
        <f>IF(OR($B556="",$C556=""),"",$C556*IFERROR(INDEX(PecCusto,MATCH($B556,PecCod,0)),0))</f>
        <v>0</v>
      </c>
      <c r="I556" s="32">
        <f>IF($A556="","",IFERROR(INDEX(OSStatus,MATCH($A556,OSNum,0)),"OS inexistente"))</f>
        <v>0</v>
      </c>
      <c r="J556" s="32">
        <f>IF($A556="","",IF($I556="OS inexistente","OS inexistente",IF($E556="Peça não cadastrada","Peça não cadastrada","OK")))</f>
        <v>0</v>
      </c>
    </row>
    <row r="557" spans="1:10">
      <c r="A557" s="17"/>
      <c r="B557" s="13"/>
      <c r="C557" s="20"/>
      <c r="D557" s="19"/>
      <c r="E557" s="26">
        <f>IF($B557="","",IFERROR(INDEX(PecDesc,MATCH($B557,PecCod,0)),"Peça não cadastrada"))</f>
        <v>0</v>
      </c>
      <c r="F557" s="27">
        <f>IF($B557="","",IF($D557&lt;&gt;"",$D557,IFERROR(INDEX(PecPreco,MATCH($B557,PecCod,0)),0)))</f>
        <v>0</v>
      </c>
      <c r="G557" s="27">
        <f>IF(OR($B557="",$C557=""),"",$C557*$F557)</f>
        <v>0</v>
      </c>
      <c r="H557" s="27">
        <f>IF(OR($B557="",$C557=""),"",$C557*IFERROR(INDEX(PecCusto,MATCH($B557,PecCod,0)),0))</f>
        <v>0</v>
      </c>
      <c r="I557" s="32">
        <f>IF($A557="","",IFERROR(INDEX(OSStatus,MATCH($A557,OSNum,0)),"OS inexistente"))</f>
        <v>0</v>
      </c>
      <c r="J557" s="32">
        <f>IF($A557="","",IF($I557="OS inexistente","OS inexistente",IF($E557="Peça não cadastrada","Peça não cadastrada","OK")))</f>
        <v>0</v>
      </c>
    </row>
    <row r="558" spans="1:10">
      <c r="A558" s="17"/>
      <c r="B558" s="13"/>
      <c r="C558" s="20"/>
      <c r="D558" s="19"/>
      <c r="E558" s="26">
        <f>IF($B558="","",IFERROR(INDEX(PecDesc,MATCH($B558,PecCod,0)),"Peça não cadastrada"))</f>
        <v>0</v>
      </c>
      <c r="F558" s="27">
        <f>IF($B558="","",IF($D558&lt;&gt;"",$D558,IFERROR(INDEX(PecPreco,MATCH($B558,PecCod,0)),0)))</f>
        <v>0</v>
      </c>
      <c r="G558" s="27">
        <f>IF(OR($B558="",$C558=""),"",$C558*$F558)</f>
        <v>0</v>
      </c>
      <c r="H558" s="27">
        <f>IF(OR($B558="",$C558=""),"",$C558*IFERROR(INDEX(PecCusto,MATCH($B558,PecCod,0)),0))</f>
        <v>0</v>
      </c>
      <c r="I558" s="32">
        <f>IF($A558="","",IFERROR(INDEX(OSStatus,MATCH($A558,OSNum,0)),"OS inexistente"))</f>
        <v>0</v>
      </c>
      <c r="J558" s="32">
        <f>IF($A558="","",IF($I558="OS inexistente","OS inexistente",IF($E558="Peça não cadastrada","Peça não cadastrada","OK")))</f>
        <v>0</v>
      </c>
    </row>
    <row r="559" spans="1:10">
      <c r="A559" s="17"/>
      <c r="B559" s="13"/>
      <c r="C559" s="20"/>
      <c r="D559" s="19"/>
      <c r="E559" s="26">
        <f>IF($B559="","",IFERROR(INDEX(PecDesc,MATCH($B559,PecCod,0)),"Peça não cadastrada"))</f>
        <v>0</v>
      </c>
      <c r="F559" s="27">
        <f>IF($B559="","",IF($D559&lt;&gt;"",$D559,IFERROR(INDEX(PecPreco,MATCH($B559,PecCod,0)),0)))</f>
        <v>0</v>
      </c>
      <c r="G559" s="27">
        <f>IF(OR($B559="",$C559=""),"",$C559*$F559)</f>
        <v>0</v>
      </c>
      <c r="H559" s="27">
        <f>IF(OR($B559="",$C559=""),"",$C559*IFERROR(INDEX(PecCusto,MATCH($B559,PecCod,0)),0))</f>
        <v>0</v>
      </c>
      <c r="I559" s="32">
        <f>IF($A559="","",IFERROR(INDEX(OSStatus,MATCH($A559,OSNum,0)),"OS inexistente"))</f>
        <v>0</v>
      </c>
      <c r="J559" s="32">
        <f>IF($A559="","",IF($I559="OS inexistente","OS inexistente",IF($E559="Peça não cadastrada","Peça não cadastrada","OK")))</f>
        <v>0</v>
      </c>
    </row>
    <row r="560" spans="1:10">
      <c r="A560" s="17"/>
      <c r="B560" s="13"/>
      <c r="C560" s="20"/>
      <c r="D560" s="19"/>
      <c r="E560" s="26">
        <f>IF($B560="","",IFERROR(INDEX(PecDesc,MATCH($B560,PecCod,0)),"Peça não cadastrada"))</f>
        <v>0</v>
      </c>
      <c r="F560" s="27">
        <f>IF($B560="","",IF($D560&lt;&gt;"",$D560,IFERROR(INDEX(PecPreco,MATCH($B560,PecCod,0)),0)))</f>
        <v>0</v>
      </c>
      <c r="G560" s="27">
        <f>IF(OR($B560="",$C560=""),"",$C560*$F560)</f>
        <v>0</v>
      </c>
      <c r="H560" s="27">
        <f>IF(OR($B560="",$C560=""),"",$C560*IFERROR(INDEX(PecCusto,MATCH($B560,PecCod,0)),0))</f>
        <v>0</v>
      </c>
      <c r="I560" s="32">
        <f>IF($A560="","",IFERROR(INDEX(OSStatus,MATCH($A560,OSNum,0)),"OS inexistente"))</f>
        <v>0</v>
      </c>
      <c r="J560" s="32">
        <f>IF($A560="","",IF($I560="OS inexistente","OS inexistente",IF($E560="Peça não cadastrada","Peça não cadastrada","OK")))</f>
        <v>0</v>
      </c>
    </row>
    <row r="561" spans="1:10">
      <c r="A561" s="17"/>
      <c r="B561" s="13"/>
      <c r="C561" s="20"/>
      <c r="D561" s="19"/>
      <c r="E561" s="26">
        <f>IF($B561="","",IFERROR(INDEX(PecDesc,MATCH($B561,PecCod,0)),"Peça não cadastrada"))</f>
        <v>0</v>
      </c>
      <c r="F561" s="27">
        <f>IF($B561="","",IF($D561&lt;&gt;"",$D561,IFERROR(INDEX(PecPreco,MATCH($B561,PecCod,0)),0)))</f>
        <v>0</v>
      </c>
      <c r="G561" s="27">
        <f>IF(OR($B561="",$C561=""),"",$C561*$F561)</f>
        <v>0</v>
      </c>
      <c r="H561" s="27">
        <f>IF(OR($B561="",$C561=""),"",$C561*IFERROR(INDEX(PecCusto,MATCH($B561,PecCod,0)),0))</f>
        <v>0</v>
      </c>
      <c r="I561" s="32">
        <f>IF($A561="","",IFERROR(INDEX(OSStatus,MATCH($A561,OSNum,0)),"OS inexistente"))</f>
        <v>0</v>
      </c>
      <c r="J561" s="32">
        <f>IF($A561="","",IF($I561="OS inexistente","OS inexistente",IF($E561="Peça não cadastrada","Peça não cadastrada","OK")))</f>
        <v>0</v>
      </c>
    </row>
    <row r="562" spans="1:10">
      <c r="A562" s="17"/>
      <c r="B562" s="13"/>
      <c r="C562" s="20"/>
      <c r="D562" s="19"/>
      <c r="E562" s="26">
        <f>IF($B562="","",IFERROR(INDEX(PecDesc,MATCH($B562,PecCod,0)),"Peça não cadastrada"))</f>
        <v>0</v>
      </c>
      <c r="F562" s="27">
        <f>IF($B562="","",IF($D562&lt;&gt;"",$D562,IFERROR(INDEX(PecPreco,MATCH($B562,PecCod,0)),0)))</f>
        <v>0</v>
      </c>
      <c r="G562" s="27">
        <f>IF(OR($B562="",$C562=""),"",$C562*$F562)</f>
        <v>0</v>
      </c>
      <c r="H562" s="27">
        <f>IF(OR($B562="",$C562=""),"",$C562*IFERROR(INDEX(PecCusto,MATCH($B562,PecCod,0)),0))</f>
        <v>0</v>
      </c>
      <c r="I562" s="32">
        <f>IF($A562="","",IFERROR(INDEX(OSStatus,MATCH($A562,OSNum,0)),"OS inexistente"))</f>
        <v>0</v>
      </c>
      <c r="J562" s="32">
        <f>IF($A562="","",IF($I562="OS inexistente","OS inexistente",IF($E562="Peça não cadastrada","Peça não cadastrada","OK")))</f>
        <v>0</v>
      </c>
    </row>
    <row r="563" spans="1:10">
      <c r="A563" s="17"/>
      <c r="B563" s="13"/>
      <c r="C563" s="20"/>
      <c r="D563" s="19"/>
      <c r="E563" s="26">
        <f>IF($B563="","",IFERROR(INDEX(PecDesc,MATCH($B563,PecCod,0)),"Peça não cadastrada"))</f>
        <v>0</v>
      </c>
      <c r="F563" s="27">
        <f>IF($B563="","",IF($D563&lt;&gt;"",$D563,IFERROR(INDEX(PecPreco,MATCH($B563,PecCod,0)),0)))</f>
        <v>0</v>
      </c>
      <c r="G563" s="27">
        <f>IF(OR($B563="",$C563=""),"",$C563*$F563)</f>
        <v>0</v>
      </c>
      <c r="H563" s="27">
        <f>IF(OR($B563="",$C563=""),"",$C563*IFERROR(INDEX(PecCusto,MATCH($B563,PecCod,0)),0))</f>
        <v>0</v>
      </c>
      <c r="I563" s="32">
        <f>IF($A563="","",IFERROR(INDEX(OSStatus,MATCH($A563,OSNum,0)),"OS inexistente"))</f>
        <v>0</v>
      </c>
      <c r="J563" s="32">
        <f>IF($A563="","",IF($I563="OS inexistente","OS inexistente",IF($E563="Peça não cadastrada","Peça não cadastrada","OK")))</f>
        <v>0</v>
      </c>
    </row>
    <row r="564" spans="1:10">
      <c r="A564" s="17"/>
      <c r="B564" s="13"/>
      <c r="C564" s="20"/>
      <c r="D564" s="19"/>
      <c r="E564" s="26">
        <f>IF($B564="","",IFERROR(INDEX(PecDesc,MATCH($B564,PecCod,0)),"Peça não cadastrada"))</f>
        <v>0</v>
      </c>
      <c r="F564" s="27">
        <f>IF($B564="","",IF($D564&lt;&gt;"",$D564,IFERROR(INDEX(PecPreco,MATCH($B564,PecCod,0)),0)))</f>
        <v>0</v>
      </c>
      <c r="G564" s="27">
        <f>IF(OR($B564="",$C564=""),"",$C564*$F564)</f>
        <v>0</v>
      </c>
      <c r="H564" s="27">
        <f>IF(OR($B564="",$C564=""),"",$C564*IFERROR(INDEX(PecCusto,MATCH($B564,PecCod,0)),0))</f>
        <v>0</v>
      </c>
      <c r="I564" s="32">
        <f>IF($A564="","",IFERROR(INDEX(OSStatus,MATCH($A564,OSNum,0)),"OS inexistente"))</f>
        <v>0</v>
      </c>
      <c r="J564" s="32">
        <f>IF($A564="","",IF($I564="OS inexistente","OS inexistente",IF($E564="Peça não cadastrada","Peça não cadastrada","OK")))</f>
        <v>0</v>
      </c>
    </row>
    <row r="565" spans="1:10">
      <c r="A565" s="17"/>
      <c r="B565" s="13"/>
      <c r="C565" s="20"/>
      <c r="D565" s="19"/>
      <c r="E565" s="26">
        <f>IF($B565="","",IFERROR(INDEX(PecDesc,MATCH($B565,PecCod,0)),"Peça não cadastrada"))</f>
        <v>0</v>
      </c>
      <c r="F565" s="27">
        <f>IF($B565="","",IF($D565&lt;&gt;"",$D565,IFERROR(INDEX(PecPreco,MATCH($B565,PecCod,0)),0)))</f>
        <v>0</v>
      </c>
      <c r="G565" s="27">
        <f>IF(OR($B565="",$C565=""),"",$C565*$F565)</f>
        <v>0</v>
      </c>
      <c r="H565" s="27">
        <f>IF(OR($B565="",$C565=""),"",$C565*IFERROR(INDEX(PecCusto,MATCH($B565,PecCod,0)),0))</f>
        <v>0</v>
      </c>
      <c r="I565" s="32">
        <f>IF($A565="","",IFERROR(INDEX(OSStatus,MATCH($A565,OSNum,0)),"OS inexistente"))</f>
        <v>0</v>
      </c>
      <c r="J565" s="32">
        <f>IF($A565="","",IF($I565="OS inexistente","OS inexistente",IF($E565="Peça não cadastrada","Peça não cadastrada","OK")))</f>
        <v>0</v>
      </c>
    </row>
    <row r="566" spans="1:10">
      <c r="A566" s="17"/>
      <c r="B566" s="13"/>
      <c r="C566" s="20"/>
      <c r="D566" s="19"/>
      <c r="E566" s="26">
        <f>IF($B566="","",IFERROR(INDEX(PecDesc,MATCH($B566,PecCod,0)),"Peça não cadastrada"))</f>
        <v>0</v>
      </c>
      <c r="F566" s="27">
        <f>IF($B566="","",IF($D566&lt;&gt;"",$D566,IFERROR(INDEX(PecPreco,MATCH($B566,PecCod,0)),0)))</f>
        <v>0</v>
      </c>
      <c r="G566" s="27">
        <f>IF(OR($B566="",$C566=""),"",$C566*$F566)</f>
        <v>0</v>
      </c>
      <c r="H566" s="27">
        <f>IF(OR($B566="",$C566=""),"",$C566*IFERROR(INDEX(PecCusto,MATCH($B566,PecCod,0)),0))</f>
        <v>0</v>
      </c>
      <c r="I566" s="32">
        <f>IF($A566="","",IFERROR(INDEX(OSStatus,MATCH($A566,OSNum,0)),"OS inexistente"))</f>
        <v>0</v>
      </c>
      <c r="J566" s="32">
        <f>IF($A566="","",IF($I566="OS inexistente","OS inexistente",IF($E566="Peça não cadastrada","Peça não cadastrada","OK")))</f>
        <v>0</v>
      </c>
    </row>
    <row r="567" spans="1:10">
      <c r="A567" s="17"/>
      <c r="B567" s="13"/>
      <c r="C567" s="20"/>
      <c r="D567" s="19"/>
      <c r="E567" s="26">
        <f>IF($B567="","",IFERROR(INDEX(PecDesc,MATCH($B567,PecCod,0)),"Peça não cadastrada"))</f>
        <v>0</v>
      </c>
      <c r="F567" s="27">
        <f>IF($B567="","",IF($D567&lt;&gt;"",$D567,IFERROR(INDEX(PecPreco,MATCH($B567,PecCod,0)),0)))</f>
        <v>0</v>
      </c>
      <c r="G567" s="27">
        <f>IF(OR($B567="",$C567=""),"",$C567*$F567)</f>
        <v>0</v>
      </c>
      <c r="H567" s="27">
        <f>IF(OR($B567="",$C567=""),"",$C567*IFERROR(INDEX(PecCusto,MATCH($B567,PecCod,0)),0))</f>
        <v>0</v>
      </c>
      <c r="I567" s="32">
        <f>IF($A567="","",IFERROR(INDEX(OSStatus,MATCH($A567,OSNum,0)),"OS inexistente"))</f>
        <v>0</v>
      </c>
      <c r="J567" s="32">
        <f>IF($A567="","",IF($I567="OS inexistente","OS inexistente",IF($E567="Peça não cadastrada","Peça não cadastrada","OK")))</f>
        <v>0</v>
      </c>
    </row>
    <row r="568" spans="1:10">
      <c r="A568" s="17"/>
      <c r="B568" s="13"/>
      <c r="C568" s="20"/>
      <c r="D568" s="19"/>
      <c r="E568" s="26">
        <f>IF($B568="","",IFERROR(INDEX(PecDesc,MATCH($B568,PecCod,0)),"Peça não cadastrada"))</f>
        <v>0</v>
      </c>
      <c r="F568" s="27">
        <f>IF($B568="","",IF($D568&lt;&gt;"",$D568,IFERROR(INDEX(PecPreco,MATCH($B568,PecCod,0)),0)))</f>
        <v>0</v>
      </c>
      <c r="G568" s="27">
        <f>IF(OR($B568="",$C568=""),"",$C568*$F568)</f>
        <v>0</v>
      </c>
      <c r="H568" s="27">
        <f>IF(OR($B568="",$C568=""),"",$C568*IFERROR(INDEX(PecCusto,MATCH($B568,PecCod,0)),0))</f>
        <v>0</v>
      </c>
      <c r="I568" s="32">
        <f>IF($A568="","",IFERROR(INDEX(OSStatus,MATCH($A568,OSNum,0)),"OS inexistente"))</f>
        <v>0</v>
      </c>
      <c r="J568" s="32">
        <f>IF($A568="","",IF($I568="OS inexistente","OS inexistente",IF($E568="Peça não cadastrada","Peça não cadastrada","OK")))</f>
        <v>0</v>
      </c>
    </row>
    <row r="569" spans="1:10">
      <c r="A569" s="17"/>
      <c r="B569" s="13"/>
      <c r="C569" s="20"/>
      <c r="D569" s="19"/>
      <c r="E569" s="26">
        <f>IF($B569="","",IFERROR(INDEX(PecDesc,MATCH($B569,PecCod,0)),"Peça não cadastrada"))</f>
        <v>0</v>
      </c>
      <c r="F569" s="27">
        <f>IF($B569="","",IF($D569&lt;&gt;"",$D569,IFERROR(INDEX(PecPreco,MATCH($B569,PecCod,0)),0)))</f>
        <v>0</v>
      </c>
      <c r="G569" s="27">
        <f>IF(OR($B569="",$C569=""),"",$C569*$F569)</f>
        <v>0</v>
      </c>
      <c r="H569" s="27">
        <f>IF(OR($B569="",$C569=""),"",$C569*IFERROR(INDEX(PecCusto,MATCH($B569,PecCod,0)),0))</f>
        <v>0</v>
      </c>
      <c r="I569" s="32">
        <f>IF($A569="","",IFERROR(INDEX(OSStatus,MATCH($A569,OSNum,0)),"OS inexistente"))</f>
        <v>0</v>
      </c>
      <c r="J569" s="32">
        <f>IF($A569="","",IF($I569="OS inexistente","OS inexistente",IF($E569="Peça não cadastrada","Peça não cadastrada","OK")))</f>
        <v>0</v>
      </c>
    </row>
    <row r="570" spans="1:10">
      <c r="A570" s="17"/>
      <c r="B570" s="13"/>
      <c r="C570" s="20"/>
      <c r="D570" s="19"/>
      <c r="E570" s="26">
        <f>IF($B570="","",IFERROR(INDEX(PecDesc,MATCH($B570,PecCod,0)),"Peça não cadastrada"))</f>
        <v>0</v>
      </c>
      <c r="F570" s="27">
        <f>IF($B570="","",IF($D570&lt;&gt;"",$D570,IFERROR(INDEX(PecPreco,MATCH($B570,PecCod,0)),0)))</f>
        <v>0</v>
      </c>
      <c r="G570" s="27">
        <f>IF(OR($B570="",$C570=""),"",$C570*$F570)</f>
        <v>0</v>
      </c>
      <c r="H570" s="27">
        <f>IF(OR($B570="",$C570=""),"",$C570*IFERROR(INDEX(PecCusto,MATCH($B570,PecCod,0)),0))</f>
        <v>0</v>
      </c>
      <c r="I570" s="32">
        <f>IF($A570="","",IFERROR(INDEX(OSStatus,MATCH($A570,OSNum,0)),"OS inexistente"))</f>
        <v>0</v>
      </c>
      <c r="J570" s="32">
        <f>IF($A570="","",IF($I570="OS inexistente","OS inexistente",IF($E570="Peça não cadastrada","Peça não cadastrada","OK")))</f>
        <v>0</v>
      </c>
    </row>
    <row r="571" spans="1:10">
      <c r="A571" s="17"/>
      <c r="B571" s="13"/>
      <c r="C571" s="20"/>
      <c r="D571" s="19"/>
      <c r="E571" s="26">
        <f>IF($B571="","",IFERROR(INDEX(PecDesc,MATCH($B571,PecCod,0)),"Peça não cadastrada"))</f>
        <v>0</v>
      </c>
      <c r="F571" s="27">
        <f>IF($B571="","",IF($D571&lt;&gt;"",$D571,IFERROR(INDEX(PecPreco,MATCH($B571,PecCod,0)),0)))</f>
        <v>0</v>
      </c>
      <c r="G571" s="27">
        <f>IF(OR($B571="",$C571=""),"",$C571*$F571)</f>
        <v>0</v>
      </c>
      <c r="H571" s="27">
        <f>IF(OR($B571="",$C571=""),"",$C571*IFERROR(INDEX(PecCusto,MATCH($B571,PecCod,0)),0))</f>
        <v>0</v>
      </c>
      <c r="I571" s="32">
        <f>IF($A571="","",IFERROR(INDEX(OSStatus,MATCH($A571,OSNum,0)),"OS inexistente"))</f>
        <v>0</v>
      </c>
      <c r="J571" s="32">
        <f>IF($A571="","",IF($I571="OS inexistente","OS inexistente",IF($E571="Peça não cadastrada","Peça não cadastrada","OK")))</f>
        <v>0</v>
      </c>
    </row>
    <row r="572" spans="1:10">
      <c r="A572" s="17"/>
      <c r="B572" s="13"/>
      <c r="C572" s="20"/>
      <c r="D572" s="19"/>
      <c r="E572" s="26">
        <f>IF($B572="","",IFERROR(INDEX(PecDesc,MATCH($B572,PecCod,0)),"Peça não cadastrada"))</f>
        <v>0</v>
      </c>
      <c r="F572" s="27">
        <f>IF($B572="","",IF($D572&lt;&gt;"",$D572,IFERROR(INDEX(PecPreco,MATCH($B572,PecCod,0)),0)))</f>
        <v>0</v>
      </c>
      <c r="G572" s="27">
        <f>IF(OR($B572="",$C572=""),"",$C572*$F572)</f>
        <v>0</v>
      </c>
      <c r="H572" s="27">
        <f>IF(OR($B572="",$C572=""),"",$C572*IFERROR(INDEX(PecCusto,MATCH($B572,PecCod,0)),0))</f>
        <v>0</v>
      </c>
      <c r="I572" s="32">
        <f>IF($A572="","",IFERROR(INDEX(OSStatus,MATCH($A572,OSNum,0)),"OS inexistente"))</f>
        <v>0</v>
      </c>
      <c r="J572" s="32">
        <f>IF($A572="","",IF($I572="OS inexistente","OS inexistente",IF($E572="Peça não cadastrada","Peça não cadastrada","OK")))</f>
        <v>0</v>
      </c>
    </row>
    <row r="573" spans="1:10">
      <c r="A573" s="17"/>
      <c r="B573" s="13"/>
      <c r="C573" s="20"/>
      <c r="D573" s="19"/>
      <c r="E573" s="26">
        <f>IF($B573="","",IFERROR(INDEX(PecDesc,MATCH($B573,PecCod,0)),"Peça não cadastrada"))</f>
        <v>0</v>
      </c>
      <c r="F573" s="27">
        <f>IF($B573="","",IF($D573&lt;&gt;"",$D573,IFERROR(INDEX(PecPreco,MATCH($B573,PecCod,0)),0)))</f>
        <v>0</v>
      </c>
      <c r="G573" s="27">
        <f>IF(OR($B573="",$C573=""),"",$C573*$F573)</f>
        <v>0</v>
      </c>
      <c r="H573" s="27">
        <f>IF(OR($B573="",$C573=""),"",$C573*IFERROR(INDEX(PecCusto,MATCH($B573,PecCod,0)),0))</f>
        <v>0</v>
      </c>
      <c r="I573" s="32">
        <f>IF($A573="","",IFERROR(INDEX(OSStatus,MATCH($A573,OSNum,0)),"OS inexistente"))</f>
        <v>0</v>
      </c>
      <c r="J573" s="32">
        <f>IF($A573="","",IF($I573="OS inexistente","OS inexistente",IF($E573="Peça não cadastrada","Peça não cadastrada","OK")))</f>
        <v>0</v>
      </c>
    </row>
    <row r="574" spans="1:10">
      <c r="A574" s="17"/>
      <c r="B574" s="13"/>
      <c r="C574" s="20"/>
      <c r="D574" s="19"/>
      <c r="E574" s="26">
        <f>IF($B574="","",IFERROR(INDEX(PecDesc,MATCH($B574,PecCod,0)),"Peça não cadastrada"))</f>
        <v>0</v>
      </c>
      <c r="F574" s="27">
        <f>IF($B574="","",IF($D574&lt;&gt;"",$D574,IFERROR(INDEX(PecPreco,MATCH($B574,PecCod,0)),0)))</f>
        <v>0</v>
      </c>
      <c r="G574" s="27">
        <f>IF(OR($B574="",$C574=""),"",$C574*$F574)</f>
        <v>0</v>
      </c>
      <c r="H574" s="27">
        <f>IF(OR($B574="",$C574=""),"",$C574*IFERROR(INDEX(PecCusto,MATCH($B574,PecCod,0)),0))</f>
        <v>0</v>
      </c>
      <c r="I574" s="32">
        <f>IF($A574="","",IFERROR(INDEX(OSStatus,MATCH($A574,OSNum,0)),"OS inexistente"))</f>
        <v>0</v>
      </c>
      <c r="J574" s="32">
        <f>IF($A574="","",IF($I574="OS inexistente","OS inexistente",IF($E574="Peça não cadastrada","Peça não cadastrada","OK")))</f>
        <v>0</v>
      </c>
    </row>
    <row r="575" spans="1:10">
      <c r="A575" s="17"/>
      <c r="B575" s="13"/>
      <c r="C575" s="20"/>
      <c r="D575" s="19"/>
      <c r="E575" s="26">
        <f>IF($B575="","",IFERROR(INDEX(PecDesc,MATCH($B575,PecCod,0)),"Peça não cadastrada"))</f>
        <v>0</v>
      </c>
      <c r="F575" s="27">
        <f>IF($B575="","",IF($D575&lt;&gt;"",$D575,IFERROR(INDEX(PecPreco,MATCH($B575,PecCod,0)),0)))</f>
        <v>0</v>
      </c>
      <c r="G575" s="27">
        <f>IF(OR($B575="",$C575=""),"",$C575*$F575)</f>
        <v>0</v>
      </c>
      <c r="H575" s="27">
        <f>IF(OR($B575="",$C575=""),"",$C575*IFERROR(INDEX(PecCusto,MATCH($B575,PecCod,0)),0))</f>
        <v>0</v>
      </c>
      <c r="I575" s="32">
        <f>IF($A575="","",IFERROR(INDEX(OSStatus,MATCH($A575,OSNum,0)),"OS inexistente"))</f>
        <v>0</v>
      </c>
      <c r="J575" s="32">
        <f>IF($A575="","",IF($I575="OS inexistente","OS inexistente",IF($E575="Peça não cadastrada","Peça não cadastrada","OK")))</f>
        <v>0</v>
      </c>
    </row>
    <row r="576" spans="1:10">
      <c r="A576" s="17"/>
      <c r="B576" s="13"/>
      <c r="C576" s="20"/>
      <c r="D576" s="19"/>
      <c r="E576" s="26">
        <f>IF($B576="","",IFERROR(INDEX(PecDesc,MATCH($B576,PecCod,0)),"Peça não cadastrada"))</f>
        <v>0</v>
      </c>
      <c r="F576" s="27">
        <f>IF($B576="","",IF($D576&lt;&gt;"",$D576,IFERROR(INDEX(PecPreco,MATCH($B576,PecCod,0)),0)))</f>
        <v>0</v>
      </c>
      <c r="G576" s="27">
        <f>IF(OR($B576="",$C576=""),"",$C576*$F576)</f>
        <v>0</v>
      </c>
      <c r="H576" s="27">
        <f>IF(OR($B576="",$C576=""),"",$C576*IFERROR(INDEX(PecCusto,MATCH($B576,PecCod,0)),0))</f>
        <v>0</v>
      </c>
      <c r="I576" s="32">
        <f>IF($A576="","",IFERROR(INDEX(OSStatus,MATCH($A576,OSNum,0)),"OS inexistente"))</f>
        <v>0</v>
      </c>
      <c r="J576" s="32">
        <f>IF($A576="","",IF($I576="OS inexistente","OS inexistente",IF($E576="Peça não cadastrada","Peça não cadastrada","OK")))</f>
        <v>0</v>
      </c>
    </row>
    <row r="577" spans="1:10">
      <c r="A577" s="17"/>
      <c r="B577" s="13"/>
      <c r="C577" s="20"/>
      <c r="D577" s="19"/>
      <c r="E577" s="26">
        <f>IF($B577="","",IFERROR(INDEX(PecDesc,MATCH($B577,PecCod,0)),"Peça não cadastrada"))</f>
        <v>0</v>
      </c>
      <c r="F577" s="27">
        <f>IF($B577="","",IF($D577&lt;&gt;"",$D577,IFERROR(INDEX(PecPreco,MATCH($B577,PecCod,0)),0)))</f>
        <v>0</v>
      </c>
      <c r="G577" s="27">
        <f>IF(OR($B577="",$C577=""),"",$C577*$F577)</f>
        <v>0</v>
      </c>
      <c r="H577" s="27">
        <f>IF(OR($B577="",$C577=""),"",$C577*IFERROR(INDEX(PecCusto,MATCH($B577,PecCod,0)),0))</f>
        <v>0</v>
      </c>
      <c r="I577" s="32">
        <f>IF($A577="","",IFERROR(INDEX(OSStatus,MATCH($A577,OSNum,0)),"OS inexistente"))</f>
        <v>0</v>
      </c>
      <c r="J577" s="32">
        <f>IF($A577="","",IF($I577="OS inexistente","OS inexistente",IF($E577="Peça não cadastrada","Peça não cadastrada","OK")))</f>
        <v>0</v>
      </c>
    </row>
    <row r="578" spans="1:10">
      <c r="A578" s="17"/>
      <c r="B578" s="13"/>
      <c r="C578" s="20"/>
      <c r="D578" s="19"/>
      <c r="E578" s="26">
        <f>IF($B578="","",IFERROR(INDEX(PecDesc,MATCH($B578,PecCod,0)),"Peça não cadastrada"))</f>
        <v>0</v>
      </c>
      <c r="F578" s="27">
        <f>IF($B578="","",IF($D578&lt;&gt;"",$D578,IFERROR(INDEX(PecPreco,MATCH($B578,PecCod,0)),0)))</f>
        <v>0</v>
      </c>
      <c r="G578" s="27">
        <f>IF(OR($B578="",$C578=""),"",$C578*$F578)</f>
        <v>0</v>
      </c>
      <c r="H578" s="27">
        <f>IF(OR($B578="",$C578=""),"",$C578*IFERROR(INDEX(PecCusto,MATCH($B578,PecCod,0)),0))</f>
        <v>0</v>
      </c>
      <c r="I578" s="32">
        <f>IF($A578="","",IFERROR(INDEX(OSStatus,MATCH($A578,OSNum,0)),"OS inexistente"))</f>
        <v>0</v>
      </c>
      <c r="J578" s="32">
        <f>IF($A578="","",IF($I578="OS inexistente","OS inexistente",IF($E578="Peça não cadastrada","Peça não cadastrada","OK")))</f>
        <v>0</v>
      </c>
    </row>
    <row r="579" spans="1:10">
      <c r="A579" s="17"/>
      <c r="B579" s="13"/>
      <c r="C579" s="20"/>
      <c r="D579" s="19"/>
      <c r="E579" s="26">
        <f>IF($B579="","",IFERROR(INDEX(PecDesc,MATCH($B579,PecCod,0)),"Peça não cadastrada"))</f>
        <v>0</v>
      </c>
      <c r="F579" s="27">
        <f>IF($B579="","",IF($D579&lt;&gt;"",$D579,IFERROR(INDEX(PecPreco,MATCH($B579,PecCod,0)),0)))</f>
        <v>0</v>
      </c>
      <c r="G579" s="27">
        <f>IF(OR($B579="",$C579=""),"",$C579*$F579)</f>
        <v>0</v>
      </c>
      <c r="H579" s="27">
        <f>IF(OR($B579="",$C579=""),"",$C579*IFERROR(INDEX(PecCusto,MATCH($B579,PecCod,0)),0))</f>
        <v>0</v>
      </c>
      <c r="I579" s="32">
        <f>IF($A579="","",IFERROR(INDEX(OSStatus,MATCH($A579,OSNum,0)),"OS inexistente"))</f>
        <v>0</v>
      </c>
      <c r="J579" s="32">
        <f>IF($A579="","",IF($I579="OS inexistente","OS inexistente",IF($E579="Peça não cadastrada","Peça não cadastrada","OK")))</f>
        <v>0</v>
      </c>
    </row>
    <row r="580" spans="1:10">
      <c r="A580" s="17"/>
      <c r="B580" s="13"/>
      <c r="C580" s="20"/>
      <c r="D580" s="19"/>
      <c r="E580" s="26">
        <f>IF($B580="","",IFERROR(INDEX(PecDesc,MATCH($B580,PecCod,0)),"Peça não cadastrada"))</f>
        <v>0</v>
      </c>
      <c r="F580" s="27">
        <f>IF($B580="","",IF($D580&lt;&gt;"",$D580,IFERROR(INDEX(PecPreco,MATCH($B580,PecCod,0)),0)))</f>
        <v>0</v>
      </c>
      <c r="G580" s="27">
        <f>IF(OR($B580="",$C580=""),"",$C580*$F580)</f>
        <v>0</v>
      </c>
      <c r="H580" s="27">
        <f>IF(OR($B580="",$C580=""),"",$C580*IFERROR(INDEX(PecCusto,MATCH($B580,PecCod,0)),0))</f>
        <v>0</v>
      </c>
      <c r="I580" s="32">
        <f>IF($A580="","",IFERROR(INDEX(OSStatus,MATCH($A580,OSNum,0)),"OS inexistente"))</f>
        <v>0</v>
      </c>
      <c r="J580" s="32">
        <f>IF($A580="","",IF($I580="OS inexistente","OS inexistente",IF($E580="Peça não cadastrada","Peça não cadastrada","OK")))</f>
        <v>0</v>
      </c>
    </row>
    <row r="581" spans="1:10">
      <c r="A581" s="17"/>
      <c r="B581" s="13"/>
      <c r="C581" s="20"/>
      <c r="D581" s="19"/>
      <c r="E581" s="26">
        <f>IF($B581="","",IFERROR(INDEX(PecDesc,MATCH($B581,PecCod,0)),"Peça não cadastrada"))</f>
        <v>0</v>
      </c>
      <c r="F581" s="27">
        <f>IF($B581="","",IF($D581&lt;&gt;"",$D581,IFERROR(INDEX(PecPreco,MATCH($B581,PecCod,0)),0)))</f>
        <v>0</v>
      </c>
      <c r="G581" s="27">
        <f>IF(OR($B581="",$C581=""),"",$C581*$F581)</f>
        <v>0</v>
      </c>
      <c r="H581" s="27">
        <f>IF(OR($B581="",$C581=""),"",$C581*IFERROR(INDEX(PecCusto,MATCH($B581,PecCod,0)),0))</f>
        <v>0</v>
      </c>
      <c r="I581" s="32">
        <f>IF($A581="","",IFERROR(INDEX(OSStatus,MATCH($A581,OSNum,0)),"OS inexistente"))</f>
        <v>0</v>
      </c>
      <c r="J581" s="32">
        <f>IF($A581="","",IF($I581="OS inexistente","OS inexistente",IF($E581="Peça não cadastrada","Peça não cadastrada","OK")))</f>
        <v>0</v>
      </c>
    </row>
    <row r="582" spans="1:10">
      <c r="A582" s="17"/>
      <c r="B582" s="13"/>
      <c r="C582" s="20"/>
      <c r="D582" s="19"/>
      <c r="E582" s="26">
        <f>IF($B582="","",IFERROR(INDEX(PecDesc,MATCH($B582,PecCod,0)),"Peça não cadastrada"))</f>
        <v>0</v>
      </c>
      <c r="F582" s="27">
        <f>IF($B582="","",IF($D582&lt;&gt;"",$D582,IFERROR(INDEX(PecPreco,MATCH($B582,PecCod,0)),0)))</f>
        <v>0</v>
      </c>
      <c r="G582" s="27">
        <f>IF(OR($B582="",$C582=""),"",$C582*$F582)</f>
        <v>0</v>
      </c>
      <c r="H582" s="27">
        <f>IF(OR($B582="",$C582=""),"",$C582*IFERROR(INDEX(PecCusto,MATCH($B582,PecCod,0)),0))</f>
        <v>0</v>
      </c>
      <c r="I582" s="32">
        <f>IF($A582="","",IFERROR(INDEX(OSStatus,MATCH($A582,OSNum,0)),"OS inexistente"))</f>
        <v>0</v>
      </c>
      <c r="J582" s="32">
        <f>IF($A582="","",IF($I582="OS inexistente","OS inexistente",IF($E582="Peça não cadastrada","Peça não cadastrada","OK")))</f>
        <v>0</v>
      </c>
    </row>
    <row r="583" spans="1:10">
      <c r="A583" s="17"/>
      <c r="B583" s="13"/>
      <c r="C583" s="20"/>
      <c r="D583" s="19"/>
      <c r="E583" s="26">
        <f>IF($B583="","",IFERROR(INDEX(PecDesc,MATCH($B583,PecCod,0)),"Peça não cadastrada"))</f>
        <v>0</v>
      </c>
      <c r="F583" s="27">
        <f>IF($B583="","",IF($D583&lt;&gt;"",$D583,IFERROR(INDEX(PecPreco,MATCH($B583,PecCod,0)),0)))</f>
        <v>0</v>
      </c>
      <c r="G583" s="27">
        <f>IF(OR($B583="",$C583=""),"",$C583*$F583)</f>
        <v>0</v>
      </c>
      <c r="H583" s="27">
        <f>IF(OR($B583="",$C583=""),"",$C583*IFERROR(INDEX(PecCusto,MATCH($B583,PecCod,0)),0))</f>
        <v>0</v>
      </c>
      <c r="I583" s="32">
        <f>IF($A583="","",IFERROR(INDEX(OSStatus,MATCH($A583,OSNum,0)),"OS inexistente"))</f>
        <v>0</v>
      </c>
      <c r="J583" s="32">
        <f>IF($A583="","",IF($I583="OS inexistente","OS inexistente",IF($E583="Peça não cadastrada","Peça não cadastrada","OK")))</f>
        <v>0</v>
      </c>
    </row>
    <row r="584" spans="1:10">
      <c r="A584" s="17"/>
      <c r="B584" s="13"/>
      <c r="C584" s="20"/>
      <c r="D584" s="19"/>
      <c r="E584" s="26">
        <f>IF($B584="","",IFERROR(INDEX(PecDesc,MATCH($B584,PecCod,0)),"Peça não cadastrada"))</f>
        <v>0</v>
      </c>
      <c r="F584" s="27">
        <f>IF($B584="","",IF($D584&lt;&gt;"",$D584,IFERROR(INDEX(PecPreco,MATCH($B584,PecCod,0)),0)))</f>
        <v>0</v>
      </c>
      <c r="G584" s="27">
        <f>IF(OR($B584="",$C584=""),"",$C584*$F584)</f>
        <v>0</v>
      </c>
      <c r="H584" s="27">
        <f>IF(OR($B584="",$C584=""),"",$C584*IFERROR(INDEX(PecCusto,MATCH($B584,PecCod,0)),0))</f>
        <v>0</v>
      </c>
      <c r="I584" s="32">
        <f>IF($A584="","",IFERROR(INDEX(OSStatus,MATCH($A584,OSNum,0)),"OS inexistente"))</f>
        <v>0</v>
      </c>
      <c r="J584" s="32">
        <f>IF($A584="","",IF($I584="OS inexistente","OS inexistente",IF($E584="Peça não cadastrada","Peça não cadastrada","OK")))</f>
        <v>0</v>
      </c>
    </row>
    <row r="585" spans="1:10">
      <c r="A585" s="17"/>
      <c r="B585" s="13"/>
      <c r="C585" s="20"/>
      <c r="D585" s="19"/>
      <c r="E585" s="26">
        <f>IF($B585="","",IFERROR(INDEX(PecDesc,MATCH($B585,PecCod,0)),"Peça não cadastrada"))</f>
        <v>0</v>
      </c>
      <c r="F585" s="27">
        <f>IF($B585="","",IF($D585&lt;&gt;"",$D585,IFERROR(INDEX(PecPreco,MATCH($B585,PecCod,0)),0)))</f>
        <v>0</v>
      </c>
      <c r="G585" s="27">
        <f>IF(OR($B585="",$C585=""),"",$C585*$F585)</f>
        <v>0</v>
      </c>
      <c r="H585" s="27">
        <f>IF(OR($B585="",$C585=""),"",$C585*IFERROR(INDEX(PecCusto,MATCH($B585,PecCod,0)),0))</f>
        <v>0</v>
      </c>
      <c r="I585" s="32">
        <f>IF($A585="","",IFERROR(INDEX(OSStatus,MATCH($A585,OSNum,0)),"OS inexistente"))</f>
        <v>0</v>
      </c>
      <c r="J585" s="32">
        <f>IF($A585="","",IF($I585="OS inexistente","OS inexistente",IF($E585="Peça não cadastrada","Peça não cadastrada","OK")))</f>
        <v>0</v>
      </c>
    </row>
    <row r="586" spans="1:10">
      <c r="A586" s="17"/>
      <c r="B586" s="13"/>
      <c r="C586" s="20"/>
      <c r="D586" s="19"/>
      <c r="E586" s="26">
        <f>IF($B586="","",IFERROR(INDEX(PecDesc,MATCH($B586,PecCod,0)),"Peça não cadastrada"))</f>
        <v>0</v>
      </c>
      <c r="F586" s="27">
        <f>IF($B586="","",IF($D586&lt;&gt;"",$D586,IFERROR(INDEX(PecPreco,MATCH($B586,PecCod,0)),0)))</f>
        <v>0</v>
      </c>
      <c r="G586" s="27">
        <f>IF(OR($B586="",$C586=""),"",$C586*$F586)</f>
        <v>0</v>
      </c>
      <c r="H586" s="27">
        <f>IF(OR($B586="",$C586=""),"",$C586*IFERROR(INDEX(PecCusto,MATCH($B586,PecCod,0)),0))</f>
        <v>0</v>
      </c>
      <c r="I586" s="32">
        <f>IF($A586="","",IFERROR(INDEX(OSStatus,MATCH($A586,OSNum,0)),"OS inexistente"))</f>
        <v>0</v>
      </c>
      <c r="J586" s="32">
        <f>IF($A586="","",IF($I586="OS inexistente","OS inexistente",IF($E586="Peça não cadastrada","Peça não cadastrada","OK")))</f>
        <v>0</v>
      </c>
    </row>
    <row r="587" spans="1:10">
      <c r="A587" s="17"/>
      <c r="B587" s="13"/>
      <c r="C587" s="20"/>
      <c r="D587" s="19"/>
      <c r="E587" s="26">
        <f>IF($B587="","",IFERROR(INDEX(PecDesc,MATCH($B587,PecCod,0)),"Peça não cadastrada"))</f>
        <v>0</v>
      </c>
      <c r="F587" s="27">
        <f>IF($B587="","",IF($D587&lt;&gt;"",$D587,IFERROR(INDEX(PecPreco,MATCH($B587,PecCod,0)),0)))</f>
        <v>0</v>
      </c>
      <c r="G587" s="27">
        <f>IF(OR($B587="",$C587=""),"",$C587*$F587)</f>
        <v>0</v>
      </c>
      <c r="H587" s="27">
        <f>IF(OR($B587="",$C587=""),"",$C587*IFERROR(INDEX(PecCusto,MATCH($B587,PecCod,0)),0))</f>
        <v>0</v>
      </c>
      <c r="I587" s="32">
        <f>IF($A587="","",IFERROR(INDEX(OSStatus,MATCH($A587,OSNum,0)),"OS inexistente"))</f>
        <v>0</v>
      </c>
      <c r="J587" s="32">
        <f>IF($A587="","",IF($I587="OS inexistente","OS inexistente",IF($E587="Peça não cadastrada","Peça não cadastrada","OK")))</f>
        <v>0</v>
      </c>
    </row>
    <row r="588" spans="1:10">
      <c r="A588" s="17"/>
      <c r="B588" s="13"/>
      <c r="C588" s="20"/>
      <c r="D588" s="19"/>
      <c r="E588" s="26">
        <f>IF($B588="","",IFERROR(INDEX(PecDesc,MATCH($B588,PecCod,0)),"Peça não cadastrada"))</f>
        <v>0</v>
      </c>
      <c r="F588" s="27">
        <f>IF($B588="","",IF($D588&lt;&gt;"",$D588,IFERROR(INDEX(PecPreco,MATCH($B588,PecCod,0)),0)))</f>
        <v>0</v>
      </c>
      <c r="G588" s="27">
        <f>IF(OR($B588="",$C588=""),"",$C588*$F588)</f>
        <v>0</v>
      </c>
      <c r="H588" s="27">
        <f>IF(OR($B588="",$C588=""),"",$C588*IFERROR(INDEX(PecCusto,MATCH($B588,PecCod,0)),0))</f>
        <v>0</v>
      </c>
      <c r="I588" s="32">
        <f>IF($A588="","",IFERROR(INDEX(OSStatus,MATCH($A588,OSNum,0)),"OS inexistente"))</f>
        <v>0</v>
      </c>
      <c r="J588" s="32">
        <f>IF($A588="","",IF($I588="OS inexistente","OS inexistente",IF($E588="Peça não cadastrada","Peça não cadastrada","OK")))</f>
        <v>0</v>
      </c>
    </row>
    <row r="589" spans="1:10">
      <c r="A589" s="17"/>
      <c r="B589" s="13"/>
      <c r="C589" s="20"/>
      <c r="D589" s="19"/>
      <c r="E589" s="26">
        <f>IF($B589="","",IFERROR(INDEX(PecDesc,MATCH($B589,PecCod,0)),"Peça não cadastrada"))</f>
        <v>0</v>
      </c>
      <c r="F589" s="27">
        <f>IF($B589="","",IF($D589&lt;&gt;"",$D589,IFERROR(INDEX(PecPreco,MATCH($B589,PecCod,0)),0)))</f>
        <v>0</v>
      </c>
      <c r="G589" s="27">
        <f>IF(OR($B589="",$C589=""),"",$C589*$F589)</f>
        <v>0</v>
      </c>
      <c r="H589" s="27">
        <f>IF(OR($B589="",$C589=""),"",$C589*IFERROR(INDEX(PecCusto,MATCH($B589,PecCod,0)),0))</f>
        <v>0</v>
      </c>
      <c r="I589" s="32">
        <f>IF($A589="","",IFERROR(INDEX(OSStatus,MATCH($A589,OSNum,0)),"OS inexistente"))</f>
        <v>0</v>
      </c>
      <c r="J589" s="32">
        <f>IF($A589="","",IF($I589="OS inexistente","OS inexistente",IF($E589="Peça não cadastrada","Peça não cadastrada","OK")))</f>
        <v>0</v>
      </c>
    </row>
    <row r="590" spans="1:10">
      <c r="A590" s="17"/>
      <c r="B590" s="13"/>
      <c r="C590" s="20"/>
      <c r="D590" s="19"/>
      <c r="E590" s="26">
        <f>IF($B590="","",IFERROR(INDEX(PecDesc,MATCH($B590,PecCod,0)),"Peça não cadastrada"))</f>
        <v>0</v>
      </c>
      <c r="F590" s="27">
        <f>IF($B590="","",IF($D590&lt;&gt;"",$D590,IFERROR(INDEX(PecPreco,MATCH($B590,PecCod,0)),0)))</f>
        <v>0</v>
      </c>
      <c r="G590" s="27">
        <f>IF(OR($B590="",$C590=""),"",$C590*$F590)</f>
        <v>0</v>
      </c>
      <c r="H590" s="27">
        <f>IF(OR($B590="",$C590=""),"",$C590*IFERROR(INDEX(PecCusto,MATCH($B590,PecCod,0)),0))</f>
        <v>0</v>
      </c>
      <c r="I590" s="32">
        <f>IF($A590="","",IFERROR(INDEX(OSStatus,MATCH($A590,OSNum,0)),"OS inexistente"))</f>
        <v>0</v>
      </c>
      <c r="J590" s="32">
        <f>IF($A590="","",IF($I590="OS inexistente","OS inexistente",IF($E590="Peça não cadastrada","Peça não cadastrada","OK")))</f>
        <v>0</v>
      </c>
    </row>
    <row r="591" spans="1:10">
      <c r="A591" s="17"/>
      <c r="B591" s="13"/>
      <c r="C591" s="20"/>
      <c r="D591" s="19"/>
      <c r="E591" s="26">
        <f>IF($B591="","",IFERROR(INDEX(PecDesc,MATCH($B591,PecCod,0)),"Peça não cadastrada"))</f>
        <v>0</v>
      </c>
      <c r="F591" s="27">
        <f>IF($B591="","",IF($D591&lt;&gt;"",$D591,IFERROR(INDEX(PecPreco,MATCH($B591,PecCod,0)),0)))</f>
        <v>0</v>
      </c>
      <c r="G591" s="27">
        <f>IF(OR($B591="",$C591=""),"",$C591*$F591)</f>
        <v>0</v>
      </c>
      <c r="H591" s="27">
        <f>IF(OR($B591="",$C591=""),"",$C591*IFERROR(INDEX(PecCusto,MATCH($B591,PecCod,0)),0))</f>
        <v>0</v>
      </c>
      <c r="I591" s="32">
        <f>IF($A591="","",IFERROR(INDEX(OSStatus,MATCH($A591,OSNum,0)),"OS inexistente"))</f>
        <v>0</v>
      </c>
      <c r="J591" s="32">
        <f>IF($A591="","",IF($I591="OS inexistente","OS inexistente",IF($E591="Peça não cadastrada","Peça não cadastrada","OK")))</f>
        <v>0</v>
      </c>
    </row>
    <row r="592" spans="1:10">
      <c r="A592" s="17"/>
      <c r="B592" s="13"/>
      <c r="C592" s="20"/>
      <c r="D592" s="19"/>
      <c r="E592" s="26">
        <f>IF($B592="","",IFERROR(INDEX(PecDesc,MATCH($B592,PecCod,0)),"Peça não cadastrada"))</f>
        <v>0</v>
      </c>
      <c r="F592" s="27">
        <f>IF($B592="","",IF($D592&lt;&gt;"",$D592,IFERROR(INDEX(PecPreco,MATCH($B592,PecCod,0)),0)))</f>
        <v>0</v>
      </c>
      <c r="G592" s="27">
        <f>IF(OR($B592="",$C592=""),"",$C592*$F592)</f>
        <v>0</v>
      </c>
      <c r="H592" s="27">
        <f>IF(OR($B592="",$C592=""),"",$C592*IFERROR(INDEX(PecCusto,MATCH($B592,PecCod,0)),0))</f>
        <v>0</v>
      </c>
      <c r="I592" s="32">
        <f>IF($A592="","",IFERROR(INDEX(OSStatus,MATCH($A592,OSNum,0)),"OS inexistente"))</f>
        <v>0</v>
      </c>
      <c r="J592" s="32">
        <f>IF($A592="","",IF($I592="OS inexistente","OS inexistente",IF($E592="Peça não cadastrada","Peça não cadastrada","OK")))</f>
        <v>0</v>
      </c>
    </row>
    <row r="593" spans="1:10">
      <c r="A593" s="17"/>
      <c r="B593" s="13"/>
      <c r="C593" s="20"/>
      <c r="D593" s="19"/>
      <c r="E593" s="26">
        <f>IF($B593="","",IFERROR(INDEX(PecDesc,MATCH($B593,PecCod,0)),"Peça não cadastrada"))</f>
        <v>0</v>
      </c>
      <c r="F593" s="27">
        <f>IF($B593="","",IF($D593&lt;&gt;"",$D593,IFERROR(INDEX(PecPreco,MATCH($B593,PecCod,0)),0)))</f>
        <v>0</v>
      </c>
      <c r="G593" s="27">
        <f>IF(OR($B593="",$C593=""),"",$C593*$F593)</f>
        <v>0</v>
      </c>
      <c r="H593" s="27">
        <f>IF(OR($B593="",$C593=""),"",$C593*IFERROR(INDEX(PecCusto,MATCH($B593,PecCod,0)),0))</f>
        <v>0</v>
      </c>
      <c r="I593" s="32">
        <f>IF($A593="","",IFERROR(INDEX(OSStatus,MATCH($A593,OSNum,0)),"OS inexistente"))</f>
        <v>0</v>
      </c>
      <c r="J593" s="32">
        <f>IF($A593="","",IF($I593="OS inexistente","OS inexistente",IF($E593="Peça não cadastrada","Peça não cadastrada","OK")))</f>
        <v>0</v>
      </c>
    </row>
    <row r="594" spans="1:10">
      <c r="A594" s="17"/>
      <c r="B594" s="13"/>
      <c r="C594" s="20"/>
      <c r="D594" s="19"/>
      <c r="E594" s="26">
        <f>IF($B594="","",IFERROR(INDEX(PecDesc,MATCH($B594,PecCod,0)),"Peça não cadastrada"))</f>
        <v>0</v>
      </c>
      <c r="F594" s="27">
        <f>IF($B594="","",IF($D594&lt;&gt;"",$D594,IFERROR(INDEX(PecPreco,MATCH($B594,PecCod,0)),0)))</f>
        <v>0</v>
      </c>
      <c r="G594" s="27">
        <f>IF(OR($B594="",$C594=""),"",$C594*$F594)</f>
        <v>0</v>
      </c>
      <c r="H594" s="27">
        <f>IF(OR($B594="",$C594=""),"",$C594*IFERROR(INDEX(PecCusto,MATCH($B594,PecCod,0)),0))</f>
        <v>0</v>
      </c>
      <c r="I594" s="32">
        <f>IF($A594="","",IFERROR(INDEX(OSStatus,MATCH($A594,OSNum,0)),"OS inexistente"))</f>
        <v>0</v>
      </c>
      <c r="J594" s="32">
        <f>IF($A594="","",IF($I594="OS inexistente","OS inexistente",IF($E594="Peça não cadastrada","Peça não cadastrada","OK")))</f>
        <v>0</v>
      </c>
    </row>
    <row r="595" spans="1:10">
      <c r="A595" s="17"/>
      <c r="B595" s="13"/>
      <c r="C595" s="20"/>
      <c r="D595" s="19"/>
      <c r="E595" s="26">
        <f>IF($B595="","",IFERROR(INDEX(PecDesc,MATCH($B595,PecCod,0)),"Peça não cadastrada"))</f>
        <v>0</v>
      </c>
      <c r="F595" s="27">
        <f>IF($B595="","",IF($D595&lt;&gt;"",$D595,IFERROR(INDEX(PecPreco,MATCH($B595,PecCod,0)),0)))</f>
        <v>0</v>
      </c>
      <c r="G595" s="27">
        <f>IF(OR($B595="",$C595=""),"",$C595*$F595)</f>
        <v>0</v>
      </c>
      <c r="H595" s="27">
        <f>IF(OR($B595="",$C595=""),"",$C595*IFERROR(INDEX(PecCusto,MATCH($B595,PecCod,0)),0))</f>
        <v>0</v>
      </c>
      <c r="I595" s="32">
        <f>IF($A595="","",IFERROR(INDEX(OSStatus,MATCH($A595,OSNum,0)),"OS inexistente"))</f>
        <v>0</v>
      </c>
      <c r="J595" s="32">
        <f>IF($A595="","",IF($I595="OS inexistente","OS inexistente",IF($E595="Peça não cadastrada","Peça não cadastrada","OK")))</f>
        <v>0</v>
      </c>
    </row>
    <row r="596" spans="1:10">
      <c r="A596" s="17"/>
      <c r="B596" s="13"/>
      <c r="C596" s="20"/>
      <c r="D596" s="19"/>
      <c r="E596" s="26">
        <f>IF($B596="","",IFERROR(INDEX(PecDesc,MATCH($B596,PecCod,0)),"Peça não cadastrada"))</f>
        <v>0</v>
      </c>
      <c r="F596" s="27">
        <f>IF($B596="","",IF($D596&lt;&gt;"",$D596,IFERROR(INDEX(PecPreco,MATCH($B596,PecCod,0)),0)))</f>
        <v>0</v>
      </c>
      <c r="G596" s="27">
        <f>IF(OR($B596="",$C596=""),"",$C596*$F596)</f>
        <v>0</v>
      </c>
      <c r="H596" s="27">
        <f>IF(OR($B596="",$C596=""),"",$C596*IFERROR(INDEX(PecCusto,MATCH($B596,PecCod,0)),0))</f>
        <v>0</v>
      </c>
      <c r="I596" s="32">
        <f>IF($A596="","",IFERROR(INDEX(OSStatus,MATCH($A596,OSNum,0)),"OS inexistente"))</f>
        <v>0</v>
      </c>
      <c r="J596" s="32">
        <f>IF($A596="","",IF($I596="OS inexistente","OS inexistente",IF($E596="Peça não cadastrada","Peça não cadastrada","OK")))</f>
        <v>0</v>
      </c>
    </row>
    <row r="597" spans="1:10">
      <c r="A597" s="17"/>
      <c r="B597" s="13"/>
      <c r="C597" s="20"/>
      <c r="D597" s="19"/>
      <c r="E597" s="26">
        <f>IF($B597="","",IFERROR(INDEX(PecDesc,MATCH($B597,PecCod,0)),"Peça não cadastrada"))</f>
        <v>0</v>
      </c>
      <c r="F597" s="27">
        <f>IF($B597="","",IF($D597&lt;&gt;"",$D597,IFERROR(INDEX(PecPreco,MATCH($B597,PecCod,0)),0)))</f>
        <v>0</v>
      </c>
      <c r="G597" s="27">
        <f>IF(OR($B597="",$C597=""),"",$C597*$F597)</f>
        <v>0</v>
      </c>
      <c r="H597" s="27">
        <f>IF(OR($B597="",$C597=""),"",$C597*IFERROR(INDEX(PecCusto,MATCH($B597,PecCod,0)),0))</f>
        <v>0</v>
      </c>
      <c r="I597" s="32">
        <f>IF($A597="","",IFERROR(INDEX(OSStatus,MATCH($A597,OSNum,0)),"OS inexistente"))</f>
        <v>0</v>
      </c>
      <c r="J597" s="32">
        <f>IF($A597="","",IF($I597="OS inexistente","OS inexistente",IF($E597="Peça não cadastrada","Peça não cadastrada","OK")))</f>
        <v>0</v>
      </c>
    </row>
    <row r="598" spans="1:10">
      <c r="A598" s="17"/>
      <c r="B598" s="13"/>
      <c r="C598" s="20"/>
      <c r="D598" s="19"/>
      <c r="E598" s="26">
        <f>IF($B598="","",IFERROR(INDEX(PecDesc,MATCH($B598,PecCod,0)),"Peça não cadastrada"))</f>
        <v>0</v>
      </c>
      <c r="F598" s="27">
        <f>IF($B598="","",IF($D598&lt;&gt;"",$D598,IFERROR(INDEX(PecPreco,MATCH($B598,PecCod,0)),0)))</f>
        <v>0</v>
      </c>
      <c r="G598" s="27">
        <f>IF(OR($B598="",$C598=""),"",$C598*$F598)</f>
        <v>0</v>
      </c>
      <c r="H598" s="27">
        <f>IF(OR($B598="",$C598=""),"",$C598*IFERROR(INDEX(PecCusto,MATCH($B598,PecCod,0)),0))</f>
        <v>0</v>
      </c>
      <c r="I598" s="32">
        <f>IF($A598="","",IFERROR(INDEX(OSStatus,MATCH($A598,OSNum,0)),"OS inexistente"))</f>
        <v>0</v>
      </c>
      <c r="J598" s="32">
        <f>IF($A598="","",IF($I598="OS inexistente","OS inexistente",IF($E598="Peça não cadastrada","Peça não cadastrada","OK")))</f>
        <v>0</v>
      </c>
    </row>
    <row r="599" spans="1:10">
      <c r="A599" s="17"/>
      <c r="B599" s="13"/>
      <c r="C599" s="20"/>
      <c r="D599" s="19"/>
      <c r="E599" s="26">
        <f>IF($B599="","",IFERROR(INDEX(PecDesc,MATCH($B599,PecCod,0)),"Peça não cadastrada"))</f>
        <v>0</v>
      </c>
      <c r="F599" s="27">
        <f>IF($B599="","",IF($D599&lt;&gt;"",$D599,IFERROR(INDEX(PecPreco,MATCH($B599,PecCod,0)),0)))</f>
        <v>0</v>
      </c>
      <c r="G599" s="27">
        <f>IF(OR($B599="",$C599=""),"",$C599*$F599)</f>
        <v>0</v>
      </c>
      <c r="H599" s="27">
        <f>IF(OR($B599="",$C599=""),"",$C599*IFERROR(INDEX(PecCusto,MATCH($B599,PecCod,0)),0))</f>
        <v>0</v>
      </c>
      <c r="I599" s="32">
        <f>IF($A599="","",IFERROR(INDEX(OSStatus,MATCH($A599,OSNum,0)),"OS inexistente"))</f>
        <v>0</v>
      </c>
      <c r="J599" s="32">
        <f>IF($A599="","",IF($I599="OS inexistente","OS inexistente",IF($E599="Peça não cadastrada","Peça não cadastrada","OK")))</f>
        <v>0</v>
      </c>
    </row>
    <row r="600" spans="1:10">
      <c r="A600" s="17"/>
      <c r="B600" s="13"/>
      <c r="C600" s="20"/>
      <c r="D600" s="19"/>
      <c r="E600" s="26">
        <f>IF($B600="","",IFERROR(INDEX(PecDesc,MATCH($B600,PecCod,0)),"Peça não cadastrada"))</f>
        <v>0</v>
      </c>
      <c r="F600" s="27">
        <f>IF($B600="","",IF($D600&lt;&gt;"",$D600,IFERROR(INDEX(PecPreco,MATCH($B600,PecCod,0)),0)))</f>
        <v>0</v>
      </c>
      <c r="G600" s="27">
        <f>IF(OR($B600="",$C600=""),"",$C600*$F600)</f>
        <v>0</v>
      </c>
      <c r="H600" s="27">
        <f>IF(OR($B600="",$C600=""),"",$C600*IFERROR(INDEX(PecCusto,MATCH($B600,PecCod,0)),0))</f>
        <v>0</v>
      </c>
      <c r="I600" s="32">
        <f>IF($A600="","",IFERROR(INDEX(OSStatus,MATCH($A600,OSNum,0)),"OS inexistente"))</f>
        <v>0</v>
      </c>
      <c r="J600" s="32">
        <f>IF($A600="","",IF($I600="OS inexistente","OS inexistente",IF($E600="Peça não cadastrada","Peça não cadastrada","OK")))</f>
        <v>0</v>
      </c>
    </row>
    <row r="601" spans="1:10">
      <c r="A601" s="17"/>
      <c r="B601" s="13"/>
      <c r="C601" s="20"/>
      <c r="D601" s="19"/>
      <c r="E601" s="26">
        <f>IF($B601="","",IFERROR(INDEX(PecDesc,MATCH($B601,PecCod,0)),"Peça não cadastrada"))</f>
        <v>0</v>
      </c>
      <c r="F601" s="27">
        <f>IF($B601="","",IF($D601&lt;&gt;"",$D601,IFERROR(INDEX(PecPreco,MATCH($B601,PecCod,0)),0)))</f>
        <v>0</v>
      </c>
      <c r="G601" s="27">
        <f>IF(OR($B601="",$C601=""),"",$C601*$F601)</f>
        <v>0</v>
      </c>
      <c r="H601" s="27">
        <f>IF(OR($B601="",$C601=""),"",$C601*IFERROR(INDEX(PecCusto,MATCH($B601,PecCod,0)),0))</f>
        <v>0</v>
      </c>
      <c r="I601" s="32">
        <f>IF($A601="","",IFERROR(INDEX(OSStatus,MATCH($A601,OSNum,0)),"OS inexistente"))</f>
        <v>0</v>
      </c>
      <c r="J601" s="32">
        <f>IF($A601="","",IF($I601="OS inexistente","OS inexistente",IF($E601="Peça não cadastrada","Peça não cadastrada","OK")))</f>
        <v>0</v>
      </c>
    </row>
    <row r="602" spans="1:10">
      <c r="A602" s="17"/>
      <c r="B602" s="13"/>
      <c r="C602" s="20"/>
      <c r="D602" s="19"/>
      <c r="E602" s="26">
        <f>IF($B602="","",IFERROR(INDEX(PecDesc,MATCH($B602,PecCod,0)),"Peça não cadastrada"))</f>
        <v>0</v>
      </c>
      <c r="F602" s="27">
        <f>IF($B602="","",IF($D602&lt;&gt;"",$D602,IFERROR(INDEX(PecPreco,MATCH($B602,PecCod,0)),0)))</f>
        <v>0</v>
      </c>
      <c r="G602" s="27">
        <f>IF(OR($B602="",$C602=""),"",$C602*$F602)</f>
        <v>0</v>
      </c>
      <c r="H602" s="27">
        <f>IF(OR($B602="",$C602=""),"",$C602*IFERROR(INDEX(PecCusto,MATCH($B602,PecCod,0)),0))</f>
        <v>0</v>
      </c>
      <c r="I602" s="32">
        <f>IF($A602="","",IFERROR(INDEX(OSStatus,MATCH($A602,OSNum,0)),"OS inexistente"))</f>
        <v>0</v>
      </c>
      <c r="J602" s="32">
        <f>IF($A602="","",IF($I602="OS inexistente","OS inexistente",IF($E602="Peça não cadastrada","Peça não cadastrada","OK")))</f>
        <v>0</v>
      </c>
    </row>
    <row r="603" spans="1:10">
      <c r="A603" s="17"/>
      <c r="B603" s="13"/>
      <c r="C603" s="20"/>
      <c r="D603" s="19"/>
      <c r="E603" s="26">
        <f>IF($B603="","",IFERROR(INDEX(PecDesc,MATCH($B603,PecCod,0)),"Peça não cadastrada"))</f>
        <v>0</v>
      </c>
      <c r="F603" s="27">
        <f>IF($B603="","",IF($D603&lt;&gt;"",$D603,IFERROR(INDEX(PecPreco,MATCH($B603,PecCod,0)),0)))</f>
        <v>0</v>
      </c>
      <c r="G603" s="27">
        <f>IF(OR($B603="",$C603=""),"",$C603*$F603)</f>
        <v>0</v>
      </c>
      <c r="H603" s="27">
        <f>IF(OR($B603="",$C603=""),"",$C603*IFERROR(INDEX(PecCusto,MATCH($B603,PecCod,0)),0))</f>
        <v>0</v>
      </c>
      <c r="I603" s="32">
        <f>IF($A603="","",IFERROR(INDEX(OSStatus,MATCH($A603,OSNum,0)),"OS inexistente"))</f>
        <v>0</v>
      </c>
      <c r="J603" s="32">
        <f>IF($A603="","",IF($I603="OS inexistente","OS inexistente",IF($E603="Peça não cadastrada","Peça não cadastrada","OK")))</f>
        <v>0</v>
      </c>
    </row>
    <row r="604" spans="1:10">
      <c r="A604" s="17"/>
      <c r="B604" s="13"/>
      <c r="C604" s="20"/>
      <c r="D604" s="19"/>
      <c r="E604" s="26">
        <f>IF($B604="","",IFERROR(INDEX(PecDesc,MATCH($B604,PecCod,0)),"Peça não cadastrada"))</f>
        <v>0</v>
      </c>
      <c r="F604" s="27">
        <f>IF($B604="","",IF($D604&lt;&gt;"",$D604,IFERROR(INDEX(PecPreco,MATCH($B604,PecCod,0)),0)))</f>
        <v>0</v>
      </c>
      <c r="G604" s="27">
        <f>IF(OR($B604="",$C604=""),"",$C604*$F604)</f>
        <v>0</v>
      </c>
      <c r="H604" s="27">
        <f>IF(OR($B604="",$C604=""),"",$C604*IFERROR(INDEX(PecCusto,MATCH($B604,PecCod,0)),0))</f>
        <v>0</v>
      </c>
      <c r="I604" s="32">
        <f>IF($A604="","",IFERROR(INDEX(OSStatus,MATCH($A604,OSNum,0)),"OS inexistente"))</f>
        <v>0</v>
      </c>
      <c r="J604" s="32">
        <f>IF($A604="","",IF($I604="OS inexistente","OS inexistente",IF($E604="Peça não cadastrada","Peça não cadastrada","OK")))</f>
        <v>0</v>
      </c>
    </row>
    <row r="605" spans="1:10">
      <c r="A605" s="17"/>
      <c r="B605" s="13"/>
      <c r="C605" s="20"/>
      <c r="D605" s="19"/>
      <c r="E605" s="26">
        <f>IF($B605="","",IFERROR(INDEX(PecDesc,MATCH($B605,PecCod,0)),"Peça não cadastrada"))</f>
        <v>0</v>
      </c>
      <c r="F605" s="27">
        <f>IF($B605="","",IF($D605&lt;&gt;"",$D605,IFERROR(INDEX(PecPreco,MATCH($B605,PecCod,0)),0)))</f>
        <v>0</v>
      </c>
      <c r="G605" s="27">
        <f>IF(OR($B605="",$C605=""),"",$C605*$F605)</f>
        <v>0</v>
      </c>
      <c r="H605" s="27">
        <f>IF(OR($B605="",$C605=""),"",$C605*IFERROR(INDEX(PecCusto,MATCH($B605,PecCod,0)),0))</f>
        <v>0</v>
      </c>
      <c r="I605" s="32">
        <f>IF($A605="","",IFERROR(INDEX(OSStatus,MATCH($A605,OSNum,0)),"OS inexistente"))</f>
        <v>0</v>
      </c>
      <c r="J605" s="32">
        <f>IF($A605="","",IF($I605="OS inexistente","OS inexistente",IF($E605="Peça não cadastrada","Peça não cadastrada","OK")))</f>
        <v>0</v>
      </c>
    </row>
    <row r="606" spans="1:10">
      <c r="A606" s="17"/>
      <c r="B606" s="13"/>
      <c r="C606" s="20"/>
      <c r="D606" s="19"/>
      <c r="E606" s="26">
        <f>IF($B606="","",IFERROR(INDEX(PecDesc,MATCH($B606,PecCod,0)),"Peça não cadastrada"))</f>
        <v>0</v>
      </c>
      <c r="F606" s="27">
        <f>IF($B606="","",IF($D606&lt;&gt;"",$D606,IFERROR(INDEX(PecPreco,MATCH($B606,PecCod,0)),0)))</f>
        <v>0</v>
      </c>
      <c r="G606" s="27">
        <f>IF(OR($B606="",$C606=""),"",$C606*$F606)</f>
        <v>0</v>
      </c>
      <c r="H606" s="27">
        <f>IF(OR($B606="",$C606=""),"",$C606*IFERROR(INDEX(PecCusto,MATCH($B606,PecCod,0)),0))</f>
        <v>0</v>
      </c>
      <c r="I606" s="32">
        <f>IF($A606="","",IFERROR(INDEX(OSStatus,MATCH($A606,OSNum,0)),"OS inexistente"))</f>
        <v>0</v>
      </c>
      <c r="J606" s="32">
        <f>IF($A606="","",IF($I606="OS inexistente","OS inexistente",IF($E606="Peça não cadastrada","Peça não cadastrada","OK")))</f>
        <v>0</v>
      </c>
    </row>
    <row r="607" spans="1:10">
      <c r="A607" s="17"/>
      <c r="B607" s="13"/>
      <c r="C607" s="20"/>
      <c r="D607" s="19"/>
      <c r="E607" s="26">
        <f>IF($B607="","",IFERROR(INDEX(PecDesc,MATCH($B607,PecCod,0)),"Peça não cadastrada"))</f>
        <v>0</v>
      </c>
      <c r="F607" s="27">
        <f>IF($B607="","",IF($D607&lt;&gt;"",$D607,IFERROR(INDEX(PecPreco,MATCH($B607,PecCod,0)),0)))</f>
        <v>0</v>
      </c>
      <c r="G607" s="27">
        <f>IF(OR($B607="",$C607=""),"",$C607*$F607)</f>
        <v>0</v>
      </c>
      <c r="H607" s="27">
        <f>IF(OR($B607="",$C607=""),"",$C607*IFERROR(INDEX(PecCusto,MATCH($B607,PecCod,0)),0))</f>
        <v>0</v>
      </c>
      <c r="I607" s="32">
        <f>IF($A607="","",IFERROR(INDEX(OSStatus,MATCH($A607,OSNum,0)),"OS inexistente"))</f>
        <v>0</v>
      </c>
      <c r="J607" s="32">
        <f>IF($A607="","",IF($I607="OS inexistente","OS inexistente",IF($E607="Peça não cadastrada","Peça não cadastrada","OK")))</f>
        <v>0</v>
      </c>
    </row>
    <row r="608" spans="1:10">
      <c r="A608" s="17"/>
      <c r="B608" s="13"/>
      <c r="C608" s="20"/>
      <c r="D608" s="19"/>
      <c r="E608" s="26">
        <f>IF($B608="","",IFERROR(INDEX(PecDesc,MATCH($B608,PecCod,0)),"Peça não cadastrada"))</f>
        <v>0</v>
      </c>
      <c r="F608" s="27">
        <f>IF($B608="","",IF($D608&lt;&gt;"",$D608,IFERROR(INDEX(PecPreco,MATCH($B608,PecCod,0)),0)))</f>
        <v>0</v>
      </c>
      <c r="G608" s="27">
        <f>IF(OR($B608="",$C608=""),"",$C608*$F608)</f>
        <v>0</v>
      </c>
      <c r="H608" s="27">
        <f>IF(OR($B608="",$C608=""),"",$C608*IFERROR(INDEX(PecCusto,MATCH($B608,PecCod,0)),0))</f>
        <v>0</v>
      </c>
      <c r="I608" s="32">
        <f>IF($A608="","",IFERROR(INDEX(OSStatus,MATCH($A608,OSNum,0)),"OS inexistente"))</f>
        <v>0</v>
      </c>
      <c r="J608" s="32">
        <f>IF($A608="","",IF($I608="OS inexistente","OS inexistente",IF($E608="Peça não cadastrada","Peça não cadastrada","OK")))</f>
        <v>0</v>
      </c>
    </row>
    <row r="609" spans="1:10">
      <c r="A609" s="17"/>
      <c r="B609" s="13"/>
      <c r="C609" s="20"/>
      <c r="D609" s="19"/>
      <c r="E609" s="26">
        <f>IF($B609="","",IFERROR(INDEX(PecDesc,MATCH($B609,PecCod,0)),"Peça não cadastrada"))</f>
        <v>0</v>
      </c>
      <c r="F609" s="27">
        <f>IF($B609="","",IF($D609&lt;&gt;"",$D609,IFERROR(INDEX(PecPreco,MATCH($B609,PecCod,0)),0)))</f>
        <v>0</v>
      </c>
      <c r="G609" s="27">
        <f>IF(OR($B609="",$C609=""),"",$C609*$F609)</f>
        <v>0</v>
      </c>
      <c r="H609" s="27">
        <f>IF(OR($B609="",$C609=""),"",$C609*IFERROR(INDEX(PecCusto,MATCH($B609,PecCod,0)),0))</f>
        <v>0</v>
      </c>
      <c r="I609" s="32">
        <f>IF($A609="","",IFERROR(INDEX(OSStatus,MATCH($A609,OSNum,0)),"OS inexistente"))</f>
        <v>0</v>
      </c>
      <c r="J609" s="32">
        <f>IF($A609="","",IF($I609="OS inexistente","OS inexistente",IF($E609="Peça não cadastrada","Peça não cadastrada","OK")))</f>
        <v>0</v>
      </c>
    </row>
    <row r="610" spans="1:10">
      <c r="A610" s="17"/>
      <c r="B610" s="13"/>
      <c r="C610" s="20"/>
      <c r="D610" s="19"/>
      <c r="E610" s="26">
        <f>IF($B610="","",IFERROR(INDEX(PecDesc,MATCH($B610,PecCod,0)),"Peça não cadastrada"))</f>
        <v>0</v>
      </c>
      <c r="F610" s="27">
        <f>IF($B610="","",IF($D610&lt;&gt;"",$D610,IFERROR(INDEX(PecPreco,MATCH($B610,PecCod,0)),0)))</f>
        <v>0</v>
      </c>
      <c r="G610" s="27">
        <f>IF(OR($B610="",$C610=""),"",$C610*$F610)</f>
        <v>0</v>
      </c>
      <c r="H610" s="27">
        <f>IF(OR($B610="",$C610=""),"",$C610*IFERROR(INDEX(PecCusto,MATCH($B610,PecCod,0)),0))</f>
        <v>0</v>
      </c>
      <c r="I610" s="32">
        <f>IF($A610="","",IFERROR(INDEX(OSStatus,MATCH($A610,OSNum,0)),"OS inexistente"))</f>
        <v>0</v>
      </c>
      <c r="J610" s="32">
        <f>IF($A610="","",IF($I610="OS inexistente","OS inexistente",IF($E610="Peça não cadastrada","Peça não cadastrada","OK")))</f>
        <v>0</v>
      </c>
    </row>
    <row r="611" spans="1:10">
      <c r="A611" s="17"/>
      <c r="B611" s="13"/>
      <c r="C611" s="20"/>
      <c r="D611" s="19"/>
      <c r="E611" s="26">
        <f>IF($B611="","",IFERROR(INDEX(PecDesc,MATCH($B611,PecCod,0)),"Peça não cadastrada"))</f>
        <v>0</v>
      </c>
      <c r="F611" s="27">
        <f>IF($B611="","",IF($D611&lt;&gt;"",$D611,IFERROR(INDEX(PecPreco,MATCH($B611,PecCod,0)),0)))</f>
        <v>0</v>
      </c>
      <c r="G611" s="27">
        <f>IF(OR($B611="",$C611=""),"",$C611*$F611)</f>
        <v>0</v>
      </c>
      <c r="H611" s="27">
        <f>IF(OR($B611="",$C611=""),"",$C611*IFERROR(INDEX(PecCusto,MATCH($B611,PecCod,0)),0))</f>
        <v>0</v>
      </c>
      <c r="I611" s="32">
        <f>IF($A611="","",IFERROR(INDEX(OSStatus,MATCH($A611,OSNum,0)),"OS inexistente"))</f>
        <v>0</v>
      </c>
      <c r="J611" s="32">
        <f>IF($A611="","",IF($I611="OS inexistente","OS inexistente",IF($E611="Peça não cadastrada","Peça não cadastrada","OK")))</f>
        <v>0</v>
      </c>
    </row>
    <row r="612" spans="1:10">
      <c r="A612" s="17"/>
      <c r="B612" s="13"/>
      <c r="C612" s="20"/>
      <c r="D612" s="19"/>
      <c r="E612" s="26">
        <f>IF($B612="","",IFERROR(INDEX(PecDesc,MATCH($B612,PecCod,0)),"Peça não cadastrada"))</f>
        <v>0</v>
      </c>
      <c r="F612" s="27">
        <f>IF($B612="","",IF($D612&lt;&gt;"",$D612,IFERROR(INDEX(PecPreco,MATCH($B612,PecCod,0)),0)))</f>
        <v>0</v>
      </c>
      <c r="G612" s="27">
        <f>IF(OR($B612="",$C612=""),"",$C612*$F612)</f>
        <v>0</v>
      </c>
      <c r="H612" s="27">
        <f>IF(OR($B612="",$C612=""),"",$C612*IFERROR(INDEX(PecCusto,MATCH($B612,PecCod,0)),0))</f>
        <v>0</v>
      </c>
      <c r="I612" s="32">
        <f>IF($A612="","",IFERROR(INDEX(OSStatus,MATCH($A612,OSNum,0)),"OS inexistente"))</f>
        <v>0</v>
      </c>
      <c r="J612" s="32">
        <f>IF($A612="","",IF($I612="OS inexistente","OS inexistente",IF($E612="Peça não cadastrada","Peça não cadastrada","OK")))</f>
        <v>0</v>
      </c>
    </row>
    <row r="613" spans="1:10">
      <c r="A613" s="17"/>
      <c r="B613" s="13"/>
      <c r="C613" s="20"/>
      <c r="D613" s="19"/>
      <c r="E613" s="26">
        <f>IF($B613="","",IFERROR(INDEX(PecDesc,MATCH($B613,PecCod,0)),"Peça não cadastrada"))</f>
        <v>0</v>
      </c>
      <c r="F613" s="27">
        <f>IF($B613="","",IF($D613&lt;&gt;"",$D613,IFERROR(INDEX(PecPreco,MATCH($B613,PecCod,0)),0)))</f>
        <v>0</v>
      </c>
      <c r="G613" s="27">
        <f>IF(OR($B613="",$C613=""),"",$C613*$F613)</f>
        <v>0</v>
      </c>
      <c r="H613" s="27">
        <f>IF(OR($B613="",$C613=""),"",$C613*IFERROR(INDEX(PecCusto,MATCH($B613,PecCod,0)),0))</f>
        <v>0</v>
      </c>
      <c r="I613" s="32">
        <f>IF($A613="","",IFERROR(INDEX(OSStatus,MATCH($A613,OSNum,0)),"OS inexistente"))</f>
        <v>0</v>
      </c>
      <c r="J613" s="32">
        <f>IF($A613="","",IF($I613="OS inexistente","OS inexistente",IF($E613="Peça não cadastrada","Peça não cadastrada","OK")))</f>
        <v>0</v>
      </c>
    </row>
    <row r="614" spans="1:10">
      <c r="A614" s="17"/>
      <c r="B614" s="13"/>
      <c r="C614" s="20"/>
      <c r="D614" s="19"/>
      <c r="E614" s="26">
        <f>IF($B614="","",IFERROR(INDEX(PecDesc,MATCH($B614,PecCod,0)),"Peça não cadastrada"))</f>
        <v>0</v>
      </c>
      <c r="F614" s="27">
        <f>IF($B614="","",IF($D614&lt;&gt;"",$D614,IFERROR(INDEX(PecPreco,MATCH($B614,PecCod,0)),0)))</f>
        <v>0</v>
      </c>
      <c r="G614" s="27">
        <f>IF(OR($B614="",$C614=""),"",$C614*$F614)</f>
        <v>0</v>
      </c>
      <c r="H614" s="27">
        <f>IF(OR($B614="",$C614=""),"",$C614*IFERROR(INDEX(PecCusto,MATCH($B614,PecCod,0)),0))</f>
        <v>0</v>
      </c>
      <c r="I614" s="32">
        <f>IF($A614="","",IFERROR(INDEX(OSStatus,MATCH($A614,OSNum,0)),"OS inexistente"))</f>
        <v>0</v>
      </c>
      <c r="J614" s="32">
        <f>IF($A614="","",IF($I614="OS inexistente","OS inexistente",IF($E614="Peça não cadastrada","Peça não cadastrada","OK")))</f>
        <v>0</v>
      </c>
    </row>
    <row r="615" spans="1:10">
      <c r="A615" s="17"/>
      <c r="B615" s="13"/>
      <c r="C615" s="20"/>
      <c r="D615" s="19"/>
      <c r="E615" s="26">
        <f>IF($B615="","",IFERROR(INDEX(PecDesc,MATCH($B615,PecCod,0)),"Peça não cadastrada"))</f>
        <v>0</v>
      </c>
      <c r="F615" s="27">
        <f>IF($B615="","",IF($D615&lt;&gt;"",$D615,IFERROR(INDEX(PecPreco,MATCH($B615,PecCod,0)),0)))</f>
        <v>0</v>
      </c>
      <c r="G615" s="27">
        <f>IF(OR($B615="",$C615=""),"",$C615*$F615)</f>
        <v>0</v>
      </c>
      <c r="H615" s="27">
        <f>IF(OR($B615="",$C615=""),"",$C615*IFERROR(INDEX(PecCusto,MATCH($B615,PecCod,0)),0))</f>
        <v>0</v>
      </c>
      <c r="I615" s="32">
        <f>IF($A615="","",IFERROR(INDEX(OSStatus,MATCH($A615,OSNum,0)),"OS inexistente"))</f>
        <v>0</v>
      </c>
      <c r="J615" s="32">
        <f>IF($A615="","",IF($I615="OS inexistente","OS inexistente",IF($E615="Peça não cadastrada","Peça não cadastrada","OK")))</f>
        <v>0</v>
      </c>
    </row>
    <row r="616" spans="1:10">
      <c r="A616" s="17"/>
      <c r="B616" s="13"/>
      <c r="C616" s="20"/>
      <c r="D616" s="19"/>
      <c r="E616" s="26">
        <f>IF($B616="","",IFERROR(INDEX(PecDesc,MATCH($B616,PecCod,0)),"Peça não cadastrada"))</f>
        <v>0</v>
      </c>
      <c r="F616" s="27">
        <f>IF($B616="","",IF($D616&lt;&gt;"",$D616,IFERROR(INDEX(PecPreco,MATCH($B616,PecCod,0)),0)))</f>
        <v>0</v>
      </c>
      <c r="G616" s="27">
        <f>IF(OR($B616="",$C616=""),"",$C616*$F616)</f>
        <v>0</v>
      </c>
      <c r="H616" s="27">
        <f>IF(OR($B616="",$C616=""),"",$C616*IFERROR(INDEX(PecCusto,MATCH($B616,PecCod,0)),0))</f>
        <v>0</v>
      </c>
      <c r="I616" s="32">
        <f>IF($A616="","",IFERROR(INDEX(OSStatus,MATCH($A616,OSNum,0)),"OS inexistente"))</f>
        <v>0</v>
      </c>
      <c r="J616" s="32">
        <f>IF($A616="","",IF($I616="OS inexistente","OS inexistente",IF($E616="Peça não cadastrada","Peça não cadastrada","OK")))</f>
        <v>0</v>
      </c>
    </row>
    <row r="617" spans="1:10">
      <c r="A617" s="17"/>
      <c r="B617" s="13"/>
      <c r="C617" s="20"/>
      <c r="D617" s="19"/>
      <c r="E617" s="26">
        <f>IF($B617="","",IFERROR(INDEX(PecDesc,MATCH($B617,PecCod,0)),"Peça não cadastrada"))</f>
        <v>0</v>
      </c>
      <c r="F617" s="27">
        <f>IF($B617="","",IF($D617&lt;&gt;"",$D617,IFERROR(INDEX(PecPreco,MATCH($B617,PecCod,0)),0)))</f>
        <v>0</v>
      </c>
      <c r="G617" s="27">
        <f>IF(OR($B617="",$C617=""),"",$C617*$F617)</f>
        <v>0</v>
      </c>
      <c r="H617" s="27">
        <f>IF(OR($B617="",$C617=""),"",$C617*IFERROR(INDEX(PecCusto,MATCH($B617,PecCod,0)),0))</f>
        <v>0</v>
      </c>
      <c r="I617" s="32">
        <f>IF($A617="","",IFERROR(INDEX(OSStatus,MATCH($A617,OSNum,0)),"OS inexistente"))</f>
        <v>0</v>
      </c>
      <c r="J617" s="32">
        <f>IF($A617="","",IF($I617="OS inexistente","OS inexistente",IF($E617="Peça não cadastrada","Peça não cadastrada","OK")))</f>
        <v>0</v>
      </c>
    </row>
    <row r="618" spans="1:10">
      <c r="A618" s="17"/>
      <c r="B618" s="13"/>
      <c r="C618" s="20"/>
      <c r="D618" s="19"/>
      <c r="E618" s="26">
        <f>IF($B618="","",IFERROR(INDEX(PecDesc,MATCH($B618,PecCod,0)),"Peça não cadastrada"))</f>
        <v>0</v>
      </c>
      <c r="F618" s="27">
        <f>IF($B618="","",IF($D618&lt;&gt;"",$D618,IFERROR(INDEX(PecPreco,MATCH($B618,PecCod,0)),0)))</f>
        <v>0</v>
      </c>
      <c r="G618" s="27">
        <f>IF(OR($B618="",$C618=""),"",$C618*$F618)</f>
        <v>0</v>
      </c>
      <c r="H618" s="27">
        <f>IF(OR($B618="",$C618=""),"",$C618*IFERROR(INDEX(PecCusto,MATCH($B618,PecCod,0)),0))</f>
        <v>0</v>
      </c>
      <c r="I618" s="32">
        <f>IF($A618="","",IFERROR(INDEX(OSStatus,MATCH($A618,OSNum,0)),"OS inexistente"))</f>
        <v>0</v>
      </c>
      <c r="J618" s="32">
        <f>IF($A618="","",IF($I618="OS inexistente","OS inexistente",IF($E618="Peça não cadastrada","Peça não cadastrada","OK")))</f>
        <v>0</v>
      </c>
    </row>
    <row r="619" spans="1:10">
      <c r="A619" s="17"/>
      <c r="B619" s="13"/>
      <c r="C619" s="20"/>
      <c r="D619" s="19"/>
      <c r="E619" s="26">
        <f>IF($B619="","",IFERROR(INDEX(PecDesc,MATCH($B619,PecCod,0)),"Peça não cadastrada"))</f>
        <v>0</v>
      </c>
      <c r="F619" s="27">
        <f>IF($B619="","",IF($D619&lt;&gt;"",$D619,IFERROR(INDEX(PecPreco,MATCH($B619,PecCod,0)),0)))</f>
        <v>0</v>
      </c>
      <c r="G619" s="27">
        <f>IF(OR($B619="",$C619=""),"",$C619*$F619)</f>
        <v>0</v>
      </c>
      <c r="H619" s="27">
        <f>IF(OR($B619="",$C619=""),"",$C619*IFERROR(INDEX(PecCusto,MATCH($B619,PecCod,0)),0))</f>
        <v>0</v>
      </c>
      <c r="I619" s="32">
        <f>IF($A619="","",IFERROR(INDEX(OSStatus,MATCH($A619,OSNum,0)),"OS inexistente"))</f>
        <v>0</v>
      </c>
      <c r="J619" s="32">
        <f>IF($A619="","",IF($I619="OS inexistente","OS inexistente",IF($E619="Peça não cadastrada","Peça não cadastrada","OK")))</f>
        <v>0</v>
      </c>
    </row>
    <row r="620" spans="1:10">
      <c r="A620" s="17"/>
      <c r="B620" s="13"/>
      <c r="C620" s="20"/>
      <c r="D620" s="19"/>
      <c r="E620" s="26">
        <f>IF($B620="","",IFERROR(INDEX(PecDesc,MATCH($B620,PecCod,0)),"Peça não cadastrada"))</f>
        <v>0</v>
      </c>
      <c r="F620" s="27">
        <f>IF($B620="","",IF($D620&lt;&gt;"",$D620,IFERROR(INDEX(PecPreco,MATCH($B620,PecCod,0)),0)))</f>
        <v>0</v>
      </c>
      <c r="G620" s="27">
        <f>IF(OR($B620="",$C620=""),"",$C620*$F620)</f>
        <v>0</v>
      </c>
      <c r="H620" s="27">
        <f>IF(OR($B620="",$C620=""),"",$C620*IFERROR(INDEX(PecCusto,MATCH($B620,PecCod,0)),0))</f>
        <v>0</v>
      </c>
      <c r="I620" s="32">
        <f>IF($A620="","",IFERROR(INDEX(OSStatus,MATCH($A620,OSNum,0)),"OS inexistente"))</f>
        <v>0</v>
      </c>
      <c r="J620" s="32">
        <f>IF($A620="","",IF($I620="OS inexistente","OS inexistente",IF($E620="Peça não cadastrada","Peça não cadastrada","OK")))</f>
        <v>0</v>
      </c>
    </row>
    <row r="621" spans="1:10">
      <c r="A621" s="17"/>
      <c r="B621" s="13"/>
      <c r="C621" s="20"/>
      <c r="D621" s="19"/>
      <c r="E621" s="26">
        <f>IF($B621="","",IFERROR(INDEX(PecDesc,MATCH($B621,PecCod,0)),"Peça não cadastrada"))</f>
        <v>0</v>
      </c>
      <c r="F621" s="27">
        <f>IF($B621="","",IF($D621&lt;&gt;"",$D621,IFERROR(INDEX(PecPreco,MATCH($B621,PecCod,0)),0)))</f>
        <v>0</v>
      </c>
      <c r="G621" s="27">
        <f>IF(OR($B621="",$C621=""),"",$C621*$F621)</f>
        <v>0</v>
      </c>
      <c r="H621" s="27">
        <f>IF(OR($B621="",$C621=""),"",$C621*IFERROR(INDEX(PecCusto,MATCH($B621,PecCod,0)),0))</f>
        <v>0</v>
      </c>
      <c r="I621" s="32">
        <f>IF($A621="","",IFERROR(INDEX(OSStatus,MATCH($A621,OSNum,0)),"OS inexistente"))</f>
        <v>0</v>
      </c>
      <c r="J621" s="32">
        <f>IF($A621="","",IF($I621="OS inexistente","OS inexistente",IF($E621="Peça não cadastrada","Peça não cadastrada","OK")))</f>
        <v>0</v>
      </c>
    </row>
    <row r="622" spans="1:10">
      <c r="A622" s="17"/>
      <c r="B622" s="13"/>
      <c r="C622" s="20"/>
      <c r="D622" s="19"/>
      <c r="E622" s="26">
        <f>IF($B622="","",IFERROR(INDEX(PecDesc,MATCH($B622,PecCod,0)),"Peça não cadastrada"))</f>
        <v>0</v>
      </c>
      <c r="F622" s="27">
        <f>IF($B622="","",IF($D622&lt;&gt;"",$D622,IFERROR(INDEX(PecPreco,MATCH($B622,PecCod,0)),0)))</f>
        <v>0</v>
      </c>
      <c r="G622" s="27">
        <f>IF(OR($B622="",$C622=""),"",$C622*$F622)</f>
        <v>0</v>
      </c>
      <c r="H622" s="27">
        <f>IF(OR($B622="",$C622=""),"",$C622*IFERROR(INDEX(PecCusto,MATCH($B622,PecCod,0)),0))</f>
        <v>0</v>
      </c>
      <c r="I622" s="32">
        <f>IF($A622="","",IFERROR(INDEX(OSStatus,MATCH($A622,OSNum,0)),"OS inexistente"))</f>
        <v>0</v>
      </c>
      <c r="J622" s="32">
        <f>IF($A622="","",IF($I622="OS inexistente","OS inexistente",IF($E622="Peça não cadastrada","Peça não cadastrada","OK")))</f>
        <v>0</v>
      </c>
    </row>
    <row r="623" spans="1:10">
      <c r="A623" s="17"/>
      <c r="B623" s="13"/>
      <c r="C623" s="20"/>
      <c r="D623" s="19"/>
      <c r="E623" s="26">
        <f>IF($B623="","",IFERROR(INDEX(PecDesc,MATCH($B623,PecCod,0)),"Peça não cadastrada"))</f>
        <v>0</v>
      </c>
      <c r="F623" s="27">
        <f>IF($B623="","",IF($D623&lt;&gt;"",$D623,IFERROR(INDEX(PecPreco,MATCH($B623,PecCod,0)),0)))</f>
        <v>0</v>
      </c>
      <c r="G623" s="27">
        <f>IF(OR($B623="",$C623=""),"",$C623*$F623)</f>
        <v>0</v>
      </c>
      <c r="H623" s="27">
        <f>IF(OR($B623="",$C623=""),"",$C623*IFERROR(INDEX(PecCusto,MATCH($B623,PecCod,0)),0))</f>
        <v>0</v>
      </c>
      <c r="I623" s="32">
        <f>IF($A623="","",IFERROR(INDEX(OSStatus,MATCH($A623,OSNum,0)),"OS inexistente"))</f>
        <v>0</v>
      </c>
      <c r="J623" s="32">
        <f>IF($A623="","",IF($I623="OS inexistente","OS inexistente",IF($E623="Peça não cadastrada","Peça não cadastrada","OK")))</f>
        <v>0</v>
      </c>
    </row>
    <row r="624" spans="1:10">
      <c r="A624" s="17"/>
      <c r="B624" s="13"/>
      <c r="C624" s="20"/>
      <c r="D624" s="19"/>
      <c r="E624" s="26">
        <f>IF($B624="","",IFERROR(INDEX(PecDesc,MATCH($B624,PecCod,0)),"Peça não cadastrada"))</f>
        <v>0</v>
      </c>
      <c r="F624" s="27">
        <f>IF($B624="","",IF($D624&lt;&gt;"",$D624,IFERROR(INDEX(PecPreco,MATCH($B624,PecCod,0)),0)))</f>
        <v>0</v>
      </c>
      <c r="G624" s="27">
        <f>IF(OR($B624="",$C624=""),"",$C624*$F624)</f>
        <v>0</v>
      </c>
      <c r="H624" s="27">
        <f>IF(OR($B624="",$C624=""),"",$C624*IFERROR(INDEX(PecCusto,MATCH($B624,PecCod,0)),0))</f>
        <v>0</v>
      </c>
      <c r="I624" s="32">
        <f>IF($A624="","",IFERROR(INDEX(OSStatus,MATCH($A624,OSNum,0)),"OS inexistente"))</f>
        <v>0</v>
      </c>
      <c r="J624" s="32">
        <f>IF($A624="","",IF($I624="OS inexistente","OS inexistente",IF($E624="Peça não cadastrada","Peça não cadastrada","OK")))</f>
        <v>0</v>
      </c>
    </row>
    <row r="625" spans="1:10">
      <c r="A625" s="17"/>
      <c r="B625" s="13"/>
      <c r="C625" s="20"/>
      <c r="D625" s="19"/>
      <c r="E625" s="26">
        <f>IF($B625="","",IFERROR(INDEX(PecDesc,MATCH($B625,PecCod,0)),"Peça não cadastrada"))</f>
        <v>0</v>
      </c>
      <c r="F625" s="27">
        <f>IF($B625="","",IF($D625&lt;&gt;"",$D625,IFERROR(INDEX(PecPreco,MATCH($B625,PecCod,0)),0)))</f>
        <v>0</v>
      </c>
      <c r="G625" s="27">
        <f>IF(OR($B625="",$C625=""),"",$C625*$F625)</f>
        <v>0</v>
      </c>
      <c r="H625" s="27">
        <f>IF(OR($B625="",$C625=""),"",$C625*IFERROR(INDEX(PecCusto,MATCH($B625,PecCod,0)),0))</f>
        <v>0</v>
      </c>
      <c r="I625" s="32">
        <f>IF($A625="","",IFERROR(INDEX(OSStatus,MATCH($A625,OSNum,0)),"OS inexistente"))</f>
        <v>0</v>
      </c>
      <c r="J625" s="32">
        <f>IF($A625="","",IF($I625="OS inexistente","OS inexistente",IF($E625="Peça não cadastrada","Peça não cadastrada","OK")))</f>
        <v>0</v>
      </c>
    </row>
    <row r="626" spans="1:10">
      <c r="A626" s="17"/>
      <c r="B626" s="13"/>
      <c r="C626" s="20"/>
      <c r="D626" s="19"/>
      <c r="E626" s="26">
        <f>IF($B626="","",IFERROR(INDEX(PecDesc,MATCH($B626,PecCod,0)),"Peça não cadastrada"))</f>
        <v>0</v>
      </c>
      <c r="F626" s="27">
        <f>IF($B626="","",IF($D626&lt;&gt;"",$D626,IFERROR(INDEX(PecPreco,MATCH($B626,PecCod,0)),0)))</f>
        <v>0</v>
      </c>
      <c r="G626" s="27">
        <f>IF(OR($B626="",$C626=""),"",$C626*$F626)</f>
        <v>0</v>
      </c>
      <c r="H626" s="27">
        <f>IF(OR($B626="",$C626=""),"",$C626*IFERROR(INDEX(PecCusto,MATCH($B626,PecCod,0)),0))</f>
        <v>0</v>
      </c>
      <c r="I626" s="32">
        <f>IF($A626="","",IFERROR(INDEX(OSStatus,MATCH($A626,OSNum,0)),"OS inexistente"))</f>
        <v>0</v>
      </c>
      <c r="J626" s="32">
        <f>IF($A626="","",IF($I626="OS inexistente","OS inexistente",IF($E626="Peça não cadastrada","Peça não cadastrada","OK")))</f>
        <v>0</v>
      </c>
    </row>
    <row r="627" spans="1:10">
      <c r="A627" s="17"/>
      <c r="B627" s="13"/>
      <c r="C627" s="20"/>
      <c r="D627" s="19"/>
      <c r="E627" s="26">
        <f>IF($B627="","",IFERROR(INDEX(PecDesc,MATCH($B627,PecCod,0)),"Peça não cadastrada"))</f>
        <v>0</v>
      </c>
      <c r="F627" s="27">
        <f>IF($B627="","",IF($D627&lt;&gt;"",$D627,IFERROR(INDEX(PecPreco,MATCH($B627,PecCod,0)),0)))</f>
        <v>0</v>
      </c>
      <c r="G627" s="27">
        <f>IF(OR($B627="",$C627=""),"",$C627*$F627)</f>
        <v>0</v>
      </c>
      <c r="H627" s="27">
        <f>IF(OR($B627="",$C627=""),"",$C627*IFERROR(INDEX(PecCusto,MATCH($B627,PecCod,0)),0))</f>
        <v>0</v>
      </c>
      <c r="I627" s="32">
        <f>IF($A627="","",IFERROR(INDEX(OSStatus,MATCH($A627,OSNum,0)),"OS inexistente"))</f>
        <v>0</v>
      </c>
      <c r="J627" s="32">
        <f>IF($A627="","",IF($I627="OS inexistente","OS inexistente",IF($E627="Peça não cadastrada","Peça não cadastrada","OK")))</f>
        <v>0</v>
      </c>
    </row>
    <row r="628" spans="1:10">
      <c r="A628" s="17"/>
      <c r="B628" s="13"/>
      <c r="C628" s="20"/>
      <c r="D628" s="19"/>
      <c r="E628" s="26">
        <f>IF($B628="","",IFERROR(INDEX(PecDesc,MATCH($B628,PecCod,0)),"Peça não cadastrada"))</f>
        <v>0</v>
      </c>
      <c r="F628" s="27">
        <f>IF($B628="","",IF($D628&lt;&gt;"",$D628,IFERROR(INDEX(PecPreco,MATCH($B628,PecCod,0)),0)))</f>
        <v>0</v>
      </c>
      <c r="G628" s="27">
        <f>IF(OR($B628="",$C628=""),"",$C628*$F628)</f>
        <v>0</v>
      </c>
      <c r="H628" s="27">
        <f>IF(OR($B628="",$C628=""),"",$C628*IFERROR(INDEX(PecCusto,MATCH($B628,PecCod,0)),0))</f>
        <v>0</v>
      </c>
      <c r="I628" s="32">
        <f>IF($A628="","",IFERROR(INDEX(OSStatus,MATCH($A628,OSNum,0)),"OS inexistente"))</f>
        <v>0</v>
      </c>
      <c r="J628" s="32">
        <f>IF($A628="","",IF($I628="OS inexistente","OS inexistente",IF($E628="Peça não cadastrada","Peça não cadastrada","OK")))</f>
        <v>0</v>
      </c>
    </row>
    <row r="629" spans="1:10">
      <c r="A629" s="17"/>
      <c r="B629" s="13"/>
      <c r="C629" s="20"/>
      <c r="D629" s="19"/>
      <c r="E629" s="26">
        <f>IF($B629="","",IFERROR(INDEX(PecDesc,MATCH($B629,PecCod,0)),"Peça não cadastrada"))</f>
        <v>0</v>
      </c>
      <c r="F629" s="27">
        <f>IF($B629="","",IF($D629&lt;&gt;"",$D629,IFERROR(INDEX(PecPreco,MATCH($B629,PecCod,0)),0)))</f>
        <v>0</v>
      </c>
      <c r="G629" s="27">
        <f>IF(OR($B629="",$C629=""),"",$C629*$F629)</f>
        <v>0</v>
      </c>
      <c r="H629" s="27">
        <f>IF(OR($B629="",$C629=""),"",$C629*IFERROR(INDEX(PecCusto,MATCH($B629,PecCod,0)),0))</f>
        <v>0</v>
      </c>
      <c r="I629" s="32">
        <f>IF($A629="","",IFERROR(INDEX(OSStatus,MATCH($A629,OSNum,0)),"OS inexistente"))</f>
        <v>0</v>
      </c>
      <c r="J629" s="32">
        <f>IF($A629="","",IF($I629="OS inexistente","OS inexistente",IF($E629="Peça não cadastrada","Peça não cadastrada","OK")))</f>
        <v>0</v>
      </c>
    </row>
    <row r="630" spans="1:10">
      <c r="A630" s="17"/>
      <c r="B630" s="13"/>
      <c r="C630" s="20"/>
      <c r="D630" s="19"/>
      <c r="E630" s="26">
        <f>IF($B630="","",IFERROR(INDEX(PecDesc,MATCH($B630,PecCod,0)),"Peça não cadastrada"))</f>
        <v>0</v>
      </c>
      <c r="F630" s="27">
        <f>IF($B630="","",IF($D630&lt;&gt;"",$D630,IFERROR(INDEX(PecPreco,MATCH($B630,PecCod,0)),0)))</f>
        <v>0</v>
      </c>
      <c r="G630" s="27">
        <f>IF(OR($B630="",$C630=""),"",$C630*$F630)</f>
        <v>0</v>
      </c>
      <c r="H630" s="27">
        <f>IF(OR($B630="",$C630=""),"",$C630*IFERROR(INDEX(PecCusto,MATCH($B630,PecCod,0)),0))</f>
        <v>0</v>
      </c>
      <c r="I630" s="32">
        <f>IF($A630="","",IFERROR(INDEX(OSStatus,MATCH($A630,OSNum,0)),"OS inexistente"))</f>
        <v>0</v>
      </c>
      <c r="J630" s="32">
        <f>IF($A630="","",IF($I630="OS inexistente","OS inexistente",IF($E630="Peça não cadastrada","Peça não cadastrada","OK")))</f>
        <v>0</v>
      </c>
    </row>
    <row r="631" spans="1:10">
      <c r="A631" s="17"/>
      <c r="B631" s="13"/>
      <c r="C631" s="20"/>
      <c r="D631" s="19"/>
      <c r="E631" s="26">
        <f>IF($B631="","",IFERROR(INDEX(PecDesc,MATCH($B631,PecCod,0)),"Peça não cadastrada"))</f>
        <v>0</v>
      </c>
      <c r="F631" s="27">
        <f>IF($B631="","",IF($D631&lt;&gt;"",$D631,IFERROR(INDEX(PecPreco,MATCH($B631,PecCod,0)),0)))</f>
        <v>0</v>
      </c>
      <c r="G631" s="27">
        <f>IF(OR($B631="",$C631=""),"",$C631*$F631)</f>
        <v>0</v>
      </c>
      <c r="H631" s="27">
        <f>IF(OR($B631="",$C631=""),"",$C631*IFERROR(INDEX(PecCusto,MATCH($B631,PecCod,0)),0))</f>
        <v>0</v>
      </c>
      <c r="I631" s="32">
        <f>IF($A631="","",IFERROR(INDEX(OSStatus,MATCH($A631,OSNum,0)),"OS inexistente"))</f>
        <v>0</v>
      </c>
      <c r="J631" s="32">
        <f>IF($A631="","",IF($I631="OS inexistente","OS inexistente",IF($E631="Peça não cadastrada","Peça não cadastrada","OK")))</f>
        <v>0</v>
      </c>
    </row>
    <row r="632" spans="1:10">
      <c r="A632" s="17"/>
      <c r="B632" s="13"/>
      <c r="C632" s="20"/>
      <c r="D632" s="19"/>
      <c r="E632" s="26">
        <f>IF($B632="","",IFERROR(INDEX(PecDesc,MATCH($B632,PecCod,0)),"Peça não cadastrada"))</f>
        <v>0</v>
      </c>
      <c r="F632" s="27">
        <f>IF($B632="","",IF($D632&lt;&gt;"",$D632,IFERROR(INDEX(PecPreco,MATCH($B632,PecCod,0)),0)))</f>
        <v>0</v>
      </c>
      <c r="G632" s="27">
        <f>IF(OR($B632="",$C632=""),"",$C632*$F632)</f>
        <v>0</v>
      </c>
      <c r="H632" s="27">
        <f>IF(OR($B632="",$C632=""),"",$C632*IFERROR(INDEX(PecCusto,MATCH($B632,PecCod,0)),0))</f>
        <v>0</v>
      </c>
      <c r="I632" s="32">
        <f>IF($A632="","",IFERROR(INDEX(OSStatus,MATCH($A632,OSNum,0)),"OS inexistente"))</f>
        <v>0</v>
      </c>
      <c r="J632" s="32">
        <f>IF($A632="","",IF($I632="OS inexistente","OS inexistente",IF($E632="Peça não cadastrada","Peça não cadastrada","OK")))</f>
        <v>0</v>
      </c>
    </row>
    <row r="633" spans="1:10">
      <c r="A633" s="17"/>
      <c r="B633" s="13"/>
      <c r="C633" s="20"/>
      <c r="D633" s="19"/>
      <c r="E633" s="26">
        <f>IF($B633="","",IFERROR(INDEX(PecDesc,MATCH($B633,PecCod,0)),"Peça não cadastrada"))</f>
        <v>0</v>
      </c>
      <c r="F633" s="27">
        <f>IF($B633="","",IF($D633&lt;&gt;"",$D633,IFERROR(INDEX(PecPreco,MATCH($B633,PecCod,0)),0)))</f>
        <v>0</v>
      </c>
      <c r="G633" s="27">
        <f>IF(OR($B633="",$C633=""),"",$C633*$F633)</f>
        <v>0</v>
      </c>
      <c r="H633" s="27">
        <f>IF(OR($B633="",$C633=""),"",$C633*IFERROR(INDEX(PecCusto,MATCH($B633,PecCod,0)),0))</f>
        <v>0</v>
      </c>
      <c r="I633" s="32">
        <f>IF($A633="","",IFERROR(INDEX(OSStatus,MATCH($A633,OSNum,0)),"OS inexistente"))</f>
        <v>0</v>
      </c>
      <c r="J633" s="32">
        <f>IF($A633="","",IF($I633="OS inexistente","OS inexistente",IF($E633="Peça não cadastrada","Peça não cadastrada","OK")))</f>
        <v>0</v>
      </c>
    </row>
    <row r="634" spans="1:10">
      <c r="A634" s="17"/>
      <c r="B634" s="13"/>
      <c r="C634" s="20"/>
      <c r="D634" s="19"/>
      <c r="E634" s="26">
        <f>IF($B634="","",IFERROR(INDEX(PecDesc,MATCH($B634,PecCod,0)),"Peça não cadastrada"))</f>
        <v>0</v>
      </c>
      <c r="F634" s="27">
        <f>IF($B634="","",IF($D634&lt;&gt;"",$D634,IFERROR(INDEX(PecPreco,MATCH($B634,PecCod,0)),0)))</f>
        <v>0</v>
      </c>
      <c r="G634" s="27">
        <f>IF(OR($B634="",$C634=""),"",$C634*$F634)</f>
        <v>0</v>
      </c>
      <c r="H634" s="27">
        <f>IF(OR($B634="",$C634=""),"",$C634*IFERROR(INDEX(PecCusto,MATCH($B634,PecCod,0)),0))</f>
        <v>0</v>
      </c>
      <c r="I634" s="32">
        <f>IF($A634="","",IFERROR(INDEX(OSStatus,MATCH($A634,OSNum,0)),"OS inexistente"))</f>
        <v>0</v>
      </c>
      <c r="J634" s="32">
        <f>IF($A634="","",IF($I634="OS inexistente","OS inexistente",IF($E634="Peça não cadastrada","Peça não cadastrada","OK")))</f>
        <v>0</v>
      </c>
    </row>
    <row r="635" spans="1:10">
      <c r="A635" s="17"/>
      <c r="B635" s="13"/>
      <c r="C635" s="20"/>
      <c r="D635" s="19"/>
      <c r="E635" s="26">
        <f>IF($B635="","",IFERROR(INDEX(PecDesc,MATCH($B635,PecCod,0)),"Peça não cadastrada"))</f>
        <v>0</v>
      </c>
      <c r="F635" s="27">
        <f>IF($B635="","",IF($D635&lt;&gt;"",$D635,IFERROR(INDEX(PecPreco,MATCH($B635,PecCod,0)),0)))</f>
        <v>0</v>
      </c>
      <c r="G635" s="27">
        <f>IF(OR($B635="",$C635=""),"",$C635*$F635)</f>
        <v>0</v>
      </c>
      <c r="H635" s="27">
        <f>IF(OR($B635="",$C635=""),"",$C635*IFERROR(INDEX(PecCusto,MATCH($B635,PecCod,0)),0))</f>
        <v>0</v>
      </c>
      <c r="I635" s="32">
        <f>IF($A635="","",IFERROR(INDEX(OSStatus,MATCH($A635,OSNum,0)),"OS inexistente"))</f>
        <v>0</v>
      </c>
      <c r="J635" s="32">
        <f>IF($A635="","",IF($I635="OS inexistente","OS inexistente",IF($E635="Peça não cadastrada","Peça não cadastrada","OK")))</f>
        <v>0</v>
      </c>
    </row>
    <row r="636" spans="1:10">
      <c r="A636" s="17"/>
      <c r="B636" s="13"/>
      <c r="C636" s="20"/>
      <c r="D636" s="19"/>
      <c r="E636" s="26">
        <f>IF($B636="","",IFERROR(INDEX(PecDesc,MATCH($B636,PecCod,0)),"Peça não cadastrada"))</f>
        <v>0</v>
      </c>
      <c r="F636" s="27">
        <f>IF($B636="","",IF($D636&lt;&gt;"",$D636,IFERROR(INDEX(PecPreco,MATCH($B636,PecCod,0)),0)))</f>
        <v>0</v>
      </c>
      <c r="G636" s="27">
        <f>IF(OR($B636="",$C636=""),"",$C636*$F636)</f>
        <v>0</v>
      </c>
      <c r="H636" s="27">
        <f>IF(OR($B636="",$C636=""),"",$C636*IFERROR(INDEX(PecCusto,MATCH($B636,PecCod,0)),0))</f>
        <v>0</v>
      </c>
      <c r="I636" s="32">
        <f>IF($A636="","",IFERROR(INDEX(OSStatus,MATCH($A636,OSNum,0)),"OS inexistente"))</f>
        <v>0</v>
      </c>
      <c r="J636" s="32">
        <f>IF($A636="","",IF($I636="OS inexistente","OS inexistente",IF($E636="Peça não cadastrada","Peça não cadastrada","OK")))</f>
        <v>0</v>
      </c>
    </row>
    <row r="637" spans="1:10">
      <c r="A637" s="17"/>
      <c r="B637" s="13"/>
      <c r="C637" s="20"/>
      <c r="D637" s="19"/>
      <c r="E637" s="26">
        <f>IF($B637="","",IFERROR(INDEX(PecDesc,MATCH($B637,PecCod,0)),"Peça não cadastrada"))</f>
        <v>0</v>
      </c>
      <c r="F637" s="27">
        <f>IF($B637="","",IF($D637&lt;&gt;"",$D637,IFERROR(INDEX(PecPreco,MATCH($B637,PecCod,0)),0)))</f>
        <v>0</v>
      </c>
      <c r="G637" s="27">
        <f>IF(OR($B637="",$C637=""),"",$C637*$F637)</f>
        <v>0</v>
      </c>
      <c r="H637" s="27">
        <f>IF(OR($B637="",$C637=""),"",$C637*IFERROR(INDEX(PecCusto,MATCH($B637,PecCod,0)),0))</f>
        <v>0</v>
      </c>
      <c r="I637" s="32">
        <f>IF($A637="","",IFERROR(INDEX(OSStatus,MATCH($A637,OSNum,0)),"OS inexistente"))</f>
        <v>0</v>
      </c>
      <c r="J637" s="32">
        <f>IF($A637="","",IF($I637="OS inexistente","OS inexistente",IF($E637="Peça não cadastrada","Peça não cadastrada","OK")))</f>
        <v>0</v>
      </c>
    </row>
    <row r="638" spans="1:10">
      <c r="A638" s="17"/>
      <c r="B638" s="13"/>
      <c r="C638" s="20"/>
      <c r="D638" s="19"/>
      <c r="E638" s="26">
        <f>IF($B638="","",IFERROR(INDEX(PecDesc,MATCH($B638,PecCod,0)),"Peça não cadastrada"))</f>
        <v>0</v>
      </c>
      <c r="F638" s="27">
        <f>IF($B638="","",IF($D638&lt;&gt;"",$D638,IFERROR(INDEX(PecPreco,MATCH($B638,PecCod,0)),0)))</f>
        <v>0</v>
      </c>
      <c r="G638" s="27">
        <f>IF(OR($B638="",$C638=""),"",$C638*$F638)</f>
        <v>0</v>
      </c>
      <c r="H638" s="27">
        <f>IF(OR($B638="",$C638=""),"",$C638*IFERROR(INDEX(PecCusto,MATCH($B638,PecCod,0)),0))</f>
        <v>0</v>
      </c>
      <c r="I638" s="32">
        <f>IF($A638="","",IFERROR(INDEX(OSStatus,MATCH($A638,OSNum,0)),"OS inexistente"))</f>
        <v>0</v>
      </c>
      <c r="J638" s="32">
        <f>IF($A638="","",IF($I638="OS inexistente","OS inexistente",IF($E638="Peça não cadastrada","Peça não cadastrada","OK")))</f>
        <v>0</v>
      </c>
    </row>
    <row r="639" spans="1:10">
      <c r="A639" s="17"/>
      <c r="B639" s="13"/>
      <c r="C639" s="20"/>
      <c r="D639" s="19"/>
      <c r="E639" s="26">
        <f>IF($B639="","",IFERROR(INDEX(PecDesc,MATCH($B639,PecCod,0)),"Peça não cadastrada"))</f>
        <v>0</v>
      </c>
      <c r="F639" s="27">
        <f>IF($B639="","",IF($D639&lt;&gt;"",$D639,IFERROR(INDEX(PecPreco,MATCH($B639,PecCod,0)),0)))</f>
        <v>0</v>
      </c>
      <c r="G639" s="27">
        <f>IF(OR($B639="",$C639=""),"",$C639*$F639)</f>
        <v>0</v>
      </c>
      <c r="H639" s="27">
        <f>IF(OR($B639="",$C639=""),"",$C639*IFERROR(INDEX(PecCusto,MATCH($B639,PecCod,0)),0))</f>
        <v>0</v>
      </c>
      <c r="I639" s="32">
        <f>IF($A639="","",IFERROR(INDEX(OSStatus,MATCH($A639,OSNum,0)),"OS inexistente"))</f>
        <v>0</v>
      </c>
      <c r="J639" s="32">
        <f>IF($A639="","",IF($I639="OS inexistente","OS inexistente",IF($E639="Peça não cadastrada","Peça não cadastrada","OK")))</f>
        <v>0</v>
      </c>
    </row>
    <row r="640" spans="1:10">
      <c r="A640" s="17"/>
      <c r="B640" s="13"/>
      <c r="C640" s="20"/>
      <c r="D640" s="19"/>
      <c r="E640" s="26">
        <f>IF($B640="","",IFERROR(INDEX(PecDesc,MATCH($B640,PecCod,0)),"Peça não cadastrada"))</f>
        <v>0</v>
      </c>
      <c r="F640" s="27">
        <f>IF($B640="","",IF($D640&lt;&gt;"",$D640,IFERROR(INDEX(PecPreco,MATCH($B640,PecCod,0)),0)))</f>
        <v>0</v>
      </c>
      <c r="G640" s="27">
        <f>IF(OR($B640="",$C640=""),"",$C640*$F640)</f>
        <v>0</v>
      </c>
      <c r="H640" s="27">
        <f>IF(OR($B640="",$C640=""),"",$C640*IFERROR(INDEX(PecCusto,MATCH($B640,PecCod,0)),0))</f>
        <v>0</v>
      </c>
      <c r="I640" s="32">
        <f>IF($A640="","",IFERROR(INDEX(OSStatus,MATCH($A640,OSNum,0)),"OS inexistente"))</f>
        <v>0</v>
      </c>
      <c r="J640" s="32">
        <f>IF($A640="","",IF($I640="OS inexistente","OS inexistente",IF($E640="Peça não cadastrada","Peça não cadastrada","OK")))</f>
        <v>0</v>
      </c>
    </row>
    <row r="641" spans="1:10">
      <c r="A641" s="17"/>
      <c r="B641" s="13"/>
      <c r="C641" s="20"/>
      <c r="D641" s="19"/>
      <c r="E641" s="26">
        <f>IF($B641="","",IFERROR(INDEX(PecDesc,MATCH($B641,PecCod,0)),"Peça não cadastrada"))</f>
        <v>0</v>
      </c>
      <c r="F641" s="27">
        <f>IF($B641="","",IF($D641&lt;&gt;"",$D641,IFERROR(INDEX(PecPreco,MATCH($B641,PecCod,0)),0)))</f>
        <v>0</v>
      </c>
      <c r="G641" s="27">
        <f>IF(OR($B641="",$C641=""),"",$C641*$F641)</f>
        <v>0</v>
      </c>
      <c r="H641" s="27">
        <f>IF(OR($B641="",$C641=""),"",$C641*IFERROR(INDEX(PecCusto,MATCH($B641,PecCod,0)),0))</f>
        <v>0</v>
      </c>
      <c r="I641" s="32">
        <f>IF($A641="","",IFERROR(INDEX(OSStatus,MATCH($A641,OSNum,0)),"OS inexistente"))</f>
        <v>0</v>
      </c>
      <c r="J641" s="32">
        <f>IF($A641="","",IF($I641="OS inexistente","OS inexistente",IF($E641="Peça não cadastrada","Peça não cadastrada","OK")))</f>
        <v>0</v>
      </c>
    </row>
    <row r="642" spans="1:10">
      <c r="A642" s="17"/>
      <c r="B642" s="13"/>
      <c r="C642" s="20"/>
      <c r="D642" s="19"/>
      <c r="E642" s="26">
        <f>IF($B642="","",IFERROR(INDEX(PecDesc,MATCH($B642,PecCod,0)),"Peça não cadastrada"))</f>
        <v>0</v>
      </c>
      <c r="F642" s="27">
        <f>IF($B642="","",IF($D642&lt;&gt;"",$D642,IFERROR(INDEX(PecPreco,MATCH($B642,PecCod,0)),0)))</f>
        <v>0</v>
      </c>
      <c r="G642" s="27">
        <f>IF(OR($B642="",$C642=""),"",$C642*$F642)</f>
        <v>0</v>
      </c>
      <c r="H642" s="27">
        <f>IF(OR($B642="",$C642=""),"",$C642*IFERROR(INDEX(PecCusto,MATCH($B642,PecCod,0)),0))</f>
        <v>0</v>
      </c>
      <c r="I642" s="32">
        <f>IF($A642="","",IFERROR(INDEX(OSStatus,MATCH($A642,OSNum,0)),"OS inexistente"))</f>
        <v>0</v>
      </c>
      <c r="J642" s="32">
        <f>IF($A642="","",IF($I642="OS inexistente","OS inexistente",IF($E642="Peça não cadastrada","Peça não cadastrada","OK")))</f>
        <v>0</v>
      </c>
    </row>
    <row r="643" spans="1:10">
      <c r="A643" s="17"/>
      <c r="B643" s="13"/>
      <c r="C643" s="20"/>
      <c r="D643" s="19"/>
      <c r="E643" s="26">
        <f>IF($B643="","",IFERROR(INDEX(PecDesc,MATCH($B643,PecCod,0)),"Peça não cadastrada"))</f>
        <v>0</v>
      </c>
      <c r="F643" s="27">
        <f>IF($B643="","",IF($D643&lt;&gt;"",$D643,IFERROR(INDEX(PecPreco,MATCH($B643,PecCod,0)),0)))</f>
        <v>0</v>
      </c>
      <c r="G643" s="27">
        <f>IF(OR($B643="",$C643=""),"",$C643*$F643)</f>
        <v>0</v>
      </c>
      <c r="H643" s="27">
        <f>IF(OR($B643="",$C643=""),"",$C643*IFERROR(INDEX(PecCusto,MATCH($B643,PecCod,0)),0))</f>
        <v>0</v>
      </c>
      <c r="I643" s="32">
        <f>IF($A643="","",IFERROR(INDEX(OSStatus,MATCH($A643,OSNum,0)),"OS inexistente"))</f>
        <v>0</v>
      </c>
      <c r="J643" s="32">
        <f>IF($A643="","",IF($I643="OS inexistente","OS inexistente",IF($E643="Peça não cadastrada","Peça não cadastrada","OK")))</f>
        <v>0</v>
      </c>
    </row>
    <row r="644" spans="1:10">
      <c r="A644" s="17"/>
      <c r="B644" s="13"/>
      <c r="C644" s="20"/>
      <c r="D644" s="19"/>
      <c r="E644" s="26">
        <f>IF($B644="","",IFERROR(INDEX(PecDesc,MATCH($B644,PecCod,0)),"Peça não cadastrada"))</f>
        <v>0</v>
      </c>
      <c r="F644" s="27">
        <f>IF($B644="","",IF($D644&lt;&gt;"",$D644,IFERROR(INDEX(PecPreco,MATCH($B644,PecCod,0)),0)))</f>
        <v>0</v>
      </c>
      <c r="G644" s="27">
        <f>IF(OR($B644="",$C644=""),"",$C644*$F644)</f>
        <v>0</v>
      </c>
      <c r="H644" s="27">
        <f>IF(OR($B644="",$C644=""),"",$C644*IFERROR(INDEX(PecCusto,MATCH($B644,PecCod,0)),0))</f>
        <v>0</v>
      </c>
      <c r="I644" s="32">
        <f>IF($A644="","",IFERROR(INDEX(OSStatus,MATCH($A644,OSNum,0)),"OS inexistente"))</f>
        <v>0</v>
      </c>
      <c r="J644" s="32">
        <f>IF($A644="","",IF($I644="OS inexistente","OS inexistente",IF($E644="Peça não cadastrada","Peça não cadastrada","OK")))</f>
        <v>0</v>
      </c>
    </row>
    <row r="645" spans="1:10">
      <c r="A645" s="17"/>
      <c r="B645" s="13"/>
      <c r="C645" s="20"/>
      <c r="D645" s="19"/>
      <c r="E645" s="26">
        <f>IF($B645="","",IFERROR(INDEX(PecDesc,MATCH($B645,PecCod,0)),"Peça não cadastrada"))</f>
        <v>0</v>
      </c>
      <c r="F645" s="27">
        <f>IF($B645="","",IF($D645&lt;&gt;"",$D645,IFERROR(INDEX(PecPreco,MATCH($B645,PecCod,0)),0)))</f>
        <v>0</v>
      </c>
      <c r="G645" s="27">
        <f>IF(OR($B645="",$C645=""),"",$C645*$F645)</f>
        <v>0</v>
      </c>
      <c r="H645" s="27">
        <f>IF(OR($B645="",$C645=""),"",$C645*IFERROR(INDEX(PecCusto,MATCH($B645,PecCod,0)),0))</f>
        <v>0</v>
      </c>
      <c r="I645" s="32">
        <f>IF($A645="","",IFERROR(INDEX(OSStatus,MATCH($A645,OSNum,0)),"OS inexistente"))</f>
        <v>0</v>
      </c>
      <c r="J645" s="32">
        <f>IF($A645="","",IF($I645="OS inexistente","OS inexistente",IF($E645="Peça não cadastrada","Peça não cadastrada","OK")))</f>
        <v>0</v>
      </c>
    </row>
    <row r="646" spans="1:10">
      <c r="A646" s="17"/>
      <c r="B646" s="13"/>
      <c r="C646" s="20"/>
      <c r="D646" s="19"/>
      <c r="E646" s="26">
        <f>IF($B646="","",IFERROR(INDEX(PecDesc,MATCH($B646,PecCod,0)),"Peça não cadastrada"))</f>
        <v>0</v>
      </c>
      <c r="F646" s="27">
        <f>IF($B646="","",IF($D646&lt;&gt;"",$D646,IFERROR(INDEX(PecPreco,MATCH($B646,PecCod,0)),0)))</f>
        <v>0</v>
      </c>
      <c r="G646" s="27">
        <f>IF(OR($B646="",$C646=""),"",$C646*$F646)</f>
        <v>0</v>
      </c>
      <c r="H646" s="27">
        <f>IF(OR($B646="",$C646=""),"",$C646*IFERROR(INDEX(PecCusto,MATCH($B646,PecCod,0)),0))</f>
        <v>0</v>
      </c>
      <c r="I646" s="32">
        <f>IF($A646="","",IFERROR(INDEX(OSStatus,MATCH($A646,OSNum,0)),"OS inexistente"))</f>
        <v>0</v>
      </c>
      <c r="J646" s="32">
        <f>IF($A646="","",IF($I646="OS inexistente","OS inexistente",IF($E646="Peça não cadastrada","Peça não cadastrada","OK")))</f>
        <v>0</v>
      </c>
    </row>
    <row r="647" spans="1:10">
      <c r="A647" s="17"/>
      <c r="B647" s="13"/>
      <c r="C647" s="20"/>
      <c r="D647" s="19"/>
      <c r="E647" s="26">
        <f>IF($B647="","",IFERROR(INDEX(PecDesc,MATCH($B647,PecCod,0)),"Peça não cadastrada"))</f>
        <v>0</v>
      </c>
      <c r="F647" s="27">
        <f>IF($B647="","",IF($D647&lt;&gt;"",$D647,IFERROR(INDEX(PecPreco,MATCH($B647,PecCod,0)),0)))</f>
        <v>0</v>
      </c>
      <c r="G647" s="27">
        <f>IF(OR($B647="",$C647=""),"",$C647*$F647)</f>
        <v>0</v>
      </c>
      <c r="H647" s="27">
        <f>IF(OR($B647="",$C647=""),"",$C647*IFERROR(INDEX(PecCusto,MATCH($B647,PecCod,0)),0))</f>
        <v>0</v>
      </c>
      <c r="I647" s="32">
        <f>IF($A647="","",IFERROR(INDEX(OSStatus,MATCH($A647,OSNum,0)),"OS inexistente"))</f>
        <v>0</v>
      </c>
      <c r="J647" s="32">
        <f>IF($A647="","",IF($I647="OS inexistente","OS inexistente",IF($E647="Peça não cadastrada","Peça não cadastrada","OK")))</f>
        <v>0</v>
      </c>
    </row>
    <row r="648" spans="1:10">
      <c r="A648" s="17"/>
      <c r="B648" s="13"/>
      <c r="C648" s="20"/>
      <c r="D648" s="19"/>
      <c r="E648" s="26">
        <f>IF($B648="","",IFERROR(INDEX(PecDesc,MATCH($B648,PecCod,0)),"Peça não cadastrada"))</f>
        <v>0</v>
      </c>
      <c r="F648" s="27">
        <f>IF($B648="","",IF($D648&lt;&gt;"",$D648,IFERROR(INDEX(PecPreco,MATCH($B648,PecCod,0)),0)))</f>
        <v>0</v>
      </c>
      <c r="G648" s="27">
        <f>IF(OR($B648="",$C648=""),"",$C648*$F648)</f>
        <v>0</v>
      </c>
      <c r="H648" s="27">
        <f>IF(OR($B648="",$C648=""),"",$C648*IFERROR(INDEX(PecCusto,MATCH($B648,PecCod,0)),0))</f>
        <v>0</v>
      </c>
      <c r="I648" s="32">
        <f>IF($A648="","",IFERROR(INDEX(OSStatus,MATCH($A648,OSNum,0)),"OS inexistente"))</f>
        <v>0</v>
      </c>
      <c r="J648" s="32">
        <f>IF($A648="","",IF($I648="OS inexistente","OS inexistente",IF($E648="Peça não cadastrada","Peça não cadastrada","OK")))</f>
        <v>0</v>
      </c>
    </row>
    <row r="649" spans="1:10">
      <c r="A649" s="17"/>
      <c r="B649" s="13"/>
      <c r="C649" s="20"/>
      <c r="D649" s="19"/>
      <c r="E649" s="26">
        <f>IF($B649="","",IFERROR(INDEX(PecDesc,MATCH($B649,PecCod,0)),"Peça não cadastrada"))</f>
        <v>0</v>
      </c>
      <c r="F649" s="27">
        <f>IF($B649="","",IF($D649&lt;&gt;"",$D649,IFERROR(INDEX(PecPreco,MATCH($B649,PecCod,0)),0)))</f>
        <v>0</v>
      </c>
      <c r="G649" s="27">
        <f>IF(OR($B649="",$C649=""),"",$C649*$F649)</f>
        <v>0</v>
      </c>
      <c r="H649" s="27">
        <f>IF(OR($B649="",$C649=""),"",$C649*IFERROR(INDEX(PecCusto,MATCH($B649,PecCod,0)),0))</f>
        <v>0</v>
      </c>
      <c r="I649" s="32">
        <f>IF($A649="","",IFERROR(INDEX(OSStatus,MATCH($A649,OSNum,0)),"OS inexistente"))</f>
        <v>0</v>
      </c>
      <c r="J649" s="32">
        <f>IF($A649="","",IF($I649="OS inexistente","OS inexistente",IF($E649="Peça não cadastrada","Peça não cadastrada","OK")))</f>
        <v>0</v>
      </c>
    </row>
    <row r="650" spans="1:10">
      <c r="A650" s="17"/>
      <c r="B650" s="13"/>
      <c r="C650" s="20"/>
      <c r="D650" s="19"/>
      <c r="E650" s="26">
        <f>IF($B650="","",IFERROR(INDEX(PecDesc,MATCH($B650,PecCod,0)),"Peça não cadastrada"))</f>
        <v>0</v>
      </c>
      <c r="F650" s="27">
        <f>IF($B650="","",IF($D650&lt;&gt;"",$D650,IFERROR(INDEX(PecPreco,MATCH($B650,PecCod,0)),0)))</f>
        <v>0</v>
      </c>
      <c r="G650" s="27">
        <f>IF(OR($B650="",$C650=""),"",$C650*$F650)</f>
        <v>0</v>
      </c>
      <c r="H650" s="27">
        <f>IF(OR($B650="",$C650=""),"",$C650*IFERROR(INDEX(PecCusto,MATCH($B650,PecCod,0)),0))</f>
        <v>0</v>
      </c>
      <c r="I650" s="32">
        <f>IF($A650="","",IFERROR(INDEX(OSStatus,MATCH($A650,OSNum,0)),"OS inexistente"))</f>
        <v>0</v>
      </c>
      <c r="J650" s="32">
        <f>IF($A650="","",IF($I650="OS inexistente","OS inexistente",IF($E650="Peça não cadastrada","Peça não cadastrada","OK")))</f>
        <v>0</v>
      </c>
    </row>
    <row r="651" spans="1:10">
      <c r="A651" s="17"/>
      <c r="B651" s="13"/>
      <c r="C651" s="20"/>
      <c r="D651" s="19"/>
      <c r="E651" s="26">
        <f>IF($B651="","",IFERROR(INDEX(PecDesc,MATCH($B651,PecCod,0)),"Peça não cadastrada"))</f>
        <v>0</v>
      </c>
      <c r="F651" s="27">
        <f>IF($B651="","",IF($D651&lt;&gt;"",$D651,IFERROR(INDEX(PecPreco,MATCH($B651,PecCod,0)),0)))</f>
        <v>0</v>
      </c>
      <c r="G651" s="27">
        <f>IF(OR($B651="",$C651=""),"",$C651*$F651)</f>
        <v>0</v>
      </c>
      <c r="H651" s="27">
        <f>IF(OR($B651="",$C651=""),"",$C651*IFERROR(INDEX(PecCusto,MATCH($B651,PecCod,0)),0))</f>
        <v>0</v>
      </c>
      <c r="I651" s="32">
        <f>IF($A651="","",IFERROR(INDEX(OSStatus,MATCH($A651,OSNum,0)),"OS inexistente"))</f>
        <v>0</v>
      </c>
      <c r="J651" s="32">
        <f>IF($A651="","",IF($I651="OS inexistente","OS inexistente",IF($E651="Peça não cadastrada","Peça não cadastrada","OK")))</f>
        <v>0</v>
      </c>
    </row>
    <row r="652" spans="1:10">
      <c r="A652" s="17"/>
      <c r="B652" s="13"/>
      <c r="C652" s="20"/>
      <c r="D652" s="19"/>
      <c r="E652" s="26">
        <f>IF($B652="","",IFERROR(INDEX(PecDesc,MATCH($B652,PecCod,0)),"Peça não cadastrada"))</f>
        <v>0</v>
      </c>
      <c r="F652" s="27">
        <f>IF($B652="","",IF($D652&lt;&gt;"",$D652,IFERROR(INDEX(PecPreco,MATCH($B652,PecCod,0)),0)))</f>
        <v>0</v>
      </c>
      <c r="G652" s="27">
        <f>IF(OR($B652="",$C652=""),"",$C652*$F652)</f>
        <v>0</v>
      </c>
      <c r="H652" s="27">
        <f>IF(OR($B652="",$C652=""),"",$C652*IFERROR(INDEX(PecCusto,MATCH($B652,PecCod,0)),0))</f>
        <v>0</v>
      </c>
      <c r="I652" s="32">
        <f>IF($A652="","",IFERROR(INDEX(OSStatus,MATCH($A652,OSNum,0)),"OS inexistente"))</f>
        <v>0</v>
      </c>
      <c r="J652" s="32">
        <f>IF($A652="","",IF($I652="OS inexistente","OS inexistente",IF($E652="Peça não cadastrada","Peça não cadastrada","OK")))</f>
        <v>0</v>
      </c>
    </row>
    <row r="653" spans="1:10">
      <c r="A653" s="17"/>
      <c r="B653" s="13"/>
      <c r="C653" s="20"/>
      <c r="D653" s="19"/>
      <c r="E653" s="26">
        <f>IF($B653="","",IFERROR(INDEX(PecDesc,MATCH($B653,PecCod,0)),"Peça não cadastrada"))</f>
        <v>0</v>
      </c>
      <c r="F653" s="27">
        <f>IF($B653="","",IF($D653&lt;&gt;"",$D653,IFERROR(INDEX(PecPreco,MATCH($B653,PecCod,0)),0)))</f>
        <v>0</v>
      </c>
      <c r="G653" s="27">
        <f>IF(OR($B653="",$C653=""),"",$C653*$F653)</f>
        <v>0</v>
      </c>
      <c r="H653" s="27">
        <f>IF(OR($B653="",$C653=""),"",$C653*IFERROR(INDEX(PecCusto,MATCH($B653,PecCod,0)),0))</f>
        <v>0</v>
      </c>
      <c r="I653" s="32">
        <f>IF($A653="","",IFERROR(INDEX(OSStatus,MATCH($A653,OSNum,0)),"OS inexistente"))</f>
        <v>0</v>
      </c>
      <c r="J653" s="32">
        <f>IF($A653="","",IF($I653="OS inexistente","OS inexistente",IF($E653="Peça não cadastrada","Peça não cadastrada","OK")))</f>
        <v>0</v>
      </c>
    </row>
    <row r="654" spans="1:10">
      <c r="A654" s="17"/>
      <c r="B654" s="13"/>
      <c r="C654" s="20"/>
      <c r="D654" s="19"/>
      <c r="E654" s="26">
        <f>IF($B654="","",IFERROR(INDEX(PecDesc,MATCH($B654,PecCod,0)),"Peça não cadastrada"))</f>
        <v>0</v>
      </c>
      <c r="F654" s="27">
        <f>IF($B654="","",IF($D654&lt;&gt;"",$D654,IFERROR(INDEX(PecPreco,MATCH($B654,PecCod,0)),0)))</f>
        <v>0</v>
      </c>
      <c r="G654" s="27">
        <f>IF(OR($B654="",$C654=""),"",$C654*$F654)</f>
        <v>0</v>
      </c>
      <c r="H654" s="27">
        <f>IF(OR($B654="",$C654=""),"",$C654*IFERROR(INDEX(PecCusto,MATCH($B654,PecCod,0)),0))</f>
        <v>0</v>
      </c>
      <c r="I654" s="32">
        <f>IF($A654="","",IFERROR(INDEX(OSStatus,MATCH($A654,OSNum,0)),"OS inexistente"))</f>
        <v>0</v>
      </c>
      <c r="J654" s="32">
        <f>IF($A654="","",IF($I654="OS inexistente","OS inexistente",IF($E654="Peça não cadastrada","Peça não cadastrada","OK")))</f>
        <v>0</v>
      </c>
    </row>
    <row r="655" spans="1:10">
      <c r="A655" s="17"/>
      <c r="B655" s="13"/>
      <c r="C655" s="20"/>
      <c r="D655" s="19"/>
      <c r="E655" s="26">
        <f>IF($B655="","",IFERROR(INDEX(PecDesc,MATCH($B655,PecCod,0)),"Peça não cadastrada"))</f>
        <v>0</v>
      </c>
      <c r="F655" s="27">
        <f>IF($B655="","",IF($D655&lt;&gt;"",$D655,IFERROR(INDEX(PecPreco,MATCH($B655,PecCod,0)),0)))</f>
        <v>0</v>
      </c>
      <c r="G655" s="27">
        <f>IF(OR($B655="",$C655=""),"",$C655*$F655)</f>
        <v>0</v>
      </c>
      <c r="H655" s="27">
        <f>IF(OR($B655="",$C655=""),"",$C655*IFERROR(INDEX(PecCusto,MATCH($B655,PecCod,0)),0))</f>
        <v>0</v>
      </c>
      <c r="I655" s="32">
        <f>IF($A655="","",IFERROR(INDEX(OSStatus,MATCH($A655,OSNum,0)),"OS inexistente"))</f>
        <v>0</v>
      </c>
      <c r="J655" s="32">
        <f>IF($A655="","",IF($I655="OS inexistente","OS inexistente",IF($E655="Peça não cadastrada","Peça não cadastrada","OK")))</f>
        <v>0</v>
      </c>
    </row>
    <row r="656" spans="1:10">
      <c r="A656" s="17"/>
      <c r="B656" s="13"/>
      <c r="C656" s="20"/>
      <c r="D656" s="19"/>
      <c r="E656" s="26">
        <f>IF($B656="","",IFERROR(INDEX(PecDesc,MATCH($B656,PecCod,0)),"Peça não cadastrada"))</f>
        <v>0</v>
      </c>
      <c r="F656" s="27">
        <f>IF($B656="","",IF($D656&lt;&gt;"",$D656,IFERROR(INDEX(PecPreco,MATCH($B656,PecCod,0)),0)))</f>
        <v>0</v>
      </c>
      <c r="G656" s="27">
        <f>IF(OR($B656="",$C656=""),"",$C656*$F656)</f>
        <v>0</v>
      </c>
      <c r="H656" s="27">
        <f>IF(OR($B656="",$C656=""),"",$C656*IFERROR(INDEX(PecCusto,MATCH($B656,PecCod,0)),0))</f>
        <v>0</v>
      </c>
      <c r="I656" s="32">
        <f>IF($A656="","",IFERROR(INDEX(OSStatus,MATCH($A656,OSNum,0)),"OS inexistente"))</f>
        <v>0</v>
      </c>
      <c r="J656" s="32">
        <f>IF($A656="","",IF($I656="OS inexistente","OS inexistente",IF($E656="Peça não cadastrada","Peça não cadastrada","OK")))</f>
        <v>0</v>
      </c>
    </row>
    <row r="657" spans="1:10">
      <c r="A657" s="17"/>
      <c r="B657" s="13"/>
      <c r="C657" s="20"/>
      <c r="D657" s="19"/>
      <c r="E657" s="26">
        <f>IF($B657="","",IFERROR(INDEX(PecDesc,MATCH($B657,PecCod,0)),"Peça não cadastrada"))</f>
        <v>0</v>
      </c>
      <c r="F657" s="27">
        <f>IF($B657="","",IF($D657&lt;&gt;"",$D657,IFERROR(INDEX(PecPreco,MATCH($B657,PecCod,0)),0)))</f>
        <v>0</v>
      </c>
      <c r="G657" s="27">
        <f>IF(OR($B657="",$C657=""),"",$C657*$F657)</f>
        <v>0</v>
      </c>
      <c r="H657" s="27">
        <f>IF(OR($B657="",$C657=""),"",$C657*IFERROR(INDEX(PecCusto,MATCH($B657,PecCod,0)),0))</f>
        <v>0</v>
      </c>
      <c r="I657" s="32">
        <f>IF($A657="","",IFERROR(INDEX(OSStatus,MATCH($A657,OSNum,0)),"OS inexistente"))</f>
        <v>0</v>
      </c>
      <c r="J657" s="32">
        <f>IF($A657="","",IF($I657="OS inexistente","OS inexistente",IF($E657="Peça não cadastrada","Peça não cadastrada","OK")))</f>
        <v>0</v>
      </c>
    </row>
    <row r="658" spans="1:10">
      <c r="A658" s="17"/>
      <c r="B658" s="13"/>
      <c r="C658" s="20"/>
      <c r="D658" s="19"/>
      <c r="E658" s="26">
        <f>IF($B658="","",IFERROR(INDEX(PecDesc,MATCH($B658,PecCod,0)),"Peça não cadastrada"))</f>
        <v>0</v>
      </c>
      <c r="F658" s="27">
        <f>IF($B658="","",IF($D658&lt;&gt;"",$D658,IFERROR(INDEX(PecPreco,MATCH($B658,PecCod,0)),0)))</f>
        <v>0</v>
      </c>
      <c r="G658" s="27">
        <f>IF(OR($B658="",$C658=""),"",$C658*$F658)</f>
        <v>0</v>
      </c>
      <c r="H658" s="27">
        <f>IF(OR($B658="",$C658=""),"",$C658*IFERROR(INDEX(PecCusto,MATCH($B658,PecCod,0)),0))</f>
        <v>0</v>
      </c>
      <c r="I658" s="32">
        <f>IF($A658="","",IFERROR(INDEX(OSStatus,MATCH($A658,OSNum,0)),"OS inexistente"))</f>
        <v>0</v>
      </c>
      <c r="J658" s="32">
        <f>IF($A658="","",IF($I658="OS inexistente","OS inexistente",IF($E658="Peça não cadastrada","Peça não cadastrada","OK")))</f>
        <v>0</v>
      </c>
    </row>
    <row r="659" spans="1:10">
      <c r="A659" s="17"/>
      <c r="B659" s="13"/>
      <c r="C659" s="20"/>
      <c r="D659" s="19"/>
      <c r="E659" s="26">
        <f>IF($B659="","",IFERROR(INDEX(PecDesc,MATCH($B659,PecCod,0)),"Peça não cadastrada"))</f>
        <v>0</v>
      </c>
      <c r="F659" s="27">
        <f>IF($B659="","",IF($D659&lt;&gt;"",$D659,IFERROR(INDEX(PecPreco,MATCH($B659,PecCod,0)),0)))</f>
        <v>0</v>
      </c>
      <c r="G659" s="27">
        <f>IF(OR($B659="",$C659=""),"",$C659*$F659)</f>
        <v>0</v>
      </c>
      <c r="H659" s="27">
        <f>IF(OR($B659="",$C659=""),"",$C659*IFERROR(INDEX(PecCusto,MATCH($B659,PecCod,0)),0))</f>
        <v>0</v>
      </c>
      <c r="I659" s="32">
        <f>IF($A659="","",IFERROR(INDEX(OSStatus,MATCH($A659,OSNum,0)),"OS inexistente"))</f>
        <v>0</v>
      </c>
      <c r="J659" s="32">
        <f>IF($A659="","",IF($I659="OS inexistente","OS inexistente",IF($E659="Peça não cadastrada","Peça não cadastrada","OK")))</f>
        <v>0</v>
      </c>
    </row>
    <row r="660" spans="1:10">
      <c r="A660" s="17"/>
      <c r="B660" s="13"/>
      <c r="C660" s="20"/>
      <c r="D660" s="19"/>
      <c r="E660" s="26">
        <f>IF($B660="","",IFERROR(INDEX(PecDesc,MATCH($B660,PecCod,0)),"Peça não cadastrada"))</f>
        <v>0</v>
      </c>
      <c r="F660" s="27">
        <f>IF($B660="","",IF($D660&lt;&gt;"",$D660,IFERROR(INDEX(PecPreco,MATCH($B660,PecCod,0)),0)))</f>
        <v>0</v>
      </c>
      <c r="G660" s="27">
        <f>IF(OR($B660="",$C660=""),"",$C660*$F660)</f>
        <v>0</v>
      </c>
      <c r="H660" s="27">
        <f>IF(OR($B660="",$C660=""),"",$C660*IFERROR(INDEX(PecCusto,MATCH($B660,PecCod,0)),0))</f>
        <v>0</v>
      </c>
      <c r="I660" s="32">
        <f>IF($A660="","",IFERROR(INDEX(OSStatus,MATCH($A660,OSNum,0)),"OS inexistente"))</f>
        <v>0</v>
      </c>
      <c r="J660" s="32">
        <f>IF($A660="","",IF($I660="OS inexistente","OS inexistente",IF($E660="Peça não cadastrada","Peça não cadastrada","OK")))</f>
        <v>0</v>
      </c>
    </row>
    <row r="661" spans="1:10">
      <c r="A661" s="17"/>
      <c r="B661" s="13"/>
      <c r="C661" s="20"/>
      <c r="D661" s="19"/>
      <c r="E661" s="26">
        <f>IF($B661="","",IFERROR(INDEX(PecDesc,MATCH($B661,PecCod,0)),"Peça não cadastrada"))</f>
        <v>0</v>
      </c>
      <c r="F661" s="27">
        <f>IF($B661="","",IF($D661&lt;&gt;"",$D661,IFERROR(INDEX(PecPreco,MATCH($B661,PecCod,0)),0)))</f>
        <v>0</v>
      </c>
      <c r="G661" s="27">
        <f>IF(OR($B661="",$C661=""),"",$C661*$F661)</f>
        <v>0</v>
      </c>
      <c r="H661" s="27">
        <f>IF(OR($B661="",$C661=""),"",$C661*IFERROR(INDEX(PecCusto,MATCH($B661,PecCod,0)),0))</f>
        <v>0</v>
      </c>
      <c r="I661" s="32">
        <f>IF($A661="","",IFERROR(INDEX(OSStatus,MATCH($A661,OSNum,0)),"OS inexistente"))</f>
        <v>0</v>
      </c>
      <c r="J661" s="32">
        <f>IF($A661="","",IF($I661="OS inexistente","OS inexistente",IF($E661="Peça não cadastrada","Peça não cadastrada","OK")))</f>
        <v>0</v>
      </c>
    </row>
    <row r="662" spans="1:10">
      <c r="A662" s="17"/>
      <c r="B662" s="13"/>
      <c r="C662" s="20"/>
      <c r="D662" s="19"/>
      <c r="E662" s="26">
        <f>IF($B662="","",IFERROR(INDEX(PecDesc,MATCH($B662,PecCod,0)),"Peça não cadastrada"))</f>
        <v>0</v>
      </c>
      <c r="F662" s="27">
        <f>IF($B662="","",IF($D662&lt;&gt;"",$D662,IFERROR(INDEX(PecPreco,MATCH($B662,PecCod,0)),0)))</f>
        <v>0</v>
      </c>
      <c r="G662" s="27">
        <f>IF(OR($B662="",$C662=""),"",$C662*$F662)</f>
        <v>0</v>
      </c>
      <c r="H662" s="27">
        <f>IF(OR($B662="",$C662=""),"",$C662*IFERROR(INDEX(PecCusto,MATCH($B662,PecCod,0)),0))</f>
        <v>0</v>
      </c>
      <c r="I662" s="32">
        <f>IF($A662="","",IFERROR(INDEX(OSStatus,MATCH($A662,OSNum,0)),"OS inexistente"))</f>
        <v>0</v>
      </c>
      <c r="J662" s="32">
        <f>IF($A662="","",IF($I662="OS inexistente","OS inexistente",IF($E662="Peça não cadastrada","Peça não cadastrada","OK")))</f>
        <v>0</v>
      </c>
    </row>
    <row r="663" spans="1:10">
      <c r="A663" s="17"/>
      <c r="B663" s="13"/>
      <c r="C663" s="20"/>
      <c r="D663" s="19"/>
      <c r="E663" s="26">
        <f>IF($B663="","",IFERROR(INDEX(PecDesc,MATCH($B663,PecCod,0)),"Peça não cadastrada"))</f>
        <v>0</v>
      </c>
      <c r="F663" s="27">
        <f>IF($B663="","",IF($D663&lt;&gt;"",$D663,IFERROR(INDEX(PecPreco,MATCH($B663,PecCod,0)),0)))</f>
        <v>0</v>
      </c>
      <c r="G663" s="27">
        <f>IF(OR($B663="",$C663=""),"",$C663*$F663)</f>
        <v>0</v>
      </c>
      <c r="H663" s="27">
        <f>IF(OR($B663="",$C663=""),"",$C663*IFERROR(INDEX(PecCusto,MATCH($B663,PecCod,0)),0))</f>
        <v>0</v>
      </c>
      <c r="I663" s="32">
        <f>IF($A663="","",IFERROR(INDEX(OSStatus,MATCH($A663,OSNum,0)),"OS inexistente"))</f>
        <v>0</v>
      </c>
      <c r="J663" s="32">
        <f>IF($A663="","",IF($I663="OS inexistente","OS inexistente",IF($E663="Peça não cadastrada","Peça não cadastrada","OK")))</f>
        <v>0</v>
      </c>
    </row>
    <row r="664" spans="1:10">
      <c r="A664" s="17"/>
      <c r="B664" s="13"/>
      <c r="C664" s="20"/>
      <c r="D664" s="19"/>
      <c r="E664" s="26">
        <f>IF($B664="","",IFERROR(INDEX(PecDesc,MATCH($B664,PecCod,0)),"Peça não cadastrada"))</f>
        <v>0</v>
      </c>
      <c r="F664" s="27">
        <f>IF($B664="","",IF($D664&lt;&gt;"",$D664,IFERROR(INDEX(PecPreco,MATCH($B664,PecCod,0)),0)))</f>
        <v>0</v>
      </c>
      <c r="G664" s="27">
        <f>IF(OR($B664="",$C664=""),"",$C664*$F664)</f>
        <v>0</v>
      </c>
      <c r="H664" s="27">
        <f>IF(OR($B664="",$C664=""),"",$C664*IFERROR(INDEX(PecCusto,MATCH($B664,PecCod,0)),0))</f>
        <v>0</v>
      </c>
      <c r="I664" s="32">
        <f>IF($A664="","",IFERROR(INDEX(OSStatus,MATCH($A664,OSNum,0)),"OS inexistente"))</f>
        <v>0</v>
      </c>
      <c r="J664" s="32">
        <f>IF($A664="","",IF($I664="OS inexistente","OS inexistente",IF($E664="Peça não cadastrada","Peça não cadastrada","OK")))</f>
        <v>0</v>
      </c>
    </row>
    <row r="665" spans="1:10">
      <c r="A665" s="17"/>
      <c r="B665" s="13"/>
      <c r="C665" s="20"/>
      <c r="D665" s="19"/>
      <c r="E665" s="26">
        <f>IF($B665="","",IFERROR(INDEX(PecDesc,MATCH($B665,PecCod,0)),"Peça não cadastrada"))</f>
        <v>0</v>
      </c>
      <c r="F665" s="27">
        <f>IF($B665="","",IF($D665&lt;&gt;"",$D665,IFERROR(INDEX(PecPreco,MATCH($B665,PecCod,0)),0)))</f>
        <v>0</v>
      </c>
      <c r="G665" s="27">
        <f>IF(OR($B665="",$C665=""),"",$C665*$F665)</f>
        <v>0</v>
      </c>
      <c r="H665" s="27">
        <f>IF(OR($B665="",$C665=""),"",$C665*IFERROR(INDEX(PecCusto,MATCH($B665,PecCod,0)),0))</f>
        <v>0</v>
      </c>
      <c r="I665" s="32">
        <f>IF($A665="","",IFERROR(INDEX(OSStatus,MATCH($A665,OSNum,0)),"OS inexistente"))</f>
        <v>0</v>
      </c>
      <c r="J665" s="32">
        <f>IF($A665="","",IF($I665="OS inexistente","OS inexistente",IF($E665="Peça não cadastrada","Peça não cadastrada","OK")))</f>
        <v>0</v>
      </c>
    </row>
    <row r="666" spans="1:10">
      <c r="A666" s="17"/>
      <c r="B666" s="13"/>
      <c r="C666" s="20"/>
      <c r="D666" s="19"/>
      <c r="E666" s="26">
        <f>IF($B666="","",IFERROR(INDEX(PecDesc,MATCH($B666,PecCod,0)),"Peça não cadastrada"))</f>
        <v>0</v>
      </c>
      <c r="F666" s="27">
        <f>IF($B666="","",IF($D666&lt;&gt;"",$D666,IFERROR(INDEX(PecPreco,MATCH($B666,PecCod,0)),0)))</f>
        <v>0</v>
      </c>
      <c r="G666" s="27">
        <f>IF(OR($B666="",$C666=""),"",$C666*$F666)</f>
        <v>0</v>
      </c>
      <c r="H666" s="27">
        <f>IF(OR($B666="",$C666=""),"",$C666*IFERROR(INDEX(PecCusto,MATCH($B666,PecCod,0)),0))</f>
        <v>0</v>
      </c>
      <c r="I666" s="32">
        <f>IF($A666="","",IFERROR(INDEX(OSStatus,MATCH($A666,OSNum,0)),"OS inexistente"))</f>
        <v>0</v>
      </c>
      <c r="J666" s="32">
        <f>IF($A666="","",IF($I666="OS inexistente","OS inexistente",IF($E666="Peça não cadastrada","Peça não cadastrada","OK")))</f>
        <v>0</v>
      </c>
    </row>
    <row r="667" spans="1:10">
      <c r="A667" s="17"/>
      <c r="B667" s="13"/>
      <c r="C667" s="20"/>
      <c r="D667" s="19"/>
      <c r="E667" s="26">
        <f>IF($B667="","",IFERROR(INDEX(PecDesc,MATCH($B667,PecCod,0)),"Peça não cadastrada"))</f>
        <v>0</v>
      </c>
      <c r="F667" s="27">
        <f>IF($B667="","",IF($D667&lt;&gt;"",$D667,IFERROR(INDEX(PecPreco,MATCH($B667,PecCod,0)),0)))</f>
        <v>0</v>
      </c>
      <c r="G667" s="27">
        <f>IF(OR($B667="",$C667=""),"",$C667*$F667)</f>
        <v>0</v>
      </c>
      <c r="H667" s="27">
        <f>IF(OR($B667="",$C667=""),"",$C667*IFERROR(INDEX(PecCusto,MATCH($B667,PecCod,0)),0))</f>
        <v>0</v>
      </c>
      <c r="I667" s="32">
        <f>IF($A667="","",IFERROR(INDEX(OSStatus,MATCH($A667,OSNum,0)),"OS inexistente"))</f>
        <v>0</v>
      </c>
      <c r="J667" s="32">
        <f>IF($A667="","",IF($I667="OS inexistente","OS inexistente",IF($E667="Peça não cadastrada","Peça não cadastrada","OK")))</f>
        <v>0</v>
      </c>
    </row>
    <row r="668" spans="1:10">
      <c r="A668" s="17"/>
      <c r="B668" s="13"/>
      <c r="C668" s="20"/>
      <c r="D668" s="19"/>
      <c r="E668" s="26">
        <f>IF($B668="","",IFERROR(INDEX(PecDesc,MATCH($B668,PecCod,0)),"Peça não cadastrada"))</f>
        <v>0</v>
      </c>
      <c r="F668" s="27">
        <f>IF($B668="","",IF($D668&lt;&gt;"",$D668,IFERROR(INDEX(PecPreco,MATCH($B668,PecCod,0)),0)))</f>
        <v>0</v>
      </c>
      <c r="G668" s="27">
        <f>IF(OR($B668="",$C668=""),"",$C668*$F668)</f>
        <v>0</v>
      </c>
      <c r="H668" s="27">
        <f>IF(OR($B668="",$C668=""),"",$C668*IFERROR(INDEX(PecCusto,MATCH($B668,PecCod,0)),0))</f>
        <v>0</v>
      </c>
      <c r="I668" s="32">
        <f>IF($A668="","",IFERROR(INDEX(OSStatus,MATCH($A668,OSNum,0)),"OS inexistente"))</f>
        <v>0</v>
      </c>
      <c r="J668" s="32">
        <f>IF($A668="","",IF($I668="OS inexistente","OS inexistente",IF($E668="Peça não cadastrada","Peça não cadastrada","OK")))</f>
        <v>0</v>
      </c>
    </row>
    <row r="669" spans="1:10">
      <c r="A669" s="17"/>
      <c r="B669" s="13"/>
      <c r="C669" s="20"/>
      <c r="D669" s="19"/>
      <c r="E669" s="26">
        <f>IF($B669="","",IFERROR(INDEX(PecDesc,MATCH($B669,PecCod,0)),"Peça não cadastrada"))</f>
        <v>0</v>
      </c>
      <c r="F669" s="27">
        <f>IF($B669="","",IF($D669&lt;&gt;"",$D669,IFERROR(INDEX(PecPreco,MATCH($B669,PecCod,0)),0)))</f>
        <v>0</v>
      </c>
      <c r="G669" s="27">
        <f>IF(OR($B669="",$C669=""),"",$C669*$F669)</f>
        <v>0</v>
      </c>
      <c r="H669" s="27">
        <f>IF(OR($B669="",$C669=""),"",$C669*IFERROR(INDEX(PecCusto,MATCH($B669,PecCod,0)),0))</f>
        <v>0</v>
      </c>
      <c r="I669" s="32">
        <f>IF($A669="","",IFERROR(INDEX(OSStatus,MATCH($A669,OSNum,0)),"OS inexistente"))</f>
        <v>0</v>
      </c>
      <c r="J669" s="32">
        <f>IF($A669="","",IF($I669="OS inexistente","OS inexistente",IF($E669="Peça não cadastrada","Peça não cadastrada","OK")))</f>
        <v>0</v>
      </c>
    </row>
    <row r="670" spans="1:10">
      <c r="A670" s="17"/>
      <c r="B670" s="13"/>
      <c r="C670" s="20"/>
      <c r="D670" s="19"/>
      <c r="E670" s="26">
        <f>IF($B670="","",IFERROR(INDEX(PecDesc,MATCH($B670,PecCod,0)),"Peça não cadastrada"))</f>
        <v>0</v>
      </c>
      <c r="F670" s="27">
        <f>IF($B670="","",IF($D670&lt;&gt;"",$D670,IFERROR(INDEX(PecPreco,MATCH($B670,PecCod,0)),0)))</f>
        <v>0</v>
      </c>
      <c r="G670" s="27">
        <f>IF(OR($B670="",$C670=""),"",$C670*$F670)</f>
        <v>0</v>
      </c>
      <c r="H670" s="27">
        <f>IF(OR($B670="",$C670=""),"",$C670*IFERROR(INDEX(PecCusto,MATCH($B670,PecCod,0)),0))</f>
        <v>0</v>
      </c>
      <c r="I670" s="32">
        <f>IF($A670="","",IFERROR(INDEX(OSStatus,MATCH($A670,OSNum,0)),"OS inexistente"))</f>
        <v>0</v>
      </c>
      <c r="J670" s="32">
        <f>IF($A670="","",IF($I670="OS inexistente","OS inexistente",IF($E670="Peça não cadastrada","Peça não cadastrada","OK")))</f>
        <v>0</v>
      </c>
    </row>
    <row r="671" spans="1:10">
      <c r="A671" s="17"/>
      <c r="B671" s="13"/>
      <c r="C671" s="20"/>
      <c r="D671" s="19"/>
      <c r="E671" s="26">
        <f>IF($B671="","",IFERROR(INDEX(PecDesc,MATCH($B671,PecCod,0)),"Peça não cadastrada"))</f>
        <v>0</v>
      </c>
      <c r="F671" s="27">
        <f>IF($B671="","",IF($D671&lt;&gt;"",$D671,IFERROR(INDEX(PecPreco,MATCH($B671,PecCod,0)),0)))</f>
        <v>0</v>
      </c>
      <c r="G671" s="27">
        <f>IF(OR($B671="",$C671=""),"",$C671*$F671)</f>
        <v>0</v>
      </c>
      <c r="H671" s="27">
        <f>IF(OR($B671="",$C671=""),"",$C671*IFERROR(INDEX(PecCusto,MATCH($B671,PecCod,0)),0))</f>
        <v>0</v>
      </c>
      <c r="I671" s="32">
        <f>IF($A671="","",IFERROR(INDEX(OSStatus,MATCH($A671,OSNum,0)),"OS inexistente"))</f>
        <v>0</v>
      </c>
      <c r="J671" s="32">
        <f>IF($A671="","",IF($I671="OS inexistente","OS inexistente",IF($E671="Peça não cadastrada","Peça não cadastrada","OK")))</f>
        <v>0</v>
      </c>
    </row>
    <row r="672" spans="1:10">
      <c r="A672" s="17"/>
      <c r="B672" s="13"/>
      <c r="C672" s="20"/>
      <c r="D672" s="19"/>
      <c r="E672" s="26">
        <f>IF($B672="","",IFERROR(INDEX(PecDesc,MATCH($B672,PecCod,0)),"Peça não cadastrada"))</f>
        <v>0</v>
      </c>
      <c r="F672" s="27">
        <f>IF($B672="","",IF($D672&lt;&gt;"",$D672,IFERROR(INDEX(PecPreco,MATCH($B672,PecCod,0)),0)))</f>
        <v>0</v>
      </c>
      <c r="G672" s="27">
        <f>IF(OR($B672="",$C672=""),"",$C672*$F672)</f>
        <v>0</v>
      </c>
      <c r="H672" s="27">
        <f>IF(OR($B672="",$C672=""),"",$C672*IFERROR(INDEX(PecCusto,MATCH($B672,PecCod,0)),0))</f>
        <v>0</v>
      </c>
      <c r="I672" s="32">
        <f>IF($A672="","",IFERROR(INDEX(OSStatus,MATCH($A672,OSNum,0)),"OS inexistente"))</f>
        <v>0</v>
      </c>
      <c r="J672" s="32">
        <f>IF($A672="","",IF($I672="OS inexistente","OS inexistente",IF($E672="Peça não cadastrada","Peça não cadastrada","OK")))</f>
        <v>0</v>
      </c>
    </row>
    <row r="673" spans="1:10">
      <c r="A673" s="17"/>
      <c r="B673" s="13"/>
      <c r="C673" s="20"/>
      <c r="D673" s="19"/>
      <c r="E673" s="26">
        <f>IF($B673="","",IFERROR(INDEX(PecDesc,MATCH($B673,PecCod,0)),"Peça não cadastrada"))</f>
        <v>0</v>
      </c>
      <c r="F673" s="27">
        <f>IF($B673="","",IF($D673&lt;&gt;"",$D673,IFERROR(INDEX(PecPreco,MATCH($B673,PecCod,0)),0)))</f>
        <v>0</v>
      </c>
      <c r="G673" s="27">
        <f>IF(OR($B673="",$C673=""),"",$C673*$F673)</f>
        <v>0</v>
      </c>
      <c r="H673" s="27">
        <f>IF(OR($B673="",$C673=""),"",$C673*IFERROR(INDEX(PecCusto,MATCH($B673,PecCod,0)),0))</f>
        <v>0</v>
      </c>
      <c r="I673" s="32">
        <f>IF($A673="","",IFERROR(INDEX(OSStatus,MATCH($A673,OSNum,0)),"OS inexistente"))</f>
        <v>0</v>
      </c>
      <c r="J673" s="32">
        <f>IF($A673="","",IF($I673="OS inexistente","OS inexistente",IF($E673="Peça não cadastrada","Peça não cadastrada","OK")))</f>
        <v>0</v>
      </c>
    </row>
    <row r="674" spans="1:10">
      <c r="A674" s="17"/>
      <c r="B674" s="13"/>
      <c r="C674" s="20"/>
      <c r="D674" s="19"/>
      <c r="E674" s="26">
        <f>IF($B674="","",IFERROR(INDEX(PecDesc,MATCH($B674,PecCod,0)),"Peça não cadastrada"))</f>
        <v>0</v>
      </c>
      <c r="F674" s="27">
        <f>IF($B674="","",IF($D674&lt;&gt;"",$D674,IFERROR(INDEX(PecPreco,MATCH($B674,PecCod,0)),0)))</f>
        <v>0</v>
      </c>
      <c r="G674" s="27">
        <f>IF(OR($B674="",$C674=""),"",$C674*$F674)</f>
        <v>0</v>
      </c>
      <c r="H674" s="27">
        <f>IF(OR($B674="",$C674=""),"",$C674*IFERROR(INDEX(PecCusto,MATCH($B674,PecCod,0)),0))</f>
        <v>0</v>
      </c>
      <c r="I674" s="32">
        <f>IF($A674="","",IFERROR(INDEX(OSStatus,MATCH($A674,OSNum,0)),"OS inexistente"))</f>
        <v>0</v>
      </c>
      <c r="J674" s="32">
        <f>IF($A674="","",IF($I674="OS inexistente","OS inexistente",IF($E674="Peça não cadastrada","Peça não cadastrada","OK")))</f>
        <v>0</v>
      </c>
    </row>
    <row r="675" spans="1:10">
      <c r="A675" s="17"/>
      <c r="B675" s="13"/>
      <c r="C675" s="20"/>
      <c r="D675" s="19"/>
      <c r="E675" s="26">
        <f>IF($B675="","",IFERROR(INDEX(PecDesc,MATCH($B675,PecCod,0)),"Peça não cadastrada"))</f>
        <v>0</v>
      </c>
      <c r="F675" s="27">
        <f>IF($B675="","",IF($D675&lt;&gt;"",$D675,IFERROR(INDEX(PecPreco,MATCH($B675,PecCod,0)),0)))</f>
        <v>0</v>
      </c>
      <c r="G675" s="27">
        <f>IF(OR($B675="",$C675=""),"",$C675*$F675)</f>
        <v>0</v>
      </c>
      <c r="H675" s="27">
        <f>IF(OR($B675="",$C675=""),"",$C675*IFERROR(INDEX(PecCusto,MATCH($B675,PecCod,0)),0))</f>
        <v>0</v>
      </c>
      <c r="I675" s="32">
        <f>IF($A675="","",IFERROR(INDEX(OSStatus,MATCH($A675,OSNum,0)),"OS inexistente"))</f>
        <v>0</v>
      </c>
      <c r="J675" s="32">
        <f>IF($A675="","",IF($I675="OS inexistente","OS inexistente",IF($E675="Peça não cadastrada","Peça não cadastrada","OK")))</f>
        <v>0</v>
      </c>
    </row>
    <row r="676" spans="1:10">
      <c r="A676" s="17"/>
      <c r="B676" s="13"/>
      <c r="C676" s="20"/>
      <c r="D676" s="19"/>
      <c r="E676" s="26">
        <f>IF($B676="","",IFERROR(INDEX(PecDesc,MATCH($B676,PecCod,0)),"Peça não cadastrada"))</f>
        <v>0</v>
      </c>
      <c r="F676" s="27">
        <f>IF($B676="","",IF($D676&lt;&gt;"",$D676,IFERROR(INDEX(PecPreco,MATCH($B676,PecCod,0)),0)))</f>
        <v>0</v>
      </c>
      <c r="G676" s="27">
        <f>IF(OR($B676="",$C676=""),"",$C676*$F676)</f>
        <v>0</v>
      </c>
      <c r="H676" s="27">
        <f>IF(OR($B676="",$C676=""),"",$C676*IFERROR(INDEX(PecCusto,MATCH($B676,PecCod,0)),0))</f>
        <v>0</v>
      </c>
      <c r="I676" s="32">
        <f>IF($A676="","",IFERROR(INDEX(OSStatus,MATCH($A676,OSNum,0)),"OS inexistente"))</f>
        <v>0</v>
      </c>
      <c r="J676" s="32">
        <f>IF($A676="","",IF($I676="OS inexistente","OS inexistente",IF($E676="Peça não cadastrada","Peça não cadastrada","OK")))</f>
        <v>0</v>
      </c>
    </row>
    <row r="677" spans="1:10">
      <c r="A677" s="17"/>
      <c r="B677" s="13"/>
      <c r="C677" s="20"/>
      <c r="D677" s="19"/>
      <c r="E677" s="26">
        <f>IF($B677="","",IFERROR(INDEX(PecDesc,MATCH($B677,PecCod,0)),"Peça não cadastrada"))</f>
        <v>0</v>
      </c>
      <c r="F677" s="27">
        <f>IF($B677="","",IF($D677&lt;&gt;"",$D677,IFERROR(INDEX(PecPreco,MATCH($B677,PecCod,0)),0)))</f>
        <v>0</v>
      </c>
      <c r="G677" s="27">
        <f>IF(OR($B677="",$C677=""),"",$C677*$F677)</f>
        <v>0</v>
      </c>
      <c r="H677" s="27">
        <f>IF(OR($B677="",$C677=""),"",$C677*IFERROR(INDEX(PecCusto,MATCH($B677,PecCod,0)),0))</f>
        <v>0</v>
      </c>
      <c r="I677" s="32">
        <f>IF($A677="","",IFERROR(INDEX(OSStatus,MATCH($A677,OSNum,0)),"OS inexistente"))</f>
        <v>0</v>
      </c>
      <c r="J677" s="32">
        <f>IF($A677="","",IF($I677="OS inexistente","OS inexistente",IF($E677="Peça não cadastrada","Peça não cadastrada","OK")))</f>
        <v>0</v>
      </c>
    </row>
    <row r="678" spans="1:10">
      <c r="A678" s="17"/>
      <c r="B678" s="13"/>
      <c r="C678" s="20"/>
      <c r="D678" s="19"/>
      <c r="E678" s="26">
        <f>IF($B678="","",IFERROR(INDEX(PecDesc,MATCH($B678,PecCod,0)),"Peça não cadastrada"))</f>
        <v>0</v>
      </c>
      <c r="F678" s="27">
        <f>IF($B678="","",IF($D678&lt;&gt;"",$D678,IFERROR(INDEX(PecPreco,MATCH($B678,PecCod,0)),0)))</f>
        <v>0</v>
      </c>
      <c r="G678" s="27">
        <f>IF(OR($B678="",$C678=""),"",$C678*$F678)</f>
        <v>0</v>
      </c>
      <c r="H678" s="27">
        <f>IF(OR($B678="",$C678=""),"",$C678*IFERROR(INDEX(PecCusto,MATCH($B678,PecCod,0)),0))</f>
        <v>0</v>
      </c>
      <c r="I678" s="32">
        <f>IF($A678="","",IFERROR(INDEX(OSStatus,MATCH($A678,OSNum,0)),"OS inexistente"))</f>
        <v>0</v>
      </c>
      <c r="J678" s="32">
        <f>IF($A678="","",IF($I678="OS inexistente","OS inexistente",IF($E678="Peça não cadastrada","Peça não cadastrada","OK")))</f>
        <v>0</v>
      </c>
    </row>
    <row r="679" spans="1:10">
      <c r="A679" s="17"/>
      <c r="B679" s="13"/>
      <c r="C679" s="20"/>
      <c r="D679" s="19"/>
      <c r="E679" s="26">
        <f>IF($B679="","",IFERROR(INDEX(PecDesc,MATCH($B679,PecCod,0)),"Peça não cadastrada"))</f>
        <v>0</v>
      </c>
      <c r="F679" s="27">
        <f>IF($B679="","",IF($D679&lt;&gt;"",$D679,IFERROR(INDEX(PecPreco,MATCH($B679,PecCod,0)),0)))</f>
        <v>0</v>
      </c>
      <c r="G679" s="27">
        <f>IF(OR($B679="",$C679=""),"",$C679*$F679)</f>
        <v>0</v>
      </c>
      <c r="H679" s="27">
        <f>IF(OR($B679="",$C679=""),"",$C679*IFERROR(INDEX(PecCusto,MATCH($B679,PecCod,0)),0))</f>
        <v>0</v>
      </c>
      <c r="I679" s="32">
        <f>IF($A679="","",IFERROR(INDEX(OSStatus,MATCH($A679,OSNum,0)),"OS inexistente"))</f>
        <v>0</v>
      </c>
      <c r="J679" s="32">
        <f>IF($A679="","",IF($I679="OS inexistente","OS inexistente",IF($E679="Peça não cadastrada","Peça não cadastrada","OK")))</f>
        <v>0</v>
      </c>
    </row>
    <row r="680" spans="1:10">
      <c r="A680" s="17"/>
      <c r="B680" s="13"/>
      <c r="C680" s="20"/>
      <c r="D680" s="19"/>
      <c r="E680" s="26">
        <f>IF($B680="","",IFERROR(INDEX(PecDesc,MATCH($B680,PecCod,0)),"Peça não cadastrada"))</f>
        <v>0</v>
      </c>
      <c r="F680" s="27">
        <f>IF($B680="","",IF($D680&lt;&gt;"",$D680,IFERROR(INDEX(PecPreco,MATCH($B680,PecCod,0)),0)))</f>
        <v>0</v>
      </c>
      <c r="G680" s="27">
        <f>IF(OR($B680="",$C680=""),"",$C680*$F680)</f>
        <v>0</v>
      </c>
      <c r="H680" s="27">
        <f>IF(OR($B680="",$C680=""),"",$C680*IFERROR(INDEX(PecCusto,MATCH($B680,PecCod,0)),0))</f>
        <v>0</v>
      </c>
      <c r="I680" s="32">
        <f>IF($A680="","",IFERROR(INDEX(OSStatus,MATCH($A680,OSNum,0)),"OS inexistente"))</f>
        <v>0</v>
      </c>
      <c r="J680" s="32">
        <f>IF($A680="","",IF($I680="OS inexistente","OS inexistente",IF($E680="Peça não cadastrada","Peça não cadastrada","OK")))</f>
        <v>0</v>
      </c>
    </row>
    <row r="681" spans="1:10">
      <c r="A681" s="17"/>
      <c r="B681" s="13"/>
      <c r="C681" s="20"/>
      <c r="D681" s="19"/>
      <c r="E681" s="26">
        <f>IF($B681="","",IFERROR(INDEX(PecDesc,MATCH($B681,PecCod,0)),"Peça não cadastrada"))</f>
        <v>0</v>
      </c>
      <c r="F681" s="27">
        <f>IF($B681="","",IF($D681&lt;&gt;"",$D681,IFERROR(INDEX(PecPreco,MATCH($B681,PecCod,0)),0)))</f>
        <v>0</v>
      </c>
      <c r="G681" s="27">
        <f>IF(OR($B681="",$C681=""),"",$C681*$F681)</f>
        <v>0</v>
      </c>
      <c r="H681" s="27">
        <f>IF(OR($B681="",$C681=""),"",$C681*IFERROR(INDEX(PecCusto,MATCH($B681,PecCod,0)),0))</f>
        <v>0</v>
      </c>
      <c r="I681" s="32">
        <f>IF($A681="","",IFERROR(INDEX(OSStatus,MATCH($A681,OSNum,0)),"OS inexistente"))</f>
        <v>0</v>
      </c>
      <c r="J681" s="32">
        <f>IF($A681="","",IF($I681="OS inexistente","OS inexistente",IF($E681="Peça não cadastrada","Peça não cadastrada","OK")))</f>
        <v>0</v>
      </c>
    </row>
    <row r="682" spans="1:10">
      <c r="A682" s="17"/>
      <c r="B682" s="13"/>
      <c r="C682" s="20"/>
      <c r="D682" s="19"/>
      <c r="E682" s="26">
        <f>IF($B682="","",IFERROR(INDEX(PecDesc,MATCH($B682,PecCod,0)),"Peça não cadastrada"))</f>
        <v>0</v>
      </c>
      <c r="F682" s="27">
        <f>IF($B682="","",IF($D682&lt;&gt;"",$D682,IFERROR(INDEX(PecPreco,MATCH($B682,PecCod,0)),0)))</f>
        <v>0</v>
      </c>
      <c r="G682" s="27">
        <f>IF(OR($B682="",$C682=""),"",$C682*$F682)</f>
        <v>0</v>
      </c>
      <c r="H682" s="27">
        <f>IF(OR($B682="",$C682=""),"",$C682*IFERROR(INDEX(PecCusto,MATCH($B682,PecCod,0)),0))</f>
        <v>0</v>
      </c>
      <c r="I682" s="32">
        <f>IF($A682="","",IFERROR(INDEX(OSStatus,MATCH($A682,OSNum,0)),"OS inexistente"))</f>
        <v>0</v>
      </c>
      <c r="J682" s="32">
        <f>IF($A682="","",IF($I682="OS inexistente","OS inexistente",IF($E682="Peça não cadastrada","Peça não cadastrada","OK")))</f>
        <v>0</v>
      </c>
    </row>
    <row r="683" spans="1:10">
      <c r="A683" s="17"/>
      <c r="B683" s="13"/>
      <c r="C683" s="20"/>
      <c r="D683" s="19"/>
      <c r="E683" s="26">
        <f>IF($B683="","",IFERROR(INDEX(PecDesc,MATCH($B683,PecCod,0)),"Peça não cadastrada"))</f>
        <v>0</v>
      </c>
      <c r="F683" s="27">
        <f>IF($B683="","",IF($D683&lt;&gt;"",$D683,IFERROR(INDEX(PecPreco,MATCH($B683,PecCod,0)),0)))</f>
        <v>0</v>
      </c>
      <c r="G683" s="27">
        <f>IF(OR($B683="",$C683=""),"",$C683*$F683)</f>
        <v>0</v>
      </c>
      <c r="H683" s="27">
        <f>IF(OR($B683="",$C683=""),"",$C683*IFERROR(INDEX(PecCusto,MATCH($B683,PecCod,0)),0))</f>
        <v>0</v>
      </c>
      <c r="I683" s="32">
        <f>IF($A683="","",IFERROR(INDEX(OSStatus,MATCH($A683,OSNum,0)),"OS inexistente"))</f>
        <v>0</v>
      </c>
      <c r="J683" s="32">
        <f>IF($A683="","",IF($I683="OS inexistente","OS inexistente",IF($E683="Peça não cadastrada","Peça não cadastrada","OK")))</f>
        <v>0</v>
      </c>
    </row>
    <row r="684" spans="1:10">
      <c r="A684" s="17"/>
      <c r="B684" s="13"/>
      <c r="C684" s="20"/>
      <c r="D684" s="19"/>
      <c r="E684" s="26">
        <f>IF($B684="","",IFERROR(INDEX(PecDesc,MATCH($B684,PecCod,0)),"Peça não cadastrada"))</f>
        <v>0</v>
      </c>
      <c r="F684" s="27">
        <f>IF($B684="","",IF($D684&lt;&gt;"",$D684,IFERROR(INDEX(PecPreco,MATCH($B684,PecCod,0)),0)))</f>
        <v>0</v>
      </c>
      <c r="G684" s="27">
        <f>IF(OR($B684="",$C684=""),"",$C684*$F684)</f>
        <v>0</v>
      </c>
      <c r="H684" s="27">
        <f>IF(OR($B684="",$C684=""),"",$C684*IFERROR(INDEX(PecCusto,MATCH($B684,PecCod,0)),0))</f>
        <v>0</v>
      </c>
      <c r="I684" s="32">
        <f>IF($A684="","",IFERROR(INDEX(OSStatus,MATCH($A684,OSNum,0)),"OS inexistente"))</f>
        <v>0</v>
      </c>
      <c r="J684" s="32">
        <f>IF($A684="","",IF($I684="OS inexistente","OS inexistente",IF($E684="Peça não cadastrada","Peça não cadastrada","OK")))</f>
        <v>0</v>
      </c>
    </row>
    <row r="685" spans="1:10">
      <c r="A685" s="17"/>
      <c r="B685" s="13"/>
      <c r="C685" s="20"/>
      <c r="D685" s="19"/>
      <c r="E685" s="26">
        <f>IF($B685="","",IFERROR(INDEX(PecDesc,MATCH($B685,PecCod,0)),"Peça não cadastrada"))</f>
        <v>0</v>
      </c>
      <c r="F685" s="27">
        <f>IF($B685="","",IF($D685&lt;&gt;"",$D685,IFERROR(INDEX(PecPreco,MATCH($B685,PecCod,0)),0)))</f>
        <v>0</v>
      </c>
      <c r="G685" s="27">
        <f>IF(OR($B685="",$C685=""),"",$C685*$F685)</f>
        <v>0</v>
      </c>
      <c r="H685" s="27">
        <f>IF(OR($B685="",$C685=""),"",$C685*IFERROR(INDEX(PecCusto,MATCH($B685,PecCod,0)),0))</f>
        <v>0</v>
      </c>
      <c r="I685" s="32">
        <f>IF($A685="","",IFERROR(INDEX(OSStatus,MATCH($A685,OSNum,0)),"OS inexistente"))</f>
        <v>0</v>
      </c>
      <c r="J685" s="32">
        <f>IF($A685="","",IF($I685="OS inexistente","OS inexistente",IF($E685="Peça não cadastrada","Peça não cadastrada","OK")))</f>
        <v>0</v>
      </c>
    </row>
    <row r="686" spans="1:10">
      <c r="A686" s="17"/>
      <c r="B686" s="13"/>
      <c r="C686" s="20"/>
      <c r="D686" s="19"/>
      <c r="E686" s="26">
        <f>IF($B686="","",IFERROR(INDEX(PecDesc,MATCH($B686,PecCod,0)),"Peça não cadastrada"))</f>
        <v>0</v>
      </c>
      <c r="F686" s="27">
        <f>IF($B686="","",IF($D686&lt;&gt;"",$D686,IFERROR(INDEX(PecPreco,MATCH($B686,PecCod,0)),0)))</f>
        <v>0</v>
      </c>
      <c r="G686" s="27">
        <f>IF(OR($B686="",$C686=""),"",$C686*$F686)</f>
        <v>0</v>
      </c>
      <c r="H686" s="27">
        <f>IF(OR($B686="",$C686=""),"",$C686*IFERROR(INDEX(PecCusto,MATCH($B686,PecCod,0)),0))</f>
        <v>0</v>
      </c>
      <c r="I686" s="32">
        <f>IF($A686="","",IFERROR(INDEX(OSStatus,MATCH($A686,OSNum,0)),"OS inexistente"))</f>
        <v>0</v>
      </c>
      <c r="J686" s="32">
        <f>IF($A686="","",IF($I686="OS inexistente","OS inexistente",IF($E686="Peça não cadastrada","Peça não cadastrada","OK")))</f>
        <v>0</v>
      </c>
    </row>
    <row r="687" spans="1:10">
      <c r="A687" s="17"/>
      <c r="B687" s="13"/>
      <c r="C687" s="20"/>
      <c r="D687" s="19"/>
      <c r="E687" s="26">
        <f>IF($B687="","",IFERROR(INDEX(PecDesc,MATCH($B687,PecCod,0)),"Peça não cadastrada"))</f>
        <v>0</v>
      </c>
      <c r="F687" s="27">
        <f>IF($B687="","",IF($D687&lt;&gt;"",$D687,IFERROR(INDEX(PecPreco,MATCH($B687,PecCod,0)),0)))</f>
        <v>0</v>
      </c>
      <c r="G687" s="27">
        <f>IF(OR($B687="",$C687=""),"",$C687*$F687)</f>
        <v>0</v>
      </c>
      <c r="H687" s="27">
        <f>IF(OR($B687="",$C687=""),"",$C687*IFERROR(INDEX(PecCusto,MATCH($B687,PecCod,0)),0))</f>
        <v>0</v>
      </c>
      <c r="I687" s="32">
        <f>IF($A687="","",IFERROR(INDEX(OSStatus,MATCH($A687,OSNum,0)),"OS inexistente"))</f>
        <v>0</v>
      </c>
      <c r="J687" s="32">
        <f>IF($A687="","",IF($I687="OS inexistente","OS inexistente",IF($E687="Peça não cadastrada","Peça não cadastrada","OK")))</f>
        <v>0</v>
      </c>
    </row>
    <row r="688" spans="1:10">
      <c r="A688" s="17"/>
      <c r="B688" s="13"/>
      <c r="C688" s="20"/>
      <c r="D688" s="19"/>
      <c r="E688" s="26">
        <f>IF($B688="","",IFERROR(INDEX(PecDesc,MATCH($B688,PecCod,0)),"Peça não cadastrada"))</f>
        <v>0</v>
      </c>
      <c r="F688" s="27">
        <f>IF($B688="","",IF($D688&lt;&gt;"",$D688,IFERROR(INDEX(PecPreco,MATCH($B688,PecCod,0)),0)))</f>
        <v>0</v>
      </c>
      <c r="G688" s="27">
        <f>IF(OR($B688="",$C688=""),"",$C688*$F688)</f>
        <v>0</v>
      </c>
      <c r="H688" s="27">
        <f>IF(OR($B688="",$C688=""),"",$C688*IFERROR(INDEX(PecCusto,MATCH($B688,PecCod,0)),0))</f>
        <v>0</v>
      </c>
      <c r="I688" s="32">
        <f>IF($A688="","",IFERROR(INDEX(OSStatus,MATCH($A688,OSNum,0)),"OS inexistente"))</f>
        <v>0</v>
      </c>
      <c r="J688" s="32">
        <f>IF($A688="","",IF($I688="OS inexistente","OS inexistente",IF($E688="Peça não cadastrada","Peça não cadastrada","OK")))</f>
        <v>0</v>
      </c>
    </row>
    <row r="689" spans="1:10">
      <c r="A689" s="17"/>
      <c r="B689" s="13"/>
      <c r="C689" s="20"/>
      <c r="D689" s="19"/>
      <c r="E689" s="26">
        <f>IF($B689="","",IFERROR(INDEX(PecDesc,MATCH($B689,PecCod,0)),"Peça não cadastrada"))</f>
        <v>0</v>
      </c>
      <c r="F689" s="27">
        <f>IF($B689="","",IF($D689&lt;&gt;"",$D689,IFERROR(INDEX(PecPreco,MATCH($B689,PecCod,0)),0)))</f>
        <v>0</v>
      </c>
      <c r="G689" s="27">
        <f>IF(OR($B689="",$C689=""),"",$C689*$F689)</f>
        <v>0</v>
      </c>
      <c r="H689" s="27">
        <f>IF(OR($B689="",$C689=""),"",$C689*IFERROR(INDEX(PecCusto,MATCH($B689,PecCod,0)),0))</f>
        <v>0</v>
      </c>
      <c r="I689" s="32">
        <f>IF($A689="","",IFERROR(INDEX(OSStatus,MATCH($A689,OSNum,0)),"OS inexistente"))</f>
        <v>0</v>
      </c>
      <c r="J689" s="32">
        <f>IF($A689="","",IF($I689="OS inexistente","OS inexistente",IF($E689="Peça não cadastrada","Peça não cadastrada","OK")))</f>
        <v>0</v>
      </c>
    </row>
    <row r="690" spans="1:10">
      <c r="A690" s="17"/>
      <c r="B690" s="13"/>
      <c r="C690" s="20"/>
      <c r="D690" s="19"/>
      <c r="E690" s="26">
        <f>IF($B690="","",IFERROR(INDEX(PecDesc,MATCH($B690,PecCod,0)),"Peça não cadastrada"))</f>
        <v>0</v>
      </c>
      <c r="F690" s="27">
        <f>IF($B690="","",IF($D690&lt;&gt;"",$D690,IFERROR(INDEX(PecPreco,MATCH($B690,PecCod,0)),0)))</f>
        <v>0</v>
      </c>
      <c r="G690" s="27">
        <f>IF(OR($B690="",$C690=""),"",$C690*$F690)</f>
        <v>0</v>
      </c>
      <c r="H690" s="27">
        <f>IF(OR($B690="",$C690=""),"",$C690*IFERROR(INDEX(PecCusto,MATCH($B690,PecCod,0)),0))</f>
        <v>0</v>
      </c>
      <c r="I690" s="32">
        <f>IF($A690="","",IFERROR(INDEX(OSStatus,MATCH($A690,OSNum,0)),"OS inexistente"))</f>
        <v>0</v>
      </c>
      <c r="J690" s="32">
        <f>IF($A690="","",IF($I690="OS inexistente","OS inexistente",IF($E690="Peça não cadastrada","Peça não cadastrada","OK")))</f>
        <v>0</v>
      </c>
    </row>
    <row r="691" spans="1:10">
      <c r="A691" s="17"/>
      <c r="B691" s="13"/>
      <c r="C691" s="20"/>
      <c r="D691" s="19"/>
      <c r="E691" s="26">
        <f>IF($B691="","",IFERROR(INDEX(PecDesc,MATCH($B691,PecCod,0)),"Peça não cadastrada"))</f>
        <v>0</v>
      </c>
      <c r="F691" s="27">
        <f>IF($B691="","",IF($D691&lt;&gt;"",$D691,IFERROR(INDEX(PecPreco,MATCH($B691,PecCod,0)),0)))</f>
        <v>0</v>
      </c>
      <c r="G691" s="27">
        <f>IF(OR($B691="",$C691=""),"",$C691*$F691)</f>
        <v>0</v>
      </c>
      <c r="H691" s="27">
        <f>IF(OR($B691="",$C691=""),"",$C691*IFERROR(INDEX(PecCusto,MATCH($B691,PecCod,0)),0))</f>
        <v>0</v>
      </c>
      <c r="I691" s="32">
        <f>IF($A691="","",IFERROR(INDEX(OSStatus,MATCH($A691,OSNum,0)),"OS inexistente"))</f>
        <v>0</v>
      </c>
      <c r="J691" s="32">
        <f>IF($A691="","",IF($I691="OS inexistente","OS inexistente",IF($E691="Peça não cadastrada","Peça não cadastrada","OK")))</f>
        <v>0</v>
      </c>
    </row>
    <row r="692" spans="1:10">
      <c r="A692" s="17"/>
      <c r="B692" s="13"/>
      <c r="C692" s="20"/>
      <c r="D692" s="19"/>
      <c r="E692" s="26">
        <f>IF($B692="","",IFERROR(INDEX(PecDesc,MATCH($B692,PecCod,0)),"Peça não cadastrada"))</f>
        <v>0</v>
      </c>
      <c r="F692" s="27">
        <f>IF($B692="","",IF($D692&lt;&gt;"",$D692,IFERROR(INDEX(PecPreco,MATCH($B692,PecCod,0)),0)))</f>
        <v>0</v>
      </c>
      <c r="G692" s="27">
        <f>IF(OR($B692="",$C692=""),"",$C692*$F692)</f>
        <v>0</v>
      </c>
      <c r="H692" s="27">
        <f>IF(OR($B692="",$C692=""),"",$C692*IFERROR(INDEX(PecCusto,MATCH($B692,PecCod,0)),0))</f>
        <v>0</v>
      </c>
      <c r="I692" s="32">
        <f>IF($A692="","",IFERROR(INDEX(OSStatus,MATCH($A692,OSNum,0)),"OS inexistente"))</f>
        <v>0</v>
      </c>
      <c r="J692" s="32">
        <f>IF($A692="","",IF($I692="OS inexistente","OS inexistente",IF($E692="Peça não cadastrada","Peça não cadastrada","OK")))</f>
        <v>0</v>
      </c>
    </row>
    <row r="693" spans="1:10">
      <c r="A693" s="17"/>
      <c r="B693" s="13"/>
      <c r="C693" s="20"/>
      <c r="D693" s="19"/>
      <c r="E693" s="26">
        <f>IF($B693="","",IFERROR(INDEX(PecDesc,MATCH($B693,PecCod,0)),"Peça não cadastrada"))</f>
        <v>0</v>
      </c>
      <c r="F693" s="27">
        <f>IF($B693="","",IF($D693&lt;&gt;"",$D693,IFERROR(INDEX(PecPreco,MATCH($B693,PecCod,0)),0)))</f>
        <v>0</v>
      </c>
      <c r="G693" s="27">
        <f>IF(OR($B693="",$C693=""),"",$C693*$F693)</f>
        <v>0</v>
      </c>
      <c r="H693" s="27">
        <f>IF(OR($B693="",$C693=""),"",$C693*IFERROR(INDEX(PecCusto,MATCH($B693,PecCod,0)),0))</f>
        <v>0</v>
      </c>
      <c r="I693" s="32">
        <f>IF($A693="","",IFERROR(INDEX(OSStatus,MATCH($A693,OSNum,0)),"OS inexistente"))</f>
        <v>0</v>
      </c>
      <c r="J693" s="32">
        <f>IF($A693="","",IF($I693="OS inexistente","OS inexistente",IF($E693="Peça não cadastrada","Peça não cadastrada","OK")))</f>
        <v>0</v>
      </c>
    </row>
    <row r="694" spans="1:10">
      <c r="A694" s="17"/>
      <c r="B694" s="13"/>
      <c r="C694" s="20"/>
      <c r="D694" s="19"/>
      <c r="E694" s="26">
        <f>IF($B694="","",IFERROR(INDEX(PecDesc,MATCH($B694,PecCod,0)),"Peça não cadastrada"))</f>
        <v>0</v>
      </c>
      <c r="F694" s="27">
        <f>IF($B694="","",IF($D694&lt;&gt;"",$D694,IFERROR(INDEX(PecPreco,MATCH($B694,PecCod,0)),0)))</f>
        <v>0</v>
      </c>
      <c r="G694" s="27">
        <f>IF(OR($B694="",$C694=""),"",$C694*$F694)</f>
        <v>0</v>
      </c>
      <c r="H694" s="27">
        <f>IF(OR($B694="",$C694=""),"",$C694*IFERROR(INDEX(PecCusto,MATCH($B694,PecCod,0)),0))</f>
        <v>0</v>
      </c>
      <c r="I694" s="32">
        <f>IF($A694="","",IFERROR(INDEX(OSStatus,MATCH($A694,OSNum,0)),"OS inexistente"))</f>
        <v>0</v>
      </c>
      <c r="J694" s="32">
        <f>IF($A694="","",IF($I694="OS inexistente","OS inexistente",IF($E694="Peça não cadastrada","Peça não cadastrada","OK")))</f>
        <v>0</v>
      </c>
    </row>
    <row r="695" spans="1:10">
      <c r="A695" s="17"/>
      <c r="B695" s="13"/>
      <c r="C695" s="20"/>
      <c r="D695" s="19"/>
      <c r="E695" s="26">
        <f>IF($B695="","",IFERROR(INDEX(PecDesc,MATCH($B695,PecCod,0)),"Peça não cadastrada"))</f>
        <v>0</v>
      </c>
      <c r="F695" s="27">
        <f>IF($B695="","",IF($D695&lt;&gt;"",$D695,IFERROR(INDEX(PecPreco,MATCH($B695,PecCod,0)),0)))</f>
        <v>0</v>
      </c>
      <c r="G695" s="27">
        <f>IF(OR($B695="",$C695=""),"",$C695*$F695)</f>
        <v>0</v>
      </c>
      <c r="H695" s="27">
        <f>IF(OR($B695="",$C695=""),"",$C695*IFERROR(INDEX(PecCusto,MATCH($B695,PecCod,0)),0))</f>
        <v>0</v>
      </c>
      <c r="I695" s="32">
        <f>IF($A695="","",IFERROR(INDEX(OSStatus,MATCH($A695,OSNum,0)),"OS inexistente"))</f>
        <v>0</v>
      </c>
      <c r="J695" s="32">
        <f>IF($A695="","",IF($I695="OS inexistente","OS inexistente",IF($E695="Peça não cadastrada","Peça não cadastrada","OK")))</f>
        <v>0</v>
      </c>
    </row>
    <row r="696" spans="1:10">
      <c r="A696" s="17"/>
      <c r="B696" s="13"/>
      <c r="C696" s="20"/>
      <c r="D696" s="19"/>
      <c r="E696" s="26">
        <f>IF($B696="","",IFERROR(INDEX(PecDesc,MATCH($B696,PecCod,0)),"Peça não cadastrada"))</f>
        <v>0</v>
      </c>
      <c r="F696" s="27">
        <f>IF($B696="","",IF($D696&lt;&gt;"",$D696,IFERROR(INDEX(PecPreco,MATCH($B696,PecCod,0)),0)))</f>
        <v>0</v>
      </c>
      <c r="G696" s="27">
        <f>IF(OR($B696="",$C696=""),"",$C696*$F696)</f>
        <v>0</v>
      </c>
      <c r="H696" s="27">
        <f>IF(OR($B696="",$C696=""),"",$C696*IFERROR(INDEX(PecCusto,MATCH($B696,PecCod,0)),0))</f>
        <v>0</v>
      </c>
      <c r="I696" s="32">
        <f>IF($A696="","",IFERROR(INDEX(OSStatus,MATCH($A696,OSNum,0)),"OS inexistente"))</f>
        <v>0</v>
      </c>
      <c r="J696" s="32">
        <f>IF($A696="","",IF($I696="OS inexistente","OS inexistente",IF($E696="Peça não cadastrada","Peça não cadastrada","OK")))</f>
        <v>0</v>
      </c>
    </row>
    <row r="697" spans="1:10">
      <c r="A697" s="17"/>
      <c r="B697" s="13"/>
      <c r="C697" s="20"/>
      <c r="D697" s="19"/>
      <c r="E697" s="26">
        <f>IF($B697="","",IFERROR(INDEX(PecDesc,MATCH($B697,PecCod,0)),"Peça não cadastrada"))</f>
        <v>0</v>
      </c>
      <c r="F697" s="27">
        <f>IF($B697="","",IF($D697&lt;&gt;"",$D697,IFERROR(INDEX(PecPreco,MATCH($B697,PecCod,0)),0)))</f>
        <v>0</v>
      </c>
      <c r="G697" s="27">
        <f>IF(OR($B697="",$C697=""),"",$C697*$F697)</f>
        <v>0</v>
      </c>
      <c r="H697" s="27">
        <f>IF(OR($B697="",$C697=""),"",$C697*IFERROR(INDEX(PecCusto,MATCH($B697,PecCod,0)),0))</f>
        <v>0</v>
      </c>
      <c r="I697" s="32">
        <f>IF($A697="","",IFERROR(INDEX(OSStatus,MATCH($A697,OSNum,0)),"OS inexistente"))</f>
        <v>0</v>
      </c>
      <c r="J697" s="32">
        <f>IF($A697="","",IF($I697="OS inexistente","OS inexistente",IF($E697="Peça não cadastrada","Peça não cadastrada","OK")))</f>
        <v>0</v>
      </c>
    </row>
    <row r="698" spans="1:10">
      <c r="A698" s="17"/>
      <c r="B698" s="13"/>
      <c r="C698" s="20"/>
      <c r="D698" s="19"/>
      <c r="E698" s="26">
        <f>IF($B698="","",IFERROR(INDEX(PecDesc,MATCH($B698,PecCod,0)),"Peça não cadastrada"))</f>
        <v>0</v>
      </c>
      <c r="F698" s="27">
        <f>IF($B698="","",IF($D698&lt;&gt;"",$D698,IFERROR(INDEX(PecPreco,MATCH($B698,PecCod,0)),0)))</f>
        <v>0</v>
      </c>
      <c r="G698" s="27">
        <f>IF(OR($B698="",$C698=""),"",$C698*$F698)</f>
        <v>0</v>
      </c>
      <c r="H698" s="27">
        <f>IF(OR($B698="",$C698=""),"",$C698*IFERROR(INDEX(PecCusto,MATCH($B698,PecCod,0)),0))</f>
        <v>0</v>
      </c>
      <c r="I698" s="32">
        <f>IF($A698="","",IFERROR(INDEX(OSStatus,MATCH($A698,OSNum,0)),"OS inexistente"))</f>
        <v>0</v>
      </c>
      <c r="J698" s="32">
        <f>IF($A698="","",IF($I698="OS inexistente","OS inexistente",IF($E698="Peça não cadastrada","Peça não cadastrada","OK")))</f>
        <v>0</v>
      </c>
    </row>
    <row r="699" spans="1:10">
      <c r="A699" s="17"/>
      <c r="B699" s="13"/>
      <c r="C699" s="20"/>
      <c r="D699" s="19"/>
      <c r="E699" s="26">
        <f>IF($B699="","",IFERROR(INDEX(PecDesc,MATCH($B699,PecCod,0)),"Peça não cadastrada"))</f>
        <v>0</v>
      </c>
      <c r="F699" s="27">
        <f>IF($B699="","",IF($D699&lt;&gt;"",$D699,IFERROR(INDEX(PecPreco,MATCH($B699,PecCod,0)),0)))</f>
        <v>0</v>
      </c>
      <c r="G699" s="27">
        <f>IF(OR($B699="",$C699=""),"",$C699*$F699)</f>
        <v>0</v>
      </c>
      <c r="H699" s="27">
        <f>IF(OR($B699="",$C699=""),"",$C699*IFERROR(INDEX(PecCusto,MATCH($B699,PecCod,0)),0))</f>
        <v>0</v>
      </c>
      <c r="I699" s="32">
        <f>IF($A699="","",IFERROR(INDEX(OSStatus,MATCH($A699,OSNum,0)),"OS inexistente"))</f>
        <v>0</v>
      </c>
      <c r="J699" s="32">
        <f>IF($A699="","",IF($I699="OS inexistente","OS inexistente",IF($E699="Peça não cadastrada","Peça não cadastrada","OK")))</f>
        <v>0</v>
      </c>
    </row>
    <row r="700" spans="1:10">
      <c r="A700" s="17"/>
      <c r="B700" s="13"/>
      <c r="C700" s="20"/>
      <c r="D700" s="19"/>
      <c r="E700" s="26">
        <f>IF($B700="","",IFERROR(INDEX(PecDesc,MATCH($B700,PecCod,0)),"Peça não cadastrada"))</f>
        <v>0</v>
      </c>
      <c r="F700" s="27">
        <f>IF($B700="","",IF($D700&lt;&gt;"",$D700,IFERROR(INDEX(PecPreco,MATCH($B700,PecCod,0)),0)))</f>
        <v>0</v>
      </c>
      <c r="G700" s="27">
        <f>IF(OR($B700="",$C700=""),"",$C700*$F700)</f>
        <v>0</v>
      </c>
      <c r="H700" s="27">
        <f>IF(OR($B700="",$C700=""),"",$C700*IFERROR(INDEX(PecCusto,MATCH($B700,PecCod,0)),0))</f>
        <v>0</v>
      </c>
      <c r="I700" s="32">
        <f>IF($A700="","",IFERROR(INDEX(OSStatus,MATCH($A700,OSNum,0)),"OS inexistente"))</f>
        <v>0</v>
      </c>
      <c r="J700" s="32">
        <f>IF($A700="","",IF($I700="OS inexistente","OS inexistente",IF($E700="Peça não cadastrada","Peça não cadastrada","OK")))</f>
        <v>0</v>
      </c>
    </row>
    <row r="701" spans="1:10">
      <c r="A701" s="17"/>
      <c r="B701" s="13"/>
      <c r="C701" s="20"/>
      <c r="D701" s="19"/>
      <c r="E701" s="26">
        <f>IF($B701="","",IFERROR(INDEX(PecDesc,MATCH($B701,PecCod,0)),"Peça não cadastrada"))</f>
        <v>0</v>
      </c>
      <c r="F701" s="27">
        <f>IF($B701="","",IF($D701&lt;&gt;"",$D701,IFERROR(INDEX(PecPreco,MATCH($B701,PecCod,0)),0)))</f>
        <v>0</v>
      </c>
      <c r="G701" s="27">
        <f>IF(OR($B701="",$C701=""),"",$C701*$F701)</f>
        <v>0</v>
      </c>
      <c r="H701" s="27">
        <f>IF(OR($B701="",$C701=""),"",$C701*IFERROR(INDEX(PecCusto,MATCH($B701,PecCod,0)),0))</f>
        <v>0</v>
      </c>
      <c r="I701" s="32">
        <f>IF($A701="","",IFERROR(INDEX(OSStatus,MATCH($A701,OSNum,0)),"OS inexistente"))</f>
        <v>0</v>
      </c>
      <c r="J701" s="32">
        <f>IF($A701="","",IF($I701="OS inexistente","OS inexistente",IF($E701="Peça não cadastrada","Peça não cadastrada","OK")))</f>
        <v>0</v>
      </c>
    </row>
    <row r="702" spans="1:10">
      <c r="A702" s="17"/>
      <c r="B702" s="13"/>
      <c r="C702" s="20"/>
      <c r="D702" s="19"/>
      <c r="E702" s="26">
        <f>IF($B702="","",IFERROR(INDEX(PecDesc,MATCH($B702,PecCod,0)),"Peça não cadastrada"))</f>
        <v>0</v>
      </c>
      <c r="F702" s="27">
        <f>IF($B702="","",IF($D702&lt;&gt;"",$D702,IFERROR(INDEX(PecPreco,MATCH($B702,PecCod,0)),0)))</f>
        <v>0</v>
      </c>
      <c r="G702" s="27">
        <f>IF(OR($B702="",$C702=""),"",$C702*$F702)</f>
        <v>0</v>
      </c>
      <c r="H702" s="27">
        <f>IF(OR($B702="",$C702=""),"",$C702*IFERROR(INDEX(PecCusto,MATCH($B702,PecCod,0)),0))</f>
        <v>0</v>
      </c>
      <c r="I702" s="32">
        <f>IF($A702="","",IFERROR(INDEX(OSStatus,MATCH($A702,OSNum,0)),"OS inexistente"))</f>
        <v>0</v>
      </c>
      <c r="J702" s="32">
        <f>IF($A702="","",IF($I702="OS inexistente","OS inexistente",IF($E702="Peça não cadastrada","Peça não cadastrada","OK")))</f>
        <v>0</v>
      </c>
    </row>
    <row r="703" spans="1:10">
      <c r="A703" s="17"/>
      <c r="B703" s="13"/>
      <c r="C703" s="20"/>
      <c r="D703" s="19"/>
      <c r="E703" s="26">
        <f>IF($B703="","",IFERROR(INDEX(PecDesc,MATCH($B703,PecCod,0)),"Peça não cadastrada"))</f>
        <v>0</v>
      </c>
      <c r="F703" s="27">
        <f>IF($B703="","",IF($D703&lt;&gt;"",$D703,IFERROR(INDEX(PecPreco,MATCH($B703,PecCod,0)),0)))</f>
        <v>0</v>
      </c>
      <c r="G703" s="27">
        <f>IF(OR($B703="",$C703=""),"",$C703*$F703)</f>
        <v>0</v>
      </c>
      <c r="H703" s="27">
        <f>IF(OR($B703="",$C703=""),"",$C703*IFERROR(INDEX(PecCusto,MATCH($B703,PecCod,0)),0))</f>
        <v>0</v>
      </c>
      <c r="I703" s="32">
        <f>IF($A703="","",IFERROR(INDEX(OSStatus,MATCH($A703,OSNum,0)),"OS inexistente"))</f>
        <v>0</v>
      </c>
      <c r="J703" s="32">
        <f>IF($A703="","",IF($I703="OS inexistente","OS inexistente",IF($E703="Peça não cadastrada","Peça não cadastrada","OK")))</f>
        <v>0</v>
      </c>
    </row>
    <row r="704" spans="1:10">
      <c r="A704" s="17"/>
      <c r="B704" s="13"/>
      <c r="C704" s="20"/>
      <c r="D704" s="19"/>
      <c r="E704" s="26">
        <f>IF($B704="","",IFERROR(INDEX(PecDesc,MATCH($B704,PecCod,0)),"Peça não cadastrada"))</f>
        <v>0</v>
      </c>
      <c r="F704" s="27">
        <f>IF($B704="","",IF($D704&lt;&gt;"",$D704,IFERROR(INDEX(PecPreco,MATCH($B704,PecCod,0)),0)))</f>
        <v>0</v>
      </c>
      <c r="G704" s="27">
        <f>IF(OR($B704="",$C704=""),"",$C704*$F704)</f>
        <v>0</v>
      </c>
      <c r="H704" s="27">
        <f>IF(OR($B704="",$C704=""),"",$C704*IFERROR(INDEX(PecCusto,MATCH($B704,PecCod,0)),0))</f>
        <v>0</v>
      </c>
      <c r="I704" s="32">
        <f>IF($A704="","",IFERROR(INDEX(OSStatus,MATCH($A704,OSNum,0)),"OS inexistente"))</f>
        <v>0</v>
      </c>
      <c r="J704" s="32">
        <f>IF($A704="","",IF($I704="OS inexistente","OS inexistente",IF($E704="Peça não cadastrada","Peça não cadastrada","OK")))</f>
        <v>0</v>
      </c>
    </row>
    <row r="705" spans="1:10">
      <c r="A705" s="17"/>
      <c r="B705" s="13"/>
      <c r="C705" s="20"/>
      <c r="D705" s="19"/>
      <c r="E705" s="26">
        <f>IF($B705="","",IFERROR(INDEX(PecDesc,MATCH($B705,PecCod,0)),"Peça não cadastrada"))</f>
        <v>0</v>
      </c>
      <c r="F705" s="27">
        <f>IF($B705="","",IF($D705&lt;&gt;"",$D705,IFERROR(INDEX(PecPreco,MATCH($B705,PecCod,0)),0)))</f>
        <v>0</v>
      </c>
      <c r="G705" s="27">
        <f>IF(OR($B705="",$C705=""),"",$C705*$F705)</f>
        <v>0</v>
      </c>
      <c r="H705" s="27">
        <f>IF(OR($B705="",$C705=""),"",$C705*IFERROR(INDEX(PecCusto,MATCH($B705,PecCod,0)),0))</f>
        <v>0</v>
      </c>
      <c r="I705" s="32">
        <f>IF($A705="","",IFERROR(INDEX(OSStatus,MATCH($A705,OSNum,0)),"OS inexistente"))</f>
        <v>0</v>
      </c>
      <c r="J705" s="32">
        <f>IF($A705="","",IF($I705="OS inexistente","OS inexistente",IF($E705="Peça não cadastrada","Peça não cadastrada","OK")))</f>
        <v>0</v>
      </c>
    </row>
    <row r="706" spans="1:10">
      <c r="A706" s="17"/>
      <c r="B706" s="13"/>
      <c r="C706" s="20"/>
      <c r="D706" s="19"/>
      <c r="E706" s="26">
        <f>IF($B706="","",IFERROR(INDEX(PecDesc,MATCH($B706,PecCod,0)),"Peça não cadastrada"))</f>
        <v>0</v>
      </c>
      <c r="F706" s="27">
        <f>IF($B706="","",IF($D706&lt;&gt;"",$D706,IFERROR(INDEX(PecPreco,MATCH($B706,PecCod,0)),0)))</f>
        <v>0</v>
      </c>
      <c r="G706" s="27">
        <f>IF(OR($B706="",$C706=""),"",$C706*$F706)</f>
        <v>0</v>
      </c>
      <c r="H706" s="27">
        <f>IF(OR($B706="",$C706=""),"",$C706*IFERROR(INDEX(PecCusto,MATCH($B706,PecCod,0)),0))</f>
        <v>0</v>
      </c>
      <c r="I706" s="32">
        <f>IF($A706="","",IFERROR(INDEX(OSStatus,MATCH($A706,OSNum,0)),"OS inexistente"))</f>
        <v>0</v>
      </c>
      <c r="J706" s="32">
        <f>IF($A706="","",IF($I706="OS inexistente","OS inexistente",IF($E706="Peça não cadastrada","Peça não cadastrada","OK")))</f>
        <v>0</v>
      </c>
    </row>
    <row r="707" spans="1:10">
      <c r="A707" s="17"/>
      <c r="B707" s="13"/>
      <c r="C707" s="20"/>
      <c r="D707" s="19"/>
      <c r="E707" s="26">
        <f>IF($B707="","",IFERROR(INDEX(PecDesc,MATCH($B707,PecCod,0)),"Peça não cadastrada"))</f>
        <v>0</v>
      </c>
      <c r="F707" s="27">
        <f>IF($B707="","",IF($D707&lt;&gt;"",$D707,IFERROR(INDEX(PecPreco,MATCH($B707,PecCod,0)),0)))</f>
        <v>0</v>
      </c>
      <c r="G707" s="27">
        <f>IF(OR($B707="",$C707=""),"",$C707*$F707)</f>
        <v>0</v>
      </c>
      <c r="H707" s="27">
        <f>IF(OR($B707="",$C707=""),"",$C707*IFERROR(INDEX(PecCusto,MATCH($B707,PecCod,0)),0))</f>
        <v>0</v>
      </c>
      <c r="I707" s="32">
        <f>IF($A707="","",IFERROR(INDEX(OSStatus,MATCH($A707,OSNum,0)),"OS inexistente"))</f>
        <v>0</v>
      </c>
      <c r="J707" s="32">
        <f>IF($A707="","",IF($I707="OS inexistente","OS inexistente",IF($E707="Peça não cadastrada","Peça não cadastrada","OK")))</f>
        <v>0</v>
      </c>
    </row>
    <row r="708" spans="1:10">
      <c r="A708" s="17"/>
      <c r="B708" s="13"/>
      <c r="C708" s="20"/>
      <c r="D708" s="19"/>
      <c r="E708" s="26">
        <f>IF($B708="","",IFERROR(INDEX(PecDesc,MATCH($B708,PecCod,0)),"Peça não cadastrada"))</f>
        <v>0</v>
      </c>
      <c r="F708" s="27">
        <f>IF($B708="","",IF($D708&lt;&gt;"",$D708,IFERROR(INDEX(PecPreco,MATCH($B708,PecCod,0)),0)))</f>
        <v>0</v>
      </c>
      <c r="G708" s="27">
        <f>IF(OR($B708="",$C708=""),"",$C708*$F708)</f>
        <v>0</v>
      </c>
      <c r="H708" s="27">
        <f>IF(OR($B708="",$C708=""),"",$C708*IFERROR(INDEX(PecCusto,MATCH($B708,PecCod,0)),0))</f>
        <v>0</v>
      </c>
      <c r="I708" s="32">
        <f>IF($A708="","",IFERROR(INDEX(OSStatus,MATCH($A708,OSNum,0)),"OS inexistente"))</f>
        <v>0</v>
      </c>
      <c r="J708" s="32">
        <f>IF($A708="","",IF($I708="OS inexistente","OS inexistente",IF($E708="Peça não cadastrada","Peça não cadastrada","OK")))</f>
        <v>0</v>
      </c>
    </row>
    <row r="709" spans="1:10">
      <c r="A709" s="17"/>
      <c r="B709" s="13"/>
      <c r="C709" s="20"/>
      <c r="D709" s="19"/>
      <c r="E709" s="26">
        <f>IF($B709="","",IFERROR(INDEX(PecDesc,MATCH($B709,PecCod,0)),"Peça não cadastrada"))</f>
        <v>0</v>
      </c>
      <c r="F709" s="27">
        <f>IF($B709="","",IF($D709&lt;&gt;"",$D709,IFERROR(INDEX(PecPreco,MATCH($B709,PecCod,0)),0)))</f>
        <v>0</v>
      </c>
      <c r="G709" s="27">
        <f>IF(OR($B709="",$C709=""),"",$C709*$F709)</f>
        <v>0</v>
      </c>
      <c r="H709" s="27">
        <f>IF(OR($B709="",$C709=""),"",$C709*IFERROR(INDEX(PecCusto,MATCH($B709,PecCod,0)),0))</f>
        <v>0</v>
      </c>
      <c r="I709" s="32">
        <f>IF($A709="","",IFERROR(INDEX(OSStatus,MATCH($A709,OSNum,0)),"OS inexistente"))</f>
        <v>0</v>
      </c>
      <c r="J709" s="32">
        <f>IF($A709="","",IF($I709="OS inexistente","OS inexistente",IF($E709="Peça não cadastrada","Peça não cadastrada","OK")))</f>
        <v>0</v>
      </c>
    </row>
    <row r="710" spans="1:10">
      <c r="A710" s="17"/>
      <c r="B710" s="13"/>
      <c r="C710" s="20"/>
      <c r="D710" s="19"/>
      <c r="E710" s="26">
        <f>IF($B710="","",IFERROR(INDEX(PecDesc,MATCH($B710,PecCod,0)),"Peça não cadastrada"))</f>
        <v>0</v>
      </c>
      <c r="F710" s="27">
        <f>IF($B710="","",IF($D710&lt;&gt;"",$D710,IFERROR(INDEX(PecPreco,MATCH($B710,PecCod,0)),0)))</f>
        <v>0</v>
      </c>
      <c r="G710" s="27">
        <f>IF(OR($B710="",$C710=""),"",$C710*$F710)</f>
        <v>0</v>
      </c>
      <c r="H710" s="27">
        <f>IF(OR($B710="",$C710=""),"",$C710*IFERROR(INDEX(PecCusto,MATCH($B710,PecCod,0)),0))</f>
        <v>0</v>
      </c>
      <c r="I710" s="32">
        <f>IF($A710="","",IFERROR(INDEX(OSStatus,MATCH($A710,OSNum,0)),"OS inexistente"))</f>
        <v>0</v>
      </c>
      <c r="J710" s="32">
        <f>IF($A710="","",IF($I710="OS inexistente","OS inexistente",IF($E710="Peça não cadastrada","Peça não cadastrada","OK")))</f>
        <v>0</v>
      </c>
    </row>
    <row r="711" spans="1:10">
      <c r="A711" s="17"/>
      <c r="B711" s="13"/>
      <c r="C711" s="20"/>
      <c r="D711" s="19"/>
      <c r="E711" s="26">
        <f>IF($B711="","",IFERROR(INDEX(PecDesc,MATCH($B711,PecCod,0)),"Peça não cadastrada"))</f>
        <v>0</v>
      </c>
      <c r="F711" s="27">
        <f>IF($B711="","",IF($D711&lt;&gt;"",$D711,IFERROR(INDEX(PecPreco,MATCH($B711,PecCod,0)),0)))</f>
        <v>0</v>
      </c>
      <c r="G711" s="27">
        <f>IF(OR($B711="",$C711=""),"",$C711*$F711)</f>
        <v>0</v>
      </c>
      <c r="H711" s="27">
        <f>IF(OR($B711="",$C711=""),"",$C711*IFERROR(INDEX(PecCusto,MATCH($B711,PecCod,0)),0))</f>
        <v>0</v>
      </c>
      <c r="I711" s="32">
        <f>IF($A711="","",IFERROR(INDEX(OSStatus,MATCH($A711,OSNum,0)),"OS inexistente"))</f>
        <v>0</v>
      </c>
      <c r="J711" s="32">
        <f>IF($A711="","",IF($I711="OS inexistente","OS inexistente",IF($E711="Peça não cadastrada","Peça não cadastrada","OK")))</f>
        <v>0</v>
      </c>
    </row>
    <row r="712" spans="1:10">
      <c r="A712" s="17"/>
      <c r="B712" s="13"/>
      <c r="C712" s="20"/>
      <c r="D712" s="19"/>
      <c r="E712" s="26">
        <f>IF($B712="","",IFERROR(INDEX(PecDesc,MATCH($B712,PecCod,0)),"Peça não cadastrada"))</f>
        <v>0</v>
      </c>
      <c r="F712" s="27">
        <f>IF($B712="","",IF($D712&lt;&gt;"",$D712,IFERROR(INDEX(PecPreco,MATCH($B712,PecCod,0)),0)))</f>
        <v>0</v>
      </c>
      <c r="G712" s="27">
        <f>IF(OR($B712="",$C712=""),"",$C712*$F712)</f>
        <v>0</v>
      </c>
      <c r="H712" s="27">
        <f>IF(OR($B712="",$C712=""),"",$C712*IFERROR(INDEX(PecCusto,MATCH($B712,PecCod,0)),0))</f>
        <v>0</v>
      </c>
      <c r="I712" s="32">
        <f>IF($A712="","",IFERROR(INDEX(OSStatus,MATCH($A712,OSNum,0)),"OS inexistente"))</f>
        <v>0</v>
      </c>
      <c r="J712" s="32">
        <f>IF($A712="","",IF($I712="OS inexistente","OS inexistente",IF($E712="Peça não cadastrada","Peça não cadastrada","OK")))</f>
        <v>0</v>
      </c>
    </row>
    <row r="713" spans="1:10">
      <c r="A713" s="17"/>
      <c r="B713" s="13"/>
      <c r="C713" s="20"/>
      <c r="D713" s="19"/>
      <c r="E713" s="26">
        <f>IF($B713="","",IFERROR(INDEX(PecDesc,MATCH($B713,PecCod,0)),"Peça não cadastrada"))</f>
        <v>0</v>
      </c>
      <c r="F713" s="27">
        <f>IF($B713="","",IF($D713&lt;&gt;"",$D713,IFERROR(INDEX(PecPreco,MATCH($B713,PecCod,0)),0)))</f>
        <v>0</v>
      </c>
      <c r="G713" s="27">
        <f>IF(OR($B713="",$C713=""),"",$C713*$F713)</f>
        <v>0</v>
      </c>
      <c r="H713" s="27">
        <f>IF(OR($B713="",$C713=""),"",$C713*IFERROR(INDEX(PecCusto,MATCH($B713,PecCod,0)),0))</f>
        <v>0</v>
      </c>
      <c r="I713" s="32">
        <f>IF($A713="","",IFERROR(INDEX(OSStatus,MATCH($A713,OSNum,0)),"OS inexistente"))</f>
        <v>0</v>
      </c>
      <c r="J713" s="32">
        <f>IF($A713="","",IF($I713="OS inexistente","OS inexistente",IF($E713="Peça não cadastrada","Peça não cadastrada","OK")))</f>
        <v>0</v>
      </c>
    </row>
    <row r="714" spans="1:10">
      <c r="A714" s="17"/>
      <c r="B714" s="13"/>
      <c r="C714" s="20"/>
      <c r="D714" s="19"/>
      <c r="E714" s="26">
        <f>IF($B714="","",IFERROR(INDEX(PecDesc,MATCH($B714,PecCod,0)),"Peça não cadastrada"))</f>
        <v>0</v>
      </c>
      <c r="F714" s="27">
        <f>IF($B714="","",IF($D714&lt;&gt;"",$D714,IFERROR(INDEX(PecPreco,MATCH($B714,PecCod,0)),0)))</f>
        <v>0</v>
      </c>
      <c r="G714" s="27">
        <f>IF(OR($B714="",$C714=""),"",$C714*$F714)</f>
        <v>0</v>
      </c>
      <c r="H714" s="27">
        <f>IF(OR($B714="",$C714=""),"",$C714*IFERROR(INDEX(PecCusto,MATCH($B714,PecCod,0)),0))</f>
        <v>0</v>
      </c>
      <c r="I714" s="32">
        <f>IF($A714="","",IFERROR(INDEX(OSStatus,MATCH($A714,OSNum,0)),"OS inexistente"))</f>
        <v>0</v>
      </c>
      <c r="J714" s="32">
        <f>IF($A714="","",IF($I714="OS inexistente","OS inexistente",IF($E714="Peça não cadastrada","Peça não cadastrada","OK")))</f>
        <v>0</v>
      </c>
    </row>
    <row r="715" spans="1:10">
      <c r="A715" s="17"/>
      <c r="B715" s="13"/>
      <c r="C715" s="20"/>
      <c r="D715" s="19"/>
      <c r="E715" s="26">
        <f>IF($B715="","",IFERROR(INDEX(PecDesc,MATCH($B715,PecCod,0)),"Peça não cadastrada"))</f>
        <v>0</v>
      </c>
      <c r="F715" s="27">
        <f>IF($B715="","",IF($D715&lt;&gt;"",$D715,IFERROR(INDEX(PecPreco,MATCH($B715,PecCod,0)),0)))</f>
        <v>0</v>
      </c>
      <c r="G715" s="27">
        <f>IF(OR($B715="",$C715=""),"",$C715*$F715)</f>
        <v>0</v>
      </c>
      <c r="H715" s="27">
        <f>IF(OR($B715="",$C715=""),"",$C715*IFERROR(INDEX(PecCusto,MATCH($B715,PecCod,0)),0))</f>
        <v>0</v>
      </c>
      <c r="I715" s="32">
        <f>IF($A715="","",IFERROR(INDEX(OSStatus,MATCH($A715,OSNum,0)),"OS inexistente"))</f>
        <v>0</v>
      </c>
      <c r="J715" s="32">
        <f>IF($A715="","",IF($I715="OS inexistente","OS inexistente",IF($E715="Peça não cadastrada","Peça não cadastrada","OK")))</f>
        <v>0</v>
      </c>
    </row>
    <row r="716" spans="1:10">
      <c r="A716" s="17"/>
      <c r="B716" s="13"/>
      <c r="C716" s="20"/>
      <c r="D716" s="19"/>
      <c r="E716" s="26">
        <f>IF($B716="","",IFERROR(INDEX(PecDesc,MATCH($B716,PecCod,0)),"Peça não cadastrada"))</f>
        <v>0</v>
      </c>
      <c r="F716" s="27">
        <f>IF($B716="","",IF($D716&lt;&gt;"",$D716,IFERROR(INDEX(PecPreco,MATCH($B716,PecCod,0)),0)))</f>
        <v>0</v>
      </c>
      <c r="G716" s="27">
        <f>IF(OR($B716="",$C716=""),"",$C716*$F716)</f>
        <v>0</v>
      </c>
      <c r="H716" s="27">
        <f>IF(OR($B716="",$C716=""),"",$C716*IFERROR(INDEX(PecCusto,MATCH($B716,PecCod,0)),0))</f>
        <v>0</v>
      </c>
      <c r="I716" s="32">
        <f>IF($A716="","",IFERROR(INDEX(OSStatus,MATCH($A716,OSNum,0)),"OS inexistente"))</f>
        <v>0</v>
      </c>
      <c r="J716" s="32">
        <f>IF($A716="","",IF($I716="OS inexistente","OS inexistente",IF($E716="Peça não cadastrada","Peça não cadastrada","OK")))</f>
        <v>0</v>
      </c>
    </row>
    <row r="717" spans="1:10">
      <c r="A717" s="17"/>
      <c r="B717" s="13"/>
      <c r="C717" s="20"/>
      <c r="D717" s="19"/>
      <c r="E717" s="26">
        <f>IF($B717="","",IFERROR(INDEX(PecDesc,MATCH($B717,PecCod,0)),"Peça não cadastrada"))</f>
        <v>0</v>
      </c>
      <c r="F717" s="27">
        <f>IF($B717="","",IF($D717&lt;&gt;"",$D717,IFERROR(INDEX(PecPreco,MATCH($B717,PecCod,0)),0)))</f>
        <v>0</v>
      </c>
      <c r="G717" s="27">
        <f>IF(OR($B717="",$C717=""),"",$C717*$F717)</f>
        <v>0</v>
      </c>
      <c r="H717" s="27">
        <f>IF(OR($B717="",$C717=""),"",$C717*IFERROR(INDEX(PecCusto,MATCH($B717,PecCod,0)),0))</f>
        <v>0</v>
      </c>
      <c r="I717" s="32">
        <f>IF($A717="","",IFERROR(INDEX(OSStatus,MATCH($A717,OSNum,0)),"OS inexistente"))</f>
        <v>0</v>
      </c>
      <c r="J717" s="32">
        <f>IF($A717="","",IF($I717="OS inexistente","OS inexistente",IF($E717="Peça não cadastrada","Peça não cadastrada","OK")))</f>
        <v>0</v>
      </c>
    </row>
    <row r="718" spans="1:10">
      <c r="A718" s="17"/>
      <c r="B718" s="13"/>
      <c r="C718" s="20"/>
      <c r="D718" s="19"/>
      <c r="E718" s="26">
        <f>IF($B718="","",IFERROR(INDEX(PecDesc,MATCH($B718,PecCod,0)),"Peça não cadastrada"))</f>
        <v>0</v>
      </c>
      <c r="F718" s="27">
        <f>IF($B718="","",IF($D718&lt;&gt;"",$D718,IFERROR(INDEX(PecPreco,MATCH($B718,PecCod,0)),0)))</f>
        <v>0</v>
      </c>
      <c r="G718" s="27">
        <f>IF(OR($B718="",$C718=""),"",$C718*$F718)</f>
        <v>0</v>
      </c>
      <c r="H718" s="27">
        <f>IF(OR($B718="",$C718=""),"",$C718*IFERROR(INDEX(PecCusto,MATCH($B718,PecCod,0)),0))</f>
        <v>0</v>
      </c>
      <c r="I718" s="32">
        <f>IF($A718="","",IFERROR(INDEX(OSStatus,MATCH($A718,OSNum,0)),"OS inexistente"))</f>
        <v>0</v>
      </c>
      <c r="J718" s="32">
        <f>IF($A718="","",IF($I718="OS inexistente","OS inexistente",IF($E718="Peça não cadastrada","Peça não cadastrada","OK")))</f>
        <v>0</v>
      </c>
    </row>
    <row r="719" spans="1:10">
      <c r="A719" s="17"/>
      <c r="B719" s="13"/>
      <c r="C719" s="20"/>
      <c r="D719" s="19"/>
      <c r="E719" s="26">
        <f>IF($B719="","",IFERROR(INDEX(PecDesc,MATCH($B719,PecCod,0)),"Peça não cadastrada"))</f>
        <v>0</v>
      </c>
      <c r="F719" s="27">
        <f>IF($B719="","",IF($D719&lt;&gt;"",$D719,IFERROR(INDEX(PecPreco,MATCH($B719,PecCod,0)),0)))</f>
        <v>0</v>
      </c>
      <c r="G719" s="27">
        <f>IF(OR($B719="",$C719=""),"",$C719*$F719)</f>
        <v>0</v>
      </c>
      <c r="H719" s="27">
        <f>IF(OR($B719="",$C719=""),"",$C719*IFERROR(INDEX(PecCusto,MATCH($B719,PecCod,0)),0))</f>
        <v>0</v>
      </c>
      <c r="I719" s="32">
        <f>IF($A719="","",IFERROR(INDEX(OSStatus,MATCH($A719,OSNum,0)),"OS inexistente"))</f>
        <v>0</v>
      </c>
      <c r="J719" s="32">
        <f>IF($A719="","",IF($I719="OS inexistente","OS inexistente",IF($E719="Peça não cadastrada","Peça não cadastrada","OK")))</f>
        <v>0</v>
      </c>
    </row>
    <row r="720" spans="1:10">
      <c r="A720" s="17"/>
      <c r="B720" s="13"/>
      <c r="C720" s="20"/>
      <c r="D720" s="19"/>
      <c r="E720" s="26">
        <f>IF($B720="","",IFERROR(INDEX(PecDesc,MATCH($B720,PecCod,0)),"Peça não cadastrada"))</f>
        <v>0</v>
      </c>
      <c r="F720" s="27">
        <f>IF($B720="","",IF($D720&lt;&gt;"",$D720,IFERROR(INDEX(PecPreco,MATCH($B720,PecCod,0)),0)))</f>
        <v>0</v>
      </c>
      <c r="G720" s="27">
        <f>IF(OR($B720="",$C720=""),"",$C720*$F720)</f>
        <v>0</v>
      </c>
      <c r="H720" s="27">
        <f>IF(OR($B720="",$C720=""),"",$C720*IFERROR(INDEX(PecCusto,MATCH($B720,PecCod,0)),0))</f>
        <v>0</v>
      </c>
      <c r="I720" s="32">
        <f>IF($A720="","",IFERROR(INDEX(OSStatus,MATCH($A720,OSNum,0)),"OS inexistente"))</f>
        <v>0</v>
      </c>
      <c r="J720" s="32">
        <f>IF($A720="","",IF($I720="OS inexistente","OS inexistente",IF($E720="Peça não cadastrada","Peça não cadastrada","OK")))</f>
        <v>0</v>
      </c>
    </row>
    <row r="721" spans="1:10">
      <c r="A721" s="17"/>
      <c r="B721" s="13"/>
      <c r="C721" s="20"/>
      <c r="D721" s="19"/>
      <c r="E721" s="26">
        <f>IF($B721="","",IFERROR(INDEX(PecDesc,MATCH($B721,PecCod,0)),"Peça não cadastrada"))</f>
        <v>0</v>
      </c>
      <c r="F721" s="27">
        <f>IF($B721="","",IF($D721&lt;&gt;"",$D721,IFERROR(INDEX(PecPreco,MATCH($B721,PecCod,0)),0)))</f>
        <v>0</v>
      </c>
      <c r="G721" s="27">
        <f>IF(OR($B721="",$C721=""),"",$C721*$F721)</f>
        <v>0</v>
      </c>
      <c r="H721" s="27">
        <f>IF(OR($B721="",$C721=""),"",$C721*IFERROR(INDEX(PecCusto,MATCH($B721,PecCod,0)),0))</f>
        <v>0</v>
      </c>
      <c r="I721" s="32">
        <f>IF($A721="","",IFERROR(INDEX(OSStatus,MATCH($A721,OSNum,0)),"OS inexistente"))</f>
        <v>0</v>
      </c>
      <c r="J721" s="32">
        <f>IF($A721="","",IF($I721="OS inexistente","OS inexistente",IF($E721="Peça não cadastrada","Peça não cadastrada","OK")))</f>
        <v>0</v>
      </c>
    </row>
    <row r="722" spans="1:10">
      <c r="A722" s="17"/>
      <c r="B722" s="13"/>
      <c r="C722" s="20"/>
      <c r="D722" s="19"/>
      <c r="E722" s="26">
        <f>IF($B722="","",IFERROR(INDEX(PecDesc,MATCH($B722,PecCod,0)),"Peça não cadastrada"))</f>
        <v>0</v>
      </c>
      <c r="F722" s="27">
        <f>IF($B722="","",IF($D722&lt;&gt;"",$D722,IFERROR(INDEX(PecPreco,MATCH($B722,PecCod,0)),0)))</f>
        <v>0</v>
      </c>
      <c r="G722" s="27">
        <f>IF(OR($B722="",$C722=""),"",$C722*$F722)</f>
        <v>0</v>
      </c>
      <c r="H722" s="27">
        <f>IF(OR($B722="",$C722=""),"",$C722*IFERROR(INDEX(PecCusto,MATCH($B722,PecCod,0)),0))</f>
        <v>0</v>
      </c>
      <c r="I722" s="32">
        <f>IF($A722="","",IFERROR(INDEX(OSStatus,MATCH($A722,OSNum,0)),"OS inexistente"))</f>
        <v>0</v>
      </c>
      <c r="J722" s="32">
        <f>IF($A722="","",IF($I722="OS inexistente","OS inexistente",IF($E722="Peça não cadastrada","Peça não cadastrada","OK")))</f>
        <v>0</v>
      </c>
    </row>
    <row r="723" spans="1:10">
      <c r="A723" s="17"/>
      <c r="B723" s="13"/>
      <c r="C723" s="20"/>
      <c r="D723" s="19"/>
      <c r="E723" s="26">
        <f>IF($B723="","",IFERROR(INDEX(PecDesc,MATCH($B723,PecCod,0)),"Peça não cadastrada"))</f>
        <v>0</v>
      </c>
      <c r="F723" s="27">
        <f>IF($B723="","",IF($D723&lt;&gt;"",$D723,IFERROR(INDEX(PecPreco,MATCH($B723,PecCod,0)),0)))</f>
        <v>0</v>
      </c>
      <c r="G723" s="27">
        <f>IF(OR($B723="",$C723=""),"",$C723*$F723)</f>
        <v>0</v>
      </c>
      <c r="H723" s="27">
        <f>IF(OR($B723="",$C723=""),"",$C723*IFERROR(INDEX(PecCusto,MATCH($B723,PecCod,0)),0))</f>
        <v>0</v>
      </c>
      <c r="I723" s="32">
        <f>IF($A723="","",IFERROR(INDEX(OSStatus,MATCH($A723,OSNum,0)),"OS inexistente"))</f>
        <v>0</v>
      </c>
      <c r="J723" s="32">
        <f>IF($A723="","",IF($I723="OS inexistente","OS inexistente",IF($E723="Peça não cadastrada","Peça não cadastrada","OK")))</f>
        <v>0</v>
      </c>
    </row>
    <row r="724" spans="1:10">
      <c r="A724" s="17"/>
      <c r="B724" s="13"/>
      <c r="C724" s="20"/>
      <c r="D724" s="19"/>
      <c r="E724" s="26">
        <f>IF($B724="","",IFERROR(INDEX(PecDesc,MATCH($B724,PecCod,0)),"Peça não cadastrada"))</f>
        <v>0</v>
      </c>
      <c r="F724" s="27">
        <f>IF($B724="","",IF($D724&lt;&gt;"",$D724,IFERROR(INDEX(PecPreco,MATCH($B724,PecCod,0)),0)))</f>
        <v>0</v>
      </c>
      <c r="G724" s="27">
        <f>IF(OR($B724="",$C724=""),"",$C724*$F724)</f>
        <v>0</v>
      </c>
      <c r="H724" s="27">
        <f>IF(OR($B724="",$C724=""),"",$C724*IFERROR(INDEX(PecCusto,MATCH($B724,PecCod,0)),0))</f>
        <v>0</v>
      </c>
      <c r="I724" s="32">
        <f>IF($A724="","",IFERROR(INDEX(OSStatus,MATCH($A724,OSNum,0)),"OS inexistente"))</f>
        <v>0</v>
      </c>
      <c r="J724" s="32">
        <f>IF($A724="","",IF($I724="OS inexistente","OS inexistente",IF($E724="Peça não cadastrada","Peça não cadastrada","OK")))</f>
        <v>0</v>
      </c>
    </row>
    <row r="725" spans="1:10">
      <c r="A725" s="17"/>
      <c r="B725" s="13"/>
      <c r="C725" s="20"/>
      <c r="D725" s="19"/>
      <c r="E725" s="26">
        <f>IF($B725="","",IFERROR(INDEX(PecDesc,MATCH($B725,PecCod,0)),"Peça não cadastrada"))</f>
        <v>0</v>
      </c>
      <c r="F725" s="27">
        <f>IF($B725="","",IF($D725&lt;&gt;"",$D725,IFERROR(INDEX(PecPreco,MATCH($B725,PecCod,0)),0)))</f>
        <v>0</v>
      </c>
      <c r="G725" s="27">
        <f>IF(OR($B725="",$C725=""),"",$C725*$F725)</f>
        <v>0</v>
      </c>
      <c r="H725" s="27">
        <f>IF(OR($B725="",$C725=""),"",$C725*IFERROR(INDEX(PecCusto,MATCH($B725,PecCod,0)),0))</f>
        <v>0</v>
      </c>
      <c r="I725" s="32">
        <f>IF($A725="","",IFERROR(INDEX(OSStatus,MATCH($A725,OSNum,0)),"OS inexistente"))</f>
        <v>0</v>
      </c>
      <c r="J725" s="32">
        <f>IF($A725="","",IF($I725="OS inexistente","OS inexistente",IF($E725="Peça não cadastrada","Peça não cadastrada","OK")))</f>
        <v>0</v>
      </c>
    </row>
    <row r="726" spans="1:10">
      <c r="A726" s="17"/>
      <c r="B726" s="13"/>
      <c r="C726" s="20"/>
      <c r="D726" s="19"/>
      <c r="E726" s="26">
        <f>IF($B726="","",IFERROR(INDEX(PecDesc,MATCH($B726,PecCod,0)),"Peça não cadastrada"))</f>
        <v>0</v>
      </c>
      <c r="F726" s="27">
        <f>IF($B726="","",IF($D726&lt;&gt;"",$D726,IFERROR(INDEX(PecPreco,MATCH($B726,PecCod,0)),0)))</f>
        <v>0</v>
      </c>
      <c r="G726" s="27">
        <f>IF(OR($B726="",$C726=""),"",$C726*$F726)</f>
        <v>0</v>
      </c>
      <c r="H726" s="27">
        <f>IF(OR($B726="",$C726=""),"",$C726*IFERROR(INDEX(PecCusto,MATCH($B726,PecCod,0)),0))</f>
        <v>0</v>
      </c>
      <c r="I726" s="32">
        <f>IF($A726="","",IFERROR(INDEX(OSStatus,MATCH($A726,OSNum,0)),"OS inexistente"))</f>
        <v>0</v>
      </c>
      <c r="J726" s="32">
        <f>IF($A726="","",IF($I726="OS inexistente","OS inexistente",IF($E726="Peça não cadastrada","Peça não cadastrada","OK")))</f>
        <v>0</v>
      </c>
    </row>
    <row r="727" spans="1:10">
      <c r="A727" s="17"/>
      <c r="B727" s="13"/>
      <c r="C727" s="20"/>
      <c r="D727" s="19"/>
      <c r="E727" s="26">
        <f>IF($B727="","",IFERROR(INDEX(PecDesc,MATCH($B727,PecCod,0)),"Peça não cadastrada"))</f>
        <v>0</v>
      </c>
      <c r="F727" s="27">
        <f>IF($B727="","",IF($D727&lt;&gt;"",$D727,IFERROR(INDEX(PecPreco,MATCH($B727,PecCod,0)),0)))</f>
        <v>0</v>
      </c>
      <c r="G727" s="27">
        <f>IF(OR($B727="",$C727=""),"",$C727*$F727)</f>
        <v>0</v>
      </c>
      <c r="H727" s="27">
        <f>IF(OR($B727="",$C727=""),"",$C727*IFERROR(INDEX(PecCusto,MATCH($B727,PecCod,0)),0))</f>
        <v>0</v>
      </c>
      <c r="I727" s="32">
        <f>IF($A727="","",IFERROR(INDEX(OSStatus,MATCH($A727,OSNum,0)),"OS inexistente"))</f>
        <v>0</v>
      </c>
      <c r="J727" s="32">
        <f>IF($A727="","",IF($I727="OS inexistente","OS inexistente",IF($E727="Peça não cadastrada","Peça não cadastrada","OK")))</f>
        <v>0</v>
      </c>
    </row>
    <row r="728" spans="1:10">
      <c r="A728" s="17"/>
      <c r="B728" s="13"/>
      <c r="C728" s="20"/>
      <c r="D728" s="19"/>
      <c r="E728" s="26">
        <f>IF($B728="","",IFERROR(INDEX(PecDesc,MATCH($B728,PecCod,0)),"Peça não cadastrada"))</f>
        <v>0</v>
      </c>
      <c r="F728" s="27">
        <f>IF($B728="","",IF($D728&lt;&gt;"",$D728,IFERROR(INDEX(PecPreco,MATCH($B728,PecCod,0)),0)))</f>
        <v>0</v>
      </c>
      <c r="G728" s="27">
        <f>IF(OR($B728="",$C728=""),"",$C728*$F728)</f>
        <v>0</v>
      </c>
      <c r="H728" s="27">
        <f>IF(OR($B728="",$C728=""),"",$C728*IFERROR(INDEX(PecCusto,MATCH($B728,PecCod,0)),0))</f>
        <v>0</v>
      </c>
      <c r="I728" s="32">
        <f>IF($A728="","",IFERROR(INDEX(OSStatus,MATCH($A728,OSNum,0)),"OS inexistente"))</f>
        <v>0</v>
      </c>
      <c r="J728" s="32">
        <f>IF($A728="","",IF($I728="OS inexistente","OS inexistente",IF($E728="Peça não cadastrada","Peça não cadastrada","OK")))</f>
        <v>0</v>
      </c>
    </row>
    <row r="729" spans="1:10">
      <c r="A729" s="17"/>
      <c r="B729" s="13"/>
      <c r="C729" s="20"/>
      <c r="D729" s="19"/>
      <c r="E729" s="26">
        <f>IF($B729="","",IFERROR(INDEX(PecDesc,MATCH($B729,PecCod,0)),"Peça não cadastrada"))</f>
        <v>0</v>
      </c>
      <c r="F729" s="27">
        <f>IF($B729="","",IF($D729&lt;&gt;"",$D729,IFERROR(INDEX(PecPreco,MATCH($B729,PecCod,0)),0)))</f>
        <v>0</v>
      </c>
      <c r="G729" s="27">
        <f>IF(OR($B729="",$C729=""),"",$C729*$F729)</f>
        <v>0</v>
      </c>
      <c r="H729" s="27">
        <f>IF(OR($B729="",$C729=""),"",$C729*IFERROR(INDEX(PecCusto,MATCH($B729,PecCod,0)),0))</f>
        <v>0</v>
      </c>
      <c r="I729" s="32">
        <f>IF($A729="","",IFERROR(INDEX(OSStatus,MATCH($A729,OSNum,0)),"OS inexistente"))</f>
        <v>0</v>
      </c>
      <c r="J729" s="32">
        <f>IF($A729="","",IF($I729="OS inexistente","OS inexistente",IF($E729="Peça não cadastrada","Peça não cadastrada","OK")))</f>
        <v>0</v>
      </c>
    </row>
    <row r="730" spans="1:10">
      <c r="A730" s="17"/>
      <c r="B730" s="13"/>
      <c r="C730" s="20"/>
      <c r="D730" s="19"/>
      <c r="E730" s="26">
        <f>IF($B730="","",IFERROR(INDEX(PecDesc,MATCH($B730,PecCod,0)),"Peça não cadastrada"))</f>
        <v>0</v>
      </c>
      <c r="F730" s="27">
        <f>IF($B730="","",IF($D730&lt;&gt;"",$D730,IFERROR(INDEX(PecPreco,MATCH($B730,PecCod,0)),0)))</f>
        <v>0</v>
      </c>
      <c r="G730" s="27">
        <f>IF(OR($B730="",$C730=""),"",$C730*$F730)</f>
        <v>0</v>
      </c>
      <c r="H730" s="27">
        <f>IF(OR($B730="",$C730=""),"",$C730*IFERROR(INDEX(PecCusto,MATCH($B730,PecCod,0)),0))</f>
        <v>0</v>
      </c>
      <c r="I730" s="32">
        <f>IF($A730="","",IFERROR(INDEX(OSStatus,MATCH($A730,OSNum,0)),"OS inexistente"))</f>
        <v>0</v>
      </c>
      <c r="J730" s="32">
        <f>IF($A730="","",IF($I730="OS inexistente","OS inexistente",IF($E730="Peça não cadastrada","Peça não cadastrada","OK")))</f>
        <v>0</v>
      </c>
    </row>
    <row r="731" spans="1:10">
      <c r="A731" s="17"/>
      <c r="B731" s="13"/>
      <c r="C731" s="20"/>
      <c r="D731" s="19"/>
      <c r="E731" s="26">
        <f>IF($B731="","",IFERROR(INDEX(PecDesc,MATCH($B731,PecCod,0)),"Peça não cadastrada"))</f>
        <v>0</v>
      </c>
      <c r="F731" s="27">
        <f>IF($B731="","",IF($D731&lt;&gt;"",$D731,IFERROR(INDEX(PecPreco,MATCH($B731,PecCod,0)),0)))</f>
        <v>0</v>
      </c>
      <c r="G731" s="27">
        <f>IF(OR($B731="",$C731=""),"",$C731*$F731)</f>
        <v>0</v>
      </c>
      <c r="H731" s="27">
        <f>IF(OR($B731="",$C731=""),"",$C731*IFERROR(INDEX(PecCusto,MATCH($B731,PecCod,0)),0))</f>
        <v>0</v>
      </c>
      <c r="I731" s="32">
        <f>IF($A731="","",IFERROR(INDEX(OSStatus,MATCH($A731,OSNum,0)),"OS inexistente"))</f>
        <v>0</v>
      </c>
      <c r="J731" s="32">
        <f>IF($A731="","",IF($I731="OS inexistente","OS inexistente",IF($E731="Peça não cadastrada","Peça não cadastrada","OK")))</f>
        <v>0</v>
      </c>
    </row>
    <row r="732" spans="1:10">
      <c r="A732" s="17"/>
      <c r="B732" s="13"/>
      <c r="C732" s="20"/>
      <c r="D732" s="19"/>
      <c r="E732" s="26">
        <f>IF($B732="","",IFERROR(INDEX(PecDesc,MATCH($B732,PecCod,0)),"Peça não cadastrada"))</f>
        <v>0</v>
      </c>
      <c r="F732" s="27">
        <f>IF($B732="","",IF($D732&lt;&gt;"",$D732,IFERROR(INDEX(PecPreco,MATCH($B732,PecCod,0)),0)))</f>
        <v>0</v>
      </c>
      <c r="G732" s="27">
        <f>IF(OR($B732="",$C732=""),"",$C732*$F732)</f>
        <v>0</v>
      </c>
      <c r="H732" s="27">
        <f>IF(OR($B732="",$C732=""),"",$C732*IFERROR(INDEX(PecCusto,MATCH($B732,PecCod,0)),0))</f>
        <v>0</v>
      </c>
      <c r="I732" s="32">
        <f>IF($A732="","",IFERROR(INDEX(OSStatus,MATCH($A732,OSNum,0)),"OS inexistente"))</f>
        <v>0</v>
      </c>
      <c r="J732" s="32">
        <f>IF($A732="","",IF($I732="OS inexistente","OS inexistente",IF($E732="Peça não cadastrada","Peça não cadastrada","OK")))</f>
        <v>0</v>
      </c>
    </row>
    <row r="733" spans="1:10">
      <c r="A733" s="17"/>
      <c r="B733" s="13"/>
      <c r="C733" s="20"/>
      <c r="D733" s="19"/>
      <c r="E733" s="26">
        <f>IF($B733="","",IFERROR(INDEX(PecDesc,MATCH($B733,PecCod,0)),"Peça não cadastrada"))</f>
        <v>0</v>
      </c>
      <c r="F733" s="27">
        <f>IF($B733="","",IF($D733&lt;&gt;"",$D733,IFERROR(INDEX(PecPreco,MATCH($B733,PecCod,0)),0)))</f>
        <v>0</v>
      </c>
      <c r="G733" s="27">
        <f>IF(OR($B733="",$C733=""),"",$C733*$F733)</f>
        <v>0</v>
      </c>
      <c r="H733" s="27">
        <f>IF(OR($B733="",$C733=""),"",$C733*IFERROR(INDEX(PecCusto,MATCH($B733,PecCod,0)),0))</f>
        <v>0</v>
      </c>
      <c r="I733" s="32">
        <f>IF($A733="","",IFERROR(INDEX(OSStatus,MATCH($A733,OSNum,0)),"OS inexistente"))</f>
        <v>0</v>
      </c>
      <c r="J733" s="32">
        <f>IF($A733="","",IF($I733="OS inexistente","OS inexistente",IF($E733="Peça não cadastrada","Peça não cadastrada","OK")))</f>
        <v>0</v>
      </c>
    </row>
    <row r="734" spans="1:10">
      <c r="A734" s="17"/>
      <c r="B734" s="13"/>
      <c r="C734" s="20"/>
      <c r="D734" s="19"/>
      <c r="E734" s="26">
        <f>IF($B734="","",IFERROR(INDEX(PecDesc,MATCH($B734,PecCod,0)),"Peça não cadastrada"))</f>
        <v>0</v>
      </c>
      <c r="F734" s="27">
        <f>IF($B734="","",IF($D734&lt;&gt;"",$D734,IFERROR(INDEX(PecPreco,MATCH($B734,PecCod,0)),0)))</f>
        <v>0</v>
      </c>
      <c r="G734" s="27">
        <f>IF(OR($B734="",$C734=""),"",$C734*$F734)</f>
        <v>0</v>
      </c>
      <c r="H734" s="27">
        <f>IF(OR($B734="",$C734=""),"",$C734*IFERROR(INDEX(PecCusto,MATCH($B734,PecCod,0)),0))</f>
        <v>0</v>
      </c>
      <c r="I734" s="32">
        <f>IF($A734="","",IFERROR(INDEX(OSStatus,MATCH($A734,OSNum,0)),"OS inexistente"))</f>
        <v>0</v>
      </c>
      <c r="J734" s="32">
        <f>IF($A734="","",IF($I734="OS inexistente","OS inexistente",IF($E734="Peça não cadastrada","Peça não cadastrada","OK")))</f>
        <v>0</v>
      </c>
    </row>
    <row r="735" spans="1:10">
      <c r="A735" s="17"/>
      <c r="B735" s="13"/>
      <c r="C735" s="20"/>
      <c r="D735" s="19"/>
      <c r="E735" s="26">
        <f>IF($B735="","",IFERROR(INDEX(PecDesc,MATCH($B735,PecCod,0)),"Peça não cadastrada"))</f>
        <v>0</v>
      </c>
      <c r="F735" s="27">
        <f>IF($B735="","",IF($D735&lt;&gt;"",$D735,IFERROR(INDEX(PecPreco,MATCH($B735,PecCod,0)),0)))</f>
        <v>0</v>
      </c>
      <c r="G735" s="27">
        <f>IF(OR($B735="",$C735=""),"",$C735*$F735)</f>
        <v>0</v>
      </c>
      <c r="H735" s="27">
        <f>IF(OR($B735="",$C735=""),"",$C735*IFERROR(INDEX(PecCusto,MATCH($B735,PecCod,0)),0))</f>
        <v>0</v>
      </c>
      <c r="I735" s="32">
        <f>IF($A735="","",IFERROR(INDEX(OSStatus,MATCH($A735,OSNum,0)),"OS inexistente"))</f>
        <v>0</v>
      </c>
      <c r="J735" s="32">
        <f>IF($A735="","",IF($I735="OS inexistente","OS inexistente",IF($E735="Peça não cadastrada","Peça não cadastrada","OK")))</f>
        <v>0</v>
      </c>
    </row>
    <row r="736" spans="1:10">
      <c r="A736" s="17"/>
      <c r="B736" s="13"/>
      <c r="C736" s="20"/>
      <c r="D736" s="19"/>
      <c r="E736" s="26">
        <f>IF($B736="","",IFERROR(INDEX(PecDesc,MATCH($B736,PecCod,0)),"Peça não cadastrada"))</f>
        <v>0</v>
      </c>
      <c r="F736" s="27">
        <f>IF($B736="","",IF($D736&lt;&gt;"",$D736,IFERROR(INDEX(PecPreco,MATCH($B736,PecCod,0)),0)))</f>
        <v>0</v>
      </c>
      <c r="G736" s="27">
        <f>IF(OR($B736="",$C736=""),"",$C736*$F736)</f>
        <v>0</v>
      </c>
      <c r="H736" s="27">
        <f>IF(OR($B736="",$C736=""),"",$C736*IFERROR(INDEX(PecCusto,MATCH($B736,PecCod,0)),0))</f>
        <v>0</v>
      </c>
      <c r="I736" s="32">
        <f>IF($A736="","",IFERROR(INDEX(OSStatus,MATCH($A736,OSNum,0)),"OS inexistente"))</f>
        <v>0</v>
      </c>
      <c r="J736" s="32">
        <f>IF($A736="","",IF($I736="OS inexistente","OS inexistente",IF($E736="Peça não cadastrada","Peça não cadastrada","OK")))</f>
        <v>0</v>
      </c>
    </row>
    <row r="737" spans="1:10">
      <c r="A737" s="17"/>
      <c r="B737" s="13"/>
      <c r="C737" s="20"/>
      <c r="D737" s="19"/>
      <c r="E737" s="26">
        <f>IF($B737="","",IFERROR(INDEX(PecDesc,MATCH($B737,PecCod,0)),"Peça não cadastrada"))</f>
        <v>0</v>
      </c>
      <c r="F737" s="27">
        <f>IF($B737="","",IF($D737&lt;&gt;"",$D737,IFERROR(INDEX(PecPreco,MATCH($B737,PecCod,0)),0)))</f>
        <v>0</v>
      </c>
      <c r="G737" s="27">
        <f>IF(OR($B737="",$C737=""),"",$C737*$F737)</f>
        <v>0</v>
      </c>
      <c r="H737" s="27">
        <f>IF(OR($B737="",$C737=""),"",$C737*IFERROR(INDEX(PecCusto,MATCH($B737,PecCod,0)),0))</f>
        <v>0</v>
      </c>
      <c r="I737" s="32">
        <f>IF($A737="","",IFERROR(INDEX(OSStatus,MATCH($A737,OSNum,0)),"OS inexistente"))</f>
        <v>0</v>
      </c>
      <c r="J737" s="32">
        <f>IF($A737="","",IF($I737="OS inexistente","OS inexistente",IF($E737="Peça não cadastrada","Peça não cadastrada","OK")))</f>
        <v>0</v>
      </c>
    </row>
    <row r="738" spans="1:10">
      <c r="A738" s="17"/>
      <c r="B738" s="13"/>
      <c r="C738" s="20"/>
      <c r="D738" s="19"/>
      <c r="E738" s="26">
        <f>IF($B738="","",IFERROR(INDEX(PecDesc,MATCH($B738,PecCod,0)),"Peça não cadastrada"))</f>
        <v>0</v>
      </c>
      <c r="F738" s="27">
        <f>IF($B738="","",IF($D738&lt;&gt;"",$D738,IFERROR(INDEX(PecPreco,MATCH($B738,PecCod,0)),0)))</f>
        <v>0</v>
      </c>
      <c r="G738" s="27">
        <f>IF(OR($B738="",$C738=""),"",$C738*$F738)</f>
        <v>0</v>
      </c>
      <c r="H738" s="27">
        <f>IF(OR($B738="",$C738=""),"",$C738*IFERROR(INDEX(PecCusto,MATCH($B738,PecCod,0)),0))</f>
        <v>0</v>
      </c>
      <c r="I738" s="32">
        <f>IF($A738="","",IFERROR(INDEX(OSStatus,MATCH($A738,OSNum,0)),"OS inexistente"))</f>
        <v>0</v>
      </c>
      <c r="J738" s="32">
        <f>IF($A738="","",IF($I738="OS inexistente","OS inexistente",IF($E738="Peça não cadastrada","Peça não cadastrada","OK")))</f>
        <v>0</v>
      </c>
    </row>
    <row r="739" spans="1:10">
      <c r="A739" s="17"/>
      <c r="B739" s="13"/>
      <c r="C739" s="20"/>
      <c r="D739" s="19"/>
      <c r="E739" s="26">
        <f>IF($B739="","",IFERROR(INDEX(PecDesc,MATCH($B739,PecCod,0)),"Peça não cadastrada"))</f>
        <v>0</v>
      </c>
      <c r="F739" s="27">
        <f>IF($B739="","",IF($D739&lt;&gt;"",$D739,IFERROR(INDEX(PecPreco,MATCH($B739,PecCod,0)),0)))</f>
        <v>0</v>
      </c>
      <c r="G739" s="27">
        <f>IF(OR($B739="",$C739=""),"",$C739*$F739)</f>
        <v>0</v>
      </c>
      <c r="H739" s="27">
        <f>IF(OR($B739="",$C739=""),"",$C739*IFERROR(INDEX(PecCusto,MATCH($B739,PecCod,0)),0))</f>
        <v>0</v>
      </c>
      <c r="I739" s="32">
        <f>IF($A739="","",IFERROR(INDEX(OSStatus,MATCH($A739,OSNum,0)),"OS inexistente"))</f>
        <v>0</v>
      </c>
      <c r="J739" s="32">
        <f>IF($A739="","",IF($I739="OS inexistente","OS inexistente",IF($E739="Peça não cadastrada","Peça não cadastrada","OK")))</f>
        <v>0</v>
      </c>
    </row>
    <row r="740" spans="1:10">
      <c r="A740" s="17"/>
      <c r="B740" s="13"/>
      <c r="C740" s="20"/>
      <c r="D740" s="19"/>
      <c r="E740" s="26">
        <f>IF($B740="","",IFERROR(INDEX(PecDesc,MATCH($B740,PecCod,0)),"Peça não cadastrada"))</f>
        <v>0</v>
      </c>
      <c r="F740" s="27">
        <f>IF($B740="","",IF($D740&lt;&gt;"",$D740,IFERROR(INDEX(PecPreco,MATCH($B740,PecCod,0)),0)))</f>
        <v>0</v>
      </c>
      <c r="G740" s="27">
        <f>IF(OR($B740="",$C740=""),"",$C740*$F740)</f>
        <v>0</v>
      </c>
      <c r="H740" s="27">
        <f>IF(OR($B740="",$C740=""),"",$C740*IFERROR(INDEX(PecCusto,MATCH($B740,PecCod,0)),0))</f>
        <v>0</v>
      </c>
      <c r="I740" s="32">
        <f>IF($A740="","",IFERROR(INDEX(OSStatus,MATCH($A740,OSNum,0)),"OS inexistente"))</f>
        <v>0</v>
      </c>
      <c r="J740" s="32">
        <f>IF($A740="","",IF($I740="OS inexistente","OS inexistente",IF($E740="Peça não cadastrada","Peça não cadastrada","OK")))</f>
        <v>0</v>
      </c>
    </row>
    <row r="741" spans="1:10">
      <c r="A741" s="17"/>
      <c r="B741" s="13"/>
      <c r="C741" s="20"/>
      <c r="D741" s="19"/>
      <c r="E741" s="26">
        <f>IF($B741="","",IFERROR(INDEX(PecDesc,MATCH($B741,PecCod,0)),"Peça não cadastrada"))</f>
        <v>0</v>
      </c>
      <c r="F741" s="27">
        <f>IF($B741="","",IF($D741&lt;&gt;"",$D741,IFERROR(INDEX(PecPreco,MATCH($B741,PecCod,0)),0)))</f>
        <v>0</v>
      </c>
      <c r="G741" s="27">
        <f>IF(OR($B741="",$C741=""),"",$C741*$F741)</f>
        <v>0</v>
      </c>
      <c r="H741" s="27">
        <f>IF(OR($B741="",$C741=""),"",$C741*IFERROR(INDEX(PecCusto,MATCH($B741,PecCod,0)),0))</f>
        <v>0</v>
      </c>
      <c r="I741" s="32">
        <f>IF($A741="","",IFERROR(INDEX(OSStatus,MATCH($A741,OSNum,0)),"OS inexistente"))</f>
        <v>0</v>
      </c>
      <c r="J741" s="32">
        <f>IF($A741="","",IF($I741="OS inexistente","OS inexistente",IF($E741="Peça não cadastrada","Peça não cadastrada","OK")))</f>
        <v>0</v>
      </c>
    </row>
    <row r="742" spans="1:10">
      <c r="A742" s="17"/>
      <c r="B742" s="13"/>
      <c r="C742" s="20"/>
      <c r="D742" s="19"/>
      <c r="E742" s="26">
        <f>IF($B742="","",IFERROR(INDEX(PecDesc,MATCH($B742,PecCod,0)),"Peça não cadastrada"))</f>
        <v>0</v>
      </c>
      <c r="F742" s="27">
        <f>IF($B742="","",IF($D742&lt;&gt;"",$D742,IFERROR(INDEX(PecPreco,MATCH($B742,PecCod,0)),0)))</f>
        <v>0</v>
      </c>
      <c r="G742" s="27">
        <f>IF(OR($B742="",$C742=""),"",$C742*$F742)</f>
        <v>0</v>
      </c>
      <c r="H742" s="27">
        <f>IF(OR($B742="",$C742=""),"",$C742*IFERROR(INDEX(PecCusto,MATCH($B742,PecCod,0)),0))</f>
        <v>0</v>
      </c>
      <c r="I742" s="32">
        <f>IF($A742="","",IFERROR(INDEX(OSStatus,MATCH($A742,OSNum,0)),"OS inexistente"))</f>
        <v>0</v>
      </c>
      <c r="J742" s="32">
        <f>IF($A742="","",IF($I742="OS inexistente","OS inexistente",IF($E742="Peça não cadastrada","Peça não cadastrada","OK")))</f>
        <v>0</v>
      </c>
    </row>
    <row r="743" spans="1:10">
      <c r="A743" s="17"/>
      <c r="B743" s="13"/>
      <c r="C743" s="20"/>
      <c r="D743" s="19"/>
      <c r="E743" s="26">
        <f>IF($B743="","",IFERROR(INDEX(PecDesc,MATCH($B743,PecCod,0)),"Peça não cadastrada"))</f>
        <v>0</v>
      </c>
      <c r="F743" s="27">
        <f>IF($B743="","",IF($D743&lt;&gt;"",$D743,IFERROR(INDEX(PecPreco,MATCH($B743,PecCod,0)),0)))</f>
        <v>0</v>
      </c>
      <c r="G743" s="27">
        <f>IF(OR($B743="",$C743=""),"",$C743*$F743)</f>
        <v>0</v>
      </c>
      <c r="H743" s="27">
        <f>IF(OR($B743="",$C743=""),"",$C743*IFERROR(INDEX(PecCusto,MATCH($B743,PecCod,0)),0))</f>
        <v>0</v>
      </c>
      <c r="I743" s="32">
        <f>IF($A743="","",IFERROR(INDEX(OSStatus,MATCH($A743,OSNum,0)),"OS inexistente"))</f>
        <v>0</v>
      </c>
      <c r="J743" s="32">
        <f>IF($A743="","",IF($I743="OS inexistente","OS inexistente",IF($E743="Peça não cadastrada","Peça não cadastrada","OK")))</f>
        <v>0</v>
      </c>
    </row>
    <row r="744" spans="1:10">
      <c r="A744" s="17"/>
      <c r="B744" s="13"/>
      <c r="C744" s="20"/>
      <c r="D744" s="19"/>
      <c r="E744" s="26">
        <f>IF($B744="","",IFERROR(INDEX(PecDesc,MATCH($B744,PecCod,0)),"Peça não cadastrada"))</f>
        <v>0</v>
      </c>
      <c r="F744" s="27">
        <f>IF($B744="","",IF($D744&lt;&gt;"",$D744,IFERROR(INDEX(PecPreco,MATCH($B744,PecCod,0)),0)))</f>
        <v>0</v>
      </c>
      <c r="G744" s="27">
        <f>IF(OR($B744="",$C744=""),"",$C744*$F744)</f>
        <v>0</v>
      </c>
      <c r="H744" s="27">
        <f>IF(OR($B744="",$C744=""),"",$C744*IFERROR(INDEX(PecCusto,MATCH($B744,PecCod,0)),0))</f>
        <v>0</v>
      </c>
      <c r="I744" s="32">
        <f>IF($A744="","",IFERROR(INDEX(OSStatus,MATCH($A744,OSNum,0)),"OS inexistente"))</f>
        <v>0</v>
      </c>
      <c r="J744" s="32">
        <f>IF($A744="","",IF($I744="OS inexistente","OS inexistente",IF($E744="Peça não cadastrada","Peça não cadastrada","OK")))</f>
        <v>0</v>
      </c>
    </row>
    <row r="745" spans="1:10">
      <c r="A745" s="17"/>
      <c r="B745" s="13"/>
      <c r="C745" s="20"/>
      <c r="D745" s="19"/>
      <c r="E745" s="26">
        <f>IF($B745="","",IFERROR(INDEX(PecDesc,MATCH($B745,PecCod,0)),"Peça não cadastrada"))</f>
        <v>0</v>
      </c>
      <c r="F745" s="27">
        <f>IF($B745="","",IF($D745&lt;&gt;"",$D745,IFERROR(INDEX(PecPreco,MATCH($B745,PecCod,0)),0)))</f>
        <v>0</v>
      </c>
      <c r="G745" s="27">
        <f>IF(OR($B745="",$C745=""),"",$C745*$F745)</f>
        <v>0</v>
      </c>
      <c r="H745" s="27">
        <f>IF(OR($B745="",$C745=""),"",$C745*IFERROR(INDEX(PecCusto,MATCH($B745,PecCod,0)),0))</f>
        <v>0</v>
      </c>
      <c r="I745" s="32">
        <f>IF($A745="","",IFERROR(INDEX(OSStatus,MATCH($A745,OSNum,0)),"OS inexistente"))</f>
        <v>0</v>
      </c>
      <c r="J745" s="32">
        <f>IF($A745="","",IF($I745="OS inexistente","OS inexistente",IF($E745="Peça não cadastrada","Peça não cadastrada","OK")))</f>
        <v>0</v>
      </c>
    </row>
    <row r="746" spans="1:10">
      <c r="A746" s="17"/>
      <c r="B746" s="13"/>
      <c r="C746" s="20"/>
      <c r="D746" s="19"/>
      <c r="E746" s="26">
        <f>IF($B746="","",IFERROR(INDEX(PecDesc,MATCH($B746,PecCod,0)),"Peça não cadastrada"))</f>
        <v>0</v>
      </c>
      <c r="F746" s="27">
        <f>IF($B746="","",IF($D746&lt;&gt;"",$D746,IFERROR(INDEX(PecPreco,MATCH($B746,PecCod,0)),0)))</f>
        <v>0</v>
      </c>
      <c r="G746" s="27">
        <f>IF(OR($B746="",$C746=""),"",$C746*$F746)</f>
        <v>0</v>
      </c>
      <c r="H746" s="27">
        <f>IF(OR($B746="",$C746=""),"",$C746*IFERROR(INDEX(PecCusto,MATCH($B746,PecCod,0)),0))</f>
        <v>0</v>
      </c>
      <c r="I746" s="32">
        <f>IF($A746="","",IFERROR(INDEX(OSStatus,MATCH($A746,OSNum,0)),"OS inexistente"))</f>
        <v>0</v>
      </c>
      <c r="J746" s="32">
        <f>IF($A746="","",IF($I746="OS inexistente","OS inexistente",IF($E746="Peça não cadastrada","Peça não cadastrada","OK")))</f>
        <v>0</v>
      </c>
    </row>
    <row r="747" spans="1:10">
      <c r="A747" s="17"/>
      <c r="B747" s="13"/>
      <c r="C747" s="20"/>
      <c r="D747" s="19"/>
      <c r="E747" s="26">
        <f>IF($B747="","",IFERROR(INDEX(PecDesc,MATCH($B747,PecCod,0)),"Peça não cadastrada"))</f>
        <v>0</v>
      </c>
      <c r="F747" s="27">
        <f>IF($B747="","",IF($D747&lt;&gt;"",$D747,IFERROR(INDEX(PecPreco,MATCH($B747,PecCod,0)),0)))</f>
        <v>0</v>
      </c>
      <c r="G747" s="27">
        <f>IF(OR($B747="",$C747=""),"",$C747*$F747)</f>
        <v>0</v>
      </c>
      <c r="H747" s="27">
        <f>IF(OR($B747="",$C747=""),"",$C747*IFERROR(INDEX(PecCusto,MATCH($B747,PecCod,0)),0))</f>
        <v>0</v>
      </c>
      <c r="I747" s="32">
        <f>IF($A747="","",IFERROR(INDEX(OSStatus,MATCH($A747,OSNum,0)),"OS inexistente"))</f>
        <v>0</v>
      </c>
      <c r="J747" s="32">
        <f>IF($A747="","",IF($I747="OS inexistente","OS inexistente",IF($E747="Peça não cadastrada","Peça não cadastrada","OK")))</f>
        <v>0</v>
      </c>
    </row>
    <row r="748" spans="1:10">
      <c r="A748" s="17"/>
      <c r="B748" s="13"/>
      <c r="C748" s="20"/>
      <c r="D748" s="19"/>
      <c r="E748" s="26">
        <f>IF($B748="","",IFERROR(INDEX(PecDesc,MATCH($B748,PecCod,0)),"Peça não cadastrada"))</f>
        <v>0</v>
      </c>
      <c r="F748" s="27">
        <f>IF($B748="","",IF($D748&lt;&gt;"",$D748,IFERROR(INDEX(PecPreco,MATCH($B748,PecCod,0)),0)))</f>
        <v>0</v>
      </c>
      <c r="G748" s="27">
        <f>IF(OR($B748="",$C748=""),"",$C748*$F748)</f>
        <v>0</v>
      </c>
      <c r="H748" s="27">
        <f>IF(OR($B748="",$C748=""),"",$C748*IFERROR(INDEX(PecCusto,MATCH($B748,PecCod,0)),0))</f>
        <v>0</v>
      </c>
      <c r="I748" s="32">
        <f>IF($A748="","",IFERROR(INDEX(OSStatus,MATCH($A748,OSNum,0)),"OS inexistente"))</f>
        <v>0</v>
      </c>
      <c r="J748" s="32">
        <f>IF($A748="","",IF($I748="OS inexistente","OS inexistente",IF($E748="Peça não cadastrada","Peça não cadastrada","OK")))</f>
        <v>0</v>
      </c>
    </row>
    <row r="749" spans="1:10">
      <c r="A749" s="17"/>
      <c r="B749" s="13"/>
      <c r="C749" s="20"/>
      <c r="D749" s="19"/>
      <c r="E749" s="26">
        <f>IF($B749="","",IFERROR(INDEX(PecDesc,MATCH($B749,PecCod,0)),"Peça não cadastrada"))</f>
        <v>0</v>
      </c>
      <c r="F749" s="27">
        <f>IF($B749="","",IF($D749&lt;&gt;"",$D749,IFERROR(INDEX(PecPreco,MATCH($B749,PecCod,0)),0)))</f>
        <v>0</v>
      </c>
      <c r="G749" s="27">
        <f>IF(OR($B749="",$C749=""),"",$C749*$F749)</f>
        <v>0</v>
      </c>
      <c r="H749" s="27">
        <f>IF(OR($B749="",$C749=""),"",$C749*IFERROR(INDEX(PecCusto,MATCH($B749,PecCod,0)),0))</f>
        <v>0</v>
      </c>
      <c r="I749" s="32">
        <f>IF($A749="","",IFERROR(INDEX(OSStatus,MATCH($A749,OSNum,0)),"OS inexistente"))</f>
        <v>0</v>
      </c>
      <c r="J749" s="32">
        <f>IF($A749="","",IF($I749="OS inexistente","OS inexistente",IF($E749="Peça não cadastrada","Peça não cadastrada","OK")))</f>
        <v>0</v>
      </c>
    </row>
    <row r="750" spans="1:10">
      <c r="A750" s="17"/>
      <c r="B750" s="13"/>
      <c r="C750" s="20"/>
      <c r="D750" s="19"/>
      <c r="E750" s="26">
        <f>IF($B750="","",IFERROR(INDEX(PecDesc,MATCH($B750,PecCod,0)),"Peça não cadastrada"))</f>
        <v>0</v>
      </c>
      <c r="F750" s="27">
        <f>IF($B750="","",IF($D750&lt;&gt;"",$D750,IFERROR(INDEX(PecPreco,MATCH($B750,PecCod,0)),0)))</f>
        <v>0</v>
      </c>
      <c r="G750" s="27">
        <f>IF(OR($B750="",$C750=""),"",$C750*$F750)</f>
        <v>0</v>
      </c>
      <c r="H750" s="27">
        <f>IF(OR($B750="",$C750=""),"",$C750*IFERROR(INDEX(PecCusto,MATCH($B750,PecCod,0)),0))</f>
        <v>0</v>
      </c>
      <c r="I750" s="32">
        <f>IF($A750="","",IFERROR(INDEX(OSStatus,MATCH($A750,OSNum,0)),"OS inexistente"))</f>
        <v>0</v>
      </c>
      <c r="J750" s="32">
        <f>IF($A750="","",IF($I750="OS inexistente","OS inexistente",IF($E750="Peça não cadastrada","Peça não cadastrada","OK")))</f>
        <v>0</v>
      </c>
    </row>
    <row r="751" spans="1:10">
      <c r="A751" s="17"/>
      <c r="B751" s="13"/>
      <c r="C751" s="20"/>
      <c r="D751" s="19"/>
      <c r="E751" s="26">
        <f>IF($B751="","",IFERROR(INDEX(PecDesc,MATCH($B751,PecCod,0)),"Peça não cadastrada"))</f>
        <v>0</v>
      </c>
      <c r="F751" s="27">
        <f>IF($B751="","",IF($D751&lt;&gt;"",$D751,IFERROR(INDEX(PecPreco,MATCH($B751,PecCod,0)),0)))</f>
        <v>0</v>
      </c>
      <c r="G751" s="27">
        <f>IF(OR($B751="",$C751=""),"",$C751*$F751)</f>
        <v>0</v>
      </c>
      <c r="H751" s="27">
        <f>IF(OR($B751="",$C751=""),"",$C751*IFERROR(INDEX(PecCusto,MATCH($B751,PecCod,0)),0))</f>
        <v>0</v>
      </c>
      <c r="I751" s="32">
        <f>IF($A751="","",IFERROR(INDEX(OSStatus,MATCH($A751,OSNum,0)),"OS inexistente"))</f>
        <v>0</v>
      </c>
      <c r="J751" s="32">
        <f>IF($A751="","",IF($I751="OS inexistente","OS inexistente",IF($E751="Peça não cadastrada","Peça não cadastrada","OK")))</f>
        <v>0</v>
      </c>
    </row>
    <row r="752" spans="1:10">
      <c r="A752" s="17"/>
      <c r="B752" s="13"/>
      <c r="C752" s="20"/>
      <c r="D752" s="19"/>
      <c r="E752" s="26">
        <f>IF($B752="","",IFERROR(INDEX(PecDesc,MATCH($B752,PecCod,0)),"Peça não cadastrada"))</f>
        <v>0</v>
      </c>
      <c r="F752" s="27">
        <f>IF($B752="","",IF($D752&lt;&gt;"",$D752,IFERROR(INDEX(PecPreco,MATCH($B752,PecCod,0)),0)))</f>
        <v>0</v>
      </c>
      <c r="G752" s="27">
        <f>IF(OR($B752="",$C752=""),"",$C752*$F752)</f>
        <v>0</v>
      </c>
      <c r="H752" s="27">
        <f>IF(OR($B752="",$C752=""),"",$C752*IFERROR(INDEX(PecCusto,MATCH($B752,PecCod,0)),0))</f>
        <v>0</v>
      </c>
      <c r="I752" s="32">
        <f>IF($A752="","",IFERROR(INDEX(OSStatus,MATCH($A752,OSNum,0)),"OS inexistente"))</f>
        <v>0</v>
      </c>
      <c r="J752" s="32">
        <f>IF($A752="","",IF($I752="OS inexistente","OS inexistente",IF($E752="Peça não cadastrada","Peça não cadastrada","OK")))</f>
        <v>0</v>
      </c>
    </row>
    <row r="753" spans="1:10">
      <c r="A753" s="17"/>
      <c r="B753" s="13"/>
      <c r="C753" s="20"/>
      <c r="D753" s="19"/>
      <c r="E753" s="26">
        <f>IF($B753="","",IFERROR(INDEX(PecDesc,MATCH($B753,PecCod,0)),"Peça não cadastrada"))</f>
        <v>0</v>
      </c>
      <c r="F753" s="27">
        <f>IF($B753="","",IF($D753&lt;&gt;"",$D753,IFERROR(INDEX(PecPreco,MATCH($B753,PecCod,0)),0)))</f>
        <v>0</v>
      </c>
      <c r="G753" s="27">
        <f>IF(OR($B753="",$C753=""),"",$C753*$F753)</f>
        <v>0</v>
      </c>
      <c r="H753" s="27">
        <f>IF(OR($B753="",$C753=""),"",$C753*IFERROR(INDEX(PecCusto,MATCH($B753,PecCod,0)),0))</f>
        <v>0</v>
      </c>
      <c r="I753" s="32">
        <f>IF($A753="","",IFERROR(INDEX(OSStatus,MATCH($A753,OSNum,0)),"OS inexistente"))</f>
        <v>0</v>
      </c>
      <c r="J753" s="32">
        <f>IF($A753="","",IF($I753="OS inexistente","OS inexistente",IF($E753="Peça não cadastrada","Peça não cadastrada","OK")))</f>
        <v>0</v>
      </c>
    </row>
    <row r="754" spans="1:10">
      <c r="A754" s="17"/>
      <c r="B754" s="13"/>
      <c r="C754" s="20"/>
      <c r="D754" s="19"/>
      <c r="E754" s="26">
        <f>IF($B754="","",IFERROR(INDEX(PecDesc,MATCH($B754,PecCod,0)),"Peça não cadastrada"))</f>
        <v>0</v>
      </c>
      <c r="F754" s="27">
        <f>IF($B754="","",IF($D754&lt;&gt;"",$D754,IFERROR(INDEX(PecPreco,MATCH($B754,PecCod,0)),0)))</f>
        <v>0</v>
      </c>
      <c r="G754" s="27">
        <f>IF(OR($B754="",$C754=""),"",$C754*$F754)</f>
        <v>0</v>
      </c>
      <c r="H754" s="27">
        <f>IF(OR($B754="",$C754=""),"",$C754*IFERROR(INDEX(PecCusto,MATCH($B754,PecCod,0)),0))</f>
        <v>0</v>
      </c>
      <c r="I754" s="32">
        <f>IF($A754="","",IFERROR(INDEX(OSStatus,MATCH($A754,OSNum,0)),"OS inexistente"))</f>
        <v>0</v>
      </c>
      <c r="J754" s="32">
        <f>IF($A754="","",IF($I754="OS inexistente","OS inexistente",IF($E754="Peça não cadastrada","Peça não cadastrada","OK")))</f>
        <v>0</v>
      </c>
    </row>
    <row r="755" spans="1:10">
      <c r="A755" s="17"/>
      <c r="B755" s="13"/>
      <c r="C755" s="20"/>
      <c r="D755" s="19"/>
      <c r="E755" s="26">
        <f>IF($B755="","",IFERROR(INDEX(PecDesc,MATCH($B755,PecCod,0)),"Peça não cadastrada"))</f>
        <v>0</v>
      </c>
      <c r="F755" s="27">
        <f>IF($B755="","",IF($D755&lt;&gt;"",$D755,IFERROR(INDEX(PecPreco,MATCH($B755,PecCod,0)),0)))</f>
        <v>0</v>
      </c>
      <c r="G755" s="27">
        <f>IF(OR($B755="",$C755=""),"",$C755*$F755)</f>
        <v>0</v>
      </c>
      <c r="H755" s="27">
        <f>IF(OR($B755="",$C755=""),"",$C755*IFERROR(INDEX(PecCusto,MATCH($B755,PecCod,0)),0))</f>
        <v>0</v>
      </c>
      <c r="I755" s="32">
        <f>IF($A755="","",IFERROR(INDEX(OSStatus,MATCH($A755,OSNum,0)),"OS inexistente"))</f>
        <v>0</v>
      </c>
      <c r="J755" s="32">
        <f>IF($A755="","",IF($I755="OS inexistente","OS inexistente",IF($E755="Peça não cadastrada","Peça não cadastrada","OK")))</f>
        <v>0</v>
      </c>
    </row>
    <row r="756" spans="1:10">
      <c r="A756" s="17"/>
      <c r="B756" s="13"/>
      <c r="C756" s="20"/>
      <c r="D756" s="19"/>
      <c r="E756" s="26">
        <f>IF($B756="","",IFERROR(INDEX(PecDesc,MATCH($B756,PecCod,0)),"Peça não cadastrada"))</f>
        <v>0</v>
      </c>
      <c r="F756" s="27">
        <f>IF($B756="","",IF($D756&lt;&gt;"",$D756,IFERROR(INDEX(PecPreco,MATCH($B756,PecCod,0)),0)))</f>
        <v>0</v>
      </c>
      <c r="G756" s="27">
        <f>IF(OR($B756="",$C756=""),"",$C756*$F756)</f>
        <v>0</v>
      </c>
      <c r="H756" s="27">
        <f>IF(OR($B756="",$C756=""),"",$C756*IFERROR(INDEX(PecCusto,MATCH($B756,PecCod,0)),0))</f>
        <v>0</v>
      </c>
      <c r="I756" s="32">
        <f>IF($A756="","",IFERROR(INDEX(OSStatus,MATCH($A756,OSNum,0)),"OS inexistente"))</f>
        <v>0</v>
      </c>
      <c r="J756" s="32">
        <f>IF($A756="","",IF($I756="OS inexistente","OS inexistente",IF($E756="Peça não cadastrada","Peça não cadastrada","OK")))</f>
        <v>0</v>
      </c>
    </row>
    <row r="757" spans="1:10">
      <c r="A757" s="17"/>
      <c r="B757" s="13"/>
      <c r="C757" s="20"/>
      <c r="D757" s="19"/>
      <c r="E757" s="26">
        <f>IF($B757="","",IFERROR(INDEX(PecDesc,MATCH($B757,PecCod,0)),"Peça não cadastrada"))</f>
        <v>0</v>
      </c>
      <c r="F757" s="27">
        <f>IF($B757="","",IF($D757&lt;&gt;"",$D757,IFERROR(INDEX(PecPreco,MATCH($B757,PecCod,0)),0)))</f>
        <v>0</v>
      </c>
      <c r="G757" s="27">
        <f>IF(OR($B757="",$C757=""),"",$C757*$F757)</f>
        <v>0</v>
      </c>
      <c r="H757" s="27">
        <f>IF(OR($B757="",$C757=""),"",$C757*IFERROR(INDEX(PecCusto,MATCH($B757,PecCod,0)),0))</f>
        <v>0</v>
      </c>
      <c r="I757" s="32">
        <f>IF($A757="","",IFERROR(INDEX(OSStatus,MATCH($A757,OSNum,0)),"OS inexistente"))</f>
        <v>0</v>
      </c>
      <c r="J757" s="32">
        <f>IF($A757="","",IF($I757="OS inexistente","OS inexistente",IF($E757="Peça não cadastrada","Peça não cadastrada","OK")))</f>
        <v>0</v>
      </c>
    </row>
    <row r="758" spans="1:10">
      <c r="A758" s="17"/>
      <c r="B758" s="13"/>
      <c r="C758" s="20"/>
      <c r="D758" s="19"/>
      <c r="E758" s="26">
        <f>IF($B758="","",IFERROR(INDEX(PecDesc,MATCH($B758,PecCod,0)),"Peça não cadastrada"))</f>
        <v>0</v>
      </c>
      <c r="F758" s="27">
        <f>IF($B758="","",IF($D758&lt;&gt;"",$D758,IFERROR(INDEX(PecPreco,MATCH($B758,PecCod,0)),0)))</f>
        <v>0</v>
      </c>
      <c r="G758" s="27">
        <f>IF(OR($B758="",$C758=""),"",$C758*$F758)</f>
        <v>0</v>
      </c>
      <c r="H758" s="27">
        <f>IF(OR($B758="",$C758=""),"",$C758*IFERROR(INDEX(PecCusto,MATCH($B758,PecCod,0)),0))</f>
        <v>0</v>
      </c>
      <c r="I758" s="32">
        <f>IF($A758="","",IFERROR(INDEX(OSStatus,MATCH($A758,OSNum,0)),"OS inexistente"))</f>
        <v>0</v>
      </c>
      <c r="J758" s="32">
        <f>IF($A758="","",IF($I758="OS inexistente","OS inexistente",IF($E758="Peça não cadastrada","Peça não cadastrada","OK")))</f>
        <v>0</v>
      </c>
    </row>
    <row r="759" spans="1:10">
      <c r="A759" s="17"/>
      <c r="B759" s="13"/>
      <c r="C759" s="20"/>
      <c r="D759" s="19"/>
      <c r="E759" s="26">
        <f>IF($B759="","",IFERROR(INDEX(PecDesc,MATCH($B759,PecCod,0)),"Peça não cadastrada"))</f>
        <v>0</v>
      </c>
      <c r="F759" s="27">
        <f>IF($B759="","",IF($D759&lt;&gt;"",$D759,IFERROR(INDEX(PecPreco,MATCH($B759,PecCod,0)),0)))</f>
        <v>0</v>
      </c>
      <c r="G759" s="27">
        <f>IF(OR($B759="",$C759=""),"",$C759*$F759)</f>
        <v>0</v>
      </c>
      <c r="H759" s="27">
        <f>IF(OR($B759="",$C759=""),"",$C759*IFERROR(INDEX(PecCusto,MATCH($B759,PecCod,0)),0))</f>
        <v>0</v>
      </c>
      <c r="I759" s="32">
        <f>IF($A759="","",IFERROR(INDEX(OSStatus,MATCH($A759,OSNum,0)),"OS inexistente"))</f>
        <v>0</v>
      </c>
      <c r="J759" s="32">
        <f>IF($A759="","",IF($I759="OS inexistente","OS inexistente",IF($E759="Peça não cadastrada","Peça não cadastrada","OK")))</f>
        <v>0</v>
      </c>
    </row>
    <row r="760" spans="1:10">
      <c r="A760" s="17"/>
      <c r="B760" s="13"/>
      <c r="C760" s="20"/>
      <c r="D760" s="19"/>
      <c r="E760" s="26">
        <f>IF($B760="","",IFERROR(INDEX(PecDesc,MATCH($B760,PecCod,0)),"Peça não cadastrada"))</f>
        <v>0</v>
      </c>
      <c r="F760" s="27">
        <f>IF($B760="","",IF($D760&lt;&gt;"",$D760,IFERROR(INDEX(PecPreco,MATCH($B760,PecCod,0)),0)))</f>
        <v>0</v>
      </c>
      <c r="G760" s="27">
        <f>IF(OR($B760="",$C760=""),"",$C760*$F760)</f>
        <v>0</v>
      </c>
      <c r="H760" s="27">
        <f>IF(OR($B760="",$C760=""),"",$C760*IFERROR(INDEX(PecCusto,MATCH($B760,PecCod,0)),0))</f>
        <v>0</v>
      </c>
      <c r="I760" s="32">
        <f>IF($A760="","",IFERROR(INDEX(OSStatus,MATCH($A760,OSNum,0)),"OS inexistente"))</f>
        <v>0</v>
      </c>
      <c r="J760" s="32">
        <f>IF($A760="","",IF($I760="OS inexistente","OS inexistente",IF($E760="Peça não cadastrada","Peça não cadastrada","OK")))</f>
        <v>0</v>
      </c>
    </row>
    <row r="761" spans="1:10">
      <c r="A761" s="17"/>
      <c r="B761" s="13"/>
      <c r="C761" s="20"/>
      <c r="D761" s="19"/>
      <c r="E761" s="26">
        <f>IF($B761="","",IFERROR(INDEX(PecDesc,MATCH($B761,PecCod,0)),"Peça não cadastrada"))</f>
        <v>0</v>
      </c>
      <c r="F761" s="27">
        <f>IF($B761="","",IF($D761&lt;&gt;"",$D761,IFERROR(INDEX(PecPreco,MATCH($B761,PecCod,0)),0)))</f>
        <v>0</v>
      </c>
      <c r="G761" s="27">
        <f>IF(OR($B761="",$C761=""),"",$C761*$F761)</f>
        <v>0</v>
      </c>
      <c r="H761" s="27">
        <f>IF(OR($B761="",$C761=""),"",$C761*IFERROR(INDEX(PecCusto,MATCH($B761,PecCod,0)),0))</f>
        <v>0</v>
      </c>
      <c r="I761" s="32">
        <f>IF($A761="","",IFERROR(INDEX(OSStatus,MATCH($A761,OSNum,0)),"OS inexistente"))</f>
        <v>0</v>
      </c>
      <c r="J761" s="32">
        <f>IF($A761="","",IF($I761="OS inexistente","OS inexistente",IF($E761="Peça não cadastrada","Peça não cadastrada","OK")))</f>
        <v>0</v>
      </c>
    </row>
    <row r="762" spans="1:10">
      <c r="A762" s="17"/>
      <c r="B762" s="13"/>
      <c r="C762" s="20"/>
      <c r="D762" s="19"/>
      <c r="E762" s="26">
        <f>IF($B762="","",IFERROR(INDEX(PecDesc,MATCH($B762,PecCod,0)),"Peça não cadastrada"))</f>
        <v>0</v>
      </c>
      <c r="F762" s="27">
        <f>IF($B762="","",IF($D762&lt;&gt;"",$D762,IFERROR(INDEX(PecPreco,MATCH($B762,PecCod,0)),0)))</f>
        <v>0</v>
      </c>
      <c r="G762" s="27">
        <f>IF(OR($B762="",$C762=""),"",$C762*$F762)</f>
        <v>0</v>
      </c>
      <c r="H762" s="27">
        <f>IF(OR($B762="",$C762=""),"",$C762*IFERROR(INDEX(PecCusto,MATCH($B762,PecCod,0)),0))</f>
        <v>0</v>
      </c>
      <c r="I762" s="32">
        <f>IF($A762="","",IFERROR(INDEX(OSStatus,MATCH($A762,OSNum,0)),"OS inexistente"))</f>
        <v>0</v>
      </c>
      <c r="J762" s="32">
        <f>IF($A762="","",IF($I762="OS inexistente","OS inexistente",IF($E762="Peça não cadastrada","Peça não cadastrada","OK")))</f>
        <v>0</v>
      </c>
    </row>
    <row r="763" spans="1:10">
      <c r="A763" s="17"/>
      <c r="B763" s="13"/>
      <c r="C763" s="20"/>
      <c r="D763" s="19"/>
      <c r="E763" s="26">
        <f>IF($B763="","",IFERROR(INDEX(PecDesc,MATCH($B763,PecCod,0)),"Peça não cadastrada"))</f>
        <v>0</v>
      </c>
      <c r="F763" s="27">
        <f>IF($B763="","",IF($D763&lt;&gt;"",$D763,IFERROR(INDEX(PecPreco,MATCH($B763,PecCod,0)),0)))</f>
        <v>0</v>
      </c>
      <c r="G763" s="27">
        <f>IF(OR($B763="",$C763=""),"",$C763*$F763)</f>
        <v>0</v>
      </c>
      <c r="H763" s="27">
        <f>IF(OR($B763="",$C763=""),"",$C763*IFERROR(INDEX(PecCusto,MATCH($B763,PecCod,0)),0))</f>
        <v>0</v>
      </c>
      <c r="I763" s="32">
        <f>IF($A763="","",IFERROR(INDEX(OSStatus,MATCH($A763,OSNum,0)),"OS inexistente"))</f>
        <v>0</v>
      </c>
      <c r="J763" s="32">
        <f>IF($A763="","",IF($I763="OS inexistente","OS inexistente",IF($E763="Peça não cadastrada","Peça não cadastrada","OK")))</f>
        <v>0</v>
      </c>
    </row>
    <row r="764" spans="1:10">
      <c r="A764" s="17"/>
      <c r="B764" s="13"/>
      <c r="C764" s="20"/>
      <c r="D764" s="19"/>
      <c r="E764" s="26">
        <f>IF($B764="","",IFERROR(INDEX(PecDesc,MATCH($B764,PecCod,0)),"Peça não cadastrada"))</f>
        <v>0</v>
      </c>
      <c r="F764" s="27">
        <f>IF($B764="","",IF($D764&lt;&gt;"",$D764,IFERROR(INDEX(PecPreco,MATCH($B764,PecCod,0)),0)))</f>
        <v>0</v>
      </c>
      <c r="G764" s="27">
        <f>IF(OR($B764="",$C764=""),"",$C764*$F764)</f>
        <v>0</v>
      </c>
      <c r="H764" s="27">
        <f>IF(OR($B764="",$C764=""),"",$C764*IFERROR(INDEX(PecCusto,MATCH($B764,PecCod,0)),0))</f>
        <v>0</v>
      </c>
      <c r="I764" s="32">
        <f>IF($A764="","",IFERROR(INDEX(OSStatus,MATCH($A764,OSNum,0)),"OS inexistente"))</f>
        <v>0</v>
      </c>
      <c r="J764" s="32">
        <f>IF($A764="","",IF($I764="OS inexistente","OS inexistente",IF($E764="Peça não cadastrada","Peça não cadastrada","OK")))</f>
        <v>0</v>
      </c>
    </row>
    <row r="765" spans="1:10">
      <c r="A765" s="17"/>
      <c r="B765" s="13"/>
      <c r="C765" s="20"/>
      <c r="D765" s="19"/>
      <c r="E765" s="26">
        <f>IF($B765="","",IFERROR(INDEX(PecDesc,MATCH($B765,PecCod,0)),"Peça não cadastrada"))</f>
        <v>0</v>
      </c>
      <c r="F765" s="27">
        <f>IF($B765="","",IF($D765&lt;&gt;"",$D765,IFERROR(INDEX(PecPreco,MATCH($B765,PecCod,0)),0)))</f>
        <v>0</v>
      </c>
      <c r="G765" s="27">
        <f>IF(OR($B765="",$C765=""),"",$C765*$F765)</f>
        <v>0</v>
      </c>
      <c r="H765" s="27">
        <f>IF(OR($B765="",$C765=""),"",$C765*IFERROR(INDEX(PecCusto,MATCH($B765,PecCod,0)),0))</f>
        <v>0</v>
      </c>
      <c r="I765" s="32">
        <f>IF($A765="","",IFERROR(INDEX(OSStatus,MATCH($A765,OSNum,0)),"OS inexistente"))</f>
        <v>0</v>
      </c>
      <c r="J765" s="32">
        <f>IF($A765="","",IF($I765="OS inexistente","OS inexistente",IF($E765="Peça não cadastrada","Peça não cadastrada","OK")))</f>
        <v>0</v>
      </c>
    </row>
    <row r="766" spans="1:10">
      <c r="A766" s="17"/>
      <c r="B766" s="13"/>
      <c r="C766" s="20"/>
      <c r="D766" s="19"/>
      <c r="E766" s="26">
        <f>IF($B766="","",IFERROR(INDEX(PecDesc,MATCH($B766,PecCod,0)),"Peça não cadastrada"))</f>
        <v>0</v>
      </c>
      <c r="F766" s="27">
        <f>IF($B766="","",IF($D766&lt;&gt;"",$D766,IFERROR(INDEX(PecPreco,MATCH($B766,PecCod,0)),0)))</f>
        <v>0</v>
      </c>
      <c r="G766" s="27">
        <f>IF(OR($B766="",$C766=""),"",$C766*$F766)</f>
        <v>0</v>
      </c>
      <c r="H766" s="27">
        <f>IF(OR($B766="",$C766=""),"",$C766*IFERROR(INDEX(PecCusto,MATCH($B766,PecCod,0)),0))</f>
        <v>0</v>
      </c>
      <c r="I766" s="32">
        <f>IF($A766="","",IFERROR(INDEX(OSStatus,MATCH($A766,OSNum,0)),"OS inexistente"))</f>
        <v>0</v>
      </c>
      <c r="J766" s="32">
        <f>IF($A766="","",IF($I766="OS inexistente","OS inexistente",IF($E766="Peça não cadastrada","Peça não cadastrada","OK")))</f>
        <v>0</v>
      </c>
    </row>
    <row r="767" spans="1:10">
      <c r="A767" s="17"/>
      <c r="B767" s="13"/>
      <c r="C767" s="20"/>
      <c r="D767" s="19"/>
      <c r="E767" s="26">
        <f>IF($B767="","",IFERROR(INDEX(PecDesc,MATCH($B767,PecCod,0)),"Peça não cadastrada"))</f>
        <v>0</v>
      </c>
      <c r="F767" s="27">
        <f>IF($B767="","",IF($D767&lt;&gt;"",$D767,IFERROR(INDEX(PecPreco,MATCH($B767,PecCod,0)),0)))</f>
        <v>0</v>
      </c>
      <c r="G767" s="27">
        <f>IF(OR($B767="",$C767=""),"",$C767*$F767)</f>
        <v>0</v>
      </c>
      <c r="H767" s="27">
        <f>IF(OR($B767="",$C767=""),"",$C767*IFERROR(INDEX(PecCusto,MATCH($B767,PecCod,0)),0))</f>
        <v>0</v>
      </c>
      <c r="I767" s="32">
        <f>IF($A767="","",IFERROR(INDEX(OSStatus,MATCH($A767,OSNum,0)),"OS inexistente"))</f>
        <v>0</v>
      </c>
      <c r="J767" s="32">
        <f>IF($A767="","",IF($I767="OS inexistente","OS inexistente",IF($E767="Peça não cadastrada","Peça não cadastrada","OK")))</f>
        <v>0</v>
      </c>
    </row>
    <row r="768" spans="1:10">
      <c r="A768" s="17"/>
      <c r="B768" s="13"/>
      <c r="C768" s="20"/>
      <c r="D768" s="19"/>
      <c r="E768" s="26">
        <f>IF($B768="","",IFERROR(INDEX(PecDesc,MATCH($B768,PecCod,0)),"Peça não cadastrada"))</f>
        <v>0</v>
      </c>
      <c r="F768" s="27">
        <f>IF($B768="","",IF($D768&lt;&gt;"",$D768,IFERROR(INDEX(PecPreco,MATCH($B768,PecCod,0)),0)))</f>
        <v>0</v>
      </c>
      <c r="G768" s="27">
        <f>IF(OR($B768="",$C768=""),"",$C768*$F768)</f>
        <v>0</v>
      </c>
      <c r="H768" s="27">
        <f>IF(OR($B768="",$C768=""),"",$C768*IFERROR(INDEX(PecCusto,MATCH($B768,PecCod,0)),0))</f>
        <v>0</v>
      </c>
      <c r="I768" s="32">
        <f>IF($A768="","",IFERROR(INDEX(OSStatus,MATCH($A768,OSNum,0)),"OS inexistente"))</f>
        <v>0</v>
      </c>
      <c r="J768" s="32">
        <f>IF($A768="","",IF($I768="OS inexistente","OS inexistente",IF($E768="Peça não cadastrada","Peça não cadastrada","OK")))</f>
        <v>0</v>
      </c>
    </row>
    <row r="769" spans="1:10">
      <c r="A769" s="17"/>
      <c r="B769" s="13"/>
      <c r="C769" s="20"/>
      <c r="D769" s="19"/>
      <c r="E769" s="26">
        <f>IF($B769="","",IFERROR(INDEX(PecDesc,MATCH($B769,PecCod,0)),"Peça não cadastrada"))</f>
        <v>0</v>
      </c>
      <c r="F769" s="27">
        <f>IF($B769="","",IF($D769&lt;&gt;"",$D769,IFERROR(INDEX(PecPreco,MATCH($B769,PecCod,0)),0)))</f>
        <v>0</v>
      </c>
      <c r="G769" s="27">
        <f>IF(OR($B769="",$C769=""),"",$C769*$F769)</f>
        <v>0</v>
      </c>
      <c r="H769" s="27">
        <f>IF(OR($B769="",$C769=""),"",$C769*IFERROR(INDEX(PecCusto,MATCH($B769,PecCod,0)),0))</f>
        <v>0</v>
      </c>
      <c r="I769" s="32">
        <f>IF($A769="","",IFERROR(INDEX(OSStatus,MATCH($A769,OSNum,0)),"OS inexistente"))</f>
        <v>0</v>
      </c>
      <c r="J769" s="32">
        <f>IF($A769="","",IF($I769="OS inexistente","OS inexistente",IF($E769="Peça não cadastrada","Peça não cadastrada","OK")))</f>
        <v>0</v>
      </c>
    </row>
    <row r="770" spans="1:10">
      <c r="A770" s="17"/>
      <c r="B770" s="13"/>
      <c r="C770" s="20"/>
      <c r="D770" s="19"/>
      <c r="E770" s="26">
        <f>IF($B770="","",IFERROR(INDEX(PecDesc,MATCH($B770,PecCod,0)),"Peça não cadastrada"))</f>
        <v>0</v>
      </c>
      <c r="F770" s="27">
        <f>IF($B770="","",IF($D770&lt;&gt;"",$D770,IFERROR(INDEX(PecPreco,MATCH($B770,PecCod,0)),0)))</f>
        <v>0</v>
      </c>
      <c r="G770" s="27">
        <f>IF(OR($B770="",$C770=""),"",$C770*$F770)</f>
        <v>0</v>
      </c>
      <c r="H770" s="27">
        <f>IF(OR($B770="",$C770=""),"",$C770*IFERROR(INDEX(PecCusto,MATCH($B770,PecCod,0)),0))</f>
        <v>0</v>
      </c>
      <c r="I770" s="32">
        <f>IF($A770="","",IFERROR(INDEX(OSStatus,MATCH($A770,OSNum,0)),"OS inexistente"))</f>
        <v>0</v>
      </c>
      <c r="J770" s="32">
        <f>IF($A770="","",IF($I770="OS inexistente","OS inexistente",IF($E770="Peça não cadastrada","Peça não cadastrada","OK")))</f>
        <v>0</v>
      </c>
    </row>
    <row r="771" spans="1:10">
      <c r="A771" s="17"/>
      <c r="B771" s="13"/>
      <c r="C771" s="20"/>
      <c r="D771" s="19"/>
      <c r="E771" s="26">
        <f>IF($B771="","",IFERROR(INDEX(PecDesc,MATCH($B771,PecCod,0)),"Peça não cadastrada"))</f>
        <v>0</v>
      </c>
      <c r="F771" s="27">
        <f>IF($B771="","",IF($D771&lt;&gt;"",$D771,IFERROR(INDEX(PecPreco,MATCH($B771,PecCod,0)),0)))</f>
        <v>0</v>
      </c>
      <c r="G771" s="27">
        <f>IF(OR($B771="",$C771=""),"",$C771*$F771)</f>
        <v>0</v>
      </c>
      <c r="H771" s="27">
        <f>IF(OR($B771="",$C771=""),"",$C771*IFERROR(INDEX(PecCusto,MATCH($B771,PecCod,0)),0))</f>
        <v>0</v>
      </c>
      <c r="I771" s="32">
        <f>IF($A771="","",IFERROR(INDEX(OSStatus,MATCH($A771,OSNum,0)),"OS inexistente"))</f>
        <v>0</v>
      </c>
      <c r="J771" s="32">
        <f>IF($A771="","",IF($I771="OS inexistente","OS inexistente",IF($E771="Peça não cadastrada","Peça não cadastrada","OK")))</f>
        <v>0</v>
      </c>
    </row>
    <row r="772" spans="1:10">
      <c r="A772" s="17"/>
      <c r="B772" s="13"/>
      <c r="C772" s="20"/>
      <c r="D772" s="19"/>
      <c r="E772" s="26">
        <f>IF($B772="","",IFERROR(INDEX(PecDesc,MATCH($B772,PecCod,0)),"Peça não cadastrada"))</f>
        <v>0</v>
      </c>
      <c r="F772" s="27">
        <f>IF($B772="","",IF($D772&lt;&gt;"",$D772,IFERROR(INDEX(PecPreco,MATCH($B772,PecCod,0)),0)))</f>
        <v>0</v>
      </c>
      <c r="G772" s="27">
        <f>IF(OR($B772="",$C772=""),"",$C772*$F772)</f>
        <v>0</v>
      </c>
      <c r="H772" s="27">
        <f>IF(OR($B772="",$C772=""),"",$C772*IFERROR(INDEX(PecCusto,MATCH($B772,PecCod,0)),0))</f>
        <v>0</v>
      </c>
      <c r="I772" s="32">
        <f>IF($A772="","",IFERROR(INDEX(OSStatus,MATCH($A772,OSNum,0)),"OS inexistente"))</f>
        <v>0</v>
      </c>
      <c r="J772" s="32">
        <f>IF($A772="","",IF($I772="OS inexistente","OS inexistente",IF($E772="Peça não cadastrada","Peça não cadastrada","OK")))</f>
        <v>0</v>
      </c>
    </row>
    <row r="773" spans="1:10">
      <c r="A773" s="17"/>
      <c r="B773" s="13"/>
      <c r="C773" s="20"/>
      <c r="D773" s="19"/>
      <c r="E773" s="26">
        <f>IF($B773="","",IFERROR(INDEX(PecDesc,MATCH($B773,PecCod,0)),"Peça não cadastrada"))</f>
        <v>0</v>
      </c>
      <c r="F773" s="27">
        <f>IF($B773="","",IF($D773&lt;&gt;"",$D773,IFERROR(INDEX(PecPreco,MATCH($B773,PecCod,0)),0)))</f>
        <v>0</v>
      </c>
      <c r="G773" s="27">
        <f>IF(OR($B773="",$C773=""),"",$C773*$F773)</f>
        <v>0</v>
      </c>
      <c r="H773" s="27">
        <f>IF(OR($B773="",$C773=""),"",$C773*IFERROR(INDEX(PecCusto,MATCH($B773,PecCod,0)),0))</f>
        <v>0</v>
      </c>
      <c r="I773" s="32">
        <f>IF($A773="","",IFERROR(INDEX(OSStatus,MATCH($A773,OSNum,0)),"OS inexistente"))</f>
        <v>0</v>
      </c>
      <c r="J773" s="32">
        <f>IF($A773="","",IF($I773="OS inexistente","OS inexistente",IF($E773="Peça não cadastrada","Peça não cadastrada","OK")))</f>
        <v>0</v>
      </c>
    </row>
    <row r="774" spans="1:10">
      <c r="A774" s="17"/>
      <c r="B774" s="13"/>
      <c r="C774" s="20"/>
      <c r="D774" s="19"/>
      <c r="E774" s="26">
        <f>IF($B774="","",IFERROR(INDEX(PecDesc,MATCH($B774,PecCod,0)),"Peça não cadastrada"))</f>
        <v>0</v>
      </c>
      <c r="F774" s="27">
        <f>IF($B774="","",IF($D774&lt;&gt;"",$D774,IFERROR(INDEX(PecPreco,MATCH($B774,PecCod,0)),0)))</f>
        <v>0</v>
      </c>
      <c r="G774" s="27">
        <f>IF(OR($B774="",$C774=""),"",$C774*$F774)</f>
        <v>0</v>
      </c>
      <c r="H774" s="27">
        <f>IF(OR($B774="",$C774=""),"",$C774*IFERROR(INDEX(PecCusto,MATCH($B774,PecCod,0)),0))</f>
        <v>0</v>
      </c>
      <c r="I774" s="32">
        <f>IF($A774="","",IFERROR(INDEX(OSStatus,MATCH($A774,OSNum,0)),"OS inexistente"))</f>
        <v>0</v>
      </c>
      <c r="J774" s="32">
        <f>IF($A774="","",IF($I774="OS inexistente","OS inexistente",IF($E774="Peça não cadastrada","Peça não cadastrada","OK")))</f>
        <v>0</v>
      </c>
    </row>
    <row r="775" spans="1:10">
      <c r="A775" s="17"/>
      <c r="B775" s="13"/>
      <c r="C775" s="20"/>
      <c r="D775" s="19"/>
      <c r="E775" s="26">
        <f>IF($B775="","",IFERROR(INDEX(PecDesc,MATCH($B775,PecCod,0)),"Peça não cadastrada"))</f>
        <v>0</v>
      </c>
      <c r="F775" s="27">
        <f>IF($B775="","",IF($D775&lt;&gt;"",$D775,IFERROR(INDEX(PecPreco,MATCH($B775,PecCod,0)),0)))</f>
        <v>0</v>
      </c>
      <c r="G775" s="27">
        <f>IF(OR($B775="",$C775=""),"",$C775*$F775)</f>
        <v>0</v>
      </c>
      <c r="H775" s="27">
        <f>IF(OR($B775="",$C775=""),"",$C775*IFERROR(INDEX(PecCusto,MATCH($B775,PecCod,0)),0))</f>
        <v>0</v>
      </c>
      <c r="I775" s="32">
        <f>IF($A775="","",IFERROR(INDEX(OSStatus,MATCH($A775,OSNum,0)),"OS inexistente"))</f>
        <v>0</v>
      </c>
      <c r="J775" s="32">
        <f>IF($A775="","",IF($I775="OS inexistente","OS inexistente",IF($E775="Peça não cadastrada","Peça não cadastrada","OK")))</f>
        <v>0</v>
      </c>
    </row>
    <row r="776" spans="1:10">
      <c r="A776" s="17"/>
      <c r="B776" s="13"/>
      <c r="C776" s="20"/>
      <c r="D776" s="19"/>
      <c r="E776" s="26">
        <f>IF($B776="","",IFERROR(INDEX(PecDesc,MATCH($B776,PecCod,0)),"Peça não cadastrada"))</f>
        <v>0</v>
      </c>
      <c r="F776" s="27">
        <f>IF($B776="","",IF($D776&lt;&gt;"",$D776,IFERROR(INDEX(PecPreco,MATCH($B776,PecCod,0)),0)))</f>
        <v>0</v>
      </c>
      <c r="G776" s="27">
        <f>IF(OR($B776="",$C776=""),"",$C776*$F776)</f>
        <v>0</v>
      </c>
      <c r="H776" s="27">
        <f>IF(OR($B776="",$C776=""),"",$C776*IFERROR(INDEX(PecCusto,MATCH($B776,PecCod,0)),0))</f>
        <v>0</v>
      </c>
      <c r="I776" s="32">
        <f>IF($A776="","",IFERROR(INDEX(OSStatus,MATCH($A776,OSNum,0)),"OS inexistente"))</f>
        <v>0</v>
      </c>
      <c r="J776" s="32">
        <f>IF($A776="","",IF($I776="OS inexistente","OS inexistente",IF($E776="Peça não cadastrada","Peça não cadastrada","OK")))</f>
        <v>0</v>
      </c>
    </row>
    <row r="777" spans="1:10">
      <c r="A777" s="17"/>
      <c r="B777" s="13"/>
      <c r="C777" s="20"/>
      <c r="D777" s="19"/>
      <c r="E777" s="26">
        <f>IF($B777="","",IFERROR(INDEX(PecDesc,MATCH($B777,PecCod,0)),"Peça não cadastrada"))</f>
        <v>0</v>
      </c>
      <c r="F777" s="27">
        <f>IF($B777="","",IF($D777&lt;&gt;"",$D777,IFERROR(INDEX(PecPreco,MATCH($B777,PecCod,0)),0)))</f>
        <v>0</v>
      </c>
      <c r="G777" s="27">
        <f>IF(OR($B777="",$C777=""),"",$C777*$F777)</f>
        <v>0</v>
      </c>
      <c r="H777" s="27">
        <f>IF(OR($B777="",$C777=""),"",$C777*IFERROR(INDEX(PecCusto,MATCH($B777,PecCod,0)),0))</f>
        <v>0</v>
      </c>
      <c r="I777" s="32">
        <f>IF($A777="","",IFERROR(INDEX(OSStatus,MATCH($A777,OSNum,0)),"OS inexistente"))</f>
        <v>0</v>
      </c>
      <c r="J777" s="32">
        <f>IF($A777="","",IF($I777="OS inexistente","OS inexistente",IF($E777="Peça não cadastrada","Peça não cadastrada","OK")))</f>
        <v>0</v>
      </c>
    </row>
    <row r="778" spans="1:10">
      <c r="A778" s="17"/>
      <c r="B778" s="13"/>
      <c r="C778" s="20"/>
      <c r="D778" s="19"/>
      <c r="E778" s="26">
        <f>IF($B778="","",IFERROR(INDEX(PecDesc,MATCH($B778,PecCod,0)),"Peça não cadastrada"))</f>
        <v>0</v>
      </c>
      <c r="F778" s="27">
        <f>IF($B778="","",IF($D778&lt;&gt;"",$D778,IFERROR(INDEX(PecPreco,MATCH($B778,PecCod,0)),0)))</f>
        <v>0</v>
      </c>
      <c r="G778" s="27">
        <f>IF(OR($B778="",$C778=""),"",$C778*$F778)</f>
        <v>0</v>
      </c>
      <c r="H778" s="27">
        <f>IF(OR($B778="",$C778=""),"",$C778*IFERROR(INDEX(PecCusto,MATCH($B778,PecCod,0)),0))</f>
        <v>0</v>
      </c>
      <c r="I778" s="32">
        <f>IF($A778="","",IFERROR(INDEX(OSStatus,MATCH($A778,OSNum,0)),"OS inexistente"))</f>
        <v>0</v>
      </c>
      <c r="J778" s="32">
        <f>IF($A778="","",IF($I778="OS inexistente","OS inexistente",IF($E778="Peça não cadastrada","Peça não cadastrada","OK")))</f>
        <v>0</v>
      </c>
    </row>
    <row r="779" spans="1:10">
      <c r="A779" s="17"/>
      <c r="B779" s="13"/>
      <c r="C779" s="20"/>
      <c r="D779" s="19"/>
      <c r="E779" s="26">
        <f>IF($B779="","",IFERROR(INDEX(PecDesc,MATCH($B779,PecCod,0)),"Peça não cadastrada"))</f>
        <v>0</v>
      </c>
      <c r="F779" s="27">
        <f>IF($B779="","",IF($D779&lt;&gt;"",$D779,IFERROR(INDEX(PecPreco,MATCH($B779,PecCod,0)),0)))</f>
        <v>0</v>
      </c>
      <c r="G779" s="27">
        <f>IF(OR($B779="",$C779=""),"",$C779*$F779)</f>
        <v>0</v>
      </c>
      <c r="H779" s="27">
        <f>IF(OR($B779="",$C779=""),"",$C779*IFERROR(INDEX(PecCusto,MATCH($B779,PecCod,0)),0))</f>
        <v>0</v>
      </c>
      <c r="I779" s="32">
        <f>IF($A779="","",IFERROR(INDEX(OSStatus,MATCH($A779,OSNum,0)),"OS inexistente"))</f>
        <v>0</v>
      </c>
      <c r="J779" s="32">
        <f>IF($A779="","",IF($I779="OS inexistente","OS inexistente",IF($E779="Peça não cadastrada","Peça não cadastrada","OK")))</f>
        <v>0</v>
      </c>
    </row>
    <row r="780" spans="1:10">
      <c r="A780" s="17"/>
      <c r="B780" s="13"/>
      <c r="C780" s="20"/>
      <c r="D780" s="19"/>
      <c r="E780" s="26">
        <f>IF($B780="","",IFERROR(INDEX(PecDesc,MATCH($B780,PecCod,0)),"Peça não cadastrada"))</f>
        <v>0</v>
      </c>
      <c r="F780" s="27">
        <f>IF($B780="","",IF($D780&lt;&gt;"",$D780,IFERROR(INDEX(PecPreco,MATCH($B780,PecCod,0)),0)))</f>
        <v>0</v>
      </c>
      <c r="G780" s="27">
        <f>IF(OR($B780="",$C780=""),"",$C780*$F780)</f>
        <v>0</v>
      </c>
      <c r="H780" s="27">
        <f>IF(OR($B780="",$C780=""),"",$C780*IFERROR(INDEX(PecCusto,MATCH($B780,PecCod,0)),0))</f>
        <v>0</v>
      </c>
      <c r="I780" s="32">
        <f>IF($A780="","",IFERROR(INDEX(OSStatus,MATCH($A780,OSNum,0)),"OS inexistente"))</f>
        <v>0</v>
      </c>
      <c r="J780" s="32">
        <f>IF($A780="","",IF($I780="OS inexistente","OS inexistente",IF($E780="Peça não cadastrada","Peça não cadastrada","OK")))</f>
        <v>0</v>
      </c>
    </row>
    <row r="781" spans="1:10">
      <c r="A781" s="17"/>
      <c r="B781" s="13"/>
      <c r="C781" s="20"/>
      <c r="D781" s="19"/>
      <c r="E781" s="26">
        <f>IF($B781="","",IFERROR(INDEX(PecDesc,MATCH($B781,PecCod,0)),"Peça não cadastrada"))</f>
        <v>0</v>
      </c>
      <c r="F781" s="27">
        <f>IF($B781="","",IF($D781&lt;&gt;"",$D781,IFERROR(INDEX(PecPreco,MATCH($B781,PecCod,0)),0)))</f>
        <v>0</v>
      </c>
      <c r="G781" s="27">
        <f>IF(OR($B781="",$C781=""),"",$C781*$F781)</f>
        <v>0</v>
      </c>
      <c r="H781" s="27">
        <f>IF(OR($B781="",$C781=""),"",$C781*IFERROR(INDEX(PecCusto,MATCH($B781,PecCod,0)),0))</f>
        <v>0</v>
      </c>
      <c r="I781" s="32">
        <f>IF($A781="","",IFERROR(INDEX(OSStatus,MATCH($A781,OSNum,0)),"OS inexistente"))</f>
        <v>0</v>
      </c>
      <c r="J781" s="32">
        <f>IF($A781="","",IF($I781="OS inexistente","OS inexistente",IF($E781="Peça não cadastrada","Peça não cadastrada","OK")))</f>
        <v>0</v>
      </c>
    </row>
    <row r="782" spans="1:10">
      <c r="A782" s="17"/>
      <c r="B782" s="13"/>
      <c r="C782" s="20"/>
      <c r="D782" s="19"/>
      <c r="E782" s="26">
        <f>IF($B782="","",IFERROR(INDEX(PecDesc,MATCH($B782,PecCod,0)),"Peça não cadastrada"))</f>
        <v>0</v>
      </c>
      <c r="F782" s="27">
        <f>IF($B782="","",IF($D782&lt;&gt;"",$D782,IFERROR(INDEX(PecPreco,MATCH($B782,PecCod,0)),0)))</f>
        <v>0</v>
      </c>
      <c r="G782" s="27">
        <f>IF(OR($B782="",$C782=""),"",$C782*$F782)</f>
        <v>0</v>
      </c>
      <c r="H782" s="27">
        <f>IF(OR($B782="",$C782=""),"",$C782*IFERROR(INDEX(PecCusto,MATCH($B782,PecCod,0)),0))</f>
        <v>0</v>
      </c>
      <c r="I782" s="32">
        <f>IF($A782="","",IFERROR(INDEX(OSStatus,MATCH($A782,OSNum,0)),"OS inexistente"))</f>
        <v>0</v>
      </c>
      <c r="J782" s="32">
        <f>IF($A782="","",IF($I782="OS inexistente","OS inexistente",IF($E782="Peça não cadastrada","Peça não cadastrada","OK")))</f>
        <v>0</v>
      </c>
    </row>
    <row r="783" spans="1:10">
      <c r="A783" s="17"/>
      <c r="B783" s="13"/>
      <c r="C783" s="20"/>
      <c r="D783" s="19"/>
      <c r="E783" s="26">
        <f>IF($B783="","",IFERROR(INDEX(PecDesc,MATCH($B783,PecCod,0)),"Peça não cadastrada"))</f>
        <v>0</v>
      </c>
      <c r="F783" s="27">
        <f>IF($B783="","",IF($D783&lt;&gt;"",$D783,IFERROR(INDEX(PecPreco,MATCH($B783,PecCod,0)),0)))</f>
        <v>0</v>
      </c>
      <c r="G783" s="27">
        <f>IF(OR($B783="",$C783=""),"",$C783*$F783)</f>
        <v>0</v>
      </c>
      <c r="H783" s="27">
        <f>IF(OR($B783="",$C783=""),"",$C783*IFERROR(INDEX(PecCusto,MATCH($B783,PecCod,0)),0))</f>
        <v>0</v>
      </c>
      <c r="I783" s="32">
        <f>IF($A783="","",IFERROR(INDEX(OSStatus,MATCH($A783,OSNum,0)),"OS inexistente"))</f>
        <v>0</v>
      </c>
      <c r="J783" s="32">
        <f>IF($A783="","",IF($I783="OS inexistente","OS inexistente",IF($E783="Peça não cadastrada","Peça não cadastrada","OK")))</f>
        <v>0</v>
      </c>
    </row>
    <row r="784" spans="1:10">
      <c r="A784" s="17"/>
      <c r="B784" s="13"/>
      <c r="C784" s="20"/>
      <c r="D784" s="19"/>
      <c r="E784" s="26">
        <f>IF($B784="","",IFERROR(INDEX(PecDesc,MATCH($B784,PecCod,0)),"Peça não cadastrada"))</f>
        <v>0</v>
      </c>
      <c r="F784" s="27">
        <f>IF($B784="","",IF($D784&lt;&gt;"",$D784,IFERROR(INDEX(PecPreco,MATCH($B784,PecCod,0)),0)))</f>
        <v>0</v>
      </c>
      <c r="G784" s="27">
        <f>IF(OR($B784="",$C784=""),"",$C784*$F784)</f>
        <v>0</v>
      </c>
      <c r="H784" s="27">
        <f>IF(OR($B784="",$C784=""),"",$C784*IFERROR(INDEX(PecCusto,MATCH($B784,PecCod,0)),0))</f>
        <v>0</v>
      </c>
      <c r="I784" s="32">
        <f>IF($A784="","",IFERROR(INDEX(OSStatus,MATCH($A784,OSNum,0)),"OS inexistente"))</f>
        <v>0</v>
      </c>
      <c r="J784" s="32">
        <f>IF($A784="","",IF($I784="OS inexistente","OS inexistente",IF($E784="Peça não cadastrada","Peça não cadastrada","OK")))</f>
        <v>0</v>
      </c>
    </row>
    <row r="785" spans="1:10">
      <c r="A785" s="17"/>
      <c r="B785" s="13"/>
      <c r="C785" s="20"/>
      <c r="D785" s="19"/>
      <c r="E785" s="26">
        <f>IF($B785="","",IFERROR(INDEX(PecDesc,MATCH($B785,PecCod,0)),"Peça não cadastrada"))</f>
        <v>0</v>
      </c>
      <c r="F785" s="27">
        <f>IF($B785="","",IF($D785&lt;&gt;"",$D785,IFERROR(INDEX(PecPreco,MATCH($B785,PecCod,0)),0)))</f>
        <v>0</v>
      </c>
      <c r="G785" s="27">
        <f>IF(OR($B785="",$C785=""),"",$C785*$F785)</f>
        <v>0</v>
      </c>
      <c r="H785" s="27">
        <f>IF(OR($B785="",$C785=""),"",$C785*IFERROR(INDEX(PecCusto,MATCH($B785,PecCod,0)),0))</f>
        <v>0</v>
      </c>
      <c r="I785" s="32">
        <f>IF($A785="","",IFERROR(INDEX(OSStatus,MATCH($A785,OSNum,0)),"OS inexistente"))</f>
        <v>0</v>
      </c>
      <c r="J785" s="32">
        <f>IF($A785="","",IF($I785="OS inexistente","OS inexistente",IF($E785="Peça não cadastrada","Peça não cadastrada","OK")))</f>
        <v>0</v>
      </c>
    </row>
    <row r="786" spans="1:10">
      <c r="A786" s="17"/>
      <c r="B786" s="13"/>
      <c r="C786" s="20"/>
      <c r="D786" s="19"/>
      <c r="E786" s="26">
        <f>IF($B786="","",IFERROR(INDEX(PecDesc,MATCH($B786,PecCod,0)),"Peça não cadastrada"))</f>
        <v>0</v>
      </c>
      <c r="F786" s="27">
        <f>IF($B786="","",IF($D786&lt;&gt;"",$D786,IFERROR(INDEX(PecPreco,MATCH($B786,PecCod,0)),0)))</f>
        <v>0</v>
      </c>
      <c r="G786" s="27">
        <f>IF(OR($B786="",$C786=""),"",$C786*$F786)</f>
        <v>0</v>
      </c>
      <c r="H786" s="27">
        <f>IF(OR($B786="",$C786=""),"",$C786*IFERROR(INDEX(PecCusto,MATCH($B786,PecCod,0)),0))</f>
        <v>0</v>
      </c>
      <c r="I786" s="32">
        <f>IF($A786="","",IFERROR(INDEX(OSStatus,MATCH($A786,OSNum,0)),"OS inexistente"))</f>
        <v>0</v>
      </c>
      <c r="J786" s="32">
        <f>IF($A786="","",IF($I786="OS inexistente","OS inexistente",IF($E786="Peça não cadastrada","Peça não cadastrada","OK")))</f>
        <v>0</v>
      </c>
    </row>
    <row r="787" spans="1:10">
      <c r="A787" s="17"/>
      <c r="B787" s="13"/>
      <c r="C787" s="20"/>
      <c r="D787" s="19"/>
      <c r="E787" s="26">
        <f>IF($B787="","",IFERROR(INDEX(PecDesc,MATCH($B787,PecCod,0)),"Peça não cadastrada"))</f>
        <v>0</v>
      </c>
      <c r="F787" s="27">
        <f>IF($B787="","",IF($D787&lt;&gt;"",$D787,IFERROR(INDEX(PecPreco,MATCH($B787,PecCod,0)),0)))</f>
        <v>0</v>
      </c>
      <c r="G787" s="27">
        <f>IF(OR($B787="",$C787=""),"",$C787*$F787)</f>
        <v>0</v>
      </c>
      <c r="H787" s="27">
        <f>IF(OR($B787="",$C787=""),"",$C787*IFERROR(INDEX(PecCusto,MATCH($B787,PecCod,0)),0))</f>
        <v>0</v>
      </c>
      <c r="I787" s="32">
        <f>IF($A787="","",IFERROR(INDEX(OSStatus,MATCH($A787,OSNum,0)),"OS inexistente"))</f>
        <v>0</v>
      </c>
      <c r="J787" s="32">
        <f>IF($A787="","",IF($I787="OS inexistente","OS inexistente",IF($E787="Peça não cadastrada","Peça não cadastrada","OK")))</f>
        <v>0</v>
      </c>
    </row>
    <row r="788" spans="1:10">
      <c r="A788" s="17"/>
      <c r="B788" s="13"/>
      <c r="C788" s="20"/>
      <c r="D788" s="19"/>
      <c r="E788" s="26">
        <f>IF($B788="","",IFERROR(INDEX(PecDesc,MATCH($B788,PecCod,0)),"Peça não cadastrada"))</f>
        <v>0</v>
      </c>
      <c r="F788" s="27">
        <f>IF($B788="","",IF($D788&lt;&gt;"",$D788,IFERROR(INDEX(PecPreco,MATCH($B788,PecCod,0)),0)))</f>
        <v>0</v>
      </c>
      <c r="G788" s="27">
        <f>IF(OR($B788="",$C788=""),"",$C788*$F788)</f>
        <v>0</v>
      </c>
      <c r="H788" s="27">
        <f>IF(OR($B788="",$C788=""),"",$C788*IFERROR(INDEX(PecCusto,MATCH($B788,PecCod,0)),0))</f>
        <v>0</v>
      </c>
      <c r="I788" s="32">
        <f>IF($A788="","",IFERROR(INDEX(OSStatus,MATCH($A788,OSNum,0)),"OS inexistente"))</f>
        <v>0</v>
      </c>
      <c r="J788" s="32">
        <f>IF($A788="","",IF($I788="OS inexistente","OS inexistente",IF($E788="Peça não cadastrada","Peça não cadastrada","OK")))</f>
        <v>0</v>
      </c>
    </row>
    <row r="789" spans="1:10">
      <c r="A789" s="17"/>
      <c r="B789" s="13"/>
      <c r="C789" s="20"/>
      <c r="D789" s="19"/>
      <c r="E789" s="26">
        <f>IF($B789="","",IFERROR(INDEX(PecDesc,MATCH($B789,PecCod,0)),"Peça não cadastrada"))</f>
        <v>0</v>
      </c>
      <c r="F789" s="27">
        <f>IF($B789="","",IF($D789&lt;&gt;"",$D789,IFERROR(INDEX(PecPreco,MATCH($B789,PecCod,0)),0)))</f>
        <v>0</v>
      </c>
      <c r="G789" s="27">
        <f>IF(OR($B789="",$C789=""),"",$C789*$F789)</f>
        <v>0</v>
      </c>
      <c r="H789" s="27">
        <f>IF(OR($B789="",$C789=""),"",$C789*IFERROR(INDEX(PecCusto,MATCH($B789,PecCod,0)),0))</f>
        <v>0</v>
      </c>
      <c r="I789" s="32">
        <f>IF($A789="","",IFERROR(INDEX(OSStatus,MATCH($A789,OSNum,0)),"OS inexistente"))</f>
        <v>0</v>
      </c>
      <c r="J789" s="32">
        <f>IF($A789="","",IF($I789="OS inexistente","OS inexistente",IF($E789="Peça não cadastrada","Peça não cadastrada","OK")))</f>
        <v>0</v>
      </c>
    </row>
    <row r="790" spans="1:10">
      <c r="A790" s="17"/>
      <c r="B790" s="13"/>
      <c r="C790" s="20"/>
      <c r="D790" s="19"/>
      <c r="E790" s="26">
        <f>IF($B790="","",IFERROR(INDEX(PecDesc,MATCH($B790,PecCod,0)),"Peça não cadastrada"))</f>
        <v>0</v>
      </c>
      <c r="F790" s="27">
        <f>IF($B790="","",IF($D790&lt;&gt;"",$D790,IFERROR(INDEX(PecPreco,MATCH($B790,PecCod,0)),0)))</f>
        <v>0</v>
      </c>
      <c r="G790" s="27">
        <f>IF(OR($B790="",$C790=""),"",$C790*$F790)</f>
        <v>0</v>
      </c>
      <c r="H790" s="27">
        <f>IF(OR($B790="",$C790=""),"",$C790*IFERROR(INDEX(PecCusto,MATCH($B790,PecCod,0)),0))</f>
        <v>0</v>
      </c>
      <c r="I790" s="32">
        <f>IF($A790="","",IFERROR(INDEX(OSStatus,MATCH($A790,OSNum,0)),"OS inexistente"))</f>
        <v>0</v>
      </c>
      <c r="J790" s="32">
        <f>IF($A790="","",IF($I790="OS inexistente","OS inexistente",IF($E790="Peça não cadastrada","Peça não cadastrada","OK")))</f>
        <v>0</v>
      </c>
    </row>
    <row r="791" spans="1:10">
      <c r="A791" s="17"/>
      <c r="B791" s="13"/>
      <c r="C791" s="20"/>
      <c r="D791" s="19"/>
      <c r="E791" s="26">
        <f>IF($B791="","",IFERROR(INDEX(PecDesc,MATCH($B791,PecCod,0)),"Peça não cadastrada"))</f>
        <v>0</v>
      </c>
      <c r="F791" s="27">
        <f>IF($B791="","",IF($D791&lt;&gt;"",$D791,IFERROR(INDEX(PecPreco,MATCH($B791,PecCod,0)),0)))</f>
        <v>0</v>
      </c>
      <c r="G791" s="27">
        <f>IF(OR($B791="",$C791=""),"",$C791*$F791)</f>
        <v>0</v>
      </c>
      <c r="H791" s="27">
        <f>IF(OR($B791="",$C791=""),"",$C791*IFERROR(INDEX(PecCusto,MATCH($B791,PecCod,0)),0))</f>
        <v>0</v>
      </c>
      <c r="I791" s="32">
        <f>IF($A791="","",IFERROR(INDEX(OSStatus,MATCH($A791,OSNum,0)),"OS inexistente"))</f>
        <v>0</v>
      </c>
      <c r="J791" s="32">
        <f>IF($A791="","",IF($I791="OS inexistente","OS inexistente",IF($E791="Peça não cadastrada","Peça não cadastrada","OK")))</f>
        <v>0</v>
      </c>
    </row>
    <row r="792" spans="1:10">
      <c r="A792" s="17"/>
      <c r="B792" s="13"/>
      <c r="C792" s="20"/>
      <c r="D792" s="19"/>
      <c r="E792" s="26">
        <f>IF($B792="","",IFERROR(INDEX(PecDesc,MATCH($B792,PecCod,0)),"Peça não cadastrada"))</f>
        <v>0</v>
      </c>
      <c r="F792" s="27">
        <f>IF($B792="","",IF($D792&lt;&gt;"",$D792,IFERROR(INDEX(PecPreco,MATCH($B792,PecCod,0)),0)))</f>
        <v>0</v>
      </c>
      <c r="G792" s="27">
        <f>IF(OR($B792="",$C792=""),"",$C792*$F792)</f>
        <v>0</v>
      </c>
      <c r="H792" s="27">
        <f>IF(OR($B792="",$C792=""),"",$C792*IFERROR(INDEX(PecCusto,MATCH($B792,PecCod,0)),0))</f>
        <v>0</v>
      </c>
      <c r="I792" s="32">
        <f>IF($A792="","",IFERROR(INDEX(OSStatus,MATCH($A792,OSNum,0)),"OS inexistente"))</f>
        <v>0</v>
      </c>
      <c r="J792" s="32">
        <f>IF($A792="","",IF($I792="OS inexistente","OS inexistente",IF($E792="Peça não cadastrada","Peça não cadastrada","OK")))</f>
        <v>0</v>
      </c>
    </row>
    <row r="793" spans="1:10">
      <c r="A793" s="17"/>
      <c r="B793" s="13"/>
      <c r="C793" s="20"/>
      <c r="D793" s="19"/>
      <c r="E793" s="26">
        <f>IF($B793="","",IFERROR(INDEX(PecDesc,MATCH($B793,PecCod,0)),"Peça não cadastrada"))</f>
        <v>0</v>
      </c>
      <c r="F793" s="27">
        <f>IF($B793="","",IF($D793&lt;&gt;"",$D793,IFERROR(INDEX(PecPreco,MATCH($B793,PecCod,0)),0)))</f>
        <v>0</v>
      </c>
      <c r="G793" s="27">
        <f>IF(OR($B793="",$C793=""),"",$C793*$F793)</f>
        <v>0</v>
      </c>
      <c r="H793" s="27">
        <f>IF(OR($B793="",$C793=""),"",$C793*IFERROR(INDEX(PecCusto,MATCH($B793,PecCod,0)),0))</f>
        <v>0</v>
      </c>
      <c r="I793" s="32">
        <f>IF($A793="","",IFERROR(INDEX(OSStatus,MATCH($A793,OSNum,0)),"OS inexistente"))</f>
        <v>0</v>
      </c>
      <c r="J793" s="32">
        <f>IF($A793="","",IF($I793="OS inexistente","OS inexistente",IF($E793="Peça não cadastrada","Peça não cadastrada","OK")))</f>
        <v>0</v>
      </c>
    </row>
    <row r="794" spans="1:10">
      <c r="A794" s="17"/>
      <c r="B794" s="13"/>
      <c r="C794" s="20"/>
      <c r="D794" s="19"/>
      <c r="E794" s="26">
        <f>IF($B794="","",IFERROR(INDEX(PecDesc,MATCH($B794,PecCod,0)),"Peça não cadastrada"))</f>
        <v>0</v>
      </c>
      <c r="F794" s="27">
        <f>IF($B794="","",IF($D794&lt;&gt;"",$D794,IFERROR(INDEX(PecPreco,MATCH($B794,PecCod,0)),0)))</f>
        <v>0</v>
      </c>
      <c r="G794" s="27">
        <f>IF(OR($B794="",$C794=""),"",$C794*$F794)</f>
        <v>0</v>
      </c>
      <c r="H794" s="27">
        <f>IF(OR($B794="",$C794=""),"",$C794*IFERROR(INDEX(PecCusto,MATCH($B794,PecCod,0)),0))</f>
        <v>0</v>
      </c>
      <c r="I794" s="32">
        <f>IF($A794="","",IFERROR(INDEX(OSStatus,MATCH($A794,OSNum,0)),"OS inexistente"))</f>
        <v>0</v>
      </c>
      <c r="J794" s="32">
        <f>IF($A794="","",IF($I794="OS inexistente","OS inexistente",IF($E794="Peça não cadastrada","Peça não cadastrada","OK")))</f>
        <v>0</v>
      </c>
    </row>
    <row r="795" spans="1:10">
      <c r="A795" s="17"/>
      <c r="B795" s="13"/>
      <c r="C795" s="20"/>
      <c r="D795" s="19"/>
      <c r="E795" s="26">
        <f>IF($B795="","",IFERROR(INDEX(PecDesc,MATCH($B795,PecCod,0)),"Peça não cadastrada"))</f>
        <v>0</v>
      </c>
      <c r="F795" s="27">
        <f>IF($B795="","",IF($D795&lt;&gt;"",$D795,IFERROR(INDEX(PecPreco,MATCH($B795,PecCod,0)),0)))</f>
        <v>0</v>
      </c>
      <c r="G795" s="27">
        <f>IF(OR($B795="",$C795=""),"",$C795*$F795)</f>
        <v>0</v>
      </c>
      <c r="H795" s="27">
        <f>IF(OR($B795="",$C795=""),"",$C795*IFERROR(INDEX(PecCusto,MATCH($B795,PecCod,0)),0))</f>
        <v>0</v>
      </c>
      <c r="I795" s="32">
        <f>IF($A795="","",IFERROR(INDEX(OSStatus,MATCH($A795,OSNum,0)),"OS inexistente"))</f>
        <v>0</v>
      </c>
      <c r="J795" s="32">
        <f>IF($A795="","",IF($I795="OS inexistente","OS inexistente",IF($E795="Peça não cadastrada","Peça não cadastrada","OK")))</f>
        <v>0</v>
      </c>
    </row>
    <row r="796" spans="1:10">
      <c r="A796" s="17"/>
      <c r="B796" s="13"/>
      <c r="C796" s="20"/>
      <c r="D796" s="19"/>
      <c r="E796" s="26">
        <f>IF($B796="","",IFERROR(INDEX(PecDesc,MATCH($B796,PecCod,0)),"Peça não cadastrada"))</f>
        <v>0</v>
      </c>
      <c r="F796" s="27">
        <f>IF($B796="","",IF($D796&lt;&gt;"",$D796,IFERROR(INDEX(PecPreco,MATCH($B796,PecCod,0)),0)))</f>
        <v>0</v>
      </c>
      <c r="G796" s="27">
        <f>IF(OR($B796="",$C796=""),"",$C796*$F796)</f>
        <v>0</v>
      </c>
      <c r="H796" s="27">
        <f>IF(OR($B796="",$C796=""),"",$C796*IFERROR(INDEX(PecCusto,MATCH($B796,PecCod,0)),0))</f>
        <v>0</v>
      </c>
      <c r="I796" s="32">
        <f>IF($A796="","",IFERROR(INDEX(OSStatus,MATCH($A796,OSNum,0)),"OS inexistente"))</f>
        <v>0</v>
      </c>
      <c r="J796" s="32">
        <f>IF($A796="","",IF($I796="OS inexistente","OS inexistente",IF($E796="Peça não cadastrada","Peça não cadastrada","OK")))</f>
        <v>0</v>
      </c>
    </row>
    <row r="797" spans="1:10">
      <c r="A797" s="17"/>
      <c r="B797" s="13"/>
      <c r="C797" s="20"/>
      <c r="D797" s="19"/>
      <c r="E797" s="26">
        <f>IF($B797="","",IFERROR(INDEX(PecDesc,MATCH($B797,PecCod,0)),"Peça não cadastrada"))</f>
        <v>0</v>
      </c>
      <c r="F797" s="27">
        <f>IF($B797="","",IF($D797&lt;&gt;"",$D797,IFERROR(INDEX(PecPreco,MATCH($B797,PecCod,0)),0)))</f>
        <v>0</v>
      </c>
      <c r="G797" s="27">
        <f>IF(OR($B797="",$C797=""),"",$C797*$F797)</f>
        <v>0</v>
      </c>
      <c r="H797" s="27">
        <f>IF(OR($B797="",$C797=""),"",$C797*IFERROR(INDEX(PecCusto,MATCH($B797,PecCod,0)),0))</f>
        <v>0</v>
      </c>
      <c r="I797" s="32">
        <f>IF($A797="","",IFERROR(INDEX(OSStatus,MATCH($A797,OSNum,0)),"OS inexistente"))</f>
        <v>0</v>
      </c>
      <c r="J797" s="32">
        <f>IF($A797="","",IF($I797="OS inexistente","OS inexistente",IF($E797="Peça não cadastrada","Peça não cadastrada","OK")))</f>
        <v>0</v>
      </c>
    </row>
    <row r="798" spans="1:10">
      <c r="A798" s="17"/>
      <c r="B798" s="13"/>
      <c r="C798" s="20"/>
      <c r="D798" s="19"/>
      <c r="E798" s="26">
        <f>IF($B798="","",IFERROR(INDEX(PecDesc,MATCH($B798,PecCod,0)),"Peça não cadastrada"))</f>
        <v>0</v>
      </c>
      <c r="F798" s="27">
        <f>IF($B798="","",IF($D798&lt;&gt;"",$D798,IFERROR(INDEX(PecPreco,MATCH($B798,PecCod,0)),0)))</f>
        <v>0</v>
      </c>
      <c r="G798" s="27">
        <f>IF(OR($B798="",$C798=""),"",$C798*$F798)</f>
        <v>0</v>
      </c>
      <c r="H798" s="27">
        <f>IF(OR($B798="",$C798=""),"",$C798*IFERROR(INDEX(PecCusto,MATCH($B798,PecCod,0)),0))</f>
        <v>0</v>
      </c>
      <c r="I798" s="32">
        <f>IF($A798="","",IFERROR(INDEX(OSStatus,MATCH($A798,OSNum,0)),"OS inexistente"))</f>
        <v>0</v>
      </c>
      <c r="J798" s="32">
        <f>IF($A798="","",IF($I798="OS inexistente","OS inexistente",IF($E798="Peça não cadastrada","Peça não cadastrada","OK")))</f>
        <v>0</v>
      </c>
    </row>
    <row r="799" spans="1:10">
      <c r="A799" s="17"/>
      <c r="B799" s="13"/>
      <c r="C799" s="20"/>
      <c r="D799" s="19"/>
      <c r="E799" s="26">
        <f>IF($B799="","",IFERROR(INDEX(PecDesc,MATCH($B799,PecCod,0)),"Peça não cadastrada"))</f>
        <v>0</v>
      </c>
      <c r="F799" s="27">
        <f>IF($B799="","",IF($D799&lt;&gt;"",$D799,IFERROR(INDEX(PecPreco,MATCH($B799,PecCod,0)),0)))</f>
        <v>0</v>
      </c>
      <c r="G799" s="27">
        <f>IF(OR($B799="",$C799=""),"",$C799*$F799)</f>
        <v>0</v>
      </c>
      <c r="H799" s="27">
        <f>IF(OR($B799="",$C799=""),"",$C799*IFERROR(INDEX(PecCusto,MATCH($B799,PecCod,0)),0))</f>
        <v>0</v>
      </c>
      <c r="I799" s="32">
        <f>IF($A799="","",IFERROR(INDEX(OSStatus,MATCH($A799,OSNum,0)),"OS inexistente"))</f>
        <v>0</v>
      </c>
      <c r="J799" s="32">
        <f>IF($A799="","",IF($I799="OS inexistente","OS inexistente",IF($E799="Peça não cadastrada","Peça não cadastrada","OK")))</f>
        <v>0</v>
      </c>
    </row>
    <row r="800" spans="1:10">
      <c r="A800" s="17"/>
      <c r="B800" s="13"/>
      <c r="C800" s="20"/>
      <c r="D800" s="19"/>
      <c r="E800" s="26">
        <f>IF($B800="","",IFERROR(INDEX(PecDesc,MATCH($B800,PecCod,0)),"Peça não cadastrada"))</f>
        <v>0</v>
      </c>
      <c r="F800" s="27">
        <f>IF($B800="","",IF($D800&lt;&gt;"",$D800,IFERROR(INDEX(PecPreco,MATCH($B800,PecCod,0)),0)))</f>
        <v>0</v>
      </c>
      <c r="G800" s="27">
        <f>IF(OR($B800="",$C800=""),"",$C800*$F800)</f>
        <v>0</v>
      </c>
      <c r="H800" s="27">
        <f>IF(OR($B800="",$C800=""),"",$C800*IFERROR(INDEX(PecCusto,MATCH($B800,PecCod,0)),0))</f>
        <v>0</v>
      </c>
      <c r="I800" s="32">
        <f>IF($A800="","",IFERROR(INDEX(OSStatus,MATCH($A800,OSNum,0)),"OS inexistente"))</f>
        <v>0</v>
      </c>
      <c r="J800" s="32">
        <f>IF($A800="","",IF($I800="OS inexistente","OS inexistente",IF($E800="Peça não cadastrada","Peça não cadastrada","OK")))</f>
        <v>0</v>
      </c>
    </row>
    <row r="801" spans="1:10">
      <c r="A801" s="17"/>
      <c r="B801" s="13"/>
      <c r="C801" s="20"/>
      <c r="D801" s="19"/>
      <c r="E801" s="26">
        <f>IF($B801="","",IFERROR(INDEX(PecDesc,MATCH($B801,PecCod,0)),"Peça não cadastrada"))</f>
        <v>0</v>
      </c>
      <c r="F801" s="27">
        <f>IF($B801="","",IF($D801&lt;&gt;"",$D801,IFERROR(INDEX(PecPreco,MATCH($B801,PecCod,0)),0)))</f>
        <v>0</v>
      </c>
      <c r="G801" s="27">
        <f>IF(OR($B801="",$C801=""),"",$C801*$F801)</f>
        <v>0</v>
      </c>
      <c r="H801" s="27">
        <f>IF(OR($B801="",$C801=""),"",$C801*IFERROR(INDEX(PecCusto,MATCH($B801,PecCod,0)),0))</f>
        <v>0</v>
      </c>
      <c r="I801" s="32">
        <f>IF($A801="","",IFERROR(INDEX(OSStatus,MATCH($A801,OSNum,0)),"OS inexistente"))</f>
        <v>0</v>
      </c>
      <c r="J801" s="32">
        <f>IF($A801="","",IF($I801="OS inexistente","OS inexistente",IF($E801="Peça não cadastrada","Peça não cadastrada","OK")))</f>
        <v>0</v>
      </c>
    </row>
    <row r="802" spans="1:10">
      <c r="A802" s="17"/>
      <c r="B802" s="13"/>
      <c r="C802" s="20"/>
      <c r="D802" s="19"/>
      <c r="E802" s="26">
        <f>IF($B802="","",IFERROR(INDEX(PecDesc,MATCH($B802,PecCod,0)),"Peça não cadastrada"))</f>
        <v>0</v>
      </c>
      <c r="F802" s="27">
        <f>IF($B802="","",IF($D802&lt;&gt;"",$D802,IFERROR(INDEX(PecPreco,MATCH($B802,PecCod,0)),0)))</f>
        <v>0</v>
      </c>
      <c r="G802" s="27">
        <f>IF(OR($B802="",$C802=""),"",$C802*$F802)</f>
        <v>0</v>
      </c>
      <c r="H802" s="27">
        <f>IF(OR($B802="",$C802=""),"",$C802*IFERROR(INDEX(PecCusto,MATCH($B802,PecCod,0)),0))</f>
        <v>0</v>
      </c>
      <c r="I802" s="32">
        <f>IF($A802="","",IFERROR(INDEX(OSStatus,MATCH($A802,OSNum,0)),"OS inexistente"))</f>
        <v>0</v>
      </c>
      <c r="J802" s="32">
        <f>IF($A802="","",IF($I802="OS inexistente","OS inexistente",IF($E802="Peça não cadastrada","Peça não cadastrada","OK")))</f>
        <v>0</v>
      </c>
    </row>
    <row r="803" spans="1:10">
      <c r="A803" s="17"/>
      <c r="B803" s="13"/>
      <c r="C803" s="20"/>
      <c r="D803" s="19"/>
      <c r="E803" s="26">
        <f>IF($B803="","",IFERROR(INDEX(PecDesc,MATCH($B803,PecCod,0)),"Peça não cadastrada"))</f>
        <v>0</v>
      </c>
      <c r="F803" s="27">
        <f>IF($B803="","",IF($D803&lt;&gt;"",$D803,IFERROR(INDEX(PecPreco,MATCH($B803,PecCod,0)),0)))</f>
        <v>0</v>
      </c>
      <c r="G803" s="27">
        <f>IF(OR($B803="",$C803=""),"",$C803*$F803)</f>
        <v>0</v>
      </c>
      <c r="H803" s="27">
        <f>IF(OR($B803="",$C803=""),"",$C803*IFERROR(INDEX(PecCusto,MATCH($B803,PecCod,0)),0))</f>
        <v>0</v>
      </c>
      <c r="I803" s="32">
        <f>IF($A803="","",IFERROR(INDEX(OSStatus,MATCH($A803,OSNum,0)),"OS inexistente"))</f>
        <v>0</v>
      </c>
      <c r="J803" s="32">
        <f>IF($A803="","",IF($I803="OS inexistente","OS inexistente",IF($E803="Peça não cadastrada","Peça não cadastrada","OK")))</f>
        <v>0</v>
      </c>
    </row>
    <row r="804" spans="1:10">
      <c r="A804" s="17"/>
      <c r="B804" s="13"/>
      <c r="C804" s="20"/>
      <c r="D804" s="19"/>
      <c r="E804" s="26">
        <f>IF($B804="","",IFERROR(INDEX(PecDesc,MATCH($B804,PecCod,0)),"Peça não cadastrada"))</f>
        <v>0</v>
      </c>
      <c r="F804" s="27">
        <f>IF($B804="","",IF($D804&lt;&gt;"",$D804,IFERROR(INDEX(PecPreco,MATCH($B804,PecCod,0)),0)))</f>
        <v>0</v>
      </c>
      <c r="G804" s="27">
        <f>IF(OR($B804="",$C804=""),"",$C804*$F804)</f>
        <v>0</v>
      </c>
      <c r="H804" s="27">
        <f>IF(OR($B804="",$C804=""),"",$C804*IFERROR(INDEX(PecCusto,MATCH($B804,PecCod,0)),0))</f>
        <v>0</v>
      </c>
      <c r="I804" s="32">
        <f>IF($A804="","",IFERROR(INDEX(OSStatus,MATCH($A804,OSNum,0)),"OS inexistente"))</f>
        <v>0</v>
      </c>
      <c r="J804" s="32">
        <f>IF($A804="","",IF($I804="OS inexistente","OS inexistente",IF($E804="Peça não cadastrada","Peça não cadastrada","OK")))</f>
        <v>0</v>
      </c>
    </row>
    <row r="805" spans="1:10">
      <c r="A805" s="17"/>
      <c r="B805" s="13"/>
      <c r="C805" s="20"/>
      <c r="D805" s="19"/>
      <c r="E805" s="26">
        <f>IF($B805="","",IFERROR(INDEX(PecDesc,MATCH($B805,PecCod,0)),"Peça não cadastrada"))</f>
        <v>0</v>
      </c>
      <c r="F805" s="27">
        <f>IF($B805="","",IF($D805&lt;&gt;"",$D805,IFERROR(INDEX(PecPreco,MATCH($B805,PecCod,0)),0)))</f>
        <v>0</v>
      </c>
      <c r="G805" s="27">
        <f>IF(OR($B805="",$C805=""),"",$C805*$F805)</f>
        <v>0</v>
      </c>
      <c r="H805" s="27">
        <f>IF(OR($B805="",$C805=""),"",$C805*IFERROR(INDEX(PecCusto,MATCH($B805,PecCod,0)),0))</f>
        <v>0</v>
      </c>
      <c r="I805" s="32">
        <f>IF($A805="","",IFERROR(INDEX(OSStatus,MATCH($A805,OSNum,0)),"OS inexistente"))</f>
        <v>0</v>
      </c>
      <c r="J805" s="32">
        <f>IF($A805="","",IF($I805="OS inexistente","OS inexistente",IF($E805="Peça não cadastrada","Peça não cadastrada","OK")))</f>
        <v>0</v>
      </c>
    </row>
    <row r="806" spans="1:10">
      <c r="A806" s="17"/>
      <c r="B806" s="13"/>
      <c r="C806" s="20"/>
      <c r="D806" s="19"/>
      <c r="E806" s="26">
        <f>IF($B806="","",IFERROR(INDEX(PecDesc,MATCH($B806,PecCod,0)),"Peça não cadastrada"))</f>
        <v>0</v>
      </c>
      <c r="F806" s="27">
        <f>IF($B806="","",IF($D806&lt;&gt;"",$D806,IFERROR(INDEX(PecPreco,MATCH($B806,PecCod,0)),0)))</f>
        <v>0</v>
      </c>
      <c r="G806" s="27">
        <f>IF(OR($B806="",$C806=""),"",$C806*$F806)</f>
        <v>0</v>
      </c>
      <c r="H806" s="27">
        <f>IF(OR($B806="",$C806=""),"",$C806*IFERROR(INDEX(PecCusto,MATCH($B806,PecCod,0)),0))</f>
        <v>0</v>
      </c>
      <c r="I806" s="32">
        <f>IF($A806="","",IFERROR(INDEX(OSStatus,MATCH($A806,OSNum,0)),"OS inexistente"))</f>
        <v>0</v>
      </c>
      <c r="J806" s="32">
        <f>IF($A806="","",IF($I806="OS inexistente","OS inexistente",IF($E806="Peça não cadastrada","Peça não cadastrada","OK")))</f>
        <v>0</v>
      </c>
    </row>
    <row r="807" spans="1:10">
      <c r="A807" s="17"/>
      <c r="B807" s="13"/>
      <c r="C807" s="20"/>
      <c r="D807" s="19"/>
      <c r="E807" s="26">
        <f>IF($B807="","",IFERROR(INDEX(PecDesc,MATCH($B807,PecCod,0)),"Peça não cadastrada"))</f>
        <v>0</v>
      </c>
      <c r="F807" s="27">
        <f>IF($B807="","",IF($D807&lt;&gt;"",$D807,IFERROR(INDEX(PecPreco,MATCH($B807,PecCod,0)),0)))</f>
        <v>0</v>
      </c>
      <c r="G807" s="27">
        <f>IF(OR($B807="",$C807=""),"",$C807*$F807)</f>
        <v>0</v>
      </c>
      <c r="H807" s="27">
        <f>IF(OR($B807="",$C807=""),"",$C807*IFERROR(INDEX(PecCusto,MATCH($B807,PecCod,0)),0))</f>
        <v>0</v>
      </c>
      <c r="I807" s="32">
        <f>IF($A807="","",IFERROR(INDEX(OSStatus,MATCH($A807,OSNum,0)),"OS inexistente"))</f>
        <v>0</v>
      </c>
      <c r="J807" s="32">
        <f>IF($A807="","",IF($I807="OS inexistente","OS inexistente",IF($E807="Peça não cadastrada","Peça não cadastrada","OK")))</f>
        <v>0</v>
      </c>
    </row>
    <row r="808" spans="1:10">
      <c r="A808" s="17"/>
      <c r="B808" s="13"/>
      <c r="C808" s="20"/>
      <c r="D808" s="19"/>
      <c r="E808" s="26">
        <f>IF($B808="","",IFERROR(INDEX(PecDesc,MATCH($B808,PecCod,0)),"Peça não cadastrada"))</f>
        <v>0</v>
      </c>
      <c r="F808" s="27">
        <f>IF($B808="","",IF($D808&lt;&gt;"",$D808,IFERROR(INDEX(PecPreco,MATCH($B808,PecCod,0)),0)))</f>
        <v>0</v>
      </c>
      <c r="G808" s="27">
        <f>IF(OR($B808="",$C808=""),"",$C808*$F808)</f>
        <v>0</v>
      </c>
      <c r="H808" s="27">
        <f>IF(OR($B808="",$C808=""),"",$C808*IFERROR(INDEX(PecCusto,MATCH($B808,PecCod,0)),0))</f>
        <v>0</v>
      </c>
      <c r="I808" s="32">
        <f>IF($A808="","",IFERROR(INDEX(OSStatus,MATCH($A808,OSNum,0)),"OS inexistente"))</f>
        <v>0</v>
      </c>
      <c r="J808" s="32">
        <f>IF($A808="","",IF($I808="OS inexistente","OS inexistente",IF($E808="Peça não cadastrada","Peça não cadastrada","OK")))</f>
        <v>0</v>
      </c>
    </row>
    <row r="809" spans="1:10">
      <c r="A809" s="17"/>
      <c r="B809" s="13"/>
      <c r="C809" s="20"/>
      <c r="D809" s="19"/>
      <c r="E809" s="26">
        <f>IF($B809="","",IFERROR(INDEX(PecDesc,MATCH($B809,PecCod,0)),"Peça não cadastrada"))</f>
        <v>0</v>
      </c>
      <c r="F809" s="27">
        <f>IF($B809="","",IF($D809&lt;&gt;"",$D809,IFERROR(INDEX(PecPreco,MATCH($B809,PecCod,0)),0)))</f>
        <v>0</v>
      </c>
      <c r="G809" s="27">
        <f>IF(OR($B809="",$C809=""),"",$C809*$F809)</f>
        <v>0</v>
      </c>
      <c r="H809" s="27">
        <f>IF(OR($B809="",$C809=""),"",$C809*IFERROR(INDEX(PecCusto,MATCH($B809,PecCod,0)),0))</f>
        <v>0</v>
      </c>
      <c r="I809" s="32">
        <f>IF($A809="","",IFERROR(INDEX(OSStatus,MATCH($A809,OSNum,0)),"OS inexistente"))</f>
        <v>0</v>
      </c>
      <c r="J809" s="32">
        <f>IF($A809="","",IF($I809="OS inexistente","OS inexistente",IF($E809="Peça não cadastrada","Peça não cadastrada","OK")))</f>
        <v>0</v>
      </c>
    </row>
    <row r="810" spans="1:10">
      <c r="A810" s="17"/>
      <c r="B810" s="13"/>
      <c r="C810" s="20"/>
      <c r="D810" s="19"/>
      <c r="E810" s="26">
        <f>IF($B810="","",IFERROR(INDEX(PecDesc,MATCH($B810,PecCod,0)),"Peça não cadastrada"))</f>
        <v>0</v>
      </c>
      <c r="F810" s="27">
        <f>IF($B810="","",IF($D810&lt;&gt;"",$D810,IFERROR(INDEX(PecPreco,MATCH($B810,PecCod,0)),0)))</f>
        <v>0</v>
      </c>
      <c r="G810" s="27">
        <f>IF(OR($B810="",$C810=""),"",$C810*$F810)</f>
        <v>0</v>
      </c>
      <c r="H810" s="27">
        <f>IF(OR($B810="",$C810=""),"",$C810*IFERROR(INDEX(PecCusto,MATCH($B810,PecCod,0)),0))</f>
        <v>0</v>
      </c>
      <c r="I810" s="32">
        <f>IF($A810="","",IFERROR(INDEX(OSStatus,MATCH($A810,OSNum,0)),"OS inexistente"))</f>
        <v>0</v>
      </c>
      <c r="J810" s="32">
        <f>IF($A810="","",IF($I810="OS inexistente","OS inexistente",IF($E810="Peça não cadastrada","Peça não cadastrada","OK")))</f>
        <v>0</v>
      </c>
    </row>
    <row r="811" spans="1:10">
      <c r="A811" s="17"/>
      <c r="B811" s="13"/>
      <c r="C811" s="20"/>
      <c r="D811" s="19"/>
      <c r="E811" s="26">
        <f>IF($B811="","",IFERROR(INDEX(PecDesc,MATCH($B811,PecCod,0)),"Peça não cadastrada"))</f>
        <v>0</v>
      </c>
      <c r="F811" s="27">
        <f>IF($B811="","",IF($D811&lt;&gt;"",$D811,IFERROR(INDEX(PecPreco,MATCH($B811,PecCod,0)),0)))</f>
        <v>0</v>
      </c>
      <c r="G811" s="27">
        <f>IF(OR($B811="",$C811=""),"",$C811*$F811)</f>
        <v>0</v>
      </c>
      <c r="H811" s="27">
        <f>IF(OR($B811="",$C811=""),"",$C811*IFERROR(INDEX(PecCusto,MATCH($B811,PecCod,0)),0))</f>
        <v>0</v>
      </c>
      <c r="I811" s="32">
        <f>IF($A811="","",IFERROR(INDEX(OSStatus,MATCH($A811,OSNum,0)),"OS inexistente"))</f>
        <v>0</v>
      </c>
      <c r="J811" s="32">
        <f>IF($A811="","",IF($I811="OS inexistente","OS inexistente",IF($E811="Peça não cadastrada","Peça não cadastrada","OK")))</f>
        <v>0</v>
      </c>
    </row>
    <row r="812" spans="1:10">
      <c r="A812" s="17"/>
      <c r="B812" s="13"/>
      <c r="C812" s="20"/>
      <c r="D812" s="19"/>
      <c r="E812" s="26">
        <f>IF($B812="","",IFERROR(INDEX(PecDesc,MATCH($B812,PecCod,0)),"Peça não cadastrada"))</f>
        <v>0</v>
      </c>
      <c r="F812" s="27">
        <f>IF($B812="","",IF($D812&lt;&gt;"",$D812,IFERROR(INDEX(PecPreco,MATCH($B812,PecCod,0)),0)))</f>
        <v>0</v>
      </c>
      <c r="G812" s="27">
        <f>IF(OR($B812="",$C812=""),"",$C812*$F812)</f>
        <v>0</v>
      </c>
      <c r="H812" s="27">
        <f>IF(OR($B812="",$C812=""),"",$C812*IFERROR(INDEX(PecCusto,MATCH($B812,PecCod,0)),0))</f>
        <v>0</v>
      </c>
      <c r="I812" s="32">
        <f>IF($A812="","",IFERROR(INDEX(OSStatus,MATCH($A812,OSNum,0)),"OS inexistente"))</f>
        <v>0</v>
      </c>
      <c r="J812" s="32">
        <f>IF($A812="","",IF($I812="OS inexistente","OS inexistente",IF($E812="Peça não cadastrada","Peça não cadastrada","OK")))</f>
        <v>0</v>
      </c>
    </row>
    <row r="813" spans="1:10">
      <c r="A813" s="17"/>
      <c r="B813" s="13"/>
      <c r="C813" s="20"/>
      <c r="D813" s="19"/>
      <c r="E813" s="26">
        <f>IF($B813="","",IFERROR(INDEX(PecDesc,MATCH($B813,PecCod,0)),"Peça não cadastrada"))</f>
        <v>0</v>
      </c>
      <c r="F813" s="27">
        <f>IF($B813="","",IF($D813&lt;&gt;"",$D813,IFERROR(INDEX(PecPreco,MATCH($B813,PecCod,0)),0)))</f>
        <v>0</v>
      </c>
      <c r="G813" s="27">
        <f>IF(OR($B813="",$C813=""),"",$C813*$F813)</f>
        <v>0</v>
      </c>
      <c r="H813" s="27">
        <f>IF(OR($B813="",$C813=""),"",$C813*IFERROR(INDEX(PecCusto,MATCH($B813,PecCod,0)),0))</f>
        <v>0</v>
      </c>
      <c r="I813" s="32">
        <f>IF($A813="","",IFERROR(INDEX(OSStatus,MATCH($A813,OSNum,0)),"OS inexistente"))</f>
        <v>0</v>
      </c>
      <c r="J813" s="32">
        <f>IF($A813="","",IF($I813="OS inexistente","OS inexistente",IF($E813="Peça não cadastrada","Peça não cadastrada","OK")))</f>
        <v>0</v>
      </c>
    </row>
    <row r="814" spans="1:10">
      <c r="A814" s="17"/>
      <c r="B814" s="13"/>
      <c r="C814" s="20"/>
      <c r="D814" s="19"/>
      <c r="E814" s="26">
        <f>IF($B814="","",IFERROR(INDEX(PecDesc,MATCH($B814,PecCod,0)),"Peça não cadastrada"))</f>
        <v>0</v>
      </c>
      <c r="F814" s="27">
        <f>IF($B814="","",IF($D814&lt;&gt;"",$D814,IFERROR(INDEX(PecPreco,MATCH($B814,PecCod,0)),0)))</f>
        <v>0</v>
      </c>
      <c r="G814" s="27">
        <f>IF(OR($B814="",$C814=""),"",$C814*$F814)</f>
        <v>0</v>
      </c>
      <c r="H814" s="27">
        <f>IF(OR($B814="",$C814=""),"",$C814*IFERROR(INDEX(PecCusto,MATCH($B814,PecCod,0)),0))</f>
        <v>0</v>
      </c>
      <c r="I814" s="32">
        <f>IF($A814="","",IFERROR(INDEX(OSStatus,MATCH($A814,OSNum,0)),"OS inexistente"))</f>
        <v>0</v>
      </c>
      <c r="J814" s="32">
        <f>IF($A814="","",IF($I814="OS inexistente","OS inexistente",IF($E814="Peça não cadastrada","Peça não cadastrada","OK")))</f>
        <v>0</v>
      </c>
    </row>
    <row r="815" spans="1:10">
      <c r="A815" s="17"/>
      <c r="B815" s="13"/>
      <c r="C815" s="20"/>
      <c r="D815" s="19"/>
      <c r="E815" s="26">
        <f>IF($B815="","",IFERROR(INDEX(PecDesc,MATCH($B815,PecCod,0)),"Peça não cadastrada"))</f>
        <v>0</v>
      </c>
      <c r="F815" s="27">
        <f>IF($B815="","",IF($D815&lt;&gt;"",$D815,IFERROR(INDEX(PecPreco,MATCH($B815,PecCod,0)),0)))</f>
        <v>0</v>
      </c>
      <c r="G815" s="27">
        <f>IF(OR($B815="",$C815=""),"",$C815*$F815)</f>
        <v>0</v>
      </c>
      <c r="H815" s="27">
        <f>IF(OR($B815="",$C815=""),"",$C815*IFERROR(INDEX(PecCusto,MATCH($B815,PecCod,0)),0))</f>
        <v>0</v>
      </c>
      <c r="I815" s="32">
        <f>IF($A815="","",IFERROR(INDEX(OSStatus,MATCH($A815,OSNum,0)),"OS inexistente"))</f>
        <v>0</v>
      </c>
      <c r="J815" s="32">
        <f>IF($A815="","",IF($I815="OS inexistente","OS inexistente",IF($E815="Peça não cadastrada","Peça não cadastrada","OK")))</f>
        <v>0</v>
      </c>
    </row>
    <row r="816" spans="1:10">
      <c r="A816" s="17"/>
      <c r="B816" s="13"/>
      <c r="C816" s="20"/>
      <c r="D816" s="19"/>
      <c r="E816" s="26">
        <f>IF($B816="","",IFERROR(INDEX(PecDesc,MATCH($B816,PecCod,0)),"Peça não cadastrada"))</f>
        <v>0</v>
      </c>
      <c r="F816" s="27">
        <f>IF($B816="","",IF($D816&lt;&gt;"",$D816,IFERROR(INDEX(PecPreco,MATCH($B816,PecCod,0)),0)))</f>
        <v>0</v>
      </c>
      <c r="G816" s="27">
        <f>IF(OR($B816="",$C816=""),"",$C816*$F816)</f>
        <v>0</v>
      </c>
      <c r="H816" s="27">
        <f>IF(OR($B816="",$C816=""),"",$C816*IFERROR(INDEX(PecCusto,MATCH($B816,PecCod,0)),0))</f>
        <v>0</v>
      </c>
      <c r="I816" s="32">
        <f>IF($A816="","",IFERROR(INDEX(OSStatus,MATCH($A816,OSNum,0)),"OS inexistente"))</f>
        <v>0</v>
      </c>
      <c r="J816" s="32">
        <f>IF($A816="","",IF($I816="OS inexistente","OS inexistente",IF($E816="Peça não cadastrada","Peça não cadastrada","OK")))</f>
        <v>0</v>
      </c>
    </row>
    <row r="817" spans="1:10">
      <c r="A817" s="17"/>
      <c r="B817" s="13"/>
      <c r="C817" s="20"/>
      <c r="D817" s="19"/>
      <c r="E817" s="26">
        <f>IF($B817="","",IFERROR(INDEX(PecDesc,MATCH($B817,PecCod,0)),"Peça não cadastrada"))</f>
        <v>0</v>
      </c>
      <c r="F817" s="27">
        <f>IF($B817="","",IF($D817&lt;&gt;"",$D817,IFERROR(INDEX(PecPreco,MATCH($B817,PecCod,0)),0)))</f>
        <v>0</v>
      </c>
      <c r="G817" s="27">
        <f>IF(OR($B817="",$C817=""),"",$C817*$F817)</f>
        <v>0</v>
      </c>
      <c r="H817" s="27">
        <f>IF(OR($B817="",$C817=""),"",$C817*IFERROR(INDEX(PecCusto,MATCH($B817,PecCod,0)),0))</f>
        <v>0</v>
      </c>
      <c r="I817" s="32">
        <f>IF($A817="","",IFERROR(INDEX(OSStatus,MATCH($A817,OSNum,0)),"OS inexistente"))</f>
        <v>0</v>
      </c>
      <c r="J817" s="32">
        <f>IF($A817="","",IF($I817="OS inexistente","OS inexistente",IF($E817="Peça não cadastrada","Peça não cadastrada","OK")))</f>
        <v>0</v>
      </c>
    </row>
    <row r="818" spans="1:10">
      <c r="A818" s="17"/>
      <c r="B818" s="13"/>
      <c r="C818" s="20"/>
      <c r="D818" s="19"/>
      <c r="E818" s="26">
        <f>IF($B818="","",IFERROR(INDEX(PecDesc,MATCH($B818,PecCod,0)),"Peça não cadastrada"))</f>
        <v>0</v>
      </c>
      <c r="F818" s="27">
        <f>IF($B818="","",IF($D818&lt;&gt;"",$D818,IFERROR(INDEX(PecPreco,MATCH($B818,PecCod,0)),0)))</f>
        <v>0</v>
      </c>
      <c r="G818" s="27">
        <f>IF(OR($B818="",$C818=""),"",$C818*$F818)</f>
        <v>0</v>
      </c>
      <c r="H818" s="27">
        <f>IF(OR($B818="",$C818=""),"",$C818*IFERROR(INDEX(PecCusto,MATCH($B818,PecCod,0)),0))</f>
        <v>0</v>
      </c>
      <c r="I818" s="32">
        <f>IF($A818="","",IFERROR(INDEX(OSStatus,MATCH($A818,OSNum,0)),"OS inexistente"))</f>
        <v>0</v>
      </c>
      <c r="J818" s="32">
        <f>IF($A818="","",IF($I818="OS inexistente","OS inexistente",IF($E818="Peça não cadastrada","Peça não cadastrada","OK")))</f>
        <v>0</v>
      </c>
    </row>
    <row r="819" spans="1:10">
      <c r="A819" s="17"/>
      <c r="B819" s="13"/>
      <c r="C819" s="20"/>
      <c r="D819" s="19"/>
      <c r="E819" s="26">
        <f>IF($B819="","",IFERROR(INDEX(PecDesc,MATCH($B819,PecCod,0)),"Peça não cadastrada"))</f>
        <v>0</v>
      </c>
      <c r="F819" s="27">
        <f>IF($B819="","",IF($D819&lt;&gt;"",$D819,IFERROR(INDEX(PecPreco,MATCH($B819,PecCod,0)),0)))</f>
        <v>0</v>
      </c>
      <c r="G819" s="27">
        <f>IF(OR($B819="",$C819=""),"",$C819*$F819)</f>
        <v>0</v>
      </c>
      <c r="H819" s="27">
        <f>IF(OR($B819="",$C819=""),"",$C819*IFERROR(INDEX(PecCusto,MATCH($B819,PecCod,0)),0))</f>
        <v>0</v>
      </c>
      <c r="I819" s="32">
        <f>IF($A819="","",IFERROR(INDEX(OSStatus,MATCH($A819,OSNum,0)),"OS inexistente"))</f>
        <v>0</v>
      </c>
      <c r="J819" s="32">
        <f>IF($A819="","",IF($I819="OS inexistente","OS inexistente",IF($E819="Peça não cadastrada","Peça não cadastrada","OK")))</f>
        <v>0</v>
      </c>
    </row>
    <row r="820" spans="1:10">
      <c r="A820" s="17"/>
      <c r="B820" s="13"/>
      <c r="C820" s="20"/>
      <c r="D820" s="19"/>
      <c r="E820" s="26">
        <f>IF($B820="","",IFERROR(INDEX(PecDesc,MATCH($B820,PecCod,0)),"Peça não cadastrada"))</f>
        <v>0</v>
      </c>
      <c r="F820" s="27">
        <f>IF($B820="","",IF($D820&lt;&gt;"",$D820,IFERROR(INDEX(PecPreco,MATCH($B820,PecCod,0)),0)))</f>
        <v>0</v>
      </c>
      <c r="G820" s="27">
        <f>IF(OR($B820="",$C820=""),"",$C820*$F820)</f>
        <v>0</v>
      </c>
      <c r="H820" s="27">
        <f>IF(OR($B820="",$C820=""),"",$C820*IFERROR(INDEX(PecCusto,MATCH($B820,PecCod,0)),0))</f>
        <v>0</v>
      </c>
      <c r="I820" s="32">
        <f>IF($A820="","",IFERROR(INDEX(OSStatus,MATCH($A820,OSNum,0)),"OS inexistente"))</f>
        <v>0</v>
      </c>
      <c r="J820" s="32">
        <f>IF($A820="","",IF($I820="OS inexistente","OS inexistente",IF($E820="Peça não cadastrada","Peça não cadastrada","OK")))</f>
        <v>0</v>
      </c>
    </row>
    <row r="821" spans="1:10">
      <c r="A821" s="17"/>
      <c r="B821" s="13"/>
      <c r="C821" s="20"/>
      <c r="D821" s="19"/>
      <c r="E821" s="26">
        <f>IF($B821="","",IFERROR(INDEX(PecDesc,MATCH($B821,PecCod,0)),"Peça não cadastrada"))</f>
        <v>0</v>
      </c>
      <c r="F821" s="27">
        <f>IF($B821="","",IF($D821&lt;&gt;"",$D821,IFERROR(INDEX(PecPreco,MATCH($B821,PecCod,0)),0)))</f>
        <v>0</v>
      </c>
      <c r="G821" s="27">
        <f>IF(OR($B821="",$C821=""),"",$C821*$F821)</f>
        <v>0</v>
      </c>
      <c r="H821" s="27">
        <f>IF(OR($B821="",$C821=""),"",$C821*IFERROR(INDEX(PecCusto,MATCH($B821,PecCod,0)),0))</f>
        <v>0</v>
      </c>
      <c r="I821" s="32">
        <f>IF($A821="","",IFERROR(INDEX(OSStatus,MATCH($A821,OSNum,0)),"OS inexistente"))</f>
        <v>0</v>
      </c>
      <c r="J821" s="32">
        <f>IF($A821="","",IF($I821="OS inexistente","OS inexistente",IF($E821="Peça não cadastrada","Peça não cadastrada","OK")))</f>
        <v>0</v>
      </c>
    </row>
    <row r="822" spans="1:10">
      <c r="A822" s="17"/>
      <c r="B822" s="13"/>
      <c r="C822" s="20"/>
      <c r="D822" s="19"/>
      <c r="E822" s="26">
        <f>IF($B822="","",IFERROR(INDEX(PecDesc,MATCH($B822,PecCod,0)),"Peça não cadastrada"))</f>
        <v>0</v>
      </c>
      <c r="F822" s="27">
        <f>IF($B822="","",IF($D822&lt;&gt;"",$D822,IFERROR(INDEX(PecPreco,MATCH($B822,PecCod,0)),0)))</f>
        <v>0</v>
      </c>
      <c r="G822" s="27">
        <f>IF(OR($B822="",$C822=""),"",$C822*$F822)</f>
        <v>0</v>
      </c>
      <c r="H822" s="27">
        <f>IF(OR($B822="",$C822=""),"",$C822*IFERROR(INDEX(PecCusto,MATCH($B822,PecCod,0)),0))</f>
        <v>0</v>
      </c>
      <c r="I822" s="32">
        <f>IF($A822="","",IFERROR(INDEX(OSStatus,MATCH($A822,OSNum,0)),"OS inexistente"))</f>
        <v>0</v>
      </c>
      <c r="J822" s="32">
        <f>IF($A822="","",IF($I822="OS inexistente","OS inexistente",IF($E822="Peça não cadastrada","Peça não cadastrada","OK")))</f>
        <v>0</v>
      </c>
    </row>
    <row r="823" spans="1:10">
      <c r="A823" s="17"/>
      <c r="B823" s="13"/>
      <c r="C823" s="20"/>
      <c r="D823" s="19"/>
      <c r="E823" s="26">
        <f>IF($B823="","",IFERROR(INDEX(PecDesc,MATCH($B823,PecCod,0)),"Peça não cadastrada"))</f>
        <v>0</v>
      </c>
      <c r="F823" s="27">
        <f>IF($B823="","",IF($D823&lt;&gt;"",$D823,IFERROR(INDEX(PecPreco,MATCH($B823,PecCod,0)),0)))</f>
        <v>0</v>
      </c>
      <c r="G823" s="27">
        <f>IF(OR($B823="",$C823=""),"",$C823*$F823)</f>
        <v>0</v>
      </c>
      <c r="H823" s="27">
        <f>IF(OR($B823="",$C823=""),"",$C823*IFERROR(INDEX(PecCusto,MATCH($B823,PecCod,0)),0))</f>
        <v>0</v>
      </c>
      <c r="I823" s="32">
        <f>IF($A823="","",IFERROR(INDEX(OSStatus,MATCH($A823,OSNum,0)),"OS inexistente"))</f>
        <v>0</v>
      </c>
      <c r="J823" s="32">
        <f>IF($A823="","",IF($I823="OS inexistente","OS inexistente",IF($E823="Peça não cadastrada","Peça não cadastrada","OK")))</f>
        <v>0</v>
      </c>
    </row>
    <row r="824" spans="1:10">
      <c r="A824" s="17"/>
      <c r="B824" s="13"/>
      <c r="C824" s="20"/>
      <c r="D824" s="19"/>
      <c r="E824" s="26">
        <f>IF($B824="","",IFERROR(INDEX(PecDesc,MATCH($B824,PecCod,0)),"Peça não cadastrada"))</f>
        <v>0</v>
      </c>
      <c r="F824" s="27">
        <f>IF($B824="","",IF($D824&lt;&gt;"",$D824,IFERROR(INDEX(PecPreco,MATCH($B824,PecCod,0)),0)))</f>
        <v>0</v>
      </c>
      <c r="G824" s="27">
        <f>IF(OR($B824="",$C824=""),"",$C824*$F824)</f>
        <v>0</v>
      </c>
      <c r="H824" s="27">
        <f>IF(OR($B824="",$C824=""),"",$C824*IFERROR(INDEX(PecCusto,MATCH($B824,PecCod,0)),0))</f>
        <v>0</v>
      </c>
      <c r="I824" s="32">
        <f>IF($A824="","",IFERROR(INDEX(OSStatus,MATCH($A824,OSNum,0)),"OS inexistente"))</f>
        <v>0</v>
      </c>
      <c r="J824" s="32">
        <f>IF($A824="","",IF($I824="OS inexistente","OS inexistente",IF($E824="Peça não cadastrada","Peça não cadastrada","OK")))</f>
        <v>0</v>
      </c>
    </row>
    <row r="825" spans="1:10">
      <c r="A825" s="17"/>
      <c r="B825" s="13"/>
      <c r="C825" s="20"/>
      <c r="D825" s="19"/>
      <c r="E825" s="26">
        <f>IF($B825="","",IFERROR(INDEX(PecDesc,MATCH($B825,PecCod,0)),"Peça não cadastrada"))</f>
        <v>0</v>
      </c>
      <c r="F825" s="27">
        <f>IF($B825="","",IF($D825&lt;&gt;"",$D825,IFERROR(INDEX(PecPreco,MATCH($B825,PecCod,0)),0)))</f>
        <v>0</v>
      </c>
      <c r="G825" s="27">
        <f>IF(OR($B825="",$C825=""),"",$C825*$F825)</f>
        <v>0</v>
      </c>
      <c r="H825" s="27">
        <f>IF(OR($B825="",$C825=""),"",$C825*IFERROR(INDEX(PecCusto,MATCH($B825,PecCod,0)),0))</f>
        <v>0</v>
      </c>
      <c r="I825" s="32">
        <f>IF($A825="","",IFERROR(INDEX(OSStatus,MATCH($A825,OSNum,0)),"OS inexistente"))</f>
        <v>0</v>
      </c>
      <c r="J825" s="32">
        <f>IF($A825="","",IF($I825="OS inexistente","OS inexistente",IF($E825="Peça não cadastrada","Peça não cadastrada","OK")))</f>
        <v>0</v>
      </c>
    </row>
    <row r="826" spans="1:10">
      <c r="A826" s="17"/>
      <c r="B826" s="13"/>
      <c r="C826" s="20"/>
      <c r="D826" s="19"/>
      <c r="E826" s="26">
        <f>IF($B826="","",IFERROR(INDEX(PecDesc,MATCH($B826,PecCod,0)),"Peça não cadastrada"))</f>
        <v>0</v>
      </c>
      <c r="F826" s="27">
        <f>IF($B826="","",IF($D826&lt;&gt;"",$D826,IFERROR(INDEX(PecPreco,MATCH($B826,PecCod,0)),0)))</f>
        <v>0</v>
      </c>
      <c r="G826" s="27">
        <f>IF(OR($B826="",$C826=""),"",$C826*$F826)</f>
        <v>0</v>
      </c>
      <c r="H826" s="27">
        <f>IF(OR($B826="",$C826=""),"",$C826*IFERROR(INDEX(PecCusto,MATCH($B826,PecCod,0)),0))</f>
        <v>0</v>
      </c>
      <c r="I826" s="32">
        <f>IF($A826="","",IFERROR(INDEX(OSStatus,MATCH($A826,OSNum,0)),"OS inexistente"))</f>
        <v>0</v>
      </c>
      <c r="J826" s="32">
        <f>IF($A826="","",IF($I826="OS inexistente","OS inexistente",IF($E826="Peça não cadastrada","Peça não cadastrada","OK")))</f>
        <v>0</v>
      </c>
    </row>
    <row r="827" spans="1:10">
      <c r="A827" s="17"/>
      <c r="B827" s="13"/>
      <c r="C827" s="20"/>
      <c r="D827" s="19"/>
      <c r="E827" s="26">
        <f>IF($B827="","",IFERROR(INDEX(PecDesc,MATCH($B827,PecCod,0)),"Peça não cadastrada"))</f>
        <v>0</v>
      </c>
      <c r="F827" s="27">
        <f>IF($B827="","",IF($D827&lt;&gt;"",$D827,IFERROR(INDEX(PecPreco,MATCH($B827,PecCod,0)),0)))</f>
        <v>0</v>
      </c>
      <c r="G827" s="27">
        <f>IF(OR($B827="",$C827=""),"",$C827*$F827)</f>
        <v>0</v>
      </c>
      <c r="H827" s="27">
        <f>IF(OR($B827="",$C827=""),"",$C827*IFERROR(INDEX(PecCusto,MATCH($B827,PecCod,0)),0))</f>
        <v>0</v>
      </c>
      <c r="I827" s="32">
        <f>IF($A827="","",IFERROR(INDEX(OSStatus,MATCH($A827,OSNum,0)),"OS inexistente"))</f>
        <v>0</v>
      </c>
      <c r="J827" s="32">
        <f>IF($A827="","",IF($I827="OS inexistente","OS inexistente",IF($E827="Peça não cadastrada","Peça não cadastrada","OK")))</f>
        <v>0</v>
      </c>
    </row>
    <row r="828" spans="1:10">
      <c r="A828" s="17"/>
      <c r="B828" s="13"/>
      <c r="C828" s="20"/>
      <c r="D828" s="19"/>
      <c r="E828" s="26">
        <f>IF($B828="","",IFERROR(INDEX(PecDesc,MATCH($B828,PecCod,0)),"Peça não cadastrada"))</f>
        <v>0</v>
      </c>
      <c r="F828" s="27">
        <f>IF($B828="","",IF($D828&lt;&gt;"",$D828,IFERROR(INDEX(PecPreco,MATCH($B828,PecCod,0)),0)))</f>
        <v>0</v>
      </c>
      <c r="G828" s="27">
        <f>IF(OR($B828="",$C828=""),"",$C828*$F828)</f>
        <v>0</v>
      </c>
      <c r="H828" s="27">
        <f>IF(OR($B828="",$C828=""),"",$C828*IFERROR(INDEX(PecCusto,MATCH($B828,PecCod,0)),0))</f>
        <v>0</v>
      </c>
      <c r="I828" s="32">
        <f>IF($A828="","",IFERROR(INDEX(OSStatus,MATCH($A828,OSNum,0)),"OS inexistente"))</f>
        <v>0</v>
      </c>
      <c r="J828" s="32">
        <f>IF($A828="","",IF($I828="OS inexistente","OS inexistente",IF($E828="Peça não cadastrada","Peça não cadastrada","OK")))</f>
        <v>0</v>
      </c>
    </row>
    <row r="829" spans="1:10">
      <c r="A829" s="17"/>
      <c r="B829" s="13"/>
      <c r="C829" s="20"/>
      <c r="D829" s="19"/>
      <c r="E829" s="26">
        <f>IF($B829="","",IFERROR(INDEX(PecDesc,MATCH($B829,PecCod,0)),"Peça não cadastrada"))</f>
        <v>0</v>
      </c>
      <c r="F829" s="27">
        <f>IF($B829="","",IF($D829&lt;&gt;"",$D829,IFERROR(INDEX(PecPreco,MATCH($B829,PecCod,0)),0)))</f>
        <v>0</v>
      </c>
      <c r="G829" s="27">
        <f>IF(OR($B829="",$C829=""),"",$C829*$F829)</f>
        <v>0</v>
      </c>
      <c r="H829" s="27">
        <f>IF(OR($B829="",$C829=""),"",$C829*IFERROR(INDEX(PecCusto,MATCH($B829,PecCod,0)),0))</f>
        <v>0</v>
      </c>
      <c r="I829" s="32">
        <f>IF($A829="","",IFERROR(INDEX(OSStatus,MATCH($A829,OSNum,0)),"OS inexistente"))</f>
        <v>0</v>
      </c>
      <c r="J829" s="32">
        <f>IF($A829="","",IF($I829="OS inexistente","OS inexistente",IF($E829="Peça não cadastrada","Peça não cadastrada","OK")))</f>
        <v>0</v>
      </c>
    </row>
    <row r="830" spans="1:10">
      <c r="A830" s="17"/>
      <c r="B830" s="13"/>
      <c r="C830" s="20"/>
      <c r="D830" s="19"/>
      <c r="E830" s="26">
        <f>IF($B830="","",IFERROR(INDEX(PecDesc,MATCH($B830,PecCod,0)),"Peça não cadastrada"))</f>
        <v>0</v>
      </c>
      <c r="F830" s="27">
        <f>IF($B830="","",IF($D830&lt;&gt;"",$D830,IFERROR(INDEX(PecPreco,MATCH($B830,PecCod,0)),0)))</f>
        <v>0</v>
      </c>
      <c r="G830" s="27">
        <f>IF(OR($B830="",$C830=""),"",$C830*$F830)</f>
        <v>0</v>
      </c>
      <c r="H830" s="27">
        <f>IF(OR($B830="",$C830=""),"",$C830*IFERROR(INDEX(PecCusto,MATCH($B830,PecCod,0)),0))</f>
        <v>0</v>
      </c>
      <c r="I830" s="32">
        <f>IF($A830="","",IFERROR(INDEX(OSStatus,MATCH($A830,OSNum,0)),"OS inexistente"))</f>
        <v>0</v>
      </c>
      <c r="J830" s="32">
        <f>IF($A830="","",IF($I830="OS inexistente","OS inexistente",IF($E830="Peça não cadastrada","Peça não cadastrada","OK")))</f>
        <v>0</v>
      </c>
    </row>
    <row r="831" spans="1:10">
      <c r="A831" s="17"/>
      <c r="B831" s="13"/>
      <c r="C831" s="20"/>
      <c r="D831" s="19"/>
      <c r="E831" s="26">
        <f>IF($B831="","",IFERROR(INDEX(PecDesc,MATCH($B831,PecCod,0)),"Peça não cadastrada"))</f>
        <v>0</v>
      </c>
      <c r="F831" s="27">
        <f>IF($B831="","",IF($D831&lt;&gt;"",$D831,IFERROR(INDEX(PecPreco,MATCH($B831,PecCod,0)),0)))</f>
        <v>0</v>
      </c>
      <c r="G831" s="27">
        <f>IF(OR($B831="",$C831=""),"",$C831*$F831)</f>
        <v>0</v>
      </c>
      <c r="H831" s="27">
        <f>IF(OR($B831="",$C831=""),"",$C831*IFERROR(INDEX(PecCusto,MATCH($B831,PecCod,0)),0))</f>
        <v>0</v>
      </c>
      <c r="I831" s="32">
        <f>IF($A831="","",IFERROR(INDEX(OSStatus,MATCH($A831,OSNum,0)),"OS inexistente"))</f>
        <v>0</v>
      </c>
      <c r="J831" s="32">
        <f>IF($A831="","",IF($I831="OS inexistente","OS inexistente",IF($E831="Peça não cadastrada","Peça não cadastrada","OK")))</f>
        <v>0</v>
      </c>
    </row>
    <row r="832" spans="1:10">
      <c r="A832" s="17"/>
      <c r="B832" s="13"/>
      <c r="C832" s="20"/>
      <c r="D832" s="19"/>
      <c r="E832" s="26">
        <f>IF($B832="","",IFERROR(INDEX(PecDesc,MATCH($B832,PecCod,0)),"Peça não cadastrada"))</f>
        <v>0</v>
      </c>
      <c r="F832" s="27">
        <f>IF($B832="","",IF($D832&lt;&gt;"",$D832,IFERROR(INDEX(PecPreco,MATCH($B832,PecCod,0)),0)))</f>
        <v>0</v>
      </c>
      <c r="G832" s="27">
        <f>IF(OR($B832="",$C832=""),"",$C832*$F832)</f>
        <v>0</v>
      </c>
      <c r="H832" s="27">
        <f>IF(OR($B832="",$C832=""),"",$C832*IFERROR(INDEX(PecCusto,MATCH($B832,PecCod,0)),0))</f>
        <v>0</v>
      </c>
      <c r="I832" s="32">
        <f>IF($A832="","",IFERROR(INDEX(OSStatus,MATCH($A832,OSNum,0)),"OS inexistente"))</f>
        <v>0</v>
      </c>
      <c r="J832" s="32">
        <f>IF($A832="","",IF($I832="OS inexistente","OS inexistente",IF($E832="Peça não cadastrada","Peça não cadastrada","OK")))</f>
        <v>0</v>
      </c>
    </row>
    <row r="833" spans="1:10">
      <c r="A833" s="17"/>
      <c r="B833" s="13"/>
      <c r="C833" s="20"/>
      <c r="D833" s="19"/>
      <c r="E833" s="26">
        <f>IF($B833="","",IFERROR(INDEX(PecDesc,MATCH($B833,PecCod,0)),"Peça não cadastrada"))</f>
        <v>0</v>
      </c>
      <c r="F833" s="27">
        <f>IF($B833="","",IF($D833&lt;&gt;"",$D833,IFERROR(INDEX(PecPreco,MATCH($B833,PecCod,0)),0)))</f>
        <v>0</v>
      </c>
      <c r="G833" s="27">
        <f>IF(OR($B833="",$C833=""),"",$C833*$F833)</f>
        <v>0</v>
      </c>
      <c r="H833" s="27">
        <f>IF(OR($B833="",$C833=""),"",$C833*IFERROR(INDEX(PecCusto,MATCH($B833,PecCod,0)),0))</f>
        <v>0</v>
      </c>
      <c r="I833" s="32">
        <f>IF($A833="","",IFERROR(INDEX(OSStatus,MATCH($A833,OSNum,0)),"OS inexistente"))</f>
        <v>0</v>
      </c>
      <c r="J833" s="32">
        <f>IF($A833="","",IF($I833="OS inexistente","OS inexistente",IF($E833="Peça não cadastrada","Peça não cadastrada","OK")))</f>
        <v>0</v>
      </c>
    </row>
    <row r="834" spans="1:10">
      <c r="A834" s="17"/>
      <c r="B834" s="13"/>
      <c r="C834" s="20"/>
      <c r="D834" s="19"/>
      <c r="E834" s="26">
        <f>IF($B834="","",IFERROR(INDEX(PecDesc,MATCH($B834,PecCod,0)),"Peça não cadastrada"))</f>
        <v>0</v>
      </c>
      <c r="F834" s="27">
        <f>IF($B834="","",IF($D834&lt;&gt;"",$D834,IFERROR(INDEX(PecPreco,MATCH($B834,PecCod,0)),0)))</f>
        <v>0</v>
      </c>
      <c r="G834" s="27">
        <f>IF(OR($B834="",$C834=""),"",$C834*$F834)</f>
        <v>0</v>
      </c>
      <c r="H834" s="27">
        <f>IF(OR($B834="",$C834=""),"",$C834*IFERROR(INDEX(PecCusto,MATCH($B834,PecCod,0)),0))</f>
        <v>0</v>
      </c>
      <c r="I834" s="32">
        <f>IF($A834="","",IFERROR(INDEX(OSStatus,MATCH($A834,OSNum,0)),"OS inexistente"))</f>
        <v>0</v>
      </c>
      <c r="J834" s="32">
        <f>IF($A834="","",IF($I834="OS inexistente","OS inexistente",IF($E834="Peça não cadastrada","Peça não cadastrada","OK")))</f>
        <v>0</v>
      </c>
    </row>
    <row r="835" spans="1:10">
      <c r="A835" s="17"/>
      <c r="B835" s="13"/>
      <c r="C835" s="20"/>
      <c r="D835" s="19"/>
      <c r="E835" s="26">
        <f>IF($B835="","",IFERROR(INDEX(PecDesc,MATCH($B835,PecCod,0)),"Peça não cadastrada"))</f>
        <v>0</v>
      </c>
      <c r="F835" s="27">
        <f>IF($B835="","",IF($D835&lt;&gt;"",$D835,IFERROR(INDEX(PecPreco,MATCH($B835,PecCod,0)),0)))</f>
        <v>0</v>
      </c>
      <c r="G835" s="27">
        <f>IF(OR($B835="",$C835=""),"",$C835*$F835)</f>
        <v>0</v>
      </c>
      <c r="H835" s="27">
        <f>IF(OR($B835="",$C835=""),"",$C835*IFERROR(INDEX(PecCusto,MATCH($B835,PecCod,0)),0))</f>
        <v>0</v>
      </c>
      <c r="I835" s="32">
        <f>IF($A835="","",IFERROR(INDEX(OSStatus,MATCH($A835,OSNum,0)),"OS inexistente"))</f>
        <v>0</v>
      </c>
      <c r="J835" s="32">
        <f>IF($A835="","",IF($I835="OS inexistente","OS inexistente",IF($E835="Peça não cadastrada","Peça não cadastrada","OK")))</f>
        <v>0</v>
      </c>
    </row>
    <row r="836" spans="1:10">
      <c r="A836" s="17"/>
      <c r="B836" s="13"/>
      <c r="C836" s="20"/>
      <c r="D836" s="19"/>
      <c r="E836" s="26">
        <f>IF($B836="","",IFERROR(INDEX(PecDesc,MATCH($B836,PecCod,0)),"Peça não cadastrada"))</f>
        <v>0</v>
      </c>
      <c r="F836" s="27">
        <f>IF($B836="","",IF($D836&lt;&gt;"",$D836,IFERROR(INDEX(PecPreco,MATCH($B836,PecCod,0)),0)))</f>
        <v>0</v>
      </c>
      <c r="G836" s="27">
        <f>IF(OR($B836="",$C836=""),"",$C836*$F836)</f>
        <v>0</v>
      </c>
      <c r="H836" s="27">
        <f>IF(OR($B836="",$C836=""),"",$C836*IFERROR(INDEX(PecCusto,MATCH($B836,PecCod,0)),0))</f>
        <v>0</v>
      </c>
      <c r="I836" s="32">
        <f>IF($A836="","",IFERROR(INDEX(OSStatus,MATCH($A836,OSNum,0)),"OS inexistente"))</f>
        <v>0</v>
      </c>
      <c r="J836" s="32">
        <f>IF($A836="","",IF($I836="OS inexistente","OS inexistente",IF($E836="Peça não cadastrada","Peça não cadastrada","OK")))</f>
        <v>0</v>
      </c>
    </row>
    <row r="837" spans="1:10">
      <c r="A837" s="17"/>
      <c r="B837" s="13"/>
      <c r="C837" s="20"/>
      <c r="D837" s="19"/>
      <c r="E837" s="26">
        <f>IF($B837="","",IFERROR(INDEX(PecDesc,MATCH($B837,PecCod,0)),"Peça não cadastrada"))</f>
        <v>0</v>
      </c>
      <c r="F837" s="27">
        <f>IF($B837="","",IF($D837&lt;&gt;"",$D837,IFERROR(INDEX(PecPreco,MATCH($B837,PecCod,0)),0)))</f>
        <v>0</v>
      </c>
      <c r="G837" s="27">
        <f>IF(OR($B837="",$C837=""),"",$C837*$F837)</f>
        <v>0</v>
      </c>
      <c r="H837" s="27">
        <f>IF(OR($B837="",$C837=""),"",$C837*IFERROR(INDEX(PecCusto,MATCH($B837,PecCod,0)),0))</f>
        <v>0</v>
      </c>
      <c r="I837" s="32">
        <f>IF($A837="","",IFERROR(INDEX(OSStatus,MATCH($A837,OSNum,0)),"OS inexistente"))</f>
        <v>0</v>
      </c>
      <c r="J837" s="32">
        <f>IF($A837="","",IF($I837="OS inexistente","OS inexistente",IF($E837="Peça não cadastrada","Peça não cadastrada","OK")))</f>
        <v>0</v>
      </c>
    </row>
    <row r="838" spans="1:10">
      <c r="A838" s="17"/>
      <c r="B838" s="13"/>
      <c r="C838" s="20"/>
      <c r="D838" s="19"/>
      <c r="E838" s="26">
        <f>IF($B838="","",IFERROR(INDEX(PecDesc,MATCH($B838,PecCod,0)),"Peça não cadastrada"))</f>
        <v>0</v>
      </c>
      <c r="F838" s="27">
        <f>IF($B838="","",IF($D838&lt;&gt;"",$D838,IFERROR(INDEX(PecPreco,MATCH($B838,PecCod,0)),0)))</f>
        <v>0</v>
      </c>
      <c r="G838" s="27">
        <f>IF(OR($B838="",$C838=""),"",$C838*$F838)</f>
        <v>0</v>
      </c>
      <c r="H838" s="27">
        <f>IF(OR($B838="",$C838=""),"",$C838*IFERROR(INDEX(PecCusto,MATCH($B838,PecCod,0)),0))</f>
        <v>0</v>
      </c>
      <c r="I838" s="32">
        <f>IF($A838="","",IFERROR(INDEX(OSStatus,MATCH($A838,OSNum,0)),"OS inexistente"))</f>
        <v>0</v>
      </c>
      <c r="J838" s="32">
        <f>IF($A838="","",IF($I838="OS inexistente","OS inexistente",IF($E838="Peça não cadastrada","Peça não cadastrada","OK")))</f>
        <v>0</v>
      </c>
    </row>
    <row r="839" spans="1:10">
      <c r="A839" s="17"/>
      <c r="B839" s="13"/>
      <c r="C839" s="20"/>
      <c r="D839" s="19"/>
      <c r="E839" s="26">
        <f>IF($B839="","",IFERROR(INDEX(PecDesc,MATCH($B839,PecCod,0)),"Peça não cadastrada"))</f>
        <v>0</v>
      </c>
      <c r="F839" s="27">
        <f>IF($B839="","",IF($D839&lt;&gt;"",$D839,IFERROR(INDEX(PecPreco,MATCH($B839,PecCod,0)),0)))</f>
        <v>0</v>
      </c>
      <c r="G839" s="27">
        <f>IF(OR($B839="",$C839=""),"",$C839*$F839)</f>
        <v>0</v>
      </c>
      <c r="H839" s="27">
        <f>IF(OR($B839="",$C839=""),"",$C839*IFERROR(INDEX(PecCusto,MATCH($B839,PecCod,0)),0))</f>
        <v>0</v>
      </c>
      <c r="I839" s="32">
        <f>IF($A839="","",IFERROR(INDEX(OSStatus,MATCH($A839,OSNum,0)),"OS inexistente"))</f>
        <v>0</v>
      </c>
      <c r="J839" s="32">
        <f>IF($A839="","",IF($I839="OS inexistente","OS inexistente",IF($E839="Peça não cadastrada","Peça não cadastrada","OK")))</f>
        <v>0</v>
      </c>
    </row>
    <row r="840" spans="1:10">
      <c r="A840" s="17"/>
      <c r="B840" s="13"/>
      <c r="C840" s="20"/>
      <c r="D840" s="19"/>
      <c r="E840" s="26">
        <f>IF($B840="","",IFERROR(INDEX(PecDesc,MATCH($B840,PecCod,0)),"Peça não cadastrada"))</f>
        <v>0</v>
      </c>
      <c r="F840" s="27">
        <f>IF($B840="","",IF($D840&lt;&gt;"",$D840,IFERROR(INDEX(PecPreco,MATCH($B840,PecCod,0)),0)))</f>
        <v>0</v>
      </c>
      <c r="G840" s="27">
        <f>IF(OR($B840="",$C840=""),"",$C840*$F840)</f>
        <v>0</v>
      </c>
      <c r="H840" s="27">
        <f>IF(OR($B840="",$C840=""),"",$C840*IFERROR(INDEX(PecCusto,MATCH($B840,PecCod,0)),0))</f>
        <v>0</v>
      </c>
      <c r="I840" s="32">
        <f>IF($A840="","",IFERROR(INDEX(OSStatus,MATCH($A840,OSNum,0)),"OS inexistente"))</f>
        <v>0</v>
      </c>
      <c r="J840" s="32">
        <f>IF($A840="","",IF($I840="OS inexistente","OS inexistente",IF($E840="Peça não cadastrada","Peça não cadastrada","OK")))</f>
        <v>0</v>
      </c>
    </row>
    <row r="841" spans="1:10">
      <c r="A841" s="17"/>
      <c r="B841" s="13"/>
      <c r="C841" s="20"/>
      <c r="D841" s="19"/>
      <c r="E841" s="26">
        <f>IF($B841="","",IFERROR(INDEX(PecDesc,MATCH($B841,PecCod,0)),"Peça não cadastrada"))</f>
        <v>0</v>
      </c>
      <c r="F841" s="27">
        <f>IF($B841="","",IF($D841&lt;&gt;"",$D841,IFERROR(INDEX(PecPreco,MATCH($B841,PecCod,0)),0)))</f>
        <v>0</v>
      </c>
      <c r="G841" s="27">
        <f>IF(OR($B841="",$C841=""),"",$C841*$F841)</f>
        <v>0</v>
      </c>
      <c r="H841" s="27">
        <f>IF(OR($B841="",$C841=""),"",$C841*IFERROR(INDEX(PecCusto,MATCH($B841,PecCod,0)),0))</f>
        <v>0</v>
      </c>
      <c r="I841" s="32">
        <f>IF($A841="","",IFERROR(INDEX(OSStatus,MATCH($A841,OSNum,0)),"OS inexistente"))</f>
        <v>0</v>
      </c>
      <c r="J841" s="32">
        <f>IF($A841="","",IF($I841="OS inexistente","OS inexistente",IF($E841="Peça não cadastrada","Peça não cadastrada","OK")))</f>
        <v>0</v>
      </c>
    </row>
    <row r="842" spans="1:10">
      <c r="A842" s="17"/>
      <c r="B842" s="13"/>
      <c r="C842" s="20"/>
      <c r="D842" s="19"/>
      <c r="E842" s="26">
        <f>IF($B842="","",IFERROR(INDEX(PecDesc,MATCH($B842,PecCod,0)),"Peça não cadastrada"))</f>
        <v>0</v>
      </c>
      <c r="F842" s="27">
        <f>IF($B842="","",IF($D842&lt;&gt;"",$D842,IFERROR(INDEX(PecPreco,MATCH($B842,PecCod,0)),0)))</f>
        <v>0</v>
      </c>
      <c r="G842" s="27">
        <f>IF(OR($B842="",$C842=""),"",$C842*$F842)</f>
        <v>0</v>
      </c>
      <c r="H842" s="27">
        <f>IF(OR($B842="",$C842=""),"",$C842*IFERROR(INDEX(PecCusto,MATCH($B842,PecCod,0)),0))</f>
        <v>0</v>
      </c>
      <c r="I842" s="32">
        <f>IF($A842="","",IFERROR(INDEX(OSStatus,MATCH($A842,OSNum,0)),"OS inexistente"))</f>
        <v>0</v>
      </c>
      <c r="J842" s="32">
        <f>IF($A842="","",IF($I842="OS inexistente","OS inexistente",IF($E842="Peça não cadastrada","Peça não cadastrada","OK")))</f>
        <v>0</v>
      </c>
    </row>
    <row r="843" spans="1:10">
      <c r="A843" s="17"/>
      <c r="B843" s="13"/>
      <c r="C843" s="20"/>
      <c r="D843" s="19"/>
      <c r="E843" s="26">
        <f>IF($B843="","",IFERROR(INDEX(PecDesc,MATCH($B843,PecCod,0)),"Peça não cadastrada"))</f>
        <v>0</v>
      </c>
      <c r="F843" s="27">
        <f>IF($B843="","",IF($D843&lt;&gt;"",$D843,IFERROR(INDEX(PecPreco,MATCH($B843,PecCod,0)),0)))</f>
        <v>0</v>
      </c>
      <c r="G843" s="27">
        <f>IF(OR($B843="",$C843=""),"",$C843*$F843)</f>
        <v>0</v>
      </c>
      <c r="H843" s="27">
        <f>IF(OR($B843="",$C843=""),"",$C843*IFERROR(INDEX(PecCusto,MATCH($B843,PecCod,0)),0))</f>
        <v>0</v>
      </c>
      <c r="I843" s="32">
        <f>IF($A843="","",IFERROR(INDEX(OSStatus,MATCH($A843,OSNum,0)),"OS inexistente"))</f>
        <v>0</v>
      </c>
      <c r="J843" s="32">
        <f>IF($A843="","",IF($I843="OS inexistente","OS inexistente",IF($E843="Peça não cadastrada","Peça não cadastrada","OK")))</f>
        <v>0</v>
      </c>
    </row>
    <row r="844" spans="1:10">
      <c r="A844" s="17"/>
      <c r="B844" s="13"/>
      <c r="C844" s="20"/>
      <c r="D844" s="19"/>
      <c r="E844" s="26">
        <f>IF($B844="","",IFERROR(INDEX(PecDesc,MATCH($B844,PecCod,0)),"Peça não cadastrada"))</f>
        <v>0</v>
      </c>
      <c r="F844" s="27">
        <f>IF($B844="","",IF($D844&lt;&gt;"",$D844,IFERROR(INDEX(PecPreco,MATCH($B844,PecCod,0)),0)))</f>
        <v>0</v>
      </c>
      <c r="G844" s="27">
        <f>IF(OR($B844="",$C844=""),"",$C844*$F844)</f>
        <v>0</v>
      </c>
      <c r="H844" s="27">
        <f>IF(OR($B844="",$C844=""),"",$C844*IFERROR(INDEX(PecCusto,MATCH($B844,PecCod,0)),0))</f>
        <v>0</v>
      </c>
      <c r="I844" s="32">
        <f>IF($A844="","",IFERROR(INDEX(OSStatus,MATCH($A844,OSNum,0)),"OS inexistente"))</f>
        <v>0</v>
      </c>
      <c r="J844" s="32">
        <f>IF($A844="","",IF($I844="OS inexistente","OS inexistente",IF($E844="Peça não cadastrada","Peça não cadastrada","OK")))</f>
        <v>0</v>
      </c>
    </row>
    <row r="845" spans="1:10">
      <c r="A845" s="17"/>
      <c r="B845" s="13"/>
      <c r="C845" s="20"/>
      <c r="D845" s="19"/>
      <c r="E845" s="26">
        <f>IF($B845="","",IFERROR(INDEX(PecDesc,MATCH($B845,PecCod,0)),"Peça não cadastrada"))</f>
        <v>0</v>
      </c>
      <c r="F845" s="27">
        <f>IF($B845="","",IF($D845&lt;&gt;"",$D845,IFERROR(INDEX(PecPreco,MATCH($B845,PecCod,0)),0)))</f>
        <v>0</v>
      </c>
      <c r="G845" s="27">
        <f>IF(OR($B845="",$C845=""),"",$C845*$F845)</f>
        <v>0</v>
      </c>
      <c r="H845" s="27">
        <f>IF(OR($B845="",$C845=""),"",$C845*IFERROR(INDEX(PecCusto,MATCH($B845,PecCod,0)),0))</f>
        <v>0</v>
      </c>
      <c r="I845" s="32">
        <f>IF($A845="","",IFERROR(INDEX(OSStatus,MATCH($A845,OSNum,0)),"OS inexistente"))</f>
        <v>0</v>
      </c>
      <c r="J845" s="32">
        <f>IF($A845="","",IF($I845="OS inexistente","OS inexistente",IF($E845="Peça não cadastrada","Peça não cadastrada","OK")))</f>
        <v>0</v>
      </c>
    </row>
    <row r="846" spans="1:10">
      <c r="A846" s="17"/>
      <c r="B846" s="13"/>
      <c r="C846" s="20"/>
      <c r="D846" s="19"/>
      <c r="E846" s="26">
        <f>IF($B846="","",IFERROR(INDEX(PecDesc,MATCH($B846,PecCod,0)),"Peça não cadastrada"))</f>
        <v>0</v>
      </c>
      <c r="F846" s="27">
        <f>IF($B846="","",IF($D846&lt;&gt;"",$D846,IFERROR(INDEX(PecPreco,MATCH($B846,PecCod,0)),0)))</f>
        <v>0</v>
      </c>
      <c r="G846" s="27">
        <f>IF(OR($B846="",$C846=""),"",$C846*$F846)</f>
        <v>0</v>
      </c>
      <c r="H846" s="27">
        <f>IF(OR($B846="",$C846=""),"",$C846*IFERROR(INDEX(PecCusto,MATCH($B846,PecCod,0)),0))</f>
        <v>0</v>
      </c>
      <c r="I846" s="32">
        <f>IF($A846="","",IFERROR(INDEX(OSStatus,MATCH($A846,OSNum,0)),"OS inexistente"))</f>
        <v>0</v>
      </c>
      <c r="J846" s="32">
        <f>IF($A846="","",IF($I846="OS inexistente","OS inexistente",IF($E846="Peça não cadastrada","Peça não cadastrada","OK")))</f>
        <v>0</v>
      </c>
    </row>
    <row r="847" spans="1:10">
      <c r="A847" s="17"/>
      <c r="B847" s="13"/>
      <c r="C847" s="20"/>
      <c r="D847" s="19"/>
      <c r="E847" s="26">
        <f>IF($B847="","",IFERROR(INDEX(PecDesc,MATCH($B847,PecCod,0)),"Peça não cadastrada"))</f>
        <v>0</v>
      </c>
      <c r="F847" s="27">
        <f>IF($B847="","",IF($D847&lt;&gt;"",$D847,IFERROR(INDEX(PecPreco,MATCH($B847,PecCod,0)),0)))</f>
        <v>0</v>
      </c>
      <c r="G847" s="27">
        <f>IF(OR($B847="",$C847=""),"",$C847*$F847)</f>
        <v>0</v>
      </c>
      <c r="H847" s="27">
        <f>IF(OR($B847="",$C847=""),"",$C847*IFERROR(INDEX(PecCusto,MATCH($B847,PecCod,0)),0))</f>
        <v>0</v>
      </c>
      <c r="I847" s="32">
        <f>IF($A847="","",IFERROR(INDEX(OSStatus,MATCH($A847,OSNum,0)),"OS inexistente"))</f>
        <v>0</v>
      </c>
      <c r="J847" s="32">
        <f>IF($A847="","",IF($I847="OS inexistente","OS inexistente",IF($E847="Peça não cadastrada","Peça não cadastrada","OK")))</f>
        <v>0</v>
      </c>
    </row>
    <row r="848" spans="1:10">
      <c r="A848" s="17"/>
      <c r="B848" s="13"/>
      <c r="C848" s="20"/>
      <c r="D848" s="19"/>
      <c r="E848" s="26">
        <f>IF($B848="","",IFERROR(INDEX(PecDesc,MATCH($B848,PecCod,0)),"Peça não cadastrada"))</f>
        <v>0</v>
      </c>
      <c r="F848" s="27">
        <f>IF($B848="","",IF($D848&lt;&gt;"",$D848,IFERROR(INDEX(PecPreco,MATCH($B848,PecCod,0)),0)))</f>
        <v>0</v>
      </c>
      <c r="G848" s="27">
        <f>IF(OR($B848="",$C848=""),"",$C848*$F848)</f>
        <v>0</v>
      </c>
      <c r="H848" s="27">
        <f>IF(OR($B848="",$C848=""),"",$C848*IFERROR(INDEX(PecCusto,MATCH($B848,PecCod,0)),0))</f>
        <v>0</v>
      </c>
      <c r="I848" s="32">
        <f>IF($A848="","",IFERROR(INDEX(OSStatus,MATCH($A848,OSNum,0)),"OS inexistente"))</f>
        <v>0</v>
      </c>
      <c r="J848" s="32">
        <f>IF($A848="","",IF($I848="OS inexistente","OS inexistente",IF($E848="Peça não cadastrada","Peça não cadastrada","OK")))</f>
        <v>0</v>
      </c>
    </row>
    <row r="849" spans="1:10">
      <c r="A849" s="17"/>
      <c r="B849" s="13"/>
      <c r="C849" s="20"/>
      <c r="D849" s="19"/>
      <c r="E849" s="26">
        <f>IF($B849="","",IFERROR(INDEX(PecDesc,MATCH($B849,PecCod,0)),"Peça não cadastrada"))</f>
        <v>0</v>
      </c>
      <c r="F849" s="27">
        <f>IF($B849="","",IF($D849&lt;&gt;"",$D849,IFERROR(INDEX(PecPreco,MATCH($B849,PecCod,0)),0)))</f>
        <v>0</v>
      </c>
      <c r="G849" s="27">
        <f>IF(OR($B849="",$C849=""),"",$C849*$F849)</f>
        <v>0</v>
      </c>
      <c r="H849" s="27">
        <f>IF(OR($B849="",$C849=""),"",$C849*IFERROR(INDEX(PecCusto,MATCH($B849,PecCod,0)),0))</f>
        <v>0</v>
      </c>
      <c r="I849" s="32">
        <f>IF($A849="","",IFERROR(INDEX(OSStatus,MATCH($A849,OSNum,0)),"OS inexistente"))</f>
        <v>0</v>
      </c>
      <c r="J849" s="32">
        <f>IF($A849="","",IF($I849="OS inexistente","OS inexistente",IF($E849="Peça não cadastrada","Peça não cadastrada","OK")))</f>
        <v>0</v>
      </c>
    </row>
    <row r="850" spans="1:10">
      <c r="A850" s="17"/>
      <c r="B850" s="13"/>
      <c r="C850" s="20"/>
      <c r="D850" s="19"/>
      <c r="E850" s="26">
        <f>IF($B850="","",IFERROR(INDEX(PecDesc,MATCH($B850,PecCod,0)),"Peça não cadastrada"))</f>
        <v>0</v>
      </c>
      <c r="F850" s="27">
        <f>IF($B850="","",IF($D850&lt;&gt;"",$D850,IFERROR(INDEX(PecPreco,MATCH($B850,PecCod,0)),0)))</f>
        <v>0</v>
      </c>
      <c r="G850" s="27">
        <f>IF(OR($B850="",$C850=""),"",$C850*$F850)</f>
        <v>0</v>
      </c>
      <c r="H850" s="27">
        <f>IF(OR($B850="",$C850=""),"",$C850*IFERROR(INDEX(PecCusto,MATCH($B850,PecCod,0)),0))</f>
        <v>0</v>
      </c>
      <c r="I850" s="32">
        <f>IF($A850="","",IFERROR(INDEX(OSStatus,MATCH($A850,OSNum,0)),"OS inexistente"))</f>
        <v>0</v>
      </c>
      <c r="J850" s="32">
        <f>IF($A850="","",IF($I850="OS inexistente","OS inexistente",IF($E850="Peça não cadastrada","Peça não cadastrada","OK")))</f>
        <v>0</v>
      </c>
    </row>
    <row r="851" spans="1:10">
      <c r="A851" s="17"/>
      <c r="B851" s="13"/>
      <c r="C851" s="20"/>
      <c r="D851" s="19"/>
      <c r="E851" s="26">
        <f>IF($B851="","",IFERROR(INDEX(PecDesc,MATCH($B851,PecCod,0)),"Peça não cadastrada"))</f>
        <v>0</v>
      </c>
      <c r="F851" s="27">
        <f>IF($B851="","",IF($D851&lt;&gt;"",$D851,IFERROR(INDEX(PecPreco,MATCH($B851,PecCod,0)),0)))</f>
        <v>0</v>
      </c>
      <c r="G851" s="27">
        <f>IF(OR($B851="",$C851=""),"",$C851*$F851)</f>
        <v>0</v>
      </c>
      <c r="H851" s="27">
        <f>IF(OR($B851="",$C851=""),"",$C851*IFERROR(INDEX(PecCusto,MATCH($B851,PecCod,0)),0))</f>
        <v>0</v>
      </c>
      <c r="I851" s="32">
        <f>IF($A851="","",IFERROR(INDEX(OSStatus,MATCH($A851,OSNum,0)),"OS inexistente"))</f>
        <v>0</v>
      </c>
      <c r="J851" s="32">
        <f>IF($A851="","",IF($I851="OS inexistente","OS inexistente",IF($E851="Peça não cadastrada","Peça não cadastrada","OK")))</f>
        <v>0</v>
      </c>
    </row>
    <row r="852" spans="1:10">
      <c r="A852" s="17"/>
      <c r="B852" s="13"/>
      <c r="C852" s="20"/>
      <c r="D852" s="19"/>
      <c r="E852" s="26">
        <f>IF($B852="","",IFERROR(INDEX(PecDesc,MATCH($B852,PecCod,0)),"Peça não cadastrada"))</f>
        <v>0</v>
      </c>
      <c r="F852" s="27">
        <f>IF($B852="","",IF($D852&lt;&gt;"",$D852,IFERROR(INDEX(PecPreco,MATCH($B852,PecCod,0)),0)))</f>
        <v>0</v>
      </c>
      <c r="G852" s="27">
        <f>IF(OR($B852="",$C852=""),"",$C852*$F852)</f>
        <v>0</v>
      </c>
      <c r="H852" s="27">
        <f>IF(OR($B852="",$C852=""),"",$C852*IFERROR(INDEX(PecCusto,MATCH($B852,PecCod,0)),0))</f>
        <v>0</v>
      </c>
      <c r="I852" s="32">
        <f>IF($A852="","",IFERROR(INDEX(OSStatus,MATCH($A852,OSNum,0)),"OS inexistente"))</f>
        <v>0</v>
      </c>
      <c r="J852" s="32">
        <f>IF($A852="","",IF($I852="OS inexistente","OS inexistente",IF($E852="Peça não cadastrada","Peça não cadastrada","OK")))</f>
        <v>0</v>
      </c>
    </row>
    <row r="853" spans="1:10">
      <c r="A853" s="17"/>
      <c r="B853" s="13"/>
      <c r="C853" s="20"/>
      <c r="D853" s="19"/>
      <c r="E853" s="26">
        <f>IF($B853="","",IFERROR(INDEX(PecDesc,MATCH($B853,PecCod,0)),"Peça não cadastrada"))</f>
        <v>0</v>
      </c>
      <c r="F853" s="27">
        <f>IF($B853="","",IF($D853&lt;&gt;"",$D853,IFERROR(INDEX(PecPreco,MATCH($B853,PecCod,0)),0)))</f>
        <v>0</v>
      </c>
      <c r="G853" s="27">
        <f>IF(OR($B853="",$C853=""),"",$C853*$F853)</f>
        <v>0</v>
      </c>
      <c r="H853" s="27">
        <f>IF(OR($B853="",$C853=""),"",$C853*IFERROR(INDEX(PecCusto,MATCH($B853,PecCod,0)),0))</f>
        <v>0</v>
      </c>
      <c r="I853" s="32">
        <f>IF($A853="","",IFERROR(INDEX(OSStatus,MATCH($A853,OSNum,0)),"OS inexistente"))</f>
        <v>0</v>
      </c>
      <c r="J853" s="32">
        <f>IF($A853="","",IF($I853="OS inexistente","OS inexistente",IF($E853="Peça não cadastrada","Peça não cadastrada","OK")))</f>
        <v>0</v>
      </c>
    </row>
    <row r="854" spans="1:10">
      <c r="A854" s="17"/>
      <c r="B854" s="13"/>
      <c r="C854" s="20"/>
      <c r="D854" s="19"/>
      <c r="E854" s="26">
        <f>IF($B854="","",IFERROR(INDEX(PecDesc,MATCH($B854,PecCod,0)),"Peça não cadastrada"))</f>
        <v>0</v>
      </c>
      <c r="F854" s="27">
        <f>IF($B854="","",IF($D854&lt;&gt;"",$D854,IFERROR(INDEX(PecPreco,MATCH($B854,PecCod,0)),0)))</f>
        <v>0</v>
      </c>
      <c r="G854" s="27">
        <f>IF(OR($B854="",$C854=""),"",$C854*$F854)</f>
        <v>0</v>
      </c>
      <c r="H854" s="27">
        <f>IF(OR($B854="",$C854=""),"",$C854*IFERROR(INDEX(PecCusto,MATCH($B854,PecCod,0)),0))</f>
        <v>0</v>
      </c>
      <c r="I854" s="32">
        <f>IF($A854="","",IFERROR(INDEX(OSStatus,MATCH($A854,OSNum,0)),"OS inexistente"))</f>
        <v>0</v>
      </c>
      <c r="J854" s="32">
        <f>IF($A854="","",IF($I854="OS inexistente","OS inexistente",IF($E854="Peça não cadastrada","Peça não cadastrada","OK")))</f>
        <v>0</v>
      </c>
    </row>
    <row r="855" spans="1:10">
      <c r="A855" s="17"/>
      <c r="B855" s="13"/>
      <c r="C855" s="20"/>
      <c r="D855" s="19"/>
      <c r="E855" s="26">
        <f>IF($B855="","",IFERROR(INDEX(PecDesc,MATCH($B855,PecCod,0)),"Peça não cadastrada"))</f>
        <v>0</v>
      </c>
      <c r="F855" s="27">
        <f>IF($B855="","",IF($D855&lt;&gt;"",$D855,IFERROR(INDEX(PecPreco,MATCH($B855,PecCod,0)),0)))</f>
        <v>0</v>
      </c>
      <c r="G855" s="27">
        <f>IF(OR($B855="",$C855=""),"",$C855*$F855)</f>
        <v>0</v>
      </c>
      <c r="H855" s="27">
        <f>IF(OR($B855="",$C855=""),"",$C855*IFERROR(INDEX(PecCusto,MATCH($B855,PecCod,0)),0))</f>
        <v>0</v>
      </c>
      <c r="I855" s="32">
        <f>IF($A855="","",IFERROR(INDEX(OSStatus,MATCH($A855,OSNum,0)),"OS inexistente"))</f>
        <v>0</v>
      </c>
      <c r="J855" s="32">
        <f>IF($A855="","",IF($I855="OS inexistente","OS inexistente",IF($E855="Peça não cadastrada","Peça não cadastrada","OK")))</f>
        <v>0</v>
      </c>
    </row>
    <row r="856" spans="1:10">
      <c r="A856" s="17"/>
      <c r="B856" s="13"/>
      <c r="C856" s="20"/>
      <c r="D856" s="19"/>
      <c r="E856" s="26">
        <f>IF($B856="","",IFERROR(INDEX(PecDesc,MATCH($B856,PecCod,0)),"Peça não cadastrada"))</f>
        <v>0</v>
      </c>
      <c r="F856" s="27">
        <f>IF($B856="","",IF($D856&lt;&gt;"",$D856,IFERROR(INDEX(PecPreco,MATCH($B856,PecCod,0)),0)))</f>
        <v>0</v>
      </c>
      <c r="G856" s="27">
        <f>IF(OR($B856="",$C856=""),"",$C856*$F856)</f>
        <v>0</v>
      </c>
      <c r="H856" s="27">
        <f>IF(OR($B856="",$C856=""),"",$C856*IFERROR(INDEX(PecCusto,MATCH($B856,PecCod,0)),0))</f>
        <v>0</v>
      </c>
      <c r="I856" s="32">
        <f>IF($A856="","",IFERROR(INDEX(OSStatus,MATCH($A856,OSNum,0)),"OS inexistente"))</f>
        <v>0</v>
      </c>
      <c r="J856" s="32">
        <f>IF($A856="","",IF($I856="OS inexistente","OS inexistente",IF($E856="Peça não cadastrada","Peça não cadastrada","OK")))</f>
        <v>0</v>
      </c>
    </row>
    <row r="857" spans="1:10">
      <c r="A857" s="17"/>
      <c r="B857" s="13"/>
      <c r="C857" s="20"/>
      <c r="D857" s="19"/>
      <c r="E857" s="26">
        <f>IF($B857="","",IFERROR(INDEX(PecDesc,MATCH($B857,PecCod,0)),"Peça não cadastrada"))</f>
        <v>0</v>
      </c>
      <c r="F857" s="27">
        <f>IF($B857="","",IF($D857&lt;&gt;"",$D857,IFERROR(INDEX(PecPreco,MATCH($B857,PecCod,0)),0)))</f>
        <v>0</v>
      </c>
      <c r="G857" s="27">
        <f>IF(OR($B857="",$C857=""),"",$C857*$F857)</f>
        <v>0</v>
      </c>
      <c r="H857" s="27">
        <f>IF(OR($B857="",$C857=""),"",$C857*IFERROR(INDEX(PecCusto,MATCH($B857,PecCod,0)),0))</f>
        <v>0</v>
      </c>
      <c r="I857" s="32">
        <f>IF($A857="","",IFERROR(INDEX(OSStatus,MATCH($A857,OSNum,0)),"OS inexistente"))</f>
        <v>0</v>
      </c>
      <c r="J857" s="32">
        <f>IF($A857="","",IF($I857="OS inexistente","OS inexistente",IF($E857="Peça não cadastrada","Peça não cadastrada","OK")))</f>
        <v>0</v>
      </c>
    </row>
    <row r="858" spans="1:10">
      <c r="A858" s="17"/>
      <c r="B858" s="13"/>
      <c r="C858" s="20"/>
      <c r="D858" s="19"/>
      <c r="E858" s="26">
        <f>IF($B858="","",IFERROR(INDEX(PecDesc,MATCH($B858,PecCod,0)),"Peça não cadastrada"))</f>
        <v>0</v>
      </c>
      <c r="F858" s="27">
        <f>IF($B858="","",IF($D858&lt;&gt;"",$D858,IFERROR(INDEX(PecPreco,MATCH($B858,PecCod,0)),0)))</f>
        <v>0</v>
      </c>
      <c r="G858" s="27">
        <f>IF(OR($B858="",$C858=""),"",$C858*$F858)</f>
        <v>0</v>
      </c>
      <c r="H858" s="27">
        <f>IF(OR($B858="",$C858=""),"",$C858*IFERROR(INDEX(PecCusto,MATCH($B858,PecCod,0)),0))</f>
        <v>0</v>
      </c>
      <c r="I858" s="32">
        <f>IF($A858="","",IFERROR(INDEX(OSStatus,MATCH($A858,OSNum,0)),"OS inexistente"))</f>
        <v>0</v>
      </c>
      <c r="J858" s="32">
        <f>IF($A858="","",IF($I858="OS inexistente","OS inexistente",IF($E858="Peça não cadastrada","Peça não cadastrada","OK")))</f>
        <v>0</v>
      </c>
    </row>
    <row r="859" spans="1:10">
      <c r="A859" s="17"/>
      <c r="B859" s="13"/>
      <c r="C859" s="20"/>
      <c r="D859" s="19"/>
      <c r="E859" s="26">
        <f>IF($B859="","",IFERROR(INDEX(PecDesc,MATCH($B859,PecCod,0)),"Peça não cadastrada"))</f>
        <v>0</v>
      </c>
      <c r="F859" s="27">
        <f>IF($B859="","",IF($D859&lt;&gt;"",$D859,IFERROR(INDEX(PecPreco,MATCH($B859,PecCod,0)),0)))</f>
        <v>0</v>
      </c>
      <c r="G859" s="27">
        <f>IF(OR($B859="",$C859=""),"",$C859*$F859)</f>
        <v>0</v>
      </c>
      <c r="H859" s="27">
        <f>IF(OR($B859="",$C859=""),"",$C859*IFERROR(INDEX(PecCusto,MATCH($B859,PecCod,0)),0))</f>
        <v>0</v>
      </c>
      <c r="I859" s="32">
        <f>IF($A859="","",IFERROR(INDEX(OSStatus,MATCH($A859,OSNum,0)),"OS inexistente"))</f>
        <v>0</v>
      </c>
      <c r="J859" s="32">
        <f>IF($A859="","",IF($I859="OS inexistente","OS inexistente",IF($E859="Peça não cadastrada","Peça não cadastrada","OK")))</f>
        <v>0</v>
      </c>
    </row>
    <row r="860" spans="1:10">
      <c r="A860" s="17"/>
      <c r="B860" s="13"/>
      <c r="C860" s="20"/>
      <c r="D860" s="19"/>
      <c r="E860" s="26">
        <f>IF($B860="","",IFERROR(INDEX(PecDesc,MATCH($B860,PecCod,0)),"Peça não cadastrada"))</f>
        <v>0</v>
      </c>
      <c r="F860" s="27">
        <f>IF($B860="","",IF($D860&lt;&gt;"",$D860,IFERROR(INDEX(PecPreco,MATCH($B860,PecCod,0)),0)))</f>
        <v>0</v>
      </c>
      <c r="G860" s="27">
        <f>IF(OR($B860="",$C860=""),"",$C860*$F860)</f>
        <v>0</v>
      </c>
      <c r="H860" s="27">
        <f>IF(OR($B860="",$C860=""),"",$C860*IFERROR(INDEX(PecCusto,MATCH($B860,PecCod,0)),0))</f>
        <v>0</v>
      </c>
      <c r="I860" s="32">
        <f>IF($A860="","",IFERROR(INDEX(OSStatus,MATCH($A860,OSNum,0)),"OS inexistente"))</f>
        <v>0</v>
      </c>
      <c r="J860" s="32">
        <f>IF($A860="","",IF($I860="OS inexistente","OS inexistente",IF($E860="Peça não cadastrada","Peça não cadastrada","OK")))</f>
        <v>0</v>
      </c>
    </row>
    <row r="861" spans="1:10">
      <c r="A861" s="17"/>
      <c r="B861" s="13"/>
      <c r="C861" s="20"/>
      <c r="D861" s="19"/>
      <c r="E861" s="26">
        <f>IF($B861="","",IFERROR(INDEX(PecDesc,MATCH($B861,PecCod,0)),"Peça não cadastrada"))</f>
        <v>0</v>
      </c>
      <c r="F861" s="27">
        <f>IF($B861="","",IF($D861&lt;&gt;"",$D861,IFERROR(INDEX(PecPreco,MATCH($B861,PecCod,0)),0)))</f>
        <v>0</v>
      </c>
      <c r="G861" s="27">
        <f>IF(OR($B861="",$C861=""),"",$C861*$F861)</f>
        <v>0</v>
      </c>
      <c r="H861" s="27">
        <f>IF(OR($B861="",$C861=""),"",$C861*IFERROR(INDEX(PecCusto,MATCH($B861,PecCod,0)),0))</f>
        <v>0</v>
      </c>
      <c r="I861" s="32">
        <f>IF($A861="","",IFERROR(INDEX(OSStatus,MATCH($A861,OSNum,0)),"OS inexistente"))</f>
        <v>0</v>
      </c>
      <c r="J861" s="32">
        <f>IF($A861="","",IF($I861="OS inexistente","OS inexistente",IF($E861="Peça não cadastrada","Peça não cadastrada","OK")))</f>
        <v>0</v>
      </c>
    </row>
    <row r="862" spans="1:10">
      <c r="A862" s="17"/>
      <c r="B862" s="13"/>
      <c r="C862" s="20"/>
      <c r="D862" s="19"/>
      <c r="E862" s="26">
        <f>IF($B862="","",IFERROR(INDEX(PecDesc,MATCH($B862,PecCod,0)),"Peça não cadastrada"))</f>
        <v>0</v>
      </c>
      <c r="F862" s="27">
        <f>IF($B862="","",IF($D862&lt;&gt;"",$D862,IFERROR(INDEX(PecPreco,MATCH($B862,PecCod,0)),0)))</f>
        <v>0</v>
      </c>
      <c r="G862" s="27">
        <f>IF(OR($B862="",$C862=""),"",$C862*$F862)</f>
        <v>0</v>
      </c>
      <c r="H862" s="27">
        <f>IF(OR($B862="",$C862=""),"",$C862*IFERROR(INDEX(PecCusto,MATCH($B862,PecCod,0)),0))</f>
        <v>0</v>
      </c>
      <c r="I862" s="32">
        <f>IF($A862="","",IFERROR(INDEX(OSStatus,MATCH($A862,OSNum,0)),"OS inexistente"))</f>
        <v>0</v>
      </c>
      <c r="J862" s="32">
        <f>IF($A862="","",IF($I862="OS inexistente","OS inexistente",IF($E862="Peça não cadastrada","Peça não cadastrada","OK")))</f>
        <v>0</v>
      </c>
    </row>
    <row r="863" spans="1:10">
      <c r="A863" s="17"/>
      <c r="B863" s="13"/>
      <c r="C863" s="20"/>
      <c r="D863" s="19"/>
      <c r="E863" s="26">
        <f>IF($B863="","",IFERROR(INDEX(PecDesc,MATCH($B863,PecCod,0)),"Peça não cadastrada"))</f>
        <v>0</v>
      </c>
      <c r="F863" s="27">
        <f>IF($B863="","",IF($D863&lt;&gt;"",$D863,IFERROR(INDEX(PecPreco,MATCH($B863,PecCod,0)),0)))</f>
        <v>0</v>
      </c>
      <c r="G863" s="27">
        <f>IF(OR($B863="",$C863=""),"",$C863*$F863)</f>
        <v>0</v>
      </c>
      <c r="H863" s="27">
        <f>IF(OR($B863="",$C863=""),"",$C863*IFERROR(INDEX(PecCusto,MATCH($B863,PecCod,0)),0))</f>
        <v>0</v>
      </c>
      <c r="I863" s="32">
        <f>IF($A863="","",IFERROR(INDEX(OSStatus,MATCH($A863,OSNum,0)),"OS inexistente"))</f>
        <v>0</v>
      </c>
      <c r="J863" s="32">
        <f>IF($A863="","",IF($I863="OS inexistente","OS inexistente",IF($E863="Peça não cadastrada","Peça não cadastrada","OK")))</f>
        <v>0</v>
      </c>
    </row>
    <row r="864" spans="1:10">
      <c r="A864" s="17"/>
      <c r="B864" s="13"/>
      <c r="C864" s="20"/>
      <c r="D864" s="19"/>
      <c r="E864" s="26">
        <f>IF($B864="","",IFERROR(INDEX(PecDesc,MATCH($B864,PecCod,0)),"Peça não cadastrada"))</f>
        <v>0</v>
      </c>
      <c r="F864" s="27">
        <f>IF($B864="","",IF($D864&lt;&gt;"",$D864,IFERROR(INDEX(PecPreco,MATCH($B864,PecCod,0)),0)))</f>
        <v>0</v>
      </c>
      <c r="G864" s="27">
        <f>IF(OR($B864="",$C864=""),"",$C864*$F864)</f>
        <v>0</v>
      </c>
      <c r="H864" s="27">
        <f>IF(OR($B864="",$C864=""),"",$C864*IFERROR(INDEX(PecCusto,MATCH($B864,PecCod,0)),0))</f>
        <v>0</v>
      </c>
      <c r="I864" s="32">
        <f>IF($A864="","",IFERROR(INDEX(OSStatus,MATCH($A864,OSNum,0)),"OS inexistente"))</f>
        <v>0</v>
      </c>
      <c r="J864" s="32">
        <f>IF($A864="","",IF($I864="OS inexistente","OS inexistente",IF($E864="Peça não cadastrada","Peça não cadastrada","OK")))</f>
        <v>0</v>
      </c>
    </row>
    <row r="865" spans="1:10">
      <c r="A865" s="17"/>
      <c r="B865" s="13"/>
      <c r="C865" s="20"/>
      <c r="D865" s="19"/>
      <c r="E865" s="26">
        <f>IF($B865="","",IFERROR(INDEX(PecDesc,MATCH($B865,PecCod,0)),"Peça não cadastrada"))</f>
        <v>0</v>
      </c>
      <c r="F865" s="27">
        <f>IF($B865="","",IF($D865&lt;&gt;"",$D865,IFERROR(INDEX(PecPreco,MATCH($B865,PecCod,0)),0)))</f>
        <v>0</v>
      </c>
      <c r="G865" s="27">
        <f>IF(OR($B865="",$C865=""),"",$C865*$F865)</f>
        <v>0</v>
      </c>
      <c r="H865" s="27">
        <f>IF(OR($B865="",$C865=""),"",$C865*IFERROR(INDEX(PecCusto,MATCH($B865,PecCod,0)),0))</f>
        <v>0</v>
      </c>
      <c r="I865" s="32">
        <f>IF($A865="","",IFERROR(INDEX(OSStatus,MATCH($A865,OSNum,0)),"OS inexistente"))</f>
        <v>0</v>
      </c>
      <c r="J865" s="32">
        <f>IF($A865="","",IF($I865="OS inexistente","OS inexistente",IF($E865="Peça não cadastrada","Peça não cadastrada","OK")))</f>
        <v>0</v>
      </c>
    </row>
    <row r="866" spans="1:10">
      <c r="A866" s="17"/>
      <c r="B866" s="13"/>
      <c r="C866" s="20"/>
      <c r="D866" s="19"/>
      <c r="E866" s="26">
        <f>IF($B866="","",IFERROR(INDEX(PecDesc,MATCH($B866,PecCod,0)),"Peça não cadastrada"))</f>
        <v>0</v>
      </c>
      <c r="F866" s="27">
        <f>IF($B866="","",IF($D866&lt;&gt;"",$D866,IFERROR(INDEX(PecPreco,MATCH($B866,PecCod,0)),0)))</f>
        <v>0</v>
      </c>
      <c r="G866" s="27">
        <f>IF(OR($B866="",$C866=""),"",$C866*$F866)</f>
        <v>0</v>
      </c>
      <c r="H866" s="27">
        <f>IF(OR($B866="",$C866=""),"",$C866*IFERROR(INDEX(PecCusto,MATCH($B866,PecCod,0)),0))</f>
        <v>0</v>
      </c>
      <c r="I866" s="32">
        <f>IF($A866="","",IFERROR(INDEX(OSStatus,MATCH($A866,OSNum,0)),"OS inexistente"))</f>
        <v>0</v>
      </c>
      <c r="J866" s="32">
        <f>IF($A866="","",IF($I866="OS inexistente","OS inexistente",IF($E866="Peça não cadastrada","Peça não cadastrada","OK")))</f>
        <v>0</v>
      </c>
    </row>
    <row r="867" spans="1:10">
      <c r="A867" s="17"/>
      <c r="B867" s="13"/>
      <c r="C867" s="20"/>
      <c r="D867" s="19"/>
      <c r="E867" s="26">
        <f>IF($B867="","",IFERROR(INDEX(PecDesc,MATCH($B867,PecCod,0)),"Peça não cadastrada"))</f>
        <v>0</v>
      </c>
      <c r="F867" s="27">
        <f>IF($B867="","",IF($D867&lt;&gt;"",$D867,IFERROR(INDEX(PecPreco,MATCH($B867,PecCod,0)),0)))</f>
        <v>0</v>
      </c>
      <c r="G867" s="27">
        <f>IF(OR($B867="",$C867=""),"",$C867*$F867)</f>
        <v>0</v>
      </c>
      <c r="H867" s="27">
        <f>IF(OR($B867="",$C867=""),"",$C867*IFERROR(INDEX(PecCusto,MATCH($B867,PecCod,0)),0))</f>
        <v>0</v>
      </c>
      <c r="I867" s="32">
        <f>IF($A867="","",IFERROR(INDEX(OSStatus,MATCH($A867,OSNum,0)),"OS inexistente"))</f>
        <v>0</v>
      </c>
      <c r="J867" s="32">
        <f>IF($A867="","",IF($I867="OS inexistente","OS inexistente",IF($E867="Peça não cadastrada","Peça não cadastrada","OK")))</f>
        <v>0</v>
      </c>
    </row>
    <row r="868" spans="1:10">
      <c r="A868" s="17"/>
      <c r="B868" s="13"/>
      <c r="C868" s="20"/>
      <c r="D868" s="19"/>
      <c r="E868" s="26">
        <f>IF($B868="","",IFERROR(INDEX(PecDesc,MATCH($B868,PecCod,0)),"Peça não cadastrada"))</f>
        <v>0</v>
      </c>
      <c r="F868" s="27">
        <f>IF($B868="","",IF($D868&lt;&gt;"",$D868,IFERROR(INDEX(PecPreco,MATCH($B868,PecCod,0)),0)))</f>
        <v>0</v>
      </c>
      <c r="G868" s="27">
        <f>IF(OR($B868="",$C868=""),"",$C868*$F868)</f>
        <v>0</v>
      </c>
      <c r="H868" s="27">
        <f>IF(OR($B868="",$C868=""),"",$C868*IFERROR(INDEX(PecCusto,MATCH($B868,PecCod,0)),0))</f>
        <v>0</v>
      </c>
      <c r="I868" s="32">
        <f>IF($A868="","",IFERROR(INDEX(OSStatus,MATCH($A868,OSNum,0)),"OS inexistente"))</f>
        <v>0</v>
      </c>
      <c r="J868" s="32">
        <f>IF($A868="","",IF($I868="OS inexistente","OS inexistente",IF($E868="Peça não cadastrada","Peça não cadastrada","OK")))</f>
        <v>0</v>
      </c>
    </row>
    <row r="869" spans="1:10">
      <c r="A869" s="17"/>
      <c r="B869" s="13"/>
      <c r="C869" s="20"/>
      <c r="D869" s="19"/>
      <c r="E869" s="26">
        <f>IF($B869="","",IFERROR(INDEX(PecDesc,MATCH($B869,PecCod,0)),"Peça não cadastrada"))</f>
        <v>0</v>
      </c>
      <c r="F869" s="27">
        <f>IF($B869="","",IF($D869&lt;&gt;"",$D869,IFERROR(INDEX(PecPreco,MATCH($B869,PecCod,0)),0)))</f>
        <v>0</v>
      </c>
      <c r="G869" s="27">
        <f>IF(OR($B869="",$C869=""),"",$C869*$F869)</f>
        <v>0</v>
      </c>
      <c r="H869" s="27">
        <f>IF(OR($B869="",$C869=""),"",$C869*IFERROR(INDEX(PecCusto,MATCH($B869,PecCod,0)),0))</f>
        <v>0</v>
      </c>
      <c r="I869" s="32">
        <f>IF($A869="","",IFERROR(INDEX(OSStatus,MATCH($A869,OSNum,0)),"OS inexistente"))</f>
        <v>0</v>
      </c>
      <c r="J869" s="32">
        <f>IF($A869="","",IF($I869="OS inexistente","OS inexistente",IF($E869="Peça não cadastrada","Peça não cadastrada","OK")))</f>
        <v>0</v>
      </c>
    </row>
    <row r="870" spans="1:10">
      <c r="A870" s="17"/>
      <c r="B870" s="13"/>
      <c r="C870" s="20"/>
      <c r="D870" s="19"/>
      <c r="E870" s="26">
        <f>IF($B870="","",IFERROR(INDEX(PecDesc,MATCH($B870,PecCod,0)),"Peça não cadastrada"))</f>
        <v>0</v>
      </c>
      <c r="F870" s="27">
        <f>IF($B870="","",IF($D870&lt;&gt;"",$D870,IFERROR(INDEX(PecPreco,MATCH($B870,PecCod,0)),0)))</f>
        <v>0</v>
      </c>
      <c r="G870" s="27">
        <f>IF(OR($B870="",$C870=""),"",$C870*$F870)</f>
        <v>0</v>
      </c>
      <c r="H870" s="27">
        <f>IF(OR($B870="",$C870=""),"",$C870*IFERROR(INDEX(PecCusto,MATCH($B870,PecCod,0)),0))</f>
        <v>0</v>
      </c>
      <c r="I870" s="32">
        <f>IF($A870="","",IFERROR(INDEX(OSStatus,MATCH($A870,OSNum,0)),"OS inexistente"))</f>
        <v>0</v>
      </c>
      <c r="J870" s="32">
        <f>IF($A870="","",IF($I870="OS inexistente","OS inexistente",IF($E870="Peça não cadastrada","Peça não cadastrada","OK")))</f>
        <v>0</v>
      </c>
    </row>
    <row r="871" spans="1:10">
      <c r="A871" s="17"/>
      <c r="B871" s="13"/>
      <c r="C871" s="20"/>
      <c r="D871" s="19"/>
      <c r="E871" s="26">
        <f>IF($B871="","",IFERROR(INDEX(PecDesc,MATCH($B871,PecCod,0)),"Peça não cadastrada"))</f>
        <v>0</v>
      </c>
      <c r="F871" s="27">
        <f>IF($B871="","",IF($D871&lt;&gt;"",$D871,IFERROR(INDEX(PecPreco,MATCH($B871,PecCod,0)),0)))</f>
        <v>0</v>
      </c>
      <c r="G871" s="27">
        <f>IF(OR($B871="",$C871=""),"",$C871*$F871)</f>
        <v>0</v>
      </c>
      <c r="H871" s="27">
        <f>IF(OR($B871="",$C871=""),"",$C871*IFERROR(INDEX(PecCusto,MATCH($B871,PecCod,0)),0))</f>
        <v>0</v>
      </c>
      <c r="I871" s="32">
        <f>IF($A871="","",IFERROR(INDEX(OSStatus,MATCH($A871,OSNum,0)),"OS inexistente"))</f>
        <v>0</v>
      </c>
      <c r="J871" s="32">
        <f>IF($A871="","",IF($I871="OS inexistente","OS inexistente",IF($E871="Peça não cadastrada","Peça não cadastrada","OK")))</f>
        <v>0</v>
      </c>
    </row>
    <row r="872" spans="1:10">
      <c r="A872" s="17"/>
      <c r="B872" s="13"/>
      <c r="C872" s="20"/>
      <c r="D872" s="19"/>
      <c r="E872" s="26">
        <f>IF($B872="","",IFERROR(INDEX(PecDesc,MATCH($B872,PecCod,0)),"Peça não cadastrada"))</f>
        <v>0</v>
      </c>
      <c r="F872" s="27">
        <f>IF($B872="","",IF($D872&lt;&gt;"",$D872,IFERROR(INDEX(PecPreco,MATCH($B872,PecCod,0)),0)))</f>
        <v>0</v>
      </c>
      <c r="G872" s="27">
        <f>IF(OR($B872="",$C872=""),"",$C872*$F872)</f>
        <v>0</v>
      </c>
      <c r="H872" s="27">
        <f>IF(OR($B872="",$C872=""),"",$C872*IFERROR(INDEX(PecCusto,MATCH($B872,PecCod,0)),0))</f>
        <v>0</v>
      </c>
      <c r="I872" s="32">
        <f>IF($A872="","",IFERROR(INDEX(OSStatus,MATCH($A872,OSNum,0)),"OS inexistente"))</f>
        <v>0</v>
      </c>
      <c r="J872" s="32">
        <f>IF($A872="","",IF($I872="OS inexistente","OS inexistente",IF($E872="Peça não cadastrada","Peça não cadastrada","OK")))</f>
        <v>0</v>
      </c>
    </row>
    <row r="873" spans="1:10">
      <c r="A873" s="17"/>
      <c r="B873" s="13"/>
      <c r="C873" s="20"/>
      <c r="D873" s="19"/>
      <c r="E873" s="26">
        <f>IF($B873="","",IFERROR(INDEX(PecDesc,MATCH($B873,PecCod,0)),"Peça não cadastrada"))</f>
        <v>0</v>
      </c>
      <c r="F873" s="27">
        <f>IF($B873="","",IF($D873&lt;&gt;"",$D873,IFERROR(INDEX(PecPreco,MATCH($B873,PecCod,0)),0)))</f>
        <v>0</v>
      </c>
      <c r="G873" s="27">
        <f>IF(OR($B873="",$C873=""),"",$C873*$F873)</f>
        <v>0</v>
      </c>
      <c r="H873" s="27">
        <f>IF(OR($B873="",$C873=""),"",$C873*IFERROR(INDEX(PecCusto,MATCH($B873,PecCod,0)),0))</f>
        <v>0</v>
      </c>
      <c r="I873" s="32">
        <f>IF($A873="","",IFERROR(INDEX(OSStatus,MATCH($A873,OSNum,0)),"OS inexistente"))</f>
        <v>0</v>
      </c>
      <c r="J873" s="32">
        <f>IF($A873="","",IF($I873="OS inexistente","OS inexistente",IF($E873="Peça não cadastrada","Peça não cadastrada","OK")))</f>
        <v>0</v>
      </c>
    </row>
    <row r="874" spans="1:10">
      <c r="A874" s="17"/>
      <c r="B874" s="13"/>
      <c r="C874" s="20"/>
      <c r="D874" s="19"/>
      <c r="E874" s="26">
        <f>IF($B874="","",IFERROR(INDEX(PecDesc,MATCH($B874,PecCod,0)),"Peça não cadastrada"))</f>
        <v>0</v>
      </c>
      <c r="F874" s="27">
        <f>IF($B874="","",IF($D874&lt;&gt;"",$D874,IFERROR(INDEX(PecPreco,MATCH($B874,PecCod,0)),0)))</f>
        <v>0</v>
      </c>
      <c r="G874" s="27">
        <f>IF(OR($B874="",$C874=""),"",$C874*$F874)</f>
        <v>0</v>
      </c>
      <c r="H874" s="27">
        <f>IF(OR($B874="",$C874=""),"",$C874*IFERROR(INDEX(PecCusto,MATCH($B874,PecCod,0)),0))</f>
        <v>0</v>
      </c>
      <c r="I874" s="32">
        <f>IF($A874="","",IFERROR(INDEX(OSStatus,MATCH($A874,OSNum,0)),"OS inexistente"))</f>
        <v>0</v>
      </c>
      <c r="J874" s="32">
        <f>IF($A874="","",IF($I874="OS inexistente","OS inexistente",IF($E874="Peça não cadastrada","Peça não cadastrada","OK")))</f>
        <v>0</v>
      </c>
    </row>
    <row r="875" spans="1:10">
      <c r="A875" s="17"/>
      <c r="B875" s="13"/>
      <c r="C875" s="20"/>
      <c r="D875" s="19"/>
      <c r="E875" s="26">
        <f>IF($B875="","",IFERROR(INDEX(PecDesc,MATCH($B875,PecCod,0)),"Peça não cadastrada"))</f>
        <v>0</v>
      </c>
      <c r="F875" s="27">
        <f>IF($B875="","",IF($D875&lt;&gt;"",$D875,IFERROR(INDEX(PecPreco,MATCH($B875,PecCod,0)),0)))</f>
        <v>0</v>
      </c>
      <c r="G875" s="27">
        <f>IF(OR($B875="",$C875=""),"",$C875*$F875)</f>
        <v>0</v>
      </c>
      <c r="H875" s="27">
        <f>IF(OR($B875="",$C875=""),"",$C875*IFERROR(INDEX(PecCusto,MATCH($B875,PecCod,0)),0))</f>
        <v>0</v>
      </c>
      <c r="I875" s="32">
        <f>IF($A875="","",IFERROR(INDEX(OSStatus,MATCH($A875,OSNum,0)),"OS inexistente"))</f>
        <v>0</v>
      </c>
      <c r="J875" s="32">
        <f>IF($A875="","",IF($I875="OS inexistente","OS inexistente",IF($E875="Peça não cadastrada","Peça não cadastrada","OK")))</f>
        <v>0</v>
      </c>
    </row>
    <row r="876" spans="1:10">
      <c r="A876" s="17"/>
      <c r="B876" s="13"/>
      <c r="C876" s="20"/>
      <c r="D876" s="19"/>
      <c r="E876" s="26">
        <f>IF($B876="","",IFERROR(INDEX(PecDesc,MATCH($B876,PecCod,0)),"Peça não cadastrada"))</f>
        <v>0</v>
      </c>
      <c r="F876" s="27">
        <f>IF($B876="","",IF($D876&lt;&gt;"",$D876,IFERROR(INDEX(PecPreco,MATCH($B876,PecCod,0)),0)))</f>
        <v>0</v>
      </c>
      <c r="G876" s="27">
        <f>IF(OR($B876="",$C876=""),"",$C876*$F876)</f>
        <v>0</v>
      </c>
      <c r="H876" s="27">
        <f>IF(OR($B876="",$C876=""),"",$C876*IFERROR(INDEX(PecCusto,MATCH($B876,PecCod,0)),0))</f>
        <v>0</v>
      </c>
      <c r="I876" s="32">
        <f>IF($A876="","",IFERROR(INDEX(OSStatus,MATCH($A876,OSNum,0)),"OS inexistente"))</f>
        <v>0</v>
      </c>
      <c r="J876" s="32">
        <f>IF($A876="","",IF($I876="OS inexistente","OS inexistente",IF($E876="Peça não cadastrada","Peça não cadastrada","OK")))</f>
        <v>0</v>
      </c>
    </row>
    <row r="877" spans="1:10">
      <c r="A877" s="17"/>
      <c r="B877" s="13"/>
      <c r="C877" s="20"/>
      <c r="D877" s="19"/>
      <c r="E877" s="26">
        <f>IF($B877="","",IFERROR(INDEX(PecDesc,MATCH($B877,PecCod,0)),"Peça não cadastrada"))</f>
        <v>0</v>
      </c>
      <c r="F877" s="27">
        <f>IF($B877="","",IF($D877&lt;&gt;"",$D877,IFERROR(INDEX(PecPreco,MATCH($B877,PecCod,0)),0)))</f>
        <v>0</v>
      </c>
      <c r="G877" s="27">
        <f>IF(OR($B877="",$C877=""),"",$C877*$F877)</f>
        <v>0</v>
      </c>
      <c r="H877" s="27">
        <f>IF(OR($B877="",$C877=""),"",$C877*IFERROR(INDEX(PecCusto,MATCH($B877,PecCod,0)),0))</f>
        <v>0</v>
      </c>
      <c r="I877" s="32">
        <f>IF($A877="","",IFERROR(INDEX(OSStatus,MATCH($A877,OSNum,0)),"OS inexistente"))</f>
        <v>0</v>
      </c>
      <c r="J877" s="32">
        <f>IF($A877="","",IF($I877="OS inexistente","OS inexistente",IF($E877="Peça não cadastrada","Peça não cadastrada","OK")))</f>
        <v>0</v>
      </c>
    </row>
    <row r="878" spans="1:10">
      <c r="A878" s="17"/>
      <c r="B878" s="13"/>
      <c r="C878" s="20"/>
      <c r="D878" s="19"/>
      <c r="E878" s="26">
        <f>IF($B878="","",IFERROR(INDEX(PecDesc,MATCH($B878,PecCod,0)),"Peça não cadastrada"))</f>
        <v>0</v>
      </c>
      <c r="F878" s="27">
        <f>IF($B878="","",IF($D878&lt;&gt;"",$D878,IFERROR(INDEX(PecPreco,MATCH($B878,PecCod,0)),0)))</f>
        <v>0</v>
      </c>
      <c r="G878" s="27">
        <f>IF(OR($B878="",$C878=""),"",$C878*$F878)</f>
        <v>0</v>
      </c>
      <c r="H878" s="27">
        <f>IF(OR($B878="",$C878=""),"",$C878*IFERROR(INDEX(PecCusto,MATCH($B878,PecCod,0)),0))</f>
        <v>0</v>
      </c>
      <c r="I878" s="32">
        <f>IF($A878="","",IFERROR(INDEX(OSStatus,MATCH($A878,OSNum,0)),"OS inexistente"))</f>
        <v>0</v>
      </c>
      <c r="J878" s="32">
        <f>IF($A878="","",IF($I878="OS inexistente","OS inexistente",IF($E878="Peça não cadastrada","Peça não cadastrada","OK")))</f>
        <v>0</v>
      </c>
    </row>
    <row r="879" spans="1:10">
      <c r="A879" s="17"/>
      <c r="B879" s="13"/>
      <c r="C879" s="20"/>
      <c r="D879" s="19"/>
      <c r="E879" s="26">
        <f>IF($B879="","",IFERROR(INDEX(PecDesc,MATCH($B879,PecCod,0)),"Peça não cadastrada"))</f>
        <v>0</v>
      </c>
      <c r="F879" s="27">
        <f>IF($B879="","",IF($D879&lt;&gt;"",$D879,IFERROR(INDEX(PecPreco,MATCH($B879,PecCod,0)),0)))</f>
        <v>0</v>
      </c>
      <c r="G879" s="27">
        <f>IF(OR($B879="",$C879=""),"",$C879*$F879)</f>
        <v>0</v>
      </c>
      <c r="H879" s="27">
        <f>IF(OR($B879="",$C879=""),"",$C879*IFERROR(INDEX(PecCusto,MATCH($B879,PecCod,0)),0))</f>
        <v>0</v>
      </c>
      <c r="I879" s="32">
        <f>IF($A879="","",IFERROR(INDEX(OSStatus,MATCH($A879,OSNum,0)),"OS inexistente"))</f>
        <v>0</v>
      </c>
      <c r="J879" s="32">
        <f>IF($A879="","",IF($I879="OS inexistente","OS inexistente",IF($E879="Peça não cadastrada","Peça não cadastrada","OK")))</f>
        <v>0</v>
      </c>
    </row>
    <row r="880" spans="1:10">
      <c r="A880" s="17"/>
      <c r="B880" s="13"/>
      <c r="C880" s="20"/>
      <c r="D880" s="19"/>
      <c r="E880" s="26">
        <f>IF($B880="","",IFERROR(INDEX(PecDesc,MATCH($B880,PecCod,0)),"Peça não cadastrada"))</f>
        <v>0</v>
      </c>
      <c r="F880" s="27">
        <f>IF($B880="","",IF($D880&lt;&gt;"",$D880,IFERROR(INDEX(PecPreco,MATCH($B880,PecCod,0)),0)))</f>
        <v>0</v>
      </c>
      <c r="G880" s="27">
        <f>IF(OR($B880="",$C880=""),"",$C880*$F880)</f>
        <v>0</v>
      </c>
      <c r="H880" s="27">
        <f>IF(OR($B880="",$C880=""),"",$C880*IFERROR(INDEX(PecCusto,MATCH($B880,PecCod,0)),0))</f>
        <v>0</v>
      </c>
      <c r="I880" s="32">
        <f>IF($A880="","",IFERROR(INDEX(OSStatus,MATCH($A880,OSNum,0)),"OS inexistente"))</f>
        <v>0</v>
      </c>
      <c r="J880" s="32">
        <f>IF($A880="","",IF($I880="OS inexistente","OS inexistente",IF($E880="Peça não cadastrada","Peça não cadastrada","OK")))</f>
        <v>0</v>
      </c>
    </row>
    <row r="881" spans="1:10">
      <c r="A881" s="17"/>
      <c r="B881" s="13"/>
      <c r="C881" s="20"/>
      <c r="D881" s="19"/>
      <c r="E881" s="26">
        <f>IF($B881="","",IFERROR(INDEX(PecDesc,MATCH($B881,PecCod,0)),"Peça não cadastrada"))</f>
        <v>0</v>
      </c>
      <c r="F881" s="27">
        <f>IF($B881="","",IF($D881&lt;&gt;"",$D881,IFERROR(INDEX(PecPreco,MATCH($B881,PecCod,0)),0)))</f>
        <v>0</v>
      </c>
      <c r="G881" s="27">
        <f>IF(OR($B881="",$C881=""),"",$C881*$F881)</f>
        <v>0</v>
      </c>
      <c r="H881" s="27">
        <f>IF(OR($B881="",$C881=""),"",$C881*IFERROR(INDEX(PecCusto,MATCH($B881,PecCod,0)),0))</f>
        <v>0</v>
      </c>
      <c r="I881" s="32">
        <f>IF($A881="","",IFERROR(INDEX(OSStatus,MATCH($A881,OSNum,0)),"OS inexistente"))</f>
        <v>0</v>
      </c>
      <c r="J881" s="32">
        <f>IF($A881="","",IF($I881="OS inexistente","OS inexistente",IF($E881="Peça não cadastrada","Peça não cadastrada","OK")))</f>
        <v>0</v>
      </c>
    </row>
    <row r="882" spans="1:10">
      <c r="A882" s="17"/>
      <c r="B882" s="13"/>
      <c r="C882" s="20"/>
      <c r="D882" s="19"/>
      <c r="E882" s="26">
        <f>IF($B882="","",IFERROR(INDEX(PecDesc,MATCH($B882,PecCod,0)),"Peça não cadastrada"))</f>
        <v>0</v>
      </c>
      <c r="F882" s="27">
        <f>IF($B882="","",IF($D882&lt;&gt;"",$D882,IFERROR(INDEX(PecPreco,MATCH($B882,PecCod,0)),0)))</f>
        <v>0</v>
      </c>
      <c r="G882" s="27">
        <f>IF(OR($B882="",$C882=""),"",$C882*$F882)</f>
        <v>0</v>
      </c>
      <c r="H882" s="27">
        <f>IF(OR($B882="",$C882=""),"",$C882*IFERROR(INDEX(PecCusto,MATCH($B882,PecCod,0)),0))</f>
        <v>0</v>
      </c>
      <c r="I882" s="32">
        <f>IF($A882="","",IFERROR(INDEX(OSStatus,MATCH($A882,OSNum,0)),"OS inexistente"))</f>
        <v>0</v>
      </c>
      <c r="J882" s="32">
        <f>IF($A882="","",IF($I882="OS inexistente","OS inexistente",IF($E882="Peça não cadastrada","Peça não cadastrada","OK")))</f>
        <v>0</v>
      </c>
    </row>
    <row r="883" spans="1:10">
      <c r="A883" s="17"/>
      <c r="B883" s="13"/>
      <c r="C883" s="20"/>
      <c r="D883" s="19"/>
      <c r="E883" s="26">
        <f>IF($B883="","",IFERROR(INDEX(PecDesc,MATCH($B883,PecCod,0)),"Peça não cadastrada"))</f>
        <v>0</v>
      </c>
      <c r="F883" s="27">
        <f>IF($B883="","",IF($D883&lt;&gt;"",$D883,IFERROR(INDEX(PecPreco,MATCH($B883,PecCod,0)),0)))</f>
        <v>0</v>
      </c>
      <c r="G883" s="27">
        <f>IF(OR($B883="",$C883=""),"",$C883*$F883)</f>
        <v>0</v>
      </c>
      <c r="H883" s="27">
        <f>IF(OR($B883="",$C883=""),"",$C883*IFERROR(INDEX(PecCusto,MATCH($B883,PecCod,0)),0))</f>
        <v>0</v>
      </c>
      <c r="I883" s="32">
        <f>IF($A883="","",IFERROR(INDEX(OSStatus,MATCH($A883,OSNum,0)),"OS inexistente"))</f>
        <v>0</v>
      </c>
      <c r="J883" s="32">
        <f>IF($A883="","",IF($I883="OS inexistente","OS inexistente",IF($E883="Peça não cadastrada","Peça não cadastrada","OK")))</f>
        <v>0</v>
      </c>
    </row>
    <row r="884" spans="1:10">
      <c r="A884" s="17"/>
      <c r="B884" s="13"/>
      <c r="C884" s="20"/>
      <c r="D884" s="19"/>
      <c r="E884" s="26">
        <f>IF($B884="","",IFERROR(INDEX(PecDesc,MATCH($B884,PecCod,0)),"Peça não cadastrada"))</f>
        <v>0</v>
      </c>
      <c r="F884" s="27">
        <f>IF($B884="","",IF($D884&lt;&gt;"",$D884,IFERROR(INDEX(PecPreco,MATCH($B884,PecCod,0)),0)))</f>
        <v>0</v>
      </c>
      <c r="G884" s="27">
        <f>IF(OR($B884="",$C884=""),"",$C884*$F884)</f>
        <v>0</v>
      </c>
      <c r="H884" s="27">
        <f>IF(OR($B884="",$C884=""),"",$C884*IFERROR(INDEX(PecCusto,MATCH($B884,PecCod,0)),0))</f>
        <v>0</v>
      </c>
      <c r="I884" s="32">
        <f>IF($A884="","",IFERROR(INDEX(OSStatus,MATCH($A884,OSNum,0)),"OS inexistente"))</f>
        <v>0</v>
      </c>
      <c r="J884" s="32">
        <f>IF($A884="","",IF($I884="OS inexistente","OS inexistente",IF($E884="Peça não cadastrada","Peça não cadastrada","OK")))</f>
        <v>0</v>
      </c>
    </row>
    <row r="885" spans="1:10">
      <c r="A885" s="17"/>
      <c r="B885" s="13"/>
      <c r="C885" s="20"/>
      <c r="D885" s="19"/>
      <c r="E885" s="26">
        <f>IF($B885="","",IFERROR(INDEX(PecDesc,MATCH($B885,PecCod,0)),"Peça não cadastrada"))</f>
        <v>0</v>
      </c>
      <c r="F885" s="27">
        <f>IF($B885="","",IF($D885&lt;&gt;"",$D885,IFERROR(INDEX(PecPreco,MATCH($B885,PecCod,0)),0)))</f>
        <v>0</v>
      </c>
      <c r="G885" s="27">
        <f>IF(OR($B885="",$C885=""),"",$C885*$F885)</f>
        <v>0</v>
      </c>
      <c r="H885" s="27">
        <f>IF(OR($B885="",$C885=""),"",$C885*IFERROR(INDEX(PecCusto,MATCH($B885,PecCod,0)),0))</f>
        <v>0</v>
      </c>
      <c r="I885" s="32">
        <f>IF($A885="","",IFERROR(INDEX(OSStatus,MATCH($A885,OSNum,0)),"OS inexistente"))</f>
        <v>0</v>
      </c>
      <c r="J885" s="32">
        <f>IF($A885="","",IF($I885="OS inexistente","OS inexistente",IF($E885="Peça não cadastrada","Peça não cadastrada","OK")))</f>
        <v>0</v>
      </c>
    </row>
    <row r="886" spans="1:10">
      <c r="A886" s="17"/>
      <c r="B886" s="13"/>
      <c r="C886" s="20"/>
      <c r="D886" s="19"/>
      <c r="E886" s="26">
        <f>IF($B886="","",IFERROR(INDEX(PecDesc,MATCH($B886,PecCod,0)),"Peça não cadastrada"))</f>
        <v>0</v>
      </c>
      <c r="F886" s="27">
        <f>IF($B886="","",IF($D886&lt;&gt;"",$D886,IFERROR(INDEX(PecPreco,MATCH($B886,PecCod,0)),0)))</f>
        <v>0</v>
      </c>
      <c r="G886" s="27">
        <f>IF(OR($B886="",$C886=""),"",$C886*$F886)</f>
        <v>0</v>
      </c>
      <c r="H886" s="27">
        <f>IF(OR($B886="",$C886=""),"",$C886*IFERROR(INDEX(PecCusto,MATCH($B886,PecCod,0)),0))</f>
        <v>0</v>
      </c>
      <c r="I886" s="32">
        <f>IF($A886="","",IFERROR(INDEX(OSStatus,MATCH($A886,OSNum,0)),"OS inexistente"))</f>
        <v>0</v>
      </c>
      <c r="J886" s="32">
        <f>IF($A886="","",IF($I886="OS inexistente","OS inexistente",IF($E886="Peça não cadastrada","Peça não cadastrada","OK")))</f>
        <v>0</v>
      </c>
    </row>
    <row r="887" spans="1:10">
      <c r="A887" s="17"/>
      <c r="B887" s="13"/>
      <c r="C887" s="20"/>
      <c r="D887" s="19"/>
      <c r="E887" s="26">
        <f>IF($B887="","",IFERROR(INDEX(PecDesc,MATCH($B887,PecCod,0)),"Peça não cadastrada"))</f>
        <v>0</v>
      </c>
      <c r="F887" s="27">
        <f>IF($B887="","",IF($D887&lt;&gt;"",$D887,IFERROR(INDEX(PecPreco,MATCH($B887,PecCod,0)),0)))</f>
        <v>0</v>
      </c>
      <c r="G887" s="27">
        <f>IF(OR($B887="",$C887=""),"",$C887*$F887)</f>
        <v>0</v>
      </c>
      <c r="H887" s="27">
        <f>IF(OR($B887="",$C887=""),"",$C887*IFERROR(INDEX(PecCusto,MATCH($B887,PecCod,0)),0))</f>
        <v>0</v>
      </c>
      <c r="I887" s="32">
        <f>IF($A887="","",IFERROR(INDEX(OSStatus,MATCH($A887,OSNum,0)),"OS inexistente"))</f>
        <v>0</v>
      </c>
      <c r="J887" s="32">
        <f>IF($A887="","",IF($I887="OS inexistente","OS inexistente",IF($E887="Peça não cadastrada","Peça não cadastrada","OK")))</f>
        <v>0</v>
      </c>
    </row>
    <row r="888" spans="1:10">
      <c r="A888" s="17"/>
      <c r="B888" s="13"/>
      <c r="C888" s="20"/>
      <c r="D888" s="19"/>
      <c r="E888" s="26">
        <f>IF($B888="","",IFERROR(INDEX(PecDesc,MATCH($B888,PecCod,0)),"Peça não cadastrada"))</f>
        <v>0</v>
      </c>
      <c r="F888" s="27">
        <f>IF($B888="","",IF($D888&lt;&gt;"",$D888,IFERROR(INDEX(PecPreco,MATCH($B888,PecCod,0)),0)))</f>
        <v>0</v>
      </c>
      <c r="G888" s="27">
        <f>IF(OR($B888="",$C888=""),"",$C888*$F888)</f>
        <v>0</v>
      </c>
      <c r="H888" s="27">
        <f>IF(OR($B888="",$C888=""),"",$C888*IFERROR(INDEX(PecCusto,MATCH($B888,PecCod,0)),0))</f>
        <v>0</v>
      </c>
      <c r="I888" s="32">
        <f>IF($A888="","",IFERROR(INDEX(OSStatus,MATCH($A888,OSNum,0)),"OS inexistente"))</f>
        <v>0</v>
      </c>
      <c r="J888" s="32">
        <f>IF($A888="","",IF($I888="OS inexistente","OS inexistente",IF($E888="Peça não cadastrada","Peça não cadastrada","OK")))</f>
        <v>0</v>
      </c>
    </row>
    <row r="889" spans="1:10">
      <c r="A889" s="17"/>
      <c r="B889" s="13"/>
      <c r="C889" s="20"/>
      <c r="D889" s="19"/>
      <c r="E889" s="26">
        <f>IF($B889="","",IFERROR(INDEX(PecDesc,MATCH($B889,PecCod,0)),"Peça não cadastrada"))</f>
        <v>0</v>
      </c>
      <c r="F889" s="27">
        <f>IF($B889="","",IF($D889&lt;&gt;"",$D889,IFERROR(INDEX(PecPreco,MATCH($B889,PecCod,0)),0)))</f>
        <v>0</v>
      </c>
      <c r="G889" s="27">
        <f>IF(OR($B889="",$C889=""),"",$C889*$F889)</f>
        <v>0</v>
      </c>
      <c r="H889" s="27">
        <f>IF(OR($B889="",$C889=""),"",$C889*IFERROR(INDEX(PecCusto,MATCH($B889,PecCod,0)),0))</f>
        <v>0</v>
      </c>
      <c r="I889" s="32">
        <f>IF($A889="","",IFERROR(INDEX(OSStatus,MATCH($A889,OSNum,0)),"OS inexistente"))</f>
        <v>0</v>
      </c>
      <c r="J889" s="32">
        <f>IF($A889="","",IF($I889="OS inexistente","OS inexistente",IF($E889="Peça não cadastrada","Peça não cadastrada","OK")))</f>
        <v>0</v>
      </c>
    </row>
    <row r="890" spans="1:10">
      <c r="A890" s="17"/>
      <c r="B890" s="13"/>
      <c r="C890" s="20"/>
      <c r="D890" s="19"/>
      <c r="E890" s="26">
        <f>IF($B890="","",IFERROR(INDEX(PecDesc,MATCH($B890,PecCod,0)),"Peça não cadastrada"))</f>
        <v>0</v>
      </c>
      <c r="F890" s="27">
        <f>IF($B890="","",IF($D890&lt;&gt;"",$D890,IFERROR(INDEX(PecPreco,MATCH($B890,PecCod,0)),0)))</f>
        <v>0</v>
      </c>
      <c r="G890" s="27">
        <f>IF(OR($B890="",$C890=""),"",$C890*$F890)</f>
        <v>0</v>
      </c>
      <c r="H890" s="27">
        <f>IF(OR($B890="",$C890=""),"",$C890*IFERROR(INDEX(PecCusto,MATCH($B890,PecCod,0)),0))</f>
        <v>0</v>
      </c>
      <c r="I890" s="32">
        <f>IF($A890="","",IFERROR(INDEX(OSStatus,MATCH($A890,OSNum,0)),"OS inexistente"))</f>
        <v>0</v>
      </c>
      <c r="J890" s="32">
        <f>IF($A890="","",IF($I890="OS inexistente","OS inexistente",IF($E890="Peça não cadastrada","Peça não cadastrada","OK")))</f>
        <v>0</v>
      </c>
    </row>
    <row r="891" spans="1:10">
      <c r="A891" s="17"/>
      <c r="B891" s="13"/>
      <c r="C891" s="20"/>
      <c r="D891" s="19"/>
      <c r="E891" s="26">
        <f>IF($B891="","",IFERROR(INDEX(PecDesc,MATCH($B891,PecCod,0)),"Peça não cadastrada"))</f>
        <v>0</v>
      </c>
      <c r="F891" s="27">
        <f>IF($B891="","",IF($D891&lt;&gt;"",$D891,IFERROR(INDEX(PecPreco,MATCH($B891,PecCod,0)),0)))</f>
        <v>0</v>
      </c>
      <c r="G891" s="27">
        <f>IF(OR($B891="",$C891=""),"",$C891*$F891)</f>
        <v>0</v>
      </c>
      <c r="H891" s="27">
        <f>IF(OR($B891="",$C891=""),"",$C891*IFERROR(INDEX(PecCusto,MATCH($B891,PecCod,0)),0))</f>
        <v>0</v>
      </c>
      <c r="I891" s="32">
        <f>IF($A891="","",IFERROR(INDEX(OSStatus,MATCH($A891,OSNum,0)),"OS inexistente"))</f>
        <v>0</v>
      </c>
      <c r="J891" s="32">
        <f>IF($A891="","",IF($I891="OS inexistente","OS inexistente",IF($E891="Peça não cadastrada","Peça não cadastrada","OK")))</f>
        <v>0</v>
      </c>
    </row>
    <row r="892" spans="1:10">
      <c r="A892" s="17"/>
      <c r="B892" s="13"/>
      <c r="C892" s="20"/>
      <c r="D892" s="19"/>
      <c r="E892" s="26">
        <f>IF($B892="","",IFERROR(INDEX(PecDesc,MATCH($B892,PecCod,0)),"Peça não cadastrada"))</f>
        <v>0</v>
      </c>
      <c r="F892" s="27">
        <f>IF($B892="","",IF($D892&lt;&gt;"",$D892,IFERROR(INDEX(PecPreco,MATCH($B892,PecCod,0)),0)))</f>
        <v>0</v>
      </c>
      <c r="G892" s="27">
        <f>IF(OR($B892="",$C892=""),"",$C892*$F892)</f>
        <v>0</v>
      </c>
      <c r="H892" s="27">
        <f>IF(OR($B892="",$C892=""),"",$C892*IFERROR(INDEX(PecCusto,MATCH($B892,PecCod,0)),0))</f>
        <v>0</v>
      </c>
      <c r="I892" s="32">
        <f>IF($A892="","",IFERROR(INDEX(OSStatus,MATCH($A892,OSNum,0)),"OS inexistente"))</f>
        <v>0</v>
      </c>
      <c r="J892" s="32">
        <f>IF($A892="","",IF($I892="OS inexistente","OS inexistente",IF($E892="Peça não cadastrada","Peça não cadastrada","OK")))</f>
        <v>0</v>
      </c>
    </row>
    <row r="893" spans="1:10">
      <c r="A893" s="17"/>
      <c r="B893" s="13"/>
      <c r="C893" s="20"/>
      <c r="D893" s="19"/>
      <c r="E893" s="26">
        <f>IF($B893="","",IFERROR(INDEX(PecDesc,MATCH($B893,PecCod,0)),"Peça não cadastrada"))</f>
        <v>0</v>
      </c>
      <c r="F893" s="27">
        <f>IF($B893="","",IF($D893&lt;&gt;"",$D893,IFERROR(INDEX(PecPreco,MATCH($B893,PecCod,0)),0)))</f>
        <v>0</v>
      </c>
      <c r="G893" s="27">
        <f>IF(OR($B893="",$C893=""),"",$C893*$F893)</f>
        <v>0</v>
      </c>
      <c r="H893" s="27">
        <f>IF(OR($B893="",$C893=""),"",$C893*IFERROR(INDEX(PecCusto,MATCH($B893,PecCod,0)),0))</f>
        <v>0</v>
      </c>
      <c r="I893" s="32">
        <f>IF($A893="","",IFERROR(INDEX(OSStatus,MATCH($A893,OSNum,0)),"OS inexistente"))</f>
        <v>0</v>
      </c>
      <c r="J893" s="32">
        <f>IF($A893="","",IF($I893="OS inexistente","OS inexistente",IF($E893="Peça não cadastrada","Peça não cadastrada","OK")))</f>
        <v>0</v>
      </c>
    </row>
    <row r="894" spans="1:10">
      <c r="A894" s="17"/>
      <c r="B894" s="13"/>
      <c r="C894" s="20"/>
      <c r="D894" s="19"/>
      <c r="E894" s="26">
        <f>IF($B894="","",IFERROR(INDEX(PecDesc,MATCH($B894,PecCod,0)),"Peça não cadastrada"))</f>
        <v>0</v>
      </c>
      <c r="F894" s="27">
        <f>IF($B894="","",IF($D894&lt;&gt;"",$D894,IFERROR(INDEX(PecPreco,MATCH($B894,PecCod,0)),0)))</f>
        <v>0</v>
      </c>
      <c r="G894" s="27">
        <f>IF(OR($B894="",$C894=""),"",$C894*$F894)</f>
        <v>0</v>
      </c>
      <c r="H894" s="27">
        <f>IF(OR($B894="",$C894=""),"",$C894*IFERROR(INDEX(PecCusto,MATCH($B894,PecCod,0)),0))</f>
        <v>0</v>
      </c>
      <c r="I894" s="32">
        <f>IF($A894="","",IFERROR(INDEX(OSStatus,MATCH($A894,OSNum,0)),"OS inexistente"))</f>
        <v>0</v>
      </c>
      <c r="J894" s="32">
        <f>IF($A894="","",IF($I894="OS inexistente","OS inexistente",IF($E894="Peça não cadastrada","Peça não cadastrada","OK")))</f>
        <v>0</v>
      </c>
    </row>
    <row r="895" spans="1:10">
      <c r="A895" s="17"/>
      <c r="B895" s="13"/>
      <c r="C895" s="20"/>
      <c r="D895" s="19"/>
      <c r="E895" s="26">
        <f>IF($B895="","",IFERROR(INDEX(PecDesc,MATCH($B895,PecCod,0)),"Peça não cadastrada"))</f>
        <v>0</v>
      </c>
      <c r="F895" s="27">
        <f>IF($B895="","",IF($D895&lt;&gt;"",$D895,IFERROR(INDEX(PecPreco,MATCH($B895,PecCod,0)),0)))</f>
        <v>0</v>
      </c>
      <c r="G895" s="27">
        <f>IF(OR($B895="",$C895=""),"",$C895*$F895)</f>
        <v>0</v>
      </c>
      <c r="H895" s="27">
        <f>IF(OR($B895="",$C895=""),"",$C895*IFERROR(INDEX(PecCusto,MATCH($B895,PecCod,0)),0))</f>
        <v>0</v>
      </c>
      <c r="I895" s="32">
        <f>IF($A895="","",IFERROR(INDEX(OSStatus,MATCH($A895,OSNum,0)),"OS inexistente"))</f>
        <v>0</v>
      </c>
      <c r="J895" s="32">
        <f>IF($A895="","",IF($I895="OS inexistente","OS inexistente",IF($E895="Peça não cadastrada","Peça não cadastrada","OK")))</f>
        <v>0</v>
      </c>
    </row>
    <row r="896" spans="1:10">
      <c r="A896" s="17"/>
      <c r="B896" s="13"/>
      <c r="C896" s="20"/>
      <c r="D896" s="19"/>
      <c r="E896" s="26">
        <f>IF($B896="","",IFERROR(INDEX(PecDesc,MATCH($B896,PecCod,0)),"Peça não cadastrada"))</f>
        <v>0</v>
      </c>
      <c r="F896" s="27">
        <f>IF($B896="","",IF($D896&lt;&gt;"",$D896,IFERROR(INDEX(PecPreco,MATCH($B896,PecCod,0)),0)))</f>
        <v>0</v>
      </c>
      <c r="G896" s="27">
        <f>IF(OR($B896="",$C896=""),"",$C896*$F896)</f>
        <v>0</v>
      </c>
      <c r="H896" s="27">
        <f>IF(OR($B896="",$C896=""),"",$C896*IFERROR(INDEX(PecCusto,MATCH($B896,PecCod,0)),0))</f>
        <v>0</v>
      </c>
      <c r="I896" s="32">
        <f>IF($A896="","",IFERROR(INDEX(OSStatus,MATCH($A896,OSNum,0)),"OS inexistente"))</f>
        <v>0</v>
      </c>
      <c r="J896" s="32">
        <f>IF($A896="","",IF($I896="OS inexistente","OS inexistente",IF($E896="Peça não cadastrada","Peça não cadastrada","OK")))</f>
        <v>0</v>
      </c>
    </row>
    <row r="897" spans="1:10">
      <c r="A897" s="17"/>
      <c r="B897" s="13"/>
      <c r="C897" s="20"/>
      <c r="D897" s="19"/>
      <c r="E897" s="26">
        <f>IF($B897="","",IFERROR(INDEX(PecDesc,MATCH($B897,PecCod,0)),"Peça não cadastrada"))</f>
        <v>0</v>
      </c>
      <c r="F897" s="27">
        <f>IF($B897="","",IF($D897&lt;&gt;"",$D897,IFERROR(INDEX(PecPreco,MATCH($B897,PecCod,0)),0)))</f>
        <v>0</v>
      </c>
      <c r="G897" s="27">
        <f>IF(OR($B897="",$C897=""),"",$C897*$F897)</f>
        <v>0</v>
      </c>
      <c r="H897" s="27">
        <f>IF(OR($B897="",$C897=""),"",$C897*IFERROR(INDEX(PecCusto,MATCH($B897,PecCod,0)),0))</f>
        <v>0</v>
      </c>
      <c r="I897" s="32">
        <f>IF($A897="","",IFERROR(INDEX(OSStatus,MATCH($A897,OSNum,0)),"OS inexistente"))</f>
        <v>0</v>
      </c>
      <c r="J897" s="32">
        <f>IF($A897="","",IF($I897="OS inexistente","OS inexistente",IF($E897="Peça não cadastrada","Peça não cadastrada","OK")))</f>
        <v>0</v>
      </c>
    </row>
    <row r="898" spans="1:10">
      <c r="A898" s="17"/>
      <c r="B898" s="13"/>
      <c r="C898" s="20"/>
      <c r="D898" s="19"/>
      <c r="E898" s="26">
        <f>IF($B898="","",IFERROR(INDEX(PecDesc,MATCH($B898,PecCod,0)),"Peça não cadastrada"))</f>
        <v>0</v>
      </c>
      <c r="F898" s="27">
        <f>IF($B898="","",IF($D898&lt;&gt;"",$D898,IFERROR(INDEX(PecPreco,MATCH($B898,PecCod,0)),0)))</f>
        <v>0</v>
      </c>
      <c r="G898" s="27">
        <f>IF(OR($B898="",$C898=""),"",$C898*$F898)</f>
        <v>0</v>
      </c>
      <c r="H898" s="27">
        <f>IF(OR($B898="",$C898=""),"",$C898*IFERROR(INDEX(PecCusto,MATCH($B898,PecCod,0)),0))</f>
        <v>0</v>
      </c>
      <c r="I898" s="32">
        <f>IF($A898="","",IFERROR(INDEX(OSStatus,MATCH($A898,OSNum,0)),"OS inexistente"))</f>
        <v>0</v>
      </c>
      <c r="J898" s="32">
        <f>IF($A898="","",IF($I898="OS inexistente","OS inexistente",IF($E898="Peça não cadastrada","Peça não cadastrada","OK")))</f>
        <v>0</v>
      </c>
    </row>
    <row r="899" spans="1:10">
      <c r="A899" s="17"/>
      <c r="B899" s="13"/>
      <c r="C899" s="20"/>
      <c r="D899" s="19"/>
      <c r="E899" s="26">
        <f>IF($B899="","",IFERROR(INDEX(PecDesc,MATCH($B899,PecCod,0)),"Peça não cadastrada"))</f>
        <v>0</v>
      </c>
      <c r="F899" s="27">
        <f>IF($B899="","",IF($D899&lt;&gt;"",$D899,IFERROR(INDEX(PecPreco,MATCH($B899,PecCod,0)),0)))</f>
        <v>0</v>
      </c>
      <c r="G899" s="27">
        <f>IF(OR($B899="",$C899=""),"",$C899*$F899)</f>
        <v>0</v>
      </c>
      <c r="H899" s="27">
        <f>IF(OR($B899="",$C899=""),"",$C899*IFERROR(INDEX(PecCusto,MATCH($B899,PecCod,0)),0))</f>
        <v>0</v>
      </c>
      <c r="I899" s="32">
        <f>IF($A899="","",IFERROR(INDEX(OSStatus,MATCH($A899,OSNum,0)),"OS inexistente"))</f>
        <v>0</v>
      </c>
      <c r="J899" s="32">
        <f>IF($A899="","",IF($I899="OS inexistente","OS inexistente",IF($E899="Peça não cadastrada","Peça não cadastrada","OK")))</f>
        <v>0</v>
      </c>
    </row>
    <row r="900" spans="1:10">
      <c r="A900" s="17"/>
      <c r="B900" s="13"/>
      <c r="C900" s="20"/>
      <c r="D900" s="19"/>
      <c r="E900" s="26">
        <f>IF($B900="","",IFERROR(INDEX(PecDesc,MATCH($B900,PecCod,0)),"Peça não cadastrada"))</f>
        <v>0</v>
      </c>
      <c r="F900" s="27">
        <f>IF($B900="","",IF($D900&lt;&gt;"",$D900,IFERROR(INDEX(PecPreco,MATCH($B900,PecCod,0)),0)))</f>
        <v>0</v>
      </c>
      <c r="G900" s="27">
        <f>IF(OR($B900="",$C900=""),"",$C900*$F900)</f>
        <v>0</v>
      </c>
      <c r="H900" s="27">
        <f>IF(OR($B900="",$C900=""),"",$C900*IFERROR(INDEX(PecCusto,MATCH($B900,PecCod,0)),0))</f>
        <v>0</v>
      </c>
      <c r="I900" s="32">
        <f>IF($A900="","",IFERROR(INDEX(OSStatus,MATCH($A900,OSNum,0)),"OS inexistente"))</f>
        <v>0</v>
      </c>
      <c r="J900" s="32">
        <f>IF($A900="","",IF($I900="OS inexistente","OS inexistente",IF($E900="Peça não cadastrada","Peça não cadastrada","OK")))</f>
        <v>0</v>
      </c>
    </row>
    <row r="901" spans="1:10">
      <c r="A901" s="17"/>
      <c r="B901" s="13"/>
      <c r="C901" s="20"/>
      <c r="D901" s="19"/>
      <c r="E901" s="26">
        <f>IF($B901="","",IFERROR(INDEX(PecDesc,MATCH($B901,PecCod,0)),"Peça não cadastrada"))</f>
        <v>0</v>
      </c>
      <c r="F901" s="27">
        <f>IF($B901="","",IF($D901&lt;&gt;"",$D901,IFERROR(INDEX(PecPreco,MATCH($B901,PecCod,0)),0)))</f>
        <v>0</v>
      </c>
      <c r="G901" s="27">
        <f>IF(OR($B901="",$C901=""),"",$C901*$F901)</f>
        <v>0</v>
      </c>
      <c r="H901" s="27">
        <f>IF(OR($B901="",$C901=""),"",$C901*IFERROR(INDEX(PecCusto,MATCH($B901,PecCod,0)),0))</f>
        <v>0</v>
      </c>
      <c r="I901" s="32">
        <f>IF($A901="","",IFERROR(INDEX(OSStatus,MATCH($A901,OSNum,0)),"OS inexistente"))</f>
        <v>0</v>
      </c>
      <c r="J901" s="32">
        <f>IF($A901="","",IF($I901="OS inexistente","OS inexistente",IF($E901="Peça não cadastrada","Peça não cadastrada","OK")))</f>
        <v>0</v>
      </c>
    </row>
    <row r="902" spans="1:10">
      <c r="A902" s="17"/>
      <c r="B902" s="13"/>
      <c r="C902" s="20"/>
      <c r="D902" s="19"/>
      <c r="E902" s="26">
        <f>IF($B902="","",IFERROR(INDEX(PecDesc,MATCH($B902,PecCod,0)),"Peça não cadastrada"))</f>
        <v>0</v>
      </c>
      <c r="F902" s="27">
        <f>IF($B902="","",IF($D902&lt;&gt;"",$D902,IFERROR(INDEX(PecPreco,MATCH($B902,PecCod,0)),0)))</f>
        <v>0</v>
      </c>
      <c r="G902" s="27">
        <f>IF(OR($B902="",$C902=""),"",$C902*$F902)</f>
        <v>0</v>
      </c>
      <c r="H902" s="27">
        <f>IF(OR($B902="",$C902=""),"",$C902*IFERROR(INDEX(PecCusto,MATCH($B902,PecCod,0)),0))</f>
        <v>0</v>
      </c>
      <c r="I902" s="32">
        <f>IF($A902="","",IFERROR(INDEX(OSStatus,MATCH($A902,OSNum,0)),"OS inexistente"))</f>
        <v>0</v>
      </c>
      <c r="J902" s="32">
        <f>IF($A902="","",IF($I902="OS inexistente","OS inexistente",IF($E902="Peça não cadastrada","Peça não cadastrada","OK")))</f>
        <v>0</v>
      </c>
    </row>
    <row r="903" spans="1:10">
      <c r="A903" s="17"/>
      <c r="B903" s="13"/>
      <c r="C903" s="20"/>
      <c r="D903" s="19"/>
      <c r="E903" s="26">
        <f>IF($B903="","",IFERROR(INDEX(PecDesc,MATCH($B903,PecCod,0)),"Peça não cadastrada"))</f>
        <v>0</v>
      </c>
      <c r="F903" s="27">
        <f>IF($B903="","",IF($D903&lt;&gt;"",$D903,IFERROR(INDEX(PecPreco,MATCH($B903,PecCod,0)),0)))</f>
        <v>0</v>
      </c>
      <c r="G903" s="27">
        <f>IF(OR($B903="",$C903=""),"",$C903*$F903)</f>
        <v>0</v>
      </c>
      <c r="H903" s="27">
        <f>IF(OR($B903="",$C903=""),"",$C903*IFERROR(INDEX(PecCusto,MATCH($B903,PecCod,0)),0))</f>
        <v>0</v>
      </c>
      <c r="I903" s="32">
        <f>IF($A903="","",IFERROR(INDEX(OSStatus,MATCH($A903,OSNum,0)),"OS inexistente"))</f>
        <v>0</v>
      </c>
      <c r="J903" s="32">
        <f>IF($A903="","",IF($I903="OS inexistente","OS inexistente",IF($E903="Peça não cadastrada","Peça não cadastrada","OK")))</f>
        <v>0</v>
      </c>
    </row>
    <row r="904" spans="1:10">
      <c r="A904" s="17"/>
      <c r="B904" s="13"/>
      <c r="C904" s="20"/>
      <c r="D904" s="19"/>
      <c r="E904" s="26">
        <f>IF($B904="","",IFERROR(INDEX(PecDesc,MATCH($B904,PecCod,0)),"Peça não cadastrada"))</f>
        <v>0</v>
      </c>
      <c r="F904" s="27">
        <f>IF($B904="","",IF($D904&lt;&gt;"",$D904,IFERROR(INDEX(PecPreco,MATCH($B904,PecCod,0)),0)))</f>
        <v>0</v>
      </c>
      <c r="G904" s="27">
        <f>IF(OR($B904="",$C904=""),"",$C904*$F904)</f>
        <v>0</v>
      </c>
      <c r="H904" s="27">
        <f>IF(OR($B904="",$C904=""),"",$C904*IFERROR(INDEX(PecCusto,MATCH($B904,PecCod,0)),0))</f>
        <v>0</v>
      </c>
      <c r="I904" s="32">
        <f>IF($A904="","",IFERROR(INDEX(OSStatus,MATCH($A904,OSNum,0)),"OS inexistente"))</f>
        <v>0</v>
      </c>
      <c r="J904" s="32">
        <f>IF($A904="","",IF($I904="OS inexistente","OS inexistente",IF($E904="Peça não cadastrada","Peça não cadastrada","OK")))</f>
        <v>0</v>
      </c>
    </row>
    <row r="905" spans="1:10">
      <c r="A905" s="17"/>
      <c r="B905" s="13"/>
      <c r="C905" s="20"/>
      <c r="D905" s="19"/>
      <c r="E905" s="26">
        <f>IF($B905="","",IFERROR(INDEX(PecDesc,MATCH($B905,PecCod,0)),"Peça não cadastrada"))</f>
        <v>0</v>
      </c>
      <c r="F905" s="27">
        <f>IF($B905="","",IF($D905&lt;&gt;"",$D905,IFERROR(INDEX(PecPreco,MATCH($B905,PecCod,0)),0)))</f>
        <v>0</v>
      </c>
      <c r="G905" s="27">
        <f>IF(OR($B905="",$C905=""),"",$C905*$F905)</f>
        <v>0</v>
      </c>
      <c r="H905" s="27">
        <f>IF(OR($B905="",$C905=""),"",$C905*IFERROR(INDEX(PecCusto,MATCH($B905,PecCod,0)),0))</f>
        <v>0</v>
      </c>
      <c r="I905" s="32">
        <f>IF($A905="","",IFERROR(INDEX(OSStatus,MATCH($A905,OSNum,0)),"OS inexistente"))</f>
        <v>0</v>
      </c>
      <c r="J905" s="32">
        <f>IF($A905="","",IF($I905="OS inexistente","OS inexistente",IF($E905="Peça não cadastrada","Peça não cadastrada","OK")))</f>
        <v>0</v>
      </c>
    </row>
    <row r="906" spans="1:10">
      <c r="A906" s="17"/>
      <c r="B906" s="13"/>
      <c r="C906" s="20"/>
      <c r="D906" s="19"/>
      <c r="E906" s="26">
        <f>IF($B906="","",IFERROR(INDEX(PecDesc,MATCH($B906,PecCod,0)),"Peça não cadastrada"))</f>
        <v>0</v>
      </c>
      <c r="F906" s="27">
        <f>IF($B906="","",IF($D906&lt;&gt;"",$D906,IFERROR(INDEX(PecPreco,MATCH($B906,PecCod,0)),0)))</f>
        <v>0</v>
      </c>
      <c r="G906" s="27">
        <f>IF(OR($B906="",$C906=""),"",$C906*$F906)</f>
        <v>0</v>
      </c>
      <c r="H906" s="27">
        <f>IF(OR($B906="",$C906=""),"",$C906*IFERROR(INDEX(PecCusto,MATCH($B906,PecCod,0)),0))</f>
        <v>0</v>
      </c>
      <c r="I906" s="32">
        <f>IF($A906="","",IFERROR(INDEX(OSStatus,MATCH($A906,OSNum,0)),"OS inexistente"))</f>
        <v>0</v>
      </c>
      <c r="J906" s="32">
        <f>IF($A906="","",IF($I906="OS inexistente","OS inexistente",IF($E906="Peça não cadastrada","Peça não cadastrada","OK")))</f>
        <v>0</v>
      </c>
    </row>
    <row r="907" spans="1:10">
      <c r="A907" s="17"/>
      <c r="B907" s="13"/>
      <c r="C907" s="20"/>
      <c r="D907" s="19"/>
      <c r="E907" s="26">
        <f>IF($B907="","",IFERROR(INDEX(PecDesc,MATCH($B907,PecCod,0)),"Peça não cadastrada"))</f>
        <v>0</v>
      </c>
      <c r="F907" s="27">
        <f>IF($B907="","",IF($D907&lt;&gt;"",$D907,IFERROR(INDEX(PecPreco,MATCH($B907,PecCod,0)),0)))</f>
        <v>0</v>
      </c>
      <c r="G907" s="27">
        <f>IF(OR($B907="",$C907=""),"",$C907*$F907)</f>
        <v>0</v>
      </c>
      <c r="H907" s="27">
        <f>IF(OR($B907="",$C907=""),"",$C907*IFERROR(INDEX(PecCusto,MATCH($B907,PecCod,0)),0))</f>
        <v>0</v>
      </c>
      <c r="I907" s="32">
        <f>IF($A907="","",IFERROR(INDEX(OSStatus,MATCH($A907,OSNum,0)),"OS inexistente"))</f>
        <v>0</v>
      </c>
      <c r="J907" s="32">
        <f>IF($A907="","",IF($I907="OS inexistente","OS inexistente",IF($E907="Peça não cadastrada","Peça não cadastrada","OK")))</f>
        <v>0</v>
      </c>
    </row>
    <row r="908" spans="1:10">
      <c r="A908" s="17"/>
      <c r="B908" s="13"/>
      <c r="C908" s="20"/>
      <c r="D908" s="19"/>
      <c r="E908" s="26">
        <f>IF($B908="","",IFERROR(INDEX(PecDesc,MATCH($B908,PecCod,0)),"Peça não cadastrada"))</f>
        <v>0</v>
      </c>
      <c r="F908" s="27">
        <f>IF($B908="","",IF($D908&lt;&gt;"",$D908,IFERROR(INDEX(PecPreco,MATCH($B908,PecCod,0)),0)))</f>
        <v>0</v>
      </c>
      <c r="G908" s="27">
        <f>IF(OR($B908="",$C908=""),"",$C908*$F908)</f>
        <v>0</v>
      </c>
      <c r="H908" s="27">
        <f>IF(OR($B908="",$C908=""),"",$C908*IFERROR(INDEX(PecCusto,MATCH($B908,PecCod,0)),0))</f>
        <v>0</v>
      </c>
      <c r="I908" s="32">
        <f>IF($A908="","",IFERROR(INDEX(OSStatus,MATCH($A908,OSNum,0)),"OS inexistente"))</f>
        <v>0</v>
      </c>
      <c r="J908" s="32">
        <f>IF($A908="","",IF($I908="OS inexistente","OS inexistente",IF($E908="Peça não cadastrada","Peça não cadastrada","OK")))</f>
        <v>0</v>
      </c>
    </row>
    <row r="909" spans="1:10">
      <c r="A909" s="17"/>
      <c r="B909" s="13"/>
      <c r="C909" s="20"/>
      <c r="D909" s="19"/>
      <c r="E909" s="26">
        <f>IF($B909="","",IFERROR(INDEX(PecDesc,MATCH($B909,PecCod,0)),"Peça não cadastrada"))</f>
        <v>0</v>
      </c>
      <c r="F909" s="27">
        <f>IF($B909="","",IF($D909&lt;&gt;"",$D909,IFERROR(INDEX(PecPreco,MATCH($B909,PecCod,0)),0)))</f>
        <v>0</v>
      </c>
      <c r="G909" s="27">
        <f>IF(OR($B909="",$C909=""),"",$C909*$F909)</f>
        <v>0</v>
      </c>
      <c r="H909" s="27">
        <f>IF(OR($B909="",$C909=""),"",$C909*IFERROR(INDEX(PecCusto,MATCH($B909,PecCod,0)),0))</f>
        <v>0</v>
      </c>
      <c r="I909" s="32">
        <f>IF($A909="","",IFERROR(INDEX(OSStatus,MATCH($A909,OSNum,0)),"OS inexistente"))</f>
        <v>0</v>
      </c>
      <c r="J909" s="32">
        <f>IF($A909="","",IF($I909="OS inexistente","OS inexistente",IF($E909="Peça não cadastrada","Peça não cadastrada","OK")))</f>
        <v>0</v>
      </c>
    </row>
    <row r="910" spans="1:10">
      <c r="A910" s="17"/>
      <c r="B910" s="13"/>
      <c r="C910" s="20"/>
      <c r="D910" s="19"/>
      <c r="E910" s="26">
        <f>IF($B910="","",IFERROR(INDEX(PecDesc,MATCH($B910,PecCod,0)),"Peça não cadastrada"))</f>
        <v>0</v>
      </c>
      <c r="F910" s="27">
        <f>IF($B910="","",IF($D910&lt;&gt;"",$D910,IFERROR(INDEX(PecPreco,MATCH($B910,PecCod,0)),0)))</f>
        <v>0</v>
      </c>
      <c r="G910" s="27">
        <f>IF(OR($B910="",$C910=""),"",$C910*$F910)</f>
        <v>0</v>
      </c>
      <c r="H910" s="27">
        <f>IF(OR($B910="",$C910=""),"",$C910*IFERROR(INDEX(PecCusto,MATCH($B910,PecCod,0)),0))</f>
        <v>0</v>
      </c>
      <c r="I910" s="32">
        <f>IF($A910="","",IFERROR(INDEX(OSStatus,MATCH($A910,OSNum,0)),"OS inexistente"))</f>
        <v>0</v>
      </c>
      <c r="J910" s="32">
        <f>IF($A910="","",IF($I910="OS inexistente","OS inexistente",IF($E910="Peça não cadastrada","Peça não cadastrada","OK")))</f>
        <v>0</v>
      </c>
    </row>
    <row r="911" spans="1:10">
      <c r="A911" s="17"/>
      <c r="B911" s="13"/>
      <c r="C911" s="20"/>
      <c r="D911" s="19"/>
      <c r="E911" s="26">
        <f>IF($B911="","",IFERROR(INDEX(PecDesc,MATCH($B911,PecCod,0)),"Peça não cadastrada"))</f>
        <v>0</v>
      </c>
      <c r="F911" s="27">
        <f>IF($B911="","",IF($D911&lt;&gt;"",$D911,IFERROR(INDEX(PecPreco,MATCH($B911,PecCod,0)),0)))</f>
        <v>0</v>
      </c>
      <c r="G911" s="27">
        <f>IF(OR($B911="",$C911=""),"",$C911*$F911)</f>
        <v>0</v>
      </c>
      <c r="H911" s="27">
        <f>IF(OR($B911="",$C911=""),"",$C911*IFERROR(INDEX(PecCusto,MATCH($B911,PecCod,0)),0))</f>
        <v>0</v>
      </c>
      <c r="I911" s="32">
        <f>IF($A911="","",IFERROR(INDEX(OSStatus,MATCH($A911,OSNum,0)),"OS inexistente"))</f>
        <v>0</v>
      </c>
      <c r="J911" s="32">
        <f>IF($A911="","",IF($I911="OS inexistente","OS inexistente",IF($E911="Peça não cadastrada","Peça não cadastrada","OK")))</f>
        <v>0</v>
      </c>
    </row>
    <row r="912" spans="1:10">
      <c r="A912" s="17"/>
      <c r="B912" s="13"/>
      <c r="C912" s="20"/>
      <c r="D912" s="19"/>
      <c r="E912" s="26">
        <f>IF($B912="","",IFERROR(INDEX(PecDesc,MATCH($B912,PecCod,0)),"Peça não cadastrada"))</f>
        <v>0</v>
      </c>
      <c r="F912" s="27">
        <f>IF($B912="","",IF($D912&lt;&gt;"",$D912,IFERROR(INDEX(PecPreco,MATCH($B912,PecCod,0)),0)))</f>
        <v>0</v>
      </c>
      <c r="G912" s="27">
        <f>IF(OR($B912="",$C912=""),"",$C912*$F912)</f>
        <v>0</v>
      </c>
      <c r="H912" s="27">
        <f>IF(OR($B912="",$C912=""),"",$C912*IFERROR(INDEX(PecCusto,MATCH($B912,PecCod,0)),0))</f>
        <v>0</v>
      </c>
      <c r="I912" s="32">
        <f>IF($A912="","",IFERROR(INDEX(OSStatus,MATCH($A912,OSNum,0)),"OS inexistente"))</f>
        <v>0</v>
      </c>
      <c r="J912" s="32">
        <f>IF($A912="","",IF($I912="OS inexistente","OS inexistente",IF($E912="Peça não cadastrada","Peça não cadastrada","OK")))</f>
        <v>0</v>
      </c>
    </row>
    <row r="913" spans="1:10">
      <c r="A913" s="17"/>
      <c r="B913" s="13"/>
      <c r="C913" s="20"/>
      <c r="D913" s="19"/>
      <c r="E913" s="26">
        <f>IF($B913="","",IFERROR(INDEX(PecDesc,MATCH($B913,PecCod,0)),"Peça não cadastrada"))</f>
        <v>0</v>
      </c>
      <c r="F913" s="27">
        <f>IF($B913="","",IF($D913&lt;&gt;"",$D913,IFERROR(INDEX(PecPreco,MATCH($B913,PecCod,0)),0)))</f>
        <v>0</v>
      </c>
      <c r="G913" s="27">
        <f>IF(OR($B913="",$C913=""),"",$C913*$F913)</f>
        <v>0</v>
      </c>
      <c r="H913" s="27">
        <f>IF(OR($B913="",$C913=""),"",$C913*IFERROR(INDEX(PecCusto,MATCH($B913,PecCod,0)),0))</f>
        <v>0</v>
      </c>
      <c r="I913" s="32">
        <f>IF($A913="","",IFERROR(INDEX(OSStatus,MATCH($A913,OSNum,0)),"OS inexistente"))</f>
        <v>0</v>
      </c>
      <c r="J913" s="32">
        <f>IF($A913="","",IF($I913="OS inexistente","OS inexistente",IF($E913="Peça não cadastrada","Peça não cadastrada","OK")))</f>
        <v>0</v>
      </c>
    </row>
    <row r="914" spans="1:10">
      <c r="A914" s="17"/>
      <c r="B914" s="13"/>
      <c r="C914" s="20"/>
      <c r="D914" s="19"/>
      <c r="E914" s="26">
        <f>IF($B914="","",IFERROR(INDEX(PecDesc,MATCH($B914,PecCod,0)),"Peça não cadastrada"))</f>
        <v>0</v>
      </c>
      <c r="F914" s="27">
        <f>IF($B914="","",IF($D914&lt;&gt;"",$D914,IFERROR(INDEX(PecPreco,MATCH($B914,PecCod,0)),0)))</f>
        <v>0</v>
      </c>
      <c r="G914" s="27">
        <f>IF(OR($B914="",$C914=""),"",$C914*$F914)</f>
        <v>0</v>
      </c>
      <c r="H914" s="27">
        <f>IF(OR($B914="",$C914=""),"",$C914*IFERROR(INDEX(PecCusto,MATCH($B914,PecCod,0)),0))</f>
        <v>0</v>
      </c>
      <c r="I914" s="32">
        <f>IF($A914="","",IFERROR(INDEX(OSStatus,MATCH($A914,OSNum,0)),"OS inexistente"))</f>
        <v>0</v>
      </c>
      <c r="J914" s="32">
        <f>IF($A914="","",IF($I914="OS inexistente","OS inexistente",IF($E914="Peça não cadastrada","Peça não cadastrada","OK")))</f>
        <v>0</v>
      </c>
    </row>
    <row r="915" spans="1:10">
      <c r="A915" s="17"/>
      <c r="B915" s="13"/>
      <c r="C915" s="20"/>
      <c r="D915" s="19"/>
      <c r="E915" s="26">
        <f>IF($B915="","",IFERROR(INDEX(PecDesc,MATCH($B915,PecCod,0)),"Peça não cadastrada"))</f>
        <v>0</v>
      </c>
      <c r="F915" s="27">
        <f>IF($B915="","",IF($D915&lt;&gt;"",$D915,IFERROR(INDEX(PecPreco,MATCH($B915,PecCod,0)),0)))</f>
        <v>0</v>
      </c>
      <c r="G915" s="27">
        <f>IF(OR($B915="",$C915=""),"",$C915*$F915)</f>
        <v>0</v>
      </c>
      <c r="H915" s="27">
        <f>IF(OR($B915="",$C915=""),"",$C915*IFERROR(INDEX(PecCusto,MATCH($B915,PecCod,0)),0))</f>
        <v>0</v>
      </c>
      <c r="I915" s="32">
        <f>IF($A915="","",IFERROR(INDEX(OSStatus,MATCH($A915,OSNum,0)),"OS inexistente"))</f>
        <v>0</v>
      </c>
      <c r="J915" s="32">
        <f>IF($A915="","",IF($I915="OS inexistente","OS inexistente",IF($E915="Peça não cadastrada","Peça não cadastrada","OK")))</f>
        <v>0</v>
      </c>
    </row>
    <row r="916" spans="1:10">
      <c r="A916" s="17"/>
      <c r="B916" s="13"/>
      <c r="C916" s="20"/>
      <c r="D916" s="19"/>
      <c r="E916" s="26">
        <f>IF($B916="","",IFERROR(INDEX(PecDesc,MATCH($B916,PecCod,0)),"Peça não cadastrada"))</f>
        <v>0</v>
      </c>
      <c r="F916" s="27">
        <f>IF($B916="","",IF($D916&lt;&gt;"",$D916,IFERROR(INDEX(PecPreco,MATCH($B916,PecCod,0)),0)))</f>
        <v>0</v>
      </c>
      <c r="G916" s="27">
        <f>IF(OR($B916="",$C916=""),"",$C916*$F916)</f>
        <v>0</v>
      </c>
      <c r="H916" s="27">
        <f>IF(OR($B916="",$C916=""),"",$C916*IFERROR(INDEX(PecCusto,MATCH($B916,PecCod,0)),0))</f>
        <v>0</v>
      </c>
      <c r="I916" s="32">
        <f>IF($A916="","",IFERROR(INDEX(OSStatus,MATCH($A916,OSNum,0)),"OS inexistente"))</f>
        <v>0</v>
      </c>
      <c r="J916" s="32">
        <f>IF($A916="","",IF($I916="OS inexistente","OS inexistente",IF($E916="Peça não cadastrada","Peça não cadastrada","OK")))</f>
        <v>0</v>
      </c>
    </row>
    <row r="917" spans="1:10">
      <c r="A917" s="17"/>
      <c r="B917" s="13"/>
      <c r="C917" s="20"/>
      <c r="D917" s="19"/>
      <c r="E917" s="26">
        <f>IF($B917="","",IFERROR(INDEX(PecDesc,MATCH($B917,PecCod,0)),"Peça não cadastrada"))</f>
        <v>0</v>
      </c>
      <c r="F917" s="27">
        <f>IF($B917="","",IF($D917&lt;&gt;"",$D917,IFERROR(INDEX(PecPreco,MATCH($B917,PecCod,0)),0)))</f>
        <v>0</v>
      </c>
      <c r="G917" s="27">
        <f>IF(OR($B917="",$C917=""),"",$C917*$F917)</f>
        <v>0</v>
      </c>
      <c r="H917" s="27">
        <f>IF(OR($B917="",$C917=""),"",$C917*IFERROR(INDEX(PecCusto,MATCH($B917,PecCod,0)),0))</f>
        <v>0</v>
      </c>
      <c r="I917" s="32">
        <f>IF($A917="","",IFERROR(INDEX(OSStatus,MATCH($A917,OSNum,0)),"OS inexistente"))</f>
        <v>0</v>
      </c>
      <c r="J917" s="32">
        <f>IF($A917="","",IF($I917="OS inexistente","OS inexistente",IF($E917="Peça não cadastrada","Peça não cadastrada","OK")))</f>
        <v>0</v>
      </c>
    </row>
    <row r="918" spans="1:10">
      <c r="A918" s="17"/>
      <c r="B918" s="13"/>
      <c r="C918" s="20"/>
      <c r="D918" s="19"/>
      <c r="E918" s="26">
        <f>IF($B918="","",IFERROR(INDEX(PecDesc,MATCH($B918,PecCod,0)),"Peça não cadastrada"))</f>
        <v>0</v>
      </c>
      <c r="F918" s="27">
        <f>IF($B918="","",IF($D918&lt;&gt;"",$D918,IFERROR(INDEX(PecPreco,MATCH($B918,PecCod,0)),0)))</f>
        <v>0</v>
      </c>
      <c r="G918" s="27">
        <f>IF(OR($B918="",$C918=""),"",$C918*$F918)</f>
        <v>0</v>
      </c>
      <c r="H918" s="27">
        <f>IF(OR($B918="",$C918=""),"",$C918*IFERROR(INDEX(PecCusto,MATCH($B918,PecCod,0)),0))</f>
        <v>0</v>
      </c>
      <c r="I918" s="32">
        <f>IF($A918="","",IFERROR(INDEX(OSStatus,MATCH($A918,OSNum,0)),"OS inexistente"))</f>
        <v>0</v>
      </c>
      <c r="J918" s="32">
        <f>IF($A918="","",IF($I918="OS inexistente","OS inexistente",IF($E918="Peça não cadastrada","Peça não cadastrada","OK")))</f>
        <v>0</v>
      </c>
    </row>
    <row r="919" spans="1:10">
      <c r="A919" s="17"/>
      <c r="B919" s="13"/>
      <c r="C919" s="20"/>
      <c r="D919" s="19"/>
      <c r="E919" s="26">
        <f>IF($B919="","",IFERROR(INDEX(PecDesc,MATCH($B919,PecCod,0)),"Peça não cadastrada"))</f>
        <v>0</v>
      </c>
      <c r="F919" s="27">
        <f>IF($B919="","",IF($D919&lt;&gt;"",$D919,IFERROR(INDEX(PecPreco,MATCH($B919,PecCod,0)),0)))</f>
        <v>0</v>
      </c>
      <c r="G919" s="27">
        <f>IF(OR($B919="",$C919=""),"",$C919*$F919)</f>
        <v>0</v>
      </c>
      <c r="H919" s="27">
        <f>IF(OR($B919="",$C919=""),"",$C919*IFERROR(INDEX(PecCusto,MATCH($B919,PecCod,0)),0))</f>
        <v>0</v>
      </c>
      <c r="I919" s="32">
        <f>IF($A919="","",IFERROR(INDEX(OSStatus,MATCH($A919,OSNum,0)),"OS inexistente"))</f>
        <v>0</v>
      </c>
      <c r="J919" s="32">
        <f>IF($A919="","",IF($I919="OS inexistente","OS inexistente",IF($E919="Peça não cadastrada","Peça não cadastrada","OK")))</f>
        <v>0</v>
      </c>
    </row>
    <row r="920" spans="1:10">
      <c r="A920" s="17"/>
      <c r="B920" s="13"/>
      <c r="C920" s="20"/>
      <c r="D920" s="19"/>
      <c r="E920" s="26">
        <f>IF($B920="","",IFERROR(INDEX(PecDesc,MATCH($B920,PecCod,0)),"Peça não cadastrada"))</f>
        <v>0</v>
      </c>
      <c r="F920" s="27">
        <f>IF($B920="","",IF($D920&lt;&gt;"",$D920,IFERROR(INDEX(PecPreco,MATCH($B920,PecCod,0)),0)))</f>
        <v>0</v>
      </c>
      <c r="G920" s="27">
        <f>IF(OR($B920="",$C920=""),"",$C920*$F920)</f>
        <v>0</v>
      </c>
      <c r="H920" s="27">
        <f>IF(OR($B920="",$C920=""),"",$C920*IFERROR(INDEX(PecCusto,MATCH($B920,PecCod,0)),0))</f>
        <v>0</v>
      </c>
      <c r="I920" s="32">
        <f>IF($A920="","",IFERROR(INDEX(OSStatus,MATCH($A920,OSNum,0)),"OS inexistente"))</f>
        <v>0</v>
      </c>
      <c r="J920" s="32">
        <f>IF($A920="","",IF($I920="OS inexistente","OS inexistente",IF($E920="Peça não cadastrada","Peça não cadastrada","OK")))</f>
        <v>0</v>
      </c>
    </row>
    <row r="921" spans="1:10">
      <c r="A921" s="17"/>
      <c r="B921" s="13"/>
      <c r="C921" s="20"/>
      <c r="D921" s="19"/>
      <c r="E921" s="26">
        <f>IF($B921="","",IFERROR(INDEX(PecDesc,MATCH($B921,PecCod,0)),"Peça não cadastrada"))</f>
        <v>0</v>
      </c>
      <c r="F921" s="27">
        <f>IF($B921="","",IF($D921&lt;&gt;"",$D921,IFERROR(INDEX(PecPreco,MATCH($B921,PecCod,0)),0)))</f>
        <v>0</v>
      </c>
      <c r="G921" s="27">
        <f>IF(OR($B921="",$C921=""),"",$C921*$F921)</f>
        <v>0</v>
      </c>
      <c r="H921" s="27">
        <f>IF(OR($B921="",$C921=""),"",$C921*IFERROR(INDEX(PecCusto,MATCH($B921,PecCod,0)),0))</f>
        <v>0</v>
      </c>
      <c r="I921" s="32">
        <f>IF($A921="","",IFERROR(INDEX(OSStatus,MATCH($A921,OSNum,0)),"OS inexistente"))</f>
        <v>0</v>
      </c>
      <c r="J921" s="32">
        <f>IF($A921="","",IF($I921="OS inexistente","OS inexistente",IF($E921="Peça não cadastrada","Peça não cadastrada","OK")))</f>
        <v>0</v>
      </c>
    </row>
    <row r="922" spans="1:10">
      <c r="A922" s="17"/>
      <c r="B922" s="13"/>
      <c r="C922" s="20"/>
      <c r="D922" s="19"/>
      <c r="E922" s="26">
        <f>IF($B922="","",IFERROR(INDEX(PecDesc,MATCH($B922,PecCod,0)),"Peça não cadastrada"))</f>
        <v>0</v>
      </c>
      <c r="F922" s="27">
        <f>IF($B922="","",IF($D922&lt;&gt;"",$D922,IFERROR(INDEX(PecPreco,MATCH($B922,PecCod,0)),0)))</f>
        <v>0</v>
      </c>
      <c r="G922" s="27">
        <f>IF(OR($B922="",$C922=""),"",$C922*$F922)</f>
        <v>0</v>
      </c>
      <c r="H922" s="27">
        <f>IF(OR($B922="",$C922=""),"",$C922*IFERROR(INDEX(PecCusto,MATCH($B922,PecCod,0)),0))</f>
        <v>0</v>
      </c>
      <c r="I922" s="32">
        <f>IF($A922="","",IFERROR(INDEX(OSStatus,MATCH($A922,OSNum,0)),"OS inexistente"))</f>
        <v>0</v>
      </c>
      <c r="J922" s="32">
        <f>IF($A922="","",IF($I922="OS inexistente","OS inexistente",IF($E922="Peça não cadastrada","Peça não cadastrada","OK")))</f>
        <v>0</v>
      </c>
    </row>
    <row r="923" spans="1:10">
      <c r="A923" s="17"/>
      <c r="B923" s="13"/>
      <c r="C923" s="20"/>
      <c r="D923" s="19"/>
      <c r="E923" s="26">
        <f>IF($B923="","",IFERROR(INDEX(PecDesc,MATCH($B923,PecCod,0)),"Peça não cadastrada"))</f>
        <v>0</v>
      </c>
      <c r="F923" s="27">
        <f>IF($B923="","",IF($D923&lt;&gt;"",$D923,IFERROR(INDEX(PecPreco,MATCH($B923,PecCod,0)),0)))</f>
        <v>0</v>
      </c>
      <c r="G923" s="27">
        <f>IF(OR($B923="",$C923=""),"",$C923*$F923)</f>
        <v>0</v>
      </c>
      <c r="H923" s="27">
        <f>IF(OR($B923="",$C923=""),"",$C923*IFERROR(INDEX(PecCusto,MATCH($B923,PecCod,0)),0))</f>
        <v>0</v>
      </c>
      <c r="I923" s="32">
        <f>IF($A923="","",IFERROR(INDEX(OSStatus,MATCH($A923,OSNum,0)),"OS inexistente"))</f>
        <v>0</v>
      </c>
      <c r="J923" s="32">
        <f>IF($A923="","",IF($I923="OS inexistente","OS inexistente",IF($E923="Peça não cadastrada","Peça não cadastrada","OK")))</f>
        <v>0</v>
      </c>
    </row>
    <row r="924" spans="1:10">
      <c r="A924" s="17"/>
      <c r="B924" s="13"/>
      <c r="C924" s="20"/>
      <c r="D924" s="19"/>
      <c r="E924" s="26">
        <f>IF($B924="","",IFERROR(INDEX(PecDesc,MATCH($B924,PecCod,0)),"Peça não cadastrada"))</f>
        <v>0</v>
      </c>
      <c r="F924" s="27">
        <f>IF($B924="","",IF($D924&lt;&gt;"",$D924,IFERROR(INDEX(PecPreco,MATCH($B924,PecCod,0)),0)))</f>
        <v>0</v>
      </c>
      <c r="G924" s="27">
        <f>IF(OR($B924="",$C924=""),"",$C924*$F924)</f>
        <v>0</v>
      </c>
      <c r="H924" s="27">
        <f>IF(OR($B924="",$C924=""),"",$C924*IFERROR(INDEX(PecCusto,MATCH($B924,PecCod,0)),0))</f>
        <v>0</v>
      </c>
      <c r="I924" s="32">
        <f>IF($A924="","",IFERROR(INDEX(OSStatus,MATCH($A924,OSNum,0)),"OS inexistente"))</f>
        <v>0</v>
      </c>
      <c r="J924" s="32">
        <f>IF($A924="","",IF($I924="OS inexistente","OS inexistente",IF($E924="Peça não cadastrada","Peça não cadastrada","OK")))</f>
        <v>0</v>
      </c>
    </row>
    <row r="925" spans="1:10">
      <c r="A925" s="17"/>
      <c r="B925" s="13"/>
      <c r="C925" s="20"/>
      <c r="D925" s="19"/>
      <c r="E925" s="26">
        <f>IF($B925="","",IFERROR(INDEX(PecDesc,MATCH($B925,PecCod,0)),"Peça não cadastrada"))</f>
        <v>0</v>
      </c>
      <c r="F925" s="27">
        <f>IF($B925="","",IF($D925&lt;&gt;"",$D925,IFERROR(INDEX(PecPreco,MATCH($B925,PecCod,0)),0)))</f>
        <v>0</v>
      </c>
      <c r="G925" s="27">
        <f>IF(OR($B925="",$C925=""),"",$C925*$F925)</f>
        <v>0</v>
      </c>
      <c r="H925" s="27">
        <f>IF(OR($B925="",$C925=""),"",$C925*IFERROR(INDEX(PecCusto,MATCH($B925,PecCod,0)),0))</f>
        <v>0</v>
      </c>
      <c r="I925" s="32">
        <f>IF($A925="","",IFERROR(INDEX(OSStatus,MATCH($A925,OSNum,0)),"OS inexistente"))</f>
        <v>0</v>
      </c>
      <c r="J925" s="32">
        <f>IF($A925="","",IF($I925="OS inexistente","OS inexistente",IF($E925="Peça não cadastrada","Peça não cadastrada","OK")))</f>
        <v>0</v>
      </c>
    </row>
    <row r="926" spans="1:10">
      <c r="A926" s="17"/>
      <c r="B926" s="13"/>
      <c r="C926" s="20"/>
      <c r="D926" s="19"/>
      <c r="E926" s="26">
        <f>IF($B926="","",IFERROR(INDEX(PecDesc,MATCH($B926,PecCod,0)),"Peça não cadastrada"))</f>
        <v>0</v>
      </c>
      <c r="F926" s="27">
        <f>IF($B926="","",IF($D926&lt;&gt;"",$D926,IFERROR(INDEX(PecPreco,MATCH($B926,PecCod,0)),0)))</f>
        <v>0</v>
      </c>
      <c r="G926" s="27">
        <f>IF(OR($B926="",$C926=""),"",$C926*$F926)</f>
        <v>0</v>
      </c>
      <c r="H926" s="27">
        <f>IF(OR($B926="",$C926=""),"",$C926*IFERROR(INDEX(PecCusto,MATCH($B926,PecCod,0)),0))</f>
        <v>0</v>
      </c>
      <c r="I926" s="32">
        <f>IF($A926="","",IFERROR(INDEX(OSStatus,MATCH($A926,OSNum,0)),"OS inexistente"))</f>
        <v>0</v>
      </c>
      <c r="J926" s="32">
        <f>IF($A926="","",IF($I926="OS inexistente","OS inexistente",IF($E926="Peça não cadastrada","Peça não cadastrada","OK")))</f>
        <v>0</v>
      </c>
    </row>
    <row r="927" spans="1:10">
      <c r="A927" s="17"/>
      <c r="B927" s="13"/>
      <c r="C927" s="20"/>
      <c r="D927" s="19"/>
      <c r="E927" s="26">
        <f>IF($B927="","",IFERROR(INDEX(PecDesc,MATCH($B927,PecCod,0)),"Peça não cadastrada"))</f>
        <v>0</v>
      </c>
      <c r="F927" s="27">
        <f>IF($B927="","",IF($D927&lt;&gt;"",$D927,IFERROR(INDEX(PecPreco,MATCH($B927,PecCod,0)),0)))</f>
        <v>0</v>
      </c>
      <c r="G927" s="27">
        <f>IF(OR($B927="",$C927=""),"",$C927*$F927)</f>
        <v>0</v>
      </c>
      <c r="H927" s="27">
        <f>IF(OR($B927="",$C927=""),"",$C927*IFERROR(INDEX(PecCusto,MATCH($B927,PecCod,0)),0))</f>
        <v>0</v>
      </c>
      <c r="I927" s="32">
        <f>IF($A927="","",IFERROR(INDEX(OSStatus,MATCH($A927,OSNum,0)),"OS inexistente"))</f>
        <v>0</v>
      </c>
      <c r="J927" s="32">
        <f>IF($A927="","",IF($I927="OS inexistente","OS inexistente",IF($E927="Peça não cadastrada","Peça não cadastrada","OK")))</f>
        <v>0</v>
      </c>
    </row>
    <row r="928" spans="1:10">
      <c r="A928" s="17"/>
      <c r="B928" s="13"/>
      <c r="C928" s="20"/>
      <c r="D928" s="19"/>
      <c r="E928" s="26">
        <f>IF($B928="","",IFERROR(INDEX(PecDesc,MATCH($B928,PecCod,0)),"Peça não cadastrada"))</f>
        <v>0</v>
      </c>
      <c r="F928" s="27">
        <f>IF($B928="","",IF($D928&lt;&gt;"",$D928,IFERROR(INDEX(PecPreco,MATCH($B928,PecCod,0)),0)))</f>
        <v>0</v>
      </c>
      <c r="G928" s="27">
        <f>IF(OR($B928="",$C928=""),"",$C928*$F928)</f>
        <v>0</v>
      </c>
      <c r="H928" s="27">
        <f>IF(OR($B928="",$C928=""),"",$C928*IFERROR(INDEX(PecCusto,MATCH($B928,PecCod,0)),0))</f>
        <v>0</v>
      </c>
      <c r="I928" s="32">
        <f>IF($A928="","",IFERROR(INDEX(OSStatus,MATCH($A928,OSNum,0)),"OS inexistente"))</f>
        <v>0</v>
      </c>
      <c r="J928" s="32">
        <f>IF($A928="","",IF($I928="OS inexistente","OS inexistente",IF($E928="Peça não cadastrada","Peça não cadastrada","OK")))</f>
        <v>0</v>
      </c>
    </row>
    <row r="929" spans="1:10">
      <c r="A929" s="17"/>
      <c r="B929" s="13"/>
      <c r="C929" s="20"/>
      <c r="D929" s="19"/>
      <c r="E929" s="26">
        <f>IF($B929="","",IFERROR(INDEX(PecDesc,MATCH($B929,PecCod,0)),"Peça não cadastrada"))</f>
        <v>0</v>
      </c>
      <c r="F929" s="27">
        <f>IF($B929="","",IF($D929&lt;&gt;"",$D929,IFERROR(INDEX(PecPreco,MATCH($B929,PecCod,0)),0)))</f>
        <v>0</v>
      </c>
      <c r="G929" s="27">
        <f>IF(OR($B929="",$C929=""),"",$C929*$F929)</f>
        <v>0</v>
      </c>
      <c r="H929" s="27">
        <f>IF(OR($B929="",$C929=""),"",$C929*IFERROR(INDEX(PecCusto,MATCH($B929,PecCod,0)),0))</f>
        <v>0</v>
      </c>
      <c r="I929" s="32">
        <f>IF($A929="","",IFERROR(INDEX(OSStatus,MATCH($A929,OSNum,0)),"OS inexistente"))</f>
        <v>0</v>
      </c>
      <c r="J929" s="32">
        <f>IF($A929="","",IF($I929="OS inexistente","OS inexistente",IF($E929="Peça não cadastrada","Peça não cadastrada","OK")))</f>
        <v>0</v>
      </c>
    </row>
    <row r="930" spans="1:10">
      <c r="A930" s="17"/>
      <c r="B930" s="13"/>
      <c r="C930" s="20"/>
      <c r="D930" s="19"/>
      <c r="E930" s="26">
        <f>IF($B930="","",IFERROR(INDEX(PecDesc,MATCH($B930,PecCod,0)),"Peça não cadastrada"))</f>
        <v>0</v>
      </c>
      <c r="F930" s="27">
        <f>IF($B930="","",IF($D930&lt;&gt;"",$D930,IFERROR(INDEX(PecPreco,MATCH($B930,PecCod,0)),0)))</f>
        <v>0</v>
      </c>
      <c r="G930" s="27">
        <f>IF(OR($B930="",$C930=""),"",$C930*$F930)</f>
        <v>0</v>
      </c>
      <c r="H930" s="27">
        <f>IF(OR($B930="",$C930=""),"",$C930*IFERROR(INDEX(PecCusto,MATCH($B930,PecCod,0)),0))</f>
        <v>0</v>
      </c>
      <c r="I930" s="32">
        <f>IF($A930="","",IFERROR(INDEX(OSStatus,MATCH($A930,OSNum,0)),"OS inexistente"))</f>
        <v>0</v>
      </c>
      <c r="J930" s="32">
        <f>IF($A930="","",IF($I930="OS inexistente","OS inexistente",IF($E930="Peça não cadastrada","Peça não cadastrada","OK")))</f>
        <v>0</v>
      </c>
    </row>
    <row r="931" spans="1:10">
      <c r="A931" s="17"/>
      <c r="B931" s="13"/>
      <c r="C931" s="20"/>
      <c r="D931" s="19"/>
      <c r="E931" s="26">
        <f>IF($B931="","",IFERROR(INDEX(PecDesc,MATCH($B931,PecCod,0)),"Peça não cadastrada"))</f>
        <v>0</v>
      </c>
      <c r="F931" s="27">
        <f>IF($B931="","",IF($D931&lt;&gt;"",$D931,IFERROR(INDEX(PecPreco,MATCH($B931,PecCod,0)),0)))</f>
        <v>0</v>
      </c>
      <c r="G931" s="27">
        <f>IF(OR($B931="",$C931=""),"",$C931*$F931)</f>
        <v>0</v>
      </c>
      <c r="H931" s="27">
        <f>IF(OR($B931="",$C931=""),"",$C931*IFERROR(INDEX(PecCusto,MATCH($B931,PecCod,0)),0))</f>
        <v>0</v>
      </c>
      <c r="I931" s="32">
        <f>IF($A931="","",IFERROR(INDEX(OSStatus,MATCH($A931,OSNum,0)),"OS inexistente"))</f>
        <v>0</v>
      </c>
      <c r="J931" s="32">
        <f>IF($A931="","",IF($I931="OS inexistente","OS inexistente",IF($E931="Peça não cadastrada","Peça não cadastrada","OK")))</f>
        <v>0</v>
      </c>
    </row>
    <row r="932" spans="1:10">
      <c r="A932" s="17"/>
      <c r="B932" s="13"/>
      <c r="C932" s="20"/>
      <c r="D932" s="19"/>
      <c r="E932" s="26">
        <f>IF($B932="","",IFERROR(INDEX(PecDesc,MATCH($B932,PecCod,0)),"Peça não cadastrada"))</f>
        <v>0</v>
      </c>
      <c r="F932" s="27">
        <f>IF($B932="","",IF($D932&lt;&gt;"",$D932,IFERROR(INDEX(PecPreco,MATCH($B932,PecCod,0)),0)))</f>
        <v>0</v>
      </c>
      <c r="G932" s="27">
        <f>IF(OR($B932="",$C932=""),"",$C932*$F932)</f>
        <v>0</v>
      </c>
      <c r="H932" s="27">
        <f>IF(OR($B932="",$C932=""),"",$C932*IFERROR(INDEX(PecCusto,MATCH($B932,PecCod,0)),0))</f>
        <v>0</v>
      </c>
      <c r="I932" s="32">
        <f>IF($A932="","",IFERROR(INDEX(OSStatus,MATCH($A932,OSNum,0)),"OS inexistente"))</f>
        <v>0</v>
      </c>
      <c r="J932" s="32">
        <f>IF($A932="","",IF($I932="OS inexistente","OS inexistente",IF($E932="Peça não cadastrada","Peça não cadastrada","OK")))</f>
        <v>0</v>
      </c>
    </row>
    <row r="933" spans="1:10">
      <c r="A933" s="17"/>
      <c r="B933" s="13"/>
      <c r="C933" s="20"/>
      <c r="D933" s="19"/>
      <c r="E933" s="26">
        <f>IF($B933="","",IFERROR(INDEX(PecDesc,MATCH($B933,PecCod,0)),"Peça não cadastrada"))</f>
        <v>0</v>
      </c>
      <c r="F933" s="27">
        <f>IF($B933="","",IF($D933&lt;&gt;"",$D933,IFERROR(INDEX(PecPreco,MATCH($B933,PecCod,0)),0)))</f>
        <v>0</v>
      </c>
      <c r="G933" s="27">
        <f>IF(OR($B933="",$C933=""),"",$C933*$F933)</f>
        <v>0</v>
      </c>
      <c r="H933" s="27">
        <f>IF(OR($B933="",$C933=""),"",$C933*IFERROR(INDEX(PecCusto,MATCH($B933,PecCod,0)),0))</f>
        <v>0</v>
      </c>
      <c r="I933" s="32">
        <f>IF($A933="","",IFERROR(INDEX(OSStatus,MATCH($A933,OSNum,0)),"OS inexistente"))</f>
        <v>0</v>
      </c>
      <c r="J933" s="32">
        <f>IF($A933="","",IF($I933="OS inexistente","OS inexistente",IF($E933="Peça não cadastrada","Peça não cadastrada","OK")))</f>
        <v>0</v>
      </c>
    </row>
    <row r="934" spans="1:10">
      <c r="A934" s="17"/>
      <c r="B934" s="13"/>
      <c r="C934" s="20"/>
      <c r="D934" s="19"/>
      <c r="E934" s="26">
        <f>IF($B934="","",IFERROR(INDEX(PecDesc,MATCH($B934,PecCod,0)),"Peça não cadastrada"))</f>
        <v>0</v>
      </c>
      <c r="F934" s="27">
        <f>IF($B934="","",IF($D934&lt;&gt;"",$D934,IFERROR(INDEX(PecPreco,MATCH($B934,PecCod,0)),0)))</f>
        <v>0</v>
      </c>
      <c r="G934" s="27">
        <f>IF(OR($B934="",$C934=""),"",$C934*$F934)</f>
        <v>0</v>
      </c>
      <c r="H934" s="27">
        <f>IF(OR($B934="",$C934=""),"",$C934*IFERROR(INDEX(PecCusto,MATCH($B934,PecCod,0)),0))</f>
        <v>0</v>
      </c>
      <c r="I934" s="32">
        <f>IF($A934="","",IFERROR(INDEX(OSStatus,MATCH($A934,OSNum,0)),"OS inexistente"))</f>
        <v>0</v>
      </c>
      <c r="J934" s="32">
        <f>IF($A934="","",IF($I934="OS inexistente","OS inexistente",IF($E934="Peça não cadastrada","Peça não cadastrada","OK")))</f>
        <v>0</v>
      </c>
    </row>
    <row r="935" spans="1:10">
      <c r="A935" s="17"/>
      <c r="B935" s="13"/>
      <c r="C935" s="20"/>
      <c r="D935" s="19"/>
      <c r="E935" s="26">
        <f>IF($B935="","",IFERROR(INDEX(PecDesc,MATCH($B935,PecCod,0)),"Peça não cadastrada"))</f>
        <v>0</v>
      </c>
      <c r="F935" s="27">
        <f>IF($B935="","",IF($D935&lt;&gt;"",$D935,IFERROR(INDEX(PecPreco,MATCH($B935,PecCod,0)),0)))</f>
        <v>0</v>
      </c>
      <c r="G935" s="27">
        <f>IF(OR($B935="",$C935=""),"",$C935*$F935)</f>
        <v>0</v>
      </c>
      <c r="H935" s="27">
        <f>IF(OR($B935="",$C935=""),"",$C935*IFERROR(INDEX(PecCusto,MATCH($B935,PecCod,0)),0))</f>
        <v>0</v>
      </c>
      <c r="I935" s="32">
        <f>IF($A935="","",IFERROR(INDEX(OSStatus,MATCH($A935,OSNum,0)),"OS inexistente"))</f>
        <v>0</v>
      </c>
      <c r="J935" s="32">
        <f>IF($A935="","",IF($I935="OS inexistente","OS inexistente",IF($E935="Peça não cadastrada","Peça não cadastrada","OK")))</f>
        <v>0</v>
      </c>
    </row>
    <row r="936" spans="1:10">
      <c r="A936" s="17"/>
      <c r="B936" s="13"/>
      <c r="C936" s="20"/>
      <c r="D936" s="19"/>
      <c r="E936" s="26">
        <f>IF($B936="","",IFERROR(INDEX(PecDesc,MATCH($B936,PecCod,0)),"Peça não cadastrada"))</f>
        <v>0</v>
      </c>
      <c r="F936" s="27">
        <f>IF($B936="","",IF($D936&lt;&gt;"",$D936,IFERROR(INDEX(PecPreco,MATCH($B936,PecCod,0)),0)))</f>
        <v>0</v>
      </c>
      <c r="G936" s="27">
        <f>IF(OR($B936="",$C936=""),"",$C936*$F936)</f>
        <v>0</v>
      </c>
      <c r="H936" s="27">
        <f>IF(OR($B936="",$C936=""),"",$C936*IFERROR(INDEX(PecCusto,MATCH($B936,PecCod,0)),0))</f>
        <v>0</v>
      </c>
      <c r="I936" s="32">
        <f>IF($A936="","",IFERROR(INDEX(OSStatus,MATCH($A936,OSNum,0)),"OS inexistente"))</f>
        <v>0</v>
      </c>
      <c r="J936" s="32">
        <f>IF($A936="","",IF($I936="OS inexistente","OS inexistente",IF($E936="Peça não cadastrada","Peça não cadastrada","OK")))</f>
        <v>0</v>
      </c>
    </row>
    <row r="937" spans="1:10">
      <c r="A937" s="17"/>
      <c r="B937" s="13"/>
      <c r="C937" s="20"/>
      <c r="D937" s="19"/>
      <c r="E937" s="26">
        <f>IF($B937="","",IFERROR(INDEX(PecDesc,MATCH($B937,PecCod,0)),"Peça não cadastrada"))</f>
        <v>0</v>
      </c>
      <c r="F937" s="27">
        <f>IF($B937="","",IF($D937&lt;&gt;"",$D937,IFERROR(INDEX(PecPreco,MATCH($B937,PecCod,0)),0)))</f>
        <v>0</v>
      </c>
      <c r="G937" s="27">
        <f>IF(OR($B937="",$C937=""),"",$C937*$F937)</f>
        <v>0</v>
      </c>
      <c r="H937" s="27">
        <f>IF(OR($B937="",$C937=""),"",$C937*IFERROR(INDEX(PecCusto,MATCH($B937,PecCod,0)),0))</f>
        <v>0</v>
      </c>
      <c r="I937" s="32">
        <f>IF($A937="","",IFERROR(INDEX(OSStatus,MATCH($A937,OSNum,0)),"OS inexistente"))</f>
        <v>0</v>
      </c>
      <c r="J937" s="32">
        <f>IF($A937="","",IF($I937="OS inexistente","OS inexistente",IF($E937="Peça não cadastrada","Peça não cadastrada","OK")))</f>
        <v>0</v>
      </c>
    </row>
    <row r="938" spans="1:10">
      <c r="A938" s="17"/>
      <c r="B938" s="13"/>
      <c r="C938" s="20"/>
      <c r="D938" s="19"/>
      <c r="E938" s="26">
        <f>IF($B938="","",IFERROR(INDEX(PecDesc,MATCH($B938,PecCod,0)),"Peça não cadastrada"))</f>
        <v>0</v>
      </c>
      <c r="F938" s="27">
        <f>IF($B938="","",IF($D938&lt;&gt;"",$D938,IFERROR(INDEX(PecPreco,MATCH($B938,PecCod,0)),0)))</f>
        <v>0</v>
      </c>
      <c r="G938" s="27">
        <f>IF(OR($B938="",$C938=""),"",$C938*$F938)</f>
        <v>0</v>
      </c>
      <c r="H938" s="27">
        <f>IF(OR($B938="",$C938=""),"",$C938*IFERROR(INDEX(PecCusto,MATCH($B938,PecCod,0)),0))</f>
        <v>0</v>
      </c>
      <c r="I938" s="32">
        <f>IF($A938="","",IFERROR(INDEX(OSStatus,MATCH($A938,OSNum,0)),"OS inexistente"))</f>
        <v>0</v>
      </c>
      <c r="J938" s="32">
        <f>IF($A938="","",IF($I938="OS inexistente","OS inexistente",IF($E938="Peça não cadastrada","Peça não cadastrada","OK")))</f>
        <v>0</v>
      </c>
    </row>
    <row r="939" spans="1:10">
      <c r="A939" s="17"/>
      <c r="B939" s="13"/>
      <c r="C939" s="20"/>
      <c r="D939" s="19"/>
      <c r="E939" s="26">
        <f>IF($B939="","",IFERROR(INDEX(PecDesc,MATCH($B939,PecCod,0)),"Peça não cadastrada"))</f>
        <v>0</v>
      </c>
      <c r="F939" s="27">
        <f>IF($B939="","",IF($D939&lt;&gt;"",$D939,IFERROR(INDEX(PecPreco,MATCH($B939,PecCod,0)),0)))</f>
        <v>0</v>
      </c>
      <c r="G939" s="27">
        <f>IF(OR($B939="",$C939=""),"",$C939*$F939)</f>
        <v>0</v>
      </c>
      <c r="H939" s="27">
        <f>IF(OR($B939="",$C939=""),"",$C939*IFERROR(INDEX(PecCusto,MATCH($B939,PecCod,0)),0))</f>
        <v>0</v>
      </c>
      <c r="I939" s="32">
        <f>IF($A939="","",IFERROR(INDEX(OSStatus,MATCH($A939,OSNum,0)),"OS inexistente"))</f>
        <v>0</v>
      </c>
      <c r="J939" s="32">
        <f>IF($A939="","",IF($I939="OS inexistente","OS inexistente",IF($E939="Peça não cadastrada","Peça não cadastrada","OK")))</f>
        <v>0</v>
      </c>
    </row>
    <row r="940" spans="1:10">
      <c r="A940" s="17"/>
      <c r="B940" s="13"/>
      <c r="C940" s="20"/>
      <c r="D940" s="19"/>
      <c r="E940" s="26">
        <f>IF($B940="","",IFERROR(INDEX(PecDesc,MATCH($B940,PecCod,0)),"Peça não cadastrada"))</f>
        <v>0</v>
      </c>
      <c r="F940" s="27">
        <f>IF($B940="","",IF($D940&lt;&gt;"",$D940,IFERROR(INDEX(PecPreco,MATCH($B940,PecCod,0)),0)))</f>
        <v>0</v>
      </c>
      <c r="G940" s="27">
        <f>IF(OR($B940="",$C940=""),"",$C940*$F940)</f>
        <v>0</v>
      </c>
      <c r="H940" s="27">
        <f>IF(OR($B940="",$C940=""),"",$C940*IFERROR(INDEX(PecCusto,MATCH($B940,PecCod,0)),0))</f>
        <v>0</v>
      </c>
      <c r="I940" s="32">
        <f>IF($A940="","",IFERROR(INDEX(OSStatus,MATCH($A940,OSNum,0)),"OS inexistente"))</f>
        <v>0</v>
      </c>
      <c r="J940" s="32">
        <f>IF($A940="","",IF($I940="OS inexistente","OS inexistente",IF($E940="Peça não cadastrada","Peça não cadastrada","OK")))</f>
        <v>0</v>
      </c>
    </row>
    <row r="941" spans="1:10">
      <c r="A941" s="17"/>
      <c r="B941" s="13"/>
      <c r="C941" s="20"/>
      <c r="D941" s="19"/>
      <c r="E941" s="26">
        <f>IF($B941="","",IFERROR(INDEX(PecDesc,MATCH($B941,PecCod,0)),"Peça não cadastrada"))</f>
        <v>0</v>
      </c>
      <c r="F941" s="27">
        <f>IF($B941="","",IF($D941&lt;&gt;"",$D941,IFERROR(INDEX(PecPreco,MATCH($B941,PecCod,0)),0)))</f>
        <v>0</v>
      </c>
      <c r="G941" s="27">
        <f>IF(OR($B941="",$C941=""),"",$C941*$F941)</f>
        <v>0</v>
      </c>
      <c r="H941" s="27">
        <f>IF(OR($B941="",$C941=""),"",$C941*IFERROR(INDEX(PecCusto,MATCH($B941,PecCod,0)),0))</f>
        <v>0</v>
      </c>
      <c r="I941" s="32">
        <f>IF($A941="","",IFERROR(INDEX(OSStatus,MATCH($A941,OSNum,0)),"OS inexistente"))</f>
        <v>0</v>
      </c>
      <c r="J941" s="32">
        <f>IF($A941="","",IF($I941="OS inexistente","OS inexistente",IF($E941="Peça não cadastrada","Peça não cadastrada","OK")))</f>
        <v>0</v>
      </c>
    </row>
    <row r="942" spans="1:10">
      <c r="A942" s="17"/>
      <c r="B942" s="13"/>
      <c r="C942" s="20"/>
      <c r="D942" s="19"/>
      <c r="E942" s="26">
        <f>IF($B942="","",IFERROR(INDEX(PecDesc,MATCH($B942,PecCod,0)),"Peça não cadastrada"))</f>
        <v>0</v>
      </c>
      <c r="F942" s="27">
        <f>IF($B942="","",IF($D942&lt;&gt;"",$D942,IFERROR(INDEX(PecPreco,MATCH($B942,PecCod,0)),0)))</f>
        <v>0</v>
      </c>
      <c r="G942" s="27">
        <f>IF(OR($B942="",$C942=""),"",$C942*$F942)</f>
        <v>0</v>
      </c>
      <c r="H942" s="27">
        <f>IF(OR($B942="",$C942=""),"",$C942*IFERROR(INDEX(PecCusto,MATCH($B942,PecCod,0)),0))</f>
        <v>0</v>
      </c>
      <c r="I942" s="32">
        <f>IF($A942="","",IFERROR(INDEX(OSStatus,MATCH($A942,OSNum,0)),"OS inexistente"))</f>
        <v>0</v>
      </c>
      <c r="J942" s="32">
        <f>IF($A942="","",IF($I942="OS inexistente","OS inexistente",IF($E942="Peça não cadastrada","Peça não cadastrada","OK")))</f>
        <v>0</v>
      </c>
    </row>
    <row r="943" spans="1:10">
      <c r="A943" s="17"/>
      <c r="B943" s="13"/>
      <c r="C943" s="20"/>
      <c r="D943" s="19"/>
      <c r="E943" s="26">
        <f>IF($B943="","",IFERROR(INDEX(PecDesc,MATCH($B943,PecCod,0)),"Peça não cadastrada"))</f>
        <v>0</v>
      </c>
      <c r="F943" s="27">
        <f>IF($B943="","",IF($D943&lt;&gt;"",$D943,IFERROR(INDEX(PecPreco,MATCH($B943,PecCod,0)),0)))</f>
        <v>0</v>
      </c>
      <c r="G943" s="27">
        <f>IF(OR($B943="",$C943=""),"",$C943*$F943)</f>
        <v>0</v>
      </c>
      <c r="H943" s="27">
        <f>IF(OR($B943="",$C943=""),"",$C943*IFERROR(INDEX(PecCusto,MATCH($B943,PecCod,0)),0))</f>
        <v>0</v>
      </c>
      <c r="I943" s="32">
        <f>IF($A943="","",IFERROR(INDEX(OSStatus,MATCH($A943,OSNum,0)),"OS inexistente"))</f>
        <v>0</v>
      </c>
      <c r="J943" s="32">
        <f>IF($A943="","",IF($I943="OS inexistente","OS inexistente",IF($E943="Peça não cadastrada","Peça não cadastrada","OK")))</f>
        <v>0</v>
      </c>
    </row>
    <row r="944" spans="1:10">
      <c r="A944" s="17"/>
      <c r="B944" s="13"/>
      <c r="C944" s="20"/>
      <c r="D944" s="19"/>
      <c r="E944" s="26">
        <f>IF($B944="","",IFERROR(INDEX(PecDesc,MATCH($B944,PecCod,0)),"Peça não cadastrada"))</f>
        <v>0</v>
      </c>
      <c r="F944" s="27">
        <f>IF($B944="","",IF($D944&lt;&gt;"",$D944,IFERROR(INDEX(PecPreco,MATCH($B944,PecCod,0)),0)))</f>
        <v>0</v>
      </c>
      <c r="G944" s="27">
        <f>IF(OR($B944="",$C944=""),"",$C944*$F944)</f>
        <v>0</v>
      </c>
      <c r="H944" s="27">
        <f>IF(OR($B944="",$C944=""),"",$C944*IFERROR(INDEX(PecCusto,MATCH($B944,PecCod,0)),0))</f>
        <v>0</v>
      </c>
      <c r="I944" s="32">
        <f>IF($A944="","",IFERROR(INDEX(OSStatus,MATCH($A944,OSNum,0)),"OS inexistente"))</f>
        <v>0</v>
      </c>
      <c r="J944" s="32">
        <f>IF($A944="","",IF($I944="OS inexistente","OS inexistente",IF($E944="Peça não cadastrada","Peça não cadastrada","OK")))</f>
        <v>0</v>
      </c>
    </row>
    <row r="945" spans="1:10">
      <c r="A945" s="17"/>
      <c r="B945" s="13"/>
      <c r="C945" s="20"/>
      <c r="D945" s="19"/>
      <c r="E945" s="26">
        <f>IF($B945="","",IFERROR(INDEX(PecDesc,MATCH($B945,PecCod,0)),"Peça não cadastrada"))</f>
        <v>0</v>
      </c>
      <c r="F945" s="27">
        <f>IF($B945="","",IF($D945&lt;&gt;"",$D945,IFERROR(INDEX(PecPreco,MATCH($B945,PecCod,0)),0)))</f>
        <v>0</v>
      </c>
      <c r="G945" s="27">
        <f>IF(OR($B945="",$C945=""),"",$C945*$F945)</f>
        <v>0</v>
      </c>
      <c r="H945" s="27">
        <f>IF(OR($B945="",$C945=""),"",$C945*IFERROR(INDEX(PecCusto,MATCH($B945,PecCod,0)),0))</f>
        <v>0</v>
      </c>
      <c r="I945" s="32">
        <f>IF($A945="","",IFERROR(INDEX(OSStatus,MATCH($A945,OSNum,0)),"OS inexistente"))</f>
        <v>0</v>
      </c>
      <c r="J945" s="32">
        <f>IF($A945="","",IF($I945="OS inexistente","OS inexistente",IF($E945="Peça não cadastrada","Peça não cadastrada","OK")))</f>
        <v>0</v>
      </c>
    </row>
    <row r="946" spans="1:10">
      <c r="A946" s="17"/>
      <c r="B946" s="13"/>
      <c r="C946" s="20"/>
      <c r="D946" s="19"/>
      <c r="E946" s="26">
        <f>IF($B946="","",IFERROR(INDEX(PecDesc,MATCH($B946,PecCod,0)),"Peça não cadastrada"))</f>
        <v>0</v>
      </c>
      <c r="F946" s="27">
        <f>IF($B946="","",IF($D946&lt;&gt;"",$D946,IFERROR(INDEX(PecPreco,MATCH($B946,PecCod,0)),0)))</f>
        <v>0</v>
      </c>
      <c r="G946" s="27">
        <f>IF(OR($B946="",$C946=""),"",$C946*$F946)</f>
        <v>0</v>
      </c>
      <c r="H946" s="27">
        <f>IF(OR($B946="",$C946=""),"",$C946*IFERROR(INDEX(PecCusto,MATCH($B946,PecCod,0)),0))</f>
        <v>0</v>
      </c>
      <c r="I946" s="32">
        <f>IF($A946="","",IFERROR(INDEX(OSStatus,MATCH($A946,OSNum,0)),"OS inexistente"))</f>
        <v>0</v>
      </c>
      <c r="J946" s="32">
        <f>IF($A946="","",IF($I946="OS inexistente","OS inexistente",IF($E946="Peça não cadastrada","Peça não cadastrada","OK")))</f>
        <v>0</v>
      </c>
    </row>
    <row r="947" spans="1:10">
      <c r="A947" s="17"/>
      <c r="B947" s="13"/>
      <c r="C947" s="20"/>
      <c r="D947" s="19"/>
      <c r="E947" s="26">
        <f>IF($B947="","",IFERROR(INDEX(PecDesc,MATCH($B947,PecCod,0)),"Peça não cadastrada"))</f>
        <v>0</v>
      </c>
      <c r="F947" s="27">
        <f>IF($B947="","",IF($D947&lt;&gt;"",$D947,IFERROR(INDEX(PecPreco,MATCH($B947,PecCod,0)),0)))</f>
        <v>0</v>
      </c>
      <c r="G947" s="27">
        <f>IF(OR($B947="",$C947=""),"",$C947*$F947)</f>
        <v>0</v>
      </c>
      <c r="H947" s="27">
        <f>IF(OR($B947="",$C947=""),"",$C947*IFERROR(INDEX(PecCusto,MATCH($B947,PecCod,0)),0))</f>
        <v>0</v>
      </c>
      <c r="I947" s="32">
        <f>IF($A947="","",IFERROR(INDEX(OSStatus,MATCH($A947,OSNum,0)),"OS inexistente"))</f>
        <v>0</v>
      </c>
      <c r="J947" s="32">
        <f>IF($A947="","",IF($I947="OS inexistente","OS inexistente",IF($E947="Peça não cadastrada","Peça não cadastrada","OK")))</f>
        <v>0</v>
      </c>
    </row>
    <row r="948" spans="1:10">
      <c r="A948" s="17"/>
      <c r="B948" s="13"/>
      <c r="C948" s="20"/>
      <c r="D948" s="19"/>
      <c r="E948" s="26">
        <f>IF($B948="","",IFERROR(INDEX(PecDesc,MATCH($B948,PecCod,0)),"Peça não cadastrada"))</f>
        <v>0</v>
      </c>
      <c r="F948" s="27">
        <f>IF($B948="","",IF($D948&lt;&gt;"",$D948,IFERROR(INDEX(PecPreco,MATCH($B948,PecCod,0)),0)))</f>
        <v>0</v>
      </c>
      <c r="G948" s="27">
        <f>IF(OR($B948="",$C948=""),"",$C948*$F948)</f>
        <v>0</v>
      </c>
      <c r="H948" s="27">
        <f>IF(OR($B948="",$C948=""),"",$C948*IFERROR(INDEX(PecCusto,MATCH($B948,PecCod,0)),0))</f>
        <v>0</v>
      </c>
      <c r="I948" s="32">
        <f>IF($A948="","",IFERROR(INDEX(OSStatus,MATCH($A948,OSNum,0)),"OS inexistente"))</f>
        <v>0</v>
      </c>
      <c r="J948" s="32">
        <f>IF($A948="","",IF($I948="OS inexistente","OS inexistente",IF($E948="Peça não cadastrada","Peça não cadastrada","OK")))</f>
        <v>0</v>
      </c>
    </row>
    <row r="949" spans="1:10">
      <c r="A949" s="17"/>
      <c r="B949" s="13"/>
      <c r="C949" s="20"/>
      <c r="D949" s="19"/>
      <c r="E949" s="26">
        <f>IF($B949="","",IFERROR(INDEX(PecDesc,MATCH($B949,PecCod,0)),"Peça não cadastrada"))</f>
        <v>0</v>
      </c>
      <c r="F949" s="27">
        <f>IF($B949="","",IF($D949&lt;&gt;"",$D949,IFERROR(INDEX(PecPreco,MATCH($B949,PecCod,0)),0)))</f>
        <v>0</v>
      </c>
      <c r="G949" s="27">
        <f>IF(OR($B949="",$C949=""),"",$C949*$F949)</f>
        <v>0</v>
      </c>
      <c r="H949" s="27">
        <f>IF(OR($B949="",$C949=""),"",$C949*IFERROR(INDEX(PecCusto,MATCH($B949,PecCod,0)),0))</f>
        <v>0</v>
      </c>
      <c r="I949" s="32">
        <f>IF($A949="","",IFERROR(INDEX(OSStatus,MATCH($A949,OSNum,0)),"OS inexistente"))</f>
        <v>0</v>
      </c>
      <c r="J949" s="32">
        <f>IF($A949="","",IF($I949="OS inexistente","OS inexistente",IF($E949="Peça não cadastrada","Peça não cadastrada","OK")))</f>
        <v>0</v>
      </c>
    </row>
    <row r="950" spans="1:10">
      <c r="A950" s="17"/>
      <c r="B950" s="13"/>
      <c r="C950" s="20"/>
      <c r="D950" s="19"/>
      <c r="E950" s="26">
        <f>IF($B950="","",IFERROR(INDEX(PecDesc,MATCH($B950,PecCod,0)),"Peça não cadastrada"))</f>
        <v>0</v>
      </c>
      <c r="F950" s="27">
        <f>IF($B950="","",IF($D950&lt;&gt;"",$D950,IFERROR(INDEX(PecPreco,MATCH($B950,PecCod,0)),0)))</f>
        <v>0</v>
      </c>
      <c r="G950" s="27">
        <f>IF(OR($B950="",$C950=""),"",$C950*$F950)</f>
        <v>0</v>
      </c>
      <c r="H950" s="27">
        <f>IF(OR($B950="",$C950=""),"",$C950*IFERROR(INDEX(PecCusto,MATCH($B950,PecCod,0)),0))</f>
        <v>0</v>
      </c>
      <c r="I950" s="32">
        <f>IF($A950="","",IFERROR(INDEX(OSStatus,MATCH($A950,OSNum,0)),"OS inexistente"))</f>
        <v>0</v>
      </c>
      <c r="J950" s="32">
        <f>IF($A950="","",IF($I950="OS inexistente","OS inexistente",IF($E950="Peça não cadastrada","Peça não cadastrada","OK")))</f>
        <v>0</v>
      </c>
    </row>
    <row r="951" spans="1:10">
      <c r="A951" s="17"/>
      <c r="B951" s="13"/>
      <c r="C951" s="20"/>
      <c r="D951" s="19"/>
      <c r="E951" s="26">
        <f>IF($B951="","",IFERROR(INDEX(PecDesc,MATCH($B951,PecCod,0)),"Peça não cadastrada"))</f>
        <v>0</v>
      </c>
      <c r="F951" s="27">
        <f>IF($B951="","",IF($D951&lt;&gt;"",$D951,IFERROR(INDEX(PecPreco,MATCH($B951,PecCod,0)),0)))</f>
        <v>0</v>
      </c>
      <c r="G951" s="27">
        <f>IF(OR($B951="",$C951=""),"",$C951*$F951)</f>
        <v>0</v>
      </c>
      <c r="H951" s="27">
        <f>IF(OR($B951="",$C951=""),"",$C951*IFERROR(INDEX(PecCusto,MATCH($B951,PecCod,0)),0))</f>
        <v>0</v>
      </c>
      <c r="I951" s="32">
        <f>IF($A951="","",IFERROR(INDEX(OSStatus,MATCH($A951,OSNum,0)),"OS inexistente"))</f>
        <v>0</v>
      </c>
      <c r="J951" s="32">
        <f>IF($A951="","",IF($I951="OS inexistente","OS inexistente",IF($E951="Peça não cadastrada","Peça não cadastrada","OK")))</f>
        <v>0</v>
      </c>
    </row>
    <row r="952" spans="1:10">
      <c r="A952" s="17"/>
      <c r="B952" s="13"/>
      <c r="C952" s="20"/>
      <c r="D952" s="19"/>
      <c r="E952" s="26">
        <f>IF($B952="","",IFERROR(INDEX(PecDesc,MATCH($B952,PecCod,0)),"Peça não cadastrada"))</f>
        <v>0</v>
      </c>
      <c r="F952" s="27">
        <f>IF($B952="","",IF($D952&lt;&gt;"",$D952,IFERROR(INDEX(PecPreco,MATCH($B952,PecCod,0)),0)))</f>
        <v>0</v>
      </c>
      <c r="G952" s="27">
        <f>IF(OR($B952="",$C952=""),"",$C952*$F952)</f>
        <v>0</v>
      </c>
      <c r="H952" s="27">
        <f>IF(OR($B952="",$C952=""),"",$C952*IFERROR(INDEX(PecCusto,MATCH($B952,PecCod,0)),0))</f>
        <v>0</v>
      </c>
      <c r="I952" s="32">
        <f>IF($A952="","",IFERROR(INDEX(OSStatus,MATCH($A952,OSNum,0)),"OS inexistente"))</f>
        <v>0</v>
      </c>
      <c r="J952" s="32">
        <f>IF($A952="","",IF($I952="OS inexistente","OS inexistente",IF($E952="Peça não cadastrada","Peça não cadastrada","OK")))</f>
        <v>0</v>
      </c>
    </row>
    <row r="953" spans="1:10">
      <c r="A953" s="17"/>
      <c r="B953" s="13"/>
      <c r="C953" s="20"/>
      <c r="D953" s="19"/>
      <c r="E953" s="26">
        <f>IF($B953="","",IFERROR(INDEX(PecDesc,MATCH($B953,PecCod,0)),"Peça não cadastrada"))</f>
        <v>0</v>
      </c>
      <c r="F953" s="27">
        <f>IF($B953="","",IF($D953&lt;&gt;"",$D953,IFERROR(INDEX(PecPreco,MATCH($B953,PecCod,0)),0)))</f>
        <v>0</v>
      </c>
      <c r="G953" s="27">
        <f>IF(OR($B953="",$C953=""),"",$C953*$F953)</f>
        <v>0</v>
      </c>
      <c r="H953" s="27">
        <f>IF(OR($B953="",$C953=""),"",$C953*IFERROR(INDEX(PecCusto,MATCH($B953,PecCod,0)),0))</f>
        <v>0</v>
      </c>
      <c r="I953" s="32">
        <f>IF($A953="","",IFERROR(INDEX(OSStatus,MATCH($A953,OSNum,0)),"OS inexistente"))</f>
        <v>0</v>
      </c>
      <c r="J953" s="32">
        <f>IF($A953="","",IF($I953="OS inexistente","OS inexistente",IF($E953="Peça não cadastrada","Peça não cadastrada","OK")))</f>
        <v>0</v>
      </c>
    </row>
    <row r="954" spans="1:10">
      <c r="A954" s="17"/>
      <c r="B954" s="13"/>
      <c r="C954" s="20"/>
      <c r="D954" s="19"/>
      <c r="E954" s="26">
        <f>IF($B954="","",IFERROR(INDEX(PecDesc,MATCH($B954,PecCod,0)),"Peça não cadastrada"))</f>
        <v>0</v>
      </c>
      <c r="F954" s="27">
        <f>IF($B954="","",IF($D954&lt;&gt;"",$D954,IFERROR(INDEX(PecPreco,MATCH($B954,PecCod,0)),0)))</f>
        <v>0</v>
      </c>
      <c r="G954" s="27">
        <f>IF(OR($B954="",$C954=""),"",$C954*$F954)</f>
        <v>0</v>
      </c>
      <c r="H954" s="27">
        <f>IF(OR($B954="",$C954=""),"",$C954*IFERROR(INDEX(PecCusto,MATCH($B954,PecCod,0)),0))</f>
        <v>0</v>
      </c>
      <c r="I954" s="32">
        <f>IF($A954="","",IFERROR(INDEX(OSStatus,MATCH($A954,OSNum,0)),"OS inexistente"))</f>
        <v>0</v>
      </c>
      <c r="J954" s="32">
        <f>IF($A954="","",IF($I954="OS inexistente","OS inexistente",IF($E954="Peça não cadastrada","Peça não cadastrada","OK")))</f>
        <v>0</v>
      </c>
    </row>
    <row r="955" spans="1:10">
      <c r="A955" s="17"/>
      <c r="B955" s="13"/>
      <c r="C955" s="20"/>
      <c r="D955" s="19"/>
      <c r="E955" s="26">
        <f>IF($B955="","",IFERROR(INDEX(PecDesc,MATCH($B955,PecCod,0)),"Peça não cadastrada"))</f>
        <v>0</v>
      </c>
      <c r="F955" s="27">
        <f>IF($B955="","",IF($D955&lt;&gt;"",$D955,IFERROR(INDEX(PecPreco,MATCH($B955,PecCod,0)),0)))</f>
        <v>0</v>
      </c>
      <c r="G955" s="27">
        <f>IF(OR($B955="",$C955=""),"",$C955*$F955)</f>
        <v>0</v>
      </c>
      <c r="H955" s="27">
        <f>IF(OR($B955="",$C955=""),"",$C955*IFERROR(INDEX(PecCusto,MATCH($B955,PecCod,0)),0))</f>
        <v>0</v>
      </c>
      <c r="I955" s="32">
        <f>IF($A955="","",IFERROR(INDEX(OSStatus,MATCH($A955,OSNum,0)),"OS inexistente"))</f>
        <v>0</v>
      </c>
      <c r="J955" s="32">
        <f>IF($A955="","",IF($I955="OS inexistente","OS inexistente",IF($E955="Peça não cadastrada","Peça não cadastrada","OK")))</f>
        <v>0</v>
      </c>
    </row>
    <row r="956" spans="1:10">
      <c r="A956" s="17"/>
      <c r="B956" s="13"/>
      <c r="C956" s="20"/>
      <c r="D956" s="19"/>
      <c r="E956" s="26">
        <f>IF($B956="","",IFERROR(INDEX(PecDesc,MATCH($B956,PecCod,0)),"Peça não cadastrada"))</f>
        <v>0</v>
      </c>
      <c r="F956" s="27">
        <f>IF($B956="","",IF($D956&lt;&gt;"",$D956,IFERROR(INDEX(PecPreco,MATCH($B956,PecCod,0)),0)))</f>
        <v>0</v>
      </c>
      <c r="G956" s="27">
        <f>IF(OR($B956="",$C956=""),"",$C956*$F956)</f>
        <v>0</v>
      </c>
      <c r="H956" s="27">
        <f>IF(OR($B956="",$C956=""),"",$C956*IFERROR(INDEX(PecCusto,MATCH($B956,PecCod,0)),0))</f>
        <v>0</v>
      </c>
      <c r="I956" s="32">
        <f>IF($A956="","",IFERROR(INDEX(OSStatus,MATCH($A956,OSNum,0)),"OS inexistente"))</f>
        <v>0</v>
      </c>
      <c r="J956" s="32">
        <f>IF($A956="","",IF($I956="OS inexistente","OS inexistente",IF($E956="Peça não cadastrada","Peça não cadastrada","OK")))</f>
        <v>0</v>
      </c>
    </row>
    <row r="957" spans="1:10">
      <c r="A957" s="17"/>
      <c r="B957" s="13"/>
      <c r="C957" s="20"/>
      <c r="D957" s="19"/>
      <c r="E957" s="26">
        <f>IF($B957="","",IFERROR(INDEX(PecDesc,MATCH($B957,PecCod,0)),"Peça não cadastrada"))</f>
        <v>0</v>
      </c>
      <c r="F957" s="27">
        <f>IF($B957="","",IF($D957&lt;&gt;"",$D957,IFERROR(INDEX(PecPreco,MATCH($B957,PecCod,0)),0)))</f>
        <v>0</v>
      </c>
      <c r="G957" s="27">
        <f>IF(OR($B957="",$C957=""),"",$C957*$F957)</f>
        <v>0</v>
      </c>
      <c r="H957" s="27">
        <f>IF(OR($B957="",$C957=""),"",$C957*IFERROR(INDEX(PecCusto,MATCH($B957,PecCod,0)),0))</f>
        <v>0</v>
      </c>
      <c r="I957" s="32">
        <f>IF($A957="","",IFERROR(INDEX(OSStatus,MATCH($A957,OSNum,0)),"OS inexistente"))</f>
        <v>0</v>
      </c>
      <c r="J957" s="32">
        <f>IF($A957="","",IF($I957="OS inexistente","OS inexistente",IF($E957="Peça não cadastrada","Peça não cadastrada","OK")))</f>
        <v>0</v>
      </c>
    </row>
    <row r="958" spans="1:10">
      <c r="A958" s="17"/>
      <c r="B958" s="13"/>
      <c r="C958" s="20"/>
      <c r="D958" s="19"/>
      <c r="E958" s="26">
        <f>IF($B958="","",IFERROR(INDEX(PecDesc,MATCH($B958,PecCod,0)),"Peça não cadastrada"))</f>
        <v>0</v>
      </c>
      <c r="F958" s="27">
        <f>IF($B958="","",IF($D958&lt;&gt;"",$D958,IFERROR(INDEX(PecPreco,MATCH($B958,PecCod,0)),0)))</f>
        <v>0</v>
      </c>
      <c r="G958" s="27">
        <f>IF(OR($B958="",$C958=""),"",$C958*$F958)</f>
        <v>0</v>
      </c>
      <c r="H958" s="27">
        <f>IF(OR($B958="",$C958=""),"",$C958*IFERROR(INDEX(PecCusto,MATCH($B958,PecCod,0)),0))</f>
        <v>0</v>
      </c>
      <c r="I958" s="32">
        <f>IF($A958="","",IFERROR(INDEX(OSStatus,MATCH($A958,OSNum,0)),"OS inexistente"))</f>
        <v>0</v>
      </c>
      <c r="J958" s="32">
        <f>IF($A958="","",IF($I958="OS inexistente","OS inexistente",IF($E958="Peça não cadastrada","Peça não cadastrada","OK")))</f>
        <v>0</v>
      </c>
    </row>
    <row r="959" spans="1:10">
      <c r="A959" s="17"/>
      <c r="B959" s="13"/>
      <c r="C959" s="20"/>
      <c r="D959" s="19"/>
      <c r="E959" s="26">
        <f>IF($B959="","",IFERROR(INDEX(PecDesc,MATCH($B959,PecCod,0)),"Peça não cadastrada"))</f>
        <v>0</v>
      </c>
      <c r="F959" s="27">
        <f>IF($B959="","",IF($D959&lt;&gt;"",$D959,IFERROR(INDEX(PecPreco,MATCH($B959,PecCod,0)),0)))</f>
        <v>0</v>
      </c>
      <c r="G959" s="27">
        <f>IF(OR($B959="",$C959=""),"",$C959*$F959)</f>
        <v>0</v>
      </c>
      <c r="H959" s="27">
        <f>IF(OR($B959="",$C959=""),"",$C959*IFERROR(INDEX(PecCusto,MATCH($B959,PecCod,0)),0))</f>
        <v>0</v>
      </c>
      <c r="I959" s="32">
        <f>IF($A959="","",IFERROR(INDEX(OSStatus,MATCH($A959,OSNum,0)),"OS inexistente"))</f>
        <v>0</v>
      </c>
      <c r="J959" s="32">
        <f>IF($A959="","",IF($I959="OS inexistente","OS inexistente",IF($E959="Peça não cadastrada","Peça não cadastrada","OK")))</f>
        <v>0</v>
      </c>
    </row>
    <row r="960" spans="1:10">
      <c r="A960" s="17"/>
      <c r="B960" s="13"/>
      <c r="C960" s="20"/>
      <c r="D960" s="19"/>
      <c r="E960" s="26">
        <f>IF($B960="","",IFERROR(INDEX(PecDesc,MATCH($B960,PecCod,0)),"Peça não cadastrada"))</f>
        <v>0</v>
      </c>
      <c r="F960" s="27">
        <f>IF($B960="","",IF($D960&lt;&gt;"",$D960,IFERROR(INDEX(PecPreco,MATCH($B960,PecCod,0)),0)))</f>
        <v>0</v>
      </c>
      <c r="G960" s="27">
        <f>IF(OR($B960="",$C960=""),"",$C960*$F960)</f>
        <v>0</v>
      </c>
      <c r="H960" s="27">
        <f>IF(OR($B960="",$C960=""),"",$C960*IFERROR(INDEX(PecCusto,MATCH($B960,PecCod,0)),0))</f>
        <v>0</v>
      </c>
      <c r="I960" s="32">
        <f>IF($A960="","",IFERROR(INDEX(OSStatus,MATCH($A960,OSNum,0)),"OS inexistente"))</f>
        <v>0</v>
      </c>
      <c r="J960" s="32">
        <f>IF($A960="","",IF($I960="OS inexistente","OS inexistente",IF($E960="Peça não cadastrada","Peça não cadastrada","OK")))</f>
        <v>0</v>
      </c>
    </row>
    <row r="961" spans="1:10">
      <c r="A961" s="17"/>
      <c r="B961" s="13"/>
      <c r="C961" s="20"/>
      <c r="D961" s="19"/>
      <c r="E961" s="26">
        <f>IF($B961="","",IFERROR(INDEX(PecDesc,MATCH($B961,PecCod,0)),"Peça não cadastrada"))</f>
        <v>0</v>
      </c>
      <c r="F961" s="27">
        <f>IF($B961="","",IF($D961&lt;&gt;"",$D961,IFERROR(INDEX(PecPreco,MATCH($B961,PecCod,0)),0)))</f>
        <v>0</v>
      </c>
      <c r="G961" s="27">
        <f>IF(OR($B961="",$C961=""),"",$C961*$F961)</f>
        <v>0</v>
      </c>
      <c r="H961" s="27">
        <f>IF(OR($B961="",$C961=""),"",$C961*IFERROR(INDEX(PecCusto,MATCH($B961,PecCod,0)),0))</f>
        <v>0</v>
      </c>
      <c r="I961" s="32">
        <f>IF($A961="","",IFERROR(INDEX(OSStatus,MATCH($A961,OSNum,0)),"OS inexistente"))</f>
        <v>0</v>
      </c>
      <c r="J961" s="32">
        <f>IF($A961="","",IF($I961="OS inexistente","OS inexistente",IF($E961="Peça não cadastrada","Peça não cadastrada","OK")))</f>
        <v>0</v>
      </c>
    </row>
    <row r="962" spans="1:10">
      <c r="A962" s="17"/>
      <c r="B962" s="13"/>
      <c r="C962" s="20"/>
      <c r="D962" s="19"/>
      <c r="E962" s="26">
        <f>IF($B962="","",IFERROR(INDEX(PecDesc,MATCH($B962,PecCod,0)),"Peça não cadastrada"))</f>
        <v>0</v>
      </c>
      <c r="F962" s="27">
        <f>IF($B962="","",IF($D962&lt;&gt;"",$D962,IFERROR(INDEX(PecPreco,MATCH($B962,PecCod,0)),0)))</f>
        <v>0</v>
      </c>
      <c r="G962" s="27">
        <f>IF(OR($B962="",$C962=""),"",$C962*$F962)</f>
        <v>0</v>
      </c>
      <c r="H962" s="27">
        <f>IF(OR($B962="",$C962=""),"",$C962*IFERROR(INDEX(PecCusto,MATCH($B962,PecCod,0)),0))</f>
        <v>0</v>
      </c>
      <c r="I962" s="32">
        <f>IF($A962="","",IFERROR(INDEX(OSStatus,MATCH($A962,OSNum,0)),"OS inexistente"))</f>
        <v>0</v>
      </c>
      <c r="J962" s="32">
        <f>IF($A962="","",IF($I962="OS inexistente","OS inexistente",IF($E962="Peça não cadastrada","Peça não cadastrada","OK")))</f>
        <v>0</v>
      </c>
    </row>
    <row r="963" spans="1:10">
      <c r="A963" s="17"/>
      <c r="B963" s="13"/>
      <c r="C963" s="20"/>
      <c r="D963" s="19"/>
      <c r="E963" s="26">
        <f>IF($B963="","",IFERROR(INDEX(PecDesc,MATCH($B963,PecCod,0)),"Peça não cadastrada"))</f>
        <v>0</v>
      </c>
      <c r="F963" s="27">
        <f>IF($B963="","",IF($D963&lt;&gt;"",$D963,IFERROR(INDEX(PecPreco,MATCH($B963,PecCod,0)),0)))</f>
        <v>0</v>
      </c>
      <c r="G963" s="27">
        <f>IF(OR($B963="",$C963=""),"",$C963*$F963)</f>
        <v>0</v>
      </c>
      <c r="H963" s="27">
        <f>IF(OR($B963="",$C963=""),"",$C963*IFERROR(INDEX(PecCusto,MATCH($B963,PecCod,0)),0))</f>
        <v>0</v>
      </c>
      <c r="I963" s="32">
        <f>IF($A963="","",IFERROR(INDEX(OSStatus,MATCH($A963,OSNum,0)),"OS inexistente"))</f>
        <v>0</v>
      </c>
      <c r="J963" s="32">
        <f>IF($A963="","",IF($I963="OS inexistente","OS inexistente",IF($E963="Peça não cadastrada","Peça não cadastrada","OK")))</f>
        <v>0</v>
      </c>
    </row>
    <row r="964" spans="1:10">
      <c r="A964" s="17"/>
      <c r="B964" s="13"/>
      <c r="C964" s="20"/>
      <c r="D964" s="19"/>
      <c r="E964" s="26">
        <f>IF($B964="","",IFERROR(INDEX(PecDesc,MATCH($B964,PecCod,0)),"Peça não cadastrada"))</f>
        <v>0</v>
      </c>
      <c r="F964" s="27">
        <f>IF($B964="","",IF($D964&lt;&gt;"",$D964,IFERROR(INDEX(PecPreco,MATCH($B964,PecCod,0)),0)))</f>
        <v>0</v>
      </c>
      <c r="G964" s="27">
        <f>IF(OR($B964="",$C964=""),"",$C964*$F964)</f>
        <v>0</v>
      </c>
      <c r="H964" s="27">
        <f>IF(OR($B964="",$C964=""),"",$C964*IFERROR(INDEX(PecCusto,MATCH($B964,PecCod,0)),0))</f>
        <v>0</v>
      </c>
      <c r="I964" s="32">
        <f>IF($A964="","",IFERROR(INDEX(OSStatus,MATCH($A964,OSNum,0)),"OS inexistente"))</f>
        <v>0</v>
      </c>
      <c r="J964" s="32">
        <f>IF($A964="","",IF($I964="OS inexistente","OS inexistente",IF($E964="Peça não cadastrada","Peça não cadastrada","OK")))</f>
        <v>0</v>
      </c>
    </row>
    <row r="965" spans="1:10">
      <c r="A965" s="17"/>
      <c r="B965" s="13"/>
      <c r="C965" s="20"/>
      <c r="D965" s="19"/>
      <c r="E965" s="26">
        <f>IF($B965="","",IFERROR(INDEX(PecDesc,MATCH($B965,PecCod,0)),"Peça não cadastrada"))</f>
        <v>0</v>
      </c>
      <c r="F965" s="27">
        <f>IF($B965="","",IF($D965&lt;&gt;"",$D965,IFERROR(INDEX(PecPreco,MATCH($B965,PecCod,0)),0)))</f>
        <v>0</v>
      </c>
      <c r="G965" s="27">
        <f>IF(OR($B965="",$C965=""),"",$C965*$F965)</f>
        <v>0</v>
      </c>
      <c r="H965" s="27">
        <f>IF(OR($B965="",$C965=""),"",$C965*IFERROR(INDEX(PecCusto,MATCH($B965,PecCod,0)),0))</f>
        <v>0</v>
      </c>
      <c r="I965" s="32">
        <f>IF($A965="","",IFERROR(INDEX(OSStatus,MATCH($A965,OSNum,0)),"OS inexistente"))</f>
        <v>0</v>
      </c>
      <c r="J965" s="32">
        <f>IF($A965="","",IF($I965="OS inexistente","OS inexistente",IF($E965="Peça não cadastrada","Peça não cadastrada","OK")))</f>
        <v>0</v>
      </c>
    </row>
    <row r="966" spans="1:10">
      <c r="A966" s="17"/>
      <c r="B966" s="13"/>
      <c r="C966" s="20"/>
      <c r="D966" s="19"/>
      <c r="E966" s="26">
        <f>IF($B966="","",IFERROR(INDEX(PecDesc,MATCH($B966,PecCod,0)),"Peça não cadastrada"))</f>
        <v>0</v>
      </c>
      <c r="F966" s="27">
        <f>IF($B966="","",IF($D966&lt;&gt;"",$D966,IFERROR(INDEX(PecPreco,MATCH($B966,PecCod,0)),0)))</f>
        <v>0</v>
      </c>
      <c r="G966" s="27">
        <f>IF(OR($B966="",$C966=""),"",$C966*$F966)</f>
        <v>0</v>
      </c>
      <c r="H966" s="27">
        <f>IF(OR($B966="",$C966=""),"",$C966*IFERROR(INDEX(PecCusto,MATCH($B966,PecCod,0)),0))</f>
        <v>0</v>
      </c>
      <c r="I966" s="32">
        <f>IF($A966="","",IFERROR(INDEX(OSStatus,MATCH($A966,OSNum,0)),"OS inexistente"))</f>
        <v>0</v>
      </c>
      <c r="J966" s="32">
        <f>IF($A966="","",IF($I966="OS inexistente","OS inexistente",IF($E966="Peça não cadastrada","Peça não cadastrada","OK")))</f>
        <v>0</v>
      </c>
    </row>
    <row r="967" spans="1:10">
      <c r="A967" s="17"/>
      <c r="B967" s="13"/>
      <c r="C967" s="20"/>
      <c r="D967" s="19"/>
      <c r="E967" s="26">
        <f>IF($B967="","",IFERROR(INDEX(PecDesc,MATCH($B967,PecCod,0)),"Peça não cadastrada"))</f>
        <v>0</v>
      </c>
      <c r="F967" s="27">
        <f>IF($B967="","",IF($D967&lt;&gt;"",$D967,IFERROR(INDEX(PecPreco,MATCH($B967,PecCod,0)),0)))</f>
        <v>0</v>
      </c>
      <c r="G967" s="27">
        <f>IF(OR($B967="",$C967=""),"",$C967*$F967)</f>
        <v>0</v>
      </c>
      <c r="H967" s="27">
        <f>IF(OR($B967="",$C967=""),"",$C967*IFERROR(INDEX(PecCusto,MATCH($B967,PecCod,0)),0))</f>
        <v>0</v>
      </c>
      <c r="I967" s="32">
        <f>IF($A967="","",IFERROR(INDEX(OSStatus,MATCH($A967,OSNum,0)),"OS inexistente"))</f>
        <v>0</v>
      </c>
      <c r="J967" s="32">
        <f>IF($A967="","",IF($I967="OS inexistente","OS inexistente",IF($E967="Peça não cadastrada","Peça não cadastrada","OK")))</f>
        <v>0</v>
      </c>
    </row>
    <row r="968" spans="1:10">
      <c r="A968" s="17"/>
      <c r="B968" s="13"/>
      <c r="C968" s="20"/>
      <c r="D968" s="19"/>
      <c r="E968" s="26">
        <f>IF($B968="","",IFERROR(INDEX(PecDesc,MATCH($B968,PecCod,0)),"Peça não cadastrada"))</f>
        <v>0</v>
      </c>
      <c r="F968" s="27">
        <f>IF($B968="","",IF($D968&lt;&gt;"",$D968,IFERROR(INDEX(PecPreco,MATCH($B968,PecCod,0)),0)))</f>
        <v>0</v>
      </c>
      <c r="G968" s="27">
        <f>IF(OR($B968="",$C968=""),"",$C968*$F968)</f>
        <v>0</v>
      </c>
      <c r="H968" s="27">
        <f>IF(OR($B968="",$C968=""),"",$C968*IFERROR(INDEX(PecCusto,MATCH($B968,PecCod,0)),0))</f>
        <v>0</v>
      </c>
      <c r="I968" s="32">
        <f>IF($A968="","",IFERROR(INDEX(OSStatus,MATCH($A968,OSNum,0)),"OS inexistente"))</f>
        <v>0</v>
      </c>
      <c r="J968" s="32">
        <f>IF($A968="","",IF($I968="OS inexistente","OS inexistente",IF($E968="Peça não cadastrada","Peça não cadastrada","OK")))</f>
        <v>0</v>
      </c>
    </row>
    <row r="969" spans="1:10">
      <c r="A969" s="17"/>
      <c r="B969" s="13"/>
      <c r="C969" s="20"/>
      <c r="D969" s="19"/>
      <c r="E969" s="26">
        <f>IF($B969="","",IFERROR(INDEX(PecDesc,MATCH($B969,PecCod,0)),"Peça não cadastrada"))</f>
        <v>0</v>
      </c>
      <c r="F969" s="27">
        <f>IF($B969="","",IF($D969&lt;&gt;"",$D969,IFERROR(INDEX(PecPreco,MATCH($B969,PecCod,0)),0)))</f>
        <v>0</v>
      </c>
      <c r="G969" s="27">
        <f>IF(OR($B969="",$C969=""),"",$C969*$F969)</f>
        <v>0</v>
      </c>
      <c r="H969" s="27">
        <f>IF(OR($B969="",$C969=""),"",$C969*IFERROR(INDEX(PecCusto,MATCH($B969,PecCod,0)),0))</f>
        <v>0</v>
      </c>
      <c r="I969" s="32">
        <f>IF($A969="","",IFERROR(INDEX(OSStatus,MATCH($A969,OSNum,0)),"OS inexistente"))</f>
        <v>0</v>
      </c>
      <c r="J969" s="32">
        <f>IF($A969="","",IF($I969="OS inexistente","OS inexistente",IF($E969="Peça não cadastrada","Peça não cadastrada","OK")))</f>
        <v>0</v>
      </c>
    </row>
    <row r="970" spans="1:10">
      <c r="A970" s="17"/>
      <c r="B970" s="13"/>
      <c r="C970" s="20"/>
      <c r="D970" s="19"/>
      <c r="E970" s="26">
        <f>IF($B970="","",IFERROR(INDEX(PecDesc,MATCH($B970,PecCod,0)),"Peça não cadastrada"))</f>
        <v>0</v>
      </c>
      <c r="F970" s="27">
        <f>IF($B970="","",IF($D970&lt;&gt;"",$D970,IFERROR(INDEX(PecPreco,MATCH($B970,PecCod,0)),0)))</f>
        <v>0</v>
      </c>
      <c r="G970" s="27">
        <f>IF(OR($B970="",$C970=""),"",$C970*$F970)</f>
        <v>0</v>
      </c>
      <c r="H970" s="27">
        <f>IF(OR($B970="",$C970=""),"",$C970*IFERROR(INDEX(PecCusto,MATCH($B970,PecCod,0)),0))</f>
        <v>0</v>
      </c>
      <c r="I970" s="32">
        <f>IF($A970="","",IFERROR(INDEX(OSStatus,MATCH($A970,OSNum,0)),"OS inexistente"))</f>
        <v>0</v>
      </c>
      <c r="J970" s="32">
        <f>IF($A970="","",IF($I970="OS inexistente","OS inexistente",IF($E970="Peça não cadastrada","Peça não cadastrada","OK")))</f>
        <v>0</v>
      </c>
    </row>
    <row r="971" spans="1:10">
      <c r="A971" s="17"/>
      <c r="B971" s="13"/>
      <c r="C971" s="20"/>
      <c r="D971" s="19"/>
      <c r="E971" s="26">
        <f>IF($B971="","",IFERROR(INDEX(PecDesc,MATCH($B971,PecCod,0)),"Peça não cadastrada"))</f>
        <v>0</v>
      </c>
      <c r="F971" s="27">
        <f>IF($B971="","",IF($D971&lt;&gt;"",$D971,IFERROR(INDEX(PecPreco,MATCH($B971,PecCod,0)),0)))</f>
        <v>0</v>
      </c>
      <c r="G971" s="27">
        <f>IF(OR($B971="",$C971=""),"",$C971*$F971)</f>
        <v>0</v>
      </c>
      <c r="H971" s="27">
        <f>IF(OR($B971="",$C971=""),"",$C971*IFERROR(INDEX(PecCusto,MATCH($B971,PecCod,0)),0))</f>
        <v>0</v>
      </c>
      <c r="I971" s="32">
        <f>IF($A971="","",IFERROR(INDEX(OSStatus,MATCH($A971,OSNum,0)),"OS inexistente"))</f>
        <v>0</v>
      </c>
      <c r="J971" s="32">
        <f>IF($A971="","",IF($I971="OS inexistente","OS inexistente",IF($E971="Peça não cadastrada","Peça não cadastrada","OK")))</f>
        <v>0</v>
      </c>
    </row>
    <row r="972" spans="1:10">
      <c r="A972" s="17"/>
      <c r="B972" s="13"/>
      <c r="C972" s="20"/>
      <c r="D972" s="19"/>
      <c r="E972" s="26">
        <f>IF($B972="","",IFERROR(INDEX(PecDesc,MATCH($B972,PecCod,0)),"Peça não cadastrada"))</f>
        <v>0</v>
      </c>
      <c r="F972" s="27">
        <f>IF($B972="","",IF($D972&lt;&gt;"",$D972,IFERROR(INDEX(PecPreco,MATCH($B972,PecCod,0)),0)))</f>
        <v>0</v>
      </c>
      <c r="G972" s="27">
        <f>IF(OR($B972="",$C972=""),"",$C972*$F972)</f>
        <v>0</v>
      </c>
      <c r="H972" s="27">
        <f>IF(OR($B972="",$C972=""),"",$C972*IFERROR(INDEX(PecCusto,MATCH($B972,PecCod,0)),0))</f>
        <v>0</v>
      </c>
      <c r="I972" s="32">
        <f>IF($A972="","",IFERROR(INDEX(OSStatus,MATCH($A972,OSNum,0)),"OS inexistente"))</f>
        <v>0</v>
      </c>
      <c r="J972" s="32">
        <f>IF($A972="","",IF($I972="OS inexistente","OS inexistente",IF($E972="Peça não cadastrada","Peça não cadastrada","OK")))</f>
        <v>0</v>
      </c>
    </row>
    <row r="973" spans="1:10">
      <c r="A973" s="17"/>
      <c r="B973" s="13"/>
      <c r="C973" s="20"/>
      <c r="D973" s="19"/>
      <c r="E973" s="26">
        <f>IF($B973="","",IFERROR(INDEX(PecDesc,MATCH($B973,PecCod,0)),"Peça não cadastrada"))</f>
        <v>0</v>
      </c>
      <c r="F973" s="27">
        <f>IF($B973="","",IF($D973&lt;&gt;"",$D973,IFERROR(INDEX(PecPreco,MATCH($B973,PecCod,0)),0)))</f>
        <v>0</v>
      </c>
      <c r="G973" s="27">
        <f>IF(OR($B973="",$C973=""),"",$C973*$F973)</f>
        <v>0</v>
      </c>
      <c r="H973" s="27">
        <f>IF(OR($B973="",$C973=""),"",$C973*IFERROR(INDEX(PecCusto,MATCH($B973,PecCod,0)),0))</f>
        <v>0</v>
      </c>
      <c r="I973" s="32">
        <f>IF($A973="","",IFERROR(INDEX(OSStatus,MATCH($A973,OSNum,0)),"OS inexistente"))</f>
        <v>0</v>
      </c>
      <c r="J973" s="32">
        <f>IF($A973="","",IF($I973="OS inexistente","OS inexistente",IF($E973="Peça não cadastrada","Peça não cadastrada","OK")))</f>
        <v>0</v>
      </c>
    </row>
    <row r="974" spans="1:10">
      <c r="A974" s="17"/>
      <c r="B974" s="13"/>
      <c r="C974" s="20"/>
      <c r="D974" s="19"/>
      <c r="E974" s="26">
        <f>IF($B974="","",IFERROR(INDEX(PecDesc,MATCH($B974,PecCod,0)),"Peça não cadastrada"))</f>
        <v>0</v>
      </c>
      <c r="F974" s="27">
        <f>IF($B974="","",IF($D974&lt;&gt;"",$D974,IFERROR(INDEX(PecPreco,MATCH($B974,PecCod,0)),0)))</f>
        <v>0</v>
      </c>
      <c r="G974" s="27">
        <f>IF(OR($B974="",$C974=""),"",$C974*$F974)</f>
        <v>0</v>
      </c>
      <c r="H974" s="27">
        <f>IF(OR($B974="",$C974=""),"",$C974*IFERROR(INDEX(PecCusto,MATCH($B974,PecCod,0)),0))</f>
        <v>0</v>
      </c>
      <c r="I974" s="32">
        <f>IF($A974="","",IFERROR(INDEX(OSStatus,MATCH($A974,OSNum,0)),"OS inexistente"))</f>
        <v>0</v>
      </c>
      <c r="J974" s="32">
        <f>IF($A974="","",IF($I974="OS inexistente","OS inexistente",IF($E974="Peça não cadastrada","Peça não cadastrada","OK")))</f>
        <v>0</v>
      </c>
    </row>
    <row r="975" spans="1:10">
      <c r="A975" s="17"/>
      <c r="B975" s="13"/>
      <c r="C975" s="20"/>
      <c r="D975" s="19"/>
      <c r="E975" s="26">
        <f>IF($B975="","",IFERROR(INDEX(PecDesc,MATCH($B975,PecCod,0)),"Peça não cadastrada"))</f>
        <v>0</v>
      </c>
      <c r="F975" s="27">
        <f>IF($B975="","",IF($D975&lt;&gt;"",$D975,IFERROR(INDEX(PecPreco,MATCH($B975,PecCod,0)),0)))</f>
        <v>0</v>
      </c>
      <c r="G975" s="27">
        <f>IF(OR($B975="",$C975=""),"",$C975*$F975)</f>
        <v>0</v>
      </c>
      <c r="H975" s="27">
        <f>IF(OR($B975="",$C975=""),"",$C975*IFERROR(INDEX(PecCusto,MATCH($B975,PecCod,0)),0))</f>
        <v>0</v>
      </c>
      <c r="I975" s="32">
        <f>IF($A975="","",IFERROR(INDEX(OSStatus,MATCH($A975,OSNum,0)),"OS inexistente"))</f>
        <v>0</v>
      </c>
      <c r="J975" s="32">
        <f>IF($A975="","",IF($I975="OS inexistente","OS inexistente",IF($E975="Peça não cadastrada","Peça não cadastrada","OK")))</f>
        <v>0</v>
      </c>
    </row>
    <row r="976" spans="1:10">
      <c r="A976" s="17"/>
      <c r="B976" s="13"/>
      <c r="C976" s="20"/>
      <c r="D976" s="19"/>
      <c r="E976" s="26">
        <f>IF($B976="","",IFERROR(INDEX(PecDesc,MATCH($B976,PecCod,0)),"Peça não cadastrada"))</f>
        <v>0</v>
      </c>
      <c r="F976" s="27">
        <f>IF($B976="","",IF($D976&lt;&gt;"",$D976,IFERROR(INDEX(PecPreco,MATCH($B976,PecCod,0)),0)))</f>
        <v>0</v>
      </c>
      <c r="G976" s="27">
        <f>IF(OR($B976="",$C976=""),"",$C976*$F976)</f>
        <v>0</v>
      </c>
      <c r="H976" s="27">
        <f>IF(OR($B976="",$C976=""),"",$C976*IFERROR(INDEX(PecCusto,MATCH($B976,PecCod,0)),0))</f>
        <v>0</v>
      </c>
      <c r="I976" s="32">
        <f>IF($A976="","",IFERROR(INDEX(OSStatus,MATCH($A976,OSNum,0)),"OS inexistente"))</f>
        <v>0</v>
      </c>
      <c r="J976" s="32">
        <f>IF($A976="","",IF($I976="OS inexistente","OS inexistente",IF($E976="Peça não cadastrada","Peça não cadastrada","OK")))</f>
        <v>0</v>
      </c>
    </row>
    <row r="977" spans="1:10">
      <c r="A977" s="17"/>
      <c r="B977" s="13"/>
      <c r="C977" s="20"/>
      <c r="D977" s="19"/>
      <c r="E977" s="26">
        <f>IF($B977="","",IFERROR(INDEX(PecDesc,MATCH($B977,PecCod,0)),"Peça não cadastrada"))</f>
        <v>0</v>
      </c>
      <c r="F977" s="27">
        <f>IF($B977="","",IF($D977&lt;&gt;"",$D977,IFERROR(INDEX(PecPreco,MATCH($B977,PecCod,0)),0)))</f>
        <v>0</v>
      </c>
      <c r="G977" s="27">
        <f>IF(OR($B977="",$C977=""),"",$C977*$F977)</f>
        <v>0</v>
      </c>
      <c r="H977" s="27">
        <f>IF(OR($B977="",$C977=""),"",$C977*IFERROR(INDEX(PecCusto,MATCH($B977,PecCod,0)),0))</f>
        <v>0</v>
      </c>
      <c r="I977" s="32">
        <f>IF($A977="","",IFERROR(INDEX(OSStatus,MATCH($A977,OSNum,0)),"OS inexistente"))</f>
        <v>0</v>
      </c>
      <c r="J977" s="32">
        <f>IF($A977="","",IF($I977="OS inexistente","OS inexistente",IF($E977="Peça não cadastrada","Peça não cadastrada","OK")))</f>
        <v>0</v>
      </c>
    </row>
    <row r="978" spans="1:10">
      <c r="A978" s="17"/>
      <c r="B978" s="13"/>
      <c r="C978" s="20"/>
      <c r="D978" s="19"/>
      <c r="E978" s="26">
        <f>IF($B978="","",IFERROR(INDEX(PecDesc,MATCH($B978,PecCod,0)),"Peça não cadastrada"))</f>
        <v>0</v>
      </c>
      <c r="F978" s="27">
        <f>IF($B978="","",IF($D978&lt;&gt;"",$D978,IFERROR(INDEX(PecPreco,MATCH($B978,PecCod,0)),0)))</f>
        <v>0</v>
      </c>
      <c r="G978" s="27">
        <f>IF(OR($B978="",$C978=""),"",$C978*$F978)</f>
        <v>0</v>
      </c>
      <c r="H978" s="27">
        <f>IF(OR($B978="",$C978=""),"",$C978*IFERROR(INDEX(PecCusto,MATCH($B978,PecCod,0)),0))</f>
        <v>0</v>
      </c>
      <c r="I978" s="32">
        <f>IF($A978="","",IFERROR(INDEX(OSStatus,MATCH($A978,OSNum,0)),"OS inexistente"))</f>
        <v>0</v>
      </c>
      <c r="J978" s="32">
        <f>IF($A978="","",IF($I978="OS inexistente","OS inexistente",IF($E978="Peça não cadastrada","Peça não cadastrada","OK")))</f>
        <v>0</v>
      </c>
    </row>
    <row r="979" spans="1:10">
      <c r="A979" s="17"/>
      <c r="B979" s="13"/>
      <c r="C979" s="20"/>
      <c r="D979" s="19"/>
      <c r="E979" s="26">
        <f>IF($B979="","",IFERROR(INDEX(PecDesc,MATCH($B979,PecCod,0)),"Peça não cadastrada"))</f>
        <v>0</v>
      </c>
      <c r="F979" s="27">
        <f>IF($B979="","",IF($D979&lt;&gt;"",$D979,IFERROR(INDEX(PecPreco,MATCH($B979,PecCod,0)),0)))</f>
        <v>0</v>
      </c>
      <c r="G979" s="27">
        <f>IF(OR($B979="",$C979=""),"",$C979*$F979)</f>
        <v>0</v>
      </c>
      <c r="H979" s="27">
        <f>IF(OR($B979="",$C979=""),"",$C979*IFERROR(INDEX(PecCusto,MATCH($B979,PecCod,0)),0))</f>
        <v>0</v>
      </c>
      <c r="I979" s="32">
        <f>IF($A979="","",IFERROR(INDEX(OSStatus,MATCH($A979,OSNum,0)),"OS inexistente"))</f>
        <v>0</v>
      </c>
      <c r="J979" s="32">
        <f>IF($A979="","",IF($I979="OS inexistente","OS inexistente",IF($E979="Peça não cadastrada","Peça não cadastrada","OK")))</f>
        <v>0</v>
      </c>
    </row>
    <row r="980" spans="1:10">
      <c r="A980" s="17"/>
      <c r="B980" s="13"/>
      <c r="C980" s="20"/>
      <c r="D980" s="19"/>
      <c r="E980" s="26">
        <f>IF($B980="","",IFERROR(INDEX(PecDesc,MATCH($B980,PecCod,0)),"Peça não cadastrada"))</f>
        <v>0</v>
      </c>
      <c r="F980" s="27">
        <f>IF($B980="","",IF($D980&lt;&gt;"",$D980,IFERROR(INDEX(PecPreco,MATCH($B980,PecCod,0)),0)))</f>
        <v>0</v>
      </c>
      <c r="G980" s="27">
        <f>IF(OR($B980="",$C980=""),"",$C980*$F980)</f>
        <v>0</v>
      </c>
      <c r="H980" s="27">
        <f>IF(OR($B980="",$C980=""),"",$C980*IFERROR(INDEX(PecCusto,MATCH($B980,PecCod,0)),0))</f>
        <v>0</v>
      </c>
      <c r="I980" s="32">
        <f>IF($A980="","",IFERROR(INDEX(OSStatus,MATCH($A980,OSNum,0)),"OS inexistente"))</f>
        <v>0</v>
      </c>
      <c r="J980" s="32">
        <f>IF($A980="","",IF($I980="OS inexistente","OS inexistente",IF($E980="Peça não cadastrada","Peça não cadastrada","OK")))</f>
        <v>0</v>
      </c>
    </row>
    <row r="981" spans="1:10">
      <c r="A981" s="17"/>
      <c r="B981" s="13"/>
      <c r="C981" s="20"/>
      <c r="D981" s="19"/>
      <c r="E981" s="26">
        <f>IF($B981="","",IFERROR(INDEX(PecDesc,MATCH($B981,PecCod,0)),"Peça não cadastrada"))</f>
        <v>0</v>
      </c>
      <c r="F981" s="27">
        <f>IF($B981="","",IF($D981&lt;&gt;"",$D981,IFERROR(INDEX(PecPreco,MATCH($B981,PecCod,0)),0)))</f>
        <v>0</v>
      </c>
      <c r="G981" s="27">
        <f>IF(OR($B981="",$C981=""),"",$C981*$F981)</f>
        <v>0</v>
      </c>
      <c r="H981" s="27">
        <f>IF(OR($B981="",$C981=""),"",$C981*IFERROR(INDEX(PecCusto,MATCH($B981,PecCod,0)),0))</f>
        <v>0</v>
      </c>
      <c r="I981" s="32">
        <f>IF($A981="","",IFERROR(INDEX(OSStatus,MATCH($A981,OSNum,0)),"OS inexistente"))</f>
        <v>0</v>
      </c>
      <c r="J981" s="32">
        <f>IF($A981="","",IF($I981="OS inexistente","OS inexistente",IF($E981="Peça não cadastrada","Peça não cadastrada","OK")))</f>
        <v>0</v>
      </c>
    </row>
    <row r="982" spans="1:10">
      <c r="A982" s="17"/>
      <c r="B982" s="13"/>
      <c r="C982" s="20"/>
      <c r="D982" s="19"/>
      <c r="E982" s="26">
        <f>IF($B982="","",IFERROR(INDEX(PecDesc,MATCH($B982,PecCod,0)),"Peça não cadastrada"))</f>
        <v>0</v>
      </c>
      <c r="F982" s="27">
        <f>IF($B982="","",IF($D982&lt;&gt;"",$D982,IFERROR(INDEX(PecPreco,MATCH($B982,PecCod,0)),0)))</f>
        <v>0</v>
      </c>
      <c r="G982" s="27">
        <f>IF(OR($B982="",$C982=""),"",$C982*$F982)</f>
        <v>0</v>
      </c>
      <c r="H982" s="27">
        <f>IF(OR($B982="",$C982=""),"",$C982*IFERROR(INDEX(PecCusto,MATCH($B982,PecCod,0)),0))</f>
        <v>0</v>
      </c>
      <c r="I982" s="32">
        <f>IF($A982="","",IFERROR(INDEX(OSStatus,MATCH($A982,OSNum,0)),"OS inexistente"))</f>
        <v>0</v>
      </c>
      <c r="J982" s="32">
        <f>IF($A982="","",IF($I982="OS inexistente","OS inexistente",IF($E982="Peça não cadastrada","Peça não cadastrada","OK")))</f>
        <v>0</v>
      </c>
    </row>
    <row r="983" spans="1:10">
      <c r="A983" s="17"/>
      <c r="B983" s="13"/>
      <c r="C983" s="20"/>
      <c r="D983" s="19"/>
      <c r="E983" s="26">
        <f>IF($B983="","",IFERROR(INDEX(PecDesc,MATCH($B983,PecCod,0)),"Peça não cadastrada"))</f>
        <v>0</v>
      </c>
      <c r="F983" s="27">
        <f>IF($B983="","",IF($D983&lt;&gt;"",$D983,IFERROR(INDEX(PecPreco,MATCH($B983,PecCod,0)),0)))</f>
        <v>0</v>
      </c>
      <c r="G983" s="27">
        <f>IF(OR($B983="",$C983=""),"",$C983*$F983)</f>
        <v>0</v>
      </c>
      <c r="H983" s="27">
        <f>IF(OR($B983="",$C983=""),"",$C983*IFERROR(INDEX(PecCusto,MATCH($B983,PecCod,0)),0))</f>
        <v>0</v>
      </c>
      <c r="I983" s="32">
        <f>IF($A983="","",IFERROR(INDEX(OSStatus,MATCH($A983,OSNum,0)),"OS inexistente"))</f>
        <v>0</v>
      </c>
      <c r="J983" s="32">
        <f>IF($A983="","",IF($I983="OS inexistente","OS inexistente",IF($E983="Peça não cadastrada","Peça não cadastrada","OK")))</f>
        <v>0</v>
      </c>
    </row>
    <row r="984" spans="1:10">
      <c r="A984" s="17"/>
      <c r="B984" s="13"/>
      <c r="C984" s="20"/>
      <c r="D984" s="19"/>
      <c r="E984" s="26">
        <f>IF($B984="","",IFERROR(INDEX(PecDesc,MATCH($B984,PecCod,0)),"Peça não cadastrada"))</f>
        <v>0</v>
      </c>
      <c r="F984" s="27">
        <f>IF($B984="","",IF($D984&lt;&gt;"",$D984,IFERROR(INDEX(PecPreco,MATCH($B984,PecCod,0)),0)))</f>
        <v>0</v>
      </c>
      <c r="G984" s="27">
        <f>IF(OR($B984="",$C984=""),"",$C984*$F984)</f>
        <v>0</v>
      </c>
      <c r="H984" s="27">
        <f>IF(OR($B984="",$C984=""),"",$C984*IFERROR(INDEX(PecCusto,MATCH($B984,PecCod,0)),0))</f>
        <v>0</v>
      </c>
      <c r="I984" s="32">
        <f>IF($A984="","",IFERROR(INDEX(OSStatus,MATCH($A984,OSNum,0)),"OS inexistente"))</f>
        <v>0</v>
      </c>
      <c r="J984" s="32">
        <f>IF($A984="","",IF($I984="OS inexistente","OS inexistente",IF($E984="Peça não cadastrada","Peça não cadastrada","OK")))</f>
        <v>0</v>
      </c>
    </row>
    <row r="985" spans="1:10">
      <c r="A985" s="17"/>
      <c r="B985" s="13"/>
      <c r="C985" s="20"/>
      <c r="D985" s="19"/>
      <c r="E985" s="26">
        <f>IF($B985="","",IFERROR(INDEX(PecDesc,MATCH($B985,PecCod,0)),"Peça não cadastrada"))</f>
        <v>0</v>
      </c>
      <c r="F985" s="27">
        <f>IF($B985="","",IF($D985&lt;&gt;"",$D985,IFERROR(INDEX(PecPreco,MATCH($B985,PecCod,0)),0)))</f>
        <v>0</v>
      </c>
      <c r="G985" s="27">
        <f>IF(OR($B985="",$C985=""),"",$C985*$F985)</f>
        <v>0</v>
      </c>
      <c r="H985" s="27">
        <f>IF(OR($B985="",$C985=""),"",$C985*IFERROR(INDEX(PecCusto,MATCH($B985,PecCod,0)),0))</f>
        <v>0</v>
      </c>
      <c r="I985" s="32">
        <f>IF($A985="","",IFERROR(INDEX(OSStatus,MATCH($A985,OSNum,0)),"OS inexistente"))</f>
        <v>0</v>
      </c>
      <c r="J985" s="32">
        <f>IF($A985="","",IF($I985="OS inexistente","OS inexistente",IF($E985="Peça não cadastrada","Peça não cadastrada","OK")))</f>
        <v>0</v>
      </c>
    </row>
    <row r="986" spans="1:10">
      <c r="A986" s="17"/>
      <c r="B986" s="13"/>
      <c r="C986" s="20"/>
      <c r="D986" s="19"/>
      <c r="E986" s="26">
        <f>IF($B986="","",IFERROR(INDEX(PecDesc,MATCH($B986,PecCod,0)),"Peça não cadastrada"))</f>
        <v>0</v>
      </c>
      <c r="F986" s="27">
        <f>IF($B986="","",IF($D986&lt;&gt;"",$D986,IFERROR(INDEX(PecPreco,MATCH($B986,PecCod,0)),0)))</f>
        <v>0</v>
      </c>
      <c r="G986" s="27">
        <f>IF(OR($B986="",$C986=""),"",$C986*$F986)</f>
        <v>0</v>
      </c>
      <c r="H986" s="27">
        <f>IF(OR($B986="",$C986=""),"",$C986*IFERROR(INDEX(PecCusto,MATCH($B986,PecCod,0)),0))</f>
        <v>0</v>
      </c>
      <c r="I986" s="32">
        <f>IF($A986="","",IFERROR(INDEX(OSStatus,MATCH($A986,OSNum,0)),"OS inexistente"))</f>
        <v>0</v>
      </c>
      <c r="J986" s="32">
        <f>IF($A986="","",IF($I986="OS inexistente","OS inexistente",IF($E986="Peça não cadastrada","Peça não cadastrada","OK")))</f>
        <v>0</v>
      </c>
    </row>
    <row r="987" spans="1:10">
      <c r="A987" s="17"/>
      <c r="B987" s="13"/>
      <c r="C987" s="20"/>
      <c r="D987" s="19"/>
      <c r="E987" s="26">
        <f>IF($B987="","",IFERROR(INDEX(PecDesc,MATCH($B987,PecCod,0)),"Peça não cadastrada"))</f>
        <v>0</v>
      </c>
      <c r="F987" s="27">
        <f>IF($B987="","",IF($D987&lt;&gt;"",$D987,IFERROR(INDEX(PecPreco,MATCH($B987,PecCod,0)),0)))</f>
        <v>0</v>
      </c>
      <c r="G987" s="27">
        <f>IF(OR($B987="",$C987=""),"",$C987*$F987)</f>
        <v>0</v>
      </c>
      <c r="H987" s="27">
        <f>IF(OR($B987="",$C987=""),"",$C987*IFERROR(INDEX(PecCusto,MATCH($B987,PecCod,0)),0))</f>
        <v>0</v>
      </c>
      <c r="I987" s="32">
        <f>IF($A987="","",IFERROR(INDEX(OSStatus,MATCH($A987,OSNum,0)),"OS inexistente"))</f>
        <v>0</v>
      </c>
      <c r="J987" s="32">
        <f>IF($A987="","",IF($I987="OS inexistente","OS inexistente",IF($E987="Peça não cadastrada","Peça não cadastrada","OK")))</f>
        <v>0</v>
      </c>
    </row>
    <row r="988" spans="1:10">
      <c r="A988" s="17"/>
      <c r="B988" s="13"/>
      <c r="C988" s="20"/>
      <c r="D988" s="19"/>
      <c r="E988" s="26">
        <f>IF($B988="","",IFERROR(INDEX(PecDesc,MATCH($B988,PecCod,0)),"Peça não cadastrada"))</f>
        <v>0</v>
      </c>
      <c r="F988" s="27">
        <f>IF($B988="","",IF($D988&lt;&gt;"",$D988,IFERROR(INDEX(PecPreco,MATCH($B988,PecCod,0)),0)))</f>
        <v>0</v>
      </c>
      <c r="G988" s="27">
        <f>IF(OR($B988="",$C988=""),"",$C988*$F988)</f>
        <v>0</v>
      </c>
      <c r="H988" s="27">
        <f>IF(OR($B988="",$C988=""),"",$C988*IFERROR(INDEX(PecCusto,MATCH($B988,PecCod,0)),0))</f>
        <v>0</v>
      </c>
      <c r="I988" s="32">
        <f>IF($A988="","",IFERROR(INDEX(OSStatus,MATCH($A988,OSNum,0)),"OS inexistente"))</f>
        <v>0</v>
      </c>
      <c r="J988" s="32">
        <f>IF($A988="","",IF($I988="OS inexistente","OS inexistente",IF($E988="Peça não cadastrada","Peça não cadastrada","OK")))</f>
        <v>0</v>
      </c>
    </row>
    <row r="989" spans="1:10">
      <c r="A989" s="17"/>
      <c r="B989" s="13"/>
      <c r="C989" s="20"/>
      <c r="D989" s="19"/>
      <c r="E989" s="26">
        <f>IF($B989="","",IFERROR(INDEX(PecDesc,MATCH($B989,PecCod,0)),"Peça não cadastrada"))</f>
        <v>0</v>
      </c>
      <c r="F989" s="27">
        <f>IF($B989="","",IF($D989&lt;&gt;"",$D989,IFERROR(INDEX(PecPreco,MATCH($B989,PecCod,0)),0)))</f>
        <v>0</v>
      </c>
      <c r="G989" s="27">
        <f>IF(OR($B989="",$C989=""),"",$C989*$F989)</f>
        <v>0</v>
      </c>
      <c r="H989" s="27">
        <f>IF(OR($B989="",$C989=""),"",$C989*IFERROR(INDEX(PecCusto,MATCH($B989,PecCod,0)),0))</f>
        <v>0</v>
      </c>
      <c r="I989" s="32">
        <f>IF($A989="","",IFERROR(INDEX(OSStatus,MATCH($A989,OSNum,0)),"OS inexistente"))</f>
        <v>0</v>
      </c>
      <c r="J989" s="32">
        <f>IF($A989="","",IF($I989="OS inexistente","OS inexistente",IF($E989="Peça não cadastrada","Peça não cadastrada","OK")))</f>
        <v>0</v>
      </c>
    </row>
    <row r="990" spans="1:10">
      <c r="A990" s="17"/>
      <c r="B990" s="13"/>
      <c r="C990" s="20"/>
      <c r="D990" s="19"/>
      <c r="E990" s="26">
        <f>IF($B990="","",IFERROR(INDEX(PecDesc,MATCH($B990,PecCod,0)),"Peça não cadastrada"))</f>
        <v>0</v>
      </c>
      <c r="F990" s="27">
        <f>IF($B990="","",IF($D990&lt;&gt;"",$D990,IFERROR(INDEX(PecPreco,MATCH($B990,PecCod,0)),0)))</f>
        <v>0</v>
      </c>
      <c r="G990" s="27">
        <f>IF(OR($B990="",$C990=""),"",$C990*$F990)</f>
        <v>0</v>
      </c>
      <c r="H990" s="27">
        <f>IF(OR($B990="",$C990=""),"",$C990*IFERROR(INDEX(PecCusto,MATCH($B990,PecCod,0)),0))</f>
        <v>0</v>
      </c>
      <c r="I990" s="32">
        <f>IF($A990="","",IFERROR(INDEX(OSStatus,MATCH($A990,OSNum,0)),"OS inexistente"))</f>
        <v>0</v>
      </c>
      <c r="J990" s="32">
        <f>IF($A990="","",IF($I990="OS inexistente","OS inexistente",IF($E990="Peça não cadastrada","Peça não cadastrada","OK")))</f>
        <v>0</v>
      </c>
    </row>
    <row r="991" spans="1:10">
      <c r="A991" s="17"/>
      <c r="B991" s="13"/>
      <c r="C991" s="20"/>
      <c r="D991" s="19"/>
      <c r="E991" s="26">
        <f>IF($B991="","",IFERROR(INDEX(PecDesc,MATCH($B991,PecCod,0)),"Peça não cadastrada"))</f>
        <v>0</v>
      </c>
      <c r="F991" s="27">
        <f>IF($B991="","",IF($D991&lt;&gt;"",$D991,IFERROR(INDEX(PecPreco,MATCH($B991,PecCod,0)),0)))</f>
        <v>0</v>
      </c>
      <c r="G991" s="27">
        <f>IF(OR($B991="",$C991=""),"",$C991*$F991)</f>
        <v>0</v>
      </c>
      <c r="H991" s="27">
        <f>IF(OR($B991="",$C991=""),"",$C991*IFERROR(INDEX(PecCusto,MATCH($B991,PecCod,0)),0))</f>
        <v>0</v>
      </c>
      <c r="I991" s="32">
        <f>IF($A991="","",IFERROR(INDEX(OSStatus,MATCH($A991,OSNum,0)),"OS inexistente"))</f>
        <v>0</v>
      </c>
      <c r="J991" s="32">
        <f>IF($A991="","",IF($I991="OS inexistente","OS inexistente",IF($E991="Peça não cadastrada","Peça não cadastrada","OK")))</f>
        <v>0</v>
      </c>
    </row>
    <row r="992" spans="1:10">
      <c r="A992" s="17"/>
      <c r="B992" s="13"/>
      <c r="C992" s="20"/>
      <c r="D992" s="19"/>
      <c r="E992" s="26">
        <f>IF($B992="","",IFERROR(INDEX(PecDesc,MATCH($B992,PecCod,0)),"Peça não cadastrada"))</f>
        <v>0</v>
      </c>
      <c r="F992" s="27">
        <f>IF($B992="","",IF($D992&lt;&gt;"",$D992,IFERROR(INDEX(PecPreco,MATCH($B992,PecCod,0)),0)))</f>
        <v>0</v>
      </c>
      <c r="G992" s="27">
        <f>IF(OR($B992="",$C992=""),"",$C992*$F992)</f>
        <v>0</v>
      </c>
      <c r="H992" s="27">
        <f>IF(OR($B992="",$C992=""),"",$C992*IFERROR(INDEX(PecCusto,MATCH($B992,PecCod,0)),0))</f>
        <v>0</v>
      </c>
      <c r="I992" s="32">
        <f>IF($A992="","",IFERROR(INDEX(OSStatus,MATCH($A992,OSNum,0)),"OS inexistente"))</f>
        <v>0</v>
      </c>
      <c r="J992" s="32">
        <f>IF($A992="","",IF($I992="OS inexistente","OS inexistente",IF($E992="Peça não cadastrada","Peça não cadastrada","OK")))</f>
        <v>0</v>
      </c>
    </row>
    <row r="993" spans="1:10">
      <c r="A993" s="17"/>
      <c r="B993" s="13"/>
      <c r="C993" s="20"/>
      <c r="D993" s="19"/>
      <c r="E993" s="26">
        <f>IF($B993="","",IFERROR(INDEX(PecDesc,MATCH($B993,PecCod,0)),"Peça não cadastrada"))</f>
        <v>0</v>
      </c>
      <c r="F993" s="27">
        <f>IF($B993="","",IF($D993&lt;&gt;"",$D993,IFERROR(INDEX(PecPreco,MATCH($B993,PecCod,0)),0)))</f>
        <v>0</v>
      </c>
      <c r="G993" s="27">
        <f>IF(OR($B993="",$C993=""),"",$C993*$F993)</f>
        <v>0</v>
      </c>
      <c r="H993" s="27">
        <f>IF(OR($B993="",$C993=""),"",$C993*IFERROR(INDEX(PecCusto,MATCH($B993,PecCod,0)),0))</f>
        <v>0</v>
      </c>
      <c r="I993" s="32">
        <f>IF($A993="","",IFERROR(INDEX(OSStatus,MATCH($A993,OSNum,0)),"OS inexistente"))</f>
        <v>0</v>
      </c>
      <c r="J993" s="32">
        <f>IF($A993="","",IF($I993="OS inexistente","OS inexistente",IF($E993="Peça não cadastrada","Peça não cadastrada","OK")))</f>
        <v>0</v>
      </c>
    </row>
    <row r="994" spans="1:10">
      <c r="A994" s="17"/>
      <c r="B994" s="13"/>
      <c r="C994" s="20"/>
      <c r="D994" s="19"/>
      <c r="E994" s="26">
        <f>IF($B994="","",IFERROR(INDEX(PecDesc,MATCH($B994,PecCod,0)),"Peça não cadastrada"))</f>
        <v>0</v>
      </c>
      <c r="F994" s="27">
        <f>IF($B994="","",IF($D994&lt;&gt;"",$D994,IFERROR(INDEX(PecPreco,MATCH($B994,PecCod,0)),0)))</f>
        <v>0</v>
      </c>
      <c r="G994" s="27">
        <f>IF(OR($B994="",$C994=""),"",$C994*$F994)</f>
        <v>0</v>
      </c>
      <c r="H994" s="27">
        <f>IF(OR($B994="",$C994=""),"",$C994*IFERROR(INDEX(PecCusto,MATCH($B994,PecCod,0)),0))</f>
        <v>0</v>
      </c>
      <c r="I994" s="32">
        <f>IF($A994="","",IFERROR(INDEX(OSStatus,MATCH($A994,OSNum,0)),"OS inexistente"))</f>
        <v>0</v>
      </c>
      <c r="J994" s="32">
        <f>IF($A994="","",IF($I994="OS inexistente","OS inexistente",IF($E994="Peça não cadastrada","Peça não cadastrada","OK")))</f>
        <v>0</v>
      </c>
    </row>
    <row r="995" spans="1:10">
      <c r="A995" s="17"/>
      <c r="B995" s="13"/>
      <c r="C995" s="20"/>
      <c r="D995" s="19"/>
      <c r="E995" s="26">
        <f>IF($B995="","",IFERROR(INDEX(PecDesc,MATCH($B995,PecCod,0)),"Peça não cadastrada"))</f>
        <v>0</v>
      </c>
      <c r="F995" s="27">
        <f>IF($B995="","",IF($D995&lt;&gt;"",$D995,IFERROR(INDEX(PecPreco,MATCH($B995,PecCod,0)),0)))</f>
        <v>0</v>
      </c>
      <c r="G995" s="27">
        <f>IF(OR($B995="",$C995=""),"",$C995*$F995)</f>
        <v>0</v>
      </c>
      <c r="H995" s="27">
        <f>IF(OR($B995="",$C995=""),"",$C995*IFERROR(INDEX(PecCusto,MATCH($B995,PecCod,0)),0))</f>
        <v>0</v>
      </c>
      <c r="I995" s="32">
        <f>IF($A995="","",IFERROR(INDEX(OSStatus,MATCH($A995,OSNum,0)),"OS inexistente"))</f>
        <v>0</v>
      </c>
      <c r="J995" s="32">
        <f>IF($A995="","",IF($I995="OS inexistente","OS inexistente",IF($E995="Peça não cadastrada","Peça não cadastrada","OK")))</f>
        <v>0</v>
      </c>
    </row>
    <row r="996" spans="1:10">
      <c r="A996" s="17"/>
      <c r="B996" s="13"/>
      <c r="C996" s="20"/>
      <c r="D996" s="19"/>
      <c r="E996" s="26">
        <f>IF($B996="","",IFERROR(INDEX(PecDesc,MATCH($B996,PecCod,0)),"Peça não cadastrada"))</f>
        <v>0</v>
      </c>
      <c r="F996" s="27">
        <f>IF($B996="","",IF($D996&lt;&gt;"",$D996,IFERROR(INDEX(PecPreco,MATCH($B996,PecCod,0)),0)))</f>
        <v>0</v>
      </c>
      <c r="G996" s="27">
        <f>IF(OR($B996="",$C996=""),"",$C996*$F996)</f>
        <v>0</v>
      </c>
      <c r="H996" s="27">
        <f>IF(OR($B996="",$C996=""),"",$C996*IFERROR(INDEX(PecCusto,MATCH($B996,PecCod,0)),0))</f>
        <v>0</v>
      </c>
      <c r="I996" s="32">
        <f>IF($A996="","",IFERROR(INDEX(OSStatus,MATCH($A996,OSNum,0)),"OS inexistente"))</f>
        <v>0</v>
      </c>
      <c r="J996" s="32">
        <f>IF($A996="","",IF($I996="OS inexistente","OS inexistente",IF($E996="Peça não cadastrada","Peça não cadastrada","OK")))</f>
        <v>0</v>
      </c>
    </row>
    <row r="997" spans="1:10">
      <c r="A997" s="17"/>
      <c r="B997" s="13"/>
      <c r="C997" s="20"/>
      <c r="D997" s="19"/>
      <c r="E997" s="26">
        <f>IF($B997="","",IFERROR(INDEX(PecDesc,MATCH($B997,PecCod,0)),"Peça não cadastrada"))</f>
        <v>0</v>
      </c>
      <c r="F997" s="27">
        <f>IF($B997="","",IF($D997&lt;&gt;"",$D997,IFERROR(INDEX(PecPreco,MATCH($B997,PecCod,0)),0)))</f>
        <v>0</v>
      </c>
      <c r="G997" s="27">
        <f>IF(OR($B997="",$C997=""),"",$C997*$F997)</f>
        <v>0</v>
      </c>
      <c r="H997" s="27">
        <f>IF(OR($B997="",$C997=""),"",$C997*IFERROR(INDEX(PecCusto,MATCH($B997,PecCod,0)),0))</f>
        <v>0</v>
      </c>
      <c r="I997" s="32">
        <f>IF($A997="","",IFERROR(INDEX(OSStatus,MATCH($A997,OSNum,0)),"OS inexistente"))</f>
        <v>0</v>
      </c>
      <c r="J997" s="32">
        <f>IF($A997="","",IF($I997="OS inexistente","OS inexistente",IF($E997="Peça não cadastrada","Peça não cadastrada","OK")))</f>
        <v>0</v>
      </c>
    </row>
    <row r="998" spans="1:10">
      <c r="A998" s="17"/>
      <c r="B998" s="13"/>
      <c r="C998" s="20"/>
      <c r="D998" s="19"/>
      <c r="E998" s="26">
        <f>IF($B998="","",IFERROR(INDEX(PecDesc,MATCH($B998,PecCod,0)),"Peça não cadastrada"))</f>
        <v>0</v>
      </c>
      <c r="F998" s="27">
        <f>IF($B998="","",IF($D998&lt;&gt;"",$D998,IFERROR(INDEX(PecPreco,MATCH($B998,PecCod,0)),0)))</f>
        <v>0</v>
      </c>
      <c r="G998" s="27">
        <f>IF(OR($B998="",$C998=""),"",$C998*$F998)</f>
        <v>0</v>
      </c>
      <c r="H998" s="27">
        <f>IF(OR($B998="",$C998=""),"",$C998*IFERROR(INDEX(PecCusto,MATCH($B998,PecCod,0)),0))</f>
        <v>0</v>
      </c>
      <c r="I998" s="32">
        <f>IF($A998="","",IFERROR(INDEX(OSStatus,MATCH($A998,OSNum,0)),"OS inexistente"))</f>
        <v>0</v>
      </c>
      <c r="J998" s="32">
        <f>IF($A998="","",IF($I998="OS inexistente","OS inexistente",IF($E998="Peça não cadastrada","Peça não cadastrada","OK")))</f>
        <v>0</v>
      </c>
    </row>
    <row r="999" spans="1:10">
      <c r="A999" s="17"/>
      <c r="B999" s="13"/>
      <c r="C999" s="20"/>
      <c r="D999" s="19"/>
      <c r="E999" s="26">
        <f>IF($B999="","",IFERROR(INDEX(PecDesc,MATCH($B999,PecCod,0)),"Peça não cadastrada"))</f>
        <v>0</v>
      </c>
      <c r="F999" s="27">
        <f>IF($B999="","",IF($D999&lt;&gt;"",$D999,IFERROR(INDEX(PecPreco,MATCH($B999,PecCod,0)),0)))</f>
        <v>0</v>
      </c>
      <c r="G999" s="27">
        <f>IF(OR($B999="",$C999=""),"",$C999*$F999)</f>
        <v>0</v>
      </c>
      <c r="H999" s="27">
        <f>IF(OR($B999="",$C999=""),"",$C999*IFERROR(INDEX(PecCusto,MATCH($B999,PecCod,0)),0))</f>
        <v>0</v>
      </c>
      <c r="I999" s="32">
        <f>IF($A999="","",IFERROR(INDEX(OSStatus,MATCH($A999,OSNum,0)),"OS inexistente"))</f>
        <v>0</v>
      </c>
      <c r="J999" s="32">
        <f>IF($A999="","",IF($I999="OS inexistente","OS inexistente",IF($E999="Peça não cadastrada","Peça não cadastrada","OK")))</f>
        <v>0</v>
      </c>
    </row>
    <row r="1000" spans="1:10">
      <c r="A1000" s="17"/>
      <c r="B1000" s="13"/>
      <c r="C1000" s="20"/>
      <c r="D1000" s="19"/>
      <c r="E1000" s="26">
        <f>IF($B1000="","",IFERROR(INDEX(PecDesc,MATCH($B1000,PecCod,0)),"Peça não cadastrada"))</f>
        <v>0</v>
      </c>
      <c r="F1000" s="27">
        <f>IF($B1000="","",IF($D1000&lt;&gt;"",$D1000,IFERROR(INDEX(PecPreco,MATCH($B1000,PecCod,0)),0)))</f>
        <v>0</v>
      </c>
      <c r="G1000" s="27">
        <f>IF(OR($B1000="",$C1000=""),"",$C1000*$F1000)</f>
        <v>0</v>
      </c>
      <c r="H1000" s="27">
        <f>IF(OR($B1000="",$C1000=""),"",$C1000*IFERROR(INDEX(PecCusto,MATCH($B1000,PecCod,0)),0))</f>
        <v>0</v>
      </c>
      <c r="I1000" s="32">
        <f>IF($A1000="","",IFERROR(INDEX(OSStatus,MATCH($A1000,OSNum,0)),"OS inexistente"))</f>
        <v>0</v>
      </c>
      <c r="J1000" s="32">
        <f>IF($A1000="","",IF($I1000="OS inexistente","OS inexistente",IF($E1000="Peça não cadastrada","Peça não cadastrada","OK")))</f>
        <v>0</v>
      </c>
    </row>
    <row r="1001" spans="1:10">
      <c r="A1001" s="17"/>
      <c r="B1001" s="13"/>
      <c r="C1001" s="20"/>
      <c r="D1001" s="19"/>
      <c r="E1001" s="26">
        <f>IF($B1001="","",IFERROR(INDEX(PecDesc,MATCH($B1001,PecCod,0)),"Peça não cadastrada"))</f>
        <v>0</v>
      </c>
      <c r="F1001" s="27">
        <f>IF($B1001="","",IF($D1001&lt;&gt;"",$D1001,IFERROR(INDEX(PecPreco,MATCH($B1001,PecCod,0)),0)))</f>
        <v>0</v>
      </c>
      <c r="G1001" s="27">
        <f>IF(OR($B1001="",$C1001=""),"",$C1001*$F1001)</f>
        <v>0</v>
      </c>
      <c r="H1001" s="27">
        <f>IF(OR($B1001="",$C1001=""),"",$C1001*IFERROR(INDEX(PecCusto,MATCH($B1001,PecCod,0)),0))</f>
        <v>0</v>
      </c>
      <c r="I1001" s="32">
        <f>IF($A1001="","",IFERROR(INDEX(OSStatus,MATCH($A1001,OSNum,0)),"OS inexistente"))</f>
        <v>0</v>
      </c>
      <c r="J1001" s="32">
        <f>IF($A1001="","",IF($I1001="OS inexistente","OS inexistente",IF($E1001="Peça não cadastrada","Peça não cadastrada","OK")))</f>
        <v>0</v>
      </c>
    </row>
    <row r="1002" spans="1:10">
      <c r="A1002" s="17"/>
      <c r="B1002" s="13"/>
      <c r="C1002" s="20"/>
      <c r="D1002" s="19"/>
      <c r="E1002" s="26">
        <f>IF($B1002="","",IFERROR(INDEX(PecDesc,MATCH($B1002,PecCod,0)),"Peça não cadastrada"))</f>
        <v>0</v>
      </c>
      <c r="F1002" s="27">
        <f>IF($B1002="","",IF($D1002&lt;&gt;"",$D1002,IFERROR(INDEX(PecPreco,MATCH($B1002,PecCod,0)),0)))</f>
        <v>0</v>
      </c>
      <c r="G1002" s="27">
        <f>IF(OR($B1002="",$C1002=""),"",$C1002*$F1002)</f>
        <v>0</v>
      </c>
      <c r="H1002" s="27">
        <f>IF(OR($B1002="",$C1002=""),"",$C1002*IFERROR(INDEX(PecCusto,MATCH($B1002,PecCod,0)),0))</f>
        <v>0</v>
      </c>
      <c r="I1002" s="32">
        <f>IF($A1002="","",IFERROR(INDEX(OSStatus,MATCH($A1002,OSNum,0)),"OS inexistente"))</f>
        <v>0</v>
      </c>
      <c r="J1002" s="32">
        <f>IF($A1002="","",IF($I1002="OS inexistente","OS inexistente",IF($E1002="Peça não cadastrada","Peça não cadastrada","OK")))</f>
        <v>0</v>
      </c>
    </row>
    <row r="1003" spans="1:10">
      <c r="A1003" s="17"/>
      <c r="B1003" s="13"/>
      <c r="C1003" s="20"/>
      <c r="D1003" s="19"/>
      <c r="E1003" s="26">
        <f>IF($B1003="","",IFERROR(INDEX(PecDesc,MATCH($B1003,PecCod,0)),"Peça não cadastrada"))</f>
        <v>0</v>
      </c>
      <c r="F1003" s="27">
        <f>IF($B1003="","",IF($D1003&lt;&gt;"",$D1003,IFERROR(INDEX(PecPreco,MATCH($B1003,PecCod,0)),0)))</f>
        <v>0</v>
      </c>
      <c r="G1003" s="27">
        <f>IF(OR($B1003="",$C1003=""),"",$C1003*$F1003)</f>
        <v>0</v>
      </c>
      <c r="H1003" s="27">
        <f>IF(OR($B1003="",$C1003=""),"",$C1003*IFERROR(INDEX(PecCusto,MATCH($B1003,PecCod,0)),0))</f>
        <v>0</v>
      </c>
      <c r="I1003" s="32">
        <f>IF($A1003="","",IFERROR(INDEX(OSStatus,MATCH($A1003,OSNum,0)),"OS inexistente"))</f>
        <v>0</v>
      </c>
      <c r="J1003" s="32">
        <f>IF($A1003="","",IF($I1003="OS inexistente","OS inexistente",IF($E1003="Peça não cadastrada","Peça não cadastrada","OK")))</f>
        <v>0</v>
      </c>
    </row>
    <row r="1004" spans="1:10">
      <c r="A1004" s="17"/>
      <c r="B1004" s="13"/>
      <c r="C1004" s="20"/>
      <c r="D1004" s="19"/>
      <c r="E1004" s="26">
        <f>IF($B1004="","",IFERROR(INDEX(PecDesc,MATCH($B1004,PecCod,0)),"Peça não cadastrada"))</f>
        <v>0</v>
      </c>
      <c r="F1004" s="27">
        <f>IF($B1004="","",IF($D1004&lt;&gt;"",$D1004,IFERROR(INDEX(PecPreco,MATCH($B1004,PecCod,0)),0)))</f>
        <v>0</v>
      </c>
      <c r="G1004" s="27">
        <f>IF(OR($B1004="",$C1004=""),"",$C1004*$F1004)</f>
        <v>0</v>
      </c>
      <c r="H1004" s="27">
        <f>IF(OR($B1004="",$C1004=""),"",$C1004*IFERROR(INDEX(PecCusto,MATCH($B1004,PecCod,0)),0))</f>
        <v>0</v>
      </c>
      <c r="I1004" s="32">
        <f>IF($A1004="","",IFERROR(INDEX(OSStatus,MATCH($A1004,OSNum,0)),"OS inexistente"))</f>
        <v>0</v>
      </c>
      <c r="J1004" s="32">
        <f>IF($A1004="","",IF($I1004="OS inexistente","OS inexistente",IF($E1004="Peça não cadastrada","Peça não cadastrada","OK")))</f>
        <v>0</v>
      </c>
    </row>
    <row r="1005" spans="1:10">
      <c r="A1005" s="17"/>
      <c r="B1005" s="13"/>
      <c r="C1005" s="20"/>
      <c r="D1005" s="19"/>
      <c r="E1005" s="26">
        <f>IF($B1005="","",IFERROR(INDEX(PecDesc,MATCH($B1005,PecCod,0)),"Peça não cadastrada"))</f>
        <v>0</v>
      </c>
      <c r="F1005" s="27">
        <f>IF($B1005="","",IF($D1005&lt;&gt;"",$D1005,IFERROR(INDEX(PecPreco,MATCH($B1005,PecCod,0)),0)))</f>
        <v>0</v>
      </c>
      <c r="G1005" s="27">
        <f>IF(OR($B1005="",$C1005=""),"",$C1005*$F1005)</f>
        <v>0</v>
      </c>
      <c r="H1005" s="27">
        <f>IF(OR($B1005="",$C1005=""),"",$C1005*IFERROR(INDEX(PecCusto,MATCH($B1005,PecCod,0)),0))</f>
        <v>0</v>
      </c>
      <c r="I1005" s="32">
        <f>IF($A1005="","",IFERROR(INDEX(OSStatus,MATCH($A1005,OSNum,0)),"OS inexistente"))</f>
        <v>0</v>
      </c>
      <c r="J1005" s="32">
        <f>IF($A1005="","",IF($I1005="OS inexistente","OS inexistente",IF($E1005="Peça não cadastrada","Peça não cadastrada","OK")))</f>
        <v>0</v>
      </c>
    </row>
    <row r="1006" spans="1:10">
      <c r="A1006" s="17"/>
      <c r="B1006" s="13"/>
      <c r="C1006" s="20"/>
      <c r="D1006" s="19"/>
      <c r="E1006" s="26">
        <f>IF($B1006="","",IFERROR(INDEX(PecDesc,MATCH($B1006,PecCod,0)),"Peça não cadastrada"))</f>
        <v>0</v>
      </c>
      <c r="F1006" s="27">
        <f>IF($B1006="","",IF($D1006&lt;&gt;"",$D1006,IFERROR(INDEX(PecPreco,MATCH($B1006,PecCod,0)),0)))</f>
        <v>0</v>
      </c>
      <c r="G1006" s="27">
        <f>IF(OR($B1006="",$C1006=""),"",$C1006*$F1006)</f>
        <v>0</v>
      </c>
      <c r="H1006" s="27">
        <f>IF(OR($B1006="",$C1006=""),"",$C1006*IFERROR(INDEX(PecCusto,MATCH($B1006,PecCod,0)),0))</f>
        <v>0</v>
      </c>
      <c r="I1006" s="32">
        <f>IF($A1006="","",IFERROR(INDEX(OSStatus,MATCH($A1006,OSNum,0)),"OS inexistente"))</f>
        <v>0</v>
      </c>
      <c r="J1006" s="32">
        <f>IF($A1006="","",IF($I1006="OS inexistente","OS inexistente",IF($E1006="Peça não cadastrada","Peça não cadastrada","OK")))</f>
        <v>0</v>
      </c>
    </row>
    <row r="1007" spans="1:10">
      <c r="A1007" s="17"/>
      <c r="B1007" s="13"/>
      <c r="C1007" s="20"/>
      <c r="D1007" s="19"/>
      <c r="E1007" s="26">
        <f>IF($B1007="","",IFERROR(INDEX(PecDesc,MATCH($B1007,PecCod,0)),"Peça não cadastrada"))</f>
        <v>0</v>
      </c>
      <c r="F1007" s="27">
        <f>IF($B1007="","",IF($D1007&lt;&gt;"",$D1007,IFERROR(INDEX(PecPreco,MATCH($B1007,PecCod,0)),0)))</f>
        <v>0</v>
      </c>
      <c r="G1007" s="27">
        <f>IF(OR($B1007="",$C1007=""),"",$C1007*$F1007)</f>
        <v>0</v>
      </c>
      <c r="H1007" s="27">
        <f>IF(OR($B1007="",$C1007=""),"",$C1007*IFERROR(INDEX(PecCusto,MATCH($B1007,PecCod,0)),0))</f>
        <v>0</v>
      </c>
      <c r="I1007" s="32">
        <f>IF($A1007="","",IFERROR(INDEX(OSStatus,MATCH($A1007,OSNum,0)),"OS inexistente"))</f>
        <v>0</v>
      </c>
      <c r="J1007" s="32">
        <f>IF($A1007="","",IF($I1007="OS inexistente","OS inexistente",IF($E1007="Peça não cadastrada","Peça não cadastrada","OK")))</f>
        <v>0</v>
      </c>
    </row>
    <row r="1008" spans="1:10">
      <c r="A1008" s="17"/>
      <c r="B1008" s="13"/>
      <c r="C1008" s="20"/>
      <c r="D1008" s="19"/>
      <c r="E1008" s="26">
        <f>IF($B1008="","",IFERROR(INDEX(PecDesc,MATCH($B1008,PecCod,0)),"Peça não cadastrada"))</f>
        <v>0</v>
      </c>
      <c r="F1008" s="27">
        <f>IF($B1008="","",IF($D1008&lt;&gt;"",$D1008,IFERROR(INDEX(PecPreco,MATCH($B1008,PecCod,0)),0)))</f>
        <v>0</v>
      </c>
      <c r="G1008" s="27">
        <f>IF(OR($B1008="",$C1008=""),"",$C1008*$F1008)</f>
        <v>0</v>
      </c>
      <c r="H1008" s="27">
        <f>IF(OR($B1008="",$C1008=""),"",$C1008*IFERROR(INDEX(PecCusto,MATCH($B1008,PecCod,0)),0))</f>
        <v>0</v>
      </c>
      <c r="I1008" s="32">
        <f>IF($A1008="","",IFERROR(INDEX(OSStatus,MATCH($A1008,OSNum,0)),"OS inexistente"))</f>
        <v>0</v>
      </c>
      <c r="J1008" s="32">
        <f>IF($A1008="","",IF($I1008="OS inexistente","OS inexistente",IF($E1008="Peça não cadastrada","Peça não cadastrada","OK")))</f>
        <v>0</v>
      </c>
    </row>
    <row r="1009" spans="1:10">
      <c r="A1009" s="17"/>
      <c r="B1009" s="13"/>
      <c r="C1009" s="20"/>
      <c r="D1009" s="19"/>
      <c r="E1009" s="26">
        <f>IF($B1009="","",IFERROR(INDEX(PecDesc,MATCH($B1009,PecCod,0)),"Peça não cadastrada"))</f>
        <v>0</v>
      </c>
      <c r="F1009" s="27">
        <f>IF($B1009="","",IF($D1009&lt;&gt;"",$D1009,IFERROR(INDEX(PecPreco,MATCH($B1009,PecCod,0)),0)))</f>
        <v>0</v>
      </c>
      <c r="G1009" s="27">
        <f>IF(OR($B1009="",$C1009=""),"",$C1009*$F1009)</f>
        <v>0</v>
      </c>
      <c r="H1009" s="27">
        <f>IF(OR($B1009="",$C1009=""),"",$C1009*IFERROR(INDEX(PecCusto,MATCH($B1009,PecCod,0)),0))</f>
        <v>0</v>
      </c>
      <c r="I1009" s="32">
        <f>IF($A1009="","",IFERROR(INDEX(OSStatus,MATCH($A1009,OSNum,0)),"OS inexistente"))</f>
        <v>0</v>
      </c>
      <c r="J1009" s="32">
        <f>IF($A1009="","",IF($I1009="OS inexistente","OS inexistente",IF($E1009="Peça não cadastrada","Peça não cadastrada","OK")))</f>
        <v>0</v>
      </c>
    </row>
    <row r="1010" spans="1:10">
      <c r="A1010" s="17"/>
      <c r="B1010" s="13"/>
      <c r="C1010" s="20"/>
      <c r="D1010" s="19"/>
      <c r="E1010" s="26">
        <f>IF($B1010="","",IFERROR(INDEX(PecDesc,MATCH($B1010,PecCod,0)),"Peça não cadastrada"))</f>
        <v>0</v>
      </c>
      <c r="F1010" s="27">
        <f>IF($B1010="","",IF($D1010&lt;&gt;"",$D1010,IFERROR(INDEX(PecPreco,MATCH($B1010,PecCod,0)),0)))</f>
        <v>0</v>
      </c>
      <c r="G1010" s="27">
        <f>IF(OR($B1010="",$C1010=""),"",$C1010*$F1010)</f>
        <v>0</v>
      </c>
      <c r="H1010" s="27">
        <f>IF(OR($B1010="",$C1010=""),"",$C1010*IFERROR(INDEX(PecCusto,MATCH($B1010,PecCod,0)),0))</f>
        <v>0</v>
      </c>
      <c r="I1010" s="32">
        <f>IF($A1010="","",IFERROR(INDEX(OSStatus,MATCH($A1010,OSNum,0)),"OS inexistente"))</f>
        <v>0</v>
      </c>
      <c r="J1010" s="32">
        <f>IF($A1010="","",IF($I1010="OS inexistente","OS inexistente",IF($E1010="Peça não cadastrada","Peça não cadastrada","OK")))</f>
        <v>0</v>
      </c>
    </row>
    <row r="1011" spans="1:10">
      <c r="A1011" s="17"/>
      <c r="B1011" s="13"/>
      <c r="C1011" s="20"/>
      <c r="D1011" s="19"/>
      <c r="E1011" s="26">
        <f>IF($B1011="","",IFERROR(INDEX(PecDesc,MATCH($B1011,PecCod,0)),"Peça não cadastrada"))</f>
        <v>0</v>
      </c>
      <c r="F1011" s="27">
        <f>IF($B1011="","",IF($D1011&lt;&gt;"",$D1011,IFERROR(INDEX(PecPreco,MATCH($B1011,PecCod,0)),0)))</f>
        <v>0</v>
      </c>
      <c r="G1011" s="27">
        <f>IF(OR($B1011="",$C1011=""),"",$C1011*$F1011)</f>
        <v>0</v>
      </c>
      <c r="H1011" s="27">
        <f>IF(OR($B1011="",$C1011=""),"",$C1011*IFERROR(INDEX(PecCusto,MATCH($B1011,PecCod,0)),0))</f>
        <v>0</v>
      </c>
      <c r="I1011" s="32">
        <f>IF($A1011="","",IFERROR(INDEX(OSStatus,MATCH($A1011,OSNum,0)),"OS inexistente"))</f>
        <v>0</v>
      </c>
      <c r="J1011" s="32">
        <f>IF($A1011="","",IF($I1011="OS inexistente","OS inexistente",IF($E1011="Peça não cadastrada","Peça não cadastrada","OK")))</f>
        <v>0</v>
      </c>
    </row>
    <row r="1012" spans="1:10">
      <c r="A1012" s="17"/>
      <c r="B1012" s="13"/>
      <c r="C1012" s="20"/>
      <c r="D1012" s="19"/>
      <c r="E1012" s="26">
        <f>IF($B1012="","",IFERROR(INDEX(PecDesc,MATCH($B1012,PecCod,0)),"Peça não cadastrada"))</f>
        <v>0</v>
      </c>
      <c r="F1012" s="27">
        <f>IF($B1012="","",IF($D1012&lt;&gt;"",$D1012,IFERROR(INDEX(PecPreco,MATCH($B1012,PecCod,0)),0)))</f>
        <v>0</v>
      </c>
      <c r="G1012" s="27">
        <f>IF(OR($B1012="",$C1012=""),"",$C1012*$F1012)</f>
        <v>0</v>
      </c>
      <c r="H1012" s="27">
        <f>IF(OR($B1012="",$C1012=""),"",$C1012*IFERROR(INDEX(PecCusto,MATCH($B1012,PecCod,0)),0))</f>
        <v>0</v>
      </c>
      <c r="I1012" s="32">
        <f>IF($A1012="","",IFERROR(INDEX(OSStatus,MATCH($A1012,OSNum,0)),"OS inexistente"))</f>
        <v>0</v>
      </c>
      <c r="J1012" s="32">
        <f>IF($A1012="","",IF($I1012="OS inexistente","OS inexistente",IF($E1012="Peça não cadastrada","Peça não cadastrada","OK")))</f>
        <v>0</v>
      </c>
    </row>
    <row r="1013" spans="1:10">
      <c r="A1013" s="17"/>
      <c r="B1013" s="13"/>
      <c r="C1013" s="20"/>
      <c r="D1013" s="19"/>
      <c r="E1013" s="26">
        <f>IF($B1013="","",IFERROR(INDEX(PecDesc,MATCH($B1013,PecCod,0)),"Peça não cadastrada"))</f>
        <v>0</v>
      </c>
      <c r="F1013" s="27">
        <f>IF($B1013="","",IF($D1013&lt;&gt;"",$D1013,IFERROR(INDEX(PecPreco,MATCH($B1013,PecCod,0)),0)))</f>
        <v>0</v>
      </c>
      <c r="G1013" s="27">
        <f>IF(OR($B1013="",$C1013=""),"",$C1013*$F1013)</f>
        <v>0</v>
      </c>
      <c r="H1013" s="27">
        <f>IF(OR($B1013="",$C1013=""),"",$C1013*IFERROR(INDEX(PecCusto,MATCH($B1013,PecCod,0)),0))</f>
        <v>0</v>
      </c>
      <c r="I1013" s="32">
        <f>IF($A1013="","",IFERROR(INDEX(OSStatus,MATCH($A1013,OSNum,0)),"OS inexistente"))</f>
        <v>0</v>
      </c>
      <c r="J1013" s="32">
        <f>IF($A1013="","",IF($I1013="OS inexistente","OS inexistente",IF($E1013="Peça não cadastrada","Peça não cadastrada","OK")))</f>
        <v>0</v>
      </c>
    </row>
    <row r="1014" spans="1:10">
      <c r="A1014" s="17"/>
      <c r="B1014" s="13"/>
      <c r="C1014" s="20"/>
      <c r="D1014" s="19"/>
      <c r="E1014" s="26">
        <f>IF($B1014="","",IFERROR(INDEX(PecDesc,MATCH($B1014,PecCod,0)),"Peça não cadastrada"))</f>
        <v>0</v>
      </c>
      <c r="F1014" s="27">
        <f>IF($B1014="","",IF($D1014&lt;&gt;"",$D1014,IFERROR(INDEX(PecPreco,MATCH($B1014,PecCod,0)),0)))</f>
        <v>0</v>
      </c>
      <c r="G1014" s="27">
        <f>IF(OR($B1014="",$C1014=""),"",$C1014*$F1014)</f>
        <v>0</v>
      </c>
      <c r="H1014" s="27">
        <f>IF(OR($B1014="",$C1014=""),"",$C1014*IFERROR(INDEX(PecCusto,MATCH($B1014,PecCod,0)),0))</f>
        <v>0</v>
      </c>
      <c r="I1014" s="32">
        <f>IF($A1014="","",IFERROR(INDEX(OSStatus,MATCH($A1014,OSNum,0)),"OS inexistente"))</f>
        <v>0</v>
      </c>
      <c r="J1014" s="32">
        <f>IF($A1014="","",IF($I1014="OS inexistente","OS inexistente",IF($E1014="Peça não cadastrada","Peça não cadastrada","OK")))</f>
        <v>0</v>
      </c>
    </row>
    <row r="1015" spans="1:10">
      <c r="A1015" s="17"/>
      <c r="B1015" s="13"/>
      <c r="C1015" s="20"/>
      <c r="D1015" s="19"/>
      <c r="E1015" s="26">
        <f>IF($B1015="","",IFERROR(INDEX(PecDesc,MATCH($B1015,PecCod,0)),"Peça não cadastrada"))</f>
        <v>0</v>
      </c>
      <c r="F1015" s="27">
        <f>IF($B1015="","",IF($D1015&lt;&gt;"",$D1015,IFERROR(INDEX(PecPreco,MATCH($B1015,PecCod,0)),0)))</f>
        <v>0</v>
      </c>
      <c r="G1015" s="27">
        <f>IF(OR($B1015="",$C1015=""),"",$C1015*$F1015)</f>
        <v>0</v>
      </c>
      <c r="H1015" s="27">
        <f>IF(OR($B1015="",$C1015=""),"",$C1015*IFERROR(INDEX(PecCusto,MATCH($B1015,PecCod,0)),0))</f>
        <v>0</v>
      </c>
      <c r="I1015" s="32">
        <f>IF($A1015="","",IFERROR(INDEX(OSStatus,MATCH($A1015,OSNum,0)),"OS inexistente"))</f>
        <v>0</v>
      </c>
      <c r="J1015" s="32">
        <f>IF($A1015="","",IF($I1015="OS inexistente","OS inexistente",IF($E1015="Peça não cadastrada","Peça não cadastrada","OK")))</f>
        <v>0</v>
      </c>
    </row>
    <row r="1016" spans="1:10">
      <c r="A1016" s="17"/>
      <c r="B1016" s="13"/>
      <c r="C1016" s="20"/>
      <c r="D1016" s="19"/>
      <c r="E1016" s="26">
        <f>IF($B1016="","",IFERROR(INDEX(PecDesc,MATCH($B1016,PecCod,0)),"Peça não cadastrada"))</f>
        <v>0</v>
      </c>
      <c r="F1016" s="27">
        <f>IF($B1016="","",IF($D1016&lt;&gt;"",$D1016,IFERROR(INDEX(PecPreco,MATCH($B1016,PecCod,0)),0)))</f>
        <v>0</v>
      </c>
      <c r="G1016" s="27">
        <f>IF(OR($B1016="",$C1016=""),"",$C1016*$F1016)</f>
        <v>0</v>
      </c>
      <c r="H1016" s="27">
        <f>IF(OR($B1016="",$C1016=""),"",$C1016*IFERROR(INDEX(PecCusto,MATCH($B1016,PecCod,0)),0))</f>
        <v>0</v>
      </c>
      <c r="I1016" s="32">
        <f>IF($A1016="","",IFERROR(INDEX(OSStatus,MATCH($A1016,OSNum,0)),"OS inexistente"))</f>
        <v>0</v>
      </c>
      <c r="J1016" s="32">
        <f>IF($A1016="","",IF($I1016="OS inexistente","OS inexistente",IF($E1016="Peça não cadastrada","Peça não cadastrada","OK")))</f>
        <v>0</v>
      </c>
    </row>
    <row r="1017" spans="1:10">
      <c r="A1017" s="17"/>
      <c r="B1017" s="13"/>
      <c r="C1017" s="20"/>
      <c r="D1017" s="19"/>
      <c r="E1017" s="26">
        <f>IF($B1017="","",IFERROR(INDEX(PecDesc,MATCH($B1017,PecCod,0)),"Peça não cadastrada"))</f>
        <v>0</v>
      </c>
      <c r="F1017" s="27">
        <f>IF($B1017="","",IF($D1017&lt;&gt;"",$D1017,IFERROR(INDEX(PecPreco,MATCH($B1017,PecCod,0)),0)))</f>
        <v>0</v>
      </c>
      <c r="G1017" s="27">
        <f>IF(OR($B1017="",$C1017=""),"",$C1017*$F1017)</f>
        <v>0</v>
      </c>
      <c r="H1017" s="27">
        <f>IF(OR($B1017="",$C1017=""),"",$C1017*IFERROR(INDEX(PecCusto,MATCH($B1017,PecCod,0)),0))</f>
        <v>0</v>
      </c>
      <c r="I1017" s="32">
        <f>IF($A1017="","",IFERROR(INDEX(OSStatus,MATCH($A1017,OSNum,0)),"OS inexistente"))</f>
        <v>0</v>
      </c>
      <c r="J1017" s="32">
        <f>IF($A1017="","",IF($I1017="OS inexistente","OS inexistente",IF($E1017="Peça não cadastrada","Peça não cadastrada","OK")))</f>
        <v>0</v>
      </c>
    </row>
    <row r="1018" spans="1:10">
      <c r="A1018" s="17"/>
      <c r="B1018" s="13"/>
      <c r="C1018" s="20"/>
      <c r="D1018" s="19"/>
      <c r="E1018" s="26">
        <f>IF($B1018="","",IFERROR(INDEX(PecDesc,MATCH($B1018,PecCod,0)),"Peça não cadastrada"))</f>
        <v>0</v>
      </c>
      <c r="F1018" s="27">
        <f>IF($B1018="","",IF($D1018&lt;&gt;"",$D1018,IFERROR(INDEX(PecPreco,MATCH($B1018,PecCod,0)),0)))</f>
        <v>0</v>
      </c>
      <c r="G1018" s="27">
        <f>IF(OR($B1018="",$C1018=""),"",$C1018*$F1018)</f>
        <v>0</v>
      </c>
      <c r="H1018" s="27">
        <f>IF(OR($B1018="",$C1018=""),"",$C1018*IFERROR(INDEX(PecCusto,MATCH($B1018,PecCod,0)),0))</f>
        <v>0</v>
      </c>
      <c r="I1018" s="32">
        <f>IF($A1018="","",IFERROR(INDEX(OSStatus,MATCH($A1018,OSNum,0)),"OS inexistente"))</f>
        <v>0</v>
      </c>
      <c r="J1018" s="32">
        <f>IF($A1018="","",IF($I1018="OS inexistente","OS inexistente",IF($E1018="Peça não cadastrada","Peça não cadastrada","OK")))</f>
        <v>0</v>
      </c>
    </row>
    <row r="1019" spans="1:10">
      <c r="A1019" s="17"/>
      <c r="B1019" s="13"/>
      <c r="C1019" s="20"/>
      <c r="D1019" s="19"/>
      <c r="E1019" s="26">
        <f>IF($B1019="","",IFERROR(INDEX(PecDesc,MATCH($B1019,PecCod,0)),"Peça não cadastrada"))</f>
        <v>0</v>
      </c>
      <c r="F1019" s="27">
        <f>IF($B1019="","",IF($D1019&lt;&gt;"",$D1019,IFERROR(INDEX(PecPreco,MATCH($B1019,PecCod,0)),0)))</f>
        <v>0</v>
      </c>
      <c r="G1019" s="27">
        <f>IF(OR($B1019="",$C1019=""),"",$C1019*$F1019)</f>
        <v>0</v>
      </c>
      <c r="H1019" s="27">
        <f>IF(OR($B1019="",$C1019=""),"",$C1019*IFERROR(INDEX(PecCusto,MATCH($B1019,PecCod,0)),0))</f>
        <v>0</v>
      </c>
      <c r="I1019" s="32">
        <f>IF($A1019="","",IFERROR(INDEX(OSStatus,MATCH($A1019,OSNum,0)),"OS inexistente"))</f>
        <v>0</v>
      </c>
      <c r="J1019" s="32">
        <f>IF($A1019="","",IF($I1019="OS inexistente","OS inexistente",IF($E1019="Peça não cadastrada","Peça não cadastrada","OK")))</f>
        <v>0</v>
      </c>
    </row>
    <row r="1020" spans="1:10">
      <c r="A1020" s="17"/>
      <c r="B1020" s="13"/>
      <c r="C1020" s="20"/>
      <c r="D1020" s="19"/>
      <c r="E1020" s="26">
        <f>IF($B1020="","",IFERROR(INDEX(PecDesc,MATCH($B1020,PecCod,0)),"Peça não cadastrada"))</f>
        <v>0</v>
      </c>
      <c r="F1020" s="27">
        <f>IF($B1020="","",IF($D1020&lt;&gt;"",$D1020,IFERROR(INDEX(PecPreco,MATCH($B1020,PecCod,0)),0)))</f>
        <v>0</v>
      </c>
      <c r="G1020" s="27">
        <f>IF(OR($B1020="",$C1020=""),"",$C1020*$F1020)</f>
        <v>0</v>
      </c>
      <c r="H1020" s="27">
        <f>IF(OR($B1020="",$C1020=""),"",$C1020*IFERROR(INDEX(PecCusto,MATCH($B1020,PecCod,0)),0))</f>
        <v>0</v>
      </c>
      <c r="I1020" s="32">
        <f>IF($A1020="","",IFERROR(INDEX(OSStatus,MATCH($A1020,OSNum,0)),"OS inexistente"))</f>
        <v>0</v>
      </c>
      <c r="J1020" s="32">
        <f>IF($A1020="","",IF($I1020="OS inexistente","OS inexistente",IF($E1020="Peça não cadastrada","Peça não cadastrada","OK")))</f>
        <v>0</v>
      </c>
    </row>
    <row r="1021" spans="1:10">
      <c r="A1021" s="17"/>
      <c r="B1021" s="13"/>
      <c r="C1021" s="20"/>
      <c r="D1021" s="19"/>
      <c r="E1021" s="26">
        <f>IF($B1021="","",IFERROR(INDEX(PecDesc,MATCH($B1021,PecCod,0)),"Peça não cadastrada"))</f>
        <v>0</v>
      </c>
      <c r="F1021" s="27">
        <f>IF($B1021="","",IF($D1021&lt;&gt;"",$D1021,IFERROR(INDEX(PecPreco,MATCH($B1021,PecCod,0)),0)))</f>
        <v>0</v>
      </c>
      <c r="G1021" s="27">
        <f>IF(OR($B1021="",$C1021=""),"",$C1021*$F1021)</f>
        <v>0</v>
      </c>
      <c r="H1021" s="27">
        <f>IF(OR($B1021="",$C1021=""),"",$C1021*IFERROR(INDEX(PecCusto,MATCH($B1021,PecCod,0)),0))</f>
        <v>0</v>
      </c>
      <c r="I1021" s="32">
        <f>IF($A1021="","",IFERROR(INDEX(OSStatus,MATCH($A1021,OSNum,0)),"OS inexistente"))</f>
        <v>0</v>
      </c>
      <c r="J1021" s="32">
        <f>IF($A1021="","",IF($I1021="OS inexistente","OS inexistente",IF($E1021="Peça não cadastrada","Peça não cadastrada","OK")))</f>
        <v>0</v>
      </c>
    </row>
    <row r="1022" spans="1:10">
      <c r="A1022" s="17"/>
      <c r="B1022" s="13"/>
      <c r="C1022" s="20"/>
      <c r="D1022" s="19"/>
      <c r="E1022" s="26">
        <f>IF($B1022="","",IFERROR(INDEX(PecDesc,MATCH($B1022,PecCod,0)),"Peça não cadastrada"))</f>
        <v>0</v>
      </c>
      <c r="F1022" s="27">
        <f>IF($B1022="","",IF($D1022&lt;&gt;"",$D1022,IFERROR(INDEX(PecPreco,MATCH($B1022,PecCod,0)),0)))</f>
        <v>0</v>
      </c>
      <c r="G1022" s="27">
        <f>IF(OR($B1022="",$C1022=""),"",$C1022*$F1022)</f>
        <v>0</v>
      </c>
      <c r="H1022" s="27">
        <f>IF(OR($B1022="",$C1022=""),"",$C1022*IFERROR(INDEX(PecCusto,MATCH($B1022,PecCod,0)),0))</f>
        <v>0</v>
      </c>
      <c r="I1022" s="32">
        <f>IF($A1022="","",IFERROR(INDEX(OSStatus,MATCH($A1022,OSNum,0)),"OS inexistente"))</f>
        <v>0</v>
      </c>
      <c r="J1022" s="32">
        <f>IF($A1022="","",IF($I1022="OS inexistente","OS inexistente",IF($E1022="Peça não cadastrada","Peça não cadastrada","OK")))</f>
        <v>0</v>
      </c>
    </row>
    <row r="1023" spans="1:10">
      <c r="A1023" s="17"/>
      <c r="B1023" s="13"/>
      <c r="C1023" s="20"/>
      <c r="D1023" s="19"/>
      <c r="E1023" s="26">
        <f>IF($B1023="","",IFERROR(INDEX(PecDesc,MATCH($B1023,PecCod,0)),"Peça não cadastrada"))</f>
        <v>0</v>
      </c>
      <c r="F1023" s="27">
        <f>IF($B1023="","",IF($D1023&lt;&gt;"",$D1023,IFERROR(INDEX(PecPreco,MATCH($B1023,PecCod,0)),0)))</f>
        <v>0</v>
      </c>
      <c r="G1023" s="27">
        <f>IF(OR($B1023="",$C1023=""),"",$C1023*$F1023)</f>
        <v>0</v>
      </c>
      <c r="H1023" s="27">
        <f>IF(OR($B1023="",$C1023=""),"",$C1023*IFERROR(INDEX(PecCusto,MATCH($B1023,PecCod,0)),0))</f>
        <v>0</v>
      </c>
      <c r="I1023" s="32">
        <f>IF($A1023="","",IFERROR(INDEX(OSStatus,MATCH($A1023,OSNum,0)),"OS inexistente"))</f>
        <v>0</v>
      </c>
      <c r="J1023" s="32">
        <f>IF($A1023="","",IF($I1023="OS inexistente","OS inexistente",IF($E1023="Peça não cadastrada","Peça não cadastrada","OK")))</f>
        <v>0</v>
      </c>
    </row>
    <row r="1024" spans="1:10">
      <c r="A1024" s="17"/>
      <c r="B1024" s="13"/>
      <c r="C1024" s="20"/>
      <c r="D1024" s="19"/>
      <c r="E1024" s="26">
        <f>IF($B1024="","",IFERROR(INDEX(PecDesc,MATCH($B1024,PecCod,0)),"Peça não cadastrada"))</f>
        <v>0</v>
      </c>
      <c r="F1024" s="27">
        <f>IF($B1024="","",IF($D1024&lt;&gt;"",$D1024,IFERROR(INDEX(PecPreco,MATCH($B1024,PecCod,0)),0)))</f>
        <v>0</v>
      </c>
      <c r="G1024" s="27">
        <f>IF(OR($B1024="",$C1024=""),"",$C1024*$F1024)</f>
        <v>0</v>
      </c>
      <c r="H1024" s="27">
        <f>IF(OR($B1024="",$C1024=""),"",$C1024*IFERROR(INDEX(PecCusto,MATCH($B1024,PecCod,0)),0))</f>
        <v>0</v>
      </c>
      <c r="I1024" s="32">
        <f>IF($A1024="","",IFERROR(INDEX(OSStatus,MATCH($A1024,OSNum,0)),"OS inexistente"))</f>
        <v>0</v>
      </c>
      <c r="J1024" s="32">
        <f>IF($A1024="","",IF($I1024="OS inexistente","OS inexistente",IF($E1024="Peça não cadastrada","Peça não cadastrada","OK")))</f>
        <v>0</v>
      </c>
    </row>
    <row r="1025" spans="1:10">
      <c r="A1025" s="17"/>
      <c r="B1025" s="13"/>
      <c r="C1025" s="20"/>
      <c r="D1025" s="19"/>
      <c r="E1025" s="26">
        <f>IF($B1025="","",IFERROR(INDEX(PecDesc,MATCH($B1025,PecCod,0)),"Peça não cadastrada"))</f>
        <v>0</v>
      </c>
      <c r="F1025" s="27">
        <f>IF($B1025="","",IF($D1025&lt;&gt;"",$D1025,IFERROR(INDEX(PecPreco,MATCH($B1025,PecCod,0)),0)))</f>
        <v>0</v>
      </c>
      <c r="G1025" s="27">
        <f>IF(OR($B1025="",$C1025=""),"",$C1025*$F1025)</f>
        <v>0</v>
      </c>
      <c r="H1025" s="27">
        <f>IF(OR($B1025="",$C1025=""),"",$C1025*IFERROR(INDEX(PecCusto,MATCH($B1025,PecCod,0)),0))</f>
        <v>0</v>
      </c>
      <c r="I1025" s="32">
        <f>IF($A1025="","",IFERROR(INDEX(OSStatus,MATCH($A1025,OSNum,0)),"OS inexistente"))</f>
        <v>0</v>
      </c>
      <c r="J1025" s="32">
        <f>IF($A1025="","",IF($I1025="OS inexistente","OS inexistente",IF($E1025="Peça não cadastrada","Peça não cadastrada","OK")))</f>
        <v>0</v>
      </c>
    </row>
    <row r="1026" spans="1:10">
      <c r="A1026" s="17"/>
      <c r="B1026" s="13"/>
      <c r="C1026" s="20"/>
      <c r="D1026" s="19"/>
      <c r="E1026" s="26">
        <f>IF($B1026="","",IFERROR(INDEX(PecDesc,MATCH($B1026,PecCod,0)),"Peça não cadastrada"))</f>
        <v>0</v>
      </c>
      <c r="F1026" s="27">
        <f>IF($B1026="","",IF($D1026&lt;&gt;"",$D1026,IFERROR(INDEX(PecPreco,MATCH($B1026,PecCod,0)),0)))</f>
        <v>0</v>
      </c>
      <c r="G1026" s="27">
        <f>IF(OR($B1026="",$C1026=""),"",$C1026*$F1026)</f>
        <v>0</v>
      </c>
      <c r="H1026" s="27">
        <f>IF(OR($B1026="",$C1026=""),"",$C1026*IFERROR(INDEX(PecCusto,MATCH($B1026,PecCod,0)),0))</f>
        <v>0</v>
      </c>
      <c r="I1026" s="32">
        <f>IF($A1026="","",IFERROR(INDEX(OSStatus,MATCH($A1026,OSNum,0)),"OS inexistente"))</f>
        <v>0</v>
      </c>
      <c r="J1026" s="32">
        <f>IF($A1026="","",IF($I1026="OS inexistente","OS inexistente",IF($E1026="Peça não cadastrada","Peça não cadastrada","OK")))</f>
        <v>0</v>
      </c>
    </row>
    <row r="1027" spans="1:10">
      <c r="A1027" s="17"/>
      <c r="B1027" s="13"/>
      <c r="C1027" s="20"/>
      <c r="D1027" s="19"/>
      <c r="E1027" s="26">
        <f>IF($B1027="","",IFERROR(INDEX(PecDesc,MATCH($B1027,PecCod,0)),"Peça não cadastrada"))</f>
        <v>0</v>
      </c>
      <c r="F1027" s="27">
        <f>IF($B1027="","",IF($D1027&lt;&gt;"",$D1027,IFERROR(INDEX(PecPreco,MATCH($B1027,PecCod,0)),0)))</f>
        <v>0</v>
      </c>
      <c r="G1027" s="27">
        <f>IF(OR($B1027="",$C1027=""),"",$C1027*$F1027)</f>
        <v>0</v>
      </c>
      <c r="H1027" s="27">
        <f>IF(OR($B1027="",$C1027=""),"",$C1027*IFERROR(INDEX(PecCusto,MATCH($B1027,PecCod,0)),0))</f>
        <v>0</v>
      </c>
      <c r="I1027" s="32">
        <f>IF($A1027="","",IFERROR(INDEX(OSStatus,MATCH($A1027,OSNum,0)),"OS inexistente"))</f>
        <v>0</v>
      </c>
      <c r="J1027" s="32">
        <f>IF($A1027="","",IF($I1027="OS inexistente","OS inexistente",IF($E1027="Peça não cadastrada","Peça não cadastrada","OK")))</f>
        <v>0</v>
      </c>
    </row>
    <row r="1028" spans="1:10">
      <c r="A1028" s="17"/>
      <c r="B1028" s="13"/>
      <c r="C1028" s="20"/>
      <c r="D1028" s="19"/>
      <c r="E1028" s="26">
        <f>IF($B1028="","",IFERROR(INDEX(PecDesc,MATCH($B1028,PecCod,0)),"Peça não cadastrada"))</f>
        <v>0</v>
      </c>
      <c r="F1028" s="27">
        <f>IF($B1028="","",IF($D1028&lt;&gt;"",$D1028,IFERROR(INDEX(PecPreco,MATCH($B1028,PecCod,0)),0)))</f>
        <v>0</v>
      </c>
      <c r="G1028" s="27">
        <f>IF(OR($B1028="",$C1028=""),"",$C1028*$F1028)</f>
        <v>0</v>
      </c>
      <c r="H1028" s="27">
        <f>IF(OR($B1028="",$C1028=""),"",$C1028*IFERROR(INDEX(PecCusto,MATCH($B1028,PecCod,0)),0))</f>
        <v>0</v>
      </c>
      <c r="I1028" s="32">
        <f>IF($A1028="","",IFERROR(INDEX(OSStatus,MATCH($A1028,OSNum,0)),"OS inexistente"))</f>
        <v>0</v>
      </c>
      <c r="J1028" s="32">
        <f>IF($A1028="","",IF($I1028="OS inexistente","OS inexistente",IF($E1028="Peça não cadastrada","Peça não cadastrada","OK")))</f>
        <v>0</v>
      </c>
    </row>
    <row r="1029" spans="1:10">
      <c r="A1029" s="17"/>
      <c r="B1029" s="13"/>
      <c r="C1029" s="20"/>
      <c r="D1029" s="19"/>
      <c r="E1029" s="26">
        <f>IF($B1029="","",IFERROR(INDEX(PecDesc,MATCH($B1029,PecCod,0)),"Peça não cadastrada"))</f>
        <v>0</v>
      </c>
      <c r="F1029" s="27">
        <f>IF($B1029="","",IF($D1029&lt;&gt;"",$D1029,IFERROR(INDEX(PecPreco,MATCH($B1029,PecCod,0)),0)))</f>
        <v>0</v>
      </c>
      <c r="G1029" s="27">
        <f>IF(OR($B1029="",$C1029=""),"",$C1029*$F1029)</f>
        <v>0</v>
      </c>
      <c r="H1029" s="27">
        <f>IF(OR($B1029="",$C1029=""),"",$C1029*IFERROR(INDEX(PecCusto,MATCH($B1029,PecCod,0)),0))</f>
        <v>0</v>
      </c>
      <c r="I1029" s="32">
        <f>IF($A1029="","",IFERROR(INDEX(OSStatus,MATCH($A1029,OSNum,0)),"OS inexistente"))</f>
        <v>0</v>
      </c>
      <c r="J1029" s="32">
        <f>IF($A1029="","",IF($I1029="OS inexistente","OS inexistente",IF($E1029="Peça não cadastrada","Peça não cadastrada","OK")))</f>
        <v>0</v>
      </c>
    </row>
    <row r="1030" spans="1:10">
      <c r="A1030" s="17"/>
      <c r="B1030" s="13"/>
      <c r="C1030" s="20"/>
      <c r="D1030" s="19"/>
      <c r="E1030" s="26">
        <f>IF($B1030="","",IFERROR(INDEX(PecDesc,MATCH($B1030,PecCod,0)),"Peça não cadastrada"))</f>
        <v>0</v>
      </c>
      <c r="F1030" s="27">
        <f>IF($B1030="","",IF($D1030&lt;&gt;"",$D1030,IFERROR(INDEX(PecPreco,MATCH($B1030,PecCod,0)),0)))</f>
        <v>0</v>
      </c>
      <c r="G1030" s="27">
        <f>IF(OR($B1030="",$C1030=""),"",$C1030*$F1030)</f>
        <v>0</v>
      </c>
      <c r="H1030" s="27">
        <f>IF(OR($B1030="",$C1030=""),"",$C1030*IFERROR(INDEX(PecCusto,MATCH($B1030,PecCod,0)),0))</f>
        <v>0</v>
      </c>
      <c r="I1030" s="32">
        <f>IF($A1030="","",IFERROR(INDEX(OSStatus,MATCH($A1030,OSNum,0)),"OS inexistente"))</f>
        <v>0</v>
      </c>
      <c r="J1030" s="32">
        <f>IF($A1030="","",IF($I1030="OS inexistente","OS inexistente",IF($E1030="Peça não cadastrada","Peça não cadastrada","OK")))</f>
        <v>0</v>
      </c>
    </row>
    <row r="1031" spans="1:10">
      <c r="A1031" s="17"/>
      <c r="B1031" s="13"/>
      <c r="C1031" s="20"/>
      <c r="D1031" s="19"/>
      <c r="E1031" s="26">
        <f>IF($B1031="","",IFERROR(INDEX(PecDesc,MATCH($B1031,PecCod,0)),"Peça não cadastrada"))</f>
        <v>0</v>
      </c>
      <c r="F1031" s="27">
        <f>IF($B1031="","",IF($D1031&lt;&gt;"",$D1031,IFERROR(INDEX(PecPreco,MATCH($B1031,PecCod,0)),0)))</f>
        <v>0</v>
      </c>
      <c r="G1031" s="27">
        <f>IF(OR($B1031="",$C1031=""),"",$C1031*$F1031)</f>
        <v>0</v>
      </c>
      <c r="H1031" s="27">
        <f>IF(OR($B1031="",$C1031=""),"",$C1031*IFERROR(INDEX(PecCusto,MATCH($B1031,PecCod,0)),0))</f>
        <v>0</v>
      </c>
      <c r="I1031" s="32">
        <f>IF($A1031="","",IFERROR(INDEX(OSStatus,MATCH($A1031,OSNum,0)),"OS inexistente"))</f>
        <v>0</v>
      </c>
      <c r="J1031" s="32">
        <f>IF($A1031="","",IF($I1031="OS inexistente","OS inexistente",IF($E1031="Peça não cadastrada","Peça não cadastrada","OK")))</f>
        <v>0</v>
      </c>
    </row>
    <row r="1032" spans="1:10">
      <c r="A1032" s="17"/>
      <c r="B1032" s="13"/>
      <c r="C1032" s="20"/>
      <c r="D1032" s="19"/>
      <c r="E1032" s="26">
        <f>IF($B1032="","",IFERROR(INDEX(PecDesc,MATCH($B1032,PecCod,0)),"Peça não cadastrada"))</f>
        <v>0</v>
      </c>
      <c r="F1032" s="27">
        <f>IF($B1032="","",IF($D1032&lt;&gt;"",$D1032,IFERROR(INDEX(PecPreco,MATCH($B1032,PecCod,0)),0)))</f>
        <v>0</v>
      </c>
      <c r="G1032" s="27">
        <f>IF(OR($B1032="",$C1032=""),"",$C1032*$F1032)</f>
        <v>0</v>
      </c>
      <c r="H1032" s="27">
        <f>IF(OR($B1032="",$C1032=""),"",$C1032*IFERROR(INDEX(PecCusto,MATCH($B1032,PecCod,0)),0))</f>
        <v>0</v>
      </c>
      <c r="I1032" s="32">
        <f>IF($A1032="","",IFERROR(INDEX(OSStatus,MATCH($A1032,OSNum,0)),"OS inexistente"))</f>
        <v>0</v>
      </c>
      <c r="J1032" s="32">
        <f>IF($A1032="","",IF($I1032="OS inexistente","OS inexistente",IF($E1032="Peça não cadastrada","Peça não cadastrada","OK")))</f>
        <v>0</v>
      </c>
    </row>
    <row r="1033" spans="1:10">
      <c r="A1033" s="17"/>
      <c r="B1033" s="13"/>
      <c r="C1033" s="20"/>
      <c r="D1033" s="19"/>
      <c r="E1033" s="26">
        <f>IF($B1033="","",IFERROR(INDEX(PecDesc,MATCH($B1033,PecCod,0)),"Peça não cadastrada"))</f>
        <v>0</v>
      </c>
      <c r="F1033" s="27">
        <f>IF($B1033="","",IF($D1033&lt;&gt;"",$D1033,IFERROR(INDEX(PecPreco,MATCH($B1033,PecCod,0)),0)))</f>
        <v>0</v>
      </c>
      <c r="G1033" s="27">
        <f>IF(OR($B1033="",$C1033=""),"",$C1033*$F1033)</f>
        <v>0</v>
      </c>
      <c r="H1033" s="27">
        <f>IF(OR($B1033="",$C1033=""),"",$C1033*IFERROR(INDEX(PecCusto,MATCH($B1033,PecCod,0)),0))</f>
        <v>0</v>
      </c>
      <c r="I1033" s="32">
        <f>IF($A1033="","",IFERROR(INDEX(OSStatus,MATCH($A1033,OSNum,0)),"OS inexistente"))</f>
        <v>0</v>
      </c>
      <c r="J1033" s="32">
        <f>IF($A1033="","",IF($I1033="OS inexistente","OS inexistente",IF($E1033="Peça não cadastrada","Peça não cadastrada","OK")))</f>
        <v>0</v>
      </c>
    </row>
    <row r="1034" spans="1:10">
      <c r="A1034" s="17"/>
      <c r="B1034" s="13"/>
      <c r="C1034" s="20"/>
      <c r="D1034" s="19"/>
      <c r="E1034" s="26">
        <f>IF($B1034="","",IFERROR(INDEX(PecDesc,MATCH($B1034,PecCod,0)),"Peça não cadastrada"))</f>
        <v>0</v>
      </c>
      <c r="F1034" s="27">
        <f>IF($B1034="","",IF($D1034&lt;&gt;"",$D1034,IFERROR(INDEX(PecPreco,MATCH($B1034,PecCod,0)),0)))</f>
        <v>0</v>
      </c>
      <c r="G1034" s="27">
        <f>IF(OR($B1034="",$C1034=""),"",$C1034*$F1034)</f>
        <v>0</v>
      </c>
      <c r="H1034" s="27">
        <f>IF(OR($B1034="",$C1034=""),"",$C1034*IFERROR(INDEX(PecCusto,MATCH($B1034,PecCod,0)),0))</f>
        <v>0</v>
      </c>
      <c r="I1034" s="32">
        <f>IF($A1034="","",IFERROR(INDEX(OSStatus,MATCH($A1034,OSNum,0)),"OS inexistente"))</f>
        <v>0</v>
      </c>
      <c r="J1034" s="32">
        <f>IF($A1034="","",IF($I1034="OS inexistente","OS inexistente",IF($E1034="Peça não cadastrada","Peça não cadastrada","OK")))</f>
        <v>0</v>
      </c>
    </row>
    <row r="1035" spans="1:10">
      <c r="A1035" s="17"/>
      <c r="B1035" s="13"/>
      <c r="C1035" s="20"/>
      <c r="D1035" s="19"/>
      <c r="E1035" s="26">
        <f>IF($B1035="","",IFERROR(INDEX(PecDesc,MATCH($B1035,PecCod,0)),"Peça não cadastrada"))</f>
        <v>0</v>
      </c>
      <c r="F1035" s="27">
        <f>IF($B1035="","",IF($D1035&lt;&gt;"",$D1035,IFERROR(INDEX(PecPreco,MATCH($B1035,PecCod,0)),0)))</f>
        <v>0</v>
      </c>
      <c r="G1035" s="27">
        <f>IF(OR($B1035="",$C1035=""),"",$C1035*$F1035)</f>
        <v>0</v>
      </c>
      <c r="H1035" s="27">
        <f>IF(OR($B1035="",$C1035=""),"",$C1035*IFERROR(INDEX(PecCusto,MATCH($B1035,PecCod,0)),0))</f>
        <v>0</v>
      </c>
      <c r="I1035" s="32">
        <f>IF($A1035="","",IFERROR(INDEX(OSStatus,MATCH($A1035,OSNum,0)),"OS inexistente"))</f>
        <v>0</v>
      </c>
      <c r="J1035" s="32">
        <f>IF($A1035="","",IF($I1035="OS inexistente","OS inexistente",IF($E1035="Peça não cadastrada","Peça não cadastrada","OK")))</f>
        <v>0</v>
      </c>
    </row>
    <row r="1036" spans="1:10">
      <c r="A1036" s="17"/>
      <c r="B1036" s="13"/>
      <c r="C1036" s="20"/>
      <c r="D1036" s="19"/>
      <c r="E1036" s="26">
        <f>IF($B1036="","",IFERROR(INDEX(PecDesc,MATCH($B1036,PecCod,0)),"Peça não cadastrada"))</f>
        <v>0</v>
      </c>
      <c r="F1036" s="27">
        <f>IF($B1036="","",IF($D1036&lt;&gt;"",$D1036,IFERROR(INDEX(PecPreco,MATCH($B1036,PecCod,0)),0)))</f>
        <v>0</v>
      </c>
      <c r="G1036" s="27">
        <f>IF(OR($B1036="",$C1036=""),"",$C1036*$F1036)</f>
        <v>0</v>
      </c>
      <c r="H1036" s="27">
        <f>IF(OR($B1036="",$C1036=""),"",$C1036*IFERROR(INDEX(PecCusto,MATCH($B1036,PecCod,0)),0))</f>
        <v>0</v>
      </c>
      <c r="I1036" s="32">
        <f>IF($A1036="","",IFERROR(INDEX(OSStatus,MATCH($A1036,OSNum,0)),"OS inexistente"))</f>
        <v>0</v>
      </c>
      <c r="J1036" s="32">
        <f>IF($A1036="","",IF($I1036="OS inexistente","OS inexistente",IF($E1036="Peça não cadastrada","Peça não cadastrada","OK")))</f>
        <v>0</v>
      </c>
    </row>
    <row r="1037" spans="1:10">
      <c r="A1037" s="17"/>
      <c r="B1037" s="13"/>
      <c r="C1037" s="20"/>
      <c r="D1037" s="19"/>
      <c r="E1037" s="26">
        <f>IF($B1037="","",IFERROR(INDEX(PecDesc,MATCH($B1037,PecCod,0)),"Peça não cadastrada"))</f>
        <v>0</v>
      </c>
      <c r="F1037" s="27">
        <f>IF($B1037="","",IF($D1037&lt;&gt;"",$D1037,IFERROR(INDEX(PecPreco,MATCH($B1037,PecCod,0)),0)))</f>
        <v>0</v>
      </c>
      <c r="G1037" s="27">
        <f>IF(OR($B1037="",$C1037=""),"",$C1037*$F1037)</f>
        <v>0</v>
      </c>
      <c r="H1037" s="27">
        <f>IF(OR($B1037="",$C1037=""),"",$C1037*IFERROR(INDEX(PecCusto,MATCH($B1037,PecCod,0)),0))</f>
        <v>0</v>
      </c>
      <c r="I1037" s="32">
        <f>IF($A1037="","",IFERROR(INDEX(OSStatus,MATCH($A1037,OSNum,0)),"OS inexistente"))</f>
        <v>0</v>
      </c>
      <c r="J1037" s="32">
        <f>IF($A1037="","",IF($I1037="OS inexistente","OS inexistente",IF($E1037="Peça não cadastrada","Peça não cadastrada","OK")))</f>
        <v>0</v>
      </c>
    </row>
    <row r="1038" spans="1:10">
      <c r="A1038" s="17"/>
      <c r="B1038" s="13"/>
      <c r="C1038" s="20"/>
      <c r="D1038" s="19"/>
      <c r="E1038" s="26">
        <f>IF($B1038="","",IFERROR(INDEX(PecDesc,MATCH($B1038,PecCod,0)),"Peça não cadastrada"))</f>
        <v>0</v>
      </c>
      <c r="F1038" s="27">
        <f>IF($B1038="","",IF($D1038&lt;&gt;"",$D1038,IFERROR(INDEX(PecPreco,MATCH($B1038,PecCod,0)),0)))</f>
        <v>0</v>
      </c>
      <c r="G1038" s="27">
        <f>IF(OR($B1038="",$C1038=""),"",$C1038*$F1038)</f>
        <v>0</v>
      </c>
      <c r="H1038" s="27">
        <f>IF(OR($B1038="",$C1038=""),"",$C1038*IFERROR(INDEX(PecCusto,MATCH($B1038,PecCod,0)),0))</f>
        <v>0</v>
      </c>
      <c r="I1038" s="32">
        <f>IF($A1038="","",IFERROR(INDEX(OSStatus,MATCH($A1038,OSNum,0)),"OS inexistente"))</f>
        <v>0</v>
      </c>
      <c r="J1038" s="32">
        <f>IF($A1038="","",IF($I1038="OS inexistente","OS inexistente",IF($E1038="Peça não cadastrada","Peça não cadastrada","OK")))</f>
        <v>0</v>
      </c>
    </row>
    <row r="1039" spans="1:10">
      <c r="A1039" s="17"/>
      <c r="B1039" s="13"/>
      <c r="C1039" s="20"/>
      <c r="D1039" s="19"/>
      <c r="E1039" s="26">
        <f>IF($B1039="","",IFERROR(INDEX(PecDesc,MATCH($B1039,PecCod,0)),"Peça não cadastrada"))</f>
        <v>0</v>
      </c>
      <c r="F1039" s="27">
        <f>IF($B1039="","",IF($D1039&lt;&gt;"",$D1039,IFERROR(INDEX(PecPreco,MATCH($B1039,PecCod,0)),0)))</f>
        <v>0</v>
      </c>
      <c r="G1039" s="27">
        <f>IF(OR($B1039="",$C1039=""),"",$C1039*$F1039)</f>
        <v>0</v>
      </c>
      <c r="H1039" s="27">
        <f>IF(OR($B1039="",$C1039=""),"",$C1039*IFERROR(INDEX(PecCusto,MATCH($B1039,PecCod,0)),0))</f>
        <v>0</v>
      </c>
      <c r="I1039" s="32">
        <f>IF($A1039="","",IFERROR(INDEX(OSStatus,MATCH($A1039,OSNum,0)),"OS inexistente"))</f>
        <v>0</v>
      </c>
      <c r="J1039" s="32">
        <f>IF($A1039="","",IF($I1039="OS inexistente","OS inexistente",IF($E1039="Peça não cadastrada","Peça não cadastrada","OK")))</f>
        <v>0</v>
      </c>
    </row>
    <row r="1040" spans="1:10">
      <c r="A1040" s="17"/>
      <c r="B1040" s="13"/>
      <c r="C1040" s="20"/>
      <c r="D1040" s="19"/>
      <c r="E1040" s="26">
        <f>IF($B1040="","",IFERROR(INDEX(PecDesc,MATCH($B1040,PecCod,0)),"Peça não cadastrada"))</f>
        <v>0</v>
      </c>
      <c r="F1040" s="27">
        <f>IF($B1040="","",IF($D1040&lt;&gt;"",$D1040,IFERROR(INDEX(PecPreco,MATCH($B1040,PecCod,0)),0)))</f>
        <v>0</v>
      </c>
      <c r="G1040" s="27">
        <f>IF(OR($B1040="",$C1040=""),"",$C1040*$F1040)</f>
        <v>0</v>
      </c>
      <c r="H1040" s="27">
        <f>IF(OR($B1040="",$C1040=""),"",$C1040*IFERROR(INDEX(PecCusto,MATCH($B1040,PecCod,0)),0))</f>
        <v>0</v>
      </c>
      <c r="I1040" s="32">
        <f>IF($A1040="","",IFERROR(INDEX(OSStatus,MATCH($A1040,OSNum,0)),"OS inexistente"))</f>
        <v>0</v>
      </c>
      <c r="J1040" s="32">
        <f>IF($A1040="","",IF($I1040="OS inexistente","OS inexistente",IF($E1040="Peça não cadastrada","Peça não cadastrada","OK")))</f>
        <v>0</v>
      </c>
    </row>
    <row r="1041" spans="1:10">
      <c r="A1041" s="17"/>
      <c r="B1041" s="13"/>
      <c r="C1041" s="20"/>
      <c r="D1041" s="19"/>
      <c r="E1041" s="26">
        <f>IF($B1041="","",IFERROR(INDEX(PecDesc,MATCH($B1041,PecCod,0)),"Peça não cadastrada"))</f>
        <v>0</v>
      </c>
      <c r="F1041" s="27">
        <f>IF($B1041="","",IF($D1041&lt;&gt;"",$D1041,IFERROR(INDEX(PecPreco,MATCH($B1041,PecCod,0)),0)))</f>
        <v>0</v>
      </c>
      <c r="G1041" s="27">
        <f>IF(OR($B1041="",$C1041=""),"",$C1041*$F1041)</f>
        <v>0</v>
      </c>
      <c r="H1041" s="27">
        <f>IF(OR($B1041="",$C1041=""),"",$C1041*IFERROR(INDEX(PecCusto,MATCH($B1041,PecCod,0)),0))</f>
        <v>0</v>
      </c>
      <c r="I1041" s="32">
        <f>IF($A1041="","",IFERROR(INDEX(OSStatus,MATCH($A1041,OSNum,0)),"OS inexistente"))</f>
        <v>0</v>
      </c>
      <c r="J1041" s="32">
        <f>IF($A1041="","",IF($I1041="OS inexistente","OS inexistente",IF($E1041="Peça não cadastrada","Peça não cadastrada","OK")))</f>
        <v>0</v>
      </c>
    </row>
    <row r="1042" spans="1:10">
      <c r="A1042" s="17"/>
      <c r="B1042" s="13"/>
      <c r="C1042" s="20"/>
      <c r="D1042" s="19"/>
      <c r="E1042" s="26">
        <f>IF($B1042="","",IFERROR(INDEX(PecDesc,MATCH($B1042,PecCod,0)),"Peça não cadastrada"))</f>
        <v>0</v>
      </c>
      <c r="F1042" s="27">
        <f>IF($B1042="","",IF($D1042&lt;&gt;"",$D1042,IFERROR(INDEX(PecPreco,MATCH($B1042,PecCod,0)),0)))</f>
        <v>0</v>
      </c>
      <c r="G1042" s="27">
        <f>IF(OR($B1042="",$C1042=""),"",$C1042*$F1042)</f>
        <v>0</v>
      </c>
      <c r="H1042" s="27">
        <f>IF(OR($B1042="",$C1042=""),"",$C1042*IFERROR(INDEX(PecCusto,MATCH($B1042,PecCod,0)),0))</f>
        <v>0</v>
      </c>
      <c r="I1042" s="32">
        <f>IF($A1042="","",IFERROR(INDEX(OSStatus,MATCH($A1042,OSNum,0)),"OS inexistente"))</f>
        <v>0</v>
      </c>
      <c r="J1042" s="32">
        <f>IF($A1042="","",IF($I1042="OS inexistente","OS inexistente",IF($E1042="Peça não cadastrada","Peça não cadastrada","OK")))</f>
        <v>0</v>
      </c>
    </row>
    <row r="1043" spans="1:10">
      <c r="A1043" s="17"/>
      <c r="B1043" s="13"/>
      <c r="C1043" s="20"/>
      <c r="D1043" s="19"/>
      <c r="E1043" s="26">
        <f>IF($B1043="","",IFERROR(INDEX(PecDesc,MATCH($B1043,PecCod,0)),"Peça não cadastrada"))</f>
        <v>0</v>
      </c>
      <c r="F1043" s="27">
        <f>IF($B1043="","",IF($D1043&lt;&gt;"",$D1043,IFERROR(INDEX(PecPreco,MATCH($B1043,PecCod,0)),0)))</f>
        <v>0</v>
      </c>
      <c r="G1043" s="27">
        <f>IF(OR($B1043="",$C1043=""),"",$C1043*$F1043)</f>
        <v>0</v>
      </c>
      <c r="H1043" s="27">
        <f>IF(OR($B1043="",$C1043=""),"",$C1043*IFERROR(INDEX(PecCusto,MATCH($B1043,PecCod,0)),0))</f>
        <v>0</v>
      </c>
      <c r="I1043" s="32">
        <f>IF($A1043="","",IFERROR(INDEX(OSStatus,MATCH($A1043,OSNum,0)),"OS inexistente"))</f>
        <v>0</v>
      </c>
      <c r="J1043" s="32">
        <f>IF($A1043="","",IF($I1043="OS inexistente","OS inexistente",IF($E1043="Peça não cadastrada","Peça não cadastrada","OK")))</f>
        <v>0</v>
      </c>
    </row>
    <row r="1044" spans="1:10">
      <c r="A1044" s="17"/>
      <c r="B1044" s="13"/>
      <c r="C1044" s="20"/>
      <c r="D1044" s="19"/>
      <c r="E1044" s="26">
        <f>IF($B1044="","",IFERROR(INDEX(PecDesc,MATCH($B1044,PecCod,0)),"Peça não cadastrada"))</f>
        <v>0</v>
      </c>
      <c r="F1044" s="27">
        <f>IF($B1044="","",IF($D1044&lt;&gt;"",$D1044,IFERROR(INDEX(PecPreco,MATCH($B1044,PecCod,0)),0)))</f>
        <v>0</v>
      </c>
      <c r="G1044" s="27">
        <f>IF(OR($B1044="",$C1044=""),"",$C1044*$F1044)</f>
        <v>0</v>
      </c>
      <c r="H1044" s="27">
        <f>IF(OR($B1044="",$C1044=""),"",$C1044*IFERROR(INDEX(PecCusto,MATCH($B1044,PecCod,0)),0))</f>
        <v>0</v>
      </c>
      <c r="I1044" s="32">
        <f>IF($A1044="","",IFERROR(INDEX(OSStatus,MATCH($A1044,OSNum,0)),"OS inexistente"))</f>
        <v>0</v>
      </c>
      <c r="J1044" s="32">
        <f>IF($A1044="","",IF($I1044="OS inexistente","OS inexistente",IF($E1044="Peça não cadastrada","Peça não cadastrada","OK")))</f>
        <v>0</v>
      </c>
    </row>
    <row r="1045" spans="1:10">
      <c r="A1045" s="17"/>
      <c r="B1045" s="13"/>
      <c r="C1045" s="20"/>
      <c r="D1045" s="19"/>
      <c r="E1045" s="26">
        <f>IF($B1045="","",IFERROR(INDEX(PecDesc,MATCH($B1045,PecCod,0)),"Peça não cadastrada"))</f>
        <v>0</v>
      </c>
      <c r="F1045" s="27">
        <f>IF($B1045="","",IF($D1045&lt;&gt;"",$D1045,IFERROR(INDEX(PecPreco,MATCH($B1045,PecCod,0)),0)))</f>
        <v>0</v>
      </c>
      <c r="G1045" s="27">
        <f>IF(OR($B1045="",$C1045=""),"",$C1045*$F1045)</f>
        <v>0</v>
      </c>
      <c r="H1045" s="27">
        <f>IF(OR($B1045="",$C1045=""),"",$C1045*IFERROR(INDEX(PecCusto,MATCH($B1045,PecCod,0)),0))</f>
        <v>0</v>
      </c>
      <c r="I1045" s="32">
        <f>IF($A1045="","",IFERROR(INDEX(OSStatus,MATCH($A1045,OSNum,0)),"OS inexistente"))</f>
        <v>0</v>
      </c>
      <c r="J1045" s="32">
        <f>IF($A1045="","",IF($I1045="OS inexistente","OS inexistente",IF($E1045="Peça não cadastrada","Peça não cadastrada","OK")))</f>
        <v>0</v>
      </c>
    </row>
    <row r="1046" spans="1:10">
      <c r="A1046" s="17"/>
      <c r="B1046" s="13"/>
      <c r="C1046" s="20"/>
      <c r="D1046" s="19"/>
      <c r="E1046" s="26">
        <f>IF($B1046="","",IFERROR(INDEX(PecDesc,MATCH($B1046,PecCod,0)),"Peça não cadastrada"))</f>
        <v>0</v>
      </c>
      <c r="F1046" s="27">
        <f>IF($B1046="","",IF($D1046&lt;&gt;"",$D1046,IFERROR(INDEX(PecPreco,MATCH($B1046,PecCod,0)),0)))</f>
        <v>0</v>
      </c>
      <c r="G1046" s="27">
        <f>IF(OR($B1046="",$C1046=""),"",$C1046*$F1046)</f>
        <v>0</v>
      </c>
      <c r="H1046" s="27">
        <f>IF(OR($B1046="",$C1046=""),"",$C1046*IFERROR(INDEX(PecCusto,MATCH($B1046,PecCod,0)),0))</f>
        <v>0</v>
      </c>
      <c r="I1046" s="32">
        <f>IF($A1046="","",IFERROR(INDEX(OSStatus,MATCH($A1046,OSNum,0)),"OS inexistente"))</f>
        <v>0</v>
      </c>
      <c r="J1046" s="32">
        <f>IF($A1046="","",IF($I1046="OS inexistente","OS inexistente",IF($E1046="Peça não cadastrada","Peça não cadastrada","OK")))</f>
        <v>0</v>
      </c>
    </row>
    <row r="1047" spans="1:10">
      <c r="A1047" s="17"/>
      <c r="B1047" s="13"/>
      <c r="C1047" s="20"/>
      <c r="D1047" s="19"/>
      <c r="E1047" s="26">
        <f>IF($B1047="","",IFERROR(INDEX(PecDesc,MATCH($B1047,PecCod,0)),"Peça não cadastrada"))</f>
        <v>0</v>
      </c>
      <c r="F1047" s="27">
        <f>IF($B1047="","",IF($D1047&lt;&gt;"",$D1047,IFERROR(INDEX(PecPreco,MATCH($B1047,PecCod,0)),0)))</f>
        <v>0</v>
      </c>
      <c r="G1047" s="27">
        <f>IF(OR($B1047="",$C1047=""),"",$C1047*$F1047)</f>
        <v>0</v>
      </c>
      <c r="H1047" s="27">
        <f>IF(OR($B1047="",$C1047=""),"",$C1047*IFERROR(INDEX(PecCusto,MATCH($B1047,PecCod,0)),0))</f>
        <v>0</v>
      </c>
      <c r="I1047" s="32">
        <f>IF($A1047="","",IFERROR(INDEX(OSStatus,MATCH($A1047,OSNum,0)),"OS inexistente"))</f>
        <v>0</v>
      </c>
      <c r="J1047" s="32">
        <f>IF($A1047="","",IF($I1047="OS inexistente","OS inexistente",IF($E1047="Peça não cadastrada","Peça não cadastrada","OK")))</f>
        <v>0</v>
      </c>
    </row>
    <row r="1048" spans="1:10">
      <c r="A1048" s="17"/>
      <c r="B1048" s="13"/>
      <c r="C1048" s="20"/>
      <c r="D1048" s="19"/>
      <c r="E1048" s="26">
        <f>IF($B1048="","",IFERROR(INDEX(PecDesc,MATCH($B1048,PecCod,0)),"Peça não cadastrada"))</f>
        <v>0</v>
      </c>
      <c r="F1048" s="27">
        <f>IF($B1048="","",IF($D1048&lt;&gt;"",$D1048,IFERROR(INDEX(PecPreco,MATCH($B1048,PecCod,0)),0)))</f>
        <v>0</v>
      </c>
      <c r="G1048" s="27">
        <f>IF(OR($B1048="",$C1048=""),"",$C1048*$F1048)</f>
        <v>0</v>
      </c>
      <c r="H1048" s="27">
        <f>IF(OR($B1048="",$C1048=""),"",$C1048*IFERROR(INDEX(PecCusto,MATCH($B1048,PecCod,0)),0))</f>
        <v>0</v>
      </c>
      <c r="I1048" s="32">
        <f>IF($A1048="","",IFERROR(INDEX(OSStatus,MATCH($A1048,OSNum,0)),"OS inexistente"))</f>
        <v>0</v>
      </c>
      <c r="J1048" s="32">
        <f>IF($A1048="","",IF($I1048="OS inexistente","OS inexistente",IF($E1048="Peça não cadastrada","Peça não cadastrada","OK")))</f>
        <v>0</v>
      </c>
    </row>
    <row r="1049" spans="1:10">
      <c r="A1049" s="17"/>
      <c r="B1049" s="13"/>
      <c r="C1049" s="20"/>
      <c r="D1049" s="19"/>
      <c r="E1049" s="26">
        <f>IF($B1049="","",IFERROR(INDEX(PecDesc,MATCH($B1049,PecCod,0)),"Peça não cadastrada"))</f>
        <v>0</v>
      </c>
      <c r="F1049" s="27">
        <f>IF($B1049="","",IF($D1049&lt;&gt;"",$D1049,IFERROR(INDEX(PecPreco,MATCH($B1049,PecCod,0)),0)))</f>
        <v>0</v>
      </c>
      <c r="G1049" s="27">
        <f>IF(OR($B1049="",$C1049=""),"",$C1049*$F1049)</f>
        <v>0</v>
      </c>
      <c r="H1049" s="27">
        <f>IF(OR($B1049="",$C1049=""),"",$C1049*IFERROR(INDEX(PecCusto,MATCH($B1049,PecCod,0)),0))</f>
        <v>0</v>
      </c>
      <c r="I1049" s="32">
        <f>IF($A1049="","",IFERROR(INDEX(OSStatus,MATCH($A1049,OSNum,0)),"OS inexistente"))</f>
        <v>0</v>
      </c>
      <c r="J1049" s="32">
        <f>IF($A1049="","",IF($I1049="OS inexistente","OS inexistente",IF($E1049="Peça não cadastrada","Peça não cadastrada","OK")))</f>
        <v>0</v>
      </c>
    </row>
    <row r="1050" spans="1:10">
      <c r="A1050" s="17"/>
      <c r="B1050" s="13"/>
      <c r="C1050" s="20"/>
      <c r="D1050" s="19"/>
      <c r="E1050" s="26">
        <f>IF($B1050="","",IFERROR(INDEX(PecDesc,MATCH($B1050,PecCod,0)),"Peça não cadastrada"))</f>
        <v>0</v>
      </c>
      <c r="F1050" s="27">
        <f>IF($B1050="","",IF($D1050&lt;&gt;"",$D1050,IFERROR(INDEX(PecPreco,MATCH($B1050,PecCod,0)),0)))</f>
        <v>0</v>
      </c>
      <c r="G1050" s="27">
        <f>IF(OR($B1050="",$C1050=""),"",$C1050*$F1050)</f>
        <v>0</v>
      </c>
      <c r="H1050" s="27">
        <f>IF(OR($B1050="",$C1050=""),"",$C1050*IFERROR(INDEX(PecCusto,MATCH($B1050,PecCod,0)),0))</f>
        <v>0</v>
      </c>
      <c r="I1050" s="32">
        <f>IF($A1050="","",IFERROR(INDEX(OSStatus,MATCH($A1050,OSNum,0)),"OS inexistente"))</f>
        <v>0</v>
      </c>
      <c r="J1050" s="32">
        <f>IF($A1050="","",IF($I1050="OS inexistente","OS inexistente",IF($E1050="Peça não cadastrada","Peça não cadastrada","OK")))</f>
        <v>0</v>
      </c>
    </row>
    <row r="1051" spans="1:10">
      <c r="A1051" s="17"/>
      <c r="B1051" s="13"/>
      <c r="C1051" s="20"/>
      <c r="D1051" s="19"/>
      <c r="E1051" s="26">
        <f>IF($B1051="","",IFERROR(INDEX(PecDesc,MATCH($B1051,PecCod,0)),"Peça não cadastrada"))</f>
        <v>0</v>
      </c>
      <c r="F1051" s="27">
        <f>IF($B1051="","",IF($D1051&lt;&gt;"",$D1051,IFERROR(INDEX(PecPreco,MATCH($B1051,PecCod,0)),0)))</f>
        <v>0</v>
      </c>
      <c r="G1051" s="27">
        <f>IF(OR($B1051="",$C1051=""),"",$C1051*$F1051)</f>
        <v>0</v>
      </c>
      <c r="H1051" s="27">
        <f>IF(OR($B1051="",$C1051=""),"",$C1051*IFERROR(INDEX(PecCusto,MATCH($B1051,PecCod,0)),0))</f>
        <v>0</v>
      </c>
      <c r="I1051" s="32">
        <f>IF($A1051="","",IFERROR(INDEX(OSStatus,MATCH($A1051,OSNum,0)),"OS inexistente"))</f>
        <v>0</v>
      </c>
      <c r="J1051" s="32">
        <f>IF($A1051="","",IF($I1051="OS inexistente","OS inexistente",IF($E1051="Peça não cadastrada","Peça não cadastrada","OK")))</f>
        <v>0</v>
      </c>
    </row>
    <row r="1052" spans="1:10">
      <c r="A1052" s="17"/>
      <c r="B1052" s="13"/>
      <c r="C1052" s="20"/>
      <c r="D1052" s="19"/>
      <c r="E1052" s="26">
        <f>IF($B1052="","",IFERROR(INDEX(PecDesc,MATCH($B1052,PecCod,0)),"Peça não cadastrada"))</f>
        <v>0</v>
      </c>
      <c r="F1052" s="27">
        <f>IF($B1052="","",IF($D1052&lt;&gt;"",$D1052,IFERROR(INDEX(PecPreco,MATCH($B1052,PecCod,0)),0)))</f>
        <v>0</v>
      </c>
      <c r="G1052" s="27">
        <f>IF(OR($B1052="",$C1052=""),"",$C1052*$F1052)</f>
        <v>0</v>
      </c>
      <c r="H1052" s="27">
        <f>IF(OR($B1052="",$C1052=""),"",$C1052*IFERROR(INDEX(PecCusto,MATCH($B1052,PecCod,0)),0))</f>
        <v>0</v>
      </c>
      <c r="I1052" s="32">
        <f>IF($A1052="","",IFERROR(INDEX(OSStatus,MATCH($A1052,OSNum,0)),"OS inexistente"))</f>
        <v>0</v>
      </c>
      <c r="J1052" s="32">
        <f>IF($A1052="","",IF($I1052="OS inexistente","OS inexistente",IF($E1052="Peça não cadastrada","Peça não cadastrada","OK")))</f>
        <v>0</v>
      </c>
    </row>
    <row r="1053" spans="1:10">
      <c r="A1053" s="17"/>
      <c r="B1053" s="13"/>
      <c r="C1053" s="20"/>
      <c r="D1053" s="19"/>
      <c r="E1053" s="26">
        <f>IF($B1053="","",IFERROR(INDEX(PecDesc,MATCH($B1053,PecCod,0)),"Peça não cadastrada"))</f>
        <v>0</v>
      </c>
      <c r="F1053" s="27">
        <f>IF($B1053="","",IF($D1053&lt;&gt;"",$D1053,IFERROR(INDEX(PecPreco,MATCH($B1053,PecCod,0)),0)))</f>
        <v>0</v>
      </c>
      <c r="G1053" s="27">
        <f>IF(OR($B1053="",$C1053=""),"",$C1053*$F1053)</f>
        <v>0</v>
      </c>
      <c r="H1053" s="27">
        <f>IF(OR($B1053="",$C1053=""),"",$C1053*IFERROR(INDEX(PecCusto,MATCH($B1053,PecCod,0)),0))</f>
        <v>0</v>
      </c>
      <c r="I1053" s="32">
        <f>IF($A1053="","",IFERROR(INDEX(OSStatus,MATCH($A1053,OSNum,0)),"OS inexistente"))</f>
        <v>0</v>
      </c>
      <c r="J1053" s="32">
        <f>IF($A1053="","",IF($I1053="OS inexistente","OS inexistente",IF($E1053="Peça não cadastrada","Peça não cadastrada","OK")))</f>
        <v>0</v>
      </c>
    </row>
    <row r="1054" spans="1:10">
      <c r="A1054" s="17"/>
      <c r="B1054" s="13"/>
      <c r="C1054" s="20"/>
      <c r="D1054" s="19"/>
      <c r="E1054" s="26">
        <f>IF($B1054="","",IFERROR(INDEX(PecDesc,MATCH($B1054,PecCod,0)),"Peça não cadastrada"))</f>
        <v>0</v>
      </c>
      <c r="F1054" s="27">
        <f>IF($B1054="","",IF($D1054&lt;&gt;"",$D1054,IFERROR(INDEX(PecPreco,MATCH($B1054,PecCod,0)),0)))</f>
        <v>0</v>
      </c>
      <c r="G1054" s="27">
        <f>IF(OR($B1054="",$C1054=""),"",$C1054*$F1054)</f>
        <v>0</v>
      </c>
      <c r="H1054" s="27">
        <f>IF(OR($B1054="",$C1054=""),"",$C1054*IFERROR(INDEX(PecCusto,MATCH($B1054,PecCod,0)),0))</f>
        <v>0</v>
      </c>
      <c r="I1054" s="32">
        <f>IF($A1054="","",IFERROR(INDEX(OSStatus,MATCH($A1054,OSNum,0)),"OS inexistente"))</f>
        <v>0</v>
      </c>
      <c r="J1054" s="32">
        <f>IF($A1054="","",IF($I1054="OS inexistente","OS inexistente",IF($E1054="Peça não cadastrada","Peça não cadastrada","OK")))</f>
        <v>0</v>
      </c>
    </row>
    <row r="1055" spans="1:10">
      <c r="A1055" s="17"/>
      <c r="B1055" s="13"/>
      <c r="C1055" s="20"/>
      <c r="D1055" s="19"/>
      <c r="E1055" s="26">
        <f>IF($B1055="","",IFERROR(INDEX(PecDesc,MATCH($B1055,PecCod,0)),"Peça não cadastrada"))</f>
        <v>0</v>
      </c>
      <c r="F1055" s="27">
        <f>IF($B1055="","",IF($D1055&lt;&gt;"",$D1055,IFERROR(INDEX(PecPreco,MATCH($B1055,PecCod,0)),0)))</f>
        <v>0</v>
      </c>
      <c r="G1055" s="27">
        <f>IF(OR($B1055="",$C1055=""),"",$C1055*$F1055)</f>
        <v>0</v>
      </c>
      <c r="H1055" s="27">
        <f>IF(OR($B1055="",$C1055=""),"",$C1055*IFERROR(INDEX(PecCusto,MATCH($B1055,PecCod,0)),0))</f>
        <v>0</v>
      </c>
      <c r="I1055" s="32">
        <f>IF($A1055="","",IFERROR(INDEX(OSStatus,MATCH($A1055,OSNum,0)),"OS inexistente"))</f>
        <v>0</v>
      </c>
      <c r="J1055" s="32">
        <f>IF($A1055="","",IF($I1055="OS inexistente","OS inexistente",IF($E1055="Peça não cadastrada","Peça não cadastrada","OK")))</f>
        <v>0</v>
      </c>
    </row>
    <row r="1056" spans="1:10">
      <c r="A1056" s="17"/>
      <c r="B1056" s="13"/>
      <c r="C1056" s="20"/>
      <c r="D1056" s="19"/>
      <c r="E1056" s="26">
        <f>IF($B1056="","",IFERROR(INDEX(PecDesc,MATCH($B1056,PecCod,0)),"Peça não cadastrada"))</f>
        <v>0</v>
      </c>
      <c r="F1056" s="27">
        <f>IF($B1056="","",IF($D1056&lt;&gt;"",$D1056,IFERROR(INDEX(PecPreco,MATCH($B1056,PecCod,0)),0)))</f>
        <v>0</v>
      </c>
      <c r="G1056" s="27">
        <f>IF(OR($B1056="",$C1056=""),"",$C1056*$F1056)</f>
        <v>0</v>
      </c>
      <c r="H1056" s="27">
        <f>IF(OR($B1056="",$C1056=""),"",$C1056*IFERROR(INDEX(PecCusto,MATCH($B1056,PecCod,0)),0))</f>
        <v>0</v>
      </c>
      <c r="I1056" s="32">
        <f>IF($A1056="","",IFERROR(INDEX(OSStatus,MATCH($A1056,OSNum,0)),"OS inexistente"))</f>
        <v>0</v>
      </c>
      <c r="J1056" s="32">
        <f>IF($A1056="","",IF($I1056="OS inexistente","OS inexistente",IF($E1056="Peça não cadastrada","Peça não cadastrada","OK")))</f>
        <v>0</v>
      </c>
    </row>
    <row r="1057" spans="1:10">
      <c r="A1057" s="17"/>
      <c r="B1057" s="13"/>
      <c r="C1057" s="20"/>
      <c r="D1057" s="19"/>
      <c r="E1057" s="26">
        <f>IF($B1057="","",IFERROR(INDEX(PecDesc,MATCH($B1057,PecCod,0)),"Peça não cadastrada"))</f>
        <v>0</v>
      </c>
      <c r="F1057" s="27">
        <f>IF($B1057="","",IF($D1057&lt;&gt;"",$D1057,IFERROR(INDEX(PecPreco,MATCH($B1057,PecCod,0)),0)))</f>
        <v>0</v>
      </c>
      <c r="G1057" s="27">
        <f>IF(OR($B1057="",$C1057=""),"",$C1057*$F1057)</f>
        <v>0</v>
      </c>
      <c r="H1057" s="27">
        <f>IF(OR($B1057="",$C1057=""),"",$C1057*IFERROR(INDEX(PecCusto,MATCH($B1057,PecCod,0)),0))</f>
        <v>0</v>
      </c>
      <c r="I1057" s="32">
        <f>IF($A1057="","",IFERROR(INDEX(OSStatus,MATCH($A1057,OSNum,0)),"OS inexistente"))</f>
        <v>0</v>
      </c>
      <c r="J1057" s="32">
        <f>IF($A1057="","",IF($I1057="OS inexistente","OS inexistente",IF($E1057="Peça não cadastrada","Peça não cadastrada","OK")))</f>
        <v>0</v>
      </c>
    </row>
    <row r="1058" spans="1:10">
      <c r="A1058" s="17"/>
      <c r="B1058" s="13"/>
      <c r="C1058" s="20"/>
      <c r="D1058" s="19"/>
      <c r="E1058" s="26">
        <f>IF($B1058="","",IFERROR(INDEX(PecDesc,MATCH($B1058,PecCod,0)),"Peça não cadastrada"))</f>
        <v>0</v>
      </c>
      <c r="F1058" s="27">
        <f>IF($B1058="","",IF($D1058&lt;&gt;"",$D1058,IFERROR(INDEX(PecPreco,MATCH($B1058,PecCod,0)),0)))</f>
        <v>0</v>
      </c>
      <c r="G1058" s="27">
        <f>IF(OR($B1058="",$C1058=""),"",$C1058*$F1058)</f>
        <v>0</v>
      </c>
      <c r="H1058" s="27">
        <f>IF(OR($B1058="",$C1058=""),"",$C1058*IFERROR(INDEX(PecCusto,MATCH($B1058,PecCod,0)),0))</f>
        <v>0</v>
      </c>
      <c r="I1058" s="32">
        <f>IF($A1058="","",IFERROR(INDEX(OSStatus,MATCH($A1058,OSNum,0)),"OS inexistente"))</f>
        <v>0</v>
      </c>
      <c r="J1058" s="32">
        <f>IF($A1058="","",IF($I1058="OS inexistente","OS inexistente",IF($E1058="Peça não cadastrada","Peça não cadastrada","OK")))</f>
        <v>0</v>
      </c>
    </row>
    <row r="1059" spans="1:10">
      <c r="A1059" s="17"/>
      <c r="B1059" s="13"/>
      <c r="C1059" s="20"/>
      <c r="D1059" s="19"/>
      <c r="E1059" s="26">
        <f>IF($B1059="","",IFERROR(INDEX(PecDesc,MATCH($B1059,PecCod,0)),"Peça não cadastrada"))</f>
        <v>0</v>
      </c>
      <c r="F1059" s="27">
        <f>IF($B1059="","",IF($D1059&lt;&gt;"",$D1059,IFERROR(INDEX(PecPreco,MATCH($B1059,PecCod,0)),0)))</f>
        <v>0</v>
      </c>
      <c r="G1059" s="27">
        <f>IF(OR($B1059="",$C1059=""),"",$C1059*$F1059)</f>
        <v>0</v>
      </c>
      <c r="H1059" s="27">
        <f>IF(OR($B1059="",$C1059=""),"",$C1059*IFERROR(INDEX(PecCusto,MATCH($B1059,PecCod,0)),0))</f>
        <v>0</v>
      </c>
      <c r="I1059" s="32">
        <f>IF($A1059="","",IFERROR(INDEX(OSStatus,MATCH($A1059,OSNum,0)),"OS inexistente"))</f>
        <v>0</v>
      </c>
      <c r="J1059" s="32">
        <f>IF($A1059="","",IF($I1059="OS inexistente","OS inexistente",IF($E1059="Peça não cadastrada","Peça não cadastrada","OK")))</f>
        <v>0</v>
      </c>
    </row>
    <row r="1060" spans="1:10">
      <c r="A1060" s="17"/>
      <c r="B1060" s="13"/>
      <c r="C1060" s="20"/>
      <c r="D1060" s="19"/>
      <c r="E1060" s="26">
        <f>IF($B1060="","",IFERROR(INDEX(PecDesc,MATCH($B1060,PecCod,0)),"Peça não cadastrada"))</f>
        <v>0</v>
      </c>
      <c r="F1060" s="27">
        <f>IF($B1060="","",IF($D1060&lt;&gt;"",$D1060,IFERROR(INDEX(PecPreco,MATCH($B1060,PecCod,0)),0)))</f>
        <v>0</v>
      </c>
      <c r="G1060" s="27">
        <f>IF(OR($B1060="",$C1060=""),"",$C1060*$F1060)</f>
        <v>0</v>
      </c>
      <c r="H1060" s="27">
        <f>IF(OR($B1060="",$C1060=""),"",$C1060*IFERROR(INDEX(PecCusto,MATCH($B1060,PecCod,0)),0))</f>
        <v>0</v>
      </c>
      <c r="I1060" s="32">
        <f>IF($A1060="","",IFERROR(INDEX(OSStatus,MATCH($A1060,OSNum,0)),"OS inexistente"))</f>
        <v>0</v>
      </c>
      <c r="J1060" s="32">
        <f>IF($A1060="","",IF($I1060="OS inexistente","OS inexistente",IF($E1060="Peça não cadastrada","Peça não cadastrada","OK")))</f>
        <v>0</v>
      </c>
    </row>
    <row r="1061" spans="1:10">
      <c r="A1061" s="17"/>
      <c r="B1061" s="13"/>
      <c r="C1061" s="20"/>
      <c r="D1061" s="19"/>
      <c r="E1061" s="26">
        <f>IF($B1061="","",IFERROR(INDEX(PecDesc,MATCH($B1061,PecCod,0)),"Peça não cadastrada"))</f>
        <v>0</v>
      </c>
      <c r="F1061" s="27">
        <f>IF($B1061="","",IF($D1061&lt;&gt;"",$D1061,IFERROR(INDEX(PecPreco,MATCH($B1061,PecCod,0)),0)))</f>
        <v>0</v>
      </c>
      <c r="G1061" s="27">
        <f>IF(OR($B1061="",$C1061=""),"",$C1061*$F1061)</f>
        <v>0</v>
      </c>
      <c r="H1061" s="27">
        <f>IF(OR($B1061="",$C1061=""),"",$C1061*IFERROR(INDEX(PecCusto,MATCH($B1061,PecCod,0)),0))</f>
        <v>0</v>
      </c>
      <c r="I1061" s="32">
        <f>IF($A1061="","",IFERROR(INDEX(OSStatus,MATCH($A1061,OSNum,0)),"OS inexistente"))</f>
        <v>0</v>
      </c>
      <c r="J1061" s="32">
        <f>IF($A1061="","",IF($I1061="OS inexistente","OS inexistente",IF($E1061="Peça não cadastrada","Peça não cadastrada","OK")))</f>
        <v>0</v>
      </c>
    </row>
    <row r="1062" spans="1:10">
      <c r="A1062" s="17"/>
      <c r="B1062" s="13"/>
      <c r="C1062" s="20"/>
      <c r="D1062" s="19"/>
      <c r="E1062" s="26">
        <f>IF($B1062="","",IFERROR(INDEX(PecDesc,MATCH($B1062,PecCod,0)),"Peça não cadastrada"))</f>
        <v>0</v>
      </c>
      <c r="F1062" s="27">
        <f>IF($B1062="","",IF($D1062&lt;&gt;"",$D1062,IFERROR(INDEX(PecPreco,MATCH($B1062,PecCod,0)),0)))</f>
        <v>0</v>
      </c>
      <c r="G1062" s="27">
        <f>IF(OR($B1062="",$C1062=""),"",$C1062*$F1062)</f>
        <v>0</v>
      </c>
      <c r="H1062" s="27">
        <f>IF(OR($B1062="",$C1062=""),"",$C1062*IFERROR(INDEX(PecCusto,MATCH($B1062,PecCod,0)),0))</f>
        <v>0</v>
      </c>
      <c r="I1062" s="32">
        <f>IF($A1062="","",IFERROR(INDEX(OSStatus,MATCH($A1062,OSNum,0)),"OS inexistente"))</f>
        <v>0</v>
      </c>
      <c r="J1062" s="32">
        <f>IF($A1062="","",IF($I1062="OS inexistente","OS inexistente",IF($E1062="Peça não cadastrada","Peça não cadastrada","OK")))</f>
        <v>0</v>
      </c>
    </row>
    <row r="1063" spans="1:10">
      <c r="A1063" s="17"/>
      <c r="B1063" s="13"/>
      <c r="C1063" s="20"/>
      <c r="D1063" s="19"/>
      <c r="E1063" s="26">
        <f>IF($B1063="","",IFERROR(INDEX(PecDesc,MATCH($B1063,PecCod,0)),"Peça não cadastrada"))</f>
        <v>0</v>
      </c>
      <c r="F1063" s="27">
        <f>IF($B1063="","",IF($D1063&lt;&gt;"",$D1063,IFERROR(INDEX(PecPreco,MATCH($B1063,PecCod,0)),0)))</f>
        <v>0</v>
      </c>
      <c r="G1063" s="27">
        <f>IF(OR($B1063="",$C1063=""),"",$C1063*$F1063)</f>
        <v>0</v>
      </c>
      <c r="H1063" s="27">
        <f>IF(OR($B1063="",$C1063=""),"",$C1063*IFERROR(INDEX(PecCusto,MATCH($B1063,PecCod,0)),0))</f>
        <v>0</v>
      </c>
      <c r="I1063" s="32">
        <f>IF($A1063="","",IFERROR(INDEX(OSStatus,MATCH($A1063,OSNum,0)),"OS inexistente"))</f>
        <v>0</v>
      </c>
      <c r="J1063" s="32">
        <f>IF($A1063="","",IF($I1063="OS inexistente","OS inexistente",IF($E1063="Peça não cadastrada","Peça não cadastrada","OK")))</f>
        <v>0</v>
      </c>
    </row>
    <row r="1064" spans="1:10">
      <c r="A1064" s="17"/>
      <c r="B1064" s="13"/>
      <c r="C1064" s="20"/>
      <c r="D1064" s="19"/>
      <c r="E1064" s="26">
        <f>IF($B1064="","",IFERROR(INDEX(PecDesc,MATCH($B1064,PecCod,0)),"Peça não cadastrada"))</f>
        <v>0</v>
      </c>
      <c r="F1064" s="27">
        <f>IF($B1064="","",IF($D1064&lt;&gt;"",$D1064,IFERROR(INDEX(PecPreco,MATCH($B1064,PecCod,0)),0)))</f>
        <v>0</v>
      </c>
      <c r="G1064" s="27">
        <f>IF(OR($B1064="",$C1064=""),"",$C1064*$F1064)</f>
        <v>0</v>
      </c>
      <c r="H1064" s="27">
        <f>IF(OR($B1064="",$C1064=""),"",$C1064*IFERROR(INDEX(PecCusto,MATCH($B1064,PecCod,0)),0))</f>
        <v>0</v>
      </c>
      <c r="I1064" s="32">
        <f>IF($A1064="","",IFERROR(INDEX(OSStatus,MATCH($A1064,OSNum,0)),"OS inexistente"))</f>
        <v>0</v>
      </c>
      <c r="J1064" s="32">
        <f>IF($A1064="","",IF($I1064="OS inexistente","OS inexistente",IF($E1064="Peça não cadastrada","Peça não cadastrada","OK")))</f>
        <v>0</v>
      </c>
    </row>
    <row r="1065" spans="1:10">
      <c r="A1065" s="17"/>
      <c r="B1065" s="13"/>
      <c r="C1065" s="20"/>
      <c r="D1065" s="19"/>
      <c r="E1065" s="26">
        <f>IF($B1065="","",IFERROR(INDEX(PecDesc,MATCH($B1065,PecCod,0)),"Peça não cadastrada"))</f>
        <v>0</v>
      </c>
      <c r="F1065" s="27">
        <f>IF($B1065="","",IF($D1065&lt;&gt;"",$D1065,IFERROR(INDEX(PecPreco,MATCH($B1065,PecCod,0)),0)))</f>
        <v>0</v>
      </c>
      <c r="G1065" s="27">
        <f>IF(OR($B1065="",$C1065=""),"",$C1065*$F1065)</f>
        <v>0</v>
      </c>
      <c r="H1065" s="27">
        <f>IF(OR($B1065="",$C1065=""),"",$C1065*IFERROR(INDEX(PecCusto,MATCH($B1065,PecCod,0)),0))</f>
        <v>0</v>
      </c>
      <c r="I1065" s="32">
        <f>IF($A1065="","",IFERROR(INDEX(OSStatus,MATCH($A1065,OSNum,0)),"OS inexistente"))</f>
        <v>0</v>
      </c>
      <c r="J1065" s="32">
        <f>IF($A1065="","",IF($I1065="OS inexistente","OS inexistente",IF($E1065="Peça não cadastrada","Peça não cadastrada","OK")))</f>
        <v>0</v>
      </c>
    </row>
    <row r="1066" spans="1:10">
      <c r="A1066" s="17"/>
      <c r="B1066" s="13"/>
      <c r="C1066" s="20"/>
      <c r="D1066" s="19"/>
      <c r="E1066" s="26">
        <f>IF($B1066="","",IFERROR(INDEX(PecDesc,MATCH($B1066,PecCod,0)),"Peça não cadastrada"))</f>
        <v>0</v>
      </c>
      <c r="F1066" s="27">
        <f>IF($B1066="","",IF($D1066&lt;&gt;"",$D1066,IFERROR(INDEX(PecPreco,MATCH($B1066,PecCod,0)),0)))</f>
        <v>0</v>
      </c>
      <c r="G1066" s="27">
        <f>IF(OR($B1066="",$C1066=""),"",$C1066*$F1066)</f>
        <v>0</v>
      </c>
      <c r="H1066" s="27">
        <f>IF(OR($B1066="",$C1066=""),"",$C1066*IFERROR(INDEX(PecCusto,MATCH($B1066,PecCod,0)),0))</f>
        <v>0</v>
      </c>
      <c r="I1066" s="32">
        <f>IF($A1066="","",IFERROR(INDEX(OSStatus,MATCH($A1066,OSNum,0)),"OS inexistente"))</f>
        <v>0</v>
      </c>
      <c r="J1066" s="32">
        <f>IF($A1066="","",IF($I1066="OS inexistente","OS inexistente",IF($E1066="Peça não cadastrada","Peça não cadastrada","OK")))</f>
        <v>0</v>
      </c>
    </row>
    <row r="1067" spans="1:10">
      <c r="A1067" s="17"/>
      <c r="B1067" s="13"/>
      <c r="C1067" s="20"/>
      <c r="D1067" s="19"/>
      <c r="E1067" s="26">
        <f>IF($B1067="","",IFERROR(INDEX(PecDesc,MATCH($B1067,PecCod,0)),"Peça não cadastrada"))</f>
        <v>0</v>
      </c>
      <c r="F1067" s="27">
        <f>IF($B1067="","",IF($D1067&lt;&gt;"",$D1067,IFERROR(INDEX(PecPreco,MATCH($B1067,PecCod,0)),0)))</f>
        <v>0</v>
      </c>
      <c r="G1067" s="27">
        <f>IF(OR($B1067="",$C1067=""),"",$C1067*$F1067)</f>
        <v>0</v>
      </c>
      <c r="H1067" s="27">
        <f>IF(OR($B1067="",$C1067=""),"",$C1067*IFERROR(INDEX(PecCusto,MATCH($B1067,PecCod,0)),0))</f>
        <v>0</v>
      </c>
      <c r="I1067" s="32">
        <f>IF($A1067="","",IFERROR(INDEX(OSStatus,MATCH($A1067,OSNum,0)),"OS inexistente"))</f>
        <v>0</v>
      </c>
      <c r="J1067" s="32">
        <f>IF($A1067="","",IF($I1067="OS inexistente","OS inexistente",IF($E1067="Peça não cadastrada","Peça não cadastrada","OK")))</f>
        <v>0</v>
      </c>
    </row>
    <row r="1068" spans="1:10">
      <c r="A1068" s="17"/>
      <c r="B1068" s="13"/>
      <c r="C1068" s="20"/>
      <c r="D1068" s="19"/>
      <c r="E1068" s="26">
        <f>IF($B1068="","",IFERROR(INDEX(PecDesc,MATCH($B1068,PecCod,0)),"Peça não cadastrada"))</f>
        <v>0</v>
      </c>
      <c r="F1068" s="27">
        <f>IF($B1068="","",IF($D1068&lt;&gt;"",$D1068,IFERROR(INDEX(PecPreco,MATCH($B1068,PecCod,0)),0)))</f>
        <v>0</v>
      </c>
      <c r="G1068" s="27">
        <f>IF(OR($B1068="",$C1068=""),"",$C1068*$F1068)</f>
        <v>0</v>
      </c>
      <c r="H1068" s="27">
        <f>IF(OR($B1068="",$C1068=""),"",$C1068*IFERROR(INDEX(PecCusto,MATCH($B1068,PecCod,0)),0))</f>
        <v>0</v>
      </c>
      <c r="I1068" s="32">
        <f>IF($A1068="","",IFERROR(INDEX(OSStatus,MATCH($A1068,OSNum,0)),"OS inexistente"))</f>
        <v>0</v>
      </c>
      <c r="J1068" s="32">
        <f>IF($A1068="","",IF($I1068="OS inexistente","OS inexistente",IF($E1068="Peça não cadastrada","Peça não cadastrada","OK")))</f>
        <v>0</v>
      </c>
    </row>
    <row r="1069" spans="1:10">
      <c r="A1069" s="17"/>
      <c r="B1069" s="13"/>
      <c r="C1069" s="20"/>
      <c r="D1069" s="19"/>
      <c r="E1069" s="26">
        <f>IF($B1069="","",IFERROR(INDEX(PecDesc,MATCH($B1069,PecCod,0)),"Peça não cadastrada"))</f>
        <v>0</v>
      </c>
      <c r="F1069" s="27">
        <f>IF($B1069="","",IF($D1069&lt;&gt;"",$D1069,IFERROR(INDEX(PecPreco,MATCH($B1069,PecCod,0)),0)))</f>
        <v>0</v>
      </c>
      <c r="G1069" s="27">
        <f>IF(OR($B1069="",$C1069=""),"",$C1069*$F1069)</f>
        <v>0</v>
      </c>
      <c r="H1069" s="27">
        <f>IF(OR($B1069="",$C1069=""),"",$C1069*IFERROR(INDEX(PecCusto,MATCH($B1069,PecCod,0)),0))</f>
        <v>0</v>
      </c>
      <c r="I1069" s="32">
        <f>IF($A1069="","",IFERROR(INDEX(OSStatus,MATCH($A1069,OSNum,0)),"OS inexistente"))</f>
        <v>0</v>
      </c>
      <c r="J1069" s="32">
        <f>IF($A1069="","",IF($I1069="OS inexistente","OS inexistente",IF($E1069="Peça não cadastrada","Peça não cadastrada","OK")))</f>
        <v>0</v>
      </c>
    </row>
    <row r="1070" spans="1:10">
      <c r="A1070" s="17"/>
      <c r="B1070" s="13"/>
      <c r="C1070" s="20"/>
      <c r="D1070" s="19"/>
      <c r="E1070" s="26">
        <f>IF($B1070="","",IFERROR(INDEX(PecDesc,MATCH($B1070,PecCod,0)),"Peça não cadastrada"))</f>
        <v>0</v>
      </c>
      <c r="F1070" s="27">
        <f>IF($B1070="","",IF($D1070&lt;&gt;"",$D1070,IFERROR(INDEX(PecPreco,MATCH($B1070,PecCod,0)),0)))</f>
        <v>0</v>
      </c>
      <c r="G1070" s="27">
        <f>IF(OR($B1070="",$C1070=""),"",$C1070*$F1070)</f>
        <v>0</v>
      </c>
      <c r="H1070" s="27">
        <f>IF(OR($B1070="",$C1070=""),"",$C1070*IFERROR(INDEX(PecCusto,MATCH($B1070,PecCod,0)),0))</f>
        <v>0</v>
      </c>
      <c r="I1070" s="32">
        <f>IF($A1070="","",IFERROR(INDEX(OSStatus,MATCH($A1070,OSNum,0)),"OS inexistente"))</f>
        <v>0</v>
      </c>
      <c r="J1070" s="32">
        <f>IF($A1070="","",IF($I1070="OS inexistente","OS inexistente",IF($E1070="Peça não cadastrada","Peça não cadastrada","OK")))</f>
        <v>0</v>
      </c>
    </row>
    <row r="1071" spans="1:10">
      <c r="A1071" s="17"/>
      <c r="B1071" s="13"/>
      <c r="C1071" s="20"/>
      <c r="D1071" s="19"/>
      <c r="E1071" s="26">
        <f>IF($B1071="","",IFERROR(INDEX(PecDesc,MATCH($B1071,PecCod,0)),"Peça não cadastrada"))</f>
        <v>0</v>
      </c>
      <c r="F1071" s="27">
        <f>IF($B1071="","",IF($D1071&lt;&gt;"",$D1071,IFERROR(INDEX(PecPreco,MATCH($B1071,PecCod,0)),0)))</f>
        <v>0</v>
      </c>
      <c r="G1071" s="27">
        <f>IF(OR($B1071="",$C1071=""),"",$C1071*$F1071)</f>
        <v>0</v>
      </c>
      <c r="H1071" s="27">
        <f>IF(OR($B1071="",$C1071=""),"",$C1071*IFERROR(INDEX(PecCusto,MATCH($B1071,PecCod,0)),0))</f>
        <v>0</v>
      </c>
      <c r="I1071" s="32">
        <f>IF($A1071="","",IFERROR(INDEX(OSStatus,MATCH($A1071,OSNum,0)),"OS inexistente"))</f>
        <v>0</v>
      </c>
      <c r="J1071" s="32">
        <f>IF($A1071="","",IF($I1071="OS inexistente","OS inexistente",IF($E1071="Peça não cadastrada","Peça não cadastrada","OK")))</f>
        <v>0</v>
      </c>
    </row>
    <row r="1072" spans="1:10">
      <c r="A1072" s="17"/>
      <c r="B1072" s="13"/>
      <c r="C1072" s="20"/>
      <c r="D1072" s="19"/>
      <c r="E1072" s="26">
        <f>IF($B1072="","",IFERROR(INDEX(PecDesc,MATCH($B1072,PecCod,0)),"Peça não cadastrada"))</f>
        <v>0</v>
      </c>
      <c r="F1072" s="27">
        <f>IF($B1072="","",IF($D1072&lt;&gt;"",$D1072,IFERROR(INDEX(PecPreco,MATCH($B1072,PecCod,0)),0)))</f>
        <v>0</v>
      </c>
      <c r="G1072" s="27">
        <f>IF(OR($B1072="",$C1072=""),"",$C1072*$F1072)</f>
        <v>0</v>
      </c>
      <c r="H1072" s="27">
        <f>IF(OR($B1072="",$C1072=""),"",$C1072*IFERROR(INDEX(PecCusto,MATCH($B1072,PecCod,0)),0))</f>
        <v>0</v>
      </c>
      <c r="I1072" s="32">
        <f>IF($A1072="","",IFERROR(INDEX(OSStatus,MATCH($A1072,OSNum,0)),"OS inexistente"))</f>
        <v>0</v>
      </c>
      <c r="J1072" s="32">
        <f>IF($A1072="","",IF($I1072="OS inexistente","OS inexistente",IF($E1072="Peça não cadastrada","Peça não cadastrada","OK")))</f>
        <v>0</v>
      </c>
    </row>
    <row r="1073" spans="1:10">
      <c r="A1073" s="17"/>
      <c r="B1073" s="13"/>
      <c r="C1073" s="20"/>
      <c r="D1073" s="19"/>
      <c r="E1073" s="26">
        <f>IF($B1073="","",IFERROR(INDEX(PecDesc,MATCH($B1073,PecCod,0)),"Peça não cadastrada"))</f>
        <v>0</v>
      </c>
      <c r="F1073" s="27">
        <f>IF($B1073="","",IF($D1073&lt;&gt;"",$D1073,IFERROR(INDEX(PecPreco,MATCH($B1073,PecCod,0)),0)))</f>
        <v>0</v>
      </c>
      <c r="G1073" s="27">
        <f>IF(OR($B1073="",$C1073=""),"",$C1073*$F1073)</f>
        <v>0</v>
      </c>
      <c r="H1073" s="27">
        <f>IF(OR($B1073="",$C1073=""),"",$C1073*IFERROR(INDEX(PecCusto,MATCH($B1073,PecCod,0)),0))</f>
        <v>0</v>
      </c>
      <c r="I1073" s="32">
        <f>IF($A1073="","",IFERROR(INDEX(OSStatus,MATCH($A1073,OSNum,0)),"OS inexistente"))</f>
        <v>0</v>
      </c>
      <c r="J1073" s="32">
        <f>IF($A1073="","",IF($I1073="OS inexistente","OS inexistente",IF($E1073="Peça não cadastrada","Peça não cadastrada","OK")))</f>
        <v>0</v>
      </c>
    </row>
    <row r="1074" spans="1:10">
      <c r="A1074" s="17"/>
      <c r="B1074" s="13"/>
      <c r="C1074" s="20"/>
      <c r="D1074" s="19"/>
      <c r="E1074" s="26">
        <f>IF($B1074="","",IFERROR(INDEX(PecDesc,MATCH($B1074,PecCod,0)),"Peça não cadastrada"))</f>
        <v>0</v>
      </c>
      <c r="F1074" s="27">
        <f>IF($B1074="","",IF($D1074&lt;&gt;"",$D1074,IFERROR(INDEX(PecPreco,MATCH($B1074,PecCod,0)),0)))</f>
        <v>0</v>
      </c>
      <c r="G1074" s="27">
        <f>IF(OR($B1074="",$C1074=""),"",$C1074*$F1074)</f>
        <v>0</v>
      </c>
      <c r="H1074" s="27">
        <f>IF(OR($B1074="",$C1074=""),"",$C1074*IFERROR(INDEX(PecCusto,MATCH($B1074,PecCod,0)),0))</f>
        <v>0</v>
      </c>
      <c r="I1074" s="32">
        <f>IF($A1074="","",IFERROR(INDEX(OSStatus,MATCH($A1074,OSNum,0)),"OS inexistente"))</f>
        <v>0</v>
      </c>
      <c r="J1074" s="32">
        <f>IF($A1074="","",IF($I1074="OS inexistente","OS inexistente",IF($E1074="Peça não cadastrada","Peça não cadastrada","OK")))</f>
        <v>0</v>
      </c>
    </row>
    <row r="1075" spans="1:10">
      <c r="A1075" s="17"/>
      <c r="B1075" s="13"/>
      <c r="C1075" s="20"/>
      <c r="D1075" s="19"/>
      <c r="E1075" s="26">
        <f>IF($B1075="","",IFERROR(INDEX(PecDesc,MATCH($B1075,PecCod,0)),"Peça não cadastrada"))</f>
        <v>0</v>
      </c>
      <c r="F1075" s="27">
        <f>IF($B1075="","",IF($D1075&lt;&gt;"",$D1075,IFERROR(INDEX(PecPreco,MATCH($B1075,PecCod,0)),0)))</f>
        <v>0</v>
      </c>
      <c r="G1075" s="27">
        <f>IF(OR($B1075="",$C1075=""),"",$C1075*$F1075)</f>
        <v>0</v>
      </c>
      <c r="H1075" s="27">
        <f>IF(OR($B1075="",$C1075=""),"",$C1075*IFERROR(INDEX(PecCusto,MATCH($B1075,PecCod,0)),0))</f>
        <v>0</v>
      </c>
      <c r="I1075" s="32">
        <f>IF($A1075="","",IFERROR(INDEX(OSStatus,MATCH($A1075,OSNum,0)),"OS inexistente"))</f>
        <v>0</v>
      </c>
      <c r="J1075" s="32">
        <f>IF($A1075="","",IF($I1075="OS inexistente","OS inexistente",IF($E1075="Peça não cadastrada","Peça não cadastrada","OK")))</f>
        <v>0</v>
      </c>
    </row>
    <row r="1076" spans="1:10">
      <c r="A1076" s="17"/>
      <c r="B1076" s="13"/>
      <c r="C1076" s="20"/>
      <c r="D1076" s="19"/>
      <c r="E1076" s="26">
        <f>IF($B1076="","",IFERROR(INDEX(PecDesc,MATCH($B1076,PecCod,0)),"Peça não cadastrada"))</f>
        <v>0</v>
      </c>
      <c r="F1076" s="27">
        <f>IF($B1076="","",IF($D1076&lt;&gt;"",$D1076,IFERROR(INDEX(PecPreco,MATCH($B1076,PecCod,0)),0)))</f>
        <v>0</v>
      </c>
      <c r="G1076" s="27">
        <f>IF(OR($B1076="",$C1076=""),"",$C1076*$F1076)</f>
        <v>0</v>
      </c>
      <c r="H1076" s="27">
        <f>IF(OR($B1076="",$C1076=""),"",$C1076*IFERROR(INDEX(PecCusto,MATCH($B1076,PecCod,0)),0))</f>
        <v>0</v>
      </c>
      <c r="I1076" s="32">
        <f>IF($A1076="","",IFERROR(INDEX(OSStatus,MATCH($A1076,OSNum,0)),"OS inexistente"))</f>
        <v>0</v>
      </c>
      <c r="J1076" s="32">
        <f>IF($A1076="","",IF($I1076="OS inexistente","OS inexistente",IF($E1076="Peça não cadastrada","Peça não cadastrada","OK")))</f>
        <v>0</v>
      </c>
    </row>
    <row r="1077" spans="1:10">
      <c r="A1077" s="17"/>
      <c r="B1077" s="13"/>
      <c r="C1077" s="20"/>
      <c r="D1077" s="19"/>
      <c r="E1077" s="26">
        <f>IF($B1077="","",IFERROR(INDEX(PecDesc,MATCH($B1077,PecCod,0)),"Peça não cadastrada"))</f>
        <v>0</v>
      </c>
      <c r="F1077" s="27">
        <f>IF($B1077="","",IF($D1077&lt;&gt;"",$D1077,IFERROR(INDEX(PecPreco,MATCH($B1077,PecCod,0)),0)))</f>
        <v>0</v>
      </c>
      <c r="G1077" s="27">
        <f>IF(OR($B1077="",$C1077=""),"",$C1077*$F1077)</f>
        <v>0</v>
      </c>
      <c r="H1077" s="27">
        <f>IF(OR($B1077="",$C1077=""),"",$C1077*IFERROR(INDEX(PecCusto,MATCH($B1077,PecCod,0)),0))</f>
        <v>0</v>
      </c>
      <c r="I1077" s="32">
        <f>IF($A1077="","",IFERROR(INDEX(OSStatus,MATCH($A1077,OSNum,0)),"OS inexistente"))</f>
        <v>0</v>
      </c>
      <c r="J1077" s="32">
        <f>IF($A1077="","",IF($I1077="OS inexistente","OS inexistente",IF($E1077="Peça não cadastrada","Peça não cadastrada","OK")))</f>
        <v>0</v>
      </c>
    </row>
    <row r="1078" spans="1:10">
      <c r="A1078" s="17"/>
      <c r="B1078" s="13"/>
      <c r="C1078" s="20"/>
      <c r="D1078" s="19"/>
      <c r="E1078" s="26">
        <f>IF($B1078="","",IFERROR(INDEX(PecDesc,MATCH($B1078,PecCod,0)),"Peça não cadastrada"))</f>
        <v>0</v>
      </c>
      <c r="F1078" s="27">
        <f>IF($B1078="","",IF($D1078&lt;&gt;"",$D1078,IFERROR(INDEX(PecPreco,MATCH($B1078,PecCod,0)),0)))</f>
        <v>0</v>
      </c>
      <c r="G1078" s="27">
        <f>IF(OR($B1078="",$C1078=""),"",$C1078*$F1078)</f>
        <v>0</v>
      </c>
      <c r="H1078" s="27">
        <f>IF(OR($B1078="",$C1078=""),"",$C1078*IFERROR(INDEX(PecCusto,MATCH($B1078,PecCod,0)),0))</f>
        <v>0</v>
      </c>
      <c r="I1078" s="32">
        <f>IF($A1078="","",IFERROR(INDEX(OSStatus,MATCH($A1078,OSNum,0)),"OS inexistente"))</f>
        <v>0</v>
      </c>
      <c r="J1078" s="32">
        <f>IF($A1078="","",IF($I1078="OS inexistente","OS inexistente",IF($E1078="Peça não cadastrada","Peça não cadastrada","OK")))</f>
        <v>0</v>
      </c>
    </row>
    <row r="1079" spans="1:10">
      <c r="A1079" s="17"/>
      <c r="B1079" s="13"/>
      <c r="C1079" s="20"/>
      <c r="D1079" s="19"/>
      <c r="E1079" s="26">
        <f>IF($B1079="","",IFERROR(INDEX(PecDesc,MATCH($B1079,PecCod,0)),"Peça não cadastrada"))</f>
        <v>0</v>
      </c>
      <c r="F1079" s="27">
        <f>IF($B1079="","",IF($D1079&lt;&gt;"",$D1079,IFERROR(INDEX(PecPreco,MATCH($B1079,PecCod,0)),0)))</f>
        <v>0</v>
      </c>
      <c r="G1079" s="27">
        <f>IF(OR($B1079="",$C1079=""),"",$C1079*$F1079)</f>
        <v>0</v>
      </c>
      <c r="H1079" s="27">
        <f>IF(OR($B1079="",$C1079=""),"",$C1079*IFERROR(INDEX(PecCusto,MATCH($B1079,PecCod,0)),0))</f>
        <v>0</v>
      </c>
      <c r="I1079" s="32">
        <f>IF($A1079="","",IFERROR(INDEX(OSStatus,MATCH($A1079,OSNum,0)),"OS inexistente"))</f>
        <v>0</v>
      </c>
      <c r="J1079" s="32">
        <f>IF($A1079="","",IF($I1079="OS inexistente","OS inexistente",IF($E1079="Peça não cadastrada","Peça não cadastrada","OK")))</f>
        <v>0</v>
      </c>
    </row>
    <row r="1080" spans="1:10">
      <c r="A1080" s="17"/>
      <c r="B1080" s="13"/>
      <c r="C1080" s="20"/>
      <c r="D1080" s="19"/>
      <c r="E1080" s="26">
        <f>IF($B1080="","",IFERROR(INDEX(PecDesc,MATCH($B1080,PecCod,0)),"Peça não cadastrada"))</f>
        <v>0</v>
      </c>
      <c r="F1080" s="27">
        <f>IF($B1080="","",IF($D1080&lt;&gt;"",$D1080,IFERROR(INDEX(PecPreco,MATCH($B1080,PecCod,0)),0)))</f>
        <v>0</v>
      </c>
      <c r="G1080" s="27">
        <f>IF(OR($B1080="",$C1080=""),"",$C1080*$F1080)</f>
        <v>0</v>
      </c>
      <c r="H1080" s="27">
        <f>IF(OR($B1080="",$C1080=""),"",$C1080*IFERROR(INDEX(PecCusto,MATCH($B1080,PecCod,0)),0))</f>
        <v>0</v>
      </c>
      <c r="I1080" s="32">
        <f>IF($A1080="","",IFERROR(INDEX(OSStatus,MATCH($A1080,OSNum,0)),"OS inexistente"))</f>
        <v>0</v>
      </c>
      <c r="J1080" s="32">
        <f>IF($A1080="","",IF($I1080="OS inexistente","OS inexistente",IF($E1080="Peça não cadastrada","Peça não cadastrada","OK")))</f>
        <v>0</v>
      </c>
    </row>
    <row r="1081" spans="1:10">
      <c r="A1081" s="17"/>
      <c r="B1081" s="13"/>
      <c r="C1081" s="20"/>
      <c r="D1081" s="19"/>
      <c r="E1081" s="26">
        <f>IF($B1081="","",IFERROR(INDEX(PecDesc,MATCH($B1081,PecCod,0)),"Peça não cadastrada"))</f>
        <v>0</v>
      </c>
      <c r="F1081" s="27">
        <f>IF($B1081="","",IF($D1081&lt;&gt;"",$D1081,IFERROR(INDEX(PecPreco,MATCH($B1081,PecCod,0)),0)))</f>
        <v>0</v>
      </c>
      <c r="G1081" s="27">
        <f>IF(OR($B1081="",$C1081=""),"",$C1081*$F1081)</f>
        <v>0</v>
      </c>
      <c r="H1081" s="27">
        <f>IF(OR($B1081="",$C1081=""),"",$C1081*IFERROR(INDEX(PecCusto,MATCH($B1081,PecCod,0)),0))</f>
        <v>0</v>
      </c>
      <c r="I1081" s="32">
        <f>IF($A1081="","",IFERROR(INDEX(OSStatus,MATCH($A1081,OSNum,0)),"OS inexistente"))</f>
        <v>0</v>
      </c>
      <c r="J1081" s="32">
        <f>IF($A1081="","",IF($I1081="OS inexistente","OS inexistente",IF($E1081="Peça não cadastrada","Peça não cadastrada","OK")))</f>
        <v>0</v>
      </c>
    </row>
    <row r="1082" spans="1:10">
      <c r="A1082" s="17"/>
      <c r="B1082" s="13"/>
      <c r="C1082" s="20"/>
      <c r="D1082" s="19"/>
      <c r="E1082" s="26">
        <f>IF($B1082="","",IFERROR(INDEX(PecDesc,MATCH($B1082,PecCod,0)),"Peça não cadastrada"))</f>
        <v>0</v>
      </c>
      <c r="F1082" s="27">
        <f>IF($B1082="","",IF($D1082&lt;&gt;"",$D1082,IFERROR(INDEX(PecPreco,MATCH($B1082,PecCod,0)),0)))</f>
        <v>0</v>
      </c>
      <c r="G1082" s="27">
        <f>IF(OR($B1082="",$C1082=""),"",$C1082*$F1082)</f>
        <v>0</v>
      </c>
      <c r="H1082" s="27">
        <f>IF(OR($B1082="",$C1082=""),"",$C1082*IFERROR(INDEX(PecCusto,MATCH($B1082,PecCod,0)),0))</f>
        <v>0</v>
      </c>
      <c r="I1082" s="32">
        <f>IF($A1082="","",IFERROR(INDEX(OSStatus,MATCH($A1082,OSNum,0)),"OS inexistente"))</f>
        <v>0</v>
      </c>
      <c r="J1082" s="32">
        <f>IF($A1082="","",IF($I1082="OS inexistente","OS inexistente",IF($E1082="Peça não cadastrada","Peça não cadastrada","OK")))</f>
        <v>0</v>
      </c>
    </row>
    <row r="1083" spans="1:10">
      <c r="A1083" s="17"/>
      <c r="B1083" s="13"/>
      <c r="C1083" s="20"/>
      <c r="D1083" s="19"/>
      <c r="E1083" s="26">
        <f>IF($B1083="","",IFERROR(INDEX(PecDesc,MATCH($B1083,PecCod,0)),"Peça não cadastrada"))</f>
        <v>0</v>
      </c>
      <c r="F1083" s="27">
        <f>IF($B1083="","",IF($D1083&lt;&gt;"",$D1083,IFERROR(INDEX(PecPreco,MATCH($B1083,PecCod,0)),0)))</f>
        <v>0</v>
      </c>
      <c r="G1083" s="27">
        <f>IF(OR($B1083="",$C1083=""),"",$C1083*$F1083)</f>
        <v>0</v>
      </c>
      <c r="H1083" s="27">
        <f>IF(OR($B1083="",$C1083=""),"",$C1083*IFERROR(INDEX(PecCusto,MATCH($B1083,PecCod,0)),0))</f>
        <v>0</v>
      </c>
      <c r="I1083" s="32">
        <f>IF($A1083="","",IFERROR(INDEX(OSStatus,MATCH($A1083,OSNum,0)),"OS inexistente"))</f>
        <v>0</v>
      </c>
      <c r="J1083" s="32">
        <f>IF($A1083="","",IF($I1083="OS inexistente","OS inexistente",IF($E1083="Peça não cadastrada","Peça não cadastrada","OK")))</f>
        <v>0</v>
      </c>
    </row>
    <row r="1084" spans="1:10">
      <c r="A1084" s="17"/>
      <c r="B1084" s="13"/>
      <c r="C1084" s="20"/>
      <c r="D1084" s="19"/>
      <c r="E1084" s="26">
        <f>IF($B1084="","",IFERROR(INDEX(PecDesc,MATCH($B1084,PecCod,0)),"Peça não cadastrada"))</f>
        <v>0</v>
      </c>
      <c r="F1084" s="27">
        <f>IF($B1084="","",IF($D1084&lt;&gt;"",$D1084,IFERROR(INDEX(PecPreco,MATCH($B1084,PecCod,0)),0)))</f>
        <v>0</v>
      </c>
      <c r="G1084" s="27">
        <f>IF(OR($B1084="",$C1084=""),"",$C1084*$F1084)</f>
        <v>0</v>
      </c>
      <c r="H1084" s="27">
        <f>IF(OR($B1084="",$C1084=""),"",$C1084*IFERROR(INDEX(PecCusto,MATCH($B1084,PecCod,0)),0))</f>
        <v>0</v>
      </c>
      <c r="I1084" s="32">
        <f>IF($A1084="","",IFERROR(INDEX(OSStatus,MATCH($A1084,OSNum,0)),"OS inexistente"))</f>
        <v>0</v>
      </c>
      <c r="J1084" s="32">
        <f>IF($A1084="","",IF($I1084="OS inexistente","OS inexistente",IF($E1084="Peça não cadastrada","Peça não cadastrada","OK")))</f>
        <v>0</v>
      </c>
    </row>
    <row r="1085" spans="1:10">
      <c r="A1085" s="17"/>
      <c r="B1085" s="13"/>
      <c r="C1085" s="20"/>
      <c r="D1085" s="19"/>
      <c r="E1085" s="26">
        <f>IF($B1085="","",IFERROR(INDEX(PecDesc,MATCH($B1085,PecCod,0)),"Peça não cadastrada"))</f>
        <v>0</v>
      </c>
      <c r="F1085" s="27">
        <f>IF($B1085="","",IF($D1085&lt;&gt;"",$D1085,IFERROR(INDEX(PecPreco,MATCH($B1085,PecCod,0)),0)))</f>
        <v>0</v>
      </c>
      <c r="G1085" s="27">
        <f>IF(OR($B1085="",$C1085=""),"",$C1085*$F1085)</f>
        <v>0</v>
      </c>
      <c r="H1085" s="27">
        <f>IF(OR($B1085="",$C1085=""),"",$C1085*IFERROR(INDEX(PecCusto,MATCH($B1085,PecCod,0)),0))</f>
        <v>0</v>
      </c>
      <c r="I1085" s="32">
        <f>IF($A1085="","",IFERROR(INDEX(OSStatus,MATCH($A1085,OSNum,0)),"OS inexistente"))</f>
        <v>0</v>
      </c>
      <c r="J1085" s="32">
        <f>IF($A1085="","",IF($I1085="OS inexistente","OS inexistente",IF($E1085="Peça não cadastrada","Peça não cadastrada","OK")))</f>
        <v>0</v>
      </c>
    </row>
    <row r="1086" spans="1:10">
      <c r="A1086" s="17"/>
      <c r="B1086" s="13"/>
      <c r="C1086" s="20"/>
      <c r="D1086" s="19"/>
      <c r="E1086" s="26">
        <f>IF($B1086="","",IFERROR(INDEX(PecDesc,MATCH($B1086,PecCod,0)),"Peça não cadastrada"))</f>
        <v>0</v>
      </c>
      <c r="F1086" s="27">
        <f>IF($B1086="","",IF($D1086&lt;&gt;"",$D1086,IFERROR(INDEX(PecPreco,MATCH($B1086,PecCod,0)),0)))</f>
        <v>0</v>
      </c>
      <c r="G1086" s="27">
        <f>IF(OR($B1086="",$C1086=""),"",$C1086*$F1086)</f>
        <v>0</v>
      </c>
      <c r="H1086" s="27">
        <f>IF(OR($B1086="",$C1086=""),"",$C1086*IFERROR(INDEX(PecCusto,MATCH($B1086,PecCod,0)),0))</f>
        <v>0</v>
      </c>
      <c r="I1086" s="32">
        <f>IF($A1086="","",IFERROR(INDEX(OSStatus,MATCH($A1086,OSNum,0)),"OS inexistente"))</f>
        <v>0</v>
      </c>
      <c r="J1086" s="32">
        <f>IF($A1086="","",IF($I1086="OS inexistente","OS inexistente",IF($E1086="Peça não cadastrada","Peça não cadastrada","OK")))</f>
        <v>0</v>
      </c>
    </row>
    <row r="1087" spans="1:10">
      <c r="A1087" s="17"/>
      <c r="B1087" s="13"/>
      <c r="C1087" s="20"/>
      <c r="D1087" s="19"/>
      <c r="E1087" s="26">
        <f>IF($B1087="","",IFERROR(INDEX(PecDesc,MATCH($B1087,PecCod,0)),"Peça não cadastrada"))</f>
        <v>0</v>
      </c>
      <c r="F1087" s="27">
        <f>IF($B1087="","",IF($D1087&lt;&gt;"",$D1087,IFERROR(INDEX(PecPreco,MATCH($B1087,PecCod,0)),0)))</f>
        <v>0</v>
      </c>
      <c r="G1087" s="27">
        <f>IF(OR($B1087="",$C1087=""),"",$C1087*$F1087)</f>
        <v>0</v>
      </c>
      <c r="H1087" s="27">
        <f>IF(OR($B1087="",$C1087=""),"",$C1087*IFERROR(INDEX(PecCusto,MATCH($B1087,PecCod,0)),0))</f>
        <v>0</v>
      </c>
      <c r="I1087" s="32">
        <f>IF($A1087="","",IFERROR(INDEX(OSStatus,MATCH($A1087,OSNum,0)),"OS inexistente"))</f>
        <v>0</v>
      </c>
      <c r="J1087" s="32">
        <f>IF($A1087="","",IF($I1087="OS inexistente","OS inexistente",IF($E1087="Peça não cadastrada","Peça não cadastrada","OK")))</f>
        <v>0</v>
      </c>
    </row>
    <row r="1088" spans="1:10">
      <c r="A1088" s="17"/>
      <c r="B1088" s="13"/>
      <c r="C1088" s="20"/>
      <c r="D1088" s="19"/>
      <c r="E1088" s="26">
        <f>IF($B1088="","",IFERROR(INDEX(PecDesc,MATCH($B1088,PecCod,0)),"Peça não cadastrada"))</f>
        <v>0</v>
      </c>
      <c r="F1088" s="27">
        <f>IF($B1088="","",IF($D1088&lt;&gt;"",$D1088,IFERROR(INDEX(PecPreco,MATCH($B1088,PecCod,0)),0)))</f>
        <v>0</v>
      </c>
      <c r="G1088" s="27">
        <f>IF(OR($B1088="",$C1088=""),"",$C1088*$F1088)</f>
        <v>0</v>
      </c>
      <c r="H1088" s="27">
        <f>IF(OR($B1088="",$C1088=""),"",$C1088*IFERROR(INDEX(PecCusto,MATCH($B1088,PecCod,0)),0))</f>
        <v>0</v>
      </c>
      <c r="I1088" s="32">
        <f>IF($A1088="","",IFERROR(INDEX(OSStatus,MATCH($A1088,OSNum,0)),"OS inexistente"))</f>
        <v>0</v>
      </c>
      <c r="J1088" s="32">
        <f>IF($A1088="","",IF($I1088="OS inexistente","OS inexistente",IF($E1088="Peça não cadastrada","Peça não cadastrada","OK")))</f>
        <v>0</v>
      </c>
    </row>
    <row r="1089" spans="1:10">
      <c r="A1089" s="17"/>
      <c r="B1089" s="13"/>
      <c r="C1089" s="20"/>
      <c r="D1089" s="19"/>
      <c r="E1089" s="26">
        <f>IF($B1089="","",IFERROR(INDEX(PecDesc,MATCH($B1089,PecCod,0)),"Peça não cadastrada"))</f>
        <v>0</v>
      </c>
      <c r="F1089" s="27">
        <f>IF($B1089="","",IF($D1089&lt;&gt;"",$D1089,IFERROR(INDEX(PecPreco,MATCH($B1089,PecCod,0)),0)))</f>
        <v>0</v>
      </c>
      <c r="G1089" s="27">
        <f>IF(OR($B1089="",$C1089=""),"",$C1089*$F1089)</f>
        <v>0</v>
      </c>
      <c r="H1089" s="27">
        <f>IF(OR($B1089="",$C1089=""),"",$C1089*IFERROR(INDEX(PecCusto,MATCH($B1089,PecCod,0)),0))</f>
        <v>0</v>
      </c>
      <c r="I1089" s="32">
        <f>IF($A1089="","",IFERROR(INDEX(OSStatus,MATCH($A1089,OSNum,0)),"OS inexistente"))</f>
        <v>0</v>
      </c>
      <c r="J1089" s="32">
        <f>IF($A1089="","",IF($I1089="OS inexistente","OS inexistente",IF($E1089="Peça não cadastrada","Peça não cadastrada","OK")))</f>
        <v>0</v>
      </c>
    </row>
    <row r="1090" spans="1:10">
      <c r="A1090" s="17"/>
      <c r="B1090" s="13"/>
      <c r="C1090" s="20"/>
      <c r="D1090" s="19"/>
      <c r="E1090" s="26">
        <f>IF($B1090="","",IFERROR(INDEX(PecDesc,MATCH($B1090,PecCod,0)),"Peça não cadastrada"))</f>
        <v>0</v>
      </c>
      <c r="F1090" s="27">
        <f>IF($B1090="","",IF($D1090&lt;&gt;"",$D1090,IFERROR(INDEX(PecPreco,MATCH($B1090,PecCod,0)),0)))</f>
        <v>0</v>
      </c>
      <c r="G1090" s="27">
        <f>IF(OR($B1090="",$C1090=""),"",$C1090*$F1090)</f>
        <v>0</v>
      </c>
      <c r="H1090" s="27">
        <f>IF(OR($B1090="",$C1090=""),"",$C1090*IFERROR(INDEX(PecCusto,MATCH($B1090,PecCod,0)),0))</f>
        <v>0</v>
      </c>
      <c r="I1090" s="32">
        <f>IF($A1090="","",IFERROR(INDEX(OSStatus,MATCH($A1090,OSNum,0)),"OS inexistente"))</f>
        <v>0</v>
      </c>
      <c r="J1090" s="32">
        <f>IF($A1090="","",IF($I1090="OS inexistente","OS inexistente",IF($E1090="Peça não cadastrada","Peça não cadastrada","OK")))</f>
        <v>0</v>
      </c>
    </row>
    <row r="1091" spans="1:10">
      <c r="A1091" s="17"/>
      <c r="B1091" s="13"/>
      <c r="C1091" s="20"/>
      <c r="D1091" s="19"/>
      <c r="E1091" s="26">
        <f>IF($B1091="","",IFERROR(INDEX(PecDesc,MATCH($B1091,PecCod,0)),"Peça não cadastrada"))</f>
        <v>0</v>
      </c>
      <c r="F1091" s="27">
        <f>IF($B1091="","",IF($D1091&lt;&gt;"",$D1091,IFERROR(INDEX(PecPreco,MATCH($B1091,PecCod,0)),0)))</f>
        <v>0</v>
      </c>
      <c r="G1091" s="27">
        <f>IF(OR($B1091="",$C1091=""),"",$C1091*$F1091)</f>
        <v>0</v>
      </c>
      <c r="H1091" s="27">
        <f>IF(OR($B1091="",$C1091=""),"",$C1091*IFERROR(INDEX(PecCusto,MATCH($B1091,PecCod,0)),0))</f>
        <v>0</v>
      </c>
      <c r="I1091" s="32">
        <f>IF($A1091="","",IFERROR(INDEX(OSStatus,MATCH($A1091,OSNum,0)),"OS inexistente"))</f>
        <v>0</v>
      </c>
      <c r="J1091" s="32">
        <f>IF($A1091="","",IF($I1091="OS inexistente","OS inexistente",IF($E1091="Peça não cadastrada","Peça não cadastrada","OK")))</f>
        <v>0</v>
      </c>
    </row>
    <row r="1092" spans="1:10">
      <c r="A1092" s="17"/>
      <c r="B1092" s="13"/>
      <c r="C1092" s="20"/>
      <c r="D1092" s="19"/>
      <c r="E1092" s="26">
        <f>IF($B1092="","",IFERROR(INDEX(PecDesc,MATCH($B1092,PecCod,0)),"Peça não cadastrada"))</f>
        <v>0</v>
      </c>
      <c r="F1092" s="27">
        <f>IF($B1092="","",IF($D1092&lt;&gt;"",$D1092,IFERROR(INDEX(PecPreco,MATCH($B1092,PecCod,0)),0)))</f>
        <v>0</v>
      </c>
      <c r="G1092" s="27">
        <f>IF(OR($B1092="",$C1092=""),"",$C1092*$F1092)</f>
        <v>0</v>
      </c>
      <c r="H1092" s="27">
        <f>IF(OR($B1092="",$C1092=""),"",$C1092*IFERROR(INDEX(PecCusto,MATCH($B1092,PecCod,0)),0))</f>
        <v>0</v>
      </c>
      <c r="I1092" s="32">
        <f>IF($A1092="","",IFERROR(INDEX(OSStatus,MATCH($A1092,OSNum,0)),"OS inexistente"))</f>
        <v>0</v>
      </c>
      <c r="J1092" s="32">
        <f>IF($A1092="","",IF($I1092="OS inexistente","OS inexistente",IF($E1092="Peça não cadastrada","Peça não cadastrada","OK")))</f>
        <v>0</v>
      </c>
    </row>
    <row r="1093" spans="1:10">
      <c r="A1093" s="17"/>
      <c r="B1093" s="13"/>
      <c r="C1093" s="20"/>
      <c r="D1093" s="19"/>
      <c r="E1093" s="26">
        <f>IF($B1093="","",IFERROR(INDEX(PecDesc,MATCH($B1093,PecCod,0)),"Peça não cadastrada"))</f>
        <v>0</v>
      </c>
      <c r="F1093" s="27">
        <f>IF($B1093="","",IF($D1093&lt;&gt;"",$D1093,IFERROR(INDEX(PecPreco,MATCH($B1093,PecCod,0)),0)))</f>
        <v>0</v>
      </c>
      <c r="G1093" s="27">
        <f>IF(OR($B1093="",$C1093=""),"",$C1093*$F1093)</f>
        <v>0</v>
      </c>
      <c r="H1093" s="27">
        <f>IF(OR($B1093="",$C1093=""),"",$C1093*IFERROR(INDEX(PecCusto,MATCH($B1093,PecCod,0)),0))</f>
        <v>0</v>
      </c>
      <c r="I1093" s="32">
        <f>IF($A1093="","",IFERROR(INDEX(OSStatus,MATCH($A1093,OSNum,0)),"OS inexistente"))</f>
        <v>0</v>
      </c>
      <c r="J1093" s="32">
        <f>IF($A1093="","",IF($I1093="OS inexistente","OS inexistente",IF($E1093="Peça não cadastrada","Peça não cadastrada","OK")))</f>
        <v>0</v>
      </c>
    </row>
    <row r="1094" spans="1:10">
      <c r="A1094" s="17"/>
      <c r="B1094" s="13"/>
      <c r="C1094" s="20"/>
      <c r="D1094" s="19"/>
      <c r="E1094" s="26">
        <f>IF($B1094="","",IFERROR(INDEX(PecDesc,MATCH($B1094,PecCod,0)),"Peça não cadastrada"))</f>
        <v>0</v>
      </c>
      <c r="F1094" s="27">
        <f>IF($B1094="","",IF($D1094&lt;&gt;"",$D1094,IFERROR(INDEX(PecPreco,MATCH($B1094,PecCod,0)),0)))</f>
        <v>0</v>
      </c>
      <c r="G1094" s="27">
        <f>IF(OR($B1094="",$C1094=""),"",$C1094*$F1094)</f>
        <v>0</v>
      </c>
      <c r="H1094" s="27">
        <f>IF(OR($B1094="",$C1094=""),"",$C1094*IFERROR(INDEX(PecCusto,MATCH($B1094,PecCod,0)),0))</f>
        <v>0</v>
      </c>
      <c r="I1094" s="32">
        <f>IF($A1094="","",IFERROR(INDEX(OSStatus,MATCH($A1094,OSNum,0)),"OS inexistente"))</f>
        <v>0</v>
      </c>
      <c r="J1094" s="32">
        <f>IF($A1094="","",IF($I1094="OS inexistente","OS inexistente",IF($E1094="Peça não cadastrada","Peça não cadastrada","OK")))</f>
        <v>0</v>
      </c>
    </row>
    <row r="1095" spans="1:10">
      <c r="A1095" s="17"/>
      <c r="B1095" s="13"/>
      <c r="C1095" s="20"/>
      <c r="D1095" s="19"/>
      <c r="E1095" s="26">
        <f>IF($B1095="","",IFERROR(INDEX(PecDesc,MATCH($B1095,PecCod,0)),"Peça não cadastrada"))</f>
        <v>0</v>
      </c>
      <c r="F1095" s="27">
        <f>IF($B1095="","",IF($D1095&lt;&gt;"",$D1095,IFERROR(INDEX(PecPreco,MATCH($B1095,PecCod,0)),0)))</f>
        <v>0</v>
      </c>
      <c r="G1095" s="27">
        <f>IF(OR($B1095="",$C1095=""),"",$C1095*$F1095)</f>
        <v>0</v>
      </c>
      <c r="H1095" s="27">
        <f>IF(OR($B1095="",$C1095=""),"",$C1095*IFERROR(INDEX(PecCusto,MATCH($B1095,PecCod,0)),0))</f>
        <v>0</v>
      </c>
      <c r="I1095" s="32">
        <f>IF($A1095="","",IFERROR(INDEX(OSStatus,MATCH($A1095,OSNum,0)),"OS inexistente"))</f>
        <v>0</v>
      </c>
      <c r="J1095" s="32">
        <f>IF($A1095="","",IF($I1095="OS inexistente","OS inexistente",IF($E1095="Peça não cadastrada","Peça não cadastrada","OK")))</f>
        <v>0</v>
      </c>
    </row>
    <row r="1096" spans="1:10">
      <c r="A1096" s="17"/>
      <c r="B1096" s="13"/>
      <c r="C1096" s="20"/>
      <c r="D1096" s="19"/>
      <c r="E1096" s="26">
        <f>IF($B1096="","",IFERROR(INDEX(PecDesc,MATCH($B1096,PecCod,0)),"Peça não cadastrada"))</f>
        <v>0</v>
      </c>
      <c r="F1096" s="27">
        <f>IF($B1096="","",IF($D1096&lt;&gt;"",$D1096,IFERROR(INDEX(PecPreco,MATCH($B1096,PecCod,0)),0)))</f>
        <v>0</v>
      </c>
      <c r="G1096" s="27">
        <f>IF(OR($B1096="",$C1096=""),"",$C1096*$F1096)</f>
        <v>0</v>
      </c>
      <c r="H1096" s="27">
        <f>IF(OR($B1096="",$C1096=""),"",$C1096*IFERROR(INDEX(PecCusto,MATCH($B1096,PecCod,0)),0))</f>
        <v>0</v>
      </c>
      <c r="I1096" s="32">
        <f>IF($A1096="","",IFERROR(INDEX(OSStatus,MATCH($A1096,OSNum,0)),"OS inexistente"))</f>
        <v>0</v>
      </c>
      <c r="J1096" s="32">
        <f>IF($A1096="","",IF($I1096="OS inexistente","OS inexistente",IF($E1096="Peça não cadastrada","Peça não cadastrada","OK")))</f>
        <v>0</v>
      </c>
    </row>
    <row r="1097" spans="1:10">
      <c r="A1097" s="17"/>
      <c r="B1097" s="13"/>
      <c r="C1097" s="20"/>
      <c r="D1097" s="19"/>
      <c r="E1097" s="26">
        <f>IF($B1097="","",IFERROR(INDEX(PecDesc,MATCH($B1097,PecCod,0)),"Peça não cadastrada"))</f>
        <v>0</v>
      </c>
      <c r="F1097" s="27">
        <f>IF($B1097="","",IF($D1097&lt;&gt;"",$D1097,IFERROR(INDEX(PecPreco,MATCH($B1097,PecCod,0)),0)))</f>
        <v>0</v>
      </c>
      <c r="G1097" s="27">
        <f>IF(OR($B1097="",$C1097=""),"",$C1097*$F1097)</f>
        <v>0</v>
      </c>
      <c r="H1097" s="27">
        <f>IF(OR($B1097="",$C1097=""),"",$C1097*IFERROR(INDEX(PecCusto,MATCH($B1097,PecCod,0)),0))</f>
        <v>0</v>
      </c>
      <c r="I1097" s="32">
        <f>IF($A1097="","",IFERROR(INDEX(OSStatus,MATCH($A1097,OSNum,0)),"OS inexistente"))</f>
        <v>0</v>
      </c>
      <c r="J1097" s="32">
        <f>IF($A1097="","",IF($I1097="OS inexistente","OS inexistente",IF($E1097="Peça não cadastrada","Peça não cadastrada","OK")))</f>
        <v>0</v>
      </c>
    </row>
    <row r="1098" spans="1:10">
      <c r="A1098" s="17"/>
      <c r="B1098" s="13"/>
      <c r="C1098" s="20"/>
      <c r="D1098" s="19"/>
      <c r="E1098" s="26">
        <f>IF($B1098="","",IFERROR(INDEX(PecDesc,MATCH($B1098,PecCod,0)),"Peça não cadastrada"))</f>
        <v>0</v>
      </c>
      <c r="F1098" s="27">
        <f>IF($B1098="","",IF($D1098&lt;&gt;"",$D1098,IFERROR(INDEX(PecPreco,MATCH($B1098,PecCod,0)),0)))</f>
        <v>0</v>
      </c>
      <c r="G1098" s="27">
        <f>IF(OR($B1098="",$C1098=""),"",$C1098*$F1098)</f>
        <v>0</v>
      </c>
      <c r="H1098" s="27">
        <f>IF(OR($B1098="",$C1098=""),"",$C1098*IFERROR(INDEX(PecCusto,MATCH($B1098,PecCod,0)),0))</f>
        <v>0</v>
      </c>
      <c r="I1098" s="32">
        <f>IF($A1098="","",IFERROR(INDEX(OSStatus,MATCH($A1098,OSNum,0)),"OS inexistente"))</f>
        <v>0</v>
      </c>
      <c r="J1098" s="32">
        <f>IF($A1098="","",IF($I1098="OS inexistente","OS inexistente",IF($E1098="Peça não cadastrada","Peça não cadastrada","OK")))</f>
        <v>0</v>
      </c>
    </row>
    <row r="1099" spans="1:10">
      <c r="A1099" s="17"/>
      <c r="B1099" s="13"/>
      <c r="C1099" s="20"/>
      <c r="D1099" s="19"/>
      <c r="E1099" s="26">
        <f>IF($B1099="","",IFERROR(INDEX(PecDesc,MATCH($B1099,PecCod,0)),"Peça não cadastrada"))</f>
        <v>0</v>
      </c>
      <c r="F1099" s="27">
        <f>IF($B1099="","",IF($D1099&lt;&gt;"",$D1099,IFERROR(INDEX(PecPreco,MATCH($B1099,PecCod,0)),0)))</f>
        <v>0</v>
      </c>
      <c r="G1099" s="27">
        <f>IF(OR($B1099="",$C1099=""),"",$C1099*$F1099)</f>
        <v>0</v>
      </c>
      <c r="H1099" s="27">
        <f>IF(OR($B1099="",$C1099=""),"",$C1099*IFERROR(INDEX(PecCusto,MATCH($B1099,PecCod,0)),0))</f>
        <v>0</v>
      </c>
      <c r="I1099" s="32">
        <f>IF($A1099="","",IFERROR(INDEX(OSStatus,MATCH($A1099,OSNum,0)),"OS inexistente"))</f>
        <v>0</v>
      </c>
      <c r="J1099" s="32">
        <f>IF($A1099="","",IF($I1099="OS inexistente","OS inexistente",IF($E1099="Peça não cadastrada","Peça não cadastrada","OK")))</f>
        <v>0</v>
      </c>
    </row>
    <row r="1100" spans="1:10">
      <c r="A1100" s="17"/>
      <c r="B1100" s="13"/>
      <c r="C1100" s="20"/>
      <c r="D1100" s="19"/>
      <c r="E1100" s="26">
        <f>IF($B1100="","",IFERROR(INDEX(PecDesc,MATCH($B1100,PecCod,0)),"Peça não cadastrada"))</f>
        <v>0</v>
      </c>
      <c r="F1100" s="27">
        <f>IF($B1100="","",IF($D1100&lt;&gt;"",$D1100,IFERROR(INDEX(PecPreco,MATCH($B1100,PecCod,0)),0)))</f>
        <v>0</v>
      </c>
      <c r="G1100" s="27">
        <f>IF(OR($B1100="",$C1100=""),"",$C1100*$F1100)</f>
        <v>0</v>
      </c>
      <c r="H1100" s="27">
        <f>IF(OR($B1100="",$C1100=""),"",$C1100*IFERROR(INDEX(PecCusto,MATCH($B1100,PecCod,0)),0))</f>
        <v>0</v>
      </c>
      <c r="I1100" s="32">
        <f>IF($A1100="","",IFERROR(INDEX(OSStatus,MATCH($A1100,OSNum,0)),"OS inexistente"))</f>
        <v>0</v>
      </c>
      <c r="J1100" s="32">
        <f>IF($A1100="","",IF($I1100="OS inexistente","OS inexistente",IF($E1100="Peça não cadastrada","Peça não cadastrada","OK")))</f>
        <v>0</v>
      </c>
    </row>
    <row r="1101" spans="1:10">
      <c r="A1101" s="17"/>
      <c r="B1101" s="13"/>
      <c r="C1101" s="20"/>
      <c r="D1101" s="19"/>
      <c r="E1101" s="26">
        <f>IF($B1101="","",IFERROR(INDEX(PecDesc,MATCH($B1101,PecCod,0)),"Peça não cadastrada"))</f>
        <v>0</v>
      </c>
      <c r="F1101" s="27">
        <f>IF($B1101="","",IF($D1101&lt;&gt;"",$D1101,IFERROR(INDEX(PecPreco,MATCH($B1101,PecCod,0)),0)))</f>
        <v>0</v>
      </c>
      <c r="G1101" s="27">
        <f>IF(OR($B1101="",$C1101=""),"",$C1101*$F1101)</f>
        <v>0</v>
      </c>
      <c r="H1101" s="27">
        <f>IF(OR($B1101="",$C1101=""),"",$C1101*IFERROR(INDEX(PecCusto,MATCH($B1101,PecCod,0)),0))</f>
        <v>0</v>
      </c>
      <c r="I1101" s="32">
        <f>IF($A1101="","",IFERROR(INDEX(OSStatus,MATCH($A1101,OSNum,0)),"OS inexistente"))</f>
        <v>0</v>
      </c>
      <c r="J1101" s="32">
        <f>IF($A1101="","",IF($I1101="OS inexistente","OS inexistente",IF($E1101="Peça não cadastrada","Peça não cadastrada","OK")))</f>
        <v>0</v>
      </c>
    </row>
    <row r="1102" spans="1:10">
      <c r="A1102" s="17"/>
      <c r="B1102" s="13"/>
      <c r="C1102" s="20"/>
      <c r="D1102" s="19"/>
      <c r="E1102" s="26">
        <f>IF($B1102="","",IFERROR(INDEX(PecDesc,MATCH($B1102,PecCod,0)),"Peça não cadastrada"))</f>
        <v>0</v>
      </c>
      <c r="F1102" s="27">
        <f>IF($B1102="","",IF($D1102&lt;&gt;"",$D1102,IFERROR(INDEX(PecPreco,MATCH($B1102,PecCod,0)),0)))</f>
        <v>0</v>
      </c>
      <c r="G1102" s="27">
        <f>IF(OR($B1102="",$C1102=""),"",$C1102*$F1102)</f>
        <v>0</v>
      </c>
      <c r="H1102" s="27">
        <f>IF(OR($B1102="",$C1102=""),"",$C1102*IFERROR(INDEX(PecCusto,MATCH($B1102,PecCod,0)),0))</f>
        <v>0</v>
      </c>
      <c r="I1102" s="32">
        <f>IF($A1102="","",IFERROR(INDEX(OSStatus,MATCH($A1102,OSNum,0)),"OS inexistente"))</f>
        <v>0</v>
      </c>
      <c r="J1102" s="32">
        <f>IF($A1102="","",IF($I1102="OS inexistente","OS inexistente",IF($E1102="Peça não cadastrada","Peça não cadastrada","OK")))</f>
        <v>0</v>
      </c>
    </row>
    <row r="1103" spans="1:10">
      <c r="A1103" s="17"/>
      <c r="B1103" s="13"/>
      <c r="C1103" s="20"/>
      <c r="D1103" s="19"/>
      <c r="E1103" s="26">
        <f>IF($B1103="","",IFERROR(INDEX(PecDesc,MATCH($B1103,PecCod,0)),"Peça não cadastrada"))</f>
        <v>0</v>
      </c>
      <c r="F1103" s="27">
        <f>IF($B1103="","",IF($D1103&lt;&gt;"",$D1103,IFERROR(INDEX(PecPreco,MATCH($B1103,PecCod,0)),0)))</f>
        <v>0</v>
      </c>
      <c r="G1103" s="27">
        <f>IF(OR($B1103="",$C1103=""),"",$C1103*$F1103)</f>
        <v>0</v>
      </c>
      <c r="H1103" s="27">
        <f>IF(OR($B1103="",$C1103=""),"",$C1103*IFERROR(INDEX(PecCusto,MATCH($B1103,PecCod,0)),0))</f>
        <v>0</v>
      </c>
      <c r="I1103" s="32">
        <f>IF($A1103="","",IFERROR(INDEX(OSStatus,MATCH($A1103,OSNum,0)),"OS inexistente"))</f>
        <v>0</v>
      </c>
      <c r="J1103" s="32">
        <f>IF($A1103="","",IF($I1103="OS inexistente","OS inexistente",IF($E1103="Peça não cadastrada","Peça não cadastrada","OK")))</f>
        <v>0</v>
      </c>
    </row>
    <row r="1104" spans="1:10">
      <c r="A1104" s="17"/>
      <c r="B1104" s="13"/>
      <c r="C1104" s="20"/>
      <c r="D1104" s="19"/>
      <c r="E1104" s="26">
        <f>IF($B1104="","",IFERROR(INDEX(PecDesc,MATCH($B1104,PecCod,0)),"Peça não cadastrada"))</f>
        <v>0</v>
      </c>
      <c r="F1104" s="27">
        <f>IF($B1104="","",IF($D1104&lt;&gt;"",$D1104,IFERROR(INDEX(PecPreco,MATCH($B1104,PecCod,0)),0)))</f>
        <v>0</v>
      </c>
      <c r="G1104" s="27">
        <f>IF(OR($B1104="",$C1104=""),"",$C1104*$F1104)</f>
        <v>0</v>
      </c>
      <c r="H1104" s="27">
        <f>IF(OR($B1104="",$C1104=""),"",$C1104*IFERROR(INDEX(PecCusto,MATCH($B1104,PecCod,0)),0))</f>
        <v>0</v>
      </c>
      <c r="I1104" s="32">
        <f>IF($A1104="","",IFERROR(INDEX(OSStatus,MATCH($A1104,OSNum,0)),"OS inexistente"))</f>
        <v>0</v>
      </c>
      <c r="J1104" s="32">
        <f>IF($A1104="","",IF($I1104="OS inexistente","OS inexistente",IF($E1104="Peça não cadastrada","Peça não cadastrada","OK")))</f>
        <v>0</v>
      </c>
    </row>
    <row r="1105" spans="1:10">
      <c r="A1105" s="17"/>
      <c r="B1105" s="13"/>
      <c r="C1105" s="20"/>
      <c r="D1105" s="19"/>
      <c r="E1105" s="26">
        <f>IF($B1105="","",IFERROR(INDEX(PecDesc,MATCH($B1105,PecCod,0)),"Peça não cadastrada"))</f>
        <v>0</v>
      </c>
      <c r="F1105" s="27">
        <f>IF($B1105="","",IF($D1105&lt;&gt;"",$D1105,IFERROR(INDEX(PecPreco,MATCH($B1105,PecCod,0)),0)))</f>
        <v>0</v>
      </c>
      <c r="G1105" s="27">
        <f>IF(OR($B1105="",$C1105=""),"",$C1105*$F1105)</f>
        <v>0</v>
      </c>
      <c r="H1105" s="27">
        <f>IF(OR($B1105="",$C1105=""),"",$C1105*IFERROR(INDEX(PecCusto,MATCH($B1105,PecCod,0)),0))</f>
        <v>0</v>
      </c>
      <c r="I1105" s="32">
        <f>IF($A1105="","",IFERROR(INDEX(OSStatus,MATCH($A1105,OSNum,0)),"OS inexistente"))</f>
        <v>0</v>
      </c>
      <c r="J1105" s="32">
        <f>IF($A1105="","",IF($I1105="OS inexistente","OS inexistente",IF($E1105="Peça não cadastrada","Peça não cadastrada","OK")))</f>
        <v>0</v>
      </c>
    </row>
    <row r="1106" spans="1:10">
      <c r="A1106" s="17"/>
      <c r="B1106" s="13"/>
      <c r="C1106" s="20"/>
      <c r="D1106" s="19"/>
      <c r="E1106" s="26">
        <f>IF($B1106="","",IFERROR(INDEX(PecDesc,MATCH($B1106,PecCod,0)),"Peça não cadastrada"))</f>
        <v>0</v>
      </c>
      <c r="F1106" s="27">
        <f>IF($B1106="","",IF($D1106&lt;&gt;"",$D1106,IFERROR(INDEX(PecPreco,MATCH($B1106,PecCod,0)),0)))</f>
        <v>0</v>
      </c>
      <c r="G1106" s="27">
        <f>IF(OR($B1106="",$C1106=""),"",$C1106*$F1106)</f>
        <v>0</v>
      </c>
      <c r="H1106" s="27">
        <f>IF(OR($B1106="",$C1106=""),"",$C1106*IFERROR(INDEX(PecCusto,MATCH($B1106,PecCod,0)),0))</f>
        <v>0</v>
      </c>
      <c r="I1106" s="32">
        <f>IF($A1106="","",IFERROR(INDEX(OSStatus,MATCH($A1106,OSNum,0)),"OS inexistente"))</f>
        <v>0</v>
      </c>
      <c r="J1106" s="32">
        <f>IF($A1106="","",IF($I1106="OS inexistente","OS inexistente",IF($E1106="Peça não cadastrada","Peça não cadastrada","OK")))</f>
        <v>0</v>
      </c>
    </row>
    <row r="1107" spans="1:10">
      <c r="A1107" s="17"/>
      <c r="B1107" s="13"/>
      <c r="C1107" s="20"/>
      <c r="D1107" s="19"/>
      <c r="E1107" s="26">
        <f>IF($B1107="","",IFERROR(INDEX(PecDesc,MATCH($B1107,PecCod,0)),"Peça não cadastrada"))</f>
        <v>0</v>
      </c>
      <c r="F1107" s="27">
        <f>IF($B1107="","",IF($D1107&lt;&gt;"",$D1107,IFERROR(INDEX(PecPreco,MATCH($B1107,PecCod,0)),0)))</f>
        <v>0</v>
      </c>
      <c r="G1107" s="27">
        <f>IF(OR($B1107="",$C1107=""),"",$C1107*$F1107)</f>
        <v>0</v>
      </c>
      <c r="H1107" s="27">
        <f>IF(OR($B1107="",$C1107=""),"",$C1107*IFERROR(INDEX(PecCusto,MATCH($B1107,PecCod,0)),0))</f>
        <v>0</v>
      </c>
      <c r="I1107" s="32">
        <f>IF($A1107="","",IFERROR(INDEX(OSStatus,MATCH($A1107,OSNum,0)),"OS inexistente"))</f>
        <v>0</v>
      </c>
      <c r="J1107" s="32">
        <f>IF($A1107="","",IF($I1107="OS inexistente","OS inexistente",IF($E1107="Peça não cadastrada","Peça não cadastrada","OK")))</f>
        <v>0</v>
      </c>
    </row>
    <row r="1108" spans="1:10">
      <c r="A1108" s="17"/>
      <c r="B1108" s="13"/>
      <c r="C1108" s="20"/>
      <c r="D1108" s="19"/>
      <c r="E1108" s="26">
        <f>IF($B1108="","",IFERROR(INDEX(PecDesc,MATCH($B1108,PecCod,0)),"Peça não cadastrada"))</f>
        <v>0</v>
      </c>
      <c r="F1108" s="27">
        <f>IF($B1108="","",IF($D1108&lt;&gt;"",$D1108,IFERROR(INDEX(PecPreco,MATCH($B1108,PecCod,0)),0)))</f>
        <v>0</v>
      </c>
      <c r="G1108" s="27">
        <f>IF(OR($B1108="",$C1108=""),"",$C1108*$F1108)</f>
        <v>0</v>
      </c>
      <c r="H1108" s="27">
        <f>IF(OR($B1108="",$C1108=""),"",$C1108*IFERROR(INDEX(PecCusto,MATCH($B1108,PecCod,0)),0))</f>
        <v>0</v>
      </c>
      <c r="I1108" s="32">
        <f>IF($A1108="","",IFERROR(INDEX(OSStatus,MATCH($A1108,OSNum,0)),"OS inexistente"))</f>
        <v>0</v>
      </c>
      <c r="J1108" s="32">
        <f>IF($A1108="","",IF($I1108="OS inexistente","OS inexistente",IF($E1108="Peça não cadastrada","Peça não cadastrada","OK")))</f>
        <v>0</v>
      </c>
    </row>
    <row r="1109" spans="1:10">
      <c r="A1109" s="17"/>
      <c r="B1109" s="13"/>
      <c r="C1109" s="20"/>
      <c r="D1109" s="19"/>
      <c r="E1109" s="26">
        <f>IF($B1109="","",IFERROR(INDEX(PecDesc,MATCH($B1109,PecCod,0)),"Peça não cadastrada"))</f>
        <v>0</v>
      </c>
      <c r="F1109" s="27">
        <f>IF($B1109="","",IF($D1109&lt;&gt;"",$D1109,IFERROR(INDEX(PecPreco,MATCH($B1109,PecCod,0)),0)))</f>
        <v>0</v>
      </c>
      <c r="G1109" s="27">
        <f>IF(OR($B1109="",$C1109=""),"",$C1109*$F1109)</f>
        <v>0</v>
      </c>
      <c r="H1109" s="27">
        <f>IF(OR($B1109="",$C1109=""),"",$C1109*IFERROR(INDEX(PecCusto,MATCH($B1109,PecCod,0)),0))</f>
        <v>0</v>
      </c>
      <c r="I1109" s="32">
        <f>IF($A1109="","",IFERROR(INDEX(OSStatus,MATCH($A1109,OSNum,0)),"OS inexistente"))</f>
        <v>0</v>
      </c>
      <c r="J1109" s="32">
        <f>IF($A1109="","",IF($I1109="OS inexistente","OS inexistente",IF($E1109="Peça não cadastrada","Peça não cadastrada","OK")))</f>
        <v>0</v>
      </c>
    </row>
    <row r="1110" spans="1:10">
      <c r="A1110" s="17"/>
      <c r="B1110" s="13"/>
      <c r="C1110" s="20"/>
      <c r="D1110" s="19"/>
      <c r="E1110" s="26">
        <f>IF($B1110="","",IFERROR(INDEX(PecDesc,MATCH($B1110,PecCod,0)),"Peça não cadastrada"))</f>
        <v>0</v>
      </c>
      <c r="F1110" s="27">
        <f>IF($B1110="","",IF($D1110&lt;&gt;"",$D1110,IFERROR(INDEX(PecPreco,MATCH($B1110,PecCod,0)),0)))</f>
        <v>0</v>
      </c>
      <c r="G1110" s="27">
        <f>IF(OR($B1110="",$C1110=""),"",$C1110*$F1110)</f>
        <v>0</v>
      </c>
      <c r="H1110" s="27">
        <f>IF(OR($B1110="",$C1110=""),"",$C1110*IFERROR(INDEX(PecCusto,MATCH($B1110,PecCod,0)),0))</f>
        <v>0</v>
      </c>
      <c r="I1110" s="32">
        <f>IF($A1110="","",IFERROR(INDEX(OSStatus,MATCH($A1110,OSNum,0)),"OS inexistente"))</f>
        <v>0</v>
      </c>
      <c r="J1110" s="32">
        <f>IF($A1110="","",IF($I1110="OS inexistente","OS inexistente",IF($E1110="Peça não cadastrada","Peça não cadastrada","OK")))</f>
        <v>0</v>
      </c>
    </row>
    <row r="1111" spans="1:10">
      <c r="A1111" s="17"/>
      <c r="B1111" s="13"/>
      <c r="C1111" s="20"/>
      <c r="D1111" s="19"/>
      <c r="E1111" s="26">
        <f>IF($B1111="","",IFERROR(INDEX(PecDesc,MATCH($B1111,PecCod,0)),"Peça não cadastrada"))</f>
        <v>0</v>
      </c>
      <c r="F1111" s="27">
        <f>IF($B1111="","",IF($D1111&lt;&gt;"",$D1111,IFERROR(INDEX(PecPreco,MATCH($B1111,PecCod,0)),0)))</f>
        <v>0</v>
      </c>
      <c r="G1111" s="27">
        <f>IF(OR($B1111="",$C1111=""),"",$C1111*$F1111)</f>
        <v>0</v>
      </c>
      <c r="H1111" s="27">
        <f>IF(OR($B1111="",$C1111=""),"",$C1111*IFERROR(INDEX(PecCusto,MATCH($B1111,PecCod,0)),0))</f>
        <v>0</v>
      </c>
      <c r="I1111" s="32">
        <f>IF($A1111="","",IFERROR(INDEX(OSStatus,MATCH($A1111,OSNum,0)),"OS inexistente"))</f>
        <v>0</v>
      </c>
      <c r="J1111" s="32">
        <f>IF($A1111="","",IF($I1111="OS inexistente","OS inexistente",IF($E1111="Peça não cadastrada","Peça não cadastrada","OK")))</f>
        <v>0</v>
      </c>
    </row>
    <row r="1112" spans="1:10">
      <c r="A1112" s="17"/>
      <c r="B1112" s="13"/>
      <c r="C1112" s="20"/>
      <c r="D1112" s="19"/>
      <c r="E1112" s="26">
        <f>IF($B1112="","",IFERROR(INDEX(PecDesc,MATCH($B1112,PecCod,0)),"Peça não cadastrada"))</f>
        <v>0</v>
      </c>
      <c r="F1112" s="27">
        <f>IF($B1112="","",IF($D1112&lt;&gt;"",$D1112,IFERROR(INDEX(PecPreco,MATCH($B1112,PecCod,0)),0)))</f>
        <v>0</v>
      </c>
      <c r="G1112" s="27">
        <f>IF(OR($B1112="",$C1112=""),"",$C1112*$F1112)</f>
        <v>0</v>
      </c>
      <c r="H1112" s="27">
        <f>IF(OR($B1112="",$C1112=""),"",$C1112*IFERROR(INDEX(PecCusto,MATCH($B1112,PecCod,0)),0))</f>
        <v>0</v>
      </c>
      <c r="I1112" s="32">
        <f>IF($A1112="","",IFERROR(INDEX(OSStatus,MATCH($A1112,OSNum,0)),"OS inexistente"))</f>
        <v>0</v>
      </c>
      <c r="J1112" s="32">
        <f>IF($A1112="","",IF($I1112="OS inexistente","OS inexistente",IF($E1112="Peça não cadastrada","Peça não cadastrada","OK")))</f>
        <v>0</v>
      </c>
    </row>
    <row r="1113" spans="1:10">
      <c r="A1113" s="17"/>
      <c r="B1113" s="13"/>
      <c r="C1113" s="20"/>
      <c r="D1113" s="19"/>
      <c r="E1113" s="26">
        <f>IF($B1113="","",IFERROR(INDEX(PecDesc,MATCH($B1113,PecCod,0)),"Peça não cadastrada"))</f>
        <v>0</v>
      </c>
      <c r="F1113" s="27">
        <f>IF($B1113="","",IF($D1113&lt;&gt;"",$D1113,IFERROR(INDEX(PecPreco,MATCH($B1113,PecCod,0)),0)))</f>
        <v>0</v>
      </c>
      <c r="G1113" s="27">
        <f>IF(OR($B1113="",$C1113=""),"",$C1113*$F1113)</f>
        <v>0</v>
      </c>
      <c r="H1113" s="27">
        <f>IF(OR($B1113="",$C1113=""),"",$C1113*IFERROR(INDEX(PecCusto,MATCH($B1113,PecCod,0)),0))</f>
        <v>0</v>
      </c>
      <c r="I1113" s="32">
        <f>IF($A1113="","",IFERROR(INDEX(OSStatus,MATCH($A1113,OSNum,0)),"OS inexistente"))</f>
        <v>0</v>
      </c>
      <c r="J1113" s="32">
        <f>IF($A1113="","",IF($I1113="OS inexistente","OS inexistente",IF($E1113="Peça não cadastrada","Peça não cadastrada","OK")))</f>
        <v>0</v>
      </c>
    </row>
    <row r="1114" spans="1:10">
      <c r="A1114" s="17"/>
      <c r="B1114" s="13"/>
      <c r="C1114" s="20"/>
      <c r="D1114" s="19"/>
      <c r="E1114" s="26">
        <f>IF($B1114="","",IFERROR(INDEX(PecDesc,MATCH($B1114,PecCod,0)),"Peça não cadastrada"))</f>
        <v>0</v>
      </c>
      <c r="F1114" s="27">
        <f>IF($B1114="","",IF($D1114&lt;&gt;"",$D1114,IFERROR(INDEX(PecPreco,MATCH($B1114,PecCod,0)),0)))</f>
        <v>0</v>
      </c>
      <c r="G1114" s="27">
        <f>IF(OR($B1114="",$C1114=""),"",$C1114*$F1114)</f>
        <v>0</v>
      </c>
      <c r="H1114" s="27">
        <f>IF(OR($B1114="",$C1114=""),"",$C1114*IFERROR(INDEX(PecCusto,MATCH($B1114,PecCod,0)),0))</f>
        <v>0</v>
      </c>
      <c r="I1114" s="32">
        <f>IF($A1114="","",IFERROR(INDEX(OSStatus,MATCH($A1114,OSNum,0)),"OS inexistente"))</f>
        <v>0</v>
      </c>
      <c r="J1114" s="32">
        <f>IF($A1114="","",IF($I1114="OS inexistente","OS inexistente",IF($E1114="Peça não cadastrada","Peça não cadastrada","OK")))</f>
        <v>0</v>
      </c>
    </row>
    <row r="1115" spans="1:10">
      <c r="A1115" s="17"/>
      <c r="B1115" s="13"/>
      <c r="C1115" s="20"/>
      <c r="D1115" s="19"/>
      <c r="E1115" s="26">
        <f>IF($B1115="","",IFERROR(INDEX(PecDesc,MATCH($B1115,PecCod,0)),"Peça não cadastrada"))</f>
        <v>0</v>
      </c>
      <c r="F1115" s="27">
        <f>IF($B1115="","",IF($D1115&lt;&gt;"",$D1115,IFERROR(INDEX(PecPreco,MATCH($B1115,PecCod,0)),0)))</f>
        <v>0</v>
      </c>
      <c r="G1115" s="27">
        <f>IF(OR($B1115="",$C1115=""),"",$C1115*$F1115)</f>
        <v>0</v>
      </c>
      <c r="H1115" s="27">
        <f>IF(OR($B1115="",$C1115=""),"",$C1115*IFERROR(INDEX(PecCusto,MATCH($B1115,PecCod,0)),0))</f>
        <v>0</v>
      </c>
      <c r="I1115" s="32">
        <f>IF($A1115="","",IFERROR(INDEX(OSStatus,MATCH($A1115,OSNum,0)),"OS inexistente"))</f>
        <v>0</v>
      </c>
      <c r="J1115" s="32">
        <f>IF($A1115="","",IF($I1115="OS inexistente","OS inexistente",IF($E1115="Peça não cadastrada","Peça não cadastrada","OK")))</f>
        <v>0</v>
      </c>
    </row>
    <row r="1116" spans="1:10">
      <c r="A1116" s="17"/>
      <c r="B1116" s="13"/>
      <c r="C1116" s="20"/>
      <c r="D1116" s="19"/>
      <c r="E1116" s="26">
        <f>IF($B1116="","",IFERROR(INDEX(PecDesc,MATCH($B1116,PecCod,0)),"Peça não cadastrada"))</f>
        <v>0</v>
      </c>
      <c r="F1116" s="27">
        <f>IF($B1116="","",IF($D1116&lt;&gt;"",$D1116,IFERROR(INDEX(PecPreco,MATCH($B1116,PecCod,0)),0)))</f>
        <v>0</v>
      </c>
      <c r="G1116" s="27">
        <f>IF(OR($B1116="",$C1116=""),"",$C1116*$F1116)</f>
        <v>0</v>
      </c>
      <c r="H1116" s="27">
        <f>IF(OR($B1116="",$C1116=""),"",$C1116*IFERROR(INDEX(PecCusto,MATCH($B1116,PecCod,0)),0))</f>
        <v>0</v>
      </c>
      <c r="I1116" s="32">
        <f>IF($A1116="","",IFERROR(INDEX(OSStatus,MATCH($A1116,OSNum,0)),"OS inexistente"))</f>
        <v>0</v>
      </c>
      <c r="J1116" s="32">
        <f>IF($A1116="","",IF($I1116="OS inexistente","OS inexistente",IF($E1116="Peça não cadastrada","Peça não cadastrada","OK")))</f>
        <v>0</v>
      </c>
    </row>
    <row r="1117" spans="1:10">
      <c r="A1117" s="17"/>
      <c r="B1117" s="13"/>
      <c r="C1117" s="20"/>
      <c r="D1117" s="19"/>
      <c r="E1117" s="26">
        <f>IF($B1117="","",IFERROR(INDEX(PecDesc,MATCH($B1117,PecCod,0)),"Peça não cadastrada"))</f>
        <v>0</v>
      </c>
      <c r="F1117" s="27">
        <f>IF($B1117="","",IF($D1117&lt;&gt;"",$D1117,IFERROR(INDEX(PecPreco,MATCH($B1117,PecCod,0)),0)))</f>
        <v>0</v>
      </c>
      <c r="G1117" s="27">
        <f>IF(OR($B1117="",$C1117=""),"",$C1117*$F1117)</f>
        <v>0</v>
      </c>
      <c r="H1117" s="27">
        <f>IF(OR($B1117="",$C1117=""),"",$C1117*IFERROR(INDEX(PecCusto,MATCH($B1117,PecCod,0)),0))</f>
        <v>0</v>
      </c>
      <c r="I1117" s="32">
        <f>IF($A1117="","",IFERROR(INDEX(OSStatus,MATCH($A1117,OSNum,0)),"OS inexistente"))</f>
        <v>0</v>
      </c>
      <c r="J1117" s="32">
        <f>IF($A1117="","",IF($I1117="OS inexistente","OS inexistente",IF($E1117="Peça não cadastrada","Peça não cadastrada","OK")))</f>
        <v>0</v>
      </c>
    </row>
    <row r="1118" spans="1:10">
      <c r="A1118" s="17"/>
      <c r="B1118" s="13"/>
      <c r="C1118" s="20"/>
      <c r="D1118" s="19"/>
      <c r="E1118" s="26">
        <f>IF($B1118="","",IFERROR(INDEX(PecDesc,MATCH($B1118,PecCod,0)),"Peça não cadastrada"))</f>
        <v>0</v>
      </c>
      <c r="F1118" s="27">
        <f>IF($B1118="","",IF($D1118&lt;&gt;"",$D1118,IFERROR(INDEX(PecPreco,MATCH($B1118,PecCod,0)),0)))</f>
        <v>0</v>
      </c>
      <c r="G1118" s="27">
        <f>IF(OR($B1118="",$C1118=""),"",$C1118*$F1118)</f>
        <v>0</v>
      </c>
      <c r="H1118" s="27">
        <f>IF(OR($B1118="",$C1118=""),"",$C1118*IFERROR(INDEX(PecCusto,MATCH($B1118,PecCod,0)),0))</f>
        <v>0</v>
      </c>
      <c r="I1118" s="32">
        <f>IF($A1118="","",IFERROR(INDEX(OSStatus,MATCH($A1118,OSNum,0)),"OS inexistente"))</f>
        <v>0</v>
      </c>
      <c r="J1118" s="32">
        <f>IF($A1118="","",IF($I1118="OS inexistente","OS inexistente",IF($E1118="Peça não cadastrada","Peça não cadastrada","OK")))</f>
        <v>0</v>
      </c>
    </row>
    <row r="1119" spans="1:10">
      <c r="A1119" s="17"/>
      <c r="B1119" s="13"/>
      <c r="C1119" s="20"/>
      <c r="D1119" s="19"/>
      <c r="E1119" s="26">
        <f>IF($B1119="","",IFERROR(INDEX(PecDesc,MATCH($B1119,PecCod,0)),"Peça não cadastrada"))</f>
        <v>0</v>
      </c>
      <c r="F1119" s="27">
        <f>IF($B1119="","",IF($D1119&lt;&gt;"",$D1119,IFERROR(INDEX(PecPreco,MATCH($B1119,PecCod,0)),0)))</f>
        <v>0</v>
      </c>
      <c r="G1119" s="27">
        <f>IF(OR($B1119="",$C1119=""),"",$C1119*$F1119)</f>
        <v>0</v>
      </c>
      <c r="H1119" s="27">
        <f>IF(OR($B1119="",$C1119=""),"",$C1119*IFERROR(INDEX(PecCusto,MATCH($B1119,PecCod,0)),0))</f>
        <v>0</v>
      </c>
      <c r="I1119" s="32">
        <f>IF($A1119="","",IFERROR(INDEX(OSStatus,MATCH($A1119,OSNum,0)),"OS inexistente"))</f>
        <v>0</v>
      </c>
      <c r="J1119" s="32">
        <f>IF($A1119="","",IF($I1119="OS inexistente","OS inexistente",IF($E1119="Peça não cadastrada","Peça não cadastrada","OK")))</f>
        <v>0</v>
      </c>
    </row>
    <row r="1120" spans="1:10">
      <c r="A1120" s="17"/>
      <c r="B1120" s="13"/>
      <c r="C1120" s="20"/>
      <c r="D1120" s="19"/>
      <c r="E1120" s="26">
        <f>IF($B1120="","",IFERROR(INDEX(PecDesc,MATCH($B1120,PecCod,0)),"Peça não cadastrada"))</f>
        <v>0</v>
      </c>
      <c r="F1120" s="27">
        <f>IF($B1120="","",IF($D1120&lt;&gt;"",$D1120,IFERROR(INDEX(PecPreco,MATCH($B1120,PecCod,0)),0)))</f>
        <v>0</v>
      </c>
      <c r="G1120" s="27">
        <f>IF(OR($B1120="",$C1120=""),"",$C1120*$F1120)</f>
        <v>0</v>
      </c>
      <c r="H1120" s="27">
        <f>IF(OR($B1120="",$C1120=""),"",$C1120*IFERROR(INDEX(PecCusto,MATCH($B1120,PecCod,0)),0))</f>
        <v>0</v>
      </c>
      <c r="I1120" s="32">
        <f>IF($A1120="","",IFERROR(INDEX(OSStatus,MATCH($A1120,OSNum,0)),"OS inexistente"))</f>
        <v>0</v>
      </c>
      <c r="J1120" s="32">
        <f>IF($A1120="","",IF($I1120="OS inexistente","OS inexistente",IF($E1120="Peça não cadastrada","Peça não cadastrada","OK")))</f>
        <v>0</v>
      </c>
    </row>
    <row r="1121" spans="1:10">
      <c r="A1121" s="17"/>
      <c r="B1121" s="13"/>
      <c r="C1121" s="20"/>
      <c r="D1121" s="19"/>
      <c r="E1121" s="26">
        <f>IF($B1121="","",IFERROR(INDEX(PecDesc,MATCH($B1121,PecCod,0)),"Peça não cadastrada"))</f>
        <v>0</v>
      </c>
      <c r="F1121" s="27">
        <f>IF($B1121="","",IF($D1121&lt;&gt;"",$D1121,IFERROR(INDEX(PecPreco,MATCH($B1121,PecCod,0)),0)))</f>
        <v>0</v>
      </c>
      <c r="G1121" s="27">
        <f>IF(OR($B1121="",$C1121=""),"",$C1121*$F1121)</f>
        <v>0</v>
      </c>
      <c r="H1121" s="27">
        <f>IF(OR($B1121="",$C1121=""),"",$C1121*IFERROR(INDEX(PecCusto,MATCH($B1121,PecCod,0)),0))</f>
        <v>0</v>
      </c>
      <c r="I1121" s="32">
        <f>IF($A1121="","",IFERROR(INDEX(OSStatus,MATCH($A1121,OSNum,0)),"OS inexistente"))</f>
        <v>0</v>
      </c>
      <c r="J1121" s="32">
        <f>IF($A1121="","",IF($I1121="OS inexistente","OS inexistente",IF($E1121="Peça não cadastrada","Peça não cadastrada","OK")))</f>
        <v>0</v>
      </c>
    </row>
    <row r="1122" spans="1:10">
      <c r="A1122" s="17"/>
      <c r="B1122" s="13"/>
      <c r="C1122" s="20"/>
      <c r="D1122" s="19"/>
      <c r="E1122" s="26">
        <f>IF($B1122="","",IFERROR(INDEX(PecDesc,MATCH($B1122,PecCod,0)),"Peça não cadastrada"))</f>
        <v>0</v>
      </c>
      <c r="F1122" s="27">
        <f>IF($B1122="","",IF($D1122&lt;&gt;"",$D1122,IFERROR(INDEX(PecPreco,MATCH($B1122,PecCod,0)),0)))</f>
        <v>0</v>
      </c>
      <c r="G1122" s="27">
        <f>IF(OR($B1122="",$C1122=""),"",$C1122*$F1122)</f>
        <v>0</v>
      </c>
      <c r="H1122" s="27">
        <f>IF(OR($B1122="",$C1122=""),"",$C1122*IFERROR(INDEX(PecCusto,MATCH($B1122,PecCod,0)),0))</f>
        <v>0</v>
      </c>
      <c r="I1122" s="32">
        <f>IF($A1122="","",IFERROR(INDEX(OSStatus,MATCH($A1122,OSNum,0)),"OS inexistente"))</f>
        <v>0</v>
      </c>
      <c r="J1122" s="32">
        <f>IF($A1122="","",IF($I1122="OS inexistente","OS inexistente",IF($E1122="Peça não cadastrada","Peça não cadastrada","OK")))</f>
        <v>0</v>
      </c>
    </row>
    <row r="1123" spans="1:10">
      <c r="A1123" s="17"/>
      <c r="B1123" s="13"/>
      <c r="C1123" s="20"/>
      <c r="D1123" s="19"/>
      <c r="E1123" s="26">
        <f>IF($B1123="","",IFERROR(INDEX(PecDesc,MATCH($B1123,PecCod,0)),"Peça não cadastrada"))</f>
        <v>0</v>
      </c>
      <c r="F1123" s="27">
        <f>IF($B1123="","",IF($D1123&lt;&gt;"",$D1123,IFERROR(INDEX(PecPreco,MATCH($B1123,PecCod,0)),0)))</f>
        <v>0</v>
      </c>
      <c r="G1123" s="27">
        <f>IF(OR($B1123="",$C1123=""),"",$C1123*$F1123)</f>
        <v>0</v>
      </c>
      <c r="H1123" s="27">
        <f>IF(OR($B1123="",$C1123=""),"",$C1123*IFERROR(INDEX(PecCusto,MATCH($B1123,PecCod,0)),0))</f>
        <v>0</v>
      </c>
      <c r="I1123" s="32">
        <f>IF($A1123="","",IFERROR(INDEX(OSStatus,MATCH($A1123,OSNum,0)),"OS inexistente"))</f>
        <v>0</v>
      </c>
      <c r="J1123" s="32">
        <f>IF($A1123="","",IF($I1123="OS inexistente","OS inexistente",IF($E1123="Peça não cadastrada","Peça não cadastrada","OK")))</f>
        <v>0</v>
      </c>
    </row>
    <row r="1124" spans="1:10">
      <c r="A1124" s="17"/>
      <c r="B1124" s="13"/>
      <c r="C1124" s="20"/>
      <c r="D1124" s="19"/>
      <c r="E1124" s="26">
        <f>IF($B1124="","",IFERROR(INDEX(PecDesc,MATCH($B1124,PecCod,0)),"Peça não cadastrada"))</f>
        <v>0</v>
      </c>
      <c r="F1124" s="27">
        <f>IF($B1124="","",IF($D1124&lt;&gt;"",$D1124,IFERROR(INDEX(PecPreco,MATCH($B1124,PecCod,0)),0)))</f>
        <v>0</v>
      </c>
      <c r="G1124" s="27">
        <f>IF(OR($B1124="",$C1124=""),"",$C1124*$F1124)</f>
        <v>0</v>
      </c>
      <c r="H1124" s="27">
        <f>IF(OR($B1124="",$C1124=""),"",$C1124*IFERROR(INDEX(PecCusto,MATCH($B1124,PecCod,0)),0))</f>
        <v>0</v>
      </c>
      <c r="I1124" s="32">
        <f>IF($A1124="","",IFERROR(INDEX(OSStatus,MATCH($A1124,OSNum,0)),"OS inexistente"))</f>
        <v>0</v>
      </c>
      <c r="J1124" s="32">
        <f>IF($A1124="","",IF($I1124="OS inexistente","OS inexistente",IF($E1124="Peça não cadastrada","Peça não cadastrada","OK")))</f>
        <v>0</v>
      </c>
    </row>
    <row r="1125" spans="1:10">
      <c r="A1125" s="17"/>
      <c r="B1125" s="13"/>
      <c r="C1125" s="20"/>
      <c r="D1125" s="19"/>
      <c r="E1125" s="26">
        <f>IF($B1125="","",IFERROR(INDEX(PecDesc,MATCH($B1125,PecCod,0)),"Peça não cadastrada"))</f>
        <v>0</v>
      </c>
      <c r="F1125" s="27">
        <f>IF($B1125="","",IF($D1125&lt;&gt;"",$D1125,IFERROR(INDEX(PecPreco,MATCH($B1125,PecCod,0)),0)))</f>
        <v>0</v>
      </c>
      <c r="G1125" s="27">
        <f>IF(OR($B1125="",$C1125=""),"",$C1125*$F1125)</f>
        <v>0</v>
      </c>
      <c r="H1125" s="27">
        <f>IF(OR($B1125="",$C1125=""),"",$C1125*IFERROR(INDEX(PecCusto,MATCH($B1125,PecCod,0)),0))</f>
        <v>0</v>
      </c>
      <c r="I1125" s="32">
        <f>IF($A1125="","",IFERROR(INDEX(OSStatus,MATCH($A1125,OSNum,0)),"OS inexistente"))</f>
        <v>0</v>
      </c>
      <c r="J1125" s="32">
        <f>IF($A1125="","",IF($I1125="OS inexistente","OS inexistente",IF($E1125="Peça não cadastrada","Peça não cadastrada","OK")))</f>
        <v>0</v>
      </c>
    </row>
    <row r="1126" spans="1:10">
      <c r="A1126" s="17"/>
      <c r="B1126" s="13"/>
      <c r="C1126" s="20"/>
      <c r="D1126" s="19"/>
      <c r="E1126" s="26">
        <f>IF($B1126="","",IFERROR(INDEX(PecDesc,MATCH($B1126,PecCod,0)),"Peça não cadastrada"))</f>
        <v>0</v>
      </c>
      <c r="F1126" s="27">
        <f>IF($B1126="","",IF($D1126&lt;&gt;"",$D1126,IFERROR(INDEX(PecPreco,MATCH($B1126,PecCod,0)),0)))</f>
        <v>0</v>
      </c>
      <c r="G1126" s="27">
        <f>IF(OR($B1126="",$C1126=""),"",$C1126*$F1126)</f>
        <v>0</v>
      </c>
      <c r="H1126" s="27">
        <f>IF(OR($B1126="",$C1126=""),"",$C1126*IFERROR(INDEX(PecCusto,MATCH($B1126,PecCod,0)),0))</f>
        <v>0</v>
      </c>
      <c r="I1126" s="32">
        <f>IF($A1126="","",IFERROR(INDEX(OSStatus,MATCH($A1126,OSNum,0)),"OS inexistente"))</f>
        <v>0</v>
      </c>
      <c r="J1126" s="32">
        <f>IF($A1126="","",IF($I1126="OS inexistente","OS inexistente",IF($E1126="Peça não cadastrada","Peça não cadastrada","OK")))</f>
        <v>0</v>
      </c>
    </row>
    <row r="1127" spans="1:10">
      <c r="A1127" s="17"/>
      <c r="B1127" s="13"/>
      <c r="C1127" s="20"/>
      <c r="D1127" s="19"/>
      <c r="E1127" s="26">
        <f>IF($B1127="","",IFERROR(INDEX(PecDesc,MATCH($B1127,PecCod,0)),"Peça não cadastrada"))</f>
        <v>0</v>
      </c>
      <c r="F1127" s="27">
        <f>IF($B1127="","",IF($D1127&lt;&gt;"",$D1127,IFERROR(INDEX(PecPreco,MATCH($B1127,PecCod,0)),0)))</f>
        <v>0</v>
      </c>
      <c r="G1127" s="27">
        <f>IF(OR($B1127="",$C1127=""),"",$C1127*$F1127)</f>
        <v>0</v>
      </c>
      <c r="H1127" s="27">
        <f>IF(OR($B1127="",$C1127=""),"",$C1127*IFERROR(INDEX(PecCusto,MATCH($B1127,PecCod,0)),0))</f>
        <v>0</v>
      </c>
      <c r="I1127" s="32">
        <f>IF($A1127="","",IFERROR(INDEX(OSStatus,MATCH($A1127,OSNum,0)),"OS inexistente"))</f>
        <v>0</v>
      </c>
      <c r="J1127" s="32">
        <f>IF($A1127="","",IF($I1127="OS inexistente","OS inexistente",IF($E1127="Peça não cadastrada","Peça não cadastrada","OK")))</f>
        <v>0</v>
      </c>
    </row>
    <row r="1128" spans="1:10">
      <c r="A1128" s="17"/>
      <c r="B1128" s="13"/>
      <c r="C1128" s="20"/>
      <c r="D1128" s="19"/>
      <c r="E1128" s="26">
        <f>IF($B1128="","",IFERROR(INDEX(PecDesc,MATCH($B1128,PecCod,0)),"Peça não cadastrada"))</f>
        <v>0</v>
      </c>
      <c r="F1128" s="27">
        <f>IF($B1128="","",IF($D1128&lt;&gt;"",$D1128,IFERROR(INDEX(PecPreco,MATCH($B1128,PecCod,0)),0)))</f>
        <v>0</v>
      </c>
      <c r="G1128" s="27">
        <f>IF(OR($B1128="",$C1128=""),"",$C1128*$F1128)</f>
        <v>0</v>
      </c>
      <c r="H1128" s="27">
        <f>IF(OR($B1128="",$C1128=""),"",$C1128*IFERROR(INDEX(PecCusto,MATCH($B1128,PecCod,0)),0))</f>
        <v>0</v>
      </c>
      <c r="I1128" s="32">
        <f>IF($A1128="","",IFERROR(INDEX(OSStatus,MATCH($A1128,OSNum,0)),"OS inexistente"))</f>
        <v>0</v>
      </c>
      <c r="J1128" s="32">
        <f>IF($A1128="","",IF($I1128="OS inexistente","OS inexistente",IF($E1128="Peça não cadastrada","Peça não cadastrada","OK")))</f>
        <v>0</v>
      </c>
    </row>
    <row r="1129" spans="1:10">
      <c r="A1129" s="17"/>
      <c r="B1129" s="13"/>
      <c r="C1129" s="20"/>
      <c r="D1129" s="19"/>
      <c r="E1129" s="26">
        <f>IF($B1129="","",IFERROR(INDEX(PecDesc,MATCH($B1129,PecCod,0)),"Peça não cadastrada"))</f>
        <v>0</v>
      </c>
      <c r="F1129" s="27">
        <f>IF($B1129="","",IF($D1129&lt;&gt;"",$D1129,IFERROR(INDEX(PecPreco,MATCH($B1129,PecCod,0)),0)))</f>
        <v>0</v>
      </c>
      <c r="G1129" s="27">
        <f>IF(OR($B1129="",$C1129=""),"",$C1129*$F1129)</f>
        <v>0</v>
      </c>
      <c r="H1129" s="27">
        <f>IF(OR($B1129="",$C1129=""),"",$C1129*IFERROR(INDEX(PecCusto,MATCH($B1129,PecCod,0)),0))</f>
        <v>0</v>
      </c>
      <c r="I1129" s="32">
        <f>IF($A1129="","",IFERROR(INDEX(OSStatus,MATCH($A1129,OSNum,0)),"OS inexistente"))</f>
        <v>0</v>
      </c>
      <c r="J1129" s="32">
        <f>IF($A1129="","",IF($I1129="OS inexistente","OS inexistente",IF($E1129="Peça não cadastrada","Peça não cadastrada","OK")))</f>
        <v>0</v>
      </c>
    </row>
    <row r="1130" spans="1:10">
      <c r="A1130" s="17"/>
      <c r="B1130" s="13"/>
      <c r="C1130" s="20"/>
      <c r="D1130" s="19"/>
      <c r="E1130" s="26">
        <f>IF($B1130="","",IFERROR(INDEX(PecDesc,MATCH($B1130,PecCod,0)),"Peça não cadastrada"))</f>
        <v>0</v>
      </c>
      <c r="F1130" s="27">
        <f>IF($B1130="","",IF($D1130&lt;&gt;"",$D1130,IFERROR(INDEX(PecPreco,MATCH($B1130,PecCod,0)),0)))</f>
        <v>0</v>
      </c>
      <c r="G1130" s="27">
        <f>IF(OR($B1130="",$C1130=""),"",$C1130*$F1130)</f>
        <v>0</v>
      </c>
      <c r="H1130" s="27">
        <f>IF(OR($B1130="",$C1130=""),"",$C1130*IFERROR(INDEX(PecCusto,MATCH($B1130,PecCod,0)),0))</f>
        <v>0</v>
      </c>
      <c r="I1130" s="32">
        <f>IF($A1130="","",IFERROR(INDEX(OSStatus,MATCH($A1130,OSNum,0)),"OS inexistente"))</f>
        <v>0</v>
      </c>
      <c r="J1130" s="32">
        <f>IF($A1130="","",IF($I1130="OS inexistente","OS inexistente",IF($E1130="Peça não cadastrada","Peça não cadastrada","OK")))</f>
        <v>0</v>
      </c>
    </row>
    <row r="1131" spans="1:10">
      <c r="A1131" s="17"/>
      <c r="B1131" s="13"/>
      <c r="C1131" s="20"/>
      <c r="D1131" s="19"/>
      <c r="E1131" s="26">
        <f>IF($B1131="","",IFERROR(INDEX(PecDesc,MATCH($B1131,PecCod,0)),"Peça não cadastrada"))</f>
        <v>0</v>
      </c>
      <c r="F1131" s="27">
        <f>IF($B1131="","",IF($D1131&lt;&gt;"",$D1131,IFERROR(INDEX(PecPreco,MATCH($B1131,PecCod,0)),0)))</f>
        <v>0</v>
      </c>
      <c r="G1131" s="27">
        <f>IF(OR($B1131="",$C1131=""),"",$C1131*$F1131)</f>
        <v>0</v>
      </c>
      <c r="H1131" s="27">
        <f>IF(OR($B1131="",$C1131=""),"",$C1131*IFERROR(INDEX(PecCusto,MATCH($B1131,PecCod,0)),0))</f>
        <v>0</v>
      </c>
      <c r="I1131" s="32">
        <f>IF($A1131="","",IFERROR(INDEX(OSStatus,MATCH($A1131,OSNum,0)),"OS inexistente"))</f>
        <v>0</v>
      </c>
      <c r="J1131" s="32">
        <f>IF($A1131="","",IF($I1131="OS inexistente","OS inexistente",IF($E1131="Peça não cadastrada","Peça não cadastrada","OK")))</f>
        <v>0</v>
      </c>
    </row>
    <row r="1132" spans="1:10">
      <c r="A1132" s="17"/>
      <c r="B1132" s="13"/>
      <c r="C1132" s="20"/>
      <c r="D1132" s="19"/>
      <c r="E1132" s="26">
        <f>IF($B1132="","",IFERROR(INDEX(PecDesc,MATCH($B1132,PecCod,0)),"Peça não cadastrada"))</f>
        <v>0</v>
      </c>
      <c r="F1132" s="27">
        <f>IF($B1132="","",IF($D1132&lt;&gt;"",$D1132,IFERROR(INDEX(PecPreco,MATCH($B1132,PecCod,0)),0)))</f>
        <v>0</v>
      </c>
      <c r="G1132" s="27">
        <f>IF(OR($B1132="",$C1132=""),"",$C1132*$F1132)</f>
        <v>0</v>
      </c>
      <c r="H1132" s="27">
        <f>IF(OR($B1132="",$C1132=""),"",$C1132*IFERROR(INDEX(PecCusto,MATCH($B1132,PecCod,0)),0))</f>
        <v>0</v>
      </c>
      <c r="I1132" s="32">
        <f>IF($A1132="","",IFERROR(INDEX(OSStatus,MATCH($A1132,OSNum,0)),"OS inexistente"))</f>
        <v>0</v>
      </c>
      <c r="J1132" s="32">
        <f>IF($A1132="","",IF($I1132="OS inexistente","OS inexistente",IF($E1132="Peça não cadastrada","Peça não cadastrada","OK")))</f>
        <v>0</v>
      </c>
    </row>
    <row r="1133" spans="1:10">
      <c r="A1133" s="17"/>
      <c r="B1133" s="13"/>
      <c r="C1133" s="20"/>
      <c r="D1133" s="19"/>
      <c r="E1133" s="26">
        <f>IF($B1133="","",IFERROR(INDEX(PecDesc,MATCH($B1133,PecCod,0)),"Peça não cadastrada"))</f>
        <v>0</v>
      </c>
      <c r="F1133" s="27">
        <f>IF($B1133="","",IF($D1133&lt;&gt;"",$D1133,IFERROR(INDEX(PecPreco,MATCH($B1133,PecCod,0)),0)))</f>
        <v>0</v>
      </c>
      <c r="G1133" s="27">
        <f>IF(OR($B1133="",$C1133=""),"",$C1133*$F1133)</f>
        <v>0</v>
      </c>
      <c r="H1133" s="27">
        <f>IF(OR($B1133="",$C1133=""),"",$C1133*IFERROR(INDEX(PecCusto,MATCH($B1133,PecCod,0)),0))</f>
        <v>0</v>
      </c>
      <c r="I1133" s="32">
        <f>IF($A1133="","",IFERROR(INDEX(OSStatus,MATCH($A1133,OSNum,0)),"OS inexistente"))</f>
        <v>0</v>
      </c>
      <c r="J1133" s="32">
        <f>IF($A1133="","",IF($I1133="OS inexistente","OS inexistente",IF($E1133="Peça não cadastrada","Peça não cadastrada","OK")))</f>
        <v>0</v>
      </c>
    </row>
    <row r="1134" spans="1:10">
      <c r="A1134" s="17"/>
      <c r="B1134" s="13"/>
      <c r="C1134" s="20"/>
      <c r="D1134" s="19"/>
      <c r="E1134" s="26">
        <f>IF($B1134="","",IFERROR(INDEX(PecDesc,MATCH($B1134,PecCod,0)),"Peça não cadastrada"))</f>
        <v>0</v>
      </c>
      <c r="F1134" s="27">
        <f>IF($B1134="","",IF($D1134&lt;&gt;"",$D1134,IFERROR(INDEX(PecPreco,MATCH($B1134,PecCod,0)),0)))</f>
        <v>0</v>
      </c>
      <c r="G1134" s="27">
        <f>IF(OR($B1134="",$C1134=""),"",$C1134*$F1134)</f>
        <v>0</v>
      </c>
      <c r="H1134" s="27">
        <f>IF(OR($B1134="",$C1134=""),"",$C1134*IFERROR(INDEX(PecCusto,MATCH($B1134,PecCod,0)),0))</f>
        <v>0</v>
      </c>
      <c r="I1134" s="32">
        <f>IF($A1134="","",IFERROR(INDEX(OSStatus,MATCH($A1134,OSNum,0)),"OS inexistente"))</f>
        <v>0</v>
      </c>
      <c r="J1134" s="32">
        <f>IF($A1134="","",IF($I1134="OS inexistente","OS inexistente",IF($E1134="Peça não cadastrada","Peça não cadastrada","OK")))</f>
        <v>0</v>
      </c>
    </row>
    <row r="1135" spans="1:10">
      <c r="A1135" s="17"/>
      <c r="B1135" s="13"/>
      <c r="C1135" s="20"/>
      <c r="D1135" s="19"/>
      <c r="E1135" s="26">
        <f>IF($B1135="","",IFERROR(INDEX(PecDesc,MATCH($B1135,PecCod,0)),"Peça não cadastrada"))</f>
        <v>0</v>
      </c>
      <c r="F1135" s="27">
        <f>IF($B1135="","",IF($D1135&lt;&gt;"",$D1135,IFERROR(INDEX(PecPreco,MATCH($B1135,PecCod,0)),0)))</f>
        <v>0</v>
      </c>
      <c r="G1135" s="27">
        <f>IF(OR($B1135="",$C1135=""),"",$C1135*$F1135)</f>
        <v>0</v>
      </c>
      <c r="H1135" s="27">
        <f>IF(OR($B1135="",$C1135=""),"",$C1135*IFERROR(INDEX(PecCusto,MATCH($B1135,PecCod,0)),0))</f>
        <v>0</v>
      </c>
      <c r="I1135" s="32">
        <f>IF($A1135="","",IFERROR(INDEX(OSStatus,MATCH($A1135,OSNum,0)),"OS inexistente"))</f>
        <v>0</v>
      </c>
      <c r="J1135" s="32">
        <f>IF($A1135="","",IF($I1135="OS inexistente","OS inexistente",IF($E1135="Peça não cadastrada","Peça não cadastrada","OK")))</f>
        <v>0</v>
      </c>
    </row>
    <row r="1136" spans="1:10">
      <c r="A1136" s="17"/>
      <c r="B1136" s="13"/>
      <c r="C1136" s="20"/>
      <c r="D1136" s="19"/>
      <c r="E1136" s="26">
        <f>IF($B1136="","",IFERROR(INDEX(PecDesc,MATCH($B1136,PecCod,0)),"Peça não cadastrada"))</f>
        <v>0</v>
      </c>
      <c r="F1136" s="27">
        <f>IF($B1136="","",IF($D1136&lt;&gt;"",$D1136,IFERROR(INDEX(PecPreco,MATCH($B1136,PecCod,0)),0)))</f>
        <v>0</v>
      </c>
      <c r="G1136" s="27">
        <f>IF(OR($B1136="",$C1136=""),"",$C1136*$F1136)</f>
        <v>0</v>
      </c>
      <c r="H1136" s="27">
        <f>IF(OR($B1136="",$C1136=""),"",$C1136*IFERROR(INDEX(PecCusto,MATCH($B1136,PecCod,0)),0))</f>
        <v>0</v>
      </c>
      <c r="I1136" s="32">
        <f>IF($A1136="","",IFERROR(INDEX(OSStatus,MATCH($A1136,OSNum,0)),"OS inexistente"))</f>
        <v>0</v>
      </c>
      <c r="J1136" s="32">
        <f>IF($A1136="","",IF($I1136="OS inexistente","OS inexistente",IF($E1136="Peça não cadastrada","Peça não cadastrada","OK")))</f>
        <v>0</v>
      </c>
    </row>
    <row r="1137" spans="1:10">
      <c r="A1137" s="17"/>
      <c r="B1137" s="13"/>
      <c r="C1137" s="20"/>
      <c r="D1137" s="19"/>
      <c r="E1137" s="26">
        <f>IF($B1137="","",IFERROR(INDEX(PecDesc,MATCH($B1137,PecCod,0)),"Peça não cadastrada"))</f>
        <v>0</v>
      </c>
      <c r="F1137" s="27">
        <f>IF($B1137="","",IF($D1137&lt;&gt;"",$D1137,IFERROR(INDEX(PecPreco,MATCH($B1137,PecCod,0)),0)))</f>
        <v>0</v>
      </c>
      <c r="G1137" s="27">
        <f>IF(OR($B1137="",$C1137=""),"",$C1137*$F1137)</f>
        <v>0</v>
      </c>
      <c r="H1137" s="27">
        <f>IF(OR($B1137="",$C1137=""),"",$C1137*IFERROR(INDEX(PecCusto,MATCH($B1137,PecCod,0)),0))</f>
        <v>0</v>
      </c>
      <c r="I1137" s="32">
        <f>IF($A1137="","",IFERROR(INDEX(OSStatus,MATCH($A1137,OSNum,0)),"OS inexistente"))</f>
        <v>0</v>
      </c>
      <c r="J1137" s="32">
        <f>IF($A1137="","",IF($I1137="OS inexistente","OS inexistente",IF($E1137="Peça não cadastrada","Peça não cadastrada","OK")))</f>
        <v>0</v>
      </c>
    </row>
    <row r="1138" spans="1:10">
      <c r="A1138" s="17"/>
      <c r="B1138" s="13"/>
      <c r="C1138" s="20"/>
      <c r="D1138" s="19"/>
      <c r="E1138" s="26">
        <f>IF($B1138="","",IFERROR(INDEX(PecDesc,MATCH($B1138,PecCod,0)),"Peça não cadastrada"))</f>
        <v>0</v>
      </c>
      <c r="F1138" s="27">
        <f>IF($B1138="","",IF($D1138&lt;&gt;"",$D1138,IFERROR(INDEX(PecPreco,MATCH($B1138,PecCod,0)),0)))</f>
        <v>0</v>
      </c>
      <c r="G1138" s="27">
        <f>IF(OR($B1138="",$C1138=""),"",$C1138*$F1138)</f>
        <v>0</v>
      </c>
      <c r="H1138" s="27">
        <f>IF(OR($B1138="",$C1138=""),"",$C1138*IFERROR(INDEX(PecCusto,MATCH($B1138,PecCod,0)),0))</f>
        <v>0</v>
      </c>
      <c r="I1138" s="32">
        <f>IF($A1138="","",IFERROR(INDEX(OSStatus,MATCH($A1138,OSNum,0)),"OS inexistente"))</f>
        <v>0</v>
      </c>
      <c r="J1138" s="32">
        <f>IF($A1138="","",IF($I1138="OS inexistente","OS inexistente",IF($E1138="Peça não cadastrada","Peça não cadastrada","OK")))</f>
        <v>0</v>
      </c>
    </row>
    <row r="1139" spans="1:10">
      <c r="A1139" s="17"/>
      <c r="B1139" s="13"/>
      <c r="C1139" s="20"/>
      <c r="D1139" s="19"/>
      <c r="E1139" s="26">
        <f>IF($B1139="","",IFERROR(INDEX(PecDesc,MATCH($B1139,PecCod,0)),"Peça não cadastrada"))</f>
        <v>0</v>
      </c>
      <c r="F1139" s="27">
        <f>IF($B1139="","",IF($D1139&lt;&gt;"",$D1139,IFERROR(INDEX(PecPreco,MATCH($B1139,PecCod,0)),0)))</f>
        <v>0</v>
      </c>
      <c r="G1139" s="27">
        <f>IF(OR($B1139="",$C1139=""),"",$C1139*$F1139)</f>
        <v>0</v>
      </c>
      <c r="H1139" s="27">
        <f>IF(OR($B1139="",$C1139=""),"",$C1139*IFERROR(INDEX(PecCusto,MATCH($B1139,PecCod,0)),0))</f>
        <v>0</v>
      </c>
      <c r="I1139" s="32">
        <f>IF($A1139="","",IFERROR(INDEX(OSStatus,MATCH($A1139,OSNum,0)),"OS inexistente"))</f>
        <v>0</v>
      </c>
      <c r="J1139" s="32">
        <f>IF($A1139="","",IF($I1139="OS inexistente","OS inexistente",IF($E1139="Peça não cadastrada","Peça não cadastrada","OK")))</f>
        <v>0</v>
      </c>
    </row>
    <row r="1140" spans="1:10">
      <c r="A1140" s="17"/>
      <c r="B1140" s="13"/>
      <c r="C1140" s="20"/>
      <c r="D1140" s="19"/>
      <c r="E1140" s="26">
        <f>IF($B1140="","",IFERROR(INDEX(PecDesc,MATCH($B1140,PecCod,0)),"Peça não cadastrada"))</f>
        <v>0</v>
      </c>
      <c r="F1140" s="27">
        <f>IF($B1140="","",IF($D1140&lt;&gt;"",$D1140,IFERROR(INDEX(PecPreco,MATCH($B1140,PecCod,0)),0)))</f>
        <v>0</v>
      </c>
      <c r="G1140" s="27">
        <f>IF(OR($B1140="",$C1140=""),"",$C1140*$F1140)</f>
        <v>0</v>
      </c>
      <c r="H1140" s="27">
        <f>IF(OR($B1140="",$C1140=""),"",$C1140*IFERROR(INDEX(PecCusto,MATCH($B1140,PecCod,0)),0))</f>
        <v>0</v>
      </c>
      <c r="I1140" s="32">
        <f>IF($A1140="","",IFERROR(INDEX(OSStatus,MATCH($A1140,OSNum,0)),"OS inexistente"))</f>
        <v>0</v>
      </c>
      <c r="J1140" s="32">
        <f>IF($A1140="","",IF($I1140="OS inexistente","OS inexistente",IF($E1140="Peça não cadastrada","Peça não cadastrada","OK")))</f>
        <v>0</v>
      </c>
    </row>
    <row r="1141" spans="1:10">
      <c r="A1141" s="17"/>
      <c r="B1141" s="13"/>
      <c r="C1141" s="20"/>
      <c r="D1141" s="19"/>
      <c r="E1141" s="26">
        <f>IF($B1141="","",IFERROR(INDEX(PecDesc,MATCH($B1141,PecCod,0)),"Peça não cadastrada"))</f>
        <v>0</v>
      </c>
      <c r="F1141" s="27">
        <f>IF($B1141="","",IF($D1141&lt;&gt;"",$D1141,IFERROR(INDEX(PecPreco,MATCH($B1141,PecCod,0)),0)))</f>
        <v>0</v>
      </c>
      <c r="G1141" s="27">
        <f>IF(OR($B1141="",$C1141=""),"",$C1141*$F1141)</f>
        <v>0</v>
      </c>
      <c r="H1141" s="27">
        <f>IF(OR($B1141="",$C1141=""),"",$C1141*IFERROR(INDEX(PecCusto,MATCH($B1141,PecCod,0)),0))</f>
        <v>0</v>
      </c>
      <c r="I1141" s="32">
        <f>IF($A1141="","",IFERROR(INDEX(OSStatus,MATCH($A1141,OSNum,0)),"OS inexistente"))</f>
        <v>0</v>
      </c>
      <c r="J1141" s="32">
        <f>IF($A1141="","",IF($I1141="OS inexistente","OS inexistente",IF($E1141="Peça não cadastrada","Peça não cadastrada","OK")))</f>
        <v>0</v>
      </c>
    </row>
    <row r="1142" spans="1:10">
      <c r="A1142" s="17"/>
      <c r="B1142" s="13"/>
      <c r="C1142" s="20"/>
      <c r="D1142" s="19"/>
      <c r="E1142" s="26">
        <f>IF($B1142="","",IFERROR(INDEX(PecDesc,MATCH($B1142,PecCod,0)),"Peça não cadastrada"))</f>
        <v>0</v>
      </c>
      <c r="F1142" s="27">
        <f>IF($B1142="","",IF($D1142&lt;&gt;"",$D1142,IFERROR(INDEX(PecPreco,MATCH($B1142,PecCod,0)),0)))</f>
        <v>0</v>
      </c>
      <c r="G1142" s="27">
        <f>IF(OR($B1142="",$C1142=""),"",$C1142*$F1142)</f>
        <v>0</v>
      </c>
      <c r="H1142" s="27">
        <f>IF(OR($B1142="",$C1142=""),"",$C1142*IFERROR(INDEX(PecCusto,MATCH($B1142,PecCod,0)),0))</f>
        <v>0</v>
      </c>
      <c r="I1142" s="32">
        <f>IF($A1142="","",IFERROR(INDEX(OSStatus,MATCH($A1142,OSNum,0)),"OS inexistente"))</f>
        <v>0</v>
      </c>
      <c r="J1142" s="32">
        <f>IF($A1142="","",IF($I1142="OS inexistente","OS inexistente",IF($E1142="Peça não cadastrada","Peça não cadastrada","OK")))</f>
        <v>0</v>
      </c>
    </row>
    <row r="1143" spans="1:10">
      <c r="A1143" s="17"/>
      <c r="B1143" s="13"/>
      <c r="C1143" s="20"/>
      <c r="D1143" s="19"/>
      <c r="E1143" s="26">
        <f>IF($B1143="","",IFERROR(INDEX(PecDesc,MATCH($B1143,PecCod,0)),"Peça não cadastrada"))</f>
        <v>0</v>
      </c>
      <c r="F1143" s="27">
        <f>IF($B1143="","",IF($D1143&lt;&gt;"",$D1143,IFERROR(INDEX(PecPreco,MATCH($B1143,PecCod,0)),0)))</f>
        <v>0</v>
      </c>
      <c r="G1143" s="27">
        <f>IF(OR($B1143="",$C1143=""),"",$C1143*$F1143)</f>
        <v>0</v>
      </c>
      <c r="H1143" s="27">
        <f>IF(OR($B1143="",$C1143=""),"",$C1143*IFERROR(INDEX(PecCusto,MATCH($B1143,PecCod,0)),0))</f>
        <v>0</v>
      </c>
      <c r="I1143" s="32">
        <f>IF($A1143="","",IFERROR(INDEX(OSStatus,MATCH($A1143,OSNum,0)),"OS inexistente"))</f>
        <v>0</v>
      </c>
      <c r="J1143" s="32">
        <f>IF($A1143="","",IF($I1143="OS inexistente","OS inexistente",IF($E1143="Peça não cadastrada","Peça não cadastrada","OK")))</f>
        <v>0</v>
      </c>
    </row>
    <row r="1144" spans="1:10">
      <c r="A1144" s="17"/>
      <c r="B1144" s="13"/>
      <c r="C1144" s="20"/>
      <c r="D1144" s="19"/>
      <c r="E1144" s="26">
        <f>IF($B1144="","",IFERROR(INDEX(PecDesc,MATCH($B1144,PecCod,0)),"Peça não cadastrada"))</f>
        <v>0</v>
      </c>
      <c r="F1144" s="27">
        <f>IF($B1144="","",IF($D1144&lt;&gt;"",$D1144,IFERROR(INDEX(PecPreco,MATCH($B1144,PecCod,0)),0)))</f>
        <v>0</v>
      </c>
      <c r="G1144" s="27">
        <f>IF(OR($B1144="",$C1144=""),"",$C1144*$F1144)</f>
        <v>0</v>
      </c>
      <c r="H1144" s="27">
        <f>IF(OR($B1144="",$C1144=""),"",$C1144*IFERROR(INDEX(PecCusto,MATCH($B1144,PecCod,0)),0))</f>
        <v>0</v>
      </c>
      <c r="I1144" s="32">
        <f>IF($A1144="","",IFERROR(INDEX(OSStatus,MATCH($A1144,OSNum,0)),"OS inexistente"))</f>
        <v>0</v>
      </c>
      <c r="J1144" s="32">
        <f>IF($A1144="","",IF($I1144="OS inexistente","OS inexistente",IF($E1144="Peça não cadastrada","Peça não cadastrada","OK")))</f>
        <v>0</v>
      </c>
    </row>
    <row r="1145" spans="1:10">
      <c r="A1145" s="17"/>
      <c r="B1145" s="13"/>
      <c r="C1145" s="20"/>
      <c r="D1145" s="19"/>
      <c r="E1145" s="26">
        <f>IF($B1145="","",IFERROR(INDEX(PecDesc,MATCH($B1145,PecCod,0)),"Peça não cadastrada"))</f>
        <v>0</v>
      </c>
      <c r="F1145" s="27">
        <f>IF($B1145="","",IF($D1145&lt;&gt;"",$D1145,IFERROR(INDEX(PecPreco,MATCH($B1145,PecCod,0)),0)))</f>
        <v>0</v>
      </c>
      <c r="G1145" s="27">
        <f>IF(OR($B1145="",$C1145=""),"",$C1145*$F1145)</f>
        <v>0</v>
      </c>
      <c r="H1145" s="27">
        <f>IF(OR($B1145="",$C1145=""),"",$C1145*IFERROR(INDEX(PecCusto,MATCH($B1145,PecCod,0)),0))</f>
        <v>0</v>
      </c>
      <c r="I1145" s="32">
        <f>IF($A1145="","",IFERROR(INDEX(OSStatus,MATCH($A1145,OSNum,0)),"OS inexistente"))</f>
        <v>0</v>
      </c>
      <c r="J1145" s="32">
        <f>IF($A1145="","",IF($I1145="OS inexistente","OS inexistente",IF($E1145="Peça não cadastrada","Peça não cadastrada","OK")))</f>
        <v>0</v>
      </c>
    </row>
    <row r="1146" spans="1:10">
      <c r="A1146" s="17"/>
      <c r="B1146" s="13"/>
      <c r="C1146" s="20"/>
      <c r="D1146" s="19"/>
      <c r="E1146" s="26">
        <f>IF($B1146="","",IFERROR(INDEX(PecDesc,MATCH($B1146,PecCod,0)),"Peça não cadastrada"))</f>
        <v>0</v>
      </c>
      <c r="F1146" s="27">
        <f>IF($B1146="","",IF($D1146&lt;&gt;"",$D1146,IFERROR(INDEX(PecPreco,MATCH($B1146,PecCod,0)),0)))</f>
        <v>0</v>
      </c>
      <c r="G1146" s="27">
        <f>IF(OR($B1146="",$C1146=""),"",$C1146*$F1146)</f>
        <v>0</v>
      </c>
      <c r="H1146" s="27">
        <f>IF(OR($B1146="",$C1146=""),"",$C1146*IFERROR(INDEX(PecCusto,MATCH($B1146,PecCod,0)),0))</f>
        <v>0</v>
      </c>
      <c r="I1146" s="32">
        <f>IF($A1146="","",IFERROR(INDEX(OSStatus,MATCH($A1146,OSNum,0)),"OS inexistente"))</f>
        <v>0</v>
      </c>
      <c r="J1146" s="32">
        <f>IF($A1146="","",IF($I1146="OS inexistente","OS inexistente",IF($E1146="Peça não cadastrada","Peça não cadastrada","OK")))</f>
        <v>0</v>
      </c>
    </row>
    <row r="1147" spans="1:10">
      <c r="A1147" s="17"/>
      <c r="B1147" s="13"/>
      <c r="C1147" s="20"/>
      <c r="D1147" s="19"/>
      <c r="E1147" s="26">
        <f>IF($B1147="","",IFERROR(INDEX(PecDesc,MATCH($B1147,PecCod,0)),"Peça não cadastrada"))</f>
        <v>0</v>
      </c>
      <c r="F1147" s="27">
        <f>IF($B1147="","",IF($D1147&lt;&gt;"",$D1147,IFERROR(INDEX(PecPreco,MATCH($B1147,PecCod,0)),0)))</f>
        <v>0</v>
      </c>
      <c r="G1147" s="27">
        <f>IF(OR($B1147="",$C1147=""),"",$C1147*$F1147)</f>
        <v>0</v>
      </c>
      <c r="H1147" s="27">
        <f>IF(OR($B1147="",$C1147=""),"",$C1147*IFERROR(INDEX(PecCusto,MATCH($B1147,PecCod,0)),0))</f>
        <v>0</v>
      </c>
      <c r="I1147" s="32">
        <f>IF($A1147="","",IFERROR(INDEX(OSStatus,MATCH($A1147,OSNum,0)),"OS inexistente"))</f>
        <v>0</v>
      </c>
      <c r="J1147" s="32">
        <f>IF($A1147="","",IF($I1147="OS inexistente","OS inexistente",IF($E1147="Peça não cadastrada","Peça não cadastrada","OK")))</f>
        <v>0</v>
      </c>
    </row>
    <row r="1148" spans="1:10">
      <c r="A1148" s="17"/>
      <c r="B1148" s="13"/>
      <c r="C1148" s="20"/>
      <c r="D1148" s="19"/>
      <c r="E1148" s="26">
        <f>IF($B1148="","",IFERROR(INDEX(PecDesc,MATCH($B1148,PecCod,0)),"Peça não cadastrada"))</f>
        <v>0</v>
      </c>
      <c r="F1148" s="27">
        <f>IF($B1148="","",IF($D1148&lt;&gt;"",$D1148,IFERROR(INDEX(PecPreco,MATCH($B1148,PecCod,0)),0)))</f>
        <v>0</v>
      </c>
      <c r="G1148" s="27">
        <f>IF(OR($B1148="",$C1148=""),"",$C1148*$F1148)</f>
        <v>0</v>
      </c>
      <c r="H1148" s="27">
        <f>IF(OR($B1148="",$C1148=""),"",$C1148*IFERROR(INDEX(PecCusto,MATCH($B1148,PecCod,0)),0))</f>
        <v>0</v>
      </c>
      <c r="I1148" s="32">
        <f>IF($A1148="","",IFERROR(INDEX(OSStatus,MATCH($A1148,OSNum,0)),"OS inexistente"))</f>
        <v>0</v>
      </c>
      <c r="J1148" s="32">
        <f>IF($A1148="","",IF($I1148="OS inexistente","OS inexistente",IF($E1148="Peça não cadastrada","Peça não cadastrada","OK")))</f>
        <v>0</v>
      </c>
    </row>
    <row r="1149" spans="1:10">
      <c r="A1149" s="17"/>
      <c r="B1149" s="13"/>
      <c r="C1149" s="20"/>
      <c r="D1149" s="19"/>
      <c r="E1149" s="26">
        <f>IF($B1149="","",IFERROR(INDEX(PecDesc,MATCH($B1149,PecCod,0)),"Peça não cadastrada"))</f>
        <v>0</v>
      </c>
      <c r="F1149" s="27">
        <f>IF($B1149="","",IF($D1149&lt;&gt;"",$D1149,IFERROR(INDEX(PecPreco,MATCH($B1149,PecCod,0)),0)))</f>
        <v>0</v>
      </c>
      <c r="G1149" s="27">
        <f>IF(OR($B1149="",$C1149=""),"",$C1149*$F1149)</f>
        <v>0</v>
      </c>
      <c r="H1149" s="27">
        <f>IF(OR($B1149="",$C1149=""),"",$C1149*IFERROR(INDEX(PecCusto,MATCH($B1149,PecCod,0)),0))</f>
        <v>0</v>
      </c>
      <c r="I1149" s="32">
        <f>IF($A1149="","",IFERROR(INDEX(OSStatus,MATCH($A1149,OSNum,0)),"OS inexistente"))</f>
        <v>0</v>
      </c>
      <c r="J1149" s="32">
        <f>IF($A1149="","",IF($I1149="OS inexistente","OS inexistente",IF($E1149="Peça não cadastrada","Peça não cadastrada","OK")))</f>
        <v>0</v>
      </c>
    </row>
    <row r="1150" spans="1:10">
      <c r="A1150" s="17"/>
      <c r="B1150" s="13"/>
      <c r="C1150" s="20"/>
      <c r="D1150" s="19"/>
      <c r="E1150" s="26">
        <f>IF($B1150="","",IFERROR(INDEX(PecDesc,MATCH($B1150,PecCod,0)),"Peça não cadastrada"))</f>
        <v>0</v>
      </c>
      <c r="F1150" s="27">
        <f>IF($B1150="","",IF($D1150&lt;&gt;"",$D1150,IFERROR(INDEX(PecPreco,MATCH($B1150,PecCod,0)),0)))</f>
        <v>0</v>
      </c>
      <c r="G1150" s="27">
        <f>IF(OR($B1150="",$C1150=""),"",$C1150*$F1150)</f>
        <v>0</v>
      </c>
      <c r="H1150" s="27">
        <f>IF(OR($B1150="",$C1150=""),"",$C1150*IFERROR(INDEX(PecCusto,MATCH($B1150,PecCod,0)),0))</f>
        <v>0</v>
      </c>
      <c r="I1150" s="32">
        <f>IF($A1150="","",IFERROR(INDEX(OSStatus,MATCH($A1150,OSNum,0)),"OS inexistente"))</f>
        <v>0</v>
      </c>
      <c r="J1150" s="32">
        <f>IF($A1150="","",IF($I1150="OS inexistente","OS inexistente",IF($E1150="Peça não cadastrada","Peça não cadastrada","OK")))</f>
        <v>0</v>
      </c>
    </row>
    <row r="1151" spans="1:10">
      <c r="A1151" s="17"/>
      <c r="B1151" s="13"/>
      <c r="C1151" s="20"/>
      <c r="D1151" s="19"/>
      <c r="E1151" s="26">
        <f>IF($B1151="","",IFERROR(INDEX(PecDesc,MATCH($B1151,PecCod,0)),"Peça não cadastrada"))</f>
        <v>0</v>
      </c>
      <c r="F1151" s="27">
        <f>IF($B1151="","",IF($D1151&lt;&gt;"",$D1151,IFERROR(INDEX(PecPreco,MATCH($B1151,PecCod,0)),0)))</f>
        <v>0</v>
      </c>
      <c r="G1151" s="27">
        <f>IF(OR($B1151="",$C1151=""),"",$C1151*$F1151)</f>
        <v>0</v>
      </c>
      <c r="H1151" s="27">
        <f>IF(OR($B1151="",$C1151=""),"",$C1151*IFERROR(INDEX(PecCusto,MATCH($B1151,PecCod,0)),0))</f>
        <v>0</v>
      </c>
      <c r="I1151" s="32">
        <f>IF($A1151="","",IFERROR(INDEX(OSStatus,MATCH($A1151,OSNum,0)),"OS inexistente"))</f>
        <v>0</v>
      </c>
      <c r="J1151" s="32">
        <f>IF($A1151="","",IF($I1151="OS inexistente","OS inexistente",IF($E1151="Peça não cadastrada","Peça não cadastrada","OK")))</f>
        <v>0</v>
      </c>
    </row>
    <row r="1152" spans="1:10">
      <c r="A1152" s="17"/>
      <c r="B1152" s="13"/>
      <c r="C1152" s="20"/>
      <c r="D1152" s="19"/>
      <c r="E1152" s="26">
        <f>IF($B1152="","",IFERROR(INDEX(PecDesc,MATCH($B1152,PecCod,0)),"Peça não cadastrada"))</f>
        <v>0</v>
      </c>
      <c r="F1152" s="27">
        <f>IF($B1152="","",IF($D1152&lt;&gt;"",$D1152,IFERROR(INDEX(PecPreco,MATCH($B1152,PecCod,0)),0)))</f>
        <v>0</v>
      </c>
      <c r="G1152" s="27">
        <f>IF(OR($B1152="",$C1152=""),"",$C1152*$F1152)</f>
        <v>0</v>
      </c>
      <c r="H1152" s="27">
        <f>IF(OR($B1152="",$C1152=""),"",$C1152*IFERROR(INDEX(PecCusto,MATCH($B1152,PecCod,0)),0))</f>
        <v>0</v>
      </c>
      <c r="I1152" s="32">
        <f>IF($A1152="","",IFERROR(INDEX(OSStatus,MATCH($A1152,OSNum,0)),"OS inexistente"))</f>
        <v>0</v>
      </c>
      <c r="J1152" s="32">
        <f>IF($A1152="","",IF($I1152="OS inexistente","OS inexistente",IF($E1152="Peça não cadastrada","Peça não cadastrada","OK")))</f>
        <v>0</v>
      </c>
    </row>
    <row r="1153" spans="1:10">
      <c r="A1153" s="17"/>
      <c r="B1153" s="13"/>
      <c r="C1153" s="20"/>
      <c r="D1153" s="19"/>
      <c r="E1153" s="26">
        <f>IF($B1153="","",IFERROR(INDEX(PecDesc,MATCH($B1153,PecCod,0)),"Peça não cadastrada"))</f>
        <v>0</v>
      </c>
      <c r="F1153" s="27">
        <f>IF($B1153="","",IF($D1153&lt;&gt;"",$D1153,IFERROR(INDEX(PecPreco,MATCH($B1153,PecCod,0)),0)))</f>
        <v>0</v>
      </c>
      <c r="G1153" s="27">
        <f>IF(OR($B1153="",$C1153=""),"",$C1153*$F1153)</f>
        <v>0</v>
      </c>
      <c r="H1153" s="27">
        <f>IF(OR($B1153="",$C1153=""),"",$C1153*IFERROR(INDEX(PecCusto,MATCH($B1153,PecCod,0)),0))</f>
        <v>0</v>
      </c>
      <c r="I1153" s="32">
        <f>IF($A1153="","",IFERROR(INDEX(OSStatus,MATCH($A1153,OSNum,0)),"OS inexistente"))</f>
        <v>0</v>
      </c>
      <c r="J1153" s="32">
        <f>IF($A1153="","",IF($I1153="OS inexistente","OS inexistente",IF($E1153="Peça não cadastrada","Peça não cadastrada","OK")))</f>
        <v>0</v>
      </c>
    </row>
    <row r="1154" spans="1:10">
      <c r="A1154" s="17"/>
      <c r="B1154" s="13"/>
      <c r="C1154" s="20"/>
      <c r="D1154" s="19"/>
      <c r="E1154" s="26">
        <f>IF($B1154="","",IFERROR(INDEX(PecDesc,MATCH($B1154,PecCod,0)),"Peça não cadastrada"))</f>
        <v>0</v>
      </c>
      <c r="F1154" s="27">
        <f>IF($B1154="","",IF($D1154&lt;&gt;"",$D1154,IFERROR(INDEX(PecPreco,MATCH($B1154,PecCod,0)),0)))</f>
        <v>0</v>
      </c>
      <c r="G1154" s="27">
        <f>IF(OR($B1154="",$C1154=""),"",$C1154*$F1154)</f>
        <v>0</v>
      </c>
      <c r="H1154" s="27">
        <f>IF(OR($B1154="",$C1154=""),"",$C1154*IFERROR(INDEX(PecCusto,MATCH($B1154,PecCod,0)),0))</f>
        <v>0</v>
      </c>
      <c r="I1154" s="32">
        <f>IF($A1154="","",IFERROR(INDEX(OSStatus,MATCH($A1154,OSNum,0)),"OS inexistente"))</f>
        <v>0</v>
      </c>
      <c r="J1154" s="32">
        <f>IF($A1154="","",IF($I1154="OS inexistente","OS inexistente",IF($E1154="Peça não cadastrada","Peça não cadastrada","OK")))</f>
        <v>0</v>
      </c>
    </row>
    <row r="1155" spans="1:10">
      <c r="A1155" s="17"/>
      <c r="B1155" s="13"/>
      <c r="C1155" s="20"/>
      <c r="D1155" s="19"/>
      <c r="E1155" s="26">
        <f>IF($B1155="","",IFERROR(INDEX(PecDesc,MATCH($B1155,PecCod,0)),"Peça não cadastrada"))</f>
        <v>0</v>
      </c>
      <c r="F1155" s="27">
        <f>IF($B1155="","",IF($D1155&lt;&gt;"",$D1155,IFERROR(INDEX(PecPreco,MATCH($B1155,PecCod,0)),0)))</f>
        <v>0</v>
      </c>
      <c r="G1155" s="27">
        <f>IF(OR($B1155="",$C1155=""),"",$C1155*$F1155)</f>
        <v>0</v>
      </c>
      <c r="H1155" s="27">
        <f>IF(OR($B1155="",$C1155=""),"",$C1155*IFERROR(INDEX(PecCusto,MATCH($B1155,PecCod,0)),0))</f>
        <v>0</v>
      </c>
      <c r="I1155" s="32">
        <f>IF($A1155="","",IFERROR(INDEX(OSStatus,MATCH($A1155,OSNum,0)),"OS inexistente"))</f>
        <v>0</v>
      </c>
      <c r="J1155" s="32">
        <f>IF($A1155="","",IF($I1155="OS inexistente","OS inexistente",IF($E1155="Peça não cadastrada","Peça não cadastrada","OK")))</f>
        <v>0</v>
      </c>
    </row>
    <row r="1156" spans="1:10">
      <c r="A1156" s="17"/>
      <c r="B1156" s="13"/>
      <c r="C1156" s="20"/>
      <c r="D1156" s="19"/>
      <c r="E1156" s="26">
        <f>IF($B1156="","",IFERROR(INDEX(PecDesc,MATCH($B1156,PecCod,0)),"Peça não cadastrada"))</f>
        <v>0</v>
      </c>
      <c r="F1156" s="27">
        <f>IF($B1156="","",IF($D1156&lt;&gt;"",$D1156,IFERROR(INDEX(PecPreco,MATCH($B1156,PecCod,0)),0)))</f>
        <v>0</v>
      </c>
      <c r="G1156" s="27">
        <f>IF(OR($B1156="",$C1156=""),"",$C1156*$F1156)</f>
        <v>0</v>
      </c>
      <c r="H1156" s="27">
        <f>IF(OR($B1156="",$C1156=""),"",$C1156*IFERROR(INDEX(PecCusto,MATCH($B1156,PecCod,0)),0))</f>
        <v>0</v>
      </c>
      <c r="I1156" s="32">
        <f>IF($A1156="","",IFERROR(INDEX(OSStatus,MATCH($A1156,OSNum,0)),"OS inexistente"))</f>
        <v>0</v>
      </c>
      <c r="J1156" s="32">
        <f>IF($A1156="","",IF($I1156="OS inexistente","OS inexistente",IF($E1156="Peça não cadastrada","Peça não cadastrada","OK")))</f>
        <v>0</v>
      </c>
    </row>
    <row r="1157" spans="1:10">
      <c r="A1157" s="17"/>
      <c r="B1157" s="13"/>
      <c r="C1157" s="20"/>
      <c r="D1157" s="19"/>
      <c r="E1157" s="26">
        <f>IF($B1157="","",IFERROR(INDEX(PecDesc,MATCH($B1157,PecCod,0)),"Peça não cadastrada"))</f>
        <v>0</v>
      </c>
      <c r="F1157" s="27">
        <f>IF($B1157="","",IF($D1157&lt;&gt;"",$D1157,IFERROR(INDEX(PecPreco,MATCH($B1157,PecCod,0)),0)))</f>
        <v>0</v>
      </c>
      <c r="G1157" s="27">
        <f>IF(OR($B1157="",$C1157=""),"",$C1157*$F1157)</f>
        <v>0</v>
      </c>
      <c r="H1157" s="27">
        <f>IF(OR($B1157="",$C1157=""),"",$C1157*IFERROR(INDEX(PecCusto,MATCH($B1157,PecCod,0)),0))</f>
        <v>0</v>
      </c>
      <c r="I1157" s="32">
        <f>IF($A1157="","",IFERROR(INDEX(OSStatus,MATCH($A1157,OSNum,0)),"OS inexistente"))</f>
        <v>0</v>
      </c>
      <c r="J1157" s="32">
        <f>IF($A1157="","",IF($I1157="OS inexistente","OS inexistente",IF($E1157="Peça não cadastrada","Peça não cadastrada","OK")))</f>
        <v>0</v>
      </c>
    </row>
    <row r="1158" spans="1:10">
      <c r="A1158" s="17"/>
      <c r="B1158" s="13"/>
      <c r="C1158" s="20"/>
      <c r="D1158" s="19"/>
      <c r="E1158" s="26">
        <f>IF($B1158="","",IFERROR(INDEX(PecDesc,MATCH($B1158,PecCod,0)),"Peça não cadastrada"))</f>
        <v>0</v>
      </c>
      <c r="F1158" s="27">
        <f>IF($B1158="","",IF($D1158&lt;&gt;"",$D1158,IFERROR(INDEX(PecPreco,MATCH($B1158,PecCod,0)),0)))</f>
        <v>0</v>
      </c>
      <c r="G1158" s="27">
        <f>IF(OR($B1158="",$C1158=""),"",$C1158*$F1158)</f>
        <v>0</v>
      </c>
      <c r="H1158" s="27">
        <f>IF(OR($B1158="",$C1158=""),"",$C1158*IFERROR(INDEX(PecCusto,MATCH($B1158,PecCod,0)),0))</f>
        <v>0</v>
      </c>
      <c r="I1158" s="32">
        <f>IF($A1158="","",IFERROR(INDEX(OSStatus,MATCH($A1158,OSNum,0)),"OS inexistente"))</f>
        <v>0</v>
      </c>
      <c r="J1158" s="32">
        <f>IF($A1158="","",IF($I1158="OS inexistente","OS inexistente",IF($E1158="Peça não cadastrada","Peça não cadastrada","OK")))</f>
        <v>0</v>
      </c>
    </row>
    <row r="1159" spans="1:10">
      <c r="A1159" s="17"/>
      <c r="B1159" s="13"/>
      <c r="C1159" s="20"/>
      <c r="D1159" s="19"/>
      <c r="E1159" s="26">
        <f>IF($B1159="","",IFERROR(INDEX(PecDesc,MATCH($B1159,PecCod,0)),"Peça não cadastrada"))</f>
        <v>0</v>
      </c>
      <c r="F1159" s="27">
        <f>IF($B1159="","",IF($D1159&lt;&gt;"",$D1159,IFERROR(INDEX(PecPreco,MATCH($B1159,PecCod,0)),0)))</f>
        <v>0</v>
      </c>
      <c r="G1159" s="27">
        <f>IF(OR($B1159="",$C1159=""),"",$C1159*$F1159)</f>
        <v>0</v>
      </c>
      <c r="H1159" s="27">
        <f>IF(OR($B1159="",$C1159=""),"",$C1159*IFERROR(INDEX(PecCusto,MATCH($B1159,PecCod,0)),0))</f>
        <v>0</v>
      </c>
      <c r="I1159" s="32">
        <f>IF($A1159="","",IFERROR(INDEX(OSStatus,MATCH($A1159,OSNum,0)),"OS inexistente"))</f>
        <v>0</v>
      </c>
      <c r="J1159" s="32">
        <f>IF($A1159="","",IF($I1159="OS inexistente","OS inexistente",IF($E1159="Peça não cadastrada","Peça não cadastrada","OK")))</f>
        <v>0</v>
      </c>
    </row>
    <row r="1160" spans="1:10">
      <c r="A1160" s="17"/>
      <c r="B1160" s="13"/>
      <c r="C1160" s="20"/>
      <c r="D1160" s="19"/>
      <c r="E1160" s="26">
        <f>IF($B1160="","",IFERROR(INDEX(PecDesc,MATCH($B1160,PecCod,0)),"Peça não cadastrada"))</f>
        <v>0</v>
      </c>
      <c r="F1160" s="27">
        <f>IF($B1160="","",IF($D1160&lt;&gt;"",$D1160,IFERROR(INDEX(PecPreco,MATCH($B1160,PecCod,0)),0)))</f>
        <v>0</v>
      </c>
      <c r="G1160" s="27">
        <f>IF(OR($B1160="",$C1160=""),"",$C1160*$F1160)</f>
        <v>0</v>
      </c>
      <c r="H1160" s="27">
        <f>IF(OR($B1160="",$C1160=""),"",$C1160*IFERROR(INDEX(PecCusto,MATCH($B1160,PecCod,0)),0))</f>
        <v>0</v>
      </c>
      <c r="I1160" s="32">
        <f>IF($A1160="","",IFERROR(INDEX(OSStatus,MATCH($A1160,OSNum,0)),"OS inexistente"))</f>
        <v>0</v>
      </c>
      <c r="J1160" s="32">
        <f>IF($A1160="","",IF($I1160="OS inexistente","OS inexistente",IF($E1160="Peça não cadastrada","Peça não cadastrada","OK")))</f>
        <v>0</v>
      </c>
    </row>
    <row r="1161" spans="1:10">
      <c r="A1161" s="17"/>
      <c r="B1161" s="13"/>
      <c r="C1161" s="20"/>
      <c r="D1161" s="19"/>
      <c r="E1161" s="26">
        <f>IF($B1161="","",IFERROR(INDEX(PecDesc,MATCH($B1161,PecCod,0)),"Peça não cadastrada"))</f>
        <v>0</v>
      </c>
      <c r="F1161" s="27">
        <f>IF($B1161="","",IF($D1161&lt;&gt;"",$D1161,IFERROR(INDEX(PecPreco,MATCH($B1161,PecCod,0)),0)))</f>
        <v>0</v>
      </c>
      <c r="G1161" s="27">
        <f>IF(OR($B1161="",$C1161=""),"",$C1161*$F1161)</f>
        <v>0</v>
      </c>
      <c r="H1161" s="27">
        <f>IF(OR($B1161="",$C1161=""),"",$C1161*IFERROR(INDEX(PecCusto,MATCH($B1161,PecCod,0)),0))</f>
        <v>0</v>
      </c>
      <c r="I1161" s="32">
        <f>IF($A1161="","",IFERROR(INDEX(OSStatus,MATCH($A1161,OSNum,0)),"OS inexistente"))</f>
        <v>0</v>
      </c>
      <c r="J1161" s="32">
        <f>IF($A1161="","",IF($I1161="OS inexistente","OS inexistente",IF($E1161="Peça não cadastrada","Peça não cadastrada","OK")))</f>
        <v>0</v>
      </c>
    </row>
    <row r="1162" spans="1:10">
      <c r="A1162" s="17"/>
      <c r="B1162" s="13"/>
      <c r="C1162" s="20"/>
      <c r="D1162" s="19"/>
      <c r="E1162" s="26">
        <f>IF($B1162="","",IFERROR(INDEX(PecDesc,MATCH($B1162,PecCod,0)),"Peça não cadastrada"))</f>
        <v>0</v>
      </c>
      <c r="F1162" s="27">
        <f>IF($B1162="","",IF($D1162&lt;&gt;"",$D1162,IFERROR(INDEX(PecPreco,MATCH($B1162,PecCod,0)),0)))</f>
        <v>0</v>
      </c>
      <c r="G1162" s="27">
        <f>IF(OR($B1162="",$C1162=""),"",$C1162*$F1162)</f>
        <v>0</v>
      </c>
      <c r="H1162" s="27">
        <f>IF(OR($B1162="",$C1162=""),"",$C1162*IFERROR(INDEX(PecCusto,MATCH($B1162,PecCod,0)),0))</f>
        <v>0</v>
      </c>
      <c r="I1162" s="32">
        <f>IF($A1162="","",IFERROR(INDEX(OSStatus,MATCH($A1162,OSNum,0)),"OS inexistente"))</f>
        <v>0</v>
      </c>
      <c r="J1162" s="32">
        <f>IF($A1162="","",IF($I1162="OS inexistente","OS inexistente",IF($E1162="Peça não cadastrada","Peça não cadastrada","OK")))</f>
        <v>0</v>
      </c>
    </row>
    <row r="1163" spans="1:10">
      <c r="A1163" s="17"/>
      <c r="B1163" s="13"/>
      <c r="C1163" s="20"/>
      <c r="D1163" s="19"/>
      <c r="E1163" s="26">
        <f>IF($B1163="","",IFERROR(INDEX(PecDesc,MATCH($B1163,PecCod,0)),"Peça não cadastrada"))</f>
        <v>0</v>
      </c>
      <c r="F1163" s="27">
        <f>IF($B1163="","",IF($D1163&lt;&gt;"",$D1163,IFERROR(INDEX(PecPreco,MATCH($B1163,PecCod,0)),0)))</f>
        <v>0</v>
      </c>
      <c r="G1163" s="27">
        <f>IF(OR($B1163="",$C1163=""),"",$C1163*$F1163)</f>
        <v>0</v>
      </c>
      <c r="H1163" s="27">
        <f>IF(OR($B1163="",$C1163=""),"",$C1163*IFERROR(INDEX(PecCusto,MATCH($B1163,PecCod,0)),0))</f>
        <v>0</v>
      </c>
      <c r="I1163" s="32">
        <f>IF($A1163="","",IFERROR(INDEX(OSStatus,MATCH($A1163,OSNum,0)),"OS inexistente"))</f>
        <v>0</v>
      </c>
      <c r="J1163" s="32">
        <f>IF($A1163="","",IF($I1163="OS inexistente","OS inexistente",IF($E1163="Peça não cadastrada","Peça não cadastrada","OK")))</f>
        <v>0</v>
      </c>
    </row>
    <row r="1164" spans="1:10">
      <c r="A1164" s="17"/>
      <c r="B1164" s="13"/>
      <c r="C1164" s="20"/>
      <c r="D1164" s="19"/>
      <c r="E1164" s="26">
        <f>IF($B1164="","",IFERROR(INDEX(PecDesc,MATCH($B1164,PecCod,0)),"Peça não cadastrada"))</f>
        <v>0</v>
      </c>
      <c r="F1164" s="27">
        <f>IF($B1164="","",IF($D1164&lt;&gt;"",$D1164,IFERROR(INDEX(PecPreco,MATCH($B1164,PecCod,0)),0)))</f>
        <v>0</v>
      </c>
      <c r="G1164" s="27">
        <f>IF(OR($B1164="",$C1164=""),"",$C1164*$F1164)</f>
        <v>0</v>
      </c>
      <c r="H1164" s="27">
        <f>IF(OR($B1164="",$C1164=""),"",$C1164*IFERROR(INDEX(PecCusto,MATCH($B1164,PecCod,0)),0))</f>
        <v>0</v>
      </c>
      <c r="I1164" s="32">
        <f>IF($A1164="","",IFERROR(INDEX(OSStatus,MATCH($A1164,OSNum,0)),"OS inexistente"))</f>
        <v>0</v>
      </c>
      <c r="J1164" s="32">
        <f>IF($A1164="","",IF($I1164="OS inexistente","OS inexistente",IF($E1164="Peça não cadastrada","Peça não cadastrada","OK")))</f>
        <v>0</v>
      </c>
    </row>
    <row r="1165" spans="1:10">
      <c r="A1165" s="17"/>
      <c r="B1165" s="13"/>
      <c r="C1165" s="20"/>
      <c r="D1165" s="19"/>
      <c r="E1165" s="26">
        <f>IF($B1165="","",IFERROR(INDEX(PecDesc,MATCH($B1165,PecCod,0)),"Peça não cadastrada"))</f>
        <v>0</v>
      </c>
      <c r="F1165" s="27">
        <f>IF($B1165="","",IF($D1165&lt;&gt;"",$D1165,IFERROR(INDEX(PecPreco,MATCH($B1165,PecCod,0)),0)))</f>
        <v>0</v>
      </c>
      <c r="G1165" s="27">
        <f>IF(OR($B1165="",$C1165=""),"",$C1165*$F1165)</f>
        <v>0</v>
      </c>
      <c r="H1165" s="27">
        <f>IF(OR($B1165="",$C1165=""),"",$C1165*IFERROR(INDEX(PecCusto,MATCH($B1165,PecCod,0)),0))</f>
        <v>0</v>
      </c>
      <c r="I1165" s="32">
        <f>IF($A1165="","",IFERROR(INDEX(OSStatus,MATCH($A1165,OSNum,0)),"OS inexistente"))</f>
        <v>0</v>
      </c>
      <c r="J1165" s="32">
        <f>IF($A1165="","",IF($I1165="OS inexistente","OS inexistente",IF($E1165="Peça não cadastrada","Peça não cadastrada","OK")))</f>
        <v>0</v>
      </c>
    </row>
    <row r="1166" spans="1:10">
      <c r="A1166" s="17"/>
      <c r="B1166" s="13"/>
      <c r="C1166" s="20"/>
      <c r="D1166" s="19"/>
      <c r="E1166" s="26">
        <f>IF($B1166="","",IFERROR(INDEX(PecDesc,MATCH($B1166,PecCod,0)),"Peça não cadastrada"))</f>
        <v>0</v>
      </c>
      <c r="F1166" s="27">
        <f>IF($B1166="","",IF($D1166&lt;&gt;"",$D1166,IFERROR(INDEX(PecPreco,MATCH($B1166,PecCod,0)),0)))</f>
        <v>0</v>
      </c>
      <c r="G1166" s="27">
        <f>IF(OR($B1166="",$C1166=""),"",$C1166*$F1166)</f>
        <v>0</v>
      </c>
      <c r="H1166" s="27">
        <f>IF(OR($B1166="",$C1166=""),"",$C1166*IFERROR(INDEX(PecCusto,MATCH($B1166,PecCod,0)),0))</f>
        <v>0</v>
      </c>
      <c r="I1166" s="32">
        <f>IF($A1166="","",IFERROR(INDEX(OSStatus,MATCH($A1166,OSNum,0)),"OS inexistente"))</f>
        <v>0</v>
      </c>
      <c r="J1166" s="32">
        <f>IF($A1166="","",IF($I1166="OS inexistente","OS inexistente",IF($E1166="Peça não cadastrada","Peça não cadastrada","OK")))</f>
        <v>0</v>
      </c>
    </row>
    <row r="1167" spans="1:10">
      <c r="A1167" s="17"/>
      <c r="B1167" s="13"/>
      <c r="C1167" s="20"/>
      <c r="D1167" s="19"/>
      <c r="E1167" s="26">
        <f>IF($B1167="","",IFERROR(INDEX(PecDesc,MATCH($B1167,PecCod,0)),"Peça não cadastrada"))</f>
        <v>0</v>
      </c>
      <c r="F1167" s="27">
        <f>IF($B1167="","",IF($D1167&lt;&gt;"",$D1167,IFERROR(INDEX(PecPreco,MATCH($B1167,PecCod,0)),0)))</f>
        <v>0</v>
      </c>
      <c r="G1167" s="27">
        <f>IF(OR($B1167="",$C1167=""),"",$C1167*$F1167)</f>
        <v>0</v>
      </c>
      <c r="H1167" s="27">
        <f>IF(OR($B1167="",$C1167=""),"",$C1167*IFERROR(INDEX(PecCusto,MATCH($B1167,PecCod,0)),0))</f>
        <v>0</v>
      </c>
      <c r="I1167" s="32">
        <f>IF($A1167="","",IFERROR(INDEX(OSStatus,MATCH($A1167,OSNum,0)),"OS inexistente"))</f>
        <v>0</v>
      </c>
      <c r="J1167" s="32">
        <f>IF($A1167="","",IF($I1167="OS inexistente","OS inexistente",IF($E1167="Peça não cadastrada","Peça não cadastrada","OK")))</f>
        <v>0</v>
      </c>
    </row>
    <row r="1168" spans="1:10">
      <c r="A1168" s="17"/>
      <c r="B1168" s="13"/>
      <c r="C1168" s="20"/>
      <c r="D1168" s="19"/>
      <c r="E1168" s="26">
        <f>IF($B1168="","",IFERROR(INDEX(PecDesc,MATCH($B1168,PecCod,0)),"Peça não cadastrada"))</f>
        <v>0</v>
      </c>
      <c r="F1168" s="27">
        <f>IF($B1168="","",IF($D1168&lt;&gt;"",$D1168,IFERROR(INDEX(PecPreco,MATCH($B1168,PecCod,0)),0)))</f>
        <v>0</v>
      </c>
      <c r="G1168" s="27">
        <f>IF(OR($B1168="",$C1168=""),"",$C1168*$F1168)</f>
        <v>0</v>
      </c>
      <c r="H1168" s="27">
        <f>IF(OR($B1168="",$C1168=""),"",$C1168*IFERROR(INDEX(PecCusto,MATCH($B1168,PecCod,0)),0))</f>
        <v>0</v>
      </c>
      <c r="I1168" s="32">
        <f>IF($A1168="","",IFERROR(INDEX(OSStatus,MATCH($A1168,OSNum,0)),"OS inexistente"))</f>
        <v>0</v>
      </c>
      <c r="J1168" s="32">
        <f>IF($A1168="","",IF($I1168="OS inexistente","OS inexistente",IF($E1168="Peça não cadastrada","Peça não cadastrada","OK")))</f>
        <v>0</v>
      </c>
    </row>
    <row r="1169" spans="1:10">
      <c r="A1169" s="17"/>
      <c r="B1169" s="13"/>
      <c r="C1169" s="20"/>
      <c r="D1169" s="19"/>
      <c r="E1169" s="26">
        <f>IF($B1169="","",IFERROR(INDEX(PecDesc,MATCH($B1169,PecCod,0)),"Peça não cadastrada"))</f>
        <v>0</v>
      </c>
      <c r="F1169" s="27">
        <f>IF($B1169="","",IF($D1169&lt;&gt;"",$D1169,IFERROR(INDEX(PecPreco,MATCH($B1169,PecCod,0)),0)))</f>
        <v>0</v>
      </c>
      <c r="G1169" s="27">
        <f>IF(OR($B1169="",$C1169=""),"",$C1169*$F1169)</f>
        <v>0</v>
      </c>
      <c r="H1169" s="27">
        <f>IF(OR($B1169="",$C1169=""),"",$C1169*IFERROR(INDEX(PecCusto,MATCH($B1169,PecCod,0)),0))</f>
        <v>0</v>
      </c>
      <c r="I1169" s="32">
        <f>IF($A1169="","",IFERROR(INDEX(OSStatus,MATCH($A1169,OSNum,0)),"OS inexistente"))</f>
        <v>0</v>
      </c>
      <c r="J1169" s="32">
        <f>IF($A1169="","",IF($I1169="OS inexistente","OS inexistente",IF($E1169="Peça não cadastrada","Peça não cadastrada","OK")))</f>
        <v>0</v>
      </c>
    </row>
    <row r="1170" spans="1:10">
      <c r="A1170" s="17"/>
      <c r="B1170" s="13"/>
      <c r="C1170" s="20"/>
      <c r="D1170" s="19"/>
      <c r="E1170" s="26">
        <f>IF($B1170="","",IFERROR(INDEX(PecDesc,MATCH($B1170,PecCod,0)),"Peça não cadastrada"))</f>
        <v>0</v>
      </c>
      <c r="F1170" s="27">
        <f>IF($B1170="","",IF($D1170&lt;&gt;"",$D1170,IFERROR(INDEX(PecPreco,MATCH($B1170,PecCod,0)),0)))</f>
        <v>0</v>
      </c>
      <c r="G1170" s="27">
        <f>IF(OR($B1170="",$C1170=""),"",$C1170*$F1170)</f>
        <v>0</v>
      </c>
      <c r="H1170" s="27">
        <f>IF(OR($B1170="",$C1170=""),"",$C1170*IFERROR(INDEX(PecCusto,MATCH($B1170,PecCod,0)),0))</f>
        <v>0</v>
      </c>
      <c r="I1170" s="32">
        <f>IF($A1170="","",IFERROR(INDEX(OSStatus,MATCH($A1170,OSNum,0)),"OS inexistente"))</f>
        <v>0</v>
      </c>
      <c r="J1170" s="32">
        <f>IF($A1170="","",IF($I1170="OS inexistente","OS inexistente",IF($E1170="Peça não cadastrada","Peça não cadastrada","OK")))</f>
        <v>0</v>
      </c>
    </row>
    <row r="1171" spans="1:10">
      <c r="A1171" s="17"/>
      <c r="B1171" s="13"/>
      <c r="C1171" s="20"/>
      <c r="D1171" s="19"/>
      <c r="E1171" s="26">
        <f>IF($B1171="","",IFERROR(INDEX(PecDesc,MATCH($B1171,PecCod,0)),"Peça não cadastrada"))</f>
        <v>0</v>
      </c>
      <c r="F1171" s="27">
        <f>IF($B1171="","",IF($D1171&lt;&gt;"",$D1171,IFERROR(INDEX(PecPreco,MATCH($B1171,PecCod,0)),0)))</f>
        <v>0</v>
      </c>
      <c r="G1171" s="27">
        <f>IF(OR($B1171="",$C1171=""),"",$C1171*$F1171)</f>
        <v>0</v>
      </c>
      <c r="H1171" s="27">
        <f>IF(OR($B1171="",$C1171=""),"",$C1171*IFERROR(INDEX(PecCusto,MATCH($B1171,PecCod,0)),0))</f>
        <v>0</v>
      </c>
      <c r="I1171" s="32">
        <f>IF($A1171="","",IFERROR(INDEX(OSStatus,MATCH($A1171,OSNum,0)),"OS inexistente"))</f>
        <v>0</v>
      </c>
      <c r="J1171" s="32">
        <f>IF($A1171="","",IF($I1171="OS inexistente","OS inexistente",IF($E1171="Peça não cadastrada","Peça não cadastrada","OK")))</f>
        <v>0</v>
      </c>
    </row>
    <row r="1172" spans="1:10">
      <c r="A1172" s="17"/>
      <c r="B1172" s="13"/>
      <c r="C1172" s="20"/>
      <c r="D1172" s="19"/>
      <c r="E1172" s="26">
        <f>IF($B1172="","",IFERROR(INDEX(PecDesc,MATCH($B1172,PecCod,0)),"Peça não cadastrada"))</f>
        <v>0</v>
      </c>
      <c r="F1172" s="27">
        <f>IF($B1172="","",IF($D1172&lt;&gt;"",$D1172,IFERROR(INDEX(PecPreco,MATCH($B1172,PecCod,0)),0)))</f>
        <v>0</v>
      </c>
      <c r="G1172" s="27">
        <f>IF(OR($B1172="",$C1172=""),"",$C1172*$F1172)</f>
        <v>0</v>
      </c>
      <c r="H1172" s="27">
        <f>IF(OR($B1172="",$C1172=""),"",$C1172*IFERROR(INDEX(PecCusto,MATCH($B1172,PecCod,0)),0))</f>
        <v>0</v>
      </c>
      <c r="I1172" s="32">
        <f>IF($A1172="","",IFERROR(INDEX(OSStatus,MATCH($A1172,OSNum,0)),"OS inexistente"))</f>
        <v>0</v>
      </c>
      <c r="J1172" s="32">
        <f>IF($A1172="","",IF($I1172="OS inexistente","OS inexistente",IF($E1172="Peça não cadastrada","Peça não cadastrada","OK")))</f>
        <v>0</v>
      </c>
    </row>
    <row r="1173" spans="1:10">
      <c r="A1173" s="17"/>
      <c r="B1173" s="13"/>
      <c r="C1173" s="20"/>
      <c r="D1173" s="19"/>
      <c r="E1173" s="26">
        <f>IF($B1173="","",IFERROR(INDEX(PecDesc,MATCH($B1173,PecCod,0)),"Peça não cadastrada"))</f>
        <v>0</v>
      </c>
      <c r="F1173" s="27">
        <f>IF($B1173="","",IF($D1173&lt;&gt;"",$D1173,IFERROR(INDEX(PecPreco,MATCH($B1173,PecCod,0)),0)))</f>
        <v>0</v>
      </c>
      <c r="G1173" s="27">
        <f>IF(OR($B1173="",$C1173=""),"",$C1173*$F1173)</f>
        <v>0</v>
      </c>
      <c r="H1173" s="27">
        <f>IF(OR($B1173="",$C1173=""),"",$C1173*IFERROR(INDEX(PecCusto,MATCH($B1173,PecCod,0)),0))</f>
        <v>0</v>
      </c>
      <c r="I1173" s="32">
        <f>IF($A1173="","",IFERROR(INDEX(OSStatus,MATCH($A1173,OSNum,0)),"OS inexistente"))</f>
        <v>0</v>
      </c>
      <c r="J1173" s="32">
        <f>IF($A1173="","",IF($I1173="OS inexistente","OS inexistente",IF($E1173="Peça não cadastrada","Peça não cadastrada","OK")))</f>
        <v>0</v>
      </c>
    </row>
    <row r="1174" spans="1:10">
      <c r="A1174" s="17"/>
      <c r="B1174" s="13"/>
      <c r="C1174" s="20"/>
      <c r="D1174" s="19"/>
      <c r="E1174" s="26">
        <f>IF($B1174="","",IFERROR(INDEX(PecDesc,MATCH($B1174,PecCod,0)),"Peça não cadastrada"))</f>
        <v>0</v>
      </c>
      <c r="F1174" s="27">
        <f>IF($B1174="","",IF($D1174&lt;&gt;"",$D1174,IFERROR(INDEX(PecPreco,MATCH($B1174,PecCod,0)),0)))</f>
        <v>0</v>
      </c>
      <c r="G1174" s="27">
        <f>IF(OR($B1174="",$C1174=""),"",$C1174*$F1174)</f>
        <v>0</v>
      </c>
      <c r="H1174" s="27">
        <f>IF(OR($B1174="",$C1174=""),"",$C1174*IFERROR(INDEX(PecCusto,MATCH($B1174,PecCod,0)),0))</f>
        <v>0</v>
      </c>
      <c r="I1174" s="32">
        <f>IF($A1174="","",IFERROR(INDEX(OSStatus,MATCH($A1174,OSNum,0)),"OS inexistente"))</f>
        <v>0</v>
      </c>
      <c r="J1174" s="32">
        <f>IF($A1174="","",IF($I1174="OS inexistente","OS inexistente",IF($E1174="Peça não cadastrada","Peça não cadastrada","OK")))</f>
        <v>0</v>
      </c>
    </row>
    <row r="1175" spans="1:10">
      <c r="A1175" s="17"/>
      <c r="B1175" s="13"/>
      <c r="C1175" s="20"/>
      <c r="D1175" s="19"/>
      <c r="E1175" s="26">
        <f>IF($B1175="","",IFERROR(INDEX(PecDesc,MATCH($B1175,PecCod,0)),"Peça não cadastrada"))</f>
        <v>0</v>
      </c>
      <c r="F1175" s="27">
        <f>IF($B1175="","",IF($D1175&lt;&gt;"",$D1175,IFERROR(INDEX(PecPreco,MATCH($B1175,PecCod,0)),0)))</f>
        <v>0</v>
      </c>
      <c r="G1175" s="27">
        <f>IF(OR($B1175="",$C1175=""),"",$C1175*$F1175)</f>
        <v>0</v>
      </c>
      <c r="H1175" s="27">
        <f>IF(OR($B1175="",$C1175=""),"",$C1175*IFERROR(INDEX(PecCusto,MATCH($B1175,PecCod,0)),0))</f>
        <v>0</v>
      </c>
      <c r="I1175" s="32">
        <f>IF($A1175="","",IFERROR(INDEX(OSStatus,MATCH($A1175,OSNum,0)),"OS inexistente"))</f>
        <v>0</v>
      </c>
      <c r="J1175" s="32">
        <f>IF($A1175="","",IF($I1175="OS inexistente","OS inexistente",IF($E1175="Peça não cadastrada","Peça não cadastrada","OK")))</f>
        <v>0</v>
      </c>
    </row>
    <row r="1176" spans="1:10">
      <c r="A1176" s="17"/>
      <c r="B1176" s="13"/>
      <c r="C1176" s="20"/>
      <c r="D1176" s="19"/>
      <c r="E1176" s="26">
        <f>IF($B1176="","",IFERROR(INDEX(PecDesc,MATCH($B1176,PecCod,0)),"Peça não cadastrada"))</f>
        <v>0</v>
      </c>
      <c r="F1176" s="27">
        <f>IF($B1176="","",IF($D1176&lt;&gt;"",$D1176,IFERROR(INDEX(PecPreco,MATCH($B1176,PecCod,0)),0)))</f>
        <v>0</v>
      </c>
      <c r="G1176" s="27">
        <f>IF(OR($B1176="",$C1176=""),"",$C1176*$F1176)</f>
        <v>0</v>
      </c>
      <c r="H1176" s="27">
        <f>IF(OR($B1176="",$C1176=""),"",$C1176*IFERROR(INDEX(PecCusto,MATCH($B1176,PecCod,0)),0))</f>
        <v>0</v>
      </c>
      <c r="I1176" s="32">
        <f>IF($A1176="","",IFERROR(INDEX(OSStatus,MATCH($A1176,OSNum,0)),"OS inexistente"))</f>
        <v>0</v>
      </c>
      <c r="J1176" s="32">
        <f>IF($A1176="","",IF($I1176="OS inexistente","OS inexistente",IF($E1176="Peça não cadastrada","Peça não cadastrada","OK")))</f>
        <v>0</v>
      </c>
    </row>
    <row r="1177" spans="1:10">
      <c r="A1177" s="17"/>
      <c r="B1177" s="13"/>
      <c r="C1177" s="20"/>
      <c r="D1177" s="19"/>
      <c r="E1177" s="26">
        <f>IF($B1177="","",IFERROR(INDEX(PecDesc,MATCH($B1177,PecCod,0)),"Peça não cadastrada"))</f>
        <v>0</v>
      </c>
      <c r="F1177" s="27">
        <f>IF($B1177="","",IF($D1177&lt;&gt;"",$D1177,IFERROR(INDEX(PecPreco,MATCH($B1177,PecCod,0)),0)))</f>
        <v>0</v>
      </c>
      <c r="G1177" s="27">
        <f>IF(OR($B1177="",$C1177=""),"",$C1177*$F1177)</f>
        <v>0</v>
      </c>
      <c r="H1177" s="27">
        <f>IF(OR($B1177="",$C1177=""),"",$C1177*IFERROR(INDEX(PecCusto,MATCH($B1177,PecCod,0)),0))</f>
        <v>0</v>
      </c>
      <c r="I1177" s="32">
        <f>IF($A1177="","",IFERROR(INDEX(OSStatus,MATCH($A1177,OSNum,0)),"OS inexistente"))</f>
        <v>0</v>
      </c>
      <c r="J1177" s="32">
        <f>IF($A1177="","",IF($I1177="OS inexistente","OS inexistente",IF($E1177="Peça não cadastrada","Peça não cadastrada","OK")))</f>
        <v>0</v>
      </c>
    </row>
    <row r="1178" spans="1:10">
      <c r="A1178" s="17"/>
      <c r="B1178" s="13"/>
      <c r="C1178" s="20"/>
      <c r="D1178" s="19"/>
      <c r="E1178" s="26">
        <f>IF($B1178="","",IFERROR(INDEX(PecDesc,MATCH($B1178,PecCod,0)),"Peça não cadastrada"))</f>
        <v>0</v>
      </c>
      <c r="F1178" s="27">
        <f>IF($B1178="","",IF($D1178&lt;&gt;"",$D1178,IFERROR(INDEX(PecPreco,MATCH($B1178,PecCod,0)),0)))</f>
        <v>0</v>
      </c>
      <c r="G1178" s="27">
        <f>IF(OR($B1178="",$C1178=""),"",$C1178*$F1178)</f>
        <v>0</v>
      </c>
      <c r="H1178" s="27">
        <f>IF(OR($B1178="",$C1178=""),"",$C1178*IFERROR(INDEX(PecCusto,MATCH($B1178,PecCod,0)),0))</f>
        <v>0</v>
      </c>
      <c r="I1178" s="32">
        <f>IF($A1178="","",IFERROR(INDEX(OSStatus,MATCH($A1178,OSNum,0)),"OS inexistente"))</f>
        <v>0</v>
      </c>
      <c r="J1178" s="32">
        <f>IF($A1178="","",IF($I1178="OS inexistente","OS inexistente",IF($E1178="Peça não cadastrada","Peça não cadastrada","OK")))</f>
        <v>0</v>
      </c>
    </row>
    <row r="1179" spans="1:10">
      <c r="A1179" s="17"/>
      <c r="B1179" s="13"/>
      <c r="C1179" s="20"/>
      <c r="D1179" s="19"/>
      <c r="E1179" s="26">
        <f>IF($B1179="","",IFERROR(INDEX(PecDesc,MATCH($B1179,PecCod,0)),"Peça não cadastrada"))</f>
        <v>0</v>
      </c>
      <c r="F1179" s="27">
        <f>IF($B1179="","",IF($D1179&lt;&gt;"",$D1179,IFERROR(INDEX(PecPreco,MATCH($B1179,PecCod,0)),0)))</f>
        <v>0</v>
      </c>
      <c r="G1179" s="27">
        <f>IF(OR($B1179="",$C1179=""),"",$C1179*$F1179)</f>
        <v>0</v>
      </c>
      <c r="H1179" s="27">
        <f>IF(OR($B1179="",$C1179=""),"",$C1179*IFERROR(INDEX(PecCusto,MATCH($B1179,PecCod,0)),0))</f>
        <v>0</v>
      </c>
      <c r="I1179" s="32">
        <f>IF($A1179="","",IFERROR(INDEX(OSStatus,MATCH($A1179,OSNum,0)),"OS inexistente"))</f>
        <v>0</v>
      </c>
      <c r="J1179" s="32">
        <f>IF($A1179="","",IF($I1179="OS inexistente","OS inexistente",IF($E1179="Peça não cadastrada","Peça não cadastrada","OK")))</f>
        <v>0</v>
      </c>
    </row>
    <row r="1180" spans="1:10">
      <c r="A1180" s="17"/>
      <c r="B1180" s="13"/>
      <c r="C1180" s="20"/>
      <c r="D1180" s="19"/>
      <c r="E1180" s="26">
        <f>IF($B1180="","",IFERROR(INDEX(PecDesc,MATCH($B1180,PecCod,0)),"Peça não cadastrada"))</f>
        <v>0</v>
      </c>
      <c r="F1180" s="27">
        <f>IF($B1180="","",IF($D1180&lt;&gt;"",$D1180,IFERROR(INDEX(PecPreco,MATCH($B1180,PecCod,0)),0)))</f>
        <v>0</v>
      </c>
      <c r="G1180" s="27">
        <f>IF(OR($B1180="",$C1180=""),"",$C1180*$F1180)</f>
        <v>0</v>
      </c>
      <c r="H1180" s="27">
        <f>IF(OR($B1180="",$C1180=""),"",$C1180*IFERROR(INDEX(PecCusto,MATCH($B1180,PecCod,0)),0))</f>
        <v>0</v>
      </c>
      <c r="I1180" s="32">
        <f>IF($A1180="","",IFERROR(INDEX(OSStatus,MATCH($A1180,OSNum,0)),"OS inexistente"))</f>
        <v>0</v>
      </c>
      <c r="J1180" s="32">
        <f>IF($A1180="","",IF($I1180="OS inexistente","OS inexistente",IF($E1180="Peça não cadastrada","Peça não cadastrada","OK")))</f>
        <v>0</v>
      </c>
    </row>
    <row r="1181" spans="1:10">
      <c r="A1181" s="17"/>
      <c r="B1181" s="13"/>
      <c r="C1181" s="20"/>
      <c r="D1181" s="19"/>
      <c r="E1181" s="26">
        <f>IF($B1181="","",IFERROR(INDEX(PecDesc,MATCH($B1181,PecCod,0)),"Peça não cadastrada"))</f>
        <v>0</v>
      </c>
      <c r="F1181" s="27">
        <f>IF($B1181="","",IF($D1181&lt;&gt;"",$D1181,IFERROR(INDEX(PecPreco,MATCH($B1181,PecCod,0)),0)))</f>
        <v>0</v>
      </c>
      <c r="G1181" s="27">
        <f>IF(OR($B1181="",$C1181=""),"",$C1181*$F1181)</f>
        <v>0</v>
      </c>
      <c r="H1181" s="27">
        <f>IF(OR($B1181="",$C1181=""),"",$C1181*IFERROR(INDEX(PecCusto,MATCH($B1181,PecCod,0)),0))</f>
        <v>0</v>
      </c>
      <c r="I1181" s="32">
        <f>IF($A1181="","",IFERROR(INDEX(OSStatus,MATCH($A1181,OSNum,0)),"OS inexistente"))</f>
        <v>0</v>
      </c>
      <c r="J1181" s="32">
        <f>IF($A1181="","",IF($I1181="OS inexistente","OS inexistente",IF($E1181="Peça não cadastrada","Peça não cadastrada","OK")))</f>
        <v>0</v>
      </c>
    </row>
    <row r="1182" spans="1:10">
      <c r="A1182" s="17"/>
      <c r="B1182" s="13"/>
      <c r="C1182" s="20"/>
      <c r="D1182" s="19"/>
      <c r="E1182" s="26">
        <f>IF($B1182="","",IFERROR(INDEX(PecDesc,MATCH($B1182,PecCod,0)),"Peça não cadastrada"))</f>
        <v>0</v>
      </c>
      <c r="F1182" s="27">
        <f>IF($B1182="","",IF($D1182&lt;&gt;"",$D1182,IFERROR(INDEX(PecPreco,MATCH($B1182,PecCod,0)),0)))</f>
        <v>0</v>
      </c>
      <c r="G1182" s="27">
        <f>IF(OR($B1182="",$C1182=""),"",$C1182*$F1182)</f>
        <v>0</v>
      </c>
      <c r="H1182" s="27">
        <f>IF(OR($B1182="",$C1182=""),"",$C1182*IFERROR(INDEX(PecCusto,MATCH($B1182,PecCod,0)),0))</f>
        <v>0</v>
      </c>
      <c r="I1182" s="32">
        <f>IF($A1182="","",IFERROR(INDEX(OSStatus,MATCH($A1182,OSNum,0)),"OS inexistente"))</f>
        <v>0</v>
      </c>
      <c r="J1182" s="32">
        <f>IF($A1182="","",IF($I1182="OS inexistente","OS inexistente",IF($E1182="Peça não cadastrada","Peça não cadastrada","OK")))</f>
        <v>0</v>
      </c>
    </row>
    <row r="1183" spans="1:10">
      <c r="A1183" s="17"/>
      <c r="B1183" s="13"/>
      <c r="C1183" s="20"/>
      <c r="D1183" s="19"/>
      <c r="E1183" s="26">
        <f>IF($B1183="","",IFERROR(INDEX(PecDesc,MATCH($B1183,PecCod,0)),"Peça não cadastrada"))</f>
        <v>0</v>
      </c>
      <c r="F1183" s="27">
        <f>IF($B1183="","",IF($D1183&lt;&gt;"",$D1183,IFERROR(INDEX(PecPreco,MATCH($B1183,PecCod,0)),0)))</f>
        <v>0</v>
      </c>
      <c r="G1183" s="27">
        <f>IF(OR($B1183="",$C1183=""),"",$C1183*$F1183)</f>
        <v>0</v>
      </c>
      <c r="H1183" s="27">
        <f>IF(OR($B1183="",$C1183=""),"",$C1183*IFERROR(INDEX(PecCusto,MATCH($B1183,PecCod,0)),0))</f>
        <v>0</v>
      </c>
      <c r="I1183" s="32">
        <f>IF($A1183="","",IFERROR(INDEX(OSStatus,MATCH($A1183,OSNum,0)),"OS inexistente"))</f>
        <v>0</v>
      </c>
      <c r="J1183" s="32">
        <f>IF($A1183="","",IF($I1183="OS inexistente","OS inexistente",IF($E1183="Peça não cadastrada","Peça não cadastrada","OK")))</f>
        <v>0</v>
      </c>
    </row>
    <row r="1184" spans="1:10">
      <c r="A1184" s="17"/>
      <c r="B1184" s="13"/>
      <c r="C1184" s="20"/>
      <c r="D1184" s="19"/>
      <c r="E1184" s="26">
        <f>IF($B1184="","",IFERROR(INDEX(PecDesc,MATCH($B1184,PecCod,0)),"Peça não cadastrada"))</f>
        <v>0</v>
      </c>
      <c r="F1184" s="27">
        <f>IF($B1184="","",IF($D1184&lt;&gt;"",$D1184,IFERROR(INDEX(PecPreco,MATCH($B1184,PecCod,0)),0)))</f>
        <v>0</v>
      </c>
      <c r="G1184" s="27">
        <f>IF(OR($B1184="",$C1184=""),"",$C1184*$F1184)</f>
        <v>0</v>
      </c>
      <c r="H1184" s="27">
        <f>IF(OR($B1184="",$C1184=""),"",$C1184*IFERROR(INDEX(PecCusto,MATCH($B1184,PecCod,0)),0))</f>
        <v>0</v>
      </c>
      <c r="I1184" s="32">
        <f>IF($A1184="","",IFERROR(INDEX(OSStatus,MATCH($A1184,OSNum,0)),"OS inexistente"))</f>
        <v>0</v>
      </c>
      <c r="J1184" s="32">
        <f>IF($A1184="","",IF($I1184="OS inexistente","OS inexistente",IF($E1184="Peça não cadastrada","Peça não cadastrada","OK")))</f>
        <v>0</v>
      </c>
    </row>
    <row r="1185" spans="1:10">
      <c r="A1185" s="17"/>
      <c r="B1185" s="13"/>
      <c r="C1185" s="20"/>
      <c r="D1185" s="19"/>
      <c r="E1185" s="26">
        <f>IF($B1185="","",IFERROR(INDEX(PecDesc,MATCH($B1185,PecCod,0)),"Peça não cadastrada"))</f>
        <v>0</v>
      </c>
      <c r="F1185" s="27">
        <f>IF($B1185="","",IF($D1185&lt;&gt;"",$D1185,IFERROR(INDEX(PecPreco,MATCH($B1185,PecCod,0)),0)))</f>
        <v>0</v>
      </c>
      <c r="G1185" s="27">
        <f>IF(OR($B1185="",$C1185=""),"",$C1185*$F1185)</f>
        <v>0</v>
      </c>
      <c r="H1185" s="27">
        <f>IF(OR($B1185="",$C1185=""),"",$C1185*IFERROR(INDEX(PecCusto,MATCH($B1185,PecCod,0)),0))</f>
        <v>0</v>
      </c>
      <c r="I1185" s="32">
        <f>IF($A1185="","",IFERROR(INDEX(OSStatus,MATCH($A1185,OSNum,0)),"OS inexistente"))</f>
        <v>0</v>
      </c>
      <c r="J1185" s="32">
        <f>IF($A1185="","",IF($I1185="OS inexistente","OS inexistente",IF($E1185="Peça não cadastrada","Peça não cadastrada","OK")))</f>
        <v>0</v>
      </c>
    </row>
    <row r="1186" spans="1:10">
      <c r="A1186" s="17"/>
      <c r="B1186" s="13"/>
      <c r="C1186" s="20"/>
      <c r="D1186" s="19"/>
      <c r="E1186" s="26">
        <f>IF($B1186="","",IFERROR(INDEX(PecDesc,MATCH($B1186,PecCod,0)),"Peça não cadastrada"))</f>
        <v>0</v>
      </c>
      <c r="F1186" s="27">
        <f>IF($B1186="","",IF($D1186&lt;&gt;"",$D1186,IFERROR(INDEX(PecPreco,MATCH($B1186,PecCod,0)),0)))</f>
        <v>0</v>
      </c>
      <c r="G1186" s="27">
        <f>IF(OR($B1186="",$C1186=""),"",$C1186*$F1186)</f>
        <v>0</v>
      </c>
      <c r="H1186" s="27">
        <f>IF(OR($B1186="",$C1186=""),"",$C1186*IFERROR(INDEX(PecCusto,MATCH($B1186,PecCod,0)),0))</f>
        <v>0</v>
      </c>
      <c r="I1186" s="32">
        <f>IF($A1186="","",IFERROR(INDEX(OSStatus,MATCH($A1186,OSNum,0)),"OS inexistente"))</f>
        <v>0</v>
      </c>
      <c r="J1186" s="32">
        <f>IF($A1186="","",IF($I1186="OS inexistente","OS inexistente",IF($E1186="Peça não cadastrada","Peça não cadastrada","OK")))</f>
        <v>0</v>
      </c>
    </row>
    <row r="1187" spans="1:10">
      <c r="A1187" s="17"/>
      <c r="B1187" s="13"/>
      <c r="C1187" s="20"/>
      <c r="D1187" s="19"/>
      <c r="E1187" s="26">
        <f>IF($B1187="","",IFERROR(INDEX(PecDesc,MATCH($B1187,PecCod,0)),"Peça não cadastrada"))</f>
        <v>0</v>
      </c>
      <c r="F1187" s="27">
        <f>IF($B1187="","",IF($D1187&lt;&gt;"",$D1187,IFERROR(INDEX(PecPreco,MATCH($B1187,PecCod,0)),0)))</f>
        <v>0</v>
      </c>
      <c r="G1187" s="27">
        <f>IF(OR($B1187="",$C1187=""),"",$C1187*$F1187)</f>
        <v>0</v>
      </c>
      <c r="H1187" s="27">
        <f>IF(OR($B1187="",$C1187=""),"",$C1187*IFERROR(INDEX(PecCusto,MATCH($B1187,PecCod,0)),0))</f>
        <v>0</v>
      </c>
      <c r="I1187" s="32">
        <f>IF($A1187="","",IFERROR(INDEX(OSStatus,MATCH($A1187,OSNum,0)),"OS inexistente"))</f>
        <v>0</v>
      </c>
      <c r="J1187" s="32">
        <f>IF($A1187="","",IF($I1187="OS inexistente","OS inexistente",IF($E1187="Peça não cadastrada","Peça não cadastrada","OK")))</f>
        <v>0</v>
      </c>
    </row>
    <row r="1188" spans="1:10">
      <c r="A1188" s="17"/>
      <c r="B1188" s="13"/>
      <c r="C1188" s="20"/>
      <c r="D1188" s="19"/>
      <c r="E1188" s="26">
        <f>IF($B1188="","",IFERROR(INDEX(PecDesc,MATCH($B1188,PecCod,0)),"Peça não cadastrada"))</f>
        <v>0</v>
      </c>
      <c r="F1188" s="27">
        <f>IF($B1188="","",IF($D1188&lt;&gt;"",$D1188,IFERROR(INDEX(PecPreco,MATCH($B1188,PecCod,0)),0)))</f>
        <v>0</v>
      </c>
      <c r="G1188" s="27">
        <f>IF(OR($B1188="",$C1188=""),"",$C1188*$F1188)</f>
        <v>0</v>
      </c>
      <c r="H1188" s="27">
        <f>IF(OR($B1188="",$C1188=""),"",$C1188*IFERROR(INDEX(PecCusto,MATCH($B1188,PecCod,0)),0))</f>
        <v>0</v>
      </c>
      <c r="I1188" s="32">
        <f>IF($A1188="","",IFERROR(INDEX(OSStatus,MATCH($A1188,OSNum,0)),"OS inexistente"))</f>
        <v>0</v>
      </c>
      <c r="J1188" s="32">
        <f>IF($A1188="","",IF($I1188="OS inexistente","OS inexistente",IF($E1188="Peça não cadastrada","Peça não cadastrada","OK")))</f>
        <v>0</v>
      </c>
    </row>
    <row r="1189" spans="1:10">
      <c r="A1189" s="17"/>
      <c r="B1189" s="13"/>
      <c r="C1189" s="20"/>
      <c r="D1189" s="19"/>
      <c r="E1189" s="26">
        <f>IF($B1189="","",IFERROR(INDEX(PecDesc,MATCH($B1189,PecCod,0)),"Peça não cadastrada"))</f>
        <v>0</v>
      </c>
      <c r="F1189" s="27">
        <f>IF($B1189="","",IF($D1189&lt;&gt;"",$D1189,IFERROR(INDEX(PecPreco,MATCH($B1189,PecCod,0)),0)))</f>
        <v>0</v>
      </c>
      <c r="G1189" s="27">
        <f>IF(OR($B1189="",$C1189=""),"",$C1189*$F1189)</f>
        <v>0</v>
      </c>
      <c r="H1189" s="27">
        <f>IF(OR($B1189="",$C1189=""),"",$C1189*IFERROR(INDEX(PecCusto,MATCH($B1189,PecCod,0)),0))</f>
        <v>0</v>
      </c>
      <c r="I1189" s="32">
        <f>IF($A1189="","",IFERROR(INDEX(OSStatus,MATCH($A1189,OSNum,0)),"OS inexistente"))</f>
        <v>0</v>
      </c>
      <c r="J1189" s="32">
        <f>IF($A1189="","",IF($I1189="OS inexistente","OS inexistente",IF($E1189="Peça não cadastrada","Peça não cadastrada","OK")))</f>
        <v>0</v>
      </c>
    </row>
    <row r="1190" spans="1:10">
      <c r="A1190" s="17"/>
      <c r="B1190" s="13"/>
      <c r="C1190" s="20"/>
      <c r="D1190" s="19"/>
      <c r="E1190" s="26">
        <f>IF($B1190="","",IFERROR(INDEX(PecDesc,MATCH($B1190,PecCod,0)),"Peça não cadastrada"))</f>
        <v>0</v>
      </c>
      <c r="F1190" s="27">
        <f>IF($B1190="","",IF($D1190&lt;&gt;"",$D1190,IFERROR(INDEX(PecPreco,MATCH($B1190,PecCod,0)),0)))</f>
        <v>0</v>
      </c>
      <c r="G1190" s="27">
        <f>IF(OR($B1190="",$C1190=""),"",$C1190*$F1190)</f>
        <v>0</v>
      </c>
      <c r="H1190" s="27">
        <f>IF(OR($B1190="",$C1190=""),"",$C1190*IFERROR(INDEX(PecCusto,MATCH($B1190,PecCod,0)),0))</f>
        <v>0</v>
      </c>
      <c r="I1190" s="32">
        <f>IF($A1190="","",IFERROR(INDEX(OSStatus,MATCH($A1190,OSNum,0)),"OS inexistente"))</f>
        <v>0</v>
      </c>
      <c r="J1190" s="32">
        <f>IF($A1190="","",IF($I1190="OS inexistente","OS inexistente",IF($E1190="Peça não cadastrada","Peça não cadastrada","OK")))</f>
        <v>0</v>
      </c>
    </row>
    <row r="1191" spans="1:10">
      <c r="A1191" s="17"/>
      <c r="B1191" s="13"/>
      <c r="C1191" s="20"/>
      <c r="D1191" s="19"/>
      <c r="E1191" s="26">
        <f>IF($B1191="","",IFERROR(INDEX(PecDesc,MATCH($B1191,PecCod,0)),"Peça não cadastrada"))</f>
        <v>0</v>
      </c>
      <c r="F1191" s="27">
        <f>IF($B1191="","",IF($D1191&lt;&gt;"",$D1191,IFERROR(INDEX(PecPreco,MATCH($B1191,PecCod,0)),0)))</f>
        <v>0</v>
      </c>
      <c r="G1191" s="27">
        <f>IF(OR($B1191="",$C1191=""),"",$C1191*$F1191)</f>
        <v>0</v>
      </c>
      <c r="H1191" s="27">
        <f>IF(OR($B1191="",$C1191=""),"",$C1191*IFERROR(INDEX(PecCusto,MATCH($B1191,PecCod,0)),0))</f>
        <v>0</v>
      </c>
      <c r="I1191" s="32">
        <f>IF($A1191="","",IFERROR(INDEX(OSStatus,MATCH($A1191,OSNum,0)),"OS inexistente"))</f>
        <v>0</v>
      </c>
      <c r="J1191" s="32">
        <f>IF($A1191="","",IF($I1191="OS inexistente","OS inexistente",IF($E1191="Peça não cadastrada","Peça não cadastrada","OK")))</f>
        <v>0</v>
      </c>
    </row>
    <row r="1192" spans="1:10">
      <c r="A1192" s="17"/>
      <c r="B1192" s="13"/>
      <c r="C1192" s="20"/>
      <c r="D1192" s="19"/>
      <c r="E1192" s="26">
        <f>IF($B1192="","",IFERROR(INDEX(PecDesc,MATCH($B1192,PecCod,0)),"Peça não cadastrada"))</f>
        <v>0</v>
      </c>
      <c r="F1192" s="27">
        <f>IF($B1192="","",IF($D1192&lt;&gt;"",$D1192,IFERROR(INDEX(PecPreco,MATCH($B1192,PecCod,0)),0)))</f>
        <v>0</v>
      </c>
      <c r="G1192" s="27">
        <f>IF(OR($B1192="",$C1192=""),"",$C1192*$F1192)</f>
        <v>0</v>
      </c>
      <c r="H1192" s="27">
        <f>IF(OR($B1192="",$C1192=""),"",$C1192*IFERROR(INDEX(PecCusto,MATCH($B1192,PecCod,0)),0))</f>
        <v>0</v>
      </c>
      <c r="I1192" s="32">
        <f>IF($A1192="","",IFERROR(INDEX(OSStatus,MATCH($A1192,OSNum,0)),"OS inexistente"))</f>
        <v>0</v>
      </c>
      <c r="J1192" s="32">
        <f>IF($A1192="","",IF($I1192="OS inexistente","OS inexistente",IF($E1192="Peça não cadastrada","Peça não cadastrada","OK")))</f>
        <v>0</v>
      </c>
    </row>
    <row r="1193" spans="1:10">
      <c r="A1193" s="17"/>
      <c r="B1193" s="13"/>
      <c r="C1193" s="20"/>
      <c r="D1193" s="19"/>
      <c r="E1193" s="26">
        <f>IF($B1193="","",IFERROR(INDEX(PecDesc,MATCH($B1193,PecCod,0)),"Peça não cadastrada"))</f>
        <v>0</v>
      </c>
      <c r="F1193" s="27">
        <f>IF($B1193="","",IF($D1193&lt;&gt;"",$D1193,IFERROR(INDEX(PecPreco,MATCH($B1193,PecCod,0)),0)))</f>
        <v>0</v>
      </c>
      <c r="G1193" s="27">
        <f>IF(OR($B1193="",$C1193=""),"",$C1193*$F1193)</f>
        <v>0</v>
      </c>
      <c r="H1193" s="27">
        <f>IF(OR($B1193="",$C1193=""),"",$C1193*IFERROR(INDEX(PecCusto,MATCH($B1193,PecCod,0)),0))</f>
        <v>0</v>
      </c>
      <c r="I1193" s="32">
        <f>IF($A1193="","",IFERROR(INDEX(OSStatus,MATCH($A1193,OSNum,0)),"OS inexistente"))</f>
        <v>0</v>
      </c>
      <c r="J1193" s="32">
        <f>IF($A1193="","",IF($I1193="OS inexistente","OS inexistente",IF($E1193="Peça não cadastrada","Peça não cadastrada","OK")))</f>
        <v>0</v>
      </c>
    </row>
    <row r="1194" spans="1:10">
      <c r="A1194" s="17"/>
      <c r="B1194" s="13"/>
      <c r="C1194" s="20"/>
      <c r="D1194" s="19"/>
      <c r="E1194" s="26">
        <f>IF($B1194="","",IFERROR(INDEX(PecDesc,MATCH($B1194,PecCod,0)),"Peça não cadastrada"))</f>
        <v>0</v>
      </c>
      <c r="F1194" s="27">
        <f>IF($B1194="","",IF($D1194&lt;&gt;"",$D1194,IFERROR(INDEX(PecPreco,MATCH($B1194,PecCod,0)),0)))</f>
        <v>0</v>
      </c>
      <c r="G1194" s="27">
        <f>IF(OR($B1194="",$C1194=""),"",$C1194*$F1194)</f>
        <v>0</v>
      </c>
      <c r="H1194" s="27">
        <f>IF(OR($B1194="",$C1194=""),"",$C1194*IFERROR(INDEX(PecCusto,MATCH($B1194,PecCod,0)),0))</f>
        <v>0</v>
      </c>
      <c r="I1194" s="32">
        <f>IF($A1194="","",IFERROR(INDEX(OSStatus,MATCH($A1194,OSNum,0)),"OS inexistente"))</f>
        <v>0</v>
      </c>
      <c r="J1194" s="32">
        <f>IF($A1194="","",IF($I1194="OS inexistente","OS inexistente",IF($E1194="Peça não cadastrada","Peça não cadastrada","OK")))</f>
        <v>0</v>
      </c>
    </row>
    <row r="1195" spans="1:10">
      <c r="A1195" s="17"/>
      <c r="B1195" s="13"/>
      <c r="C1195" s="20"/>
      <c r="D1195" s="19"/>
      <c r="E1195" s="26">
        <f>IF($B1195="","",IFERROR(INDEX(PecDesc,MATCH($B1195,PecCod,0)),"Peça não cadastrada"))</f>
        <v>0</v>
      </c>
      <c r="F1195" s="27">
        <f>IF($B1195="","",IF($D1195&lt;&gt;"",$D1195,IFERROR(INDEX(PecPreco,MATCH($B1195,PecCod,0)),0)))</f>
        <v>0</v>
      </c>
      <c r="G1195" s="27">
        <f>IF(OR($B1195="",$C1195=""),"",$C1195*$F1195)</f>
        <v>0</v>
      </c>
      <c r="H1195" s="27">
        <f>IF(OR($B1195="",$C1195=""),"",$C1195*IFERROR(INDEX(PecCusto,MATCH($B1195,PecCod,0)),0))</f>
        <v>0</v>
      </c>
      <c r="I1195" s="32">
        <f>IF($A1195="","",IFERROR(INDEX(OSStatus,MATCH($A1195,OSNum,0)),"OS inexistente"))</f>
        <v>0</v>
      </c>
      <c r="J1195" s="32">
        <f>IF($A1195="","",IF($I1195="OS inexistente","OS inexistente",IF($E1195="Peça não cadastrada","Peça não cadastrada","OK")))</f>
        <v>0</v>
      </c>
    </row>
    <row r="1196" spans="1:10">
      <c r="A1196" s="17"/>
      <c r="B1196" s="13"/>
      <c r="C1196" s="20"/>
      <c r="D1196" s="19"/>
      <c r="E1196" s="26">
        <f>IF($B1196="","",IFERROR(INDEX(PecDesc,MATCH($B1196,PecCod,0)),"Peça não cadastrada"))</f>
        <v>0</v>
      </c>
      <c r="F1196" s="27">
        <f>IF($B1196="","",IF($D1196&lt;&gt;"",$D1196,IFERROR(INDEX(PecPreco,MATCH($B1196,PecCod,0)),0)))</f>
        <v>0</v>
      </c>
      <c r="G1196" s="27">
        <f>IF(OR($B1196="",$C1196=""),"",$C1196*$F1196)</f>
        <v>0</v>
      </c>
      <c r="H1196" s="27">
        <f>IF(OR($B1196="",$C1196=""),"",$C1196*IFERROR(INDEX(PecCusto,MATCH($B1196,PecCod,0)),0))</f>
        <v>0</v>
      </c>
      <c r="I1196" s="32">
        <f>IF($A1196="","",IFERROR(INDEX(OSStatus,MATCH($A1196,OSNum,0)),"OS inexistente"))</f>
        <v>0</v>
      </c>
      <c r="J1196" s="32">
        <f>IF($A1196="","",IF($I1196="OS inexistente","OS inexistente",IF($E1196="Peça não cadastrada","Peça não cadastrada","OK")))</f>
        <v>0</v>
      </c>
    </row>
    <row r="1197" spans="1:10">
      <c r="A1197" s="17"/>
      <c r="B1197" s="13"/>
      <c r="C1197" s="20"/>
      <c r="D1197" s="19"/>
      <c r="E1197" s="26">
        <f>IF($B1197="","",IFERROR(INDEX(PecDesc,MATCH($B1197,PecCod,0)),"Peça não cadastrada"))</f>
        <v>0</v>
      </c>
      <c r="F1197" s="27">
        <f>IF($B1197="","",IF($D1197&lt;&gt;"",$D1197,IFERROR(INDEX(PecPreco,MATCH($B1197,PecCod,0)),0)))</f>
        <v>0</v>
      </c>
      <c r="G1197" s="27">
        <f>IF(OR($B1197="",$C1197=""),"",$C1197*$F1197)</f>
        <v>0</v>
      </c>
      <c r="H1197" s="27">
        <f>IF(OR($B1197="",$C1197=""),"",$C1197*IFERROR(INDEX(PecCusto,MATCH($B1197,PecCod,0)),0))</f>
        <v>0</v>
      </c>
      <c r="I1197" s="32">
        <f>IF($A1197="","",IFERROR(INDEX(OSStatus,MATCH($A1197,OSNum,0)),"OS inexistente"))</f>
        <v>0</v>
      </c>
      <c r="J1197" s="32">
        <f>IF($A1197="","",IF($I1197="OS inexistente","OS inexistente",IF($E1197="Peça não cadastrada","Peça não cadastrada","OK")))</f>
        <v>0</v>
      </c>
    </row>
    <row r="1198" spans="1:10">
      <c r="A1198" s="17"/>
      <c r="B1198" s="13"/>
      <c r="C1198" s="20"/>
      <c r="D1198" s="19"/>
      <c r="E1198" s="26">
        <f>IF($B1198="","",IFERROR(INDEX(PecDesc,MATCH($B1198,PecCod,0)),"Peça não cadastrada"))</f>
        <v>0</v>
      </c>
      <c r="F1198" s="27">
        <f>IF($B1198="","",IF($D1198&lt;&gt;"",$D1198,IFERROR(INDEX(PecPreco,MATCH($B1198,PecCod,0)),0)))</f>
        <v>0</v>
      </c>
      <c r="G1198" s="27">
        <f>IF(OR($B1198="",$C1198=""),"",$C1198*$F1198)</f>
        <v>0</v>
      </c>
      <c r="H1198" s="27">
        <f>IF(OR($B1198="",$C1198=""),"",$C1198*IFERROR(INDEX(PecCusto,MATCH($B1198,PecCod,0)),0))</f>
        <v>0</v>
      </c>
      <c r="I1198" s="32">
        <f>IF($A1198="","",IFERROR(INDEX(OSStatus,MATCH($A1198,OSNum,0)),"OS inexistente"))</f>
        <v>0</v>
      </c>
      <c r="J1198" s="32">
        <f>IF($A1198="","",IF($I1198="OS inexistente","OS inexistente",IF($E1198="Peça não cadastrada","Peça não cadastrada","OK")))</f>
        <v>0</v>
      </c>
    </row>
    <row r="1199" spans="1:10">
      <c r="A1199" s="17"/>
      <c r="B1199" s="13"/>
      <c r="C1199" s="20"/>
      <c r="D1199" s="19"/>
      <c r="E1199" s="26">
        <f>IF($B1199="","",IFERROR(INDEX(PecDesc,MATCH($B1199,PecCod,0)),"Peça não cadastrada"))</f>
        <v>0</v>
      </c>
      <c r="F1199" s="27">
        <f>IF($B1199="","",IF($D1199&lt;&gt;"",$D1199,IFERROR(INDEX(PecPreco,MATCH($B1199,PecCod,0)),0)))</f>
        <v>0</v>
      </c>
      <c r="G1199" s="27">
        <f>IF(OR($B1199="",$C1199=""),"",$C1199*$F1199)</f>
        <v>0</v>
      </c>
      <c r="H1199" s="27">
        <f>IF(OR($B1199="",$C1199=""),"",$C1199*IFERROR(INDEX(PecCusto,MATCH($B1199,PecCod,0)),0))</f>
        <v>0</v>
      </c>
      <c r="I1199" s="32">
        <f>IF($A1199="","",IFERROR(INDEX(OSStatus,MATCH($A1199,OSNum,0)),"OS inexistente"))</f>
        <v>0</v>
      </c>
      <c r="J1199" s="32">
        <f>IF($A1199="","",IF($I1199="OS inexistente","OS inexistente",IF($E1199="Peça não cadastrada","Peça não cadastrada","OK")))</f>
        <v>0</v>
      </c>
    </row>
    <row r="1200" spans="1:10">
      <c r="A1200" s="17"/>
      <c r="B1200" s="13"/>
      <c r="C1200" s="20"/>
      <c r="D1200" s="19"/>
      <c r="E1200" s="26">
        <f>IF($B1200="","",IFERROR(INDEX(PecDesc,MATCH($B1200,PecCod,0)),"Peça não cadastrada"))</f>
        <v>0</v>
      </c>
      <c r="F1200" s="27">
        <f>IF($B1200="","",IF($D1200&lt;&gt;"",$D1200,IFERROR(INDEX(PecPreco,MATCH($B1200,PecCod,0)),0)))</f>
        <v>0</v>
      </c>
      <c r="G1200" s="27">
        <f>IF(OR($B1200="",$C1200=""),"",$C1200*$F1200)</f>
        <v>0</v>
      </c>
      <c r="H1200" s="27">
        <f>IF(OR($B1200="",$C1200=""),"",$C1200*IFERROR(INDEX(PecCusto,MATCH($B1200,PecCod,0)),0))</f>
        <v>0</v>
      </c>
      <c r="I1200" s="32">
        <f>IF($A1200="","",IFERROR(INDEX(OSStatus,MATCH($A1200,OSNum,0)),"OS inexistente"))</f>
        <v>0</v>
      </c>
      <c r="J1200" s="32">
        <f>IF($A1200="","",IF($I1200="OS inexistente","OS inexistente",IF($E1200="Peça não cadastrada","Peça não cadastrada","OK")))</f>
        <v>0</v>
      </c>
    </row>
    <row r="1201" spans="1:10">
      <c r="A1201" s="17"/>
      <c r="B1201" s="13"/>
      <c r="C1201" s="20"/>
      <c r="D1201" s="19"/>
      <c r="E1201" s="26">
        <f>IF($B1201="","",IFERROR(INDEX(PecDesc,MATCH($B1201,PecCod,0)),"Peça não cadastrada"))</f>
        <v>0</v>
      </c>
      <c r="F1201" s="27">
        <f>IF($B1201="","",IF($D1201&lt;&gt;"",$D1201,IFERROR(INDEX(PecPreco,MATCH($B1201,PecCod,0)),0)))</f>
        <v>0</v>
      </c>
      <c r="G1201" s="27">
        <f>IF(OR($B1201="",$C1201=""),"",$C1201*$F1201)</f>
        <v>0</v>
      </c>
      <c r="H1201" s="27">
        <f>IF(OR($B1201="",$C1201=""),"",$C1201*IFERROR(INDEX(PecCusto,MATCH($B1201,PecCod,0)),0))</f>
        <v>0</v>
      </c>
      <c r="I1201" s="32">
        <f>IF($A1201="","",IFERROR(INDEX(OSStatus,MATCH($A1201,OSNum,0)),"OS inexistente"))</f>
        <v>0</v>
      </c>
      <c r="J1201" s="32">
        <f>IF($A1201="","",IF($I1201="OS inexistente","OS inexistente",IF($E1201="Peça não cadastrada","Peça não cadastrada","OK")))</f>
        <v>0</v>
      </c>
    </row>
    <row r="1202" spans="1:10">
      <c r="A1202" s="17"/>
      <c r="B1202" s="13"/>
      <c r="C1202" s="20"/>
      <c r="D1202" s="19"/>
      <c r="E1202" s="26">
        <f>IF($B1202="","",IFERROR(INDEX(PecDesc,MATCH($B1202,PecCod,0)),"Peça não cadastrada"))</f>
        <v>0</v>
      </c>
      <c r="F1202" s="27">
        <f>IF($B1202="","",IF($D1202&lt;&gt;"",$D1202,IFERROR(INDEX(PecPreco,MATCH($B1202,PecCod,0)),0)))</f>
        <v>0</v>
      </c>
      <c r="G1202" s="27">
        <f>IF(OR($B1202="",$C1202=""),"",$C1202*$F1202)</f>
        <v>0</v>
      </c>
      <c r="H1202" s="27">
        <f>IF(OR($B1202="",$C1202=""),"",$C1202*IFERROR(INDEX(PecCusto,MATCH($B1202,PecCod,0)),0))</f>
        <v>0</v>
      </c>
      <c r="I1202" s="32">
        <f>IF($A1202="","",IFERROR(INDEX(OSStatus,MATCH($A1202,OSNum,0)),"OS inexistente"))</f>
        <v>0</v>
      </c>
      <c r="J1202" s="32">
        <f>IF($A1202="","",IF($I1202="OS inexistente","OS inexistente",IF($E1202="Peça não cadastrada","Peça não cadastrada","OK")))</f>
        <v>0</v>
      </c>
    </row>
    <row r="1203" spans="1:10">
      <c r="A1203" s="17"/>
      <c r="B1203" s="13"/>
      <c r="C1203" s="20"/>
      <c r="D1203" s="19"/>
      <c r="E1203" s="26">
        <f>IF($B1203="","",IFERROR(INDEX(PecDesc,MATCH($B1203,PecCod,0)),"Peça não cadastrada"))</f>
        <v>0</v>
      </c>
      <c r="F1203" s="27">
        <f>IF($B1203="","",IF($D1203&lt;&gt;"",$D1203,IFERROR(INDEX(PecPreco,MATCH($B1203,PecCod,0)),0)))</f>
        <v>0</v>
      </c>
      <c r="G1203" s="27">
        <f>IF(OR($B1203="",$C1203=""),"",$C1203*$F1203)</f>
        <v>0</v>
      </c>
      <c r="H1203" s="27">
        <f>IF(OR($B1203="",$C1203=""),"",$C1203*IFERROR(INDEX(PecCusto,MATCH($B1203,PecCod,0)),0))</f>
        <v>0</v>
      </c>
      <c r="I1203" s="32">
        <f>IF($A1203="","",IFERROR(INDEX(OSStatus,MATCH($A1203,OSNum,0)),"OS inexistente"))</f>
        <v>0</v>
      </c>
      <c r="J1203" s="32">
        <f>IF($A1203="","",IF($I1203="OS inexistente","OS inexistente",IF($E1203="Peça não cadastrada","Peça não cadastrada","OK")))</f>
        <v>0</v>
      </c>
    </row>
    <row r="1204" spans="1:10">
      <c r="A1204" s="17"/>
      <c r="B1204" s="13"/>
      <c r="C1204" s="20"/>
      <c r="D1204" s="19"/>
      <c r="E1204" s="26">
        <f>IF($B1204="","",IFERROR(INDEX(PecDesc,MATCH($B1204,PecCod,0)),"Peça não cadastrada"))</f>
        <v>0</v>
      </c>
      <c r="F1204" s="27">
        <f>IF($B1204="","",IF($D1204&lt;&gt;"",$D1204,IFERROR(INDEX(PecPreco,MATCH($B1204,PecCod,0)),0)))</f>
        <v>0</v>
      </c>
      <c r="G1204" s="27">
        <f>IF(OR($B1204="",$C1204=""),"",$C1204*$F1204)</f>
        <v>0</v>
      </c>
      <c r="H1204" s="27">
        <f>IF(OR($B1204="",$C1204=""),"",$C1204*IFERROR(INDEX(PecCusto,MATCH($B1204,PecCod,0)),0))</f>
        <v>0</v>
      </c>
      <c r="I1204" s="32">
        <f>IF($A1204="","",IFERROR(INDEX(OSStatus,MATCH($A1204,OSNum,0)),"OS inexistente"))</f>
        <v>0</v>
      </c>
      <c r="J1204" s="32">
        <f>IF($A1204="","",IF($I1204="OS inexistente","OS inexistente",IF($E1204="Peça não cadastrada","Peça não cadastrada","OK")))</f>
        <v>0</v>
      </c>
    </row>
    <row r="1205" spans="1:10">
      <c r="A1205" s="17"/>
      <c r="B1205" s="13"/>
      <c r="C1205" s="20"/>
      <c r="D1205" s="19"/>
      <c r="E1205" s="26">
        <f>IF($B1205="","",IFERROR(INDEX(PecDesc,MATCH($B1205,PecCod,0)),"Peça não cadastrada"))</f>
        <v>0</v>
      </c>
      <c r="F1205" s="27">
        <f>IF($B1205="","",IF($D1205&lt;&gt;"",$D1205,IFERROR(INDEX(PecPreco,MATCH($B1205,PecCod,0)),0)))</f>
        <v>0</v>
      </c>
      <c r="G1205" s="27">
        <f>IF(OR($B1205="",$C1205=""),"",$C1205*$F1205)</f>
        <v>0</v>
      </c>
      <c r="H1205" s="27">
        <f>IF(OR($B1205="",$C1205=""),"",$C1205*IFERROR(INDEX(PecCusto,MATCH($B1205,PecCod,0)),0))</f>
        <v>0</v>
      </c>
      <c r="I1205" s="32">
        <f>IF($A1205="","",IFERROR(INDEX(OSStatus,MATCH($A1205,OSNum,0)),"OS inexistente"))</f>
        <v>0</v>
      </c>
      <c r="J1205" s="32">
        <f>IF($A1205="","",IF($I1205="OS inexistente","OS inexistente",IF($E1205="Peça não cadastrada","Peça não cadastrada","OK")))</f>
        <v>0</v>
      </c>
    </row>
    <row r="1206" spans="1:10">
      <c r="A1206" s="17"/>
      <c r="B1206" s="13"/>
      <c r="C1206" s="20"/>
      <c r="D1206" s="19"/>
      <c r="E1206" s="26">
        <f>IF($B1206="","",IFERROR(INDEX(PecDesc,MATCH($B1206,PecCod,0)),"Peça não cadastrada"))</f>
        <v>0</v>
      </c>
      <c r="F1206" s="27">
        <f>IF($B1206="","",IF($D1206&lt;&gt;"",$D1206,IFERROR(INDEX(PecPreco,MATCH($B1206,PecCod,0)),0)))</f>
        <v>0</v>
      </c>
      <c r="G1206" s="27">
        <f>IF(OR($B1206="",$C1206=""),"",$C1206*$F1206)</f>
        <v>0</v>
      </c>
      <c r="H1206" s="27">
        <f>IF(OR($B1206="",$C1206=""),"",$C1206*IFERROR(INDEX(PecCusto,MATCH($B1206,PecCod,0)),0))</f>
        <v>0</v>
      </c>
      <c r="I1206" s="32">
        <f>IF($A1206="","",IFERROR(INDEX(OSStatus,MATCH($A1206,OSNum,0)),"OS inexistente"))</f>
        <v>0</v>
      </c>
      <c r="J1206" s="32">
        <f>IF($A1206="","",IF($I1206="OS inexistente","OS inexistente",IF($E1206="Peça não cadastrada","Peça não cadastrada","OK")))</f>
        <v>0</v>
      </c>
    </row>
    <row r="1207" spans="1:10">
      <c r="A1207" s="17"/>
      <c r="B1207" s="13"/>
      <c r="C1207" s="20"/>
      <c r="D1207" s="19"/>
      <c r="E1207" s="26">
        <f>IF($B1207="","",IFERROR(INDEX(PecDesc,MATCH($B1207,PecCod,0)),"Peça não cadastrada"))</f>
        <v>0</v>
      </c>
      <c r="F1207" s="27">
        <f>IF($B1207="","",IF($D1207&lt;&gt;"",$D1207,IFERROR(INDEX(PecPreco,MATCH($B1207,PecCod,0)),0)))</f>
        <v>0</v>
      </c>
      <c r="G1207" s="27">
        <f>IF(OR($B1207="",$C1207=""),"",$C1207*$F1207)</f>
        <v>0</v>
      </c>
      <c r="H1207" s="27">
        <f>IF(OR($B1207="",$C1207=""),"",$C1207*IFERROR(INDEX(PecCusto,MATCH($B1207,PecCod,0)),0))</f>
        <v>0</v>
      </c>
      <c r="I1207" s="32">
        <f>IF($A1207="","",IFERROR(INDEX(OSStatus,MATCH($A1207,OSNum,0)),"OS inexistente"))</f>
        <v>0</v>
      </c>
      <c r="J1207" s="32">
        <f>IF($A1207="","",IF($I1207="OS inexistente","OS inexistente",IF($E1207="Peça não cadastrada","Peça não cadastrada","OK")))</f>
        <v>0</v>
      </c>
    </row>
    <row r="1208" spans="1:10">
      <c r="A1208" s="17"/>
      <c r="B1208" s="13"/>
      <c r="C1208" s="20"/>
      <c r="D1208" s="19"/>
      <c r="E1208" s="26">
        <f>IF($B1208="","",IFERROR(INDEX(PecDesc,MATCH($B1208,PecCod,0)),"Peça não cadastrada"))</f>
        <v>0</v>
      </c>
      <c r="F1208" s="27">
        <f>IF($B1208="","",IF($D1208&lt;&gt;"",$D1208,IFERROR(INDEX(PecPreco,MATCH($B1208,PecCod,0)),0)))</f>
        <v>0</v>
      </c>
      <c r="G1208" s="27">
        <f>IF(OR($B1208="",$C1208=""),"",$C1208*$F1208)</f>
        <v>0</v>
      </c>
      <c r="H1208" s="27">
        <f>IF(OR($B1208="",$C1208=""),"",$C1208*IFERROR(INDEX(PecCusto,MATCH($B1208,PecCod,0)),0))</f>
        <v>0</v>
      </c>
      <c r="I1208" s="32">
        <f>IF($A1208="","",IFERROR(INDEX(OSStatus,MATCH($A1208,OSNum,0)),"OS inexistente"))</f>
        <v>0</v>
      </c>
      <c r="J1208" s="32">
        <f>IF($A1208="","",IF($I1208="OS inexistente","OS inexistente",IF($E1208="Peça não cadastrada","Peça não cadastrada","OK")))</f>
        <v>0</v>
      </c>
    </row>
    <row r="1209" spans="1:10">
      <c r="A1209" s="17"/>
      <c r="B1209" s="13"/>
      <c r="C1209" s="20"/>
      <c r="D1209" s="19"/>
      <c r="E1209" s="26">
        <f>IF($B1209="","",IFERROR(INDEX(PecDesc,MATCH($B1209,PecCod,0)),"Peça não cadastrada"))</f>
        <v>0</v>
      </c>
      <c r="F1209" s="27">
        <f>IF($B1209="","",IF($D1209&lt;&gt;"",$D1209,IFERROR(INDEX(PecPreco,MATCH($B1209,PecCod,0)),0)))</f>
        <v>0</v>
      </c>
      <c r="G1209" s="27">
        <f>IF(OR($B1209="",$C1209=""),"",$C1209*$F1209)</f>
        <v>0</v>
      </c>
      <c r="H1209" s="27">
        <f>IF(OR($B1209="",$C1209=""),"",$C1209*IFERROR(INDEX(PecCusto,MATCH($B1209,PecCod,0)),0))</f>
        <v>0</v>
      </c>
      <c r="I1209" s="32">
        <f>IF($A1209="","",IFERROR(INDEX(OSStatus,MATCH($A1209,OSNum,0)),"OS inexistente"))</f>
        <v>0</v>
      </c>
      <c r="J1209" s="32">
        <f>IF($A1209="","",IF($I1209="OS inexistente","OS inexistente",IF($E1209="Peça não cadastrada","Peça não cadastrada","OK")))</f>
        <v>0</v>
      </c>
    </row>
    <row r="1210" spans="1:10">
      <c r="A1210" s="17"/>
      <c r="B1210" s="13"/>
      <c r="C1210" s="20"/>
      <c r="D1210" s="19"/>
      <c r="E1210" s="26">
        <f>IF($B1210="","",IFERROR(INDEX(PecDesc,MATCH($B1210,PecCod,0)),"Peça não cadastrada"))</f>
        <v>0</v>
      </c>
      <c r="F1210" s="27">
        <f>IF($B1210="","",IF($D1210&lt;&gt;"",$D1210,IFERROR(INDEX(PecPreco,MATCH($B1210,PecCod,0)),0)))</f>
        <v>0</v>
      </c>
      <c r="G1210" s="27">
        <f>IF(OR($B1210="",$C1210=""),"",$C1210*$F1210)</f>
        <v>0</v>
      </c>
      <c r="H1210" s="27">
        <f>IF(OR($B1210="",$C1210=""),"",$C1210*IFERROR(INDEX(PecCusto,MATCH($B1210,PecCod,0)),0))</f>
        <v>0</v>
      </c>
      <c r="I1210" s="32">
        <f>IF($A1210="","",IFERROR(INDEX(OSStatus,MATCH($A1210,OSNum,0)),"OS inexistente"))</f>
        <v>0</v>
      </c>
      <c r="J1210" s="32">
        <f>IF($A1210="","",IF($I1210="OS inexistente","OS inexistente",IF($E1210="Peça não cadastrada","Peça não cadastrada","OK")))</f>
        <v>0</v>
      </c>
    </row>
    <row r="1211" spans="1:10">
      <c r="A1211" s="17"/>
      <c r="B1211" s="13"/>
      <c r="C1211" s="20"/>
      <c r="D1211" s="19"/>
      <c r="E1211" s="26">
        <f>IF($B1211="","",IFERROR(INDEX(PecDesc,MATCH($B1211,PecCod,0)),"Peça não cadastrada"))</f>
        <v>0</v>
      </c>
      <c r="F1211" s="27">
        <f>IF($B1211="","",IF($D1211&lt;&gt;"",$D1211,IFERROR(INDEX(PecPreco,MATCH($B1211,PecCod,0)),0)))</f>
        <v>0</v>
      </c>
      <c r="G1211" s="27">
        <f>IF(OR($B1211="",$C1211=""),"",$C1211*$F1211)</f>
        <v>0</v>
      </c>
      <c r="H1211" s="27">
        <f>IF(OR($B1211="",$C1211=""),"",$C1211*IFERROR(INDEX(PecCusto,MATCH($B1211,PecCod,0)),0))</f>
        <v>0</v>
      </c>
      <c r="I1211" s="32">
        <f>IF($A1211="","",IFERROR(INDEX(OSStatus,MATCH($A1211,OSNum,0)),"OS inexistente"))</f>
        <v>0</v>
      </c>
      <c r="J1211" s="32">
        <f>IF($A1211="","",IF($I1211="OS inexistente","OS inexistente",IF($E1211="Peça não cadastrada","Peça não cadastrada","OK")))</f>
        <v>0</v>
      </c>
    </row>
    <row r="1212" spans="1:10">
      <c r="A1212" s="17"/>
      <c r="B1212" s="13"/>
      <c r="C1212" s="20"/>
      <c r="D1212" s="19"/>
      <c r="E1212" s="26">
        <f>IF($B1212="","",IFERROR(INDEX(PecDesc,MATCH($B1212,PecCod,0)),"Peça não cadastrada"))</f>
        <v>0</v>
      </c>
      <c r="F1212" s="27">
        <f>IF($B1212="","",IF($D1212&lt;&gt;"",$D1212,IFERROR(INDEX(PecPreco,MATCH($B1212,PecCod,0)),0)))</f>
        <v>0</v>
      </c>
      <c r="G1212" s="27">
        <f>IF(OR($B1212="",$C1212=""),"",$C1212*$F1212)</f>
        <v>0</v>
      </c>
      <c r="H1212" s="27">
        <f>IF(OR($B1212="",$C1212=""),"",$C1212*IFERROR(INDEX(PecCusto,MATCH($B1212,PecCod,0)),0))</f>
        <v>0</v>
      </c>
      <c r="I1212" s="32">
        <f>IF($A1212="","",IFERROR(INDEX(OSStatus,MATCH($A1212,OSNum,0)),"OS inexistente"))</f>
        <v>0</v>
      </c>
      <c r="J1212" s="32">
        <f>IF($A1212="","",IF($I1212="OS inexistente","OS inexistente",IF($E1212="Peça não cadastrada","Peça não cadastrada","OK")))</f>
        <v>0</v>
      </c>
    </row>
    <row r="1213" spans="1:10">
      <c r="A1213" s="17"/>
      <c r="B1213" s="13"/>
      <c r="C1213" s="20"/>
      <c r="D1213" s="19"/>
      <c r="E1213" s="26">
        <f>IF($B1213="","",IFERROR(INDEX(PecDesc,MATCH($B1213,PecCod,0)),"Peça não cadastrada"))</f>
        <v>0</v>
      </c>
      <c r="F1213" s="27">
        <f>IF($B1213="","",IF($D1213&lt;&gt;"",$D1213,IFERROR(INDEX(PecPreco,MATCH($B1213,PecCod,0)),0)))</f>
        <v>0</v>
      </c>
      <c r="G1213" s="27">
        <f>IF(OR($B1213="",$C1213=""),"",$C1213*$F1213)</f>
        <v>0</v>
      </c>
      <c r="H1213" s="27">
        <f>IF(OR($B1213="",$C1213=""),"",$C1213*IFERROR(INDEX(PecCusto,MATCH($B1213,PecCod,0)),0))</f>
        <v>0</v>
      </c>
      <c r="I1213" s="32">
        <f>IF($A1213="","",IFERROR(INDEX(OSStatus,MATCH($A1213,OSNum,0)),"OS inexistente"))</f>
        <v>0</v>
      </c>
      <c r="J1213" s="32">
        <f>IF($A1213="","",IF($I1213="OS inexistente","OS inexistente",IF($E1213="Peça não cadastrada","Peça não cadastrada","OK")))</f>
        <v>0</v>
      </c>
    </row>
    <row r="1214" spans="1:10">
      <c r="A1214" s="17"/>
      <c r="B1214" s="13"/>
      <c r="C1214" s="20"/>
      <c r="D1214" s="19"/>
      <c r="E1214" s="26">
        <f>IF($B1214="","",IFERROR(INDEX(PecDesc,MATCH($B1214,PecCod,0)),"Peça não cadastrada"))</f>
        <v>0</v>
      </c>
      <c r="F1214" s="27">
        <f>IF($B1214="","",IF($D1214&lt;&gt;"",$D1214,IFERROR(INDEX(PecPreco,MATCH($B1214,PecCod,0)),0)))</f>
        <v>0</v>
      </c>
      <c r="G1214" s="27">
        <f>IF(OR($B1214="",$C1214=""),"",$C1214*$F1214)</f>
        <v>0</v>
      </c>
      <c r="H1214" s="27">
        <f>IF(OR($B1214="",$C1214=""),"",$C1214*IFERROR(INDEX(PecCusto,MATCH($B1214,PecCod,0)),0))</f>
        <v>0</v>
      </c>
      <c r="I1214" s="32">
        <f>IF($A1214="","",IFERROR(INDEX(OSStatus,MATCH($A1214,OSNum,0)),"OS inexistente"))</f>
        <v>0</v>
      </c>
      <c r="J1214" s="32">
        <f>IF($A1214="","",IF($I1214="OS inexistente","OS inexistente",IF($E1214="Peça não cadastrada","Peça não cadastrada","OK")))</f>
        <v>0</v>
      </c>
    </row>
    <row r="1215" spans="1:10">
      <c r="A1215" s="17"/>
      <c r="B1215" s="13"/>
      <c r="C1215" s="20"/>
      <c r="D1215" s="19"/>
      <c r="E1215" s="26">
        <f>IF($B1215="","",IFERROR(INDEX(PecDesc,MATCH($B1215,PecCod,0)),"Peça não cadastrada"))</f>
        <v>0</v>
      </c>
      <c r="F1215" s="27">
        <f>IF($B1215="","",IF($D1215&lt;&gt;"",$D1215,IFERROR(INDEX(PecPreco,MATCH($B1215,PecCod,0)),0)))</f>
        <v>0</v>
      </c>
      <c r="G1215" s="27">
        <f>IF(OR($B1215="",$C1215=""),"",$C1215*$F1215)</f>
        <v>0</v>
      </c>
      <c r="H1215" s="27">
        <f>IF(OR($B1215="",$C1215=""),"",$C1215*IFERROR(INDEX(PecCusto,MATCH($B1215,PecCod,0)),0))</f>
        <v>0</v>
      </c>
      <c r="I1215" s="32">
        <f>IF($A1215="","",IFERROR(INDEX(OSStatus,MATCH($A1215,OSNum,0)),"OS inexistente"))</f>
        <v>0</v>
      </c>
      <c r="J1215" s="32">
        <f>IF($A1215="","",IF($I1215="OS inexistente","OS inexistente",IF($E1215="Peça não cadastrada","Peça não cadastrada","OK")))</f>
        <v>0</v>
      </c>
    </row>
    <row r="1216" spans="1:10">
      <c r="A1216" s="17"/>
      <c r="B1216" s="13"/>
      <c r="C1216" s="20"/>
      <c r="D1216" s="19"/>
      <c r="E1216" s="26">
        <f>IF($B1216="","",IFERROR(INDEX(PecDesc,MATCH($B1216,PecCod,0)),"Peça não cadastrada"))</f>
        <v>0</v>
      </c>
      <c r="F1216" s="27">
        <f>IF($B1216="","",IF($D1216&lt;&gt;"",$D1216,IFERROR(INDEX(PecPreco,MATCH($B1216,PecCod,0)),0)))</f>
        <v>0</v>
      </c>
      <c r="G1216" s="27">
        <f>IF(OR($B1216="",$C1216=""),"",$C1216*$F1216)</f>
        <v>0</v>
      </c>
      <c r="H1216" s="27">
        <f>IF(OR($B1216="",$C1216=""),"",$C1216*IFERROR(INDEX(PecCusto,MATCH($B1216,PecCod,0)),0))</f>
        <v>0</v>
      </c>
      <c r="I1216" s="32">
        <f>IF($A1216="","",IFERROR(INDEX(OSStatus,MATCH($A1216,OSNum,0)),"OS inexistente"))</f>
        <v>0</v>
      </c>
      <c r="J1216" s="32">
        <f>IF($A1216="","",IF($I1216="OS inexistente","OS inexistente",IF($E1216="Peça não cadastrada","Peça não cadastrada","OK")))</f>
        <v>0</v>
      </c>
    </row>
    <row r="1217" spans="1:10">
      <c r="A1217" s="17"/>
      <c r="B1217" s="13"/>
      <c r="C1217" s="20"/>
      <c r="D1217" s="19"/>
      <c r="E1217" s="26">
        <f>IF($B1217="","",IFERROR(INDEX(PecDesc,MATCH($B1217,PecCod,0)),"Peça não cadastrada"))</f>
        <v>0</v>
      </c>
      <c r="F1217" s="27">
        <f>IF($B1217="","",IF($D1217&lt;&gt;"",$D1217,IFERROR(INDEX(PecPreco,MATCH($B1217,PecCod,0)),0)))</f>
        <v>0</v>
      </c>
      <c r="G1217" s="27">
        <f>IF(OR($B1217="",$C1217=""),"",$C1217*$F1217)</f>
        <v>0</v>
      </c>
      <c r="H1217" s="27">
        <f>IF(OR($B1217="",$C1217=""),"",$C1217*IFERROR(INDEX(PecCusto,MATCH($B1217,PecCod,0)),0))</f>
        <v>0</v>
      </c>
      <c r="I1217" s="32">
        <f>IF($A1217="","",IFERROR(INDEX(OSStatus,MATCH($A1217,OSNum,0)),"OS inexistente"))</f>
        <v>0</v>
      </c>
      <c r="J1217" s="32">
        <f>IF($A1217="","",IF($I1217="OS inexistente","OS inexistente",IF($E1217="Peça não cadastrada","Peça não cadastrada","OK")))</f>
        <v>0</v>
      </c>
    </row>
    <row r="1218" spans="1:10">
      <c r="A1218" s="17"/>
      <c r="B1218" s="13"/>
      <c r="C1218" s="20"/>
      <c r="D1218" s="19"/>
      <c r="E1218" s="26">
        <f>IF($B1218="","",IFERROR(INDEX(PecDesc,MATCH($B1218,PecCod,0)),"Peça não cadastrada"))</f>
        <v>0</v>
      </c>
      <c r="F1218" s="27">
        <f>IF($B1218="","",IF($D1218&lt;&gt;"",$D1218,IFERROR(INDEX(PecPreco,MATCH($B1218,PecCod,0)),0)))</f>
        <v>0</v>
      </c>
      <c r="G1218" s="27">
        <f>IF(OR($B1218="",$C1218=""),"",$C1218*$F1218)</f>
        <v>0</v>
      </c>
      <c r="H1218" s="27">
        <f>IF(OR($B1218="",$C1218=""),"",$C1218*IFERROR(INDEX(PecCusto,MATCH($B1218,PecCod,0)),0))</f>
        <v>0</v>
      </c>
      <c r="I1218" s="32">
        <f>IF($A1218="","",IFERROR(INDEX(OSStatus,MATCH($A1218,OSNum,0)),"OS inexistente"))</f>
        <v>0</v>
      </c>
      <c r="J1218" s="32">
        <f>IF($A1218="","",IF($I1218="OS inexistente","OS inexistente",IF($E1218="Peça não cadastrada","Peça não cadastrada","OK")))</f>
        <v>0</v>
      </c>
    </row>
    <row r="1219" spans="1:10">
      <c r="A1219" s="17"/>
      <c r="B1219" s="13"/>
      <c r="C1219" s="20"/>
      <c r="D1219" s="19"/>
      <c r="E1219" s="26">
        <f>IF($B1219="","",IFERROR(INDEX(PecDesc,MATCH($B1219,PecCod,0)),"Peça não cadastrada"))</f>
        <v>0</v>
      </c>
      <c r="F1219" s="27">
        <f>IF($B1219="","",IF($D1219&lt;&gt;"",$D1219,IFERROR(INDEX(PecPreco,MATCH($B1219,PecCod,0)),0)))</f>
        <v>0</v>
      </c>
      <c r="G1219" s="27">
        <f>IF(OR($B1219="",$C1219=""),"",$C1219*$F1219)</f>
        <v>0</v>
      </c>
      <c r="H1219" s="27">
        <f>IF(OR($B1219="",$C1219=""),"",$C1219*IFERROR(INDEX(PecCusto,MATCH($B1219,PecCod,0)),0))</f>
        <v>0</v>
      </c>
      <c r="I1219" s="32">
        <f>IF($A1219="","",IFERROR(INDEX(OSStatus,MATCH($A1219,OSNum,0)),"OS inexistente"))</f>
        <v>0</v>
      </c>
      <c r="J1219" s="32">
        <f>IF($A1219="","",IF($I1219="OS inexistente","OS inexistente",IF($E1219="Peça não cadastrada","Peça não cadastrada","OK")))</f>
        <v>0</v>
      </c>
    </row>
    <row r="1220" spans="1:10">
      <c r="A1220" s="17"/>
      <c r="B1220" s="13"/>
      <c r="C1220" s="20"/>
      <c r="D1220" s="19"/>
      <c r="E1220" s="26">
        <f>IF($B1220="","",IFERROR(INDEX(PecDesc,MATCH($B1220,PecCod,0)),"Peça não cadastrada"))</f>
        <v>0</v>
      </c>
      <c r="F1220" s="27">
        <f>IF($B1220="","",IF($D1220&lt;&gt;"",$D1220,IFERROR(INDEX(PecPreco,MATCH($B1220,PecCod,0)),0)))</f>
        <v>0</v>
      </c>
      <c r="G1220" s="27">
        <f>IF(OR($B1220="",$C1220=""),"",$C1220*$F1220)</f>
        <v>0</v>
      </c>
      <c r="H1220" s="27">
        <f>IF(OR($B1220="",$C1220=""),"",$C1220*IFERROR(INDEX(PecCusto,MATCH($B1220,PecCod,0)),0))</f>
        <v>0</v>
      </c>
      <c r="I1220" s="32">
        <f>IF($A1220="","",IFERROR(INDEX(OSStatus,MATCH($A1220,OSNum,0)),"OS inexistente"))</f>
        <v>0</v>
      </c>
      <c r="J1220" s="32">
        <f>IF($A1220="","",IF($I1220="OS inexistente","OS inexistente",IF($E1220="Peça não cadastrada","Peça não cadastrada","OK")))</f>
        <v>0</v>
      </c>
    </row>
    <row r="1221" spans="1:10">
      <c r="A1221" s="17"/>
      <c r="B1221" s="13"/>
      <c r="C1221" s="20"/>
      <c r="D1221" s="19"/>
      <c r="E1221" s="26">
        <f>IF($B1221="","",IFERROR(INDEX(PecDesc,MATCH($B1221,PecCod,0)),"Peça não cadastrada"))</f>
        <v>0</v>
      </c>
      <c r="F1221" s="27">
        <f>IF($B1221="","",IF($D1221&lt;&gt;"",$D1221,IFERROR(INDEX(PecPreco,MATCH($B1221,PecCod,0)),0)))</f>
        <v>0</v>
      </c>
      <c r="G1221" s="27">
        <f>IF(OR($B1221="",$C1221=""),"",$C1221*$F1221)</f>
        <v>0</v>
      </c>
      <c r="H1221" s="27">
        <f>IF(OR($B1221="",$C1221=""),"",$C1221*IFERROR(INDEX(PecCusto,MATCH($B1221,PecCod,0)),0))</f>
        <v>0</v>
      </c>
      <c r="I1221" s="32">
        <f>IF($A1221="","",IFERROR(INDEX(OSStatus,MATCH($A1221,OSNum,0)),"OS inexistente"))</f>
        <v>0</v>
      </c>
      <c r="J1221" s="32">
        <f>IF($A1221="","",IF($I1221="OS inexistente","OS inexistente",IF($E1221="Peça não cadastrada","Peça não cadastrada","OK")))</f>
        <v>0</v>
      </c>
    </row>
    <row r="1222" spans="1:10">
      <c r="A1222" s="17"/>
      <c r="B1222" s="13"/>
      <c r="C1222" s="20"/>
      <c r="D1222" s="19"/>
      <c r="E1222" s="26">
        <f>IF($B1222="","",IFERROR(INDEX(PecDesc,MATCH($B1222,PecCod,0)),"Peça não cadastrada"))</f>
        <v>0</v>
      </c>
      <c r="F1222" s="27">
        <f>IF($B1222="","",IF($D1222&lt;&gt;"",$D1222,IFERROR(INDEX(PecPreco,MATCH($B1222,PecCod,0)),0)))</f>
        <v>0</v>
      </c>
      <c r="G1222" s="27">
        <f>IF(OR($B1222="",$C1222=""),"",$C1222*$F1222)</f>
        <v>0</v>
      </c>
      <c r="H1222" s="27">
        <f>IF(OR($B1222="",$C1222=""),"",$C1222*IFERROR(INDEX(PecCusto,MATCH($B1222,PecCod,0)),0))</f>
        <v>0</v>
      </c>
      <c r="I1222" s="32">
        <f>IF($A1222="","",IFERROR(INDEX(OSStatus,MATCH($A1222,OSNum,0)),"OS inexistente"))</f>
        <v>0</v>
      </c>
      <c r="J1222" s="32">
        <f>IF($A1222="","",IF($I1222="OS inexistente","OS inexistente",IF($E1222="Peça não cadastrada","Peça não cadastrada","OK")))</f>
        <v>0</v>
      </c>
    </row>
    <row r="1223" spans="1:10">
      <c r="A1223" s="17"/>
      <c r="B1223" s="13"/>
      <c r="C1223" s="20"/>
      <c r="D1223" s="19"/>
      <c r="E1223" s="26">
        <f>IF($B1223="","",IFERROR(INDEX(PecDesc,MATCH($B1223,PecCod,0)),"Peça não cadastrada"))</f>
        <v>0</v>
      </c>
      <c r="F1223" s="27">
        <f>IF($B1223="","",IF($D1223&lt;&gt;"",$D1223,IFERROR(INDEX(PecPreco,MATCH($B1223,PecCod,0)),0)))</f>
        <v>0</v>
      </c>
      <c r="G1223" s="27">
        <f>IF(OR($B1223="",$C1223=""),"",$C1223*$F1223)</f>
        <v>0</v>
      </c>
      <c r="H1223" s="27">
        <f>IF(OR($B1223="",$C1223=""),"",$C1223*IFERROR(INDEX(PecCusto,MATCH($B1223,PecCod,0)),0))</f>
        <v>0</v>
      </c>
      <c r="I1223" s="32">
        <f>IF($A1223="","",IFERROR(INDEX(OSStatus,MATCH($A1223,OSNum,0)),"OS inexistente"))</f>
        <v>0</v>
      </c>
      <c r="J1223" s="32">
        <f>IF($A1223="","",IF($I1223="OS inexistente","OS inexistente",IF($E1223="Peça não cadastrada","Peça não cadastrada","OK")))</f>
        <v>0</v>
      </c>
    </row>
    <row r="1224" spans="1:10">
      <c r="A1224" s="17"/>
      <c r="B1224" s="13"/>
      <c r="C1224" s="20"/>
      <c r="D1224" s="19"/>
      <c r="E1224" s="26">
        <f>IF($B1224="","",IFERROR(INDEX(PecDesc,MATCH($B1224,PecCod,0)),"Peça não cadastrada"))</f>
        <v>0</v>
      </c>
      <c r="F1224" s="27">
        <f>IF($B1224="","",IF($D1224&lt;&gt;"",$D1224,IFERROR(INDEX(PecPreco,MATCH($B1224,PecCod,0)),0)))</f>
        <v>0</v>
      </c>
      <c r="G1224" s="27">
        <f>IF(OR($B1224="",$C1224=""),"",$C1224*$F1224)</f>
        <v>0</v>
      </c>
      <c r="H1224" s="27">
        <f>IF(OR($B1224="",$C1224=""),"",$C1224*IFERROR(INDEX(PecCusto,MATCH($B1224,PecCod,0)),0))</f>
        <v>0</v>
      </c>
      <c r="I1224" s="32">
        <f>IF($A1224="","",IFERROR(INDEX(OSStatus,MATCH($A1224,OSNum,0)),"OS inexistente"))</f>
        <v>0</v>
      </c>
      <c r="J1224" s="32">
        <f>IF($A1224="","",IF($I1224="OS inexistente","OS inexistente",IF($E1224="Peça não cadastrada","Peça não cadastrada","OK")))</f>
        <v>0</v>
      </c>
    </row>
    <row r="1225" spans="1:10">
      <c r="A1225" s="17"/>
      <c r="B1225" s="13"/>
      <c r="C1225" s="20"/>
      <c r="D1225" s="19"/>
      <c r="E1225" s="26">
        <f>IF($B1225="","",IFERROR(INDEX(PecDesc,MATCH($B1225,PecCod,0)),"Peça não cadastrada"))</f>
        <v>0</v>
      </c>
      <c r="F1225" s="27">
        <f>IF($B1225="","",IF($D1225&lt;&gt;"",$D1225,IFERROR(INDEX(PecPreco,MATCH($B1225,PecCod,0)),0)))</f>
        <v>0</v>
      </c>
      <c r="G1225" s="27">
        <f>IF(OR($B1225="",$C1225=""),"",$C1225*$F1225)</f>
        <v>0</v>
      </c>
      <c r="H1225" s="27">
        <f>IF(OR($B1225="",$C1225=""),"",$C1225*IFERROR(INDEX(PecCusto,MATCH($B1225,PecCod,0)),0))</f>
        <v>0</v>
      </c>
      <c r="I1225" s="32">
        <f>IF($A1225="","",IFERROR(INDEX(OSStatus,MATCH($A1225,OSNum,0)),"OS inexistente"))</f>
        <v>0</v>
      </c>
      <c r="J1225" s="32">
        <f>IF($A1225="","",IF($I1225="OS inexistente","OS inexistente",IF($E1225="Peça não cadastrada","Peça não cadastrada","OK")))</f>
        <v>0</v>
      </c>
    </row>
    <row r="1226" spans="1:10">
      <c r="A1226" s="17"/>
      <c r="B1226" s="13"/>
      <c r="C1226" s="20"/>
      <c r="D1226" s="19"/>
      <c r="E1226" s="26">
        <f>IF($B1226="","",IFERROR(INDEX(PecDesc,MATCH($B1226,PecCod,0)),"Peça não cadastrada"))</f>
        <v>0</v>
      </c>
      <c r="F1226" s="27">
        <f>IF($B1226="","",IF($D1226&lt;&gt;"",$D1226,IFERROR(INDEX(PecPreco,MATCH($B1226,PecCod,0)),0)))</f>
        <v>0</v>
      </c>
      <c r="G1226" s="27">
        <f>IF(OR($B1226="",$C1226=""),"",$C1226*$F1226)</f>
        <v>0</v>
      </c>
      <c r="H1226" s="27">
        <f>IF(OR($B1226="",$C1226=""),"",$C1226*IFERROR(INDEX(PecCusto,MATCH($B1226,PecCod,0)),0))</f>
        <v>0</v>
      </c>
      <c r="I1226" s="32">
        <f>IF($A1226="","",IFERROR(INDEX(OSStatus,MATCH($A1226,OSNum,0)),"OS inexistente"))</f>
        <v>0</v>
      </c>
      <c r="J1226" s="32">
        <f>IF($A1226="","",IF($I1226="OS inexistente","OS inexistente",IF($E1226="Peça não cadastrada","Peça não cadastrada","OK")))</f>
        <v>0</v>
      </c>
    </row>
    <row r="1227" spans="1:10">
      <c r="A1227" s="17"/>
      <c r="B1227" s="13"/>
      <c r="C1227" s="20"/>
      <c r="D1227" s="19"/>
      <c r="E1227" s="26">
        <f>IF($B1227="","",IFERROR(INDEX(PecDesc,MATCH($B1227,PecCod,0)),"Peça não cadastrada"))</f>
        <v>0</v>
      </c>
      <c r="F1227" s="27">
        <f>IF($B1227="","",IF($D1227&lt;&gt;"",$D1227,IFERROR(INDEX(PecPreco,MATCH($B1227,PecCod,0)),0)))</f>
        <v>0</v>
      </c>
      <c r="G1227" s="27">
        <f>IF(OR($B1227="",$C1227=""),"",$C1227*$F1227)</f>
        <v>0</v>
      </c>
      <c r="H1227" s="27">
        <f>IF(OR($B1227="",$C1227=""),"",$C1227*IFERROR(INDEX(PecCusto,MATCH($B1227,PecCod,0)),0))</f>
        <v>0</v>
      </c>
      <c r="I1227" s="32">
        <f>IF($A1227="","",IFERROR(INDEX(OSStatus,MATCH($A1227,OSNum,0)),"OS inexistente"))</f>
        <v>0</v>
      </c>
      <c r="J1227" s="32">
        <f>IF($A1227="","",IF($I1227="OS inexistente","OS inexistente",IF($E1227="Peça não cadastrada","Peça não cadastrada","OK")))</f>
        <v>0</v>
      </c>
    </row>
    <row r="1228" spans="1:10">
      <c r="A1228" s="17"/>
      <c r="B1228" s="13"/>
      <c r="C1228" s="20"/>
      <c r="D1228" s="19"/>
      <c r="E1228" s="26">
        <f>IF($B1228="","",IFERROR(INDEX(PecDesc,MATCH($B1228,PecCod,0)),"Peça não cadastrada"))</f>
        <v>0</v>
      </c>
      <c r="F1228" s="27">
        <f>IF($B1228="","",IF($D1228&lt;&gt;"",$D1228,IFERROR(INDEX(PecPreco,MATCH($B1228,PecCod,0)),0)))</f>
        <v>0</v>
      </c>
      <c r="G1228" s="27">
        <f>IF(OR($B1228="",$C1228=""),"",$C1228*$F1228)</f>
        <v>0</v>
      </c>
      <c r="H1228" s="27">
        <f>IF(OR($B1228="",$C1228=""),"",$C1228*IFERROR(INDEX(PecCusto,MATCH($B1228,PecCod,0)),0))</f>
        <v>0</v>
      </c>
      <c r="I1228" s="32">
        <f>IF($A1228="","",IFERROR(INDEX(OSStatus,MATCH($A1228,OSNum,0)),"OS inexistente"))</f>
        <v>0</v>
      </c>
      <c r="J1228" s="32">
        <f>IF($A1228="","",IF($I1228="OS inexistente","OS inexistente",IF($E1228="Peça não cadastrada","Peça não cadastrada","OK")))</f>
        <v>0</v>
      </c>
    </row>
    <row r="1229" spans="1:10">
      <c r="A1229" s="17"/>
      <c r="B1229" s="13"/>
      <c r="C1229" s="20"/>
      <c r="D1229" s="19"/>
      <c r="E1229" s="26">
        <f>IF($B1229="","",IFERROR(INDEX(PecDesc,MATCH($B1229,PecCod,0)),"Peça não cadastrada"))</f>
        <v>0</v>
      </c>
      <c r="F1229" s="27">
        <f>IF($B1229="","",IF($D1229&lt;&gt;"",$D1229,IFERROR(INDEX(PecPreco,MATCH($B1229,PecCod,0)),0)))</f>
        <v>0</v>
      </c>
      <c r="G1229" s="27">
        <f>IF(OR($B1229="",$C1229=""),"",$C1229*$F1229)</f>
        <v>0</v>
      </c>
      <c r="H1229" s="27">
        <f>IF(OR($B1229="",$C1229=""),"",$C1229*IFERROR(INDEX(PecCusto,MATCH($B1229,PecCod,0)),0))</f>
        <v>0</v>
      </c>
      <c r="I1229" s="32">
        <f>IF($A1229="","",IFERROR(INDEX(OSStatus,MATCH($A1229,OSNum,0)),"OS inexistente"))</f>
        <v>0</v>
      </c>
      <c r="J1229" s="32">
        <f>IF($A1229="","",IF($I1229="OS inexistente","OS inexistente",IF($E1229="Peça não cadastrada","Peça não cadastrada","OK")))</f>
        <v>0</v>
      </c>
    </row>
    <row r="1230" spans="1:10">
      <c r="A1230" s="17"/>
      <c r="B1230" s="13"/>
      <c r="C1230" s="20"/>
      <c r="D1230" s="19"/>
      <c r="E1230" s="26">
        <f>IF($B1230="","",IFERROR(INDEX(PecDesc,MATCH($B1230,PecCod,0)),"Peça não cadastrada"))</f>
        <v>0</v>
      </c>
      <c r="F1230" s="27">
        <f>IF($B1230="","",IF($D1230&lt;&gt;"",$D1230,IFERROR(INDEX(PecPreco,MATCH($B1230,PecCod,0)),0)))</f>
        <v>0</v>
      </c>
      <c r="G1230" s="27">
        <f>IF(OR($B1230="",$C1230=""),"",$C1230*$F1230)</f>
        <v>0</v>
      </c>
      <c r="H1230" s="27">
        <f>IF(OR($B1230="",$C1230=""),"",$C1230*IFERROR(INDEX(PecCusto,MATCH($B1230,PecCod,0)),0))</f>
        <v>0</v>
      </c>
      <c r="I1230" s="32">
        <f>IF($A1230="","",IFERROR(INDEX(OSStatus,MATCH($A1230,OSNum,0)),"OS inexistente"))</f>
        <v>0</v>
      </c>
      <c r="J1230" s="32">
        <f>IF($A1230="","",IF($I1230="OS inexistente","OS inexistente",IF($E1230="Peça não cadastrada","Peça não cadastrada","OK")))</f>
        <v>0</v>
      </c>
    </row>
    <row r="1231" spans="1:10">
      <c r="A1231" s="17"/>
      <c r="B1231" s="13"/>
      <c r="C1231" s="20"/>
      <c r="D1231" s="19"/>
      <c r="E1231" s="26">
        <f>IF($B1231="","",IFERROR(INDEX(PecDesc,MATCH($B1231,PecCod,0)),"Peça não cadastrada"))</f>
        <v>0</v>
      </c>
      <c r="F1231" s="27">
        <f>IF($B1231="","",IF($D1231&lt;&gt;"",$D1231,IFERROR(INDEX(PecPreco,MATCH($B1231,PecCod,0)),0)))</f>
        <v>0</v>
      </c>
      <c r="G1231" s="27">
        <f>IF(OR($B1231="",$C1231=""),"",$C1231*$F1231)</f>
        <v>0</v>
      </c>
      <c r="H1231" s="27">
        <f>IF(OR($B1231="",$C1231=""),"",$C1231*IFERROR(INDEX(PecCusto,MATCH($B1231,PecCod,0)),0))</f>
        <v>0</v>
      </c>
      <c r="I1231" s="32">
        <f>IF($A1231="","",IFERROR(INDEX(OSStatus,MATCH($A1231,OSNum,0)),"OS inexistente"))</f>
        <v>0</v>
      </c>
      <c r="J1231" s="32">
        <f>IF($A1231="","",IF($I1231="OS inexistente","OS inexistente",IF($E1231="Peça não cadastrada","Peça não cadastrada","OK")))</f>
        <v>0</v>
      </c>
    </row>
    <row r="1232" spans="1:10">
      <c r="A1232" s="17"/>
      <c r="B1232" s="13"/>
      <c r="C1232" s="20"/>
      <c r="D1232" s="19"/>
      <c r="E1232" s="26">
        <f>IF($B1232="","",IFERROR(INDEX(PecDesc,MATCH($B1232,PecCod,0)),"Peça não cadastrada"))</f>
        <v>0</v>
      </c>
      <c r="F1232" s="27">
        <f>IF($B1232="","",IF($D1232&lt;&gt;"",$D1232,IFERROR(INDEX(PecPreco,MATCH($B1232,PecCod,0)),0)))</f>
        <v>0</v>
      </c>
      <c r="G1232" s="27">
        <f>IF(OR($B1232="",$C1232=""),"",$C1232*$F1232)</f>
        <v>0</v>
      </c>
      <c r="H1232" s="27">
        <f>IF(OR($B1232="",$C1232=""),"",$C1232*IFERROR(INDEX(PecCusto,MATCH($B1232,PecCod,0)),0))</f>
        <v>0</v>
      </c>
      <c r="I1232" s="32">
        <f>IF($A1232="","",IFERROR(INDEX(OSStatus,MATCH($A1232,OSNum,0)),"OS inexistente"))</f>
        <v>0</v>
      </c>
      <c r="J1232" s="32">
        <f>IF($A1232="","",IF($I1232="OS inexistente","OS inexistente",IF($E1232="Peça não cadastrada","Peça não cadastrada","OK")))</f>
        <v>0</v>
      </c>
    </row>
    <row r="1233" spans="1:10">
      <c r="A1233" s="17"/>
      <c r="B1233" s="13"/>
      <c r="C1233" s="20"/>
      <c r="D1233" s="19"/>
      <c r="E1233" s="26">
        <f>IF($B1233="","",IFERROR(INDEX(PecDesc,MATCH($B1233,PecCod,0)),"Peça não cadastrada"))</f>
        <v>0</v>
      </c>
      <c r="F1233" s="27">
        <f>IF($B1233="","",IF($D1233&lt;&gt;"",$D1233,IFERROR(INDEX(PecPreco,MATCH($B1233,PecCod,0)),0)))</f>
        <v>0</v>
      </c>
      <c r="G1233" s="27">
        <f>IF(OR($B1233="",$C1233=""),"",$C1233*$F1233)</f>
        <v>0</v>
      </c>
      <c r="H1233" s="27">
        <f>IF(OR($B1233="",$C1233=""),"",$C1233*IFERROR(INDEX(PecCusto,MATCH($B1233,PecCod,0)),0))</f>
        <v>0</v>
      </c>
      <c r="I1233" s="32">
        <f>IF($A1233="","",IFERROR(INDEX(OSStatus,MATCH($A1233,OSNum,0)),"OS inexistente"))</f>
        <v>0</v>
      </c>
      <c r="J1233" s="32">
        <f>IF($A1233="","",IF($I1233="OS inexistente","OS inexistente",IF($E1233="Peça não cadastrada","Peça não cadastrada","OK")))</f>
        <v>0</v>
      </c>
    </row>
    <row r="1234" spans="1:10">
      <c r="A1234" s="17"/>
      <c r="B1234" s="13"/>
      <c r="C1234" s="20"/>
      <c r="D1234" s="19"/>
      <c r="E1234" s="26">
        <f>IF($B1234="","",IFERROR(INDEX(PecDesc,MATCH($B1234,PecCod,0)),"Peça não cadastrada"))</f>
        <v>0</v>
      </c>
      <c r="F1234" s="27">
        <f>IF($B1234="","",IF($D1234&lt;&gt;"",$D1234,IFERROR(INDEX(PecPreco,MATCH($B1234,PecCod,0)),0)))</f>
        <v>0</v>
      </c>
      <c r="G1234" s="27">
        <f>IF(OR($B1234="",$C1234=""),"",$C1234*$F1234)</f>
        <v>0</v>
      </c>
      <c r="H1234" s="27">
        <f>IF(OR($B1234="",$C1234=""),"",$C1234*IFERROR(INDEX(PecCusto,MATCH($B1234,PecCod,0)),0))</f>
        <v>0</v>
      </c>
      <c r="I1234" s="32">
        <f>IF($A1234="","",IFERROR(INDEX(OSStatus,MATCH($A1234,OSNum,0)),"OS inexistente"))</f>
        <v>0</v>
      </c>
      <c r="J1234" s="32">
        <f>IF($A1234="","",IF($I1234="OS inexistente","OS inexistente",IF($E1234="Peça não cadastrada","Peça não cadastrada","OK")))</f>
        <v>0</v>
      </c>
    </row>
    <row r="1235" spans="1:10">
      <c r="A1235" s="17"/>
      <c r="B1235" s="13"/>
      <c r="C1235" s="20"/>
      <c r="D1235" s="19"/>
      <c r="E1235" s="26">
        <f>IF($B1235="","",IFERROR(INDEX(PecDesc,MATCH($B1235,PecCod,0)),"Peça não cadastrada"))</f>
        <v>0</v>
      </c>
      <c r="F1235" s="27">
        <f>IF($B1235="","",IF($D1235&lt;&gt;"",$D1235,IFERROR(INDEX(PecPreco,MATCH($B1235,PecCod,0)),0)))</f>
        <v>0</v>
      </c>
      <c r="G1235" s="27">
        <f>IF(OR($B1235="",$C1235=""),"",$C1235*$F1235)</f>
        <v>0</v>
      </c>
      <c r="H1235" s="27">
        <f>IF(OR($B1235="",$C1235=""),"",$C1235*IFERROR(INDEX(PecCusto,MATCH($B1235,PecCod,0)),0))</f>
        <v>0</v>
      </c>
      <c r="I1235" s="32">
        <f>IF($A1235="","",IFERROR(INDEX(OSStatus,MATCH($A1235,OSNum,0)),"OS inexistente"))</f>
        <v>0</v>
      </c>
      <c r="J1235" s="32">
        <f>IF($A1235="","",IF($I1235="OS inexistente","OS inexistente",IF($E1235="Peça não cadastrada","Peça não cadastrada","OK")))</f>
        <v>0</v>
      </c>
    </row>
    <row r="1236" spans="1:10">
      <c r="A1236" s="17"/>
      <c r="B1236" s="13"/>
      <c r="C1236" s="20"/>
      <c r="D1236" s="19"/>
      <c r="E1236" s="26">
        <f>IF($B1236="","",IFERROR(INDEX(PecDesc,MATCH($B1236,PecCod,0)),"Peça não cadastrada"))</f>
        <v>0</v>
      </c>
      <c r="F1236" s="27">
        <f>IF($B1236="","",IF($D1236&lt;&gt;"",$D1236,IFERROR(INDEX(PecPreco,MATCH($B1236,PecCod,0)),0)))</f>
        <v>0</v>
      </c>
      <c r="G1236" s="27">
        <f>IF(OR($B1236="",$C1236=""),"",$C1236*$F1236)</f>
        <v>0</v>
      </c>
      <c r="H1236" s="27">
        <f>IF(OR($B1236="",$C1236=""),"",$C1236*IFERROR(INDEX(PecCusto,MATCH($B1236,PecCod,0)),0))</f>
        <v>0</v>
      </c>
      <c r="I1236" s="32">
        <f>IF($A1236="","",IFERROR(INDEX(OSStatus,MATCH($A1236,OSNum,0)),"OS inexistente"))</f>
        <v>0</v>
      </c>
      <c r="J1236" s="32">
        <f>IF($A1236="","",IF($I1236="OS inexistente","OS inexistente",IF($E1236="Peça não cadastrada","Peça não cadastrada","OK")))</f>
        <v>0</v>
      </c>
    </row>
    <row r="1237" spans="1:10">
      <c r="A1237" s="17"/>
      <c r="B1237" s="13"/>
      <c r="C1237" s="20"/>
      <c r="D1237" s="19"/>
      <c r="E1237" s="26">
        <f>IF($B1237="","",IFERROR(INDEX(PecDesc,MATCH($B1237,PecCod,0)),"Peça não cadastrada"))</f>
        <v>0</v>
      </c>
      <c r="F1237" s="27">
        <f>IF($B1237="","",IF($D1237&lt;&gt;"",$D1237,IFERROR(INDEX(PecPreco,MATCH($B1237,PecCod,0)),0)))</f>
        <v>0</v>
      </c>
      <c r="G1237" s="27">
        <f>IF(OR($B1237="",$C1237=""),"",$C1237*$F1237)</f>
        <v>0</v>
      </c>
      <c r="H1237" s="27">
        <f>IF(OR($B1237="",$C1237=""),"",$C1237*IFERROR(INDEX(PecCusto,MATCH($B1237,PecCod,0)),0))</f>
        <v>0</v>
      </c>
      <c r="I1237" s="32">
        <f>IF($A1237="","",IFERROR(INDEX(OSStatus,MATCH($A1237,OSNum,0)),"OS inexistente"))</f>
        <v>0</v>
      </c>
      <c r="J1237" s="32">
        <f>IF($A1237="","",IF($I1237="OS inexistente","OS inexistente",IF($E1237="Peça não cadastrada","Peça não cadastrada","OK")))</f>
        <v>0</v>
      </c>
    </row>
    <row r="1238" spans="1:10">
      <c r="A1238" s="17"/>
      <c r="B1238" s="13"/>
      <c r="C1238" s="20"/>
      <c r="D1238" s="19"/>
      <c r="E1238" s="26">
        <f>IF($B1238="","",IFERROR(INDEX(PecDesc,MATCH($B1238,PecCod,0)),"Peça não cadastrada"))</f>
        <v>0</v>
      </c>
      <c r="F1238" s="27">
        <f>IF($B1238="","",IF($D1238&lt;&gt;"",$D1238,IFERROR(INDEX(PecPreco,MATCH($B1238,PecCod,0)),0)))</f>
        <v>0</v>
      </c>
      <c r="G1238" s="27">
        <f>IF(OR($B1238="",$C1238=""),"",$C1238*$F1238)</f>
        <v>0</v>
      </c>
      <c r="H1238" s="27">
        <f>IF(OR($B1238="",$C1238=""),"",$C1238*IFERROR(INDEX(PecCusto,MATCH($B1238,PecCod,0)),0))</f>
        <v>0</v>
      </c>
      <c r="I1238" s="32">
        <f>IF($A1238="","",IFERROR(INDEX(OSStatus,MATCH($A1238,OSNum,0)),"OS inexistente"))</f>
        <v>0</v>
      </c>
      <c r="J1238" s="32">
        <f>IF($A1238="","",IF($I1238="OS inexistente","OS inexistente",IF($E1238="Peça não cadastrada","Peça não cadastrada","OK")))</f>
        <v>0</v>
      </c>
    </row>
    <row r="1239" spans="1:10">
      <c r="A1239" s="17"/>
      <c r="B1239" s="13"/>
      <c r="C1239" s="20"/>
      <c r="D1239" s="19"/>
      <c r="E1239" s="26">
        <f>IF($B1239="","",IFERROR(INDEX(PecDesc,MATCH($B1239,PecCod,0)),"Peça não cadastrada"))</f>
        <v>0</v>
      </c>
      <c r="F1239" s="27">
        <f>IF($B1239="","",IF($D1239&lt;&gt;"",$D1239,IFERROR(INDEX(PecPreco,MATCH($B1239,PecCod,0)),0)))</f>
        <v>0</v>
      </c>
      <c r="G1239" s="27">
        <f>IF(OR($B1239="",$C1239=""),"",$C1239*$F1239)</f>
        <v>0</v>
      </c>
      <c r="H1239" s="27">
        <f>IF(OR($B1239="",$C1239=""),"",$C1239*IFERROR(INDEX(PecCusto,MATCH($B1239,PecCod,0)),0))</f>
        <v>0</v>
      </c>
      <c r="I1239" s="32">
        <f>IF($A1239="","",IFERROR(INDEX(OSStatus,MATCH($A1239,OSNum,0)),"OS inexistente"))</f>
        <v>0</v>
      </c>
      <c r="J1239" s="32">
        <f>IF($A1239="","",IF($I1239="OS inexistente","OS inexistente",IF($E1239="Peça não cadastrada","Peça não cadastrada","OK")))</f>
        <v>0</v>
      </c>
    </row>
    <row r="1240" spans="1:10">
      <c r="A1240" s="17"/>
      <c r="B1240" s="13"/>
      <c r="C1240" s="20"/>
      <c r="D1240" s="19"/>
      <c r="E1240" s="26">
        <f>IF($B1240="","",IFERROR(INDEX(PecDesc,MATCH($B1240,PecCod,0)),"Peça não cadastrada"))</f>
        <v>0</v>
      </c>
      <c r="F1240" s="27">
        <f>IF($B1240="","",IF($D1240&lt;&gt;"",$D1240,IFERROR(INDEX(PecPreco,MATCH($B1240,PecCod,0)),0)))</f>
        <v>0</v>
      </c>
      <c r="G1240" s="27">
        <f>IF(OR($B1240="",$C1240=""),"",$C1240*$F1240)</f>
        <v>0</v>
      </c>
      <c r="H1240" s="27">
        <f>IF(OR($B1240="",$C1240=""),"",$C1240*IFERROR(INDEX(PecCusto,MATCH($B1240,PecCod,0)),0))</f>
        <v>0</v>
      </c>
      <c r="I1240" s="32">
        <f>IF($A1240="","",IFERROR(INDEX(OSStatus,MATCH($A1240,OSNum,0)),"OS inexistente"))</f>
        <v>0</v>
      </c>
      <c r="J1240" s="32">
        <f>IF($A1240="","",IF($I1240="OS inexistente","OS inexistente",IF($E1240="Peça não cadastrada","Peça não cadastrada","OK")))</f>
        <v>0</v>
      </c>
    </row>
    <row r="1241" spans="1:10">
      <c r="A1241" s="17"/>
      <c r="B1241" s="13"/>
      <c r="C1241" s="20"/>
      <c r="D1241" s="19"/>
      <c r="E1241" s="26">
        <f>IF($B1241="","",IFERROR(INDEX(PecDesc,MATCH($B1241,PecCod,0)),"Peça não cadastrada"))</f>
        <v>0</v>
      </c>
      <c r="F1241" s="27">
        <f>IF($B1241="","",IF($D1241&lt;&gt;"",$D1241,IFERROR(INDEX(PecPreco,MATCH($B1241,PecCod,0)),0)))</f>
        <v>0</v>
      </c>
      <c r="G1241" s="27">
        <f>IF(OR($B1241="",$C1241=""),"",$C1241*$F1241)</f>
        <v>0</v>
      </c>
      <c r="H1241" s="27">
        <f>IF(OR($B1241="",$C1241=""),"",$C1241*IFERROR(INDEX(PecCusto,MATCH($B1241,PecCod,0)),0))</f>
        <v>0</v>
      </c>
      <c r="I1241" s="32">
        <f>IF($A1241="","",IFERROR(INDEX(OSStatus,MATCH($A1241,OSNum,0)),"OS inexistente"))</f>
        <v>0</v>
      </c>
      <c r="J1241" s="32">
        <f>IF($A1241="","",IF($I1241="OS inexistente","OS inexistente",IF($E1241="Peça não cadastrada","Peça não cadastrada","OK")))</f>
        <v>0</v>
      </c>
    </row>
    <row r="1242" spans="1:10">
      <c r="A1242" s="17"/>
      <c r="B1242" s="13"/>
      <c r="C1242" s="20"/>
      <c r="D1242" s="19"/>
      <c r="E1242" s="26">
        <f>IF($B1242="","",IFERROR(INDEX(PecDesc,MATCH($B1242,PecCod,0)),"Peça não cadastrada"))</f>
        <v>0</v>
      </c>
      <c r="F1242" s="27">
        <f>IF($B1242="","",IF($D1242&lt;&gt;"",$D1242,IFERROR(INDEX(PecPreco,MATCH($B1242,PecCod,0)),0)))</f>
        <v>0</v>
      </c>
      <c r="G1242" s="27">
        <f>IF(OR($B1242="",$C1242=""),"",$C1242*$F1242)</f>
        <v>0</v>
      </c>
      <c r="H1242" s="27">
        <f>IF(OR($B1242="",$C1242=""),"",$C1242*IFERROR(INDEX(PecCusto,MATCH($B1242,PecCod,0)),0))</f>
        <v>0</v>
      </c>
      <c r="I1242" s="32">
        <f>IF($A1242="","",IFERROR(INDEX(OSStatus,MATCH($A1242,OSNum,0)),"OS inexistente"))</f>
        <v>0</v>
      </c>
      <c r="J1242" s="32">
        <f>IF($A1242="","",IF($I1242="OS inexistente","OS inexistente",IF($E1242="Peça não cadastrada","Peça não cadastrada","OK")))</f>
        <v>0</v>
      </c>
    </row>
    <row r="1243" spans="1:10">
      <c r="A1243" s="17"/>
      <c r="B1243" s="13"/>
      <c r="C1243" s="20"/>
      <c r="D1243" s="19"/>
      <c r="E1243" s="26">
        <f>IF($B1243="","",IFERROR(INDEX(PecDesc,MATCH($B1243,PecCod,0)),"Peça não cadastrada"))</f>
        <v>0</v>
      </c>
      <c r="F1243" s="27">
        <f>IF($B1243="","",IF($D1243&lt;&gt;"",$D1243,IFERROR(INDEX(PecPreco,MATCH($B1243,PecCod,0)),0)))</f>
        <v>0</v>
      </c>
      <c r="G1243" s="27">
        <f>IF(OR($B1243="",$C1243=""),"",$C1243*$F1243)</f>
        <v>0</v>
      </c>
      <c r="H1243" s="27">
        <f>IF(OR($B1243="",$C1243=""),"",$C1243*IFERROR(INDEX(PecCusto,MATCH($B1243,PecCod,0)),0))</f>
        <v>0</v>
      </c>
      <c r="I1243" s="32">
        <f>IF($A1243="","",IFERROR(INDEX(OSStatus,MATCH($A1243,OSNum,0)),"OS inexistente"))</f>
        <v>0</v>
      </c>
      <c r="J1243" s="32">
        <f>IF($A1243="","",IF($I1243="OS inexistente","OS inexistente",IF($E1243="Peça não cadastrada","Peça não cadastrada","OK")))</f>
        <v>0</v>
      </c>
    </row>
    <row r="1244" spans="1:10">
      <c r="A1244" s="17"/>
      <c r="B1244" s="13"/>
      <c r="C1244" s="20"/>
      <c r="D1244" s="19"/>
      <c r="E1244" s="26">
        <f>IF($B1244="","",IFERROR(INDEX(PecDesc,MATCH($B1244,PecCod,0)),"Peça não cadastrada"))</f>
        <v>0</v>
      </c>
      <c r="F1244" s="27">
        <f>IF($B1244="","",IF($D1244&lt;&gt;"",$D1244,IFERROR(INDEX(PecPreco,MATCH($B1244,PecCod,0)),0)))</f>
        <v>0</v>
      </c>
      <c r="G1244" s="27">
        <f>IF(OR($B1244="",$C1244=""),"",$C1244*$F1244)</f>
        <v>0</v>
      </c>
      <c r="H1244" s="27">
        <f>IF(OR($B1244="",$C1244=""),"",$C1244*IFERROR(INDEX(PecCusto,MATCH($B1244,PecCod,0)),0))</f>
        <v>0</v>
      </c>
      <c r="I1244" s="32">
        <f>IF($A1244="","",IFERROR(INDEX(OSStatus,MATCH($A1244,OSNum,0)),"OS inexistente"))</f>
        <v>0</v>
      </c>
      <c r="J1244" s="32">
        <f>IF($A1244="","",IF($I1244="OS inexistente","OS inexistente",IF($E1244="Peça não cadastrada","Peça não cadastrada","OK")))</f>
        <v>0</v>
      </c>
    </row>
    <row r="1245" spans="1:10">
      <c r="A1245" s="17"/>
      <c r="B1245" s="13"/>
      <c r="C1245" s="20"/>
      <c r="D1245" s="19"/>
      <c r="E1245" s="26">
        <f>IF($B1245="","",IFERROR(INDEX(PecDesc,MATCH($B1245,PecCod,0)),"Peça não cadastrada"))</f>
        <v>0</v>
      </c>
      <c r="F1245" s="27">
        <f>IF($B1245="","",IF($D1245&lt;&gt;"",$D1245,IFERROR(INDEX(PecPreco,MATCH($B1245,PecCod,0)),0)))</f>
        <v>0</v>
      </c>
      <c r="G1245" s="27">
        <f>IF(OR($B1245="",$C1245=""),"",$C1245*$F1245)</f>
        <v>0</v>
      </c>
      <c r="H1245" s="27">
        <f>IF(OR($B1245="",$C1245=""),"",$C1245*IFERROR(INDEX(PecCusto,MATCH($B1245,PecCod,0)),0))</f>
        <v>0</v>
      </c>
      <c r="I1245" s="32">
        <f>IF($A1245="","",IFERROR(INDEX(OSStatus,MATCH($A1245,OSNum,0)),"OS inexistente"))</f>
        <v>0</v>
      </c>
      <c r="J1245" s="32">
        <f>IF($A1245="","",IF($I1245="OS inexistente","OS inexistente",IF($E1245="Peça não cadastrada","Peça não cadastrada","OK")))</f>
        <v>0</v>
      </c>
    </row>
    <row r="1246" spans="1:10">
      <c r="A1246" s="17"/>
      <c r="B1246" s="13"/>
      <c r="C1246" s="20"/>
      <c r="D1246" s="19"/>
      <c r="E1246" s="26">
        <f>IF($B1246="","",IFERROR(INDEX(PecDesc,MATCH($B1246,PecCod,0)),"Peça não cadastrada"))</f>
        <v>0</v>
      </c>
      <c r="F1246" s="27">
        <f>IF($B1246="","",IF($D1246&lt;&gt;"",$D1246,IFERROR(INDEX(PecPreco,MATCH($B1246,PecCod,0)),0)))</f>
        <v>0</v>
      </c>
      <c r="G1246" s="27">
        <f>IF(OR($B1246="",$C1246=""),"",$C1246*$F1246)</f>
        <v>0</v>
      </c>
      <c r="H1246" s="27">
        <f>IF(OR($B1246="",$C1246=""),"",$C1246*IFERROR(INDEX(PecCusto,MATCH($B1246,PecCod,0)),0))</f>
        <v>0</v>
      </c>
      <c r="I1246" s="32">
        <f>IF($A1246="","",IFERROR(INDEX(OSStatus,MATCH($A1246,OSNum,0)),"OS inexistente"))</f>
        <v>0</v>
      </c>
      <c r="J1246" s="32">
        <f>IF($A1246="","",IF($I1246="OS inexistente","OS inexistente",IF($E1246="Peça não cadastrada","Peça não cadastrada","OK")))</f>
        <v>0</v>
      </c>
    </row>
    <row r="1247" spans="1:10">
      <c r="A1247" s="17"/>
      <c r="B1247" s="13"/>
      <c r="C1247" s="20"/>
      <c r="D1247" s="19"/>
      <c r="E1247" s="26">
        <f>IF($B1247="","",IFERROR(INDEX(PecDesc,MATCH($B1247,PecCod,0)),"Peça não cadastrada"))</f>
        <v>0</v>
      </c>
      <c r="F1247" s="27">
        <f>IF($B1247="","",IF($D1247&lt;&gt;"",$D1247,IFERROR(INDEX(PecPreco,MATCH($B1247,PecCod,0)),0)))</f>
        <v>0</v>
      </c>
      <c r="G1247" s="27">
        <f>IF(OR($B1247="",$C1247=""),"",$C1247*$F1247)</f>
        <v>0</v>
      </c>
      <c r="H1247" s="27">
        <f>IF(OR($B1247="",$C1247=""),"",$C1247*IFERROR(INDEX(PecCusto,MATCH($B1247,PecCod,0)),0))</f>
        <v>0</v>
      </c>
      <c r="I1247" s="32">
        <f>IF($A1247="","",IFERROR(INDEX(OSStatus,MATCH($A1247,OSNum,0)),"OS inexistente"))</f>
        <v>0</v>
      </c>
      <c r="J1247" s="32">
        <f>IF($A1247="","",IF($I1247="OS inexistente","OS inexistente",IF($E1247="Peça não cadastrada","Peça não cadastrada","OK")))</f>
        <v>0</v>
      </c>
    </row>
    <row r="1248" spans="1:10">
      <c r="A1248" s="17"/>
      <c r="B1248" s="13"/>
      <c r="C1248" s="20"/>
      <c r="D1248" s="19"/>
      <c r="E1248" s="26">
        <f>IF($B1248="","",IFERROR(INDEX(PecDesc,MATCH($B1248,PecCod,0)),"Peça não cadastrada"))</f>
        <v>0</v>
      </c>
      <c r="F1248" s="27">
        <f>IF($B1248="","",IF($D1248&lt;&gt;"",$D1248,IFERROR(INDEX(PecPreco,MATCH($B1248,PecCod,0)),0)))</f>
        <v>0</v>
      </c>
      <c r="G1248" s="27">
        <f>IF(OR($B1248="",$C1248=""),"",$C1248*$F1248)</f>
        <v>0</v>
      </c>
      <c r="H1248" s="27">
        <f>IF(OR($B1248="",$C1248=""),"",$C1248*IFERROR(INDEX(PecCusto,MATCH($B1248,PecCod,0)),0))</f>
        <v>0</v>
      </c>
      <c r="I1248" s="32">
        <f>IF($A1248="","",IFERROR(INDEX(OSStatus,MATCH($A1248,OSNum,0)),"OS inexistente"))</f>
        <v>0</v>
      </c>
      <c r="J1248" s="32">
        <f>IF($A1248="","",IF($I1248="OS inexistente","OS inexistente",IF($E1248="Peça não cadastrada","Peça não cadastrada","OK")))</f>
        <v>0</v>
      </c>
    </row>
    <row r="1249" spans="1:10">
      <c r="A1249" s="17"/>
      <c r="B1249" s="13"/>
      <c r="C1249" s="20"/>
      <c r="D1249" s="19"/>
      <c r="E1249" s="26">
        <f>IF($B1249="","",IFERROR(INDEX(PecDesc,MATCH($B1249,PecCod,0)),"Peça não cadastrada"))</f>
        <v>0</v>
      </c>
      <c r="F1249" s="27">
        <f>IF($B1249="","",IF($D1249&lt;&gt;"",$D1249,IFERROR(INDEX(PecPreco,MATCH($B1249,PecCod,0)),0)))</f>
        <v>0</v>
      </c>
      <c r="G1249" s="27">
        <f>IF(OR($B1249="",$C1249=""),"",$C1249*$F1249)</f>
        <v>0</v>
      </c>
      <c r="H1249" s="27">
        <f>IF(OR($B1249="",$C1249=""),"",$C1249*IFERROR(INDEX(PecCusto,MATCH($B1249,PecCod,0)),0))</f>
        <v>0</v>
      </c>
      <c r="I1249" s="32">
        <f>IF($A1249="","",IFERROR(INDEX(OSStatus,MATCH($A1249,OSNum,0)),"OS inexistente"))</f>
        <v>0</v>
      </c>
      <c r="J1249" s="32">
        <f>IF($A1249="","",IF($I1249="OS inexistente","OS inexistente",IF($E1249="Peça não cadastrada","Peça não cadastrada","OK")))</f>
        <v>0</v>
      </c>
    </row>
    <row r="1250" spans="1:10">
      <c r="A1250" s="17"/>
      <c r="B1250" s="13"/>
      <c r="C1250" s="20"/>
      <c r="D1250" s="19"/>
      <c r="E1250" s="26">
        <f>IF($B1250="","",IFERROR(INDEX(PecDesc,MATCH($B1250,PecCod,0)),"Peça não cadastrada"))</f>
        <v>0</v>
      </c>
      <c r="F1250" s="27">
        <f>IF($B1250="","",IF($D1250&lt;&gt;"",$D1250,IFERROR(INDEX(PecPreco,MATCH($B1250,PecCod,0)),0)))</f>
        <v>0</v>
      </c>
      <c r="G1250" s="27">
        <f>IF(OR($B1250="",$C1250=""),"",$C1250*$F1250)</f>
        <v>0</v>
      </c>
      <c r="H1250" s="27">
        <f>IF(OR($B1250="",$C1250=""),"",$C1250*IFERROR(INDEX(PecCusto,MATCH($B1250,PecCod,0)),0))</f>
        <v>0</v>
      </c>
      <c r="I1250" s="32">
        <f>IF($A1250="","",IFERROR(INDEX(OSStatus,MATCH($A1250,OSNum,0)),"OS inexistente"))</f>
        <v>0</v>
      </c>
      <c r="J1250" s="32">
        <f>IF($A1250="","",IF($I1250="OS inexistente","OS inexistente",IF($E1250="Peça não cadastrada","Peça não cadastrada","OK")))</f>
        <v>0</v>
      </c>
    </row>
    <row r="1251" spans="1:10">
      <c r="A1251" s="17"/>
      <c r="B1251" s="13"/>
      <c r="C1251" s="20"/>
      <c r="D1251" s="19"/>
      <c r="E1251" s="26">
        <f>IF($B1251="","",IFERROR(INDEX(PecDesc,MATCH($B1251,PecCod,0)),"Peça não cadastrada"))</f>
        <v>0</v>
      </c>
      <c r="F1251" s="27">
        <f>IF($B1251="","",IF($D1251&lt;&gt;"",$D1251,IFERROR(INDEX(PecPreco,MATCH($B1251,PecCod,0)),0)))</f>
        <v>0</v>
      </c>
      <c r="G1251" s="27">
        <f>IF(OR($B1251="",$C1251=""),"",$C1251*$F1251)</f>
        <v>0</v>
      </c>
      <c r="H1251" s="27">
        <f>IF(OR($B1251="",$C1251=""),"",$C1251*IFERROR(INDEX(PecCusto,MATCH($B1251,PecCod,0)),0))</f>
        <v>0</v>
      </c>
      <c r="I1251" s="32">
        <f>IF($A1251="","",IFERROR(INDEX(OSStatus,MATCH($A1251,OSNum,0)),"OS inexistente"))</f>
        <v>0</v>
      </c>
      <c r="J1251" s="32">
        <f>IF($A1251="","",IF($I1251="OS inexistente","OS inexistente",IF($E1251="Peça não cadastrada","Peça não cadastrada","OK")))</f>
        <v>0</v>
      </c>
    </row>
    <row r="1252" spans="1:10">
      <c r="A1252" s="17"/>
      <c r="B1252" s="13"/>
      <c r="C1252" s="20"/>
      <c r="D1252" s="19"/>
      <c r="E1252" s="26">
        <f>IF($B1252="","",IFERROR(INDEX(PecDesc,MATCH($B1252,PecCod,0)),"Peça não cadastrada"))</f>
        <v>0</v>
      </c>
      <c r="F1252" s="27">
        <f>IF($B1252="","",IF($D1252&lt;&gt;"",$D1252,IFERROR(INDEX(PecPreco,MATCH($B1252,PecCod,0)),0)))</f>
        <v>0</v>
      </c>
      <c r="G1252" s="27">
        <f>IF(OR($B1252="",$C1252=""),"",$C1252*$F1252)</f>
        <v>0</v>
      </c>
      <c r="H1252" s="27">
        <f>IF(OR($B1252="",$C1252=""),"",$C1252*IFERROR(INDEX(PecCusto,MATCH($B1252,PecCod,0)),0))</f>
        <v>0</v>
      </c>
      <c r="I1252" s="32">
        <f>IF($A1252="","",IFERROR(INDEX(OSStatus,MATCH($A1252,OSNum,0)),"OS inexistente"))</f>
        <v>0</v>
      </c>
      <c r="J1252" s="32">
        <f>IF($A1252="","",IF($I1252="OS inexistente","OS inexistente",IF($E1252="Peça não cadastrada","Peça não cadastrada","OK")))</f>
        <v>0</v>
      </c>
    </row>
    <row r="1253" spans="1:10">
      <c r="A1253" s="17"/>
      <c r="B1253" s="13"/>
      <c r="C1253" s="20"/>
      <c r="D1253" s="19"/>
      <c r="E1253" s="26">
        <f>IF($B1253="","",IFERROR(INDEX(PecDesc,MATCH($B1253,PecCod,0)),"Peça não cadastrada"))</f>
        <v>0</v>
      </c>
      <c r="F1253" s="27">
        <f>IF($B1253="","",IF($D1253&lt;&gt;"",$D1253,IFERROR(INDEX(PecPreco,MATCH($B1253,PecCod,0)),0)))</f>
        <v>0</v>
      </c>
      <c r="G1253" s="27">
        <f>IF(OR($B1253="",$C1253=""),"",$C1253*$F1253)</f>
        <v>0</v>
      </c>
      <c r="H1253" s="27">
        <f>IF(OR($B1253="",$C1253=""),"",$C1253*IFERROR(INDEX(PecCusto,MATCH($B1253,PecCod,0)),0))</f>
        <v>0</v>
      </c>
      <c r="I1253" s="32">
        <f>IF($A1253="","",IFERROR(INDEX(OSStatus,MATCH($A1253,OSNum,0)),"OS inexistente"))</f>
        <v>0</v>
      </c>
      <c r="J1253" s="32">
        <f>IF($A1253="","",IF($I1253="OS inexistente","OS inexistente",IF($E1253="Peça não cadastrada","Peça não cadastrada","OK")))</f>
        <v>0</v>
      </c>
    </row>
    <row r="1254" spans="1:10">
      <c r="A1254" s="17"/>
      <c r="B1254" s="13"/>
      <c r="C1254" s="20"/>
      <c r="D1254" s="19"/>
      <c r="E1254" s="26">
        <f>IF($B1254="","",IFERROR(INDEX(PecDesc,MATCH($B1254,PecCod,0)),"Peça não cadastrada"))</f>
        <v>0</v>
      </c>
      <c r="F1254" s="27">
        <f>IF($B1254="","",IF($D1254&lt;&gt;"",$D1254,IFERROR(INDEX(PecPreco,MATCH($B1254,PecCod,0)),0)))</f>
        <v>0</v>
      </c>
      <c r="G1254" s="27">
        <f>IF(OR($B1254="",$C1254=""),"",$C1254*$F1254)</f>
        <v>0</v>
      </c>
      <c r="H1254" s="27">
        <f>IF(OR($B1254="",$C1254=""),"",$C1254*IFERROR(INDEX(PecCusto,MATCH($B1254,PecCod,0)),0))</f>
        <v>0</v>
      </c>
      <c r="I1254" s="32">
        <f>IF($A1254="","",IFERROR(INDEX(OSStatus,MATCH($A1254,OSNum,0)),"OS inexistente"))</f>
        <v>0</v>
      </c>
      <c r="J1254" s="32">
        <f>IF($A1254="","",IF($I1254="OS inexistente","OS inexistente",IF($E1254="Peça não cadastrada","Peça não cadastrada","OK")))</f>
        <v>0</v>
      </c>
    </row>
    <row r="1255" spans="1:10">
      <c r="A1255" s="17"/>
      <c r="B1255" s="13"/>
      <c r="C1255" s="20"/>
      <c r="D1255" s="19"/>
      <c r="E1255" s="26">
        <f>IF($B1255="","",IFERROR(INDEX(PecDesc,MATCH($B1255,PecCod,0)),"Peça não cadastrada"))</f>
        <v>0</v>
      </c>
      <c r="F1255" s="27">
        <f>IF($B1255="","",IF($D1255&lt;&gt;"",$D1255,IFERROR(INDEX(PecPreco,MATCH($B1255,PecCod,0)),0)))</f>
        <v>0</v>
      </c>
      <c r="G1255" s="27">
        <f>IF(OR($B1255="",$C1255=""),"",$C1255*$F1255)</f>
        <v>0</v>
      </c>
      <c r="H1255" s="27">
        <f>IF(OR($B1255="",$C1255=""),"",$C1255*IFERROR(INDEX(PecCusto,MATCH($B1255,PecCod,0)),0))</f>
        <v>0</v>
      </c>
      <c r="I1255" s="32">
        <f>IF($A1255="","",IFERROR(INDEX(OSStatus,MATCH($A1255,OSNum,0)),"OS inexistente"))</f>
        <v>0</v>
      </c>
      <c r="J1255" s="32">
        <f>IF($A1255="","",IF($I1255="OS inexistente","OS inexistente",IF($E1255="Peça não cadastrada","Peça não cadastrada","OK")))</f>
        <v>0</v>
      </c>
    </row>
    <row r="1256" spans="1:10">
      <c r="A1256" s="17"/>
      <c r="B1256" s="13"/>
      <c r="C1256" s="20"/>
      <c r="D1256" s="19"/>
      <c r="E1256" s="26">
        <f>IF($B1256="","",IFERROR(INDEX(PecDesc,MATCH($B1256,PecCod,0)),"Peça não cadastrada"))</f>
        <v>0</v>
      </c>
      <c r="F1256" s="27">
        <f>IF($B1256="","",IF($D1256&lt;&gt;"",$D1256,IFERROR(INDEX(PecPreco,MATCH($B1256,PecCod,0)),0)))</f>
        <v>0</v>
      </c>
      <c r="G1256" s="27">
        <f>IF(OR($B1256="",$C1256=""),"",$C1256*$F1256)</f>
        <v>0</v>
      </c>
      <c r="H1256" s="27">
        <f>IF(OR($B1256="",$C1256=""),"",$C1256*IFERROR(INDEX(PecCusto,MATCH($B1256,PecCod,0)),0))</f>
        <v>0</v>
      </c>
      <c r="I1256" s="32">
        <f>IF($A1256="","",IFERROR(INDEX(OSStatus,MATCH($A1256,OSNum,0)),"OS inexistente"))</f>
        <v>0</v>
      </c>
      <c r="J1256" s="32">
        <f>IF($A1256="","",IF($I1256="OS inexistente","OS inexistente",IF($E1256="Peça não cadastrada","Peça não cadastrada","OK")))</f>
        <v>0</v>
      </c>
    </row>
    <row r="1257" spans="1:10">
      <c r="A1257" s="17"/>
      <c r="B1257" s="13"/>
      <c r="C1257" s="20"/>
      <c r="D1257" s="19"/>
      <c r="E1257" s="26">
        <f>IF($B1257="","",IFERROR(INDEX(PecDesc,MATCH($B1257,PecCod,0)),"Peça não cadastrada"))</f>
        <v>0</v>
      </c>
      <c r="F1257" s="27">
        <f>IF($B1257="","",IF($D1257&lt;&gt;"",$D1257,IFERROR(INDEX(PecPreco,MATCH($B1257,PecCod,0)),0)))</f>
        <v>0</v>
      </c>
      <c r="G1257" s="27">
        <f>IF(OR($B1257="",$C1257=""),"",$C1257*$F1257)</f>
        <v>0</v>
      </c>
      <c r="H1257" s="27">
        <f>IF(OR($B1257="",$C1257=""),"",$C1257*IFERROR(INDEX(PecCusto,MATCH($B1257,PecCod,0)),0))</f>
        <v>0</v>
      </c>
      <c r="I1257" s="32">
        <f>IF($A1257="","",IFERROR(INDEX(OSStatus,MATCH($A1257,OSNum,0)),"OS inexistente"))</f>
        <v>0</v>
      </c>
      <c r="J1257" s="32">
        <f>IF($A1257="","",IF($I1257="OS inexistente","OS inexistente",IF($E1257="Peça não cadastrada","Peça não cadastrada","OK")))</f>
        <v>0</v>
      </c>
    </row>
    <row r="1258" spans="1:10">
      <c r="A1258" s="17"/>
      <c r="B1258" s="13"/>
      <c r="C1258" s="20"/>
      <c r="D1258" s="19"/>
      <c r="E1258" s="26">
        <f>IF($B1258="","",IFERROR(INDEX(PecDesc,MATCH($B1258,PecCod,0)),"Peça não cadastrada"))</f>
        <v>0</v>
      </c>
      <c r="F1258" s="27">
        <f>IF($B1258="","",IF($D1258&lt;&gt;"",$D1258,IFERROR(INDEX(PecPreco,MATCH($B1258,PecCod,0)),0)))</f>
        <v>0</v>
      </c>
      <c r="G1258" s="27">
        <f>IF(OR($B1258="",$C1258=""),"",$C1258*$F1258)</f>
        <v>0</v>
      </c>
      <c r="H1258" s="27">
        <f>IF(OR($B1258="",$C1258=""),"",$C1258*IFERROR(INDEX(PecCusto,MATCH($B1258,PecCod,0)),0))</f>
        <v>0</v>
      </c>
      <c r="I1258" s="32">
        <f>IF($A1258="","",IFERROR(INDEX(OSStatus,MATCH($A1258,OSNum,0)),"OS inexistente"))</f>
        <v>0</v>
      </c>
      <c r="J1258" s="32">
        <f>IF($A1258="","",IF($I1258="OS inexistente","OS inexistente",IF($E1258="Peça não cadastrada","Peça não cadastrada","OK")))</f>
        <v>0</v>
      </c>
    </row>
    <row r="1259" spans="1:10">
      <c r="A1259" s="17"/>
      <c r="B1259" s="13"/>
      <c r="C1259" s="20"/>
      <c r="D1259" s="19"/>
      <c r="E1259" s="26">
        <f>IF($B1259="","",IFERROR(INDEX(PecDesc,MATCH($B1259,PecCod,0)),"Peça não cadastrada"))</f>
        <v>0</v>
      </c>
      <c r="F1259" s="27">
        <f>IF($B1259="","",IF($D1259&lt;&gt;"",$D1259,IFERROR(INDEX(PecPreco,MATCH($B1259,PecCod,0)),0)))</f>
        <v>0</v>
      </c>
      <c r="G1259" s="27">
        <f>IF(OR($B1259="",$C1259=""),"",$C1259*$F1259)</f>
        <v>0</v>
      </c>
      <c r="H1259" s="27">
        <f>IF(OR($B1259="",$C1259=""),"",$C1259*IFERROR(INDEX(PecCusto,MATCH($B1259,PecCod,0)),0))</f>
        <v>0</v>
      </c>
      <c r="I1259" s="32">
        <f>IF($A1259="","",IFERROR(INDEX(OSStatus,MATCH($A1259,OSNum,0)),"OS inexistente"))</f>
        <v>0</v>
      </c>
      <c r="J1259" s="32">
        <f>IF($A1259="","",IF($I1259="OS inexistente","OS inexistente",IF($E1259="Peça não cadastrada","Peça não cadastrada","OK")))</f>
        <v>0</v>
      </c>
    </row>
    <row r="1260" spans="1:10">
      <c r="A1260" s="17"/>
      <c r="B1260" s="13"/>
      <c r="C1260" s="20"/>
      <c r="D1260" s="19"/>
      <c r="E1260" s="26">
        <f>IF($B1260="","",IFERROR(INDEX(PecDesc,MATCH($B1260,PecCod,0)),"Peça não cadastrada"))</f>
        <v>0</v>
      </c>
      <c r="F1260" s="27">
        <f>IF($B1260="","",IF($D1260&lt;&gt;"",$D1260,IFERROR(INDEX(PecPreco,MATCH($B1260,PecCod,0)),0)))</f>
        <v>0</v>
      </c>
      <c r="G1260" s="27">
        <f>IF(OR($B1260="",$C1260=""),"",$C1260*$F1260)</f>
        <v>0</v>
      </c>
      <c r="H1260" s="27">
        <f>IF(OR($B1260="",$C1260=""),"",$C1260*IFERROR(INDEX(PecCusto,MATCH($B1260,PecCod,0)),0))</f>
        <v>0</v>
      </c>
      <c r="I1260" s="32">
        <f>IF($A1260="","",IFERROR(INDEX(OSStatus,MATCH($A1260,OSNum,0)),"OS inexistente"))</f>
        <v>0</v>
      </c>
      <c r="J1260" s="32">
        <f>IF($A1260="","",IF($I1260="OS inexistente","OS inexistente",IF($E1260="Peça não cadastrada","Peça não cadastrada","OK")))</f>
        <v>0</v>
      </c>
    </row>
    <row r="1261" spans="1:10">
      <c r="A1261" s="17"/>
      <c r="B1261" s="13"/>
      <c r="C1261" s="20"/>
      <c r="D1261" s="19"/>
      <c r="E1261" s="26">
        <f>IF($B1261="","",IFERROR(INDEX(PecDesc,MATCH($B1261,PecCod,0)),"Peça não cadastrada"))</f>
        <v>0</v>
      </c>
      <c r="F1261" s="27">
        <f>IF($B1261="","",IF($D1261&lt;&gt;"",$D1261,IFERROR(INDEX(PecPreco,MATCH($B1261,PecCod,0)),0)))</f>
        <v>0</v>
      </c>
      <c r="G1261" s="27">
        <f>IF(OR($B1261="",$C1261=""),"",$C1261*$F1261)</f>
        <v>0</v>
      </c>
      <c r="H1261" s="27">
        <f>IF(OR($B1261="",$C1261=""),"",$C1261*IFERROR(INDEX(PecCusto,MATCH($B1261,PecCod,0)),0))</f>
        <v>0</v>
      </c>
      <c r="I1261" s="32">
        <f>IF($A1261="","",IFERROR(INDEX(OSStatus,MATCH($A1261,OSNum,0)),"OS inexistente"))</f>
        <v>0</v>
      </c>
      <c r="J1261" s="32">
        <f>IF($A1261="","",IF($I1261="OS inexistente","OS inexistente",IF($E1261="Peça não cadastrada","Peça não cadastrada","OK")))</f>
        <v>0</v>
      </c>
    </row>
    <row r="1262" spans="1:10">
      <c r="A1262" s="17"/>
      <c r="B1262" s="13"/>
      <c r="C1262" s="20"/>
      <c r="D1262" s="19"/>
      <c r="E1262" s="26">
        <f>IF($B1262="","",IFERROR(INDEX(PecDesc,MATCH($B1262,PecCod,0)),"Peça não cadastrada"))</f>
        <v>0</v>
      </c>
      <c r="F1262" s="27">
        <f>IF($B1262="","",IF($D1262&lt;&gt;"",$D1262,IFERROR(INDEX(PecPreco,MATCH($B1262,PecCod,0)),0)))</f>
        <v>0</v>
      </c>
      <c r="G1262" s="27">
        <f>IF(OR($B1262="",$C1262=""),"",$C1262*$F1262)</f>
        <v>0</v>
      </c>
      <c r="H1262" s="27">
        <f>IF(OR($B1262="",$C1262=""),"",$C1262*IFERROR(INDEX(PecCusto,MATCH($B1262,PecCod,0)),0))</f>
        <v>0</v>
      </c>
      <c r="I1262" s="32">
        <f>IF($A1262="","",IFERROR(INDEX(OSStatus,MATCH($A1262,OSNum,0)),"OS inexistente"))</f>
        <v>0</v>
      </c>
      <c r="J1262" s="32">
        <f>IF($A1262="","",IF($I1262="OS inexistente","OS inexistente",IF($E1262="Peça não cadastrada","Peça não cadastrada","OK")))</f>
        <v>0</v>
      </c>
    </row>
    <row r="1263" spans="1:10">
      <c r="A1263" s="17"/>
      <c r="B1263" s="13"/>
      <c r="C1263" s="20"/>
      <c r="D1263" s="19"/>
      <c r="E1263" s="26">
        <f>IF($B1263="","",IFERROR(INDEX(PecDesc,MATCH($B1263,PecCod,0)),"Peça não cadastrada"))</f>
        <v>0</v>
      </c>
      <c r="F1263" s="27">
        <f>IF($B1263="","",IF($D1263&lt;&gt;"",$D1263,IFERROR(INDEX(PecPreco,MATCH($B1263,PecCod,0)),0)))</f>
        <v>0</v>
      </c>
      <c r="G1263" s="27">
        <f>IF(OR($B1263="",$C1263=""),"",$C1263*$F1263)</f>
        <v>0</v>
      </c>
      <c r="H1263" s="27">
        <f>IF(OR($B1263="",$C1263=""),"",$C1263*IFERROR(INDEX(PecCusto,MATCH($B1263,PecCod,0)),0))</f>
        <v>0</v>
      </c>
      <c r="I1263" s="32">
        <f>IF($A1263="","",IFERROR(INDEX(OSStatus,MATCH($A1263,OSNum,0)),"OS inexistente"))</f>
        <v>0</v>
      </c>
      <c r="J1263" s="32">
        <f>IF($A1263="","",IF($I1263="OS inexistente","OS inexistente",IF($E1263="Peça não cadastrada","Peça não cadastrada","OK")))</f>
        <v>0</v>
      </c>
    </row>
    <row r="1264" spans="1:10">
      <c r="A1264" s="17"/>
      <c r="B1264" s="13"/>
      <c r="C1264" s="20"/>
      <c r="D1264" s="19"/>
      <c r="E1264" s="26">
        <f>IF($B1264="","",IFERROR(INDEX(PecDesc,MATCH($B1264,PecCod,0)),"Peça não cadastrada"))</f>
        <v>0</v>
      </c>
      <c r="F1264" s="27">
        <f>IF($B1264="","",IF($D1264&lt;&gt;"",$D1264,IFERROR(INDEX(PecPreco,MATCH($B1264,PecCod,0)),0)))</f>
        <v>0</v>
      </c>
      <c r="G1264" s="27">
        <f>IF(OR($B1264="",$C1264=""),"",$C1264*$F1264)</f>
        <v>0</v>
      </c>
      <c r="H1264" s="27">
        <f>IF(OR($B1264="",$C1264=""),"",$C1264*IFERROR(INDEX(PecCusto,MATCH($B1264,PecCod,0)),0))</f>
        <v>0</v>
      </c>
      <c r="I1264" s="32">
        <f>IF($A1264="","",IFERROR(INDEX(OSStatus,MATCH($A1264,OSNum,0)),"OS inexistente"))</f>
        <v>0</v>
      </c>
      <c r="J1264" s="32">
        <f>IF($A1264="","",IF($I1264="OS inexistente","OS inexistente",IF($E1264="Peça não cadastrada","Peça não cadastrada","OK")))</f>
        <v>0</v>
      </c>
    </row>
    <row r="1265" spans="1:10">
      <c r="A1265" s="17"/>
      <c r="B1265" s="13"/>
      <c r="C1265" s="20"/>
      <c r="D1265" s="19"/>
      <c r="E1265" s="26">
        <f>IF($B1265="","",IFERROR(INDEX(PecDesc,MATCH($B1265,PecCod,0)),"Peça não cadastrada"))</f>
        <v>0</v>
      </c>
      <c r="F1265" s="27">
        <f>IF($B1265="","",IF($D1265&lt;&gt;"",$D1265,IFERROR(INDEX(PecPreco,MATCH($B1265,PecCod,0)),0)))</f>
        <v>0</v>
      </c>
      <c r="G1265" s="27">
        <f>IF(OR($B1265="",$C1265=""),"",$C1265*$F1265)</f>
        <v>0</v>
      </c>
      <c r="H1265" s="27">
        <f>IF(OR($B1265="",$C1265=""),"",$C1265*IFERROR(INDEX(PecCusto,MATCH($B1265,PecCod,0)),0))</f>
        <v>0</v>
      </c>
      <c r="I1265" s="32">
        <f>IF($A1265="","",IFERROR(INDEX(OSStatus,MATCH($A1265,OSNum,0)),"OS inexistente"))</f>
        <v>0</v>
      </c>
      <c r="J1265" s="32">
        <f>IF($A1265="","",IF($I1265="OS inexistente","OS inexistente",IF($E1265="Peça não cadastrada","Peça não cadastrada","OK")))</f>
        <v>0</v>
      </c>
    </row>
    <row r="1266" spans="1:10">
      <c r="A1266" s="17"/>
      <c r="B1266" s="13"/>
      <c r="C1266" s="20"/>
      <c r="D1266" s="19"/>
      <c r="E1266" s="26">
        <f>IF($B1266="","",IFERROR(INDEX(PecDesc,MATCH($B1266,PecCod,0)),"Peça não cadastrada"))</f>
        <v>0</v>
      </c>
      <c r="F1266" s="27">
        <f>IF($B1266="","",IF($D1266&lt;&gt;"",$D1266,IFERROR(INDEX(PecPreco,MATCH($B1266,PecCod,0)),0)))</f>
        <v>0</v>
      </c>
      <c r="G1266" s="27">
        <f>IF(OR($B1266="",$C1266=""),"",$C1266*$F1266)</f>
        <v>0</v>
      </c>
      <c r="H1266" s="27">
        <f>IF(OR($B1266="",$C1266=""),"",$C1266*IFERROR(INDEX(PecCusto,MATCH($B1266,PecCod,0)),0))</f>
        <v>0</v>
      </c>
      <c r="I1266" s="32">
        <f>IF($A1266="","",IFERROR(INDEX(OSStatus,MATCH($A1266,OSNum,0)),"OS inexistente"))</f>
        <v>0</v>
      </c>
      <c r="J1266" s="32">
        <f>IF($A1266="","",IF($I1266="OS inexistente","OS inexistente",IF($E1266="Peça não cadastrada","Peça não cadastrada","OK")))</f>
        <v>0</v>
      </c>
    </row>
    <row r="1267" spans="1:10">
      <c r="A1267" s="17"/>
      <c r="B1267" s="13"/>
      <c r="C1267" s="20"/>
      <c r="D1267" s="19"/>
      <c r="E1267" s="26">
        <f>IF($B1267="","",IFERROR(INDEX(PecDesc,MATCH($B1267,PecCod,0)),"Peça não cadastrada"))</f>
        <v>0</v>
      </c>
      <c r="F1267" s="27">
        <f>IF($B1267="","",IF($D1267&lt;&gt;"",$D1267,IFERROR(INDEX(PecPreco,MATCH($B1267,PecCod,0)),0)))</f>
        <v>0</v>
      </c>
      <c r="G1267" s="27">
        <f>IF(OR($B1267="",$C1267=""),"",$C1267*$F1267)</f>
        <v>0</v>
      </c>
      <c r="H1267" s="27">
        <f>IF(OR($B1267="",$C1267=""),"",$C1267*IFERROR(INDEX(PecCusto,MATCH($B1267,PecCod,0)),0))</f>
        <v>0</v>
      </c>
      <c r="I1267" s="32">
        <f>IF($A1267="","",IFERROR(INDEX(OSStatus,MATCH($A1267,OSNum,0)),"OS inexistente"))</f>
        <v>0</v>
      </c>
      <c r="J1267" s="32">
        <f>IF($A1267="","",IF($I1267="OS inexistente","OS inexistente",IF($E1267="Peça não cadastrada","Peça não cadastrada","OK")))</f>
        <v>0</v>
      </c>
    </row>
    <row r="1268" spans="1:10">
      <c r="A1268" s="17"/>
      <c r="B1268" s="13"/>
      <c r="C1268" s="20"/>
      <c r="D1268" s="19"/>
      <c r="E1268" s="26">
        <f>IF($B1268="","",IFERROR(INDEX(PecDesc,MATCH($B1268,PecCod,0)),"Peça não cadastrada"))</f>
        <v>0</v>
      </c>
      <c r="F1268" s="27">
        <f>IF($B1268="","",IF($D1268&lt;&gt;"",$D1268,IFERROR(INDEX(PecPreco,MATCH($B1268,PecCod,0)),0)))</f>
        <v>0</v>
      </c>
      <c r="G1268" s="27">
        <f>IF(OR($B1268="",$C1268=""),"",$C1268*$F1268)</f>
        <v>0</v>
      </c>
      <c r="H1268" s="27">
        <f>IF(OR($B1268="",$C1268=""),"",$C1268*IFERROR(INDEX(PecCusto,MATCH($B1268,PecCod,0)),0))</f>
        <v>0</v>
      </c>
      <c r="I1268" s="32">
        <f>IF($A1268="","",IFERROR(INDEX(OSStatus,MATCH($A1268,OSNum,0)),"OS inexistente"))</f>
        <v>0</v>
      </c>
      <c r="J1268" s="32">
        <f>IF($A1268="","",IF($I1268="OS inexistente","OS inexistente",IF($E1268="Peça não cadastrada","Peça não cadastrada","OK")))</f>
        <v>0</v>
      </c>
    </row>
    <row r="1269" spans="1:10">
      <c r="A1269" s="17"/>
      <c r="B1269" s="13"/>
      <c r="C1269" s="20"/>
      <c r="D1269" s="19"/>
      <c r="E1269" s="26">
        <f>IF($B1269="","",IFERROR(INDEX(PecDesc,MATCH($B1269,PecCod,0)),"Peça não cadastrada"))</f>
        <v>0</v>
      </c>
      <c r="F1269" s="27">
        <f>IF($B1269="","",IF($D1269&lt;&gt;"",$D1269,IFERROR(INDEX(PecPreco,MATCH($B1269,PecCod,0)),0)))</f>
        <v>0</v>
      </c>
      <c r="G1269" s="27">
        <f>IF(OR($B1269="",$C1269=""),"",$C1269*$F1269)</f>
        <v>0</v>
      </c>
      <c r="H1269" s="27">
        <f>IF(OR($B1269="",$C1269=""),"",$C1269*IFERROR(INDEX(PecCusto,MATCH($B1269,PecCod,0)),0))</f>
        <v>0</v>
      </c>
      <c r="I1269" s="32">
        <f>IF($A1269="","",IFERROR(INDEX(OSStatus,MATCH($A1269,OSNum,0)),"OS inexistente"))</f>
        <v>0</v>
      </c>
      <c r="J1269" s="32">
        <f>IF($A1269="","",IF($I1269="OS inexistente","OS inexistente",IF($E1269="Peça não cadastrada","Peça não cadastrada","OK")))</f>
        <v>0</v>
      </c>
    </row>
    <row r="1270" spans="1:10">
      <c r="A1270" s="17"/>
      <c r="B1270" s="13"/>
      <c r="C1270" s="20"/>
      <c r="D1270" s="19"/>
      <c r="E1270" s="26">
        <f>IF($B1270="","",IFERROR(INDEX(PecDesc,MATCH($B1270,PecCod,0)),"Peça não cadastrada"))</f>
        <v>0</v>
      </c>
      <c r="F1270" s="27">
        <f>IF($B1270="","",IF($D1270&lt;&gt;"",$D1270,IFERROR(INDEX(PecPreco,MATCH($B1270,PecCod,0)),0)))</f>
        <v>0</v>
      </c>
      <c r="G1270" s="27">
        <f>IF(OR($B1270="",$C1270=""),"",$C1270*$F1270)</f>
        <v>0</v>
      </c>
      <c r="H1270" s="27">
        <f>IF(OR($B1270="",$C1270=""),"",$C1270*IFERROR(INDEX(PecCusto,MATCH($B1270,PecCod,0)),0))</f>
        <v>0</v>
      </c>
      <c r="I1270" s="32">
        <f>IF($A1270="","",IFERROR(INDEX(OSStatus,MATCH($A1270,OSNum,0)),"OS inexistente"))</f>
        <v>0</v>
      </c>
      <c r="J1270" s="32">
        <f>IF($A1270="","",IF($I1270="OS inexistente","OS inexistente",IF($E1270="Peça não cadastrada","Peça não cadastrada","OK")))</f>
        <v>0</v>
      </c>
    </row>
    <row r="1271" spans="1:10">
      <c r="A1271" s="17"/>
      <c r="B1271" s="13"/>
      <c r="C1271" s="20"/>
      <c r="D1271" s="19"/>
      <c r="E1271" s="26">
        <f>IF($B1271="","",IFERROR(INDEX(PecDesc,MATCH($B1271,PecCod,0)),"Peça não cadastrada"))</f>
        <v>0</v>
      </c>
      <c r="F1271" s="27">
        <f>IF($B1271="","",IF($D1271&lt;&gt;"",$D1271,IFERROR(INDEX(PecPreco,MATCH($B1271,PecCod,0)),0)))</f>
        <v>0</v>
      </c>
      <c r="G1271" s="27">
        <f>IF(OR($B1271="",$C1271=""),"",$C1271*$F1271)</f>
        <v>0</v>
      </c>
      <c r="H1271" s="27">
        <f>IF(OR($B1271="",$C1271=""),"",$C1271*IFERROR(INDEX(PecCusto,MATCH($B1271,PecCod,0)),0))</f>
        <v>0</v>
      </c>
      <c r="I1271" s="32">
        <f>IF($A1271="","",IFERROR(INDEX(OSStatus,MATCH($A1271,OSNum,0)),"OS inexistente"))</f>
        <v>0</v>
      </c>
      <c r="J1271" s="32">
        <f>IF($A1271="","",IF($I1271="OS inexistente","OS inexistente",IF($E1271="Peça não cadastrada","Peça não cadastrada","OK")))</f>
        <v>0</v>
      </c>
    </row>
    <row r="1272" spans="1:10">
      <c r="A1272" s="17"/>
      <c r="B1272" s="13"/>
      <c r="C1272" s="20"/>
      <c r="D1272" s="19"/>
      <c r="E1272" s="26">
        <f>IF($B1272="","",IFERROR(INDEX(PecDesc,MATCH($B1272,PecCod,0)),"Peça não cadastrada"))</f>
        <v>0</v>
      </c>
      <c r="F1272" s="27">
        <f>IF($B1272="","",IF($D1272&lt;&gt;"",$D1272,IFERROR(INDEX(PecPreco,MATCH($B1272,PecCod,0)),0)))</f>
        <v>0</v>
      </c>
      <c r="G1272" s="27">
        <f>IF(OR($B1272="",$C1272=""),"",$C1272*$F1272)</f>
        <v>0</v>
      </c>
      <c r="H1272" s="27">
        <f>IF(OR($B1272="",$C1272=""),"",$C1272*IFERROR(INDEX(PecCusto,MATCH($B1272,PecCod,0)),0))</f>
        <v>0</v>
      </c>
      <c r="I1272" s="32">
        <f>IF($A1272="","",IFERROR(INDEX(OSStatus,MATCH($A1272,OSNum,0)),"OS inexistente"))</f>
        <v>0</v>
      </c>
      <c r="J1272" s="32">
        <f>IF($A1272="","",IF($I1272="OS inexistente","OS inexistente",IF($E1272="Peça não cadastrada","Peça não cadastrada","OK")))</f>
        <v>0</v>
      </c>
    </row>
    <row r="1273" spans="1:10">
      <c r="A1273" s="17"/>
      <c r="B1273" s="13"/>
      <c r="C1273" s="20"/>
      <c r="D1273" s="19"/>
      <c r="E1273" s="26">
        <f>IF($B1273="","",IFERROR(INDEX(PecDesc,MATCH($B1273,PecCod,0)),"Peça não cadastrada"))</f>
        <v>0</v>
      </c>
      <c r="F1273" s="27">
        <f>IF($B1273="","",IF($D1273&lt;&gt;"",$D1273,IFERROR(INDEX(PecPreco,MATCH($B1273,PecCod,0)),0)))</f>
        <v>0</v>
      </c>
      <c r="G1273" s="27">
        <f>IF(OR($B1273="",$C1273=""),"",$C1273*$F1273)</f>
        <v>0</v>
      </c>
      <c r="H1273" s="27">
        <f>IF(OR($B1273="",$C1273=""),"",$C1273*IFERROR(INDEX(PecCusto,MATCH($B1273,PecCod,0)),0))</f>
        <v>0</v>
      </c>
      <c r="I1273" s="32">
        <f>IF($A1273="","",IFERROR(INDEX(OSStatus,MATCH($A1273,OSNum,0)),"OS inexistente"))</f>
        <v>0</v>
      </c>
      <c r="J1273" s="32">
        <f>IF($A1273="","",IF($I1273="OS inexistente","OS inexistente",IF($E1273="Peça não cadastrada","Peça não cadastrada","OK")))</f>
        <v>0</v>
      </c>
    </row>
    <row r="1274" spans="1:10">
      <c r="A1274" s="17"/>
      <c r="B1274" s="13"/>
      <c r="C1274" s="20"/>
      <c r="D1274" s="19"/>
      <c r="E1274" s="26">
        <f>IF($B1274="","",IFERROR(INDEX(PecDesc,MATCH($B1274,PecCod,0)),"Peça não cadastrada"))</f>
        <v>0</v>
      </c>
      <c r="F1274" s="27">
        <f>IF($B1274="","",IF($D1274&lt;&gt;"",$D1274,IFERROR(INDEX(PecPreco,MATCH($B1274,PecCod,0)),0)))</f>
        <v>0</v>
      </c>
      <c r="G1274" s="27">
        <f>IF(OR($B1274="",$C1274=""),"",$C1274*$F1274)</f>
        <v>0</v>
      </c>
      <c r="H1274" s="27">
        <f>IF(OR($B1274="",$C1274=""),"",$C1274*IFERROR(INDEX(PecCusto,MATCH($B1274,PecCod,0)),0))</f>
        <v>0</v>
      </c>
      <c r="I1274" s="32">
        <f>IF($A1274="","",IFERROR(INDEX(OSStatus,MATCH($A1274,OSNum,0)),"OS inexistente"))</f>
        <v>0</v>
      </c>
      <c r="J1274" s="32">
        <f>IF($A1274="","",IF($I1274="OS inexistente","OS inexistente",IF($E1274="Peça não cadastrada","Peça não cadastrada","OK")))</f>
        <v>0</v>
      </c>
    </row>
    <row r="1275" spans="1:10">
      <c r="A1275" s="17"/>
      <c r="B1275" s="13"/>
      <c r="C1275" s="20"/>
      <c r="D1275" s="19"/>
      <c r="E1275" s="26">
        <f>IF($B1275="","",IFERROR(INDEX(PecDesc,MATCH($B1275,PecCod,0)),"Peça não cadastrada"))</f>
        <v>0</v>
      </c>
      <c r="F1275" s="27">
        <f>IF($B1275="","",IF($D1275&lt;&gt;"",$D1275,IFERROR(INDEX(PecPreco,MATCH($B1275,PecCod,0)),0)))</f>
        <v>0</v>
      </c>
      <c r="G1275" s="27">
        <f>IF(OR($B1275="",$C1275=""),"",$C1275*$F1275)</f>
        <v>0</v>
      </c>
      <c r="H1275" s="27">
        <f>IF(OR($B1275="",$C1275=""),"",$C1275*IFERROR(INDEX(PecCusto,MATCH($B1275,PecCod,0)),0))</f>
        <v>0</v>
      </c>
      <c r="I1275" s="32">
        <f>IF($A1275="","",IFERROR(INDEX(OSStatus,MATCH($A1275,OSNum,0)),"OS inexistente"))</f>
        <v>0</v>
      </c>
      <c r="J1275" s="32">
        <f>IF($A1275="","",IF($I1275="OS inexistente","OS inexistente",IF($E1275="Peça não cadastrada","Peça não cadastrada","OK")))</f>
        <v>0</v>
      </c>
    </row>
    <row r="1276" spans="1:10">
      <c r="A1276" s="17"/>
      <c r="B1276" s="13"/>
      <c r="C1276" s="20"/>
      <c r="D1276" s="19"/>
      <c r="E1276" s="26">
        <f>IF($B1276="","",IFERROR(INDEX(PecDesc,MATCH($B1276,PecCod,0)),"Peça não cadastrada"))</f>
        <v>0</v>
      </c>
      <c r="F1276" s="27">
        <f>IF($B1276="","",IF($D1276&lt;&gt;"",$D1276,IFERROR(INDEX(PecPreco,MATCH($B1276,PecCod,0)),0)))</f>
        <v>0</v>
      </c>
      <c r="G1276" s="27">
        <f>IF(OR($B1276="",$C1276=""),"",$C1276*$F1276)</f>
        <v>0</v>
      </c>
      <c r="H1276" s="27">
        <f>IF(OR($B1276="",$C1276=""),"",$C1276*IFERROR(INDEX(PecCusto,MATCH($B1276,PecCod,0)),0))</f>
        <v>0</v>
      </c>
      <c r="I1276" s="32">
        <f>IF($A1276="","",IFERROR(INDEX(OSStatus,MATCH($A1276,OSNum,0)),"OS inexistente"))</f>
        <v>0</v>
      </c>
      <c r="J1276" s="32">
        <f>IF($A1276="","",IF($I1276="OS inexistente","OS inexistente",IF($E1276="Peça não cadastrada","Peça não cadastrada","OK")))</f>
        <v>0</v>
      </c>
    </row>
    <row r="1277" spans="1:10">
      <c r="A1277" s="17"/>
      <c r="B1277" s="13"/>
      <c r="C1277" s="20"/>
      <c r="D1277" s="19"/>
      <c r="E1277" s="26">
        <f>IF($B1277="","",IFERROR(INDEX(PecDesc,MATCH($B1277,PecCod,0)),"Peça não cadastrada"))</f>
        <v>0</v>
      </c>
      <c r="F1277" s="27">
        <f>IF($B1277="","",IF($D1277&lt;&gt;"",$D1277,IFERROR(INDEX(PecPreco,MATCH($B1277,PecCod,0)),0)))</f>
        <v>0</v>
      </c>
      <c r="G1277" s="27">
        <f>IF(OR($B1277="",$C1277=""),"",$C1277*$F1277)</f>
        <v>0</v>
      </c>
      <c r="H1277" s="27">
        <f>IF(OR($B1277="",$C1277=""),"",$C1277*IFERROR(INDEX(PecCusto,MATCH($B1277,PecCod,0)),0))</f>
        <v>0</v>
      </c>
      <c r="I1277" s="32">
        <f>IF($A1277="","",IFERROR(INDEX(OSStatus,MATCH($A1277,OSNum,0)),"OS inexistente"))</f>
        <v>0</v>
      </c>
      <c r="J1277" s="32">
        <f>IF($A1277="","",IF($I1277="OS inexistente","OS inexistente",IF($E1277="Peça não cadastrada","Peça não cadastrada","OK")))</f>
        <v>0</v>
      </c>
    </row>
    <row r="1278" spans="1:10">
      <c r="A1278" s="17"/>
      <c r="B1278" s="13"/>
      <c r="C1278" s="20"/>
      <c r="D1278" s="19"/>
      <c r="E1278" s="26">
        <f>IF($B1278="","",IFERROR(INDEX(PecDesc,MATCH($B1278,PecCod,0)),"Peça não cadastrada"))</f>
        <v>0</v>
      </c>
      <c r="F1278" s="27">
        <f>IF($B1278="","",IF($D1278&lt;&gt;"",$D1278,IFERROR(INDEX(PecPreco,MATCH($B1278,PecCod,0)),0)))</f>
        <v>0</v>
      </c>
      <c r="G1278" s="27">
        <f>IF(OR($B1278="",$C1278=""),"",$C1278*$F1278)</f>
        <v>0</v>
      </c>
      <c r="H1278" s="27">
        <f>IF(OR($B1278="",$C1278=""),"",$C1278*IFERROR(INDEX(PecCusto,MATCH($B1278,PecCod,0)),0))</f>
        <v>0</v>
      </c>
      <c r="I1278" s="32">
        <f>IF($A1278="","",IFERROR(INDEX(OSStatus,MATCH($A1278,OSNum,0)),"OS inexistente"))</f>
        <v>0</v>
      </c>
      <c r="J1278" s="32">
        <f>IF($A1278="","",IF($I1278="OS inexistente","OS inexistente",IF($E1278="Peça não cadastrada","Peça não cadastrada","OK")))</f>
        <v>0</v>
      </c>
    </row>
    <row r="1279" spans="1:10">
      <c r="A1279" s="17"/>
      <c r="B1279" s="13"/>
      <c r="C1279" s="20"/>
      <c r="D1279" s="19"/>
      <c r="E1279" s="26">
        <f>IF($B1279="","",IFERROR(INDEX(PecDesc,MATCH($B1279,PecCod,0)),"Peça não cadastrada"))</f>
        <v>0</v>
      </c>
      <c r="F1279" s="27">
        <f>IF($B1279="","",IF($D1279&lt;&gt;"",$D1279,IFERROR(INDEX(PecPreco,MATCH($B1279,PecCod,0)),0)))</f>
        <v>0</v>
      </c>
      <c r="G1279" s="27">
        <f>IF(OR($B1279="",$C1279=""),"",$C1279*$F1279)</f>
        <v>0</v>
      </c>
      <c r="H1279" s="27">
        <f>IF(OR($B1279="",$C1279=""),"",$C1279*IFERROR(INDEX(PecCusto,MATCH($B1279,PecCod,0)),0))</f>
        <v>0</v>
      </c>
      <c r="I1279" s="32">
        <f>IF($A1279="","",IFERROR(INDEX(OSStatus,MATCH($A1279,OSNum,0)),"OS inexistente"))</f>
        <v>0</v>
      </c>
      <c r="J1279" s="32">
        <f>IF($A1279="","",IF($I1279="OS inexistente","OS inexistente",IF($E1279="Peça não cadastrada","Peça não cadastrada","OK")))</f>
        <v>0</v>
      </c>
    </row>
    <row r="1280" spans="1:10">
      <c r="A1280" s="17"/>
      <c r="B1280" s="13"/>
      <c r="C1280" s="20"/>
      <c r="D1280" s="19"/>
      <c r="E1280" s="26">
        <f>IF($B1280="","",IFERROR(INDEX(PecDesc,MATCH($B1280,PecCod,0)),"Peça não cadastrada"))</f>
        <v>0</v>
      </c>
      <c r="F1280" s="27">
        <f>IF($B1280="","",IF($D1280&lt;&gt;"",$D1280,IFERROR(INDEX(PecPreco,MATCH($B1280,PecCod,0)),0)))</f>
        <v>0</v>
      </c>
      <c r="G1280" s="27">
        <f>IF(OR($B1280="",$C1280=""),"",$C1280*$F1280)</f>
        <v>0</v>
      </c>
      <c r="H1280" s="27">
        <f>IF(OR($B1280="",$C1280=""),"",$C1280*IFERROR(INDEX(PecCusto,MATCH($B1280,PecCod,0)),0))</f>
        <v>0</v>
      </c>
      <c r="I1280" s="32">
        <f>IF($A1280="","",IFERROR(INDEX(OSStatus,MATCH($A1280,OSNum,0)),"OS inexistente"))</f>
        <v>0</v>
      </c>
      <c r="J1280" s="32">
        <f>IF($A1280="","",IF($I1280="OS inexistente","OS inexistente",IF($E1280="Peça não cadastrada","Peça não cadastrada","OK")))</f>
        <v>0</v>
      </c>
    </row>
    <row r="1281" spans="1:10">
      <c r="A1281" s="17"/>
      <c r="B1281" s="13"/>
      <c r="C1281" s="20"/>
      <c r="D1281" s="19"/>
      <c r="E1281" s="26">
        <f>IF($B1281="","",IFERROR(INDEX(PecDesc,MATCH($B1281,PecCod,0)),"Peça não cadastrada"))</f>
        <v>0</v>
      </c>
      <c r="F1281" s="27">
        <f>IF($B1281="","",IF($D1281&lt;&gt;"",$D1281,IFERROR(INDEX(PecPreco,MATCH($B1281,PecCod,0)),0)))</f>
        <v>0</v>
      </c>
      <c r="G1281" s="27">
        <f>IF(OR($B1281="",$C1281=""),"",$C1281*$F1281)</f>
        <v>0</v>
      </c>
      <c r="H1281" s="27">
        <f>IF(OR($B1281="",$C1281=""),"",$C1281*IFERROR(INDEX(PecCusto,MATCH($B1281,PecCod,0)),0))</f>
        <v>0</v>
      </c>
      <c r="I1281" s="32">
        <f>IF($A1281="","",IFERROR(INDEX(OSStatus,MATCH($A1281,OSNum,0)),"OS inexistente"))</f>
        <v>0</v>
      </c>
      <c r="J1281" s="32">
        <f>IF($A1281="","",IF($I1281="OS inexistente","OS inexistente",IF($E1281="Peça não cadastrada","Peça não cadastrada","OK")))</f>
        <v>0</v>
      </c>
    </row>
    <row r="1282" spans="1:10">
      <c r="A1282" s="17"/>
      <c r="B1282" s="13"/>
      <c r="C1282" s="20"/>
      <c r="D1282" s="19"/>
      <c r="E1282" s="26">
        <f>IF($B1282="","",IFERROR(INDEX(PecDesc,MATCH($B1282,PecCod,0)),"Peça não cadastrada"))</f>
        <v>0</v>
      </c>
      <c r="F1282" s="27">
        <f>IF($B1282="","",IF($D1282&lt;&gt;"",$D1282,IFERROR(INDEX(PecPreco,MATCH($B1282,PecCod,0)),0)))</f>
        <v>0</v>
      </c>
      <c r="G1282" s="27">
        <f>IF(OR($B1282="",$C1282=""),"",$C1282*$F1282)</f>
        <v>0</v>
      </c>
      <c r="H1282" s="27">
        <f>IF(OR($B1282="",$C1282=""),"",$C1282*IFERROR(INDEX(PecCusto,MATCH($B1282,PecCod,0)),0))</f>
        <v>0</v>
      </c>
      <c r="I1282" s="32">
        <f>IF($A1282="","",IFERROR(INDEX(OSStatus,MATCH($A1282,OSNum,0)),"OS inexistente"))</f>
        <v>0</v>
      </c>
      <c r="J1282" s="32">
        <f>IF($A1282="","",IF($I1282="OS inexistente","OS inexistente",IF($E1282="Peça não cadastrada","Peça não cadastrada","OK")))</f>
        <v>0</v>
      </c>
    </row>
    <row r="1283" spans="1:10">
      <c r="A1283" s="17"/>
      <c r="B1283" s="13"/>
      <c r="C1283" s="20"/>
      <c r="D1283" s="19"/>
      <c r="E1283" s="26">
        <f>IF($B1283="","",IFERROR(INDEX(PecDesc,MATCH($B1283,PecCod,0)),"Peça não cadastrada"))</f>
        <v>0</v>
      </c>
      <c r="F1283" s="27">
        <f>IF($B1283="","",IF($D1283&lt;&gt;"",$D1283,IFERROR(INDEX(PecPreco,MATCH($B1283,PecCod,0)),0)))</f>
        <v>0</v>
      </c>
      <c r="G1283" s="27">
        <f>IF(OR($B1283="",$C1283=""),"",$C1283*$F1283)</f>
        <v>0</v>
      </c>
      <c r="H1283" s="27">
        <f>IF(OR($B1283="",$C1283=""),"",$C1283*IFERROR(INDEX(PecCusto,MATCH($B1283,PecCod,0)),0))</f>
        <v>0</v>
      </c>
      <c r="I1283" s="32">
        <f>IF($A1283="","",IFERROR(INDEX(OSStatus,MATCH($A1283,OSNum,0)),"OS inexistente"))</f>
        <v>0</v>
      </c>
      <c r="J1283" s="32">
        <f>IF($A1283="","",IF($I1283="OS inexistente","OS inexistente",IF($E1283="Peça não cadastrada","Peça não cadastrada","OK")))</f>
        <v>0</v>
      </c>
    </row>
    <row r="1284" spans="1:10">
      <c r="A1284" s="17"/>
      <c r="B1284" s="13"/>
      <c r="C1284" s="20"/>
      <c r="D1284" s="19"/>
      <c r="E1284" s="26">
        <f>IF($B1284="","",IFERROR(INDEX(PecDesc,MATCH($B1284,PecCod,0)),"Peça não cadastrada"))</f>
        <v>0</v>
      </c>
      <c r="F1284" s="27">
        <f>IF($B1284="","",IF($D1284&lt;&gt;"",$D1284,IFERROR(INDEX(PecPreco,MATCH($B1284,PecCod,0)),0)))</f>
        <v>0</v>
      </c>
      <c r="G1284" s="27">
        <f>IF(OR($B1284="",$C1284=""),"",$C1284*$F1284)</f>
        <v>0</v>
      </c>
      <c r="H1284" s="27">
        <f>IF(OR($B1284="",$C1284=""),"",$C1284*IFERROR(INDEX(PecCusto,MATCH($B1284,PecCod,0)),0))</f>
        <v>0</v>
      </c>
      <c r="I1284" s="32">
        <f>IF($A1284="","",IFERROR(INDEX(OSStatus,MATCH($A1284,OSNum,0)),"OS inexistente"))</f>
        <v>0</v>
      </c>
      <c r="J1284" s="32">
        <f>IF($A1284="","",IF($I1284="OS inexistente","OS inexistente",IF($E1284="Peça não cadastrada","Peça não cadastrada","OK")))</f>
        <v>0</v>
      </c>
    </row>
    <row r="1285" spans="1:10">
      <c r="A1285" s="17"/>
      <c r="B1285" s="13"/>
      <c r="C1285" s="20"/>
      <c r="D1285" s="19"/>
      <c r="E1285" s="26">
        <f>IF($B1285="","",IFERROR(INDEX(PecDesc,MATCH($B1285,PecCod,0)),"Peça não cadastrada"))</f>
        <v>0</v>
      </c>
      <c r="F1285" s="27">
        <f>IF($B1285="","",IF($D1285&lt;&gt;"",$D1285,IFERROR(INDEX(PecPreco,MATCH($B1285,PecCod,0)),0)))</f>
        <v>0</v>
      </c>
      <c r="G1285" s="27">
        <f>IF(OR($B1285="",$C1285=""),"",$C1285*$F1285)</f>
        <v>0</v>
      </c>
      <c r="H1285" s="27">
        <f>IF(OR($B1285="",$C1285=""),"",$C1285*IFERROR(INDEX(PecCusto,MATCH($B1285,PecCod,0)),0))</f>
        <v>0</v>
      </c>
      <c r="I1285" s="32">
        <f>IF($A1285="","",IFERROR(INDEX(OSStatus,MATCH($A1285,OSNum,0)),"OS inexistente"))</f>
        <v>0</v>
      </c>
      <c r="J1285" s="32">
        <f>IF($A1285="","",IF($I1285="OS inexistente","OS inexistente",IF($E1285="Peça não cadastrada","Peça não cadastrada","OK")))</f>
        <v>0</v>
      </c>
    </row>
    <row r="1286" spans="1:10">
      <c r="A1286" s="17"/>
      <c r="B1286" s="13"/>
      <c r="C1286" s="20"/>
      <c r="D1286" s="19"/>
      <c r="E1286" s="26">
        <f>IF($B1286="","",IFERROR(INDEX(PecDesc,MATCH($B1286,PecCod,0)),"Peça não cadastrada"))</f>
        <v>0</v>
      </c>
      <c r="F1286" s="27">
        <f>IF($B1286="","",IF($D1286&lt;&gt;"",$D1286,IFERROR(INDEX(PecPreco,MATCH($B1286,PecCod,0)),0)))</f>
        <v>0</v>
      </c>
      <c r="G1286" s="27">
        <f>IF(OR($B1286="",$C1286=""),"",$C1286*$F1286)</f>
        <v>0</v>
      </c>
      <c r="H1286" s="27">
        <f>IF(OR($B1286="",$C1286=""),"",$C1286*IFERROR(INDEX(PecCusto,MATCH($B1286,PecCod,0)),0))</f>
        <v>0</v>
      </c>
      <c r="I1286" s="32">
        <f>IF($A1286="","",IFERROR(INDEX(OSStatus,MATCH($A1286,OSNum,0)),"OS inexistente"))</f>
        <v>0</v>
      </c>
      <c r="J1286" s="32">
        <f>IF($A1286="","",IF($I1286="OS inexistente","OS inexistente",IF($E1286="Peça não cadastrada","Peça não cadastrada","OK")))</f>
        <v>0</v>
      </c>
    </row>
    <row r="1287" spans="1:10">
      <c r="A1287" s="17"/>
      <c r="B1287" s="13"/>
      <c r="C1287" s="20"/>
      <c r="D1287" s="19"/>
      <c r="E1287" s="26">
        <f>IF($B1287="","",IFERROR(INDEX(PecDesc,MATCH($B1287,PecCod,0)),"Peça não cadastrada"))</f>
        <v>0</v>
      </c>
      <c r="F1287" s="27">
        <f>IF($B1287="","",IF($D1287&lt;&gt;"",$D1287,IFERROR(INDEX(PecPreco,MATCH($B1287,PecCod,0)),0)))</f>
        <v>0</v>
      </c>
      <c r="G1287" s="27">
        <f>IF(OR($B1287="",$C1287=""),"",$C1287*$F1287)</f>
        <v>0</v>
      </c>
      <c r="H1287" s="27">
        <f>IF(OR($B1287="",$C1287=""),"",$C1287*IFERROR(INDEX(PecCusto,MATCH($B1287,PecCod,0)),0))</f>
        <v>0</v>
      </c>
      <c r="I1287" s="32">
        <f>IF($A1287="","",IFERROR(INDEX(OSStatus,MATCH($A1287,OSNum,0)),"OS inexistente"))</f>
        <v>0</v>
      </c>
      <c r="J1287" s="32">
        <f>IF($A1287="","",IF($I1287="OS inexistente","OS inexistente",IF($E1287="Peça não cadastrada","Peça não cadastrada","OK")))</f>
        <v>0</v>
      </c>
    </row>
    <row r="1288" spans="1:10">
      <c r="A1288" s="17"/>
      <c r="B1288" s="13"/>
      <c r="C1288" s="20"/>
      <c r="D1288" s="19"/>
      <c r="E1288" s="26">
        <f>IF($B1288="","",IFERROR(INDEX(PecDesc,MATCH($B1288,PecCod,0)),"Peça não cadastrada"))</f>
        <v>0</v>
      </c>
      <c r="F1288" s="27">
        <f>IF($B1288="","",IF($D1288&lt;&gt;"",$D1288,IFERROR(INDEX(PecPreco,MATCH($B1288,PecCod,0)),0)))</f>
        <v>0</v>
      </c>
      <c r="G1288" s="27">
        <f>IF(OR($B1288="",$C1288=""),"",$C1288*$F1288)</f>
        <v>0</v>
      </c>
      <c r="H1288" s="27">
        <f>IF(OR($B1288="",$C1288=""),"",$C1288*IFERROR(INDEX(PecCusto,MATCH($B1288,PecCod,0)),0))</f>
        <v>0</v>
      </c>
      <c r="I1288" s="32">
        <f>IF($A1288="","",IFERROR(INDEX(OSStatus,MATCH($A1288,OSNum,0)),"OS inexistente"))</f>
        <v>0</v>
      </c>
      <c r="J1288" s="32">
        <f>IF($A1288="","",IF($I1288="OS inexistente","OS inexistente",IF($E1288="Peça não cadastrada","Peça não cadastrada","OK")))</f>
        <v>0</v>
      </c>
    </row>
    <row r="1289" spans="1:10">
      <c r="A1289" s="17"/>
      <c r="B1289" s="13"/>
      <c r="C1289" s="20"/>
      <c r="D1289" s="19"/>
      <c r="E1289" s="26">
        <f>IF($B1289="","",IFERROR(INDEX(PecDesc,MATCH($B1289,PecCod,0)),"Peça não cadastrada"))</f>
        <v>0</v>
      </c>
      <c r="F1289" s="27">
        <f>IF($B1289="","",IF($D1289&lt;&gt;"",$D1289,IFERROR(INDEX(PecPreco,MATCH($B1289,PecCod,0)),0)))</f>
        <v>0</v>
      </c>
      <c r="G1289" s="27">
        <f>IF(OR($B1289="",$C1289=""),"",$C1289*$F1289)</f>
        <v>0</v>
      </c>
      <c r="H1289" s="27">
        <f>IF(OR($B1289="",$C1289=""),"",$C1289*IFERROR(INDEX(PecCusto,MATCH($B1289,PecCod,0)),0))</f>
        <v>0</v>
      </c>
      <c r="I1289" s="32">
        <f>IF($A1289="","",IFERROR(INDEX(OSStatus,MATCH($A1289,OSNum,0)),"OS inexistente"))</f>
        <v>0</v>
      </c>
      <c r="J1289" s="32">
        <f>IF($A1289="","",IF($I1289="OS inexistente","OS inexistente",IF($E1289="Peça não cadastrada","Peça não cadastrada","OK")))</f>
        <v>0</v>
      </c>
    </row>
    <row r="1290" spans="1:10">
      <c r="A1290" s="17"/>
      <c r="B1290" s="13"/>
      <c r="C1290" s="20"/>
      <c r="D1290" s="19"/>
      <c r="E1290" s="26">
        <f>IF($B1290="","",IFERROR(INDEX(PecDesc,MATCH($B1290,PecCod,0)),"Peça não cadastrada"))</f>
        <v>0</v>
      </c>
      <c r="F1290" s="27">
        <f>IF($B1290="","",IF($D1290&lt;&gt;"",$D1290,IFERROR(INDEX(PecPreco,MATCH($B1290,PecCod,0)),0)))</f>
        <v>0</v>
      </c>
      <c r="G1290" s="27">
        <f>IF(OR($B1290="",$C1290=""),"",$C1290*$F1290)</f>
        <v>0</v>
      </c>
      <c r="H1290" s="27">
        <f>IF(OR($B1290="",$C1290=""),"",$C1290*IFERROR(INDEX(PecCusto,MATCH($B1290,PecCod,0)),0))</f>
        <v>0</v>
      </c>
      <c r="I1290" s="32">
        <f>IF($A1290="","",IFERROR(INDEX(OSStatus,MATCH($A1290,OSNum,0)),"OS inexistente"))</f>
        <v>0</v>
      </c>
      <c r="J1290" s="32">
        <f>IF($A1290="","",IF($I1290="OS inexistente","OS inexistente",IF($E1290="Peça não cadastrada","Peça não cadastrada","OK")))</f>
        <v>0</v>
      </c>
    </row>
    <row r="1291" spans="1:10">
      <c r="A1291" s="17"/>
      <c r="B1291" s="13"/>
      <c r="C1291" s="20"/>
      <c r="D1291" s="19"/>
      <c r="E1291" s="26">
        <f>IF($B1291="","",IFERROR(INDEX(PecDesc,MATCH($B1291,PecCod,0)),"Peça não cadastrada"))</f>
        <v>0</v>
      </c>
      <c r="F1291" s="27">
        <f>IF($B1291="","",IF($D1291&lt;&gt;"",$D1291,IFERROR(INDEX(PecPreco,MATCH($B1291,PecCod,0)),0)))</f>
        <v>0</v>
      </c>
      <c r="G1291" s="27">
        <f>IF(OR($B1291="",$C1291=""),"",$C1291*$F1291)</f>
        <v>0</v>
      </c>
      <c r="H1291" s="27">
        <f>IF(OR($B1291="",$C1291=""),"",$C1291*IFERROR(INDEX(PecCusto,MATCH($B1291,PecCod,0)),0))</f>
        <v>0</v>
      </c>
      <c r="I1291" s="32">
        <f>IF($A1291="","",IFERROR(INDEX(OSStatus,MATCH($A1291,OSNum,0)),"OS inexistente"))</f>
        <v>0</v>
      </c>
      <c r="J1291" s="32">
        <f>IF($A1291="","",IF($I1291="OS inexistente","OS inexistente",IF($E1291="Peça não cadastrada","Peça não cadastrada","OK")))</f>
        <v>0</v>
      </c>
    </row>
    <row r="1292" spans="1:10">
      <c r="A1292" s="17"/>
      <c r="B1292" s="13"/>
      <c r="C1292" s="20"/>
      <c r="D1292" s="19"/>
      <c r="E1292" s="26">
        <f>IF($B1292="","",IFERROR(INDEX(PecDesc,MATCH($B1292,PecCod,0)),"Peça não cadastrada"))</f>
        <v>0</v>
      </c>
      <c r="F1292" s="27">
        <f>IF($B1292="","",IF($D1292&lt;&gt;"",$D1292,IFERROR(INDEX(PecPreco,MATCH($B1292,PecCod,0)),0)))</f>
        <v>0</v>
      </c>
      <c r="G1292" s="27">
        <f>IF(OR($B1292="",$C1292=""),"",$C1292*$F1292)</f>
        <v>0</v>
      </c>
      <c r="H1292" s="27">
        <f>IF(OR($B1292="",$C1292=""),"",$C1292*IFERROR(INDEX(PecCusto,MATCH($B1292,PecCod,0)),0))</f>
        <v>0</v>
      </c>
      <c r="I1292" s="32">
        <f>IF($A1292="","",IFERROR(INDEX(OSStatus,MATCH($A1292,OSNum,0)),"OS inexistente"))</f>
        <v>0</v>
      </c>
      <c r="J1292" s="32">
        <f>IF($A1292="","",IF($I1292="OS inexistente","OS inexistente",IF($E1292="Peça não cadastrada","Peça não cadastrada","OK")))</f>
        <v>0</v>
      </c>
    </row>
    <row r="1293" spans="1:10">
      <c r="A1293" s="17"/>
      <c r="B1293" s="13"/>
      <c r="C1293" s="20"/>
      <c r="D1293" s="19"/>
      <c r="E1293" s="26">
        <f>IF($B1293="","",IFERROR(INDEX(PecDesc,MATCH($B1293,PecCod,0)),"Peça não cadastrada"))</f>
        <v>0</v>
      </c>
      <c r="F1293" s="27">
        <f>IF($B1293="","",IF($D1293&lt;&gt;"",$D1293,IFERROR(INDEX(PecPreco,MATCH($B1293,PecCod,0)),0)))</f>
        <v>0</v>
      </c>
      <c r="G1293" s="27">
        <f>IF(OR($B1293="",$C1293=""),"",$C1293*$F1293)</f>
        <v>0</v>
      </c>
      <c r="H1293" s="27">
        <f>IF(OR($B1293="",$C1293=""),"",$C1293*IFERROR(INDEX(PecCusto,MATCH($B1293,PecCod,0)),0))</f>
        <v>0</v>
      </c>
      <c r="I1293" s="32">
        <f>IF($A1293="","",IFERROR(INDEX(OSStatus,MATCH($A1293,OSNum,0)),"OS inexistente"))</f>
        <v>0</v>
      </c>
      <c r="J1293" s="32">
        <f>IF($A1293="","",IF($I1293="OS inexistente","OS inexistente",IF($E1293="Peça não cadastrada","Peça não cadastrada","OK")))</f>
        <v>0</v>
      </c>
    </row>
    <row r="1294" spans="1:10">
      <c r="A1294" s="17"/>
      <c r="B1294" s="13"/>
      <c r="C1294" s="20"/>
      <c r="D1294" s="19"/>
      <c r="E1294" s="26">
        <f>IF($B1294="","",IFERROR(INDEX(PecDesc,MATCH($B1294,PecCod,0)),"Peça não cadastrada"))</f>
        <v>0</v>
      </c>
      <c r="F1294" s="27">
        <f>IF($B1294="","",IF($D1294&lt;&gt;"",$D1294,IFERROR(INDEX(PecPreco,MATCH($B1294,PecCod,0)),0)))</f>
        <v>0</v>
      </c>
      <c r="G1294" s="27">
        <f>IF(OR($B1294="",$C1294=""),"",$C1294*$F1294)</f>
        <v>0</v>
      </c>
      <c r="H1294" s="27">
        <f>IF(OR($B1294="",$C1294=""),"",$C1294*IFERROR(INDEX(PecCusto,MATCH($B1294,PecCod,0)),0))</f>
        <v>0</v>
      </c>
      <c r="I1294" s="32">
        <f>IF($A1294="","",IFERROR(INDEX(OSStatus,MATCH($A1294,OSNum,0)),"OS inexistente"))</f>
        <v>0</v>
      </c>
      <c r="J1294" s="32">
        <f>IF($A1294="","",IF($I1294="OS inexistente","OS inexistente",IF($E1294="Peça não cadastrada","Peça não cadastrada","OK")))</f>
        <v>0</v>
      </c>
    </row>
    <row r="1295" spans="1:10">
      <c r="A1295" s="17"/>
      <c r="B1295" s="13"/>
      <c r="C1295" s="20"/>
      <c r="D1295" s="19"/>
      <c r="E1295" s="26">
        <f>IF($B1295="","",IFERROR(INDEX(PecDesc,MATCH($B1295,PecCod,0)),"Peça não cadastrada"))</f>
        <v>0</v>
      </c>
      <c r="F1295" s="27">
        <f>IF($B1295="","",IF($D1295&lt;&gt;"",$D1295,IFERROR(INDEX(PecPreco,MATCH($B1295,PecCod,0)),0)))</f>
        <v>0</v>
      </c>
      <c r="G1295" s="27">
        <f>IF(OR($B1295="",$C1295=""),"",$C1295*$F1295)</f>
        <v>0</v>
      </c>
      <c r="H1295" s="27">
        <f>IF(OR($B1295="",$C1295=""),"",$C1295*IFERROR(INDEX(PecCusto,MATCH($B1295,PecCod,0)),0))</f>
        <v>0</v>
      </c>
      <c r="I1295" s="32">
        <f>IF($A1295="","",IFERROR(INDEX(OSStatus,MATCH($A1295,OSNum,0)),"OS inexistente"))</f>
        <v>0</v>
      </c>
      <c r="J1295" s="32">
        <f>IF($A1295="","",IF($I1295="OS inexistente","OS inexistente",IF($E1295="Peça não cadastrada","Peça não cadastrada","OK")))</f>
        <v>0</v>
      </c>
    </row>
    <row r="1296" spans="1:10">
      <c r="A1296" s="17"/>
      <c r="B1296" s="13"/>
      <c r="C1296" s="20"/>
      <c r="D1296" s="19"/>
      <c r="E1296" s="26">
        <f>IF($B1296="","",IFERROR(INDEX(PecDesc,MATCH($B1296,PecCod,0)),"Peça não cadastrada"))</f>
        <v>0</v>
      </c>
      <c r="F1296" s="27">
        <f>IF($B1296="","",IF($D1296&lt;&gt;"",$D1296,IFERROR(INDEX(PecPreco,MATCH($B1296,PecCod,0)),0)))</f>
        <v>0</v>
      </c>
      <c r="G1296" s="27">
        <f>IF(OR($B1296="",$C1296=""),"",$C1296*$F1296)</f>
        <v>0</v>
      </c>
      <c r="H1296" s="27">
        <f>IF(OR($B1296="",$C1296=""),"",$C1296*IFERROR(INDEX(PecCusto,MATCH($B1296,PecCod,0)),0))</f>
        <v>0</v>
      </c>
      <c r="I1296" s="32">
        <f>IF($A1296="","",IFERROR(INDEX(OSStatus,MATCH($A1296,OSNum,0)),"OS inexistente"))</f>
        <v>0</v>
      </c>
      <c r="J1296" s="32">
        <f>IF($A1296="","",IF($I1296="OS inexistente","OS inexistente",IF($E1296="Peça não cadastrada","Peça não cadastrada","OK")))</f>
        <v>0</v>
      </c>
    </row>
    <row r="1297" spans="1:10">
      <c r="A1297" s="17"/>
      <c r="B1297" s="13"/>
      <c r="C1297" s="20"/>
      <c r="D1297" s="19"/>
      <c r="E1297" s="26">
        <f>IF($B1297="","",IFERROR(INDEX(PecDesc,MATCH($B1297,PecCod,0)),"Peça não cadastrada"))</f>
        <v>0</v>
      </c>
      <c r="F1297" s="27">
        <f>IF($B1297="","",IF($D1297&lt;&gt;"",$D1297,IFERROR(INDEX(PecPreco,MATCH($B1297,PecCod,0)),0)))</f>
        <v>0</v>
      </c>
      <c r="G1297" s="27">
        <f>IF(OR($B1297="",$C1297=""),"",$C1297*$F1297)</f>
        <v>0</v>
      </c>
      <c r="H1297" s="27">
        <f>IF(OR($B1297="",$C1297=""),"",$C1297*IFERROR(INDEX(PecCusto,MATCH($B1297,PecCod,0)),0))</f>
        <v>0</v>
      </c>
      <c r="I1297" s="32">
        <f>IF($A1297="","",IFERROR(INDEX(OSStatus,MATCH($A1297,OSNum,0)),"OS inexistente"))</f>
        <v>0</v>
      </c>
      <c r="J1297" s="32">
        <f>IF($A1297="","",IF($I1297="OS inexistente","OS inexistente",IF($E1297="Peça não cadastrada","Peça não cadastrada","OK")))</f>
        <v>0</v>
      </c>
    </row>
    <row r="1298" spans="1:10">
      <c r="A1298" s="17"/>
      <c r="B1298" s="13"/>
      <c r="C1298" s="20"/>
      <c r="D1298" s="19"/>
      <c r="E1298" s="26">
        <f>IF($B1298="","",IFERROR(INDEX(PecDesc,MATCH($B1298,PecCod,0)),"Peça não cadastrada"))</f>
        <v>0</v>
      </c>
      <c r="F1298" s="27">
        <f>IF($B1298="","",IF($D1298&lt;&gt;"",$D1298,IFERROR(INDEX(PecPreco,MATCH($B1298,PecCod,0)),0)))</f>
        <v>0</v>
      </c>
      <c r="G1298" s="27">
        <f>IF(OR($B1298="",$C1298=""),"",$C1298*$F1298)</f>
        <v>0</v>
      </c>
      <c r="H1298" s="27">
        <f>IF(OR($B1298="",$C1298=""),"",$C1298*IFERROR(INDEX(PecCusto,MATCH($B1298,PecCod,0)),0))</f>
        <v>0</v>
      </c>
      <c r="I1298" s="32">
        <f>IF($A1298="","",IFERROR(INDEX(OSStatus,MATCH($A1298,OSNum,0)),"OS inexistente"))</f>
        <v>0</v>
      </c>
      <c r="J1298" s="32">
        <f>IF($A1298="","",IF($I1298="OS inexistente","OS inexistente",IF($E1298="Peça não cadastrada","Peça não cadastrada","OK")))</f>
        <v>0</v>
      </c>
    </row>
    <row r="1299" spans="1:10">
      <c r="A1299" s="17"/>
      <c r="B1299" s="13"/>
      <c r="C1299" s="20"/>
      <c r="D1299" s="19"/>
      <c r="E1299" s="26">
        <f>IF($B1299="","",IFERROR(INDEX(PecDesc,MATCH($B1299,PecCod,0)),"Peça não cadastrada"))</f>
        <v>0</v>
      </c>
      <c r="F1299" s="27">
        <f>IF($B1299="","",IF($D1299&lt;&gt;"",$D1299,IFERROR(INDEX(PecPreco,MATCH($B1299,PecCod,0)),0)))</f>
        <v>0</v>
      </c>
      <c r="G1299" s="27">
        <f>IF(OR($B1299="",$C1299=""),"",$C1299*$F1299)</f>
        <v>0</v>
      </c>
      <c r="H1299" s="27">
        <f>IF(OR($B1299="",$C1299=""),"",$C1299*IFERROR(INDEX(PecCusto,MATCH($B1299,PecCod,0)),0))</f>
        <v>0</v>
      </c>
      <c r="I1299" s="32">
        <f>IF($A1299="","",IFERROR(INDEX(OSStatus,MATCH($A1299,OSNum,0)),"OS inexistente"))</f>
        <v>0</v>
      </c>
      <c r="J1299" s="32">
        <f>IF($A1299="","",IF($I1299="OS inexistente","OS inexistente",IF($E1299="Peça não cadastrada","Peça não cadastrada","OK")))</f>
        <v>0</v>
      </c>
    </row>
    <row r="1300" spans="1:10">
      <c r="A1300" s="17"/>
      <c r="B1300" s="13"/>
      <c r="C1300" s="20"/>
      <c r="D1300" s="19"/>
      <c r="E1300" s="26">
        <f>IF($B1300="","",IFERROR(INDEX(PecDesc,MATCH($B1300,PecCod,0)),"Peça não cadastrada"))</f>
        <v>0</v>
      </c>
      <c r="F1300" s="27">
        <f>IF($B1300="","",IF($D1300&lt;&gt;"",$D1300,IFERROR(INDEX(PecPreco,MATCH($B1300,PecCod,0)),0)))</f>
        <v>0</v>
      </c>
      <c r="G1300" s="27">
        <f>IF(OR($B1300="",$C1300=""),"",$C1300*$F1300)</f>
        <v>0</v>
      </c>
      <c r="H1300" s="27">
        <f>IF(OR($B1300="",$C1300=""),"",$C1300*IFERROR(INDEX(PecCusto,MATCH($B1300,PecCod,0)),0))</f>
        <v>0</v>
      </c>
      <c r="I1300" s="32">
        <f>IF($A1300="","",IFERROR(INDEX(OSStatus,MATCH($A1300,OSNum,0)),"OS inexistente"))</f>
        <v>0</v>
      </c>
      <c r="J1300" s="32">
        <f>IF($A1300="","",IF($I1300="OS inexistente","OS inexistente",IF($E1300="Peça não cadastrada","Peça não cadastrada","OK")))</f>
        <v>0</v>
      </c>
    </row>
    <row r="1301" spans="1:10">
      <c r="A1301" s="17"/>
      <c r="B1301" s="13"/>
      <c r="C1301" s="20"/>
      <c r="D1301" s="19"/>
      <c r="E1301" s="26">
        <f>IF($B1301="","",IFERROR(INDEX(PecDesc,MATCH($B1301,PecCod,0)),"Peça não cadastrada"))</f>
        <v>0</v>
      </c>
      <c r="F1301" s="27">
        <f>IF($B1301="","",IF($D1301&lt;&gt;"",$D1301,IFERROR(INDEX(PecPreco,MATCH($B1301,PecCod,0)),0)))</f>
        <v>0</v>
      </c>
      <c r="G1301" s="27">
        <f>IF(OR($B1301="",$C1301=""),"",$C1301*$F1301)</f>
        <v>0</v>
      </c>
      <c r="H1301" s="27">
        <f>IF(OR($B1301="",$C1301=""),"",$C1301*IFERROR(INDEX(PecCusto,MATCH($B1301,PecCod,0)),0))</f>
        <v>0</v>
      </c>
      <c r="I1301" s="32">
        <f>IF($A1301="","",IFERROR(INDEX(OSStatus,MATCH($A1301,OSNum,0)),"OS inexistente"))</f>
        <v>0</v>
      </c>
      <c r="J1301" s="32">
        <f>IF($A1301="","",IF($I1301="OS inexistente","OS inexistente",IF($E1301="Peça não cadastrada","Peça não cadastrada","OK")))</f>
        <v>0</v>
      </c>
    </row>
    <row r="1302" spans="1:10">
      <c r="A1302" s="17"/>
      <c r="B1302" s="13"/>
      <c r="C1302" s="20"/>
      <c r="D1302" s="19"/>
      <c r="E1302" s="26">
        <f>IF($B1302="","",IFERROR(INDEX(PecDesc,MATCH($B1302,PecCod,0)),"Peça não cadastrada"))</f>
        <v>0</v>
      </c>
      <c r="F1302" s="27">
        <f>IF($B1302="","",IF($D1302&lt;&gt;"",$D1302,IFERROR(INDEX(PecPreco,MATCH($B1302,PecCod,0)),0)))</f>
        <v>0</v>
      </c>
      <c r="G1302" s="27">
        <f>IF(OR($B1302="",$C1302=""),"",$C1302*$F1302)</f>
        <v>0</v>
      </c>
      <c r="H1302" s="27">
        <f>IF(OR($B1302="",$C1302=""),"",$C1302*IFERROR(INDEX(PecCusto,MATCH($B1302,PecCod,0)),0))</f>
        <v>0</v>
      </c>
      <c r="I1302" s="32">
        <f>IF($A1302="","",IFERROR(INDEX(OSStatus,MATCH($A1302,OSNum,0)),"OS inexistente"))</f>
        <v>0</v>
      </c>
      <c r="J1302" s="32">
        <f>IF($A1302="","",IF($I1302="OS inexistente","OS inexistente",IF($E1302="Peça não cadastrada","Peça não cadastrada","OK")))</f>
        <v>0</v>
      </c>
    </row>
    <row r="1303" spans="1:10">
      <c r="A1303" s="17"/>
      <c r="B1303" s="13"/>
      <c r="C1303" s="20"/>
      <c r="D1303" s="19"/>
      <c r="E1303" s="26">
        <f>IF($B1303="","",IFERROR(INDEX(PecDesc,MATCH($B1303,PecCod,0)),"Peça não cadastrada"))</f>
        <v>0</v>
      </c>
      <c r="F1303" s="27">
        <f>IF($B1303="","",IF($D1303&lt;&gt;"",$D1303,IFERROR(INDEX(PecPreco,MATCH($B1303,PecCod,0)),0)))</f>
        <v>0</v>
      </c>
      <c r="G1303" s="27">
        <f>IF(OR($B1303="",$C1303=""),"",$C1303*$F1303)</f>
        <v>0</v>
      </c>
      <c r="H1303" s="27">
        <f>IF(OR($B1303="",$C1303=""),"",$C1303*IFERROR(INDEX(PecCusto,MATCH($B1303,PecCod,0)),0))</f>
        <v>0</v>
      </c>
      <c r="I1303" s="32">
        <f>IF($A1303="","",IFERROR(INDEX(OSStatus,MATCH($A1303,OSNum,0)),"OS inexistente"))</f>
        <v>0</v>
      </c>
      <c r="J1303" s="32">
        <f>IF($A1303="","",IF($I1303="OS inexistente","OS inexistente",IF($E1303="Peça não cadastrada","Peça não cadastrada","OK")))</f>
        <v>0</v>
      </c>
    </row>
    <row r="1304" spans="1:10">
      <c r="A1304" s="17"/>
      <c r="B1304" s="13"/>
      <c r="C1304" s="20"/>
      <c r="D1304" s="19"/>
      <c r="E1304" s="26">
        <f>IF($B1304="","",IFERROR(INDEX(PecDesc,MATCH($B1304,PecCod,0)),"Peça não cadastrada"))</f>
        <v>0</v>
      </c>
      <c r="F1304" s="27">
        <f>IF($B1304="","",IF($D1304&lt;&gt;"",$D1304,IFERROR(INDEX(PecPreco,MATCH($B1304,PecCod,0)),0)))</f>
        <v>0</v>
      </c>
      <c r="G1304" s="27">
        <f>IF(OR($B1304="",$C1304=""),"",$C1304*$F1304)</f>
        <v>0</v>
      </c>
      <c r="H1304" s="27">
        <f>IF(OR($B1304="",$C1304=""),"",$C1304*IFERROR(INDEX(PecCusto,MATCH($B1304,PecCod,0)),0))</f>
        <v>0</v>
      </c>
      <c r="I1304" s="32">
        <f>IF($A1304="","",IFERROR(INDEX(OSStatus,MATCH($A1304,OSNum,0)),"OS inexistente"))</f>
        <v>0</v>
      </c>
      <c r="J1304" s="32">
        <f>IF($A1304="","",IF($I1304="OS inexistente","OS inexistente",IF($E1304="Peça não cadastrada","Peça não cadastrada","OK")))</f>
        <v>0</v>
      </c>
    </row>
    <row r="1305" spans="1:10">
      <c r="A1305" s="17"/>
      <c r="B1305" s="13"/>
      <c r="C1305" s="20"/>
      <c r="D1305" s="19"/>
      <c r="E1305" s="26">
        <f>IF($B1305="","",IFERROR(INDEX(PecDesc,MATCH($B1305,PecCod,0)),"Peça não cadastrada"))</f>
        <v>0</v>
      </c>
      <c r="F1305" s="27">
        <f>IF($B1305="","",IF($D1305&lt;&gt;"",$D1305,IFERROR(INDEX(PecPreco,MATCH($B1305,PecCod,0)),0)))</f>
        <v>0</v>
      </c>
      <c r="G1305" s="27">
        <f>IF(OR($B1305="",$C1305=""),"",$C1305*$F1305)</f>
        <v>0</v>
      </c>
      <c r="H1305" s="27">
        <f>IF(OR($B1305="",$C1305=""),"",$C1305*IFERROR(INDEX(PecCusto,MATCH($B1305,PecCod,0)),0))</f>
        <v>0</v>
      </c>
      <c r="I1305" s="32">
        <f>IF($A1305="","",IFERROR(INDEX(OSStatus,MATCH($A1305,OSNum,0)),"OS inexistente"))</f>
        <v>0</v>
      </c>
      <c r="J1305" s="32">
        <f>IF($A1305="","",IF($I1305="OS inexistente","OS inexistente",IF($E1305="Peça não cadastrada","Peça não cadastrada","OK")))</f>
        <v>0</v>
      </c>
    </row>
    <row r="1306" spans="1:10">
      <c r="A1306" s="17"/>
      <c r="B1306" s="13"/>
      <c r="C1306" s="20"/>
      <c r="D1306" s="19"/>
      <c r="E1306" s="26">
        <f>IF($B1306="","",IFERROR(INDEX(PecDesc,MATCH($B1306,PecCod,0)),"Peça não cadastrada"))</f>
        <v>0</v>
      </c>
      <c r="F1306" s="27">
        <f>IF($B1306="","",IF($D1306&lt;&gt;"",$D1306,IFERROR(INDEX(PecPreco,MATCH($B1306,PecCod,0)),0)))</f>
        <v>0</v>
      </c>
      <c r="G1306" s="27">
        <f>IF(OR($B1306="",$C1306=""),"",$C1306*$F1306)</f>
        <v>0</v>
      </c>
      <c r="H1306" s="27">
        <f>IF(OR($B1306="",$C1306=""),"",$C1306*IFERROR(INDEX(PecCusto,MATCH($B1306,PecCod,0)),0))</f>
        <v>0</v>
      </c>
      <c r="I1306" s="32">
        <f>IF($A1306="","",IFERROR(INDEX(OSStatus,MATCH($A1306,OSNum,0)),"OS inexistente"))</f>
        <v>0</v>
      </c>
      <c r="J1306" s="32">
        <f>IF($A1306="","",IF($I1306="OS inexistente","OS inexistente",IF($E1306="Peça não cadastrada","Peça não cadastrada","OK")))</f>
        <v>0</v>
      </c>
    </row>
    <row r="1307" spans="1:10">
      <c r="A1307" s="17"/>
      <c r="B1307" s="13"/>
      <c r="C1307" s="20"/>
      <c r="D1307" s="19"/>
      <c r="E1307" s="26">
        <f>IF($B1307="","",IFERROR(INDEX(PecDesc,MATCH($B1307,PecCod,0)),"Peça não cadastrada"))</f>
        <v>0</v>
      </c>
      <c r="F1307" s="27">
        <f>IF($B1307="","",IF($D1307&lt;&gt;"",$D1307,IFERROR(INDEX(PecPreco,MATCH($B1307,PecCod,0)),0)))</f>
        <v>0</v>
      </c>
      <c r="G1307" s="27">
        <f>IF(OR($B1307="",$C1307=""),"",$C1307*$F1307)</f>
        <v>0</v>
      </c>
      <c r="H1307" s="27">
        <f>IF(OR($B1307="",$C1307=""),"",$C1307*IFERROR(INDEX(PecCusto,MATCH($B1307,PecCod,0)),0))</f>
        <v>0</v>
      </c>
      <c r="I1307" s="32">
        <f>IF($A1307="","",IFERROR(INDEX(OSStatus,MATCH($A1307,OSNum,0)),"OS inexistente"))</f>
        <v>0</v>
      </c>
      <c r="J1307" s="32">
        <f>IF($A1307="","",IF($I1307="OS inexistente","OS inexistente",IF($E1307="Peça não cadastrada","Peça não cadastrada","OK")))</f>
        <v>0</v>
      </c>
    </row>
    <row r="1308" spans="1:10">
      <c r="A1308" s="17"/>
      <c r="B1308" s="13"/>
      <c r="C1308" s="20"/>
      <c r="D1308" s="19"/>
      <c r="E1308" s="26">
        <f>IF($B1308="","",IFERROR(INDEX(PecDesc,MATCH($B1308,PecCod,0)),"Peça não cadastrada"))</f>
        <v>0</v>
      </c>
      <c r="F1308" s="27">
        <f>IF($B1308="","",IF($D1308&lt;&gt;"",$D1308,IFERROR(INDEX(PecPreco,MATCH($B1308,PecCod,0)),0)))</f>
        <v>0</v>
      </c>
      <c r="G1308" s="27">
        <f>IF(OR($B1308="",$C1308=""),"",$C1308*$F1308)</f>
        <v>0</v>
      </c>
      <c r="H1308" s="27">
        <f>IF(OR($B1308="",$C1308=""),"",$C1308*IFERROR(INDEX(PecCusto,MATCH($B1308,PecCod,0)),0))</f>
        <v>0</v>
      </c>
      <c r="I1308" s="32">
        <f>IF($A1308="","",IFERROR(INDEX(OSStatus,MATCH($A1308,OSNum,0)),"OS inexistente"))</f>
        <v>0</v>
      </c>
      <c r="J1308" s="32">
        <f>IF($A1308="","",IF($I1308="OS inexistente","OS inexistente",IF($E1308="Peça não cadastrada","Peça não cadastrada","OK")))</f>
        <v>0</v>
      </c>
    </row>
    <row r="1309" spans="1:10">
      <c r="A1309" s="17"/>
      <c r="B1309" s="13"/>
      <c r="C1309" s="20"/>
      <c r="D1309" s="19"/>
      <c r="E1309" s="26">
        <f>IF($B1309="","",IFERROR(INDEX(PecDesc,MATCH($B1309,PecCod,0)),"Peça não cadastrada"))</f>
        <v>0</v>
      </c>
      <c r="F1309" s="27">
        <f>IF($B1309="","",IF($D1309&lt;&gt;"",$D1309,IFERROR(INDEX(PecPreco,MATCH($B1309,PecCod,0)),0)))</f>
        <v>0</v>
      </c>
      <c r="G1309" s="27">
        <f>IF(OR($B1309="",$C1309=""),"",$C1309*$F1309)</f>
        <v>0</v>
      </c>
      <c r="H1309" s="27">
        <f>IF(OR($B1309="",$C1309=""),"",$C1309*IFERROR(INDEX(PecCusto,MATCH($B1309,PecCod,0)),0))</f>
        <v>0</v>
      </c>
      <c r="I1309" s="32">
        <f>IF($A1309="","",IFERROR(INDEX(OSStatus,MATCH($A1309,OSNum,0)),"OS inexistente"))</f>
        <v>0</v>
      </c>
      <c r="J1309" s="32">
        <f>IF($A1309="","",IF($I1309="OS inexistente","OS inexistente",IF($E1309="Peça não cadastrada","Peça não cadastrada","OK")))</f>
        <v>0</v>
      </c>
    </row>
    <row r="1310" spans="1:10">
      <c r="A1310" s="17"/>
      <c r="B1310" s="13"/>
      <c r="C1310" s="20"/>
      <c r="D1310" s="19"/>
      <c r="E1310" s="26">
        <f>IF($B1310="","",IFERROR(INDEX(PecDesc,MATCH($B1310,PecCod,0)),"Peça não cadastrada"))</f>
        <v>0</v>
      </c>
      <c r="F1310" s="27">
        <f>IF($B1310="","",IF($D1310&lt;&gt;"",$D1310,IFERROR(INDEX(PecPreco,MATCH($B1310,PecCod,0)),0)))</f>
        <v>0</v>
      </c>
      <c r="G1310" s="27">
        <f>IF(OR($B1310="",$C1310=""),"",$C1310*$F1310)</f>
        <v>0</v>
      </c>
      <c r="H1310" s="27">
        <f>IF(OR($B1310="",$C1310=""),"",$C1310*IFERROR(INDEX(PecCusto,MATCH($B1310,PecCod,0)),0))</f>
        <v>0</v>
      </c>
      <c r="I1310" s="32">
        <f>IF($A1310="","",IFERROR(INDEX(OSStatus,MATCH($A1310,OSNum,0)),"OS inexistente"))</f>
        <v>0</v>
      </c>
      <c r="J1310" s="32">
        <f>IF($A1310="","",IF($I1310="OS inexistente","OS inexistente",IF($E1310="Peça não cadastrada","Peça não cadastrada","OK")))</f>
        <v>0</v>
      </c>
    </row>
    <row r="1311" spans="1:10">
      <c r="A1311" s="17"/>
      <c r="B1311" s="13"/>
      <c r="C1311" s="20"/>
      <c r="D1311" s="19"/>
      <c r="E1311" s="26">
        <f>IF($B1311="","",IFERROR(INDEX(PecDesc,MATCH($B1311,PecCod,0)),"Peça não cadastrada"))</f>
        <v>0</v>
      </c>
      <c r="F1311" s="27">
        <f>IF($B1311="","",IF($D1311&lt;&gt;"",$D1311,IFERROR(INDEX(PecPreco,MATCH($B1311,PecCod,0)),0)))</f>
        <v>0</v>
      </c>
      <c r="G1311" s="27">
        <f>IF(OR($B1311="",$C1311=""),"",$C1311*$F1311)</f>
        <v>0</v>
      </c>
      <c r="H1311" s="27">
        <f>IF(OR($B1311="",$C1311=""),"",$C1311*IFERROR(INDEX(PecCusto,MATCH($B1311,PecCod,0)),0))</f>
        <v>0</v>
      </c>
      <c r="I1311" s="32">
        <f>IF($A1311="","",IFERROR(INDEX(OSStatus,MATCH($A1311,OSNum,0)),"OS inexistente"))</f>
        <v>0</v>
      </c>
      <c r="J1311" s="32">
        <f>IF($A1311="","",IF($I1311="OS inexistente","OS inexistente",IF($E1311="Peça não cadastrada","Peça não cadastrada","OK")))</f>
        <v>0</v>
      </c>
    </row>
    <row r="1312" spans="1:10">
      <c r="A1312" s="17"/>
      <c r="B1312" s="13"/>
      <c r="C1312" s="20"/>
      <c r="D1312" s="19"/>
      <c r="E1312" s="26">
        <f>IF($B1312="","",IFERROR(INDEX(PecDesc,MATCH($B1312,PecCod,0)),"Peça não cadastrada"))</f>
        <v>0</v>
      </c>
      <c r="F1312" s="27">
        <f>IF($B1312="","",IF($D1312&lt;&gt;"",$D1312,IFERROR(INDEX(PecPreco,MATCH($B1312,PecCod,0)),0)))</f>
        <v>0</v>
      </c>
      <c r="G1312" s="27">
        <f>IF(OR($B1312="",$C1312=""),"",$C1312*$F1312)</f>
        <v>0</v>
      </c>
      <c r="H1312" s="27">
        <f>IF(OR($B1312="",$C1312=""),"",$C1312*IFERROR(INDEX(PecCusto,MATCH($B1312,PecCod,0)),0))</f>
        <v>0</v>
      </c>
      <c r="I1312" s="32">
        <f>IF($A1312="","",IFERROR(INDEX(OSStatus,MATCH($A1312,OSNum,0)),"OS inexistente"))</f>
        <v>0</v>
      </c>
      <c r="J1312" s="32">
        <f>IF($A1312="","",IF($I1312="OS inexistente","OS inexistente",IF($E1312="Peça não cadastrada","Peça não cadastrada","OK")))</f>
        <v>0</v>
      </c>
    </row>
    <row r="1313" spans="1:10">
      <c r="A1313" s="17"/>
      <c r="B1313" s="13"/>
      <c r="C1313" s="20"/>
      <c r="D1313" s="19"/>
      <c r="E1313" s="26">
        <f>IF($B1313="","",IFERROR(INDEX(PecDesc,MATCH($B1313,PecCod,0)),"Peça não cadastrada"))</f>
        <v>0</v>
      </c>
      <c r="F1313" s="27">
        <f>IF($B1313="","",IF($D1313&lt;&gt;"",$D1313,IFERROR(INDEX(PecPreco,MATCH($B1313,PecCod,0)),0)))</f>
        <v>0</v>
      </c>
      <c r="G1313" s="27">
        <f>IF(OR($B1313="",$C1313=""),"",$C1313*$F1313)</f>
        <v>0</v>
      </c>
      <c r="H1313" s="27">
        <f>IF(OR($B1313="",$C1313=""),"",$C1313*IFERROR(INDEX(PecCusto,MATCH($B1313,PecCod,0)),0))</f>
        <v>0</v>
      </c>
      <c r="I1313" s="32">
        <f>IF($A1313="","",IFERROR(INDEX(OSStatus,MATCH($A1313,OSNum,0)),"OS inexistente"))</f>
        <v>0</v>
      </c>
      <c r="J1313" s="32">
        <f>IF($A1313="","",IF($I1313="OS inexistente","OS inexistente",IF($E1313="Peça não cadastrada","Peça não cadastrada","OK")))</f>
        <v>0</v>
      </c>
    </row>
    <row r="1314" spans="1:10">
      <c r="A1314" s="17"/>
      <c r="B1314" s="13"/>
      <c r="C1314" s="20"/>
      <c r="D1314" s="19"/>
      <c r="E1314" s="26">
        <f>IF($B1314="","",IFERROR(INDEX(PecDesc,MATCH($B1314,PecCod,0)),"Peça não cadastrada"))</f>
        <v>0</v>
      </c>
      <c r="F1314" s="27">
        <f>IF($B1314="","",IF($D1314&lt;&gt;"",$D1314,IFERROR(INDEX(PecPreco,MATCH($B1314,PecCod,0)),0)))</f>
        <v>0</v>
      </c>
      <c r="G1314" s="27">
        <f>IF(OR($B1314="",$C1314=""),"",$C1314*$F1314)</f>
        <v>0</v>
      </c>
      <c r="H1314" s="27">
        <f>IF(OR($B1314="",$C1314=""),"",$C1314*IFERROR(INDEX(PecCusto,MATCH($B1314,PecCod,0)),0))</f>
        <v>0</v>
      </c>
      <c r="I1314" s="32">
        <f>IF($A1314="","",IFERROR(INDEX(OSStatus,MATCH($A1314,OSNum,0)),"OS inexistente"))</f>
        <v>0</v>
      </c>
      <c r="J1314" s="32">
        <f>IF($A1314="","",IF($I1314="OS inexistente","OS inexistente",IF($E1314="Peça não cadastrada","Peça não cadastrada","OK")))</f>
        <v>0</v>
      </c>
    </row>
    <row r="1315" spans="1:10">
      <c r="A1315" s="17"/>
      <c r="B1315" s="13"/>
      <c r="C1315" s="20"/>
      <c r="D1315" s="19"/>
      <c r="E1315" s="26">
        <f>IF($B1315="","",IFERROR(INDEX(PecDesc,MATCH($B1315,PecCod,0)),"Peça não cadastrada"))</f>
        <v>0</v>
      </c>
      <c r="F1315" s="27">
        <f>IF($B1315="","",IF($D1315&lt;&gt;"",$D1315,IFERROR(INDEX(PecPreco,MATCH($B1315,PecCod,0)),0)))</f>
        <v>0</v>
      </c>
      <c r="G1315" s="27">
        <f>IF(OR($B1315="",$C1315=""),"",$C1315*$F1315)</f>
        <v>0</v>
      </c>
      <c r="H1315" s="27">
        <f>IF(OR($B1315="",$C1315=""),"",$C1315*IFERROR(INDEX(PecCusto,MATCH($B1315,PecCod,0)),0))</f>
        <v>0</v>
      </c>
      <c r="I1315" s="32">
        <f>IF($A1315="","",IFERROR(INDEX(OSStatus,MATCH($A1315,OSNum,0)),"OS inexistente"))</f>
        <v>0</v>
      </c>
      <c r="J1315" s="32">
        <f>IF($A1315="","",IF($I1315="OS inexistente","OS inexistente",IF($E1315="Peça não cadastrada","Peça não cadastrada","OK")))</f>
        <v>0</v>
      </c>
    </row>
    <row r="1316" spans="1:10">
      <c r="A1316" s="17"/>
      <c r="B1316" s="13"/>
      <c r="C1316" s="20"/>
      <c r="D1316" s="19"/>
      <c r="E1316" s="26">
        <f>IF($B1316="","",IFERROR(INDEX(PecDesc,MATCH($B1316,PecCod,0)),"Peça não cadastrada"))</f>
        <v>0</v>
      </c>
      <c r="F1316" s="27">
        <f>IF($B1316="","",IF($D1316&lt;&gt;"",$D1316,IFERROR(INDEX(PecPreco,MATCH($B1316,PecCod,0)),0)))</f>
        <v>0</v>
      </c>
      <c r="G1316" s="27">
        <f>IF(OR($B1316="",$C1316=""),"",$C1316*$F1316)</f>
        <v>0</v>
      </c>
      <c r="H1316" s="27">
        <f>IF(OR($B1316="",$C1316=""),"",$C1316*IFERROR(INDEX(PecCusto,MATCH($B1316,PecCod,0)),0))</f>
        <v>0</v>
      </c>
      <c r="I1316" s="32">
        <f>IF($A1316="","",IFERROR(INDEX(OSStatus,MATCH($A1316,OSNum,0)),"OS inexistente"))</f>
        <v>0</v>
      </c>
      <c r="J1316" s="32">
        <f>IF($A1316="","",IF($I1316="OS inexistente","OS inexistente",IF($E1316="Peça não cadastrada","Peça não cadastrada","OK")))</f>
        <v>0</v>
      </c>
    </row>
    <row r="1317" spans="1:10">
      <c r="A1317" s="17"/>
      <c r="B1317" s="13"/>
      <c r="C1317" s="20"/>
      <c r="D1317" s="19"/>
      <c r="E1317" s="26">
        <f>IF($B1317="","",IFERROR(INDEX(PecDesc,MATCH($B1317,PecCod,0)),"Peça não cadastrada"))</f>
        <v>0</v>
      </c>
      <c r="F1317" s="27">
        <f>IF($B1317="","",IF($D1317&lt;&gt;"",$D1317,IFERROR(INDEX(PecPreco,MATCH($B1317,PecCod,0)),0)))</f>
        <v>0</v>
      </c>
      <c r="G1317" s="27">
        <f>IF(OR($B1317="",$C1317=""),"",$C1317*$F1317)</f>
        <v>0</v>
      </c>
      <c r="H1317" s="27">
        <f>IF(OR($B1317="",$C1317=""),"",$C1317*IFERROR(INDEX(PecCusto,MATCH($B1317,PecCod,0)),0))</f>
        <v>0</v>
      </c>
      <c r="I1317" s="32">
        <f>IF($A1317="","",IFERROR(INDEX(OSStatus,MATCH($A1317,OSNum,0)),"OS inexistente"))</f>
        <v>0</v>
      </c>
      <c r="J1317" s="32">
        <f>IF($A1317="","",IF($I1317="OS inexistente","OS inexistente",IF($E1317="Peça não cadastrada","Peça não cadastrada","OK")))</f>
        <v>0</v>
      </c>
    </row>
    <row r="1318" spans="1:10">
      <c r="A1318" s="17"/>
      <c r="B1318" s="13"/>
      <c r="C1318" s="20"/>
      <c r="D1318" s="19"/>
      <c r="E1318" s="26">
        <f>IF($B1318="","",IFERROR(INDEX(PecDesc,MATCH($B1318,PecCod,0)),"Peça não cadastrada"))</f>
        <v>0</v>
      </c>
      <c r="F1318" s="27">
        <f>IF($B1318="","",IF($D1318&lt;&gt;"",$D1318,IFERROR(INDEX(PecPreco,MATCH($B1318,PecCod,0)),0)))</f>
        <v>0</v>
      </c>
      <c r="G1318" s="27">
        <f>IF(OR($B1318="",$C1318=""),"",$C1318*$F1318)</f>
        <v>0</v>
      </c>
      <c r="H1318" s="27">
        <f>IF(OR($B1318="",$C1318=""),"",$C1318*IFERROR(INDEX(PecCusto,MATCH($B1318,PecCod,0)),0))</f>
        <v>0</v>
      </c>
      <c r="I1318" s="32">
        <f>IF($A1318="","",IFERROR(INDEX(OSStatus,MATCH($A1318,OSNum,0)),"OS inexistente"))</f>
        <v>0</v>
      </c>
      <c r="J1318" s="32">
        <f>IF($A1318="","",IF($I1318="OS inexistente","OS inexistente",IF($E1318="Peça não cadastrada","Peça não cadastrada","OK")))</f>
        <v>0</v>
      </c>
    </row>
    <row r="1319" spans="1:10">
      <c r="A1319" s="17"/>
      <c r="B1319" s="13"/>
      <c r="C1319" s="20"/>
      <c r="D1319" s="19"/>
      <c r="E1319" s="26">
        <f>IF($B1319="","",IFERROR(INDEX(PecDesc,MATCH($B1319,PecCod,0)),"Peça não cadastrada"))</f>
        <v>0</v>
      </c>
      <c r="F1319" s="27">
        <f>IF($B1319="","",IF($D1319&lt;&gt;"",$D1319,IFERROR(INDEX(PecPreco,MATCH($B1319,PecCod,0)),0)))</f>
        <v>0</v>
      </c>
      <c r="G1319" s="27">
        <f>IF(OR($B1319="",$C1319=""),"",$C1319*$F1319)</f>
        <v>0</v>
      </c>
      <c r="H1319" s="27">
        <f>IF(OR($B1319="",$C1319=""),"",$C1319*IFERROR(INDEX(PecCusto,MATCH($B1319,PecCod,0)),0))</f>
        <v>0</v>
      </c>
      <c r="I1319" s="32">
        <f>IF($A1319="","",IFERROR(INDEX(OSStatus,MATCH($A1319,OSNum,0)),"OS inexistente"))</f>
        <v>0</v>
      </c>
      <c r="J1319" s="32">
        <f>IF($A1319="","",IF($I1319="OS inexistente","OS inexistente",IF($E1319="Peça não cadastrada","Peça não cadastrada","OK")))</f>
        <v>0</v>
      </c>
    </row>
    <row r="1320" spans="1:10">
      <c r="A1320" s="17"/>
      <c r="B1320" s="13"/>
      <c r="C1320" s="20"/>
      <c r="D1320" s="19"/>
      <c r="E1320" s="26">
        <f>IF($B1320="","",IFERROR(INDEX(PecDesc,MATCH($B1320,PecCod,0)),"Peça não cadastrada"))</f>
        <v>0</v>
      </c>
      <c r="F1320" s="27">
        <f>IF($B1320="","",IF($D1320&lt;&gt;"",$D1320,IFERROR(INDEX(PecPreco,MATCH($B1320,PecCod,0)),0)))</f>
        <v>0</v>
      </c>
      <c r="G1320" s="27">
        <f>IF(OR($B1320="",$C1320=""),"",$C1320*$F1320)</f>
        <v>0</v>
      </c>
      <c r="H1320" s="27">
        <f>IF(OR($B1320="",$C1320=""),"",$C1320*IFERROR(INDEX(PecCusto,MATCH($B1320,PecCod,0)),0))</f>
        <v>0</v>
      </c>
      <c r="I1320" s="32">
        <f>IF($A1320="","",IFERROR(INDEX(OSStatus,MATCH($A1320,OSNum,0)),"OS inexistente"))</f>
        <v>0</v>
      </c>
      <c r="J1320" s="32">
        <f>IF($A1320="","",IF($I1320="OS inexistente","OS inexistente",IF($E1320="Peça não cadastrada","Peça não cadastrada","OK")))</f>
        <v>0</v>
      </c>
    </row>
    <row r="1321" spans="1:10">
      <c r="A1321" s="17"/>
      <c r="B1321" s="13"/>
      <c r="C1321" s="20"/>
      <c r="D1321" s="19"/>
      <c r="E1321" s="26">
        <f>IF($B1321="","",IFERROR(INDEX(PecDesc,MATCH($B1321,PecCod,0)),"Peça não cadastrada"))</f>
        <v>0</v>
      </c>
      <c r="F1321" s="27">
        <f>IF($B1321="","",IF($D1321&lt;&gt;"",$D1321,IFERROR(INDEX(PecPreco,MATCH($B1321,PecCod,0)),0)))</f>
        <v>0</v>
      </c>
      <c r="G1321" s="27">
        <f>IF(OR($B1321="",$C1321=""),"",$C1321*$F1321)</f>
        <v>0</v>
      </c>
      <c r="H1321" s="27">
        <f>IF(OR($B1321="",$C1321=""),"",$C1321*IFERROR(INDEX(PecCusto,MATCH($B1321,PecCod,0)),0))</f>
        <v>0</v>
      </c>
      <c r="I1321" s="32">
        <f>IF($A1321="","",IFERROR(INDEX(OSStatus,MATCH($A1321,OSNum,0)),"OS inexistente"))</f>
        <v>0</v>
      </c>
      <c r="J1321" s="32">
        <f>IF($A1321="","",IF($I1321="OS inexistente","OS inexistente",IF($E1321="Peça não cadastrada","Peça não cadastrada","OK")))</f>
        <v>0</v>
      </c>
    </row>
    <row r="1322" spans="1:10">
      <c r="A1322" s="17"/>
      <c r="B1322" s="13"/>
      <c r="C1322" s="20"/>
      <c r="D1322" s="19"/>
      <c r="E1322" s="26">
        <f>IF($B1322="","",IFERROR(INDEX(PecDesc,MATCH($B1322,PecCod,0)),"Peça não cadastrada"))</f>
        <v>0</v>
      </c>
      <c r="F1322" s="27">
        <f>IF($B1322="","",IF($D1322&lt;&gt;"",$D1322,IFERROR(INDEX(PecPreco,MATCH($B1322,PecCod,0)),0)))</f>
        <v>0</v>
      </c>
      <c r="G1322" s="27">
        <f>IF(OR($B1322="",$C1322=""),"",$C1322*$F1322)</f>
        <v>0</v>
      </c>
      <c r="H1322" s="27">
        <f>IF(OR($B1322="",$C1322=""),"",$C1322*IFERROR(INDEX(PecCusto,MATCH($B1322,PecCod,0)),0))</f>
        <v>0</v>
      </c>
      <c r="I1322" s="32">
        <f>IF($A1322="","",IFERROR(INDEX(OSStatus,MATCH($A1322,OSNum,0)),"OS inexistente"))</f>
        <v>0</v>
      </c>
      <c r="J1322" s="32">
        <f>IF($A1322="","",IF($I1322="OS inexistente","OS inexistente",IF($E1322="Peça não cadastrada","Peça não cadastrada","OK")))</f>
        <v>0</v>
      </c>
    </row>
    <row r="1323" spans="1:10">
      <c r="A1323" s="17"/>
      <c r="B1323" s="13"/>
      <c r="C1323" s="20"/>
      <c r="D1323" s="19"/>
      <c r="E1323" s="26">
        <f>IF($B1323="","",IFERROR(INDEX(PecDesc,MATCH($B1323,PecCod,0)),"Peça não cadastrada"))</f>
        <v>0</v>
      </c>
      <c r="F1323" s="27">
        <f>IF($B1323="","",IF($D1323&lt;&gt;"",$D1323,IFERROR(INDEX(PecPreco,MATCH($B1323,PecCod,0)),0)))</f>
        <v>0</v>
      </c>
      <c r="G1323" s="27">
        <f>IF(OR($B1323="",$C1323=""),"",$C1323*$F1323)</f>
        <v>0</v>
      </c>
      <c r="H1323" s="27">
        <f>IF(OR($B1323="",$C1323=""),"",$C1323*IFERROR(INDEX(PecCusto,MATCH($B1323,PecCod,0)),0))</f>
        <v>0</v>
      </c>
      <c r="I1323" s="32">
        <f>IF($A1323="","",IFERROR(INDEX(OSStatus,MATCH($A1323,OSNum,0)),"OS inexistente"))</f>
        <v>0</v>
      </c>
      <c r="J1323" s="32">
        <f>IF($A1323="","",IF($I1323="OS inexistente","OS inexistente",IF($E1323="Peça não cadastrada","Peça não cadastrada","OK")))</f>
        <v>0</v>
      </c>
    </row>
    <row r="1324" spans="1:10">
      <c r="A1324" s="17"/>
      <c r="B1324" s="13"/>
      <c r="C1324" s="20"/>
      <c r="D1324" s="19"/>
      <c r="E1324" s="26">
        <f>IF($B1324="","",IFERROR(INDEX(PecDesc,MATCH($B1324,PecCod,0)),"Peça não cadastrada"))</f>
        <v>0</v>
      </c>
      <c r="F1324" s="27">
        <f>IF($B1324="","",IF($D1324&lt;&gt;"",$D1324,IFERROR(INDEX(PecPreco,MATCH($B1324,PecCod,0)),0)))</f>
        <v>0</v>
      </c>
      <c r="G1324" s="27">
        <f>IF(OR($B1324="",$C1324=""),"",$C1324*$F1324)</f>
        <v>0</v>
      </c>
      <c r="H1324" s="27">
        <f>IF(OR($B1324="",$C1324=""),"",$C1324*IFERROR(INDEX(PecCusto,MATCH($B1324,PecCod,0)),0))</f>
        <v>0</v>
      </c>
      <c r="I1324" s="32">
        <f>IF($A1324="","",IFERROR(INDEX(OSStatus,MATCH($A1324,OSNum,0)),"OS inexistente"))</f>
        <v>0</v>
      </c>
      <c r="J1324" s="32">
        <f>IF($A1324="","",IF($I1324="OS inexistente","OS inexistente",IF($E1324="Peça não cadastrada","Peça não cadastrada","OK")))</f>
        <v>0</v>
      </c>
    </row>
    <row r="1325" spans="1:10">
      <c r="A1325" s="17"/>
      <c r="B1325" s="13"/>
      <c r="C1325" s="20"/>
      <c r="D1325" s="19"/>
      <c r="E1325" s="26">
        <f>IF($B1325="","",IFERROR(INDEX(PecDesc,MATCH($B1325,PecCod,0)),"Peça não cadastrada"))</f>
        <v>0</v>
      </c>
      <c r="F1325" s="27">
        <f>IF($B1325="","",IF($D1325&lt;&gt;"",$D1325,IFERROR(INDEX(PecPreco,MATCH($B1325,PecCod,0)),0)))</f>
        <v>0</v>
      </c>
      <c r="G1325" s="27">
        <f>IF(OR($B1325="",$C1325=""),"",$C1325*$F1325)</f>
        <v>0</v>
      </c>
      <c r="H1325" s="27">
        <f>IF(OR($B1325="",$C1325=""),"",$C1325*IFERROR(INDEX(PecCusto,MATCH($B1325,PecCod,0)),0))</f>
        <v>0</v>
      </c>
      <c r="I1325" s="32">
        <f>IF($A1325="","",IFERROR(INDEX(OSStatus,MATCH($A1325,OSNum,0)),"OS inexistente"))</f>
        <v>0</v>
      </c>
      <c r="J1325" s="32">
        <f>IF($A1325="","",IF($I1325="OS inexistente","OS inexistente",IF($E1325="Peça não cadastrada","Peça não cadastrada","OK")))</f>
        <v>0</v>
      </c>
    </row>
    <row r="1326" spans="1:10">
      <c r="A1326" s="17"/>
      <c r="B1326" s="13"/>
      <c r="C1326" s="20"/>
      <c r="D1326" s="19"/>
      <c r="E1326" s="26">
        <f>IF($B1326="","",IFERROR(INDEX(PecDesc,MATCH($B1326,PecCod,0)),"Peça não cadastrada"))</f>
        <v>0</v>
      </c>
      <c r="F1326" s="27">
        <f>IF($B1326="","",IF($D1326&lt;&gt;"",$D1326,IFERROR(INDEX(PecPreco,MATCH($B1326,PecCod,0)),0)))</f>
        <v>0</v>
      </c>
      <c r="G1326" s="27">
        <f>IF(OR($B1326="",$C1326=""),"",$C1326*$F1326)</f>
        <v>0</v>
      </c>
      <c r="H1326" s="27">
        <f>IF(OR($B1326="",$C1326=""),"",$C1326*IFERROR(INDEX(PecCusto,MATCH($B1326,PecCod,0)),0))</f>
        <v>0</v>
      </c>
      <c r="I1326" s="32">
        <f>IF($A1326="","",IFERROR(INDEX(OSStatus,MATCH($A1326,OSNum,0)),"OS inexistente"))</f>
        <v>0</v>
      </c>
      <c r="J1326" s="32">
        <f>IF($A1326="","",IF($I1326="OS inexistente","OS inexistente",IF($E1326="Peça não cadastrada","Peça não cadastrada","OK")))</f>
        <v>0</v>
      </c>
    </row>
    <row r="1327" spans="1:10">
      <c r="A1327" s="17"/>
      <c r="B1327" s="13"/>
      <c r="C1327" s="20"/>
      <c r="D1327" s="19"/>
      <c r="E1327" s="26">
        <f>IF($B1327="","",IFERROR(INDEX(PecDesc,MATCH($B1327,PecCod,0)),"Peça não cadastrada"))</f>
        <v>0</v>
      </c>
      <c r="F1327" s="27">
        <f>IF($B1327="","",IF($D1327&lt;&gt;"",$D1327,IFERROR(INDEX(PecPreco,MATCH($B1327,PecCod,0)),0)))</f>
        <v>0</v>
      </c>
      <c r="G1327" s="27">
        <f>IF(OR($B1327="",$C1327=""),"",$C1327*$F1327)</f>
        <v>0</v>
      </c>
      <c r="H1327" s="27">
        <f>IF(OR($B1327="",$C1327=""),"",$C1327*IFERROR(INDEX(PecCusto,MATCH($B1327,PecCod,0)),0))</f>
        <v>0</v>
      </c>
      <c r="I1327" s="32">
        <f>IF($A1327="","",IFERROR(INDEX(OSStatus,MATCH($A1327,OSNum,0)),"OS inexistente"))</f>
        <v>0</v>
      </c>
      <c r="J1327" s="32">
        <f>IF($A1327="","",IF($I1327="OS inexistente","OS inexistente",IF($E1327="Peça não cadastrada","Peça não cadastrada","OK")))</f>
        <v>0</v>
      </c>
    </row>
    <row r="1328" spans="1:10">
      <c r="A1328" s="17"/>
      <c r="B1328" s="13"/>
      <c r="C1328" s="20"/>
      <c r="D1328" s="19"/>
      <c r="E1328" s="26">
        <f>IF($B1328="","",IFERROR(INDEX(PecDesc,MATCH($B1328,PecCod,0)),"Peça não cadastrada"))</f>
        <v>0</v>
      </c>
      <c r="F1328" s="27">
        <f>IF($B1328="","",IF($D1328&lt;&gt;"",$D1328,IFERROR(INDEX(PecPreco,MATCH($B1328,PecCod,0)),0)))</f>
        <v>0</v>
      </c>
      <c r="G1328" s="27">
        <f>IF(OR($B1328="",$C1328=""),"",$C1328*$F1328)</f>
        <v>0</v>
      </c>
      <c r="H1328" s="27">
        <f>IF(OR($B1328="",$C1328=""),"",$C1328*IFERROR(INDEX(PecCusto,MATCH($B1328,PecCod,0)),0))</f>
        <v>0</v>
      </c>
      <c r="I1328" s="32">
        <f>IF($A1328="","",IFERROR(INDEX(OSStatus,MATCH($A1328,OSNum,0)),"OS inexistente"))</f>
        <v>0</v>
      </c>
      <c r="J1328" s="32">
        <f>IF($A1328="","",IF($I1328="OS inexistente","OS inexistente",IF($E1328="Peça não cadastrada","Peça não cadastrada","OK")))</f>
        <v>0</v>
      </c>
    </row>
    <row r="1329" spans="1:10">
      <c r="A1329" s="17"/>
      <c r="B1329" s="13"/>
      <c r="C1329" s="20"/>
      <c r="D1329" s="19"/>
      <c r="E1329" s="26">
        <f>IF($B1329="","",IFERROR(INDEX(PecDesc,MATCH($B1329,PecCod,0)),"Peça não cadastrada"))</f>
        <v>0</v>
      </c>
      <c r="F1329" s="27">
        <f>IF($B1329="","",IF($D1329&lt;&gt;"",$D1329,IFERROR(INDEX(PecPreco,MATCH($B1329,PecCod,0)),0)))</f>
        <v>0</v>
      </c>
      <c r="G1329" s="27">
        <f>IF(OR($B1329="",$C1329=""),"",$C1329*$F1329)</f>
        <v>0</v>
      </c>
      <c r="H1329" s="27">
        <f>IF(OR($B1329="",$C1329=""),"",$C1329*IFERROR(INDEX(PecCusto,MATCH($B1329,PecCod,0)),0))</f>
        <v>0</v>
      </c>
      <c r="I1329" s="32">
        <f>IF($A1329="","",IFERROR(INDEX(OSStatus,MATCH($A1329,OSNum,0)),"OS inexistente"))</f>
        <v>0</v>
      </c>
      <c r="J1329" s="32">
        <f>IF($A1329="","",IF($I1329="OS inexistente","OS inexistente",IF($E1329="Peça não cadastrada","Peça não cadastrada","OK")))</f>
        <v>0</v>
      </c>
    </row>
    <row r="1330" spans="1:10">
      <c r="A1330" s="17"/>
      <c r="B1330" s="13"/>
      <c r="C1330" s="20"/>
      <c r="D1330" s="19"/>
      <c r="E1330" s="26">
        <f>IF($B1330="","",IFERROR(INDEX(PecDesc,MATCH($B1330,PecCod,0)),"Peça não cadastrada"))</f>
        <v>0</v>
      </c>
      <c r="F1330" s="27">
        <f>IF($B1330="","",IF($D1330&lt;&gt;"",$D1330,IFERROR(INDEX(PecPreco,MATCH($B1330,PecCod,0)),0)))</f>
        <v>0</v>
      </c>
      <c r="G1330" s="27">
        <f>IF(OR($B1330="",$C1330=""),"",$C1330*$F1330)</f>
        <v>0</v>
      </c>
      <c r="H1330" s="27">
        <f>IF(OR($B1330="",$C1330=""),"",$C1330*IFERROR(INDEX(PecCusto,MATCH($B1330,PecCod,0)),0))</f>
        <v>0</v>
      </c>
      <c r="I1330" s="32">
        <f>IF($A1330="","",IFERROR(INDEX(OSStatus,MATCH($A1330,OSNum,0)),"OS inexistente"))</f>
        <v>0</v>
      </c>
      <c r="J1330" s="32">
        <f>IF($A1330="","",IF($I1330="OS inexistente","OS inexistente",IF($E1330="Peça não cadastrada","Peça não cadastrada","OK")))</f>
        <v>0</v>
      </c>
    </row>
    <row r="1331" spans="1:10">
      <c r="A1331" s="17"/>
      <c r="B1331" s="13"/>
      <c r="C1331" s="20"/>
      <c r="D1331" s="19"/>
      <c r="E1331" s="26">
        <f>IF($B1331="","",IFERROR(INDEX(PecDesc,MATCH($B1331,PecCod,0)),"Peça não cadastrada"))</f>
        <v>0</v>
      </c>
      <c r="F1331" s="27">
        <f>IF($B1331="","",IF($D1331&lt;&gt;"",$D1331,IFERROR(INDEX(PecPreco,MATCH($B1331,PecCod,0)),0)))</f>
        <v>0</v>
      </c>
      <c r="G1331" s="27">
        <f>IF(OR($B1331="",$C1331=""),"",$C1331*$F1331)</f>
        <v>0</v>
      </c>
      <c r="H1331" s="27">
        <f>IF(OR($B1331="",$C1331=""),"",$C1331*IFERROR(INDEX(PecCusto,MATCH($B1331,PecCod,0)),0))</f>
        <v>0</v>
      </c>
      <c r="I1331" s="32">
        <f>IF($A1331="","",IFERROR(INDEX(OSStatus,MATCH($A1331,OSNum,0)),"OS inexistente"))</f>
        <v>0</v>
      </c>
      <c r="J1331" s="32">
        <f>IF($A1331="","",IF($I1331="OS inexistente","OS inexistente",IF($E1331="Peça não cadastrada","Peça não cadastrada","OK")))</f>
        <v>0</v>
      </c>
    </row>
    <row r="1332" spans="1:10">
      <c r="A1332" s="17"/>
      <c r="B1332" s="13"/>
      <c r="C1332" s="20"/>
      <c r="D1332" s="19"/>
      <c r="E1332" s="26">
        <f>IF($B1332="","",IFERROR(INDEX(PecDesc,MATCH($B1332,PecCod,0)),"Peça não cadastrada"))</f>
        <v>0</v>
      </c>
      <c r="F1332" s="27">
        <f>IF($B1332="","",IF($D1332&lt;&gt;"",$D1332,IFERROR(INDEX(PecPreco,MATCH($B1332,PecCod,0)),0)))</f>
        <v>0</v>
      </c>
      <c r="G1332" s="27">
        <f>IF(OR($B1332="",$C1332=""),"",$C1332*$F1332)</f>
        <v>0</v>
      </c>
      <c r="H1332" s="27">
        <f>IF(OR($B1332="",$C1332=""),"",$C1332*IFERROR(INDEX(PecCusto,MATCH($B1332,PecCod,0)),0))</f>
        <v>0</v>
      </c>
      <c r="I1332" s="32">
        <f>IF($A1332="","",IFERROR(INDEX(OSStatus,MATCH($A1332,OSNum,0)),"OS inexistente"))</f>
        <v>0</v>
      </c>
      <c r="J1332" s="32">
        <f>IF($A1332="","",IF($I1332="OS inexistente","OS inexistente",IF($E1332="Peça não cadastrada","Peça não cadastrada","OK")))</f>
        <v>0</v>
      </c>
    </row>
    <row r="1333" spans="1:10">
      <c r="A1333" s="17"/>
      <c r="B1333" s="13"/>
      <c r="C1333" s="20"/>
      <c r="D1333" s="19"/>
      <c r="E1333" s="26">
        <f>IF($B1333="","",IFERROR(INDEX(PecDesc,MATCH($B1333,PecCod,0)),"Peça não cadastrada"))</f>
        <v>0</v>
      </c>
      <c r="F1333" s="27">
        <f>IF($B1333="","",IF($D1333&lt;&gt;"",$D1333,IFERROR(INDEX(PecPreco,MATCH($B1333,PecCod,0)),0)))</f>
        <v>0</v>
      </c>
      <c r="G1333" s="27">
        <f>IF(OR($B1333="",$C1333=""),"",$C1333*$F1333)</f>
        <v>0</v>
      </c>
      <c r="H1333" s="27">
        <f>IF(OR($B1333="",$C1333=""),"",$C1333*IFERROR(INDEX(PecCusto,MATCH($B1333,PecCod,0)),0))</f>
        <v>0</v>
      </c>
      <c r="I1333" s="32">
        <f>IF($A1333="","",IFERROR(INDEX(OSStatus,MATCH($A1333,OSNum,0)),"OS inexistente"))</f>
        <v>0</v>
      </c>
      <c r="J1333" s="32">
        <f>IF($A1333="","",IF($I1333="OS inexistente","OS inexistente",IF($E1333="Peça não cadastrada","Peça não cadastrada","OK")))</f>
        <v>0</v>
      </c>
    </row>
    <row r="1334" spans="1:10">
      <c r="A1334" s="17"/>
      <c r="B1334" s="13"/>
      <c r="C1334" s="20"/>
      <c r="D1334" s="19"/>
      <c r="E1334" s="26">
        <f>IF($B1334="","",IFERROR(INDEX(PecDesc,MATCH($B1334,PecCod,0)),"Peça não cadastrada"))</f>
        <v>0</v>
      </c>
      <c r="F1334" s="27">
        <f>IF($B1334="","",IF($D1334&lt;&gt;"",$D1334,IFERROR(INDEX(PecPreco,MATCH($B1334,PecCod,0)),0)))</f>
        <v>0</v>
      </c>
      <c r="G1334" s="27">
        <f>IF(OR($B1334="",$C1334=""),"",$C1334*$F1334)</f>
        <v>0</v>
      </c>
      <c r="H1334" s="27">
        <f>IF(OR($B1334="",$C1334=""),"",$C1334*IFERROR(INDEX(PecCusto,MATCH($B1334,PecCod,0)),0))</f>
        <v>0</v>
      </c>
      <c r="I1334" s="32">
        <f>IF($A1334="","",IFERROR(INDEX(OSStatus,MATCH($A1334,OSNum,0)),"OS inexistente"))</f>
        <v>0</v>
      </c>
      <c r="J1334" s="32">
        <f>IF($A1334="","",IF($I1334="OS inexistente","OS inexistente",IF($E1334="Peça não cadastrada","Peça não cadastrada","OK")))</f>
        <v>0</v>
      </c>
    </row>
    <row r="1335" spans="1:10">
      <c r="A1335" s="17"/>
      <c r="B1335" s="13"/>
      <c r="C1335" s="20"/>
      <c r="D1335" s="19"/>
      <c r="E1335" s="26">
        <f>IF($B1335="","",IFERROR(INDEX(PecDesc,MATCH($B1335,PecCod,0)),"Peça não cadastrada"))</f>
        <v>0</v>
      </c>
      <c r="F1335" s="27">
        <f>IF($B1335="","",IF($D1335&lt;&gt;"",$D1335,IFERROR(INDEX(PecPreco,MATCH($B1335,PecCod,0)),0)))</f>
        <v>0</v>
      </c>
      <c r="G1335" s="27">
        <f>IF(OR($B1335="",$C1335=""),"",$C1335*$F1335)</f>
        <v>0</v>
      </c>
      <c r="H1335" s="27">
        <f>IF(OR($B1335="",$C1335=""),"",$C1335*IFERROR(INDEX(PecCusto,MATCH($B1335,PecCod,0)),0))</f>
        <v>0</v>
      </c>
      <c r="I1335" s="32">
        <f>IF($A1335="","",IFERROR(INDEX(OSStatus,MATCH($A1335,OSNum,0)),"OS inexistente"))</f>
        <v>0</v>
      </c>
      <c r="J1335" s="32">
        <f>IF($A1335="","",IF($I1335="OS inexistente","OS inexistente",IF($E1335="Peça não cadastrada","Peça não cadastrada","OK")))</f>
        <v>0</v>
      </c>
    </row>
    <row r="1336" spans="1:10">
      <c r="A1336" s="17"/>
      <c r="B1336" s="13"/>
      <c r="C1336" s="20"/>
      <c r="D1336" s="19"/>
      <c r="E1336" s="26">
        <f>IF($B1336="","",IFERROR(INDEX(PecDesc,MATCH($B1336,PecCod,0)),"Peça não cadastrada"))</f>
        <v>0</v>
      </c>
      <c r="F1336" s="27">
        <f>IF($B1336="","",IF($D1336&lt;&gt;"",$D1336,IFERROR(INDEX(PecPreco,MATCH($B1336,PecCod,0)),0)))</f>
        <v>0</v>
      </c>
      <c r="G1336" s="27">
        <f>IF(OR($B1336="",$C1336=""),"",$C1336*$F1336)</f>
        <v>0</v>
      </c>
      <c r="H1336" s="27">
        <f>IF(OR($B1336="",$C1336=""),"",$C1336*IFERROR(INDEX(PecCusto,MATCH($B1336,PecCod,0)),0))</f>
        <v>0</v>
      </c>
      <c r="I1336" s="32">
        <f>IF($A1336="","",IFERROR(INDEX(OSStatus,MATCH($A1336,OSNum,0)),"OS inexistente"))</f>
        <v>0</v>
      </c>
      <c r="J1336" s="32">
        <f>IF($A1336="","",IF($I1336="OS inexistente","OS inexistente",IF($E1336="Peça não cadastrada","Peça não cadastrada","OK")))</f>
        <v>0</v>
      </c>
    </row>
    <row r="1337" spans="1:10">
      <c r="A1337" s="17"/>
      <c r="B1337" s="13"/>
      <c r="C1337" s="20"/>
      <c r="D1337" s="19"/>
      <c r="E1337" s="26">
        <f>IF($B1337="","",IFERROR(INDEX(PecDesc,MATCH($B1337,PecCod,0)),"Peça não cadastrada"))</f>
        <v>0</v>
      </c>
      <c r="F1337" s="27">
        <f>IF($B1337="","",IF($D1337&lt;&gt;"",$D1337,IFERROR(INDEX(PecPreco,MATCH($B1337,PecCod,0)),0)))</f>
        <v>0</v>
      </c>
      <c r="G1337" s="27">
        <f>IF(OR($B1337="",$C1337=""),"",$C1337*$F1337)</f>
        <v>0</v>
      </c>
      <c r="H1337" s="27">
        <f>IF(OR($B1337="",$C1337=""),"",$C1337*IFERROR(INDEX(PecCusto,MATCH($B1337,PecCod,0)),0))</f>
        <v>0</v>
      </c>
      <c r="I1337" s="32">
        <f>IF($A1337="","",IFERROR(INDEX(OSStatus,MATCH($A1337,OSNum,0)),"OS inexistente"))</f>
        <v>0</v>
      </c>
      <c r="J1337" s="32">
        <f>IF($A1337="","",IF($I1337="OS inexistente","OS inexistente",IF($E1337="Peça não cadastrada","Peça não cadastrada","OK")))</f>
        <v>0</v>
      </c>
    </row>
    <row r="1338" spans="1:10">
      <c r="A1338" s="17"/>
      <c r="B1338" s="13"/>
      <c r="C1338" s="20"/>
      <c r="D1338" s="19"/>
      <c r="E1338" s="26">
        <f>IF($B1338="","",IFERROR(INDEX(PecDesc,MATCH($B1338,PecCod,0)),"Peça não cadastrada"))</f>
        <v>0</v>
      </c>
      <c r="F1338" s="27">
        <f>IF($B1338="","",IF($D1338&lt;&gt;"",$D1338,IFERROR(INDEX(PecPreco,MATCH($B1338,PecCod,0)),0)))</f>
        <v>0</v>
      </c>
      <c r="G1338" s="27">
        <f>IF(OR($B1338="",$C1338=""),"",$C1338*$F1338)</f>
        <v>0</v>
      </c>
      <c r="H1338" s="27">
        <f>IF(OR($B1338="",$C1338=""),"",$C1338*IFERROR(INDEX(PecCusto,MATCH($B1338,PecCod,0)),0))</f>
        <v>0</v>
      </c>
      <c r="I1338" s="32">
        <f>IF($A1338="","",IFERROR(INDEX(OSStatus,MATCH($A1338,OSNum,0)),"OS inexistente"))</f>
        <v>0</v>
      </c>
      <c r="J1338" s="32">
        <f>IF($A1338="","",IF($I1338="OS inexistente","OS inexistente",IF($E1338="Peça não cadastrada","Peça não cadastrada","OK")))</f>
        <v>0</v>
      </c>
    </row>
    <row r="1339" spans="1:10">
      <c r="A1339" s="17"/>
      <c r="B1339" s="13"/>
      <c r="C1339" s="20"/>
      <c r="D1339" s="19"/>
      <c r="E1339" s="26">
        <f>IF($B1339="","",IFERROR(INDEX(PecDesc,MATCH($B1339,PecCod,0)),"Peça não cadastrada"))</f>
        <v>0</v>
      </c>
      <c r="F1339" s="27">
        <f>IF($B1339="","",IF($D1339&lt;&gt;"",$D1339,IFERROR(INDEX(PecPreco,MATCH($B1339,PecCod,0)),0)))</f>
        <v>0</v>
      </c>
      <c r="G1339" s="27">
        <f>IF(OR($B1339="",$C1339=""),"",$C1339*$F1339)</f>
        <v>0</v>
      </c>
      <c r="H1339" s="27">
        <f>IF(OR($B1339="",$C1339=""),"",$C1339*IFERROR(INDEX(PecCusto,MATCH($B1339,PecCod,0)),0))</f>
        <v>0</v>
      </c>
      <c r="I1339" s="32">
        <f>IF($A1339="","",IFERROR(INDEX(OSStatus,MATCH($A1339,OSNum,0)),"OS inexistente"))</f>
        <v>0</v>
      </c>
      <c r="J1339" s="32">
        <f>IF($A1339="","",IF($I1339="OS inexistente","OS inexistente",IF($E1339="Peça não cadastrada","Peça não cadastrada","OK")))</f>
        <v>0</v>
      </c>
    </row>
    <row r="1340" spans="1:10">
      <c r="A1340" s="17"/>
      <c r="B1340" s="13"/>
      <c r="C1340" s="20"/>
      <c r="D1340" s="19"/>
      <c r="E1340" s="26">
        <f>IF($B1340="","",IFERROR(INDEX(PecDesc,MATCH($B1340,PecCod,0)),"Peça não cadastrada"))</f>
        <v>0</v>
      </c>
      <c r="F1340" s="27">
        <f>IF($B1340="","",IF($D1340&lt;&gt;"",$D1340,IFERROR(INDEX(PecPreco,MATCH($B1340,PecCod,0)),0)))</f>
        <v>0</v>
      </c>
      <c r="G1340" s="27">
        <f>IF(OR($B1340="",$C1340=""),"",$C1340*$F1340)</f>
        <v>0</v>
      </c>
      <c r="H1340" s="27">
        <f>IF(OR($B1340="",$C1340=""),"",$C1340*IFERROR(INDEX(PecCusto,MATCH($B1340,PecCod,0)),0))</f>
        <v>0</v>
      </c>
      <c r="I1340" s="32">
        <f>IF($A1340="","",IFERROR(INDEX(OSStatus,MATCH($A1340,OSNum,0)),"OS inexistente"))</f>
        <v>0</v>
      </c>
      <c r="J1340" s="32">
        <f>IF($A1340="","",IF($I1340="OS inexistente","OS inexistente",IF($E1340="Peça não cadastrada","Peça não cadastrada","OK")))</f>
        <v>0</v>
      </c>
    </row>
    <row r="1341" spans="1:10">
      <c r="A1341" s="17"/>
      <c r="B1341" s="13"/>
      <c r="C1341" s="20"/>
      <c r="D1341" s="19"/>
      <c r="E1341" s="26">
        <f>IF($B1341="","",IFERROR(INDEX(PecDesc,MATCH($B1341,PecCod,0)),"Peça não cadastrada"))</f>
        <v>0</v>
      </c>
      <c r="F1341" s="27">
        <f>IF($B1341="","",IF($D1341&lt;&gt;"",$D1341,IFERROR(INDEX(PecPreco,MATCH($B1341,PecCod,0)),0)))</f>
        <v>0</v>
      </c>
      <c r="G1341" s="27">
        <f>IF(OR($B1341="",$C1341=""),"",$C1341*$F1341)</f>
        <v>0</v>
      </c>
      <c r="H1341" s="27">
        <f>IF(OR($B1341="",$C1341=""),"",$C1341*IFERROR(INDEX(PecCusto,MATCH($B1341,PecCod,0)),0))</f>
        <v>0</v>
      </c>
      <c r="I1341" s="32">
        <f>IF($A1341="","",IFERROR(INDEX(OSStatus,MATCH($A1341,OSNum,0)),"OS inexistente"))</f>
        <v>0</v>
      </c>
      <c r="J1341" s="32">
        <f>IF($A1341="","",IF($I1341="OS inexistente","OS inexistente",IF($E1341="Peça não cadastrada","Peça não cadastrada","OK")))</f>
        <v>0</v>
      </c>
    </row>
    <row r="1342" spans="1:10">
      <c r="A1342" s="17"/>
      <c r="B1342" s="13"/>
      <c r="C1342" s="20"/>
      <c r="D1342" s="19"/>
      <c r="E1342" s="26">
        <f>IF($B1342="","",IFERROR(INDEX(PecDesc,MATCH($B1342,PecCod,0)),"Peça não cadastrada"))</f>
        <v>0</v>
      </c>
      <c r="F1342" s="27">
        <f>IF($B1342="","",IF($D1342&lt;&gt;"",$D1342,IFERROR(INDEX(PecPreco,MATCH($B1342,PecCod,0)),0)))</f>
        <v>0</v>
      </c>
      <c r="G1342" s="27">
        <f>IF(OR($B1342="",$C1342=""),"",$C1342*$F1342)</f>
        <v>0</v>
      </c>
      <c r="H1342" s="27">
        <f>IF(OR($B1342="",$C1342=""),"",$C1342*IFERROR(INDEX(PecCusto,MATCH($B1342,PecCod,0)),0))</f>
        <v>0</v>
      </c>
      <c r="I1342" s="32">
        <f>IF($A1342="","",IFERROR(INDEX(OSStatus,MATCH($A1342,OSNum,0)),"OS inexistente"))</f>
        <v>0</v>
      </c>
      <c r="J1342" s="32">
        <f>IF($A1342="","",IF($I1342="OS inexistente","OS inexistente",IF($E1342="Peça não cadastrada","Peça não cadastrada","OK")))</f>
        <v>0</v>
      </c>
    </row>
    <row r="1343" spans="1:10">
      <c r="A1343" s="17"/>
      <c r="B1343" s="13"/>
      <c r="C1343" s="20"/>
      <c r="D1343" s="19"/>
      <c r="E1343" s="26">
        <f>IF($B1343="","",IFERROR(INDEX(PecDesc,MATCH($B1343,PecCod,0)),"Peça não cadastrada"))</f>
        <v>0</v>
      </c>
      <c r="F1343" s="27">
        <f>IF($B1343="","",IF($D1343&lt;&gt;"",$D1343,IFERROR(INDEX(PecPreco,MATCH($B1343,PecCod,0)),0)))</f>
        <v>0</v>
      </c>
      <c r="G1343" s="27">
        <f>IF(OR($B1343="",$C1343=""),"",$C1343*$F1343)</f>
        <v>0</v>
      </c>
      <c r="H1343" s="27">
        <f>IF(OR($B1343="",$C1343=""),"",$C1343*IFERROR(INDEX(PecCusto,MATCH($B1343,PecCod,0)),0))</f>
        <v>0</v>
      </c>
      <c r="I1343" s="32">
        <f>IF($A1343="","",IFERROR(INDEX(OSStatus,MATCH($A1343,OSNum,0)),"OS inexistente"))</f>
        <v>0</v>
      </c>
      <c r="J1343" s="32">
        <f>IF($A1343="","",IF($I1343="OS inexistente","OS inexistente",IF($E1343="Peça não cadastrada","Peça não cadastrada","OK")))</f>
        <v>0</v>
      </c>
    </row>
    <row r="1344" spans="1:10">
      <c r="A1344" s="17"/>
      <c r="B1344" s="13"/>
      <c r="C1344" s="20"/>
      <c r="D1344" s="19"/>
      <c r="E1344" s="26">
        <f>IF($B1344="","",IFERROR(INDEX(PecDesc,MATCH($B1344,PecCod,0)),"Peça não cadastrada"))</f>
        <v>0</v>
      </c>
      <c r="F1344" s="27">
        <f>IF($B1344="","",IF($D1344&lt;&gt;"",$D1344,IFERROR(INDEX(PecPreco,MATCH($B1344,PecCod,0)),0)))</f>
        <v>0</v>
      </c>
      <c r="G1344" s="27">
        <f>IF(OR($B1344="",$C1344=""),"",$C1344*$F1344)</f>
        <v>0</v>
      </c>
      <c r="H1344" s="27">
        <f>IF(OR($B1344="",$C1344=""),"",$C1344*IFERROR(INDEX(PecCusto,MATCH($B1344,PecCod,0)),0))</f>
        <v>0</v>
      </c>
      <c r="I1344" s="32">
        <f>IF($A1344="","",IFERROR(INDEX(OSStatus,MATCH($A1344,OSNum,0)),"OS inexistente"))</f>
        <v>0</v>
      </c>
      <c r="J1344" s="32">
        <f>IF($A1344="","",IF($I1344="OS inexistente","OS inexistente",IF($E1344="Peça não cadastrada","Peça não cadastrada","OK")))</f>
        <v>0</v>
      </c>
    </row>
    <row r="1345" spans="1:10">
      <c r="A1345" s="17"/>
      <c r="B1345" s="13"/>
      <c r="C1345" s="20"/>
      <c r="D1345" s="19"/>
      <c r="E1345" s="26">
        <f>IF($B1345="","",IFERROR(INDEX(PecDesc,MATCH($B1345,PecCod,0)),"Peça não cadastrada"))</f>
        <v>0</v>
      </c>
      <c r="F1345" s="27">
        <f>IF($B1345="","",IF($D1345&lt;&gt;"",$D1345,IFERROR(INDEX(PecPreco,MATCH($B1345,PecCod,0)),0)))</f>
        <v>0</v>
      </c>
      <c r="G1345" s="27">
        <f>IF(OR($B1345="",$C1345=""),"",$C1345*$F1345)</f>
        <v>0</v>
      </c>
      <c r="H1345" s="27">
        <f>IF(OR($B1345="",$C1345=""),"",$C1345*IFERROR(INDEX(PecCusto,MATCH($B1345,PecCod,0)),0))</f>
        <v>0</v>
      </c>
      <c r="I1345" s="32">
        <f>IF($A1345="","",IFERROR(INDEX(OSStatus,MATCH($A1345,OSNum,0)),"OS inexistente"))</f>
        <v>0</v>
      </c>
      <c r="J1345" s="32">
        <f>IF($A1345="","",IF($I1345="OS inexistente","OS inexistente",IF($E1345="Peça não cadastrada","Peça não cadastrada","OK")))</f>
        <v>0</v>
      </c>
    </row>
    <row r="1346" spans="1:10">
      <c r="A1346" s="17"/>
      <c r="B1346" s="13"/>
      <c r="C1346" s="20"/>
      <c r="D1346" s="19"/>
      <c r="E1346" s="26">
        <f>IF($B1346="","",IFERROR(INDEX(PecDesc,MATCH($B1346,PecCod,0)),"Peça não cadastrada"))</f>
        <v>0</v>
      </c>
      <c r="F1346" s="27">
        <f>IF($B1346="","",IF($D1346&lt;&gt;"",$D1346,IFERROR(INDEX(PecPreco,MATCH($B1346,PecCod,0)),0)))</f>
        <v>0</v>
      </c>
      <c r="G1346" s="27">
        <f>IF(OR($B1346="",$C1346=""),"",$C1346*$F1346)</f>
        <v>0</v>
      </c>
      <c r="H1346" s="27">
        <f>IF(OR($B1346="",$C1346=""),"",$C1346*IFERROR(INDEX(PecCusto,MATCH($B1346,PecCod,0)),0))</f>
        <v>0</v>
      </c>
      <c r="I1346" s="32">
        <f>IF($A1346="","",IFERROR(INDEX(OSStatus,MATCH($A1346,OSNum,0)),"OS inexistente"))</f>
        <v>0</v>
      </c>
      <c r="J1346" s="32">
        <f>IF($A1346="","",IF($I1346="OS inexistente","OS inexistente",IF($E1346="Peça não cadastrada","Peça não cadastrada","OK")))</f>
        <v>0</v>
      </c>
    </row>
    <row r="1347" spans="1:10">
      <c r="A1347" s="17"/>
      <c r="B1347" s="13"/>
      <c r="C1347" s="20"/>
      <c r="D1347" s="19"/>
      <c r="E1347" s="26">
        <f>IF($B1347="","",IFERROR(INDEX(PecDesc,MATCH($B1347,PecCod,0)),"Peça não cadastrada"))</f>
        <v>0</v>
      </c>
      <c r="F1347" s="27">
        <f>IF($B1347="","",IF($D1347&lt;&gt;"",$D1347,IFERROR(INDEX(PecPreco,MATCH($B1347,PecCod,0)),0)))</f>
        <v>0</v>
      </c>
      <c r="G1347" s="27">
        <f>IF(OR($B1347="",$C1347=""),"",$C1347*$F1347)</f>
        <v>0</v>
      </c>
      <c r="H1347" s="27">
        <f>IF(OR($B1347="",$C1347=""),"",$C1347*IFERROR(INDEX(PecCusto,MATCH($B1347,PecCod,0)),0))</f>
        <v>0</v>
      </c>
      <c r="I1347" s="32">
        <f>IF($A1347="","",IFERROR(INDEX(OSStatus,MATCH($A1347,OSNum,0)),"OS inexistente"))</f>
        <v>0</v>
      </c>
      <c r="J1347" s="32">
        <f>IF($A1347="","",IF($I1347="OS inexistente","OS inexistente",IF($E1347="Peça não cadastrada","Peça não cadastrada","OK")))</f>
        <v>0</v>
      </c>
    </row>
    <row r="1348" spans="1:10">
      <c r="A1348" s="17"/>
      <c r="B1348" s="13"/>
      <c r="C1348" s="20"/>
      <c r="D1348" s="19"/>
      <c r="E1348" s="26">
        <f>IF($B1348="","",IFERROR(INDEX(PecDesc,MATCH($B1348,PecCod,0)),"Peça não cadastrada"))</f>
        <v>0</v>
      </c>
      <c r="F1348" s="27">
        <f>IF($B1348="","",IF($D1348&lt;&gt;"",$D1348,IFERROR(INDEX(PecPreco,MATCH($B1348,PecCod,0)),0)))</f>
        <v>0</v>
      </c>
      <c r="G1348" s="27">
        <f>IF(OR($B1348="",$C1348=""),"",$C1348*$F1348)</f>
        <v>0</v>
      </c>
      <c r="H1348" s="27">
        <f>IF(OR($B1348="",$C1348=""),"",$C1348*IFERROR(INDEX(PecCusto,MATCH($B1348,PecCod,0)),0))</f>
        <v>0</v>
      </c>
      <c r="I1348" s="32">
        <f>IF($A1348="","",IFERROR(INDEX(OSStatus,MATCH($A1348,OSNum,0)),"OS inexistente"))</f>
        <v>0</v>
      </c>
      <c r="J1348" s="32">
        <f>IF($A1348="","",IF($I1348="OS inexistente","OS inexistente",IF($E1348="Peça não cadastrada","Peça não cadastrada","OK")))</f>
        <v>0</v>
      </c>
    </row>
    <row r="1349" spans="1:10">
      <c r="A1349" s="17"/>
      <c r="B1349" s="13"/>
      <c r="C1349" s="20"/>
      <c r="D1349" s="19"/>
      <c r="E1349" s="26">
        <f>IF($B1349="","",IFERROR(INDEX(PecDesc,MATCH($B1349,PecCod,0)),"Peça não cadastrada"))</f>
        <v>0</v>
      </c>
      <c r="F1349" s="27">
        <f>IF($B1349="","",IF($D1349&lt;&gt;"",$D1349,IFERROR(INDEX(PecPreco,MATCH($B1349,PecCod,0)),0)))</f>
        <v>0</v>
      </c>
      <c r="G1349" s="27">
        <f>IF(OR($B1349="",$C1349=""),"",$C1349*$F1349)</f>
        <v>0</v>
      </c>
      <c r="H1349" s="27">
        <f>IF(OR($B1349="",$C1349=""),"",$C1349*IFERROR(INDEX(PecCusto,MATCH($B1349,PecCod,0)),0))</f>
        <v>0</v>
      </c>
      <c r="I1349" s="32">
        <f>IF($A1349="","",IFERROR(INDEX(OSStatus,MATCH($A1349,OSNum,0)),"OS inexistente"))</f>
        <v>0</v>
      </c>
      <c r="J1349" s="32">
        <f>IF($A1349="","",IF($I1349="OS inexistente","OS inexistente",IF($E1349="Peça não cadastrada","Peça não cadastrada","OK")))</f>
        <v>0</v>
      </c>
    </row>
    <row r="1350" spans="1:10">
      <c r="A1350" s="17"/>
      <c r="B1350" s="13"/>
      <c r="C1350" s="20"/>
      <c r="D1350" s="19"/>
      <c r="E1350" s="26">
        <f>IF($B1350="","",IFERROR(INDEX(PecDesc,MATCH($B1350,PecCod,0)),"Peça não cadastrada"))</f>
        <v>0</v>
      </c>
      <c r="F1350" s="27">
        <f>IF($B1350="","",IF($D1350&lt;&gt;"",$D1350,IFERROR(INDEX(PecPreco,MATCH($B1350,PecCod,0)),0)))</f>
        <v>0</v>
      </c>
      <c r="G1350" s="27">
        <f>IF(OR($B1350="",$C1350=""),"",$C1350*$F1350)</f>
        <v>0</v>
      </c>
      <c r="H1350" s="27">
        <f>IF(OR($B1350="",$C1350=""),"",$C1350*IFERROR(INDEX(PecCusto,MATCH($B1350,PecCod,0)),0))</f>
        <v>0</v>
      </c>
      <c r="I1350" s="32">
        <f>IF($A1350="","",IFERROR(INDEX(OSStatus,MATCH($A1350,OSNum,0)),"OS inexistente"))</f>
        <v>0</v>
      </c>
      <c r="J1350" s="32">
        <f>IF($A1350="","",IF($I1350="OS inexistente","OS inexistente",IF($E1350="Peça não cadastrada","Peça não cadastrada","OK")))</f>
        <v>0</v>
      </c>
    </row>
    <row r="1351" spans="1:10">
      <c r="A1351" s="17"/>
      <c r="B1351" s="13"/>
      <c r="C1351" s="20"/>
      <c r="D1351" s="19"/>
      <c r="E1351" s="26">
        <f>IF($B1351="","",IFERROR(INDEX(PecDesc,MATCH($B1351,PecCod,0)),"Peça não cadastrada"))</f>
        <v>0</v>
      </c>
      <c r="F1351" s="27">
        <f>IF($B1351="","",IF($D1351&lt;&gt;"",$D1351,IFERROR(INDEX(PecPreco,MATCH($B1351,PecCod,0)),0)))</f>
        <v>0</v>
      </c>
      <c r="G1351" s="27">
        <f>IF(OR($B1351="",$C1351=""),"",$C1351*$F1351)</f>
        <v>0</v>
      </c>
      <c r="H1351" s="27">
        <f>IF(OR($B1351="",$C1351=""),"",$C1351*IFERROR(INDEX(PecCusto,MATCH($B1351,PecCod,0)),0))</f>
        <v>0</v>
      </c>
      <c r="I1351" s="32">
        <f>IF($A1351="","",IFERROR(INDEX(OSStatus,MATCH($A1351,OSNum,0)),"OS inexistente"))</f>
        <v>0</v>
      </c>
      <c r="J1351" s="32">
        <f>IF($A1351="","",IF($I1351="OS inexistente","OS inexistente",IF($E1351="Peça não cadastrada","Peça não cadastrada","OK")))</f>
        <v>0</v>
      </c>
    </row>
    <row r="1352" spans="1:10">
      <c r="A1352" s="17"/>
      <c r="B1352" s="13"/>
      <c r="C1352" s="20"/>
      <c r="D1352" s="19"/>
      <c r="E1352" s="26">
        <f>IF($B1352="","",IFERROR(INDEX(PecDesc,MATCH($B1352,PecCod,0)),"Peça não cadastrada"))</f>
        <v>0</v>
      </c>
      <c r="F1352" s="27">
        <f>IF($B1352="","",IF($D1352&lt;&gt;"",$D1352,IFERROR(INDEX(PecPreco,MATCH($B1352,PecCod,0)),0)))</f>
        <v>0</v>
      </c>
      <c r="G1352" s="27">
        <f>IF(OR($B1352="",$C1352=""),"",$C1352*$F1352)</f>
        <v>0</v>
      </c>
      <c r="H1352" s="27">
        <f>IF(OR($B1352="",$C1352=""),"",$C1352*IFERROR(INDEX(PecCusto,MATCH($B1352,PecCod,0)),0))</f>
        <v>0</v>
      </c>
      <c r="I1352" s="32">
        <f>IF($A1352="","",IFERROR(INDEX(OSStatus,MATCH($A1352,OSNum,0)),"OS inexistente"))</f>
        <v>0</v>
      </c>
      <c r="J1352" s="32">
        <f>IF($A1352="","",IF($I1352="OS inexistente","OS inexistente",IF($E1352="Peça não cadastrada","Peça não cadastrada","OK")))</f>
        <v>0</v>
      </c>
    </row>
    <row r="1353" spans="1:10">
      <c r="A1353" s="17"/>
      <c r="B1353" s="13"/>
      <c r="C1353" s="20"/>
      <c r="D1353" s="19"/>
      <c r="E1353" s="26">
        <f>IF($B1353="","",IFERROR(INDEX(PecDesc,MATCH($B1353,PecCod,0)),"Peça não cadastrada"))</f>
        <v>0</v>
      </c>
      <c r="F1353" s="27">
        <f>IF($B1353="","",IF($D1353&lt;&gt;"",$D1353,IFERROR(INDEX(PecPreco,MATCH($B1353,PecCod,0)),0)))</f>
        <v>0</v>
      </c>
      <c r="G1353" s="27">
        <f>IF(OR($B1353="",$C1353=""),"",$C1353*$F1353)</f>
        <v>0</v>
      </c>
      <c r="H1353" s="27">
        <f>IF(OR($B1353="",$C1353=""),"",$C1353*IFERROR(INDEX(PecCusto,MATCH($B1353,PecCod,0)),0))</f>
        <v>0</v>
      </c>
      <c r="I1353" s="32">
        <f>IF($A1353="","",IFERROR(INDEX(OSStatus,MATCH($A1353,OSNum,0)),"OS inexistente"))</f>
        <v>0</v>
      </c>
      <c r="J1353" s="32">
        <f>IF($A1353="","",IF($I1353="OS inexistente","OS inexistente",IF($E1353="Peça não cadastrada","Peça não cadastrada","OK")))</f>
        <v>0</v>
      </c>
    </row>
    <row r="1354" spans="1:10">
      <c r="A1354" s="17"/>
      <c r="B1354" s="13"/>
      <c r="C1354" s="20"/>
      <c r="D1354" s="19"/>
      <c r="E1354" s="26">
        <f>IF($B1354="","",IFERROR(INDEX(PecDesc,MATCH($B1354,PecCod,0)),"Peça não cadastrada"))</f>
        <v>0</v>
      </c>
      <c r="F1354" s="27">
        <f>IF($B1354="","",IF($D1354&lt;&gt;"",$D1354,IFERROR(INDEX(PecPreco,MATCH($B1354,PecCod,0)),0)))</f>
        <v>0</v>
      </c>
      <c r="G1354" s="27">
        <f>IF(OR($B1354="",$C1354=""),"",$C1354*$F1354)</f>
        <v>0</v>
      </c>
      <c r="H1354" s="27">
        <f>IF(OR($B1354="",$C1354=""),"",$C1354*IFERROR(INDEX(PecCusto,MATCH($B1354,PecCod,0)),0))</f>
        <v>0</v>
      </c>
      <c r="I1354" s="32">
        <f>IF($A1354="","",IFERROR(INDEX(OSStatus,MATCH($A1354,OSNum,0)),"OS inexistente"))</f>
        <v>0</v>
      </c>
      <c r="J1354" s="32">
        <f>IF($A1354="","",IF($I1354="OS inexistente","OS inexistente",IF($E1354="Peça não cadastrada","Peça não cadastrada","OK")))</f>
        <v>0</v>
      </c>
    </row>
    <row r="1355" spans="1:10">
      <c r="A1355" s="17"/>
      <c r="B1355" s="13"/>
      <c r="C1355" s="20"/>
      <c r="D1355" s="19"/>
      <c r="E1355" s="26">
        <f>IF($B1355="","",IFERROR(INDEX(PecDesc,MATCH($B1355,PecCod,0)),"Peça não cadastrada"))</f>
        <v>0</v>
      </c>
      <c r="F1355" s="27">
        <f>IF($B1355="","",IF($D1355&lt;&gt;"",$D1355,IFERROR(INDEX(PecPreco,MATCH($B1355,PecCod,0)),0)))</f>
        <v>0</v>
      </c>
      <c r="G1355" s="27">
        <f>IF(OR($B1355="",$C1355=""),"",$C1355*$F1355)</f>
        <v>0</v>
      </c>
      <c r="H1355" s="27">
        <f>IF(OR($B1355="",$C1355=""),"",$C1355*IFERROR(INDEX(PecCusto,MATCH($B1355,PecCod,0)),0))</f>
        <v>0</v>
      </c>
      <c r="I1355" s="32">
        <f>IF($A1355="","",IFERROR(INDEX(OSStatus,MATCH($A1355,OSNum,0)),"OS inexistente"))</f>
        <v>0</v>
      </c>
      <c r="J1355" s="32">
        <f>IF($A1355="","",IF($I1355="OS inexistente","OS inexistente",IF($E1355="Peça não cadastrada","Peça não cadastrada","OK")))</f>
        <v>0</v>
      </c>
    </row>
    <row r="1356" spans="1:10">
      <c r="A1356" s="17"/>
      <c r="B1356" s="13"/>
      <c r="C1356" s="20"/>
      <c r="D1356" s="19"/>
      <c r="E1356" s="26">
        <f>IF($B1356="","",IFERROR(INDEX(PecDesc,MATCH($B1356,PecCod,0)),"Peça não cadastrada"))</f>
        <v>0</v>
      </c>
      <c r="F1356" s="27">
        <f>IF($B1356="","",IF($D1356&lt;&gt;"",$D1356,IFERROR(INDEX(PecPreco,MATCH($B1356,PecCod,0)),0)))</f>
        <v>0</v>
      </c>
      <c r="G1356" s="27">
        <f>IF(OR($B1356="",$C1356=""),"",$C1356*$F1356)</f>
        <v>0</v>
      </c>
      <c r="H1356" s="27">
        <f>IF(OR($B1356="",$C1356=""),"",$C1356*IFERROR(INDEX(PecCusto,MATCH($B1356,PecCod,0)),0))</f>
        <v>0</v>
      </c>
      <c r="I1356" s="32">
        <f>IF($A1356="","",IFERROR(INDEX(OSStatus,MATCH($A1356,OSNum,0)),"OS inexistente"))</f>
        <v>0</v>
      </c>
      <c r="J1356" s="32">
        <f>IF($A1356="","",IF($I1356="OS inexistente","OS inexistente",IF($E1356="Peça não cadastrada","Peça não cadastrada","OK")))</f>
        <v>0</v>
      </c>
    </row>
    <row r="1357" spans="1:10">
      <c r="A1357" s="17"/>
      <c r="B1357" s="13"/>
      <c r="C1357" s="20"/>
      <c r="D1357" s="19"/>
      <c r="E1357" s="26">
        <f>IF($B1357="","",IFERROR(INDEX(PecDesc,MATCH($B1357,PecCod,0)),"Peça não cadastrada"))</f>
        <v>0</v>
      </c>
      <c r="F1357" s="27">
        <f>IF($B1357="","",IF($D1357&lt;&gt;"",$D1357,IFERROR(INDEX(PecPreco,MATCH($B1357,PecCod,0)),0)))</f>
        <v>0</v>
      </c>
      <c r="G1357" s="27">
        <f>IF(OR($B1357="",$C1357=""),"",$C1357*$F1357)</f>
        <v>0</v>
      </c>
      <c r="H1357" s="27">
        <f>IF(OR($B1357="",$C1357=""),"",$C1357*IFERROR(INDEX(PecCusto,MATCH($B1357,PecCod,0)),0))</f>
        <v>0</v>
      </c>
      <c r="I1357" s="32">
        <f>IF($A1357="","",IFERROR(INDEX(OSStatus,MATCH($A1357,OSNum,0)),"OS inexistente"))</f>
        <v>0</v>
      </c>
      <c r="J1357" s="32">
        <f>IF($A1357="","",IF($I1357="OS inexistente","OS inexistente",IF($E1357="Peça não cadastrada","Peça não cadastrada","OK")))</f>
        <v>0</v>
      </c>
    </row>
    <row r="1358" spans="1:10">
      <c r="A1358" s="17"/>
      <c r="B1358" s="13"/>
      <c r="C1358" s="20"/>
      <c r="D1358" s="19"/>
      <c r="E1358" s="26">
        <f>IF($B1358="","",IFERROR(INDEX(PecDesc,MATCH($B1358,PecCod,0)),"Peça não cadastrada"))</f>
        <v>0</v>
      </c>
      <c r="F1358" s="27">
        <f>IF($B1358="","",IF($D1358&lt;&gt;"",$D1358,IFERROR(INDEX(PecPreco,MATCH($B1358,PecCod,0)),0)))</f>
        <v>0</v>
      </c>
      <c r="G1358" s="27">
        <f>IF(OR($B1358="",$C1358=""),"",$C1358*$F1358)</f>
        <v>0</v>
      </c>
      <c r="H1358" s="27">
        <f>IF(OR($B1358="",$C1358=""),"",$C1358*IFERROR(INDEX(PecCusto,MATCH($B1358,PecCod,0)),0))</f>
        <v>0</v>
      </c>
      <c r="I1358" s="32">
        <f>IF($A1358="","",IFERROR(INDEX(OSStatus,MATCH($A1358,OSNum,0)),"OS inexistente"))</f>
        <v>0</v>
      </c>
      <c r="J1358" s="32">
        <f>IF($A1358="","",IF($I1358="OS inexistente","OS inexistente",IF($E1358="Peça não cadastrada","Peça não cadastrada","OK")))</f>
        <v>0</v>
      </c>
    </row>
    <row r="1359" spans="1:10">
      <c r="A1359" s="17"/>
      <c r="B1359" s="13"/>
      <c r="C1359" s="20"/>
      <c r="D1359" s="19"/>
      <c r="E1359" s="26">
        <f>IF($B1359="","",IFERROR(INDEX(PecDesc,MATCH($B1359,PecCod,0)),"Peça não cadastrada"))</f>
        <v>0</v>
      </c>
      <c r="F1359" s="27">
        <f>IF($B1359="","",IF($D1359&lt;&gt;"",$D1359,IFERROR(INDEX(PecPreco,MATCH($B1359,PecCod,0)),0)))</f>
        <v>0</v>
      </c>
      <c r="G1359" s="27">
        <f>IF(OR($B1359="",$C1359=""),"",$C1359*$F1359)</f>
        <v>0</v>
      </c>
      <c r="H1359" s="27">
        <f>IF(OR($B1359="",$C1359=""),"",$C1359*IFERROR(INDEX(PecCusto,MATCH($B1359,PecCod,0)),0))</f>
        <v>0</v>
      </c>
      <c r="I1359" s="32">
        <f>IF($A1359="","",IFERROR(INDEX(OSStatus,MATCH($A1359,OSNum,0)),"OS inexistente"))</f>
        <v>0</v>
      </c>
      <c r="J1359" s="32">
        <f>IF($A1359="","",IF($I1359="OS inexistente","OS inexistente",IF($E1359="Peça não cadastrada","Peça não cadastrada","OK")))</f>
        <v>0</v>
      </c>
    </row>
    <row r="1360" spans="1:10">
      <c r="A1360" s="17"/>
      <c r="B1360" s="13"/>
      <c r="C1360" s="20"/>
      <c r="D1360" s="19"/>
      <c r="E1360" s="26">
        <f>IF($B1360="","",IFERROR(INDEX(PecDesc,MATCH($B1360,PecCod,0)),"Peça não cadastrada"))</f>
        <v>0</v>
      </c>
      <c r="F1360" s="27">
        <f>IF($B1360="","",IF($D1360&lt;&gt;"",$D1360,IFERROR(INDEX(PecPreco,MATCH($B1360,PecCod,0)),0)))</f>
        <v>0</v>
      </c>
      <c r="G1360" s="27">
        <f>IF(OR($B1360="",$C1360=""),"",$C1360*$F1360)</f>
        <v>0</v>
      </c>
      <c r="H1360" s="27">
        <f>IF(OR($B1360="",$C1360=""),"",$C1360*IFERROR(INDEX(PecCusto,MATCH($B1360,PecCod,0)),0))</f>
        <v>0</v>
      </c>
      <c r="I1360" s="32">
        <f>IF($A1360="","",IFERROR(INDEX(OSStatus,MATCH($A1360,OSNum,0)),"OS inexistente"))</f>
        <v>0</v>
      </c>
      <c r="J1360" s="32">
        <f>IF($A1360="","",IF($I1360="OS inexistente","OS inexistente",IF($E1360="Peça não cadastrada","Peça não cadastrada","OK")))</f>
        <v>0</v>
      </c>
    </row>
    <row r="1361" spans="1:10">
      <c r="A1361" s="17"/>
      <c r="B1361" s="13"/>
      <c r="C1361" s="20"/>
      <c r="D1361" s="19"/>
      <c r="E1361" s="26">
        <f>IF($B1361="","",IFERROR(INDEX(PecDesc,MATCH($B1361,PecCod,0)),"Peça não cadastrada"))</f>
        <v>0</v>
      </c>
      <c r="F1361" s="27">
        <f>IF($B1361="","",IF($D1361&lt;&gt;"",$D1361,IFERROR(INDEX(PecPreco,MATCH($B1361,PecCod,0)),0)))</f>
        <v>0</v>
      </c>
      <c r="G1361" s="27">
        <f>IF(OR($B1361="",$C1361=""),"",$C1361*$F1361)</f>
        <v>0</v>
      </c>
      <c r="H1361" s="27">
        <f>IF(OR($B1361="",$C1361=""),"",$C1361*IFERROR(INDEX(PecCusto,MATCH($B1361,PecCod,0)),0))</f>
        <v>0</v>
      </c>
      <c r="I1361" s="32">
        <f>IF($A1361="","",IFERROR(INDEX(OSStatus,MATCH($A1361,OSNum,0)),"OS inexistente"))</f>
        <v>0</v>
      </c>
      <c r="J1361" s="32">
        <f>IF($A1361="","",IF($I1361="OS inexistente","OS inexistente",IF($E1361="Peça não cadastrada","Peça não cadastrada","OK")))</f>
        <v>0</v>
      </c>
    </row>
    <row r="1362" spans="1:10">
      <c r="A1362" s="17"/>
      <c r="B1362" s="13"/>
      <c r="C1362" s="20"/>
      <c r="D1362" s="19"/>
      <c r="E1362" s="26">
        <f>IF($B1362="","",IFERROR(INDEX(PecDesc,MATCH($B1362,PecCod,0)),"Peça não cadastrada"))</f>
        <v>0</v>
      </c>
      <c r="F1362" s="27">
        <f>IF($B1362="","",IF($D1362&lt;&gt;"",$D1362,IFERROR(INDEX(PecPreco,MATCH($B1362,PecCod,0)),0)))</f>
        <v>0</v>
      </c>
      <c r="G1362" s="27">
        <f>IF(OR($B1362="",$C1362=""),"",$C1362*$F1362)</f>
        <v>0</v>
      </c>
      <c r="H1362" s="27">
        <f>IF(OR($B1362="",$C1362=""),"",$C1362*IFERROR(INDEX(PecCusto,MATCH($B1362,PecCod,0)),0))</f>
        <v>0</v>
      </c>
      <c r="I1362" s="32">
        <f>IF($A1362="","",IFERROR(INDEX(OSStatus,MATCH($A1362,OSNum,0)),"OS inexistente"))</f>
        <v>0</v>
      </c>
      <c r="J1362" s="32">
        <f>IF($A1362="","",IF($I1362="OS inexistente","OS inexistente",IF($E1362="Peça não cadastrada","Peça não cadastrada","OK")))</f>
        <v>0</v>
      </c>
    </row>
    <row r="1363" spans="1:10">
      <c r="A1363" s="17"/>
      <c r="B1363" s="13"/>
      <c r="C1363" s="20"/>
      <c r="D1363" s="19"/>
      <c r="E1363" s="26">
        <f>IF($B1363="","",IFERROR(INDEX(PecDesc,MATCH($B1363,PecCod,0)),"Peça não cadastrada"))</f>
        <v>0</v>
      </c>
      <c r="F1363" s="27">
        <f>IF($B1363="","",IF($D1363&lt;&gt;"",$D1363,IFERROR(INDEX(PecPreco,MATCH($B1363,PecCod,0)),0)))</f>
        <v>0</v>
      </c>
      <c r="G1363" s="27">
        <f>IF(OR($B1363="",$C1363=""),"",$C1363*$F1363)</f>
        <v>0</v>
      </c>
      <c r="H1363" s="27">
        <f>IF(OR($B1363="",$C1363=""),"",$C1363*IFERROR(INDEX(PecCusto,MATCH($B1363,PecCod,0)),0))</f>
        <v>0</v>
      </c>
      <c r="I1363" s="32">
        <f>IF($A1363="","",IFERROR(INDEX(OSStatus,MATCH($A1363,OSNum,0)),"OS inexistente"))</f>
        <v>0</v>
      </c>
      <c r="J1363" s="32">
        <f>IF($A1363="","",IF($I1363="OS inexistente","OS inexistente",IF($E1363="Peça não cadastrada","Peça não cadastrada","OK")))</f>
        <v>0</v>
      </c>
    </row>
    <row r="1364" spans="1:10">
      <c r="A1364" s="17"/>
      <c r="B1364" s="13"/>
      <c r="C1364" s="20"/>
      <c r="D1364" s="19"/>
      <c r="E1364" s="26">
        <f>IF($B1364="","",IFERROR(INDEX(PecDesc,MATCH($B1364,PecCod,0)),"Peça não cadastrada"))</f>
        <v>0</v>
      </c>
      <c r="F1364" s="27">
        <f>IF($B1364="","",IF($D1364&lt;&gt;"",$D1364,IFERROR(INDEX(PecPreco,MATCH($B1364,PecCod,0)),0)))</f>
        <v>0</v>
      </c>
      <c r="G1364" s="27">
        <f>IF(OR($B1364="",$C1364=""),"",$C1364*$F1364)</f>
        <v>0</v>
      </c>
      <c r="H1364" s="27">
        <f>IF(OR($B1364="",$C1364=""),"",$C1364*IFERROR(INDEX(PecCusto,MATCH($B1364,PecCod,0)),0))</f>
        <v>0</v>
      </c>
      <c r="I1364" s="32">
        <f>IF($A1364="","",IFERROR(INDEX(OSStatus,MATCH($A1364,OSNum,0)),"OS inexistente"))</f>
        <v>0</v>
      </c>
      <c r="J1364" s="32">
        <f>IF($A1364="","",IF($I1364="OS inexistente","OS inexistente",IF($E1364="Peça não cadastrada","Peça não cadastrada","OK")))</f>
        <v>0</v>
      </c>
    </row>
    <row r="1365" spans="1:10">
      <c r="A1365" s="17"/>
      <c r="B1365" s="13"/>
      <c r="C1365" s="20"/>
      <c r="D1365" s="19"/>
      <c r="E1365" s="26">
        <f>IF($B1365="","",IFERROR(INDEX(PecDesc,MATCH($B1365,PecCod,0)),"Peça não cadastrada"))</f>
        <v>0</v>
      </c>
      <c r="F1365" s="27">
        <f>IF($B1365="","",IF($D1365&lt;&gt;"",$D1365,IFERROR(INDEX(PecPreco,MATCH($B1365,PecCod,0)),0)))</f>
        <v>0</v>
      </c>
      <c r="G1365" s="27">
        <f>IF(OR($B1365="",$C1365=""),"",$C1365*$F1365)</f>
        <v>0</v>
      </c>
      <c r="H1365" s="27">
        <f>IF(OR($B1365="",$C1365=""),"",$C1365*IFERROR(INDEX(PecCusto,MATCH($B1365,PecCod,0)),0))</f>
        <v>0</v>
      </c>
      <c r="I1365" s="32">
        <f>IF($A1365="","",IFERROR(INDEX(OSStatus,MATCH($A1365,OSNum,0)),"OS inexistente"))</f>
        <v>0</v>
      </c>
      <c r="J1365" s="32">
        <f>IF($A1365="","",IF($I1365="OS inexistente","OS inexistente",IF($E1365="Peça não cadastrada","Peça não cadastrada","OK")))</f>
        <v>0</v>
      </c>
    </row>
    <row r="1366" spans="1:10">
      <c r="A1366" s="17"/>
      <c r="B1366" s="13"/>
      <c r="C1366" s="20"/>
      <c r="D1366" s="19"/>
      <c r="E1366" s="26">
        <f>IF($B1366="","",IFERROR(INDEX(PecDesc,MATCH($B1366,PecCod,0)),"Peça não cadastrada"))</f>
        <v>0</v>
      </c>
      <c r="F1366" s="27">
        <f>IF($B1366="","",IF($D1366&lt;&gt;"",$D1366,IFERROR(INDEX(PecPreco,MATCH($B1366,PecCod,0)),0)))</f>
        <v>0</v>
      </c>
      <c r="G1366" s="27">
        <f>IF(OR($B1366="",$C1366=""),"",$C1366*$F1366)</f>
        <v>0</v>
      </c>
      <c r="H1366" s="27">
        <f>IF(OR($B1366="",$C1366=""),"",$C1366*IFERROR(INDEX(PecCusto,MATCH($B1366,PecCod,0)),0))</f>
        <v>0</v>
      </c>
      <c r="I1366" s="32">
        <f>IF($A1366="","",IFERROR(INDEX(OSStatus,MATCH($A1366,OSNum,0)),"OS inexistente"))</f>
        <v>0</v>
      </c>
      <c r="J1366" s="32">
        <f>IF($A1366="","",IF($I1366="OS inexistente","OS inexistente",IF($E1366="Peça não cadastrada","Peça não cadastrada","OK")))</f>
        <v>0</v>
      </c>
    </row>
    <row r="1367" spans="1:10">
      <c r="A1367" s="17"/>
      <c r="B1367" s="13"/>
      <c r="C1367" s="20"/>
      <c r="D1367" s="19"/>
      <c r="E1367" s="26">
        <f>IF($B1367="","",IFERROR(INDEX(PecDesc,MATCH($B1367,PecCod,0)),"Peça não cadastrada"))</f>
        <v>0</v>
      </c>
      <c r="F1367" s="27">
        <f>IF($B1367="","",IF($D1367&lt;&gt;"",$D1367,IFERROR(INDEX(PecPreco,MATCH($B1367,PecCod,0)),0)))</f>
        <v>0</v>
      </c>
      <c r="G1367" s="27">
        <f>IF(OR($B1367="",$C1367=""),"",$C1367*$F1367)</f>
        <v>0</v>
      </c>
      <c r="H1367" s="27">
        <f>IF(OR($B1367="",$C1367=""),"",$C1367*IFERROR(INDEX(PecCusto,MATCH($B1367,PecCod,0)),0))</f>
        <v>0</v>
      </c>
      <c r="I1367" s="32">
        <f>IF($A1367="","",IFERROR(INDEX(OSStatus,MATCH($A1367,OSNum,0)),"OS inexistente"))</f>
        <v>0</v>
      </c>
      <c r="J1367" s="32">
        <f>IF($A1367="","",IF($I1367="OS inexistente","OS inexistente",IF($E1367="Peça não cadastrada","Peça não cadastrada","OK")))</f>
        <v>0</v>
      </c>
    </row>
    <row r="1368" spans="1:10">
      <c r="A1368" s="17"/>
      <c r="B1368" s="13"/>
      <c r="C1368" s="20"/>
      <c r="D1368" s="19"/>
      <c r="E1368" s="26">
        <f>IF($B1368="","",IFERROR(INDEX(PecDesc,MATCH($B1368,PecCod,0)),"Peça não cadastrada"))</f>
        <v>0</v>
      </c>
      <c r="F1368" s="27">
        <f>IF($B1368="","",IF($D1368&lt;&gt;"",$D1368,IFERROR(INDEX(PecPreco,MATCH($B1368,PecCod,0)),0)))</f>
        <v>0</v>
      </c>
      <c r="G1368" s="27">
        <f>IF(OR($B1368="",$C1368=""),"",$C1368*$F1368)</f>
        <v>0</v>
      </c>
      <c r="H1368" s="27">
        <f>IF(OR($B1368="",$C1368=""),"",$C1368*IFERROR(INDEX(PecCusto,MATCH($B1368,PecCod,0)),0))</f>
        <v>0</v>
      </c>
      <c r="I1368" s="32">
        <f>IF($A1368="","",IFERROR(INDEX(OSStatus,MATCH($A1368,OSNum,0)),"OS inexistente"))</f>
        <v>0</v>
      </c>
      <c r="J1368" s="32">
        <f>IF($A1368="","",IF($I1368="OS inexistente","OS inexistente",IF($E1368="Peça não cadastrada","Peça não cadastrada","OK")))</f>
        <v>0</v>
      </c>
    </row>
    <row r="1369" spans="1:10">
      <c r="A1369" s="17"/>
      <c r="B1369" s="13"/>
      <c r="C1369" s="20"/>
      <c r="D1369" s="19"/>
      <c r="E1369" s="26">
        <f>IF($B1369="","",IFERROR(INDEX(PecDesc,MATCH($B1369,PecCod,0)),"Peça não cadastrada"))</f>
        <v>0</v>
      </c>
      <c r="F1369" s="27">
        <f>IF($B1369="","",IF($D1369&lt;&gt;"",$D1369,IFERROR(INDEX(PecPreco,MATCH($B1369,PecCod,0)),0)))</f>
        <v>0</v>
      </c>
      <c r="G1369" s="27">
        <f>IF(OR($B1369="",$C1369=""),"",$C1369*$F1369)</f>
        <v>0</v>
      </c>
      <c r="H1369" s="27">
        <f>IF(OR($B1369="",$C1369=""),"",$C1369*IFERROR(INDEX(PecCusto,MATCH($B1369,PecCod,0)),0))</f>
        <v>0</v>
      </c>
      <c r="I1369" s="32">
        <f>IF($A1369="","",IFERROR(INDEX(OSStatus,MATCH($A1369,OSNum,0)),"OS inexistente"))</f>
        <v>0</v>
      </c>
      <c r="J1369" s="32">
        <f>IF($A1369="","",IF($I1369="OS inexistente","OS inexistente",IF($E1369="Peça não cadastrada","Peça não cadastrada","OK")))</f>
        <v>0</v>
      </c>
    </row>
    <row r="1370" spans="1:10">
      <c r="A1370" s="17"/>
      <c r="B1370" s="13"/>
      <c r="C1370" s="20"/>
      <c r="D1370" s="19"/>
      <c r="E1370" s="26">
        <f>IF($B1370="","",IFERROR(INDEX(PecDesc,MATCH($B1370,PecCod,0)),"Peça não cadastrada"))</f>
        <v>0</v>
      </c>
      <c r="F1370" s="27">
        <f>IF($B1370="","",IF($D1370&lt;&gt;"",$D1370,IFERROR(INDEX(PecPreco,MATCH($B1370,PecCod,0)),0)))</f>
        <v>0</v>
      </c>
      <c r="G1370" s="27">
        <f>IF(OR($B1370="",$C1370=""),"",$C1370*$F1370)</f>
        <v>0</v>
      </c>
      <c r="H1370" s="27">
        <f>IF(OR($B1370="",$C1370=""),"",$C1370*IFERROR(INDEX(PecCusto,MATCH($B1370,PecCod,0)),0))</f>
        <v>0</v>
      </c>
      <c r="I1370" s="32">
        <f>IF($A1370="","",IFERROR(INDEX(OSStatus,MATCH($A1370,OSNum,0)),"OS inexistente"))</f>
        <v>0</v>
      </c>
      <c r="J1370" s="32">
        <f>IF($A1370="","",IF($I1370="OS inexistente","OS inexistente",IF($E1370="Peça não cadastrada","Peça não cadastrada","OK")))</f>
        <v>0</v>
      </c>
    </row>
    <row r="1371" spans="1:10">
      <c r="A1371" s="17"/>
      <c r="B1371" s="13"/>
      <c r="C1371" s="20"/>
      <c r="D1371" s="19"/>
      <c r="E1371" s="26">
        <f>IF($B1371="","",IFERROR(INDEX(PecDesc,MATCH($B1371,PecCod,0)),"Peça não cadastrada"))</f>
        <v>0</v>
      </c>
      <c r="F1371" s="27">
        <f>IF($B1371="","",IF($D1371&lt;&gt;"",$D1371,IFERROR(INDEX(PecPreco,MATCH($B1371,PecCod,0)),0)))</f>
        <v>0</v>
      </c>
      <c r="G1371" s="27">
        <f>IF(OR($B1371="",$C1371=""),"",$C1371*$F1371)</f>
        <v>0</v>
      </c>
      <c r="H1371" s="27">
        <f>IF(OR($B1371="",$C1371=""),"",$C1371*IFERROR(INDEX(PecCusto,MATCH($B1371,PecCod,0)),0))</f>
        <v>0</v>
      </c>
      <c r="I1371" s="32">
        <f>IF($A1371="","",IFERROR(INDEX(OSStatus,MATCH($A1371,OSNum,0)),"OS inexistente"))</f>
        <v>0</v>
      </c>
      <c r="J1371" s="32">
        <f>IF($A1371="","",IF($I1371="OS inexistente","OS inexistente",IF($E1371="Peça não cadastrada","Peça não cadastrada","OK")))</f>
        <v>0</v>
      </c>
    </row>
    <row r="1372" spans="1:10">
      <c r="A1372" s="17"/>
      <c r="B1372" s="13"/>
      <c r="C1372" s="20"/>
      <c r="D1372" s="19"/>
      <c r="E1372" s="26">
        <f>IF($B1372="","",IFERROR(INDEX(PecDesc,MATCH($B1372,PecCod,0)),"Peça não cadastrada"))</f>
        <v>0</v>
      </c>
      <c r="F1372" s="27">
        <f>IF($B1372="","",IF($D1372&lt;&gt;"",$D1372,IFERROR(INDEX(PecPreco,MATCH($B1372,PecCod,0)),0)))</f>
        <v>0</v>
      </c>
      <c r="G1372" s="27">
        <f>IF(OR($B1372="",$C1372=""),"",$C1372*$F1372)</f>
        <v>0</v>
      </c>
      <c r="H1372" s="27">
        <f>IF(OR($B1372="",$C1372=""),"",$C1372*IFERROR(INDEX(PecCusto,MATCH($B1372,PecCod,0)),0))</f>
        <v>0</v>
      </c>
      <c r="I1372" s="32">
        <f>IF($A1372="","",IFERROR(INDEX(OSStatus,MATCH($A1372,OSNum,0)),"OS inexistente"))</f>
        <v>0</v>
      </c>
      <c r="J1372" s="32">
        <f>IF($A1372="","",IF($I1372="OS inexistente","OS inexistente",IF($E1372="Peça não cadastrada","Peça não cadastrada","OK")))</f>
        <v>0</v>
      </c>
    </row>
    <row r="1373" spans="1:10">
      <c r="A1373" s="17"/>
      <c r="B1373" s="13"/>
      <c r="C1373" s="20"/>
      <c r="D1373" s="19"/>
      <c r="E1373" s="26">
        <f>IF($B1373="","",IFERROR(INDEX(PecDesc,MATCH($B1373,PecCod,0)),"Peça não cadastrada"))</f>
        <v>0</v>
      </c>
      <c r="F1373" s="27">
        <f>IF($B1373="","",IF($D1373&lt;&gt;"",$D1373,IFERROR(INDEX(PecPreco,MATCH($B1373,PecCod,0)),0)))</f>
        <v>0</v>
      </c>
      <c r="G1373" s="27">
        <f>IF(OR($B1373="",$C1373=""),"",$C1373*$F1373)</f>
        <v>0</v>
      </c>
      <c r="H1373" s="27">
        <f>IF(OR($B1373="",$C1373=""),"",$C1373*IFERROR(INDEX(PecCusto,MATCH($B1373,PecCod,0)),0))</f>
        <v>0</v>
      </c>
      <c r="I1373" s="32">
        <f>IF($A1373="","",IFERROR(INDEX(OSStatus,MATCH($A1373,OSNum,0)),"OS inexistente"))</f>
        <v>0</v>
      </c>
      <c r="J1373" s="32">
        <f>IF($A1373="","",IF($I1373="OS inexistente","OS inexistente",IF($E1373="Peça não cadastrada","Peça não cadastrada","OK")))</f>
        <v>0</v>
      </c>
    </row>
    <row r="1374" spans="1:10">
      <c r="A1374" s="17"/>
      <c r="B1374" s="13"/>
      <c r="C1374" s="20"/>
      <c r="D1374" s="19"/>
      <c r="E1374" s="26">
        <f>IF($B1374="","",IFERROR(INDEX(PecDesc,MATCH($B1374,PecCod,0)),"Peça não cadastrada"))</f>
        <v>0</v>
      </c>
      <c r="F1374" s="27">
        <f>IF($B1374="","",IF($D1374&lt;&gt;"",$D1374,IFERROR(INDEX(PecPreco,MATCH($B1374,PecCod,0)),0)))</f>
        <v>0</v>
      </c>
      <c r="G1374" s="27">
        <f>IF(OR($B1374="",$C1374=""),"",$C1374*$F1374)</f>
        <v>0</v>
      </c>
      <c r="H1374" s="27">
        <f>IF(OR($B1374="",$C1374=""),"",$C1374*IFERROR(INDEX(PecCusto,MATCH($B1374,PecCod,0)),0))</f>
        <v>0</v>
      </c>
      <c r="I1374" s="32">
        <f>IF($A1374="","",IFERROR(INDEX(OSStatus,MATCH($A1374,OSNum,0)),"OS inexistente"))</f>
        <v>0</v>
      </c>
      <c r="J1374" s="32">
        <f>IF($A1374="","",IF($I1374="OS inexistente","OS inexistente",IF($E1374="Peça não cadastrada","Peça não cadastrada","OK")))</f>
        <v>0</v>
      </c>
    </row>
    <row r="1375" spans="1:10">
      <c r="A1375" s="17"/>
      <c r="B1375" s="13"/>
      <c r="C1375" s="20"/>
      <c r="D1375" s="19"/>
      <c r="E1375" s="26">
        <f>IF($B1375="","",IFERROR(INDEX(PecDesc,MATCH($B1375,PecCod,0)),"Peça não cadastrada"))</f>
        <v>0</v>
      </c>
      <c r="F1375" s="27">
        <f>IF($B1375="","",IF($D1375&lt;&gt;"",$D1375,IFERROR(INDEX(PecPreco,MATCH($B1375,PecCod,0)),0)))</f>
        <v>0</v>
      </c>
      <c r="G1375" s="27">
        <f>IF(OR($B1375="",$C1375=""),"",$C1375*$F1375)</f>
        <v>0</v>
      </c>
      <c r="H1375" s="27">
        <f>IF(OR($B1375="",$C1375=""),"",$C1375*IFERROR(INDEX(PecCusto,MATCH($B1375,PecCod,0)),0))</f>
        <v>0</v>
      </c>
      <c r="I1375" s="32">
        <f>IF($A1375="","",IFERROR(INDEX(OSStatus,MATCH($A1375,OSNum,0)),"OS inexistente"))</f>
        <v>0</v>
      </c>
      <c r="J1375" s="32">
        <f>IF($A1375="","",IF($I1375="OS inexistente","OS inexistente",IF($E1375="Peça não cadastrada","Peça não cadastrada","OK")))</f>
        <v>0</v>
      </c>
    </row>
    <row r="1376" spans="1:10">
      <c r="A1376" s="17"/>
      <c r="B1376" s="13"/>
      <c r="C1376" s="20"/>
      <c r="D1376" s="19"/>
      <c r="E1376" s="26">
        <f>IF($B1376="","",IFERROR(INDEX(PecDesc,MATCH($B1376,PecCod,0)),"Peça não cadastrada"))</f>
        <v>0</v>
      </c>
      <c r="F1376" s="27">
        <f>IF($B1376="","",IF($D1376&lt;&gt;"",$D1376,IFERROR(INDEX(PecPreco,MATCH($B1376,PecCod,0)),0)))</f>
        <v>0</v>
      </c>
      <c r="G1376" s="27">
        <f>IF(OR($B1376="",$C1376=""),"",$C1376*$F1376)</f>
        <v>0</v>
      </c>
      <c r="H1376" s="27">
        <f>IF(OR($B1376="",$C1376=""),"",$C1376*IFERROR(INDEX(PecCusto,MATCH($B1376,PecCod,0)),0))</f>
        <v>0</v>
      </c>
      <c r="I1376" s="32">
        <f>IF($A1376="","",IFERROR(INDEX(OSStatus,MATCH($A1376,OSNum,0)),"OS inexistente"))</f>
        <v>0</v>
      </c>
      <c r="J1376" s="32">
        <f>IF($A1376="","",IF($I1376="OS inexistente","OS inexistente",IF($E1376="Peça não cadastrada","Peça não cadastrada","OK")))</f>
        <v>0</v>
      </c>
    </row>
    <row r="1377" spans="1:10">
      <c r="A1377" s="17"/>
      <c r="B1377" s="13"/>
      <c r="C1377" s="20"/>
      <c r="D1377" s="19"/>
      <c r="E1377" s="26">
        <f>IF($B1377="","",IFERROR(INDEX(PecDesc,MATCH($B1377,PecCod,0)),"Peça não cadastrada"))</f>
        <v>0</v>
      </c>
      <c r="F1377" s="27">
        <f>IF($B1377="","",IF($D1377&lt;&gt;"",$D1377,IFERROR(INDEX(PecPreco,MATCH($B1377,PecCod,0)),0)))</f>
        <v>0</v>
      </c>
      <c r="G1377" s="27">
        <f>IF(OR($B1377="",$C1377=""),"",$C1377*$F1377)</f>
        <v>0</v>
      </c>
      <c r="H1377" s="27">
        <f>IF(OR($B1377="",$C1377=""),"",$C1377*IFERROR(INDEX(PecCusto,MATCH($B1377,PecCod,0)),0))</f>
        <v>0</v>
      </c>
      <c r="I1377" s="32">
        <f>IF($A1377="","",IFERROR(INDEX(OSStatus,MATCH($A1377,OSNum,0)),"OS inexistente"))</f>
        <v>0</v>
      </c>
      <c r="J1377" s="32">
        <f>IF($A1377="","",IF($I1377="OS inexistente","OS inexistente",IF($E1377="Peça não cadastrada","Peça não cadastrada","OK")))</f>
        <v>0</v>
      </c>
    </row>
    <row r="1378" spans="1:10">
      <c r="A1378" s="17"/>
      <c r="B1378" s="13"/>
      <c r="C1378" s="20"/>
      <c r="D1378" s="19"/>
      <c r="E1378" s="26">
        <f>IF($B1378="","",IFERROR(INDEX(PecDesc,MATCH($B1378,PecCod,0)),"Peça não cadastrada"))</f>
        <v>0</v>
      </c>
      <c r="F1378" s="27">
        <f>IF($B1378="","",IF($D1378&lt;&gt;"",$D1378,IFERROR(INDEX(PecPreco,MATCH($B1378,PecCod,0)),0)))</f>
        <v>0</v>
      </c>
      <c r="G1378" s="27">
        <f>IF(OR($B1378="",$C1378=""),"",$C1378*$F1378)</f>
        <v>0</v>
      </c>
      <c r="H1378" s="27">
        <f>IF(OR($B1378="",$C1378=""),"",$C1378*IFERROR(INDEX(PecCusto,MATCH($B1378,PecCod,0)),0))</f>
        <v>0</v>
      </c>
      <c r="I1378" s="32">
        <f>IF($A1378="","",IFERROR(INDEX(OSStatus,MATCH($A1378,OSNum,0)),"OS inexistente"))</f>
        <v>0</v>
      </c>
      <c r="J1378" s="32">
        <f>IF($A1378="","",IF($I1378="OS inexistente","OS inexistente",IF($E1378="Peça não cadastrada","Peça não cadastrada","OK")))</f>
        <v>0</v>
      </c>
    </row>
    <row r="1379" spans="1:10">
      <c r="A1379" s="17"/>
      <c r="B1379" s="13"/>
      <c r="C1379" s="20"/>
      <c r="D1379" s="19"/>
      <c r="E1379" s="26">
        <f>IF($B1379="","",IFERROR(INDEX(PecDesc,MATCH($B1379,PecCod,0)),"Peça não cadastrada"))</f>
        <v>0</v>
      </c>
      <c r="F1379" s="27">
        <f>IF($B1379="","",IF($D1379&lt;&gt;"",$D1379,IFERROR(INDEX(PecPreco,MATCH($B1379,PecCod,0)),0)))</f>
        <v>0</v>
      </c>
      <c r="G1379" s="27">
        <f>IF(OR($B1379="",$C1379=""),"",$C1379*$F1379)</f>
        <v>0</v>
      </c>
      <c r="H1379" s="27">
        <f>IF(OR($B1379="",$C1379=""),"",$C1379*IFERROR(INDEX(PecCusto,MATCH($B1379,PecCod,0)),0))</f>
        <v>0</v>
      </c>
      <c r="I1379" s="32">
        <f>IF($A1379="","",IFERROR(INDEX(OSStatus,MATCH($A1379,OSNum,0)),"OS inexistente"))</f>
        <v>0</v>
      </c>
      <c r="J1379" s="32">
        <f>IF($A1379="","",IF($I1379="OS inexistente","OS inexistente",IF($E1379="Peça não cadastrada","Peça não cadastrada","OK")))</f>
        <v>0</v>
      </c>
    </row>
    <row r="1380" spans="1:10">
      <c r="A1380" s="17"/>
      <c r="B1380" s="13"/>
      <c r="C1380" s="20"/>
      <c r="D1380" s="19"/>
      <c r="E1380" s="26">
        <f>IF($B1380="","",IFERROR(INDEX(PecDesc,MATCH($B1380,PecCod,0)),"Peça não cadastrada"))</f>
        <v>0</v>
      </c>
      <c r="F1380" s="27">
        <f>IF($B1380="","",IF($D1380&lt;&gt;"",$D1380,IFERROR(INDEX(PecPreco,MATCH($B1380,PecCod,0)),0)))</f>
        <v>0</v>
      </c>
      <c r="G1380" s="27">
        <f>IF(OR($B1380="",$C1380=""),"",$C1380*$F1380)</f>
        <v>0</v>
      </c>
      <c r="H1380" s="27">
        <f>IF(OR($B1380="",$C1380=""),"",$C1380*IFERROR(INDEX(PecCusto,MATCH($B1380,PecCod,0)),0))</f>
        <v>0</v>
      </c>
      <c r="I1380" s="32">
        <f>IF($A1380="","",IFERROR(INDEX(OSStatus,MATCH($A1380,OSNum,0)),"OS inexistente"))</f>
        <v>0</v>
      </c>
      <c r="J1380" s="32">
        <f>IF($A1380="","",IF($I1380="OS inexistente","OS inexistente",IF($E1380="Peça não cadastrada","Peça não cadastrada","OK")))</f>
        <v>0</v>
      </c>
    </row>
    <row r="1381" spans="1:10">
      <c r="A1381" s="17"/>
      <c r="B1381" s="13"/>
      <c r="C1381" s="20"/>
      <c r="D1381" s="19"/>
      <c r="E1381" s="26">
        <f>IF($B1381="","",IFERROR(INDEX(PecDesc,MATCH($B1381,PecCod,0)),"Peça não cadastrada"))</f>
        <v>0</v>
      </c>
      <c r="F1381" s="27">
        <f>IF($B1381="","",IF($D1381&lt;&gt;"",$D1381,IFERROR(INDEX(PecPreco,MATCH($B1381,PecCod,0)),0)))</f>
        <v>0</v>
      </c>
      <c r="G1381" s="27">
        <f>IF(OR($B1381="",$C1381=""),"",$C1381*$F1381)</f>
        <v>0</v>
      </c>
      <c r="H1381" s="27">
        <f>IF(OR($B1381="",$C1381=""),"",$C1381*IFERROR(INDEX(PecCusto,MATCH($B1381,PecCod,0)),0))</f>
        <v>0</v>
      </c>
      <c r="I1381" s="32">
        <f>IF($A1381="","",IFERROR(INDEX(OSStatus,MATCH($A1381,OSNum,0)),"OS inexistente"))</f>
        <v>0</v>
      </c>
      <c r="J1381" s="32">
        <f>IF($A1381="","",IF($I1381="OS inexistente","OS inexistente",IF($E1381="Peça não cadastrada","Peça não cadastrada","OK")))</f>
        <v>0</v>
      </c>
    </row>
    <row r="1382" spans="1:10">
      <c r="A1382" s="17"/>
      <c r="B1382" s="13"/>
      <c r="C1382" s="20"/>
      <c r="D1382" s="19"/>
      <c r="E1382" s="26">
        <f>IF($B1382="","",IFERROR(INDEX(PecDesc,MATCH($B1382,PecCod,0)),"Peça não cadastrada"))</f>
        <v>0</v>
      </c>
      <c r="F1382" s="27">
        <f>IF($B1382="","",IF($D1382&lt;&gt;"",$D1382,IFERROR(INDEX(PecPreco,MATCH($B1382,PecCod,0)),0)))</f>
        <v>0</v>
      </c>
      <c r="G1382" s="27">
        <f>IF(OR($B1382="",$C1382=""),"",$C1382*$F1382)</f>
        <v>0</v>
      </c>
      <c r="H1382" s="27">
        <f>IF(OR($B1382="",$C1382=""),"",$C1382*IFERROR(INDEX(PecCusto,MATCH($B1382,PecCod,0)),0))</f>
        <v>0</v>
      </c>
      <c r="I1382" s="32">
        <f>IF($A1382="","",IFERROR(INDEX(OSStatus,MATCH($A1382,OSNum,0)),"OS inexistente"))</f>
        <v>0</v>
      </c>
      <c r="J1382" s="32">
        <f>IF($A1382="","",IF($I1382="OS inexistente","OS inexistente",IF($E1382="Peça não cadastrada","Peça não cadastrada","OK")))</f>
        <v>0</v>
      </c>
    </row>
    <row r="1383" spans="1:10">
      <c r="A1383" s="17"/>
      <c r="B1383" s="13"/>
      <c r="C1383" s="20"/>
      <c r="D1383" s="19"/>
      <c r="E1383" s="26">
        <f>IF($B1383="","",IFERROR(INDEX(PecDesc,MATCH($B1383,PecCod,0)),"Peça não cadastrada"))</f>
        <v>0</v>
      </c>
      <c r="F1383" s="27">
        <f>IF($B1383="","",IF($D1383&lt;&gt;"",$D1383,IFERROR(INDEX(PecPreco,MATCH($B1383,PecCod,0)),0)))</f>
        <v>0</v>
      </c>
      <c r="G1383" s="27">
        <f>IF(OR($B1383="",$C1383=""),"",$C1383*$F1383)</f>
        <v>0</v>
      </c>
      <c r="H1383" s="27">
        <f>IF(OR($B1383="",$C1383=""),"",$C1383*IFERROR(INDEX(PecCusto,MATCH($B1383,PecCod,0)),0))</f>
        <v>0</v>
      </c>
      <c r="I1383" s="32">
        <f>IF($A1383="","",IFERROR(INDEX(OSStatus,MATCH($A1383,OSNum,0)),"OS inexistente"))</f>
        <v>0</v>
      </c>
      <c r="J1383" s="32">
        <f>IF($A1383="","",IF($I1383="OS inexistente","OS inexistente",IF($E1383="Peça não cadastrada","Peça não cadastrada","OK")))</f>
        <v>0</v>
      </c>
    </row>
    <row r="1384" spans="1:10">
      <c r="A1384" s="17"/>
      <c r="B1384" s="13"/>
      <c r="C1384" s="20"/>
      <c r="D1384" s="19"/>
      <c r="E1384" s="26">
        <f>IF($B1384="","",IFERROR(INDEX(PecDesc,MATCH($B1384,PecCod,0)),"Peça não cadastrada"))</f>
        <v>0</v>
      </c>
      <c r="F1384" s="27">
        <f>IF($B1384="","",IF($D1384&lt;&gt;"",$D1384,IFERROR(INDEX(PecPreco,MATCH($B1384,PecCod,0)),0)))</f>
        <v>0</v>
      </c>
      <c r="G1384" s="27">
        <f>IF(OR($B1384="",$C1384=""),"",$C1384*$F1384)</f>
        <v>0</v>
      </c>
      <c r="H1384" s="27">
        <f>IF(OR($B1384="",$C1384=""),"",$C1384*IFERROR(INDEX(PecCusto,MATCH($B1384,PecCod,0)),0))</f>
        <v>0</v>
      </c>
      <c r="I1384" s="32">
        <f>IF($A1384="","",IFERROR(INDEX(OSStatus,MATCH($A1384,OSNum,0)),"OS inexistente"))</f>
        <v>0</v>
      </c>
      <c r="J1384" s="32">
        <f>IF($A1384="","",IF($I1384="OS inexistente","OS inexistente",IF($E1384="Peça não cadastrada","Peça não cadastrada","OK")))</f>
        <v>0</v>
      </c>
    </row>
    <row r="1385" spans="1:10">
      <c r="A1385" s="17"/>
      <c r="B1385" s="13"/>
      <c r="C1385" s="20"/>
      <c r="D1385" s="19"/>
      <c r="E1385" s="26">
        <f>IF($B1385="","",IFERROR(INDEX(PecDesc,MATCH($B1385,PecCod,0)),"Peça não cadastrada"))</f>
        <v>0</v>
      </c>
      <c r="F1385" s="27">
        <f>IF($B1385="","",IF($D1385&lt;&gt;"",$D1385,IFERROR(INDEX(PecPreco,MATCH($B1385,PecCod,0)),0)))</f>
        <v>0</v>
      </c>
      <c r="G1385" s="27">
        <f>IF(OR($B1385="",$C1385=""),"",$C1385*$F1385)</f>
        <v>0</v>
      </c>
      <c r="H1385" s="27">
        <f>IF(OR($B1385="",$C1385=""),"",$C1385*IFERROR(INDEX(PecCusto,MATCH($B1385,PecCod,0)),0))</f>
        <v>0</v>
      </c>
      <c r="I1385" s="32">
        <f>IF($A1385="","",IFERROR(INDEX(OSStatus,MATCH($A1385,OSNum,0)),"OS inexistente"))</f>
        <v>0</v>
      </c>
      <c r="J1385" s="32">
        <f>IF($A1385="","",IF($I1385="OS inexistente","OS inexistente",IF($E1385="Peça não cadastrada","Peça não cadastrada","OK")))</f>
        <v>0</v>
      </c>
    </row>
    <row r="1386" spans="1:10">
      <c r="A1386" s="17"/>
      <c r="B1386" s="13"/>
      <c r="C1386" s="20"/>
      <c r="D1386" s="19"/>
      <c r="E1386" s="26">
        <f>IF($B1386="","",IFERROR(INDEX(PecDesc,MATCH($B1386,PecCod,0)),"Peça não cadastrada"))</f>
        <v>0</v>
      </c>
      <c r="F1386" s="27">
        <f>IF($B1386="","",IF($D1386&lt;&gt;"",$D1386,IFERROR(INDEX(PecPreco,MATCH($B1386,PecCod,0)),0)))</f>
        <v>0</v>
      </c>
      <c r="G1386" s="27">
        <f>IF(OR($B1386="",$C1386=""),"",$C1386*$F1386)</f>
        <v>0</v>
      </c>
      <c r="H1386" s="27">
        <f>IF(OR($B1386="",$C1386=""),"",$C1386*IFERROR(INDEX(PecCusto,MATCH($B1386,PecCod,0)),0))</f>
        <v>0</v>
      </c>
      <c r="I1386" s="32">
        <f>IF($A1386="","",IFERROR(INDEX(OSStatus,MATCH($A1386,OSNum,0)),"OS inexistente"))</f>
        <v>0</v>
      </c>
      <c r="J1386" s="32">
        <f>IF($A1386="","",IF($I1386="OS inexistente","OS inexistente",IF($E1386="Peça não cadastrada","Peça não cadastrada","OK")))</f>
        <v>0</v>
      </c>
    </row>
    <row r="1387" spans="1:10">
      <c r="A1387" s="17"/>
      <c r="B1387" s="13"/>
      <c r="C1387" s="20"/>
      <c r="D1387" s="19"/>
      <c r="E1387" s="26">
        <f>IF($B1387="","",IFERROR(INDEX(PecDesc,MATCH($B1387,PecCod,0)),"Peça não cadastrada"))</f>
        <v>0</v>
      </c>
      <c r="F1387" s="27">
        <f>IF($B1387="","",IF($D1387&lt;&gt;"",$D1387,IFERROR(INDEX(PecPreco,MATCH($B1387,PecCod,0)),0)))</f>
        <v>0</v>
      </c>
      <c r="G1387" s="27">
        <f>IF(OR($B1387="",$C1387=""),"",$C1387*$F1387)</f>
        <v>0</v>
      </c>
      <c r="H1387" s="27">
        <f>IF(OR($B1387="",$C1387=""),"",$C1387*IFERROR(INDEX(PecCusto,MATCH($B1387,PecCod,0)),0))</f>
        <v>0</v>
      </c>
      <c r="I1387" s="32">
        <f>IF($A1387="","",IFERROR(INDEX(OSStatus,MATCH($A1387,OSNum,0)),"OS inexistente"))</f>
        <v>0</v>
      </c>
      <c r="J1387" s="32">
        <f>IF($A1387="","",IF($I1387="OS inexistente","OS inexistente",IF($E1387="Peça não cadastrada","Peça não cadastrada","OK")))</f>
        <v>0</v>
      </c>
    </row>
    <row r="1388" spans="1:10">
      <c r="A1388" s="17"/>
      <c r="B1388" s="13"/>
      <c r="C1388" s="20"/>
      <c r="D1388" s="19"/>
      <c r="E1388" s="26">
        <f>IF($B1388="","",IFERROR(INDEX(PecDesc,MATCH($B1388,PecCod,0)),"Peça não cadastrada"))</f>
        <v>0</v>
      </c>
      <c r="F1388" s="27">
        <f>IF($B1388="","",IF($D1388&lt;&gt;"",$D1388,IFERROR(INDEX(PecPreco,MATCH($B1388,PecCod,0)),0)))</f>
        <v>0</v>
      </c>
      <c r="G1388" s="27">
        <f>IF(OR($B1388="",$C1388=""),"",$C1388*$F1388)</f>
        <v>0</v>
      </c>
      <c r="H1388" s="27">
        <f>IF(OR($B1388="",$C1388=""),"",$C1388*IFERROR(INDEX(PecCusto,MATCH($B1388,PecCod,0)),0))</f>
        <v>0</v>
      </c>
      <c r="I1388" s="32">
        <f>IF($A1388="","",IFERROR(INDEX(OSStatus,MATCH($A1388,OSNum,0)),"OS inexistente"))</f>
        <v>0</v>
      </c>
      <c r="J1388" s="32">
        <f>IF($A1388="","",IF($I1388="OS inexistente","OS inexistente",IF($E1388="Peça não cadastrada","Peça não cadastrada","OK")))</f>
        <v>0</v>
      </c>
    </row>
    <row r="1389" spans="1:10">
      <c r="A1389" s="17"/>
      <c r="B1389" s="13"/>
      <c r="C1389" s="20"/>
      <c r="D1389" s="19"/>
      <c r="E1389" s="26">
        <f>IF($B1389="","",IFERROR(INDEX(PecDesc,MATCH($B1389,PecCod,0)),"Peça não cadastrada"))</f>
        <v>0</v>
      </c>
      <c r="F1389" s="27">
        <f>IF($B1389="","",IF($D1389&lt;&gt;"",$D1389,IFERROR(INDEX(PecPreco,MATCH($B1389,PecCod,0)),0)))</f>
        <v>0</v>
      </c>
      <c r="G1389" s="27">
        <f>IF(OR($B1389="",$C1389=""),"",$C1389*$F1389)</f>
        <v>0</v>
      </c>
      <c r="H1389" s="27">
        <f>IF(OR($B1389="",$C1389=""),"",$C1389*IFERROR(INDEX(PecCusto,MATCH($B1389,PecCod,0)),0))</f>
        <v>0</v>
      </c>
      <c r="I1389" s="32">
        <f>IF($A1389="","",IFERROR(INDEX(OSStatus,MATCH($A1389,OSNum,0)),"OS inexistente"))</f>
        <v>0</v>
      </c>
      <c r="J1389" s="32">
        <f>IF($A1389="","",IF($I1389="OS inexistente","OS inexistente",IF($E1389="Peça não cadastrada","Peça não cadastrada","OK")))</f>
        <v>0</v>
      </c>
    </row>
    <row r="1390" spans="1:10">
      <c r="A1390" s="17"/>
      <c r="B1390" s="13"/>
      <c r="C1390" s="20"/>
      <c r="D1390" s="19"/>
      <c r="E1390" s="26">
        <f>IF($B1390="","",IFERROR(INDEX(PecDesc,MATCH($B1390,PecCod,0)),"Peça não cadastrada"))</f>
        <v>0</v>
      </c>
      <c r="F1390" s="27">
        <f>IF($B1390="","",IF($D1390&lt;&gt;"",$D1390,IFERROR(INDEX(PecPreco,MATCH($B1390,PecCod,0)),0)))</f>
        <v>0</v>
      </c>
      <c r="G1390" s="27">
        <f>IF(OR($B1390="",$C1390=""),"",$C1390*$F1390)</f>
        <v>0</v>
      </c>
      <c r="H1390" s="27">
        <f>IF(OR($B1390="",$C1390=""),"",$C1390*IFERROR(INDEX(PecCusto,MATCH($B1390,PecCod,0)),0))</f>
        <v>0</v>
      </c>
      <c r="I1390" s="32">
        <f>IF($A1390="","",IFERROR(INDEX(OSStatus,MATCH($A1390,OSNum,0)),"OS inexistente"))</f>
        <v>0</v>
      </c>
      <c r="J1390" s="32">
        <f>IF($A1390="","",IF($I1390="OS inexistente","OS inexistente",IF($E1390="Peça não cadastrada","Peça não cadastrada","OK")))</f>
        <v>0</v>
      </c>
    </row>
    <row r="1391" spans="1:10">
      <c r="A1391" s="17"/>
      <c r="B1391" s="13"/>
      <c r="C1391" s="20"/>
      <c r="D1391" s="19"/>
      <c r="E1391" s="26">
        <f>IF($B1391="","",IFERROR(INDEX(PecDesc,MATCH($B1391,PecCod,0)),"Peça não cadastrada"))</f>
        <v>0</v>
      </c>
      <c r="F1391" s="27">
        <f>IF($B1391="","",IF($D1391&lt;&gt;"",$D1391,IFERROR(INDEX(PecPreco,MATCH($B1391,PecCod,0)),0)))</f>
        <v>0</v>
      </c>
      <c r="G1391" s="27">
        <f>IF(OR($B1391="",$C1391=""),"",$C1391*$F1391)</f>
        <v>0</v>
      </c>
      <c r="H1391" s="27">
        <f>IF(OR($B1391="",$C1391=""),"",$C1391*IFERROR(INDEX(PecCusto,MATCH($B1391,PecCod,0)),0))</f>
        <v>0</v>
      </c>
      <c r="I1391" s="32">
        <f>IF($A1391="","",IFERROR(INDEX(OSStatus,MATCH($A1391,OSNum,0)),"OS inexistente"))</f>
        <v>0</v>
      </c>
      <c r="J1391" s="32">
        <f>IF($A1391="","",IF($I1391="OS inexistente","OS inexistente",IF($E1391="Peça não cadastrada","Peça não cadastrada","OK")))</f>
        <v>0</v>
      </c>
    </row>
    <row r="1392" spans="1:10">
      <c r="A1392" s="17"/>
      <c r="B1392" s="13"/>
      <c r="C1392" s="20"/>
      <c r="D1392" s="19"/>
      <c r="E1392" s="26">
        <f>IF($B1392="","",IFERROR(INDEX(PecDesc,MATCH($B1392,PecCod,0)),"Peça não cadastrada"))</f>
        <v>0</v>
      </c>
      <c r="F1392" s="27">
        <f>IF($B1392="","",IF($D1392&lt;&gt;"",$D1392,IFERROR(INDEX(PecPreco,MATCH($B1392,PecCod,0)),0)))</f>
        <v>0</v>
      </c>
      <c r="G1392" s="27">
        <f>IF(OR($B1392="",$C1392=""),"",$C1392*$F1392)</f>
        <v>0</v>
      </c>
      <c r="H1392" s="27">
        <f>IF(OR($B1392="",$C1392=""),"",$C1392*IFERROR(INDEX(PecCusto,MATCH($B1392,PecCod,0)),0))</f>
        <v>0</v>
      </c>
      <c r="I1392" s="32">
        <f>IF($A1392="","",IFERROR(INDEX(OSStatus,MATCH($A1392,OSNum,0)),"OS inexistente"))</f>
        <v>0</v>
      </c>
      <c r="J1392" s="32">
        <f>IF($A1392="","",IF($I1392="OS inexistente","OS inexistente",IF($E1392="Peça não cadastrada","Peça não cadastrada","OK")))</f>
        <v>0</v>
      </c>
    </row>
    <row r="1393" spans="1:10">
      <c r="A1393" s="17"/>
      <c r="B1393" s="13"/>
      <c r="C1393" s="20"/>
      <c r="D1393" s="19"/>
      <c r="E1393" s="26">
        <f>IF($B1393="","",IFERROR(INDEX(PecDesc,MATCH($B1393,PecCod,0)),"Peça não cadastrada"))</f>
        <v>0</v>
      </c>
      <c r="F1393" s="27">
        <f>IF($B1393="","",IF($D1393&lt;&gt;"",$D1393,IFERROR(INDEX(PecPreco,MATCH($B1393,PecCod,0)),0)))</f>
        <v>0</v>
      </c>
      <c r="G1393" s="27">
        <f>IF(OR($B1393="",$C1393=""),"",$C1393*$F1393)</f>
        <v>0</v>
      </c>
      <c r="H1393" s="27">
        <f>IF(OR($B1393="",$C1393=""),"",$C1393*IFERROR(INDEX(PecCusto,MATCH($B1393,PecCod,0)),0))</f>
        <v>0</v>
      </c>
      <c r="I1393" s="32">
        <f>IF($A1393="","",IFERROR(INDEX(OSStatus,MATCH($A1393,OSNum,0)),"OS inexistente"))</f>
        <v>0</v>
      </c>
      <c r="J1393" s="32">
        <f>IF($A1393="","",IF($I1393="OS inexistente","OS inexistente",IF($E1393="Peça não cadastrada","Peça não cadastrada","OK")))</f>
        <v>0</v>
      </c>
    </row>
    <row r="1394" spans="1:10">
      <c r="A1394" s="17"/>
      <c r="B1394" s="13"/>
      <c r="C1394" s="20"/>
      <c r="D1394" s="19"/>
      <c r="E1394" s="26">
        <f>IF($B1394="","",IFERROR(INDEX(PecDesc,MATCH($B1394,PecCod,0)),"Peça não cadastrada"))</f>
        <v>0</v>
      </c>
      <c r="F1394" s="27">
        <f>IF($B1394="","",IF($D1394&lt;&gt;"",$D1394,IFERROR(INDEX(PecPreco,MATCH($B1394,PecCod,0)),0)))</f>
        <v>0</v>
      </c>
      <c r="G1394" s="27">
        <f>IF(OR($B1394="",$C1394=""),"",$C1394*$F1394)</f>
        <v>0</v>
      </c>
      <c r="H1394" s="27">
        <f>IF(OR($B1394="",$C1394=""),"",$C1394*IFERROR(INDEX(PecCusto,MATCH($B1394,PecCod,0)),0))</f>
        <v>0</v>
      </c>
      <c r="I1394" s="32">
        <f>IF($A1394="","",IFERROR(INDEX(OSStatus,MATCH($A1394,OSNum,0)),"OS inexistente"))</f>
        <v>0</v>
      </c>
      <c r="J1394" s="32">
        <f>IF($A1394="","",IF($I1394="OS inexistente","OS inexistente",IF($E1394="Peça não cadastrada","Peça não cadastrada","OK")))</f>
        <v>0</v>
      </c>
    </row>
    <row r="1395" spans="1:10">
      <c r="A1395" s="17"/>
      <c r="B1395" s="13"/>
      <c r="C1395" s="20"/>
      <c r="D1395" s="19"/>
      <c r="E1395" s="26">
        <f>IF($B1395="","",IFERROR(INDEX(PecDesc,MATCH($B1395,PecCod,0)),"Peça não cadastrada"))</f>
        <v>0</v>
      </c>
      <c r="F1395" s="27">
        <f>IF($B1395="","",IF($D1395&lt;&gt;"",$D1395,IFERROR(INDEX(PecPreco,MATCH($B1395,PecCod,0)),0)))</f>
        <v>0</v>
      </c>
      <c r="G1395" s="27">
        <f>IF(OR($B1395="",$C1395=""),"",$C1395*$F1395)</f>
        <v>0</v>
      </c>
      <c r="H1395" s="27">
        <f>IF(OR($B1395="",$C1395=""),"",$C1395*IFERROR(INDEX(PecCusto,MATCH($B1395,PecCod,0)),0))</f>
        <v>0</v>
      </c>
      <c r="I1395" s="32">
        <f>IF($A1395="","",IFERROR(INDEX(OSStatus,MATCH($A1395,OSNum,0)),"OS inexistente"))</f>
        <v>0</v>
      </c>
      <c r="J1395" s="32">
        <f>IF($A1395="","",IF($I1395="OS inexistente","OS inexistente",IF($E1395="Peça não cadastrada","Peça não cadastrada","OK")))</f>
        <v>0</v>
      </c>
    </row>
    <row r="1396" spans="1:10">
      <c r="A1396" s="17"/>
      <c r="B1396" s="13"/>
      <c r="C1396" s="20"/>
      <c r="D1396" s="19"/>
      <c r="E1396" s="26">
        <f>IF($B1396="","",IFERROR(INDEX(PecDesc,MATCH($B1396,PecCod,0)),"Peça não cadastrada"))</f>
        <v>0</v>
      </c>
      <c r="F1396" s="27">
        <f>IF($B1396="","",IF($D1396&lt;&gt;"",$D1396,IFERROR(INDEX(PecPreco,MATCH($B1396,PecCod,0)),0)))</f>
        <v>0</v>
      </c>
      <c r="G1396" s="27">
        <f>IF(OR($B1396="",$C1396=""),"",$C1396*$F1396)</f>
        <v>0</v>
      </c>
      <c r="H1396" s="27">
        <f>IF(OR($B1396="",$C1396=""),"",$C1396*IFERROR(INDEX(PecCusto,MATCH($B1396,PecCod,0)),0))</f>
        <v>0</v>
      </c>
      <c r="I1396" s="32">
        <f>IF($A1396="","",IFERROR(INDEX(OSStatus,MATCH($A1396,OSNum,0)),"OS inexistente"))</f>
        <v>0</v>
      </c>
      <c r="J1396" s="32">
        <f>IF($A1396="","",IF($I1396="OS inexistente","OS inexistente",IF($E1396="Peça não cadastrada","Peça não cadastrada","OK")))</f>
        <v>0</v>
      </c>
    </row>
    <row r="1397" spans="1:10">
      <c r="A1397" s="17"/>
      <c r="B1397" s="13"/>
      <c r="C1397" s="20"/>
      <c r="D1397" s="19"/>
      <c r="E1397" s="26">
        <f>IF($B1397="","",IFERROR(INDEX(PecDesc,MATCH($B1397,PecCod,0)),"Peça não cadastrada"))</f>
        <v>0</v>
      </c>
      <c r="F1397" s="27">
        <f>IF($B1397="","",IF($D1397&lt;&gt;"",$D1397,IFERROR(INDEX(PecPreco,MATCH($B1397,PecCod,0)),0)))</f>
        <v>0</v>
      </c>
      <c r="G1397" s="27">
        <f>IF(OR($B1397="",$C1397=""),"",$C1397*$F1397)</f>
        <v>0</v>
      </c>
      <c r="H1397" s="27">
        <f>IF(OR($B1397="",$C1397=""),"",$C1397*IFERROR(INDEX(PecCusto,MATCH($B1397,PecCod,0)),0))</f>
        <v>0</v>
      </c>
      <c r="I1397" s="32">
        <f>IF($A1397="","",IFERROR(INDEX(OSStatus,MATCH($A1397,OSNum,0)),"OS inexistente"))</f>
        <v>0</v>
      </c>
      <c r="J1397" s="32">
        <f>IF($A1397="","",IF($I1397="OS inexistente","OS inexistente",IF($E1397="Peça não cadastrada","Peça não cadastrada","OK")))</f>
        <v>0</v>
      </c>
    </row>
    <row r="1398" spans="1:10">
      <c r="A1398" s="17"/>
      <c r="B1398" s="13"/>
      <c r="C1398" s="20"/>
      <c r="D1398" s="19"/>
      <c r="E1398" s="26">
        <f>IF($B1398="","",IFERROR(INDEX(PecDesc,MATCH($B1398,PecCod,0)),"Peça não cadastrada"))</f>
        <v>0</v>
      </c>
      <c r="F1398" s="27">
        <f>IF($B1398="","",IF($D1398&lt;&gt;"",$D1398,IFERROR(INDEX(PecPreco,MATCH($B1398,PecCod,0)),0)))</f>
        <v>0</v>
      </c>
      <c r="G1398" s="27">
        <f>IF(OR($B1398="",$C1398=""),"",$C1398*$F1398)</f>
        <v>0</v>
      </c>
      <c r="H1398" s="27">
        <f>IF(OR($B1398="",$C1398=""),"",$C1398*IFERROR(INDEX(PecCusto,MATCH($B1398,PecCod,0)),0))</f>
        <v>0</v>
      </c>
      <c r="I1398" s="32">
        <f>IF($A1398="","",IFERROR(INDEX(OSStatus,MATCH($A1398,OSNum,0)),"OS inexistente"))</f>
        <v>0</v>
      </c>
      <c r="J1398" s="32">
        <f>IF($A1398="","",IF($I1398="OS inexistente","OS inexistente",IF($E1398="Peça não cadastrada","Peça não cadastrada","OK")))</f>
        <v>0</v>
      </c>
    </row>
    <row r="1399" spans="1:10">
      <c r="A1399" s="17"/>
      <c r="B1399" s="13"/>
      <c r="C1399" s="20"/>
      <c r="D1399" s="19"/>
      <c r="E1399" s="26">
        <f>IF($B1399="","",IFERROR(INDEX(PecDesc,MATCH($B1399,PecCod,0)),"Peça não cadastrada"))</f>
        <v>0</v>
      </c>
      <c r="F1399" s="27">
        <f>IF($B1399="","",IF($D1399&lt;&gt;"",$D1399,IFERROR(INDEX(PecPreco,MATCH($B1399,PecCod,0)),0)))</f>
        <v>0</v>
      </c>
      <c r="G1399" s="27">
        <f>IF(OR($B1399="",$C1399=""),"",$C1399*$F1399)</f>
        <v>0</v>
      </c>
      <c r="H1399" s="27">
        <f>IF(OR($B1399="",$C1399=""),"",$C1399*IFERROR(INDEX(PecCusto,MATCH($B1399,PecCod,0)),0))</f>
        <v>0</v>
      </c>
      <c r="I1399" s="32">
        <f>IF($A1399="","",IFERROR(INDEX(OSStatus,MATCH($A1399,OSNum,0)),"OS inexistente"))</f>
        <v>0</v>
      </c>
      <c r="J1399" s="32">
        <f>IF($A1399="","",IF($I1399="OS inexistente","OS inexistente",IF($E1399="Peça não cadastrada","Peça não cadastrada","OK")))</f>
        <v>0</v>
      </c>
    </row>
    <row r="1400" spans="1:10">
      <c r="A1400" s="17"/>
      <c r="B1400" s="13"/>
      <c r="C1400" s="20"/>
      <c r="D1400" s="19"/>
      <c r="E1400" s="26">
        <f>IF($B1400="","",IFERROR(INDEX(PecDesc,MATCH($B1400,PecCod,0)),"Peça não cadastrada"))</f>
        <v>0</v>
      </c>
      <c r="F1400" s="27">
        <f>IF($B1400="","",IF($D1400&lt;&gt;"",$D1400,IFERROR(INDEX(PecPreco,MATCH($B1400,PecCod,0)),0)))</f>
        <v>0</v>
      </c>
      <c r="G1400" s="27">
        <f>IF(OR($B1400="",$C1400=""),"",$C1400*$F1400)</f>
        <v>0</v>
      </c>
      <c r="H1400" s="27">
        <f>IF(OR($B1400="",$C1400=""),"",$C1400*IFERROR(INDEX(PecCusto,MATCH($B1400,PecCod,0)),0))</f>
        <v>0</v>
      </c>
      <c r="I1400" s="32">
        <f>IF($A1400="","",IFERROR(INDEX(OSStatus,MATCH($A1400,OSNum,0)),"OS inexistente"))</f>
        <v>0</v>
      </c>
      <c r="J1400" s="32">
        <f>IF($A1400="","",IF($I1400="OS inexistente","OS inexistente",IF($E1400="Peça não cadastrada","Peça não cadastrada","OK")))</f>
        <v>0</v>
      </c>
    </row>
    <row r="1401" spans="1:10">
      <c r="A1401" s="17"/>
      <c r="B1401" s="13"/>
      <c r="C1401" s="20"/>
      <c r="D1401" s="19"/>
      <c r="E1401" s="26">
        <f>IF($B1401="","",IFERROR(INDEX(PecDesc,MATCH($B1401,PecCod,0)),"Peça não cadastrada"))</f>
        <v>0</v>
      </c>
      <c r="F1401" s="27">
        <f>IF($B1401="","",IF($D1401&lt;&gt;"",$D1401,IFERROR(INDEX(PecPreco,MATCH($B1401,PecCod,0)),0)))</f>
        <v>0</v>
      </c>
      <c r="G1401" s="27">
        <f>IF(OR($B1401="",$C1401=""),"",$C1401*$F1401)</f>
        <v>0</v>
      </c>
      <c r="H1401" s="27">
        <f>IF(OR($B1401="",$C1401=""),"",$C1401*IFERROR(INDEX(PecCusto,MATCH($B1401,PecCod,0)),0))</f>
        <v>0</v>
      </c>
      <c r="I1401" s="32">
        <f>IF($A1401="","",IFERROR(INDEX(OSStatus,MATCH($A1401,OSNum,0)),"OS inexistente"))</f>
        <v>0</v>
      </c>
      <c r="J1401" s="32">
        <f>IF($A1401="","",IF($I1401="OS inexistente","OS inexistente",IF($E1401="Peça não cadastrada","Peça não cadastrada","OK")))</f>
        <v>0</v>
      </c>
    </row>
    <row r="1402" spans="1:10">
      <c r="A1402" s="17"/>
      <c r="B1402" s="13"/>
      <c r="C1402" s="20"/>
      <c r="D1402" s="19"/>
      <c r="E1402" s="26">
        <f>IF($B1402="","",IFERROR(INDEX(PecDesc,MATCH($B1402,PecCod,0)),"Peça não cadastrada"))</f>
        <v>0</v>
      </c>
      <c r="F1402" s="27">
        <f>IF($B1402="","",IF($D1402&lt;&gt;"",$D1402,IFERROR(INDEX(PecPreco,MATCH($B1402,PecCod,0)),0)))</f>
        <v>0</v>
      </c>
      <c r="G1402" s="27">
        <f>IF(OR($B1402="",$C1402=""),"",$C1402*$F1402)</f>
        <v>0</v>
      </c>
      <c r="H1402" s="27">
        <f>IF(OR($B1402="",$C1402=""),"",$C1402*IFERROR(INDEX(PecCusto,MATCH($B1402,PecCod,0)),0))</f>
        <v>0</v>
      </c>
      <c r="I1402" s="32">
        <f>IF($A1402="","",IFERROR(INDEX(OSStatus,MATCH($A1402,OSNum,0)),"OS inexistente"))</f>
        <v>0</v>
      </c>
      <c r="J1402" s="32">
        <f>IF($A1402="","",IF($I1402="OS inexistente","OS inexistente",IF($E1402="Peça não cadastrada","Peça não cadastrada","OK")))</f>
        <v>0</v>
      </c>
    </row>
    <row r="1403" spans="1:10">
      <c r="A1403" s="17"/>
      <c r="B1403" s="13"/>
      <c r="C1403" s="20"/>
      <c r="D1403" s="19"/>
      <c r="E1403" s="26">
        <f>IF($B1403="","",IFERROR(INDEX(PecDesc,MATCH($B1403,PecCod,0)),"Peça não cadastrada"))</f>
        <v>0</v>
      </c>
      <c r="F1403" s="27">
        <f>IF($B1403="","",IF($D1403&lt;&gt;"",$D1403,IFERROR(INDEX(PecPreco,MATCH($B1403,PecCod,0)),0)))</f>
        <v>0</v>
      </c>
      <c r="G1403" s="27">
        <f>IF(OR($B1403="",$C1403=""),"",$C1403*$F1403)</f>
        <v>0</v>
      </c>
      <c r="H1403" s="27">
        <f>IF(OR($B1403="",$C1403=""),"",$C1403*IFERROR(INDEX(PecCusto,MATCH($B1403,PecCod,0)),0))</f>
        <v>0</v>
      </c>
      <c r="I1403" s="32">
        <f>IF($A1403="","",IFERROR(INDEX(OSStatus,MATCH($A1403,OSNum,0)),"OS inexistente"))</f>
        <v>0</v>
      </c>
      <c r="J1403" s="32">
        <f>IF($A1403="","",IF($I1403="OS inexistente","OS inexistente",IF($E1403="Peça não cadastrada","Peça não cadastrada","OK")))</f>
        <v>0</v>
      </c>
    </row>
    <row r="1404" spans="1:10">
      <c r="A1404" s="17"/>
      <c r="B1404" s="13"/>
      <c r="C1404" s="20"/>
      <c r="D1404" s="19"/>
      <c r="E1404" s="26">
        <f>IF($B1404="","",IFERROR(INDEX(PecDesc,MATCH($B1404,PecCod,0)),"Peça não cadastrada"))</f>
        <v>0</v>
      </c>
      <c r="F1404" s="27">
        <f>IF($B1404="","",IF($D1404&lt;&gt;"",$D1404,IFERROR(INDEX(PecPreco,MATCH($B1404,PecCod,0)),0)))</f>
        <v>0</v>
      </c>
      <c r="G1404" s="27">
        <f>IF(OR($B1404="",$C1404=""),"",$C1404*$F1404)</f>
        <v>0</v>
      </c>
      <c r="H1404" s="27">
        <f>IF(OR($B1404="",$C1404=""),"",$C1404*IFERROR(INDEX(PecCusto,MATCH($B1404,PecCod,0)),0))</f>
        <v>0</v>
      </c>
      <c r="I1404" s="32">
        <f>IF($A1404="","",IFERROR(INDEX(OSStatus,MATCH($A1404,OSNum,0)),"OS inexistente"))</f>
        <v>0</v>
      </c>
      <c r="J1404" s="32">
        <f>IF($A1404="","",IF($I1404="OS inexistente","OS inexistente",IF($E1404="Peça não cadastrada","Peça não cadastrada","OK")))</f>
        <v>0</v>
      </c>
    </row>
    <row r="1405" spans="1:10">
      <c r="A1405" s="17"/>
      <c r="B1405" s="13"/>
      <c r="C1405" s="20"/>
      <c r="D1405" s="19"/>
      <c r="E1405" s="26">
        <f>IF($B1405="","",IFERROR(INDEX(PecDesc,MATCH($B1405,PecCod,0)),"Peça não cadastrada"))</f>
        <v>0</v>
      </c>
      <c r="F1405" s="27">
        <f>IF($B1405="","",IF($D1405&lt;&gt;"",$D1405,IFERROR(INDEX(PecPreco,MATCH($B1405,PecCod,0)),0)))</f>
        <v>0</v>
      </c>
      <c r="G1405" s="27">
        <f>IF(OR($B1405="",$C1405=""),"",$C1405*$F1405)</f>
        <v>0</v>
      </c>
      <c r="H1405" s="27">
        <f>IF(OR($B1405="",$C1405=""),"",$C1405*IFERROR(INDEX(PecCusto,MATCH($B1405,PecCod,0)),0))</f>
        <v>0</v>
      </c>
      <c r="I1405" s="32">
        <f>IF($A1405="","",IFERROR(INDEX(OSStatus,MATCH($A1405,OSNum,0)),"OS inexistente"))</f>
        <v>0</v>
      </c>
      <c r="J1405" s="32">
        <f>IF($A1405="","",IF($I1405="OS inexistente","OS inexistente",IF($E1405="Peça não cadastrada","Peça não cadastrada","OK")))</f>
        <v>0</v>
      </c>
    </row>
    <row r="1406" spans="1:10">
      <c r="A1406" s="17"/>
      <c r="B1406" s="13"/>
      <c r="C1406" s="20"/>
      <c r="D1406" s="19"/>
      <c r="E1406" s="26">
        <f>IF($B1406="","",IFERROR(INDEX(PecDesc,MATCH($B1406,PecCod,0)),"Peça não cadastrada"))</f>
        <v>0</v>
      </c>
      <c r="F1406" s="27">
        <f>IF($B1406="","",IF($D1406&lt;&gt;"",$D1406,IFERROR(INDEX(PecPreco,MATCH($B1406,PecCod,0)),0)))</f>
        <v>0</v>
      </c>
      <c r="G1406" s="27">
        <f>IF(OR($B1406="",$C1406=""),"",$C1406*$F1406)</f>
        <v>0</v>
      </c>
      <c r="H1406" s="27">
        <f>IF(OR($B1406="",$C1406=""),"",$C1406*IFERROR(INDEX(PecCusto,MATCH($B1406,PecCod,0)),0))</f>
        <v>0</v>
      </c>
      <c r="I1406" s="32">
        <f>IF($A1406="","",IFERROR(INDEX(OSStatus,MATCH($A1406,OSNum,0)),"OS inexistente"))</f>
        <v>0</v>
      </c>
      <c r="J1406" s="32">
        <f>IF($A1406="","",IF($I1406="OS inexistente","OS inexistente",IF($E1406="Peça não cadastrada","Peça não cadastrada","OK")))</f>
        <v>0</v>
      </c>
    </row>
    <row r="1407" spans="1:10">
      <c r="A1407" s="17"/>
      <c r="B1407" s="13"/>
      <c r="C1407" s="20"/>
      <c r="D1407" s="19"/>
      <c r="E1407" s="26">
        <f>IF($B1407="","",IFERROR(INDEX(PecDesc,MATCH($B1407,PecCod,0)),"Peça não cadastrada"))</f>
        <v>0</v>
      </c>
      <c r="F1407" s="27">
        <f>IF($B1407="","",IF($D1407&lt;&gt;"",$D1407,IFERROR(INDEX(PecPreco,MATCH($B1407,PecCod,0)),0)))</f>
        <v>0</v>
      </c>
      <c r="G1407" s="27">
        <f>IF(OR($B1407="",$C1407=""),"",$C1407*$F1407)</f>
        <v>0</v>
      </c>
      <c r="H1407" s="27">
        <f>IF(OR($B1407="",$C1407=""),"",$C1407*IFERROR(INDEX(PecCusto,MATCH($B1407,PecCod,0)),0))</f>
        <v>0</v>
      </c>
      <c r="I1407" s="32">
        <f>IF($A1407="","",IFERROR(INDEX(OSStatus,MATCH($A1407,OSNum,0)),"OS inexistente"))</f>
        <v>0</v>
      </c>
      <c r="J1407" s="32">
        <f>IF($A1407="","",IF($I1407="OS inexistente","OS inexistente",IF($E1407="Peça não cadastrada","Peça não cadastrada","OK")))</f>
        <v>0</v>
      </c>
    </row>
    <row r="1408" spans="1:10">
      <c r="A1408" s="17"/>
      <c r="B1408" s="13"/>
      <c r="C1408" s="20"/>
      <c r="D1408" s="19"/>
      <c r="E1408" s="26">
        <f>IF($B1408="","",IFERROR(INDEX(PecDesc,MATCH($B1408,PecCod,0)),"Peça não cadastrada"))</f>
        <v>0</v>
      </c>
      <c r="F1408" s="27">
        <f>IF($B1408="","",IF($D1408&lt;&gt;"",$D1408,IFERROR(INDEX(PecPreco,MATCH($B1408,PecCod,0)),0)))</f>
        <v>0</v>
      </c>
      <c r="G1408" s="27">
        <f>IF(OR($B1408="",$C1408=""),"",$C1408*$F1408)</f>
        <v>0</v>
      </c>
      <c r="H1408" s="27">
        <f>IF(OR($B1408="",$C1408=""),"",$C1408*IFERROR(INDEX(PecCusto,MATCH($B1408,PecCod,0)),0))</f>
        <v>0</v>
      </c>
      <c r="I1408" s="32">
        <f>IF($A1408="","",IFERROR(INDEX(OSStatus,MATCH($A1408,OSNum,0)),"OS inexistente"))</f>
        <v>0</v>
      </c>
      <c r="J1408" s="32">
        <f>IF($A1408="","",IF($I1408="OS inexistente","OS inexistente",IF($E1408="Peça não cadastrada","Peça não cadastrada","OK")))</f>
        <v>0</v>
      </c>
    </row>
    <row r="1409" spans="1:10">
      <c r="A1409" s="17"/>
      <c r="B1409" s="13"/>
      <c r="C1409" s="20"/>
      <c r="D1409" s="19"/>
      <c r="E1409" s="26">
        <f>IF($B1409="","",IFERROR(INDEX(PecDesc,MATCH($B1409,PecCod,0)),"Peça não cadastrada"))</f>
        <v>0</v>
      </c>
      <c r="F1409" s="27">
        <f>IF($B1409="","",IF($D1409&lt;&gt;"",$D1409,IFERROR(INDEX(PecPreco,MATCH($B1409,PecCod,0)),0)))</f>
        <v>0</v>
      </c>
      <c r="G1409" s="27">
        <f>IF(OR($B1409="",$C1409=""),"",$C1409*$F1409)</f>
        <v>0</v>
      </c>
      <c r="H1409" s="27">
        <f>IF(OR($B1409="",$C1409=""),"",$C1409*IFERROR(INDEX(PecCusto,MATCH($B1409,PecCod,0)),0))</f>
        <v>0</v>
      </c>
      <c r="I1409" s="32">
        <f>IF($A1409="","",IFERROR(INDEX(OSStatus,MATCH($A1409,OSNum,0)),"OS inexistente"))</f>
        <v>0</v>
      </c>
      <c r="J1409" s="32">
        <f>IF($A1409="","",IF($I1409="OS inexistente","OS inexistente",IF($E1409="Peça não cadastrada","Peça não cadastrada","OK")))</f>
        <v>0</v>
      </c>
    </row>
    <row r="1410" spans="1:10">
      <c r="A1410" s="17"/>
      <c r="B1410" s="13"/>
      <c r="C1410" s="20"/>
      <c r="D1410" s="19"/>
      <c r="E1410" s="26">
        <f>IF($B1410="","",IFERROR(INDEX(PecDesc,MATCH($B1410,PecCod,0)),"Peça não cadastrada"))</f>
        <v>0</v>
      </c>
      <c r="F1410" s="27">
        <f>IF($B1410="","",IF($D1410&lt;&gt;"",$D1410,IFERROR(INDEX(PecPreco,MATCH($B1410,PecCod,0)),0)))</f>
        <v>0</v>
      </c>
      <c r="G1410" s="27">
        <f>IF(OR($B1410="",$C1410=""),"",$C1410*$F1410)</f>
        <v>0</v>
      </c>
      <c r="H1410" s="27">
        <f>IF(OR($B1410="",$C1410=""),"",$C1410*IFERROR(INDEX(PecCusto,MATCH($B1410,PecCod,0)),0))</f>
        <v>0</v>
      </c>
      <c r="I1410" s="32">
        <f>IF($A1410="","",IFERROR(INDEX(OSStatus,MATCH($A1410,OSNum,0)),"OS inexistente"))</f>
        <v>0</v>
      </c>
      <c r="J1410" s="32">
        <f>IF($A1410="","",IF($I1410="OS inexistente","OS inexistente",IF($E1410="Peça não cadastrada","Peça não cadastrada","OK")))</f>
        <v>0</v>
      </c>
    </row>
    <row r="1411" spans="1:10">
      <c r="A1411" s="17"/>
      <c r="B1411" s="13"/>
      <c r="C1411" s="20"/>
      <c r="D1411" s="19"/>
      <c r="E1411" s="26">
        <f>IF($B1411="","",IFERROR(INDEX(PecDesc,MATCH($B1411,PecCod,0)),"Peça não cadastrada"))</f>
        <v>0</v>
      </c>
      <c r="F1411" s="27">
        <f>IF($B1411="","",IF($D1411&lt;&gt;"",$D1411,IFERROR(INDEX(PecPreco,MATCH($B1411,PecCod,0)),0)))</f>
        <v>0</v>
      </c>
      <c r="G1411" s="27">
        <f>IF(OR($B1411="",$C1411=""),"",$C1411*$F1411)</f>
        <v>0</v>
      </c>
      <c r="H1411" s="27">
        <f>IF(OR($B1411="",$C1411=""),"",$C1411*IFERROR(INDEX(PecCusto,MATCH($B1411,PecCod,0)),0))</f>
        <v>0</v>
      </c>
      <c r="I1411" s="32">
        <f>IF($A1411="","",IFERROR(INDEX(OSStatus,MATCH($A1411,OSNum,0)),"OS inexistente"))</f>
        <v>0</v>
      </c>
      <c r="J1411" s="32">
        <f>IF($A1411="","",IF($I1411="OS inexistente","OS inexistente",IF($E1411="Peça não cadastrada","Peça não cadastrada","OK")))</f>
        <v>0</v>
      </c>
    </row>
    <row r="1412" spans="1:10">
      <c r="A1412" s="17"/>
      <c r="B1412" s="13"/>
      <c r="C1412" s="20"/>
      <c r="D1412" s="19"/>
      <c r="E1412" s="26">
        <f>IF($B1412="","",IFERROR(INDEX(PecDesc,MATCH($B1412,PecCod,0)),"Peça não cadastrada"))</f>
        <v>0</v>
      </c>
      <c r="F1412" s="27">
        <f>IF($B1412="","",IF($D1412&lt;&gt;"",$D1412,IFERROR(INDEX(PecPreco,MATCH($B1412,PecCod,0)),0)))</f>
        <v>0</v>
      </c>
      <c r="G1412" s="27">
        <f>IF(OR($B1412="",$C1412=""),"",$C1412*$F1412)</f>
        <v>0</v>
      </c>
      <c r="H1412" s="27">
        <f>IF(OR($B1412="",$C1412=""),"",$C1412*IFERROR(INDEX(PecCusto,MATCH($B1412,PecCod,0)),0))</f>
        <v>0</v>
      </c>
      <c r="I1412" s="32">
        <f>IF($A1412="","",IFERROR(INDEX(OSStatus,MATCH($A1412,OSNum,0)),"OS inexistente"))</f>
        <v>0</v>
      </c>
      <c r="J1412" s="32">
        <f>IF($A1412="","",IF($I1412="OS inexistente","OS inexistente",IF($E1412="Peça não cadastrada","Peça não cadastrada","OK")))</f>
        <v>0</v>
      </c>
    </row>
    <row r="1413" spans="1:10">
      <c r="A1413" s="17"/>
      <c r="B1413" s="13"/>
      <c r="C1413" s="20"/>
      <c r="D1413" s="19"/>
      <c r="E1413" s="26">
        <f>IF($B1413="","",IFERROR(INDEX(PecDesc,MATCH($B1413,PecCod,0)),"Peça não cadastrada"))</f>
        <v>0</v>
      </c>
      <c r="F1413" s="27">
        <f>IF($B1413="","",IF($D1413&lt;&gt;"",$D1413,IFERROR(INDEX(PecPreco,MATCH($B1413,PecCod,0)),0)))</f>
        <v>0</v>
      </c>
      <c r="G1413" s="27">
        <f>IF(OR($B1413="",$C1413=""),"",$C1413*$F1413)</f>
        <v>0</v>
      </c>
      <c r="H1413" s="27">
        <f>IF(OR($B1413="",$C1413=""),"",$C1413*IFERROR(INDEX(PecCusto,MATCH($B1413,PecCod,0)),0))</f>
        <v>0</v>
      </c>
      <c r="I1413" s="32">
        <f>IF($A1413="","",IFERROR(INDEX(OSStatus,MATCH($A1413,OSNum,0)),"OS inexistente"))</f>
        <v>0</v>
      </c>
      <c r="J1413" s="32">
        <f>IF($A1413="","",IF($I1413="OS inexistente","OS inexistente",IF($E1413="Peça não cadastrada","Peça não cadastrada","OK")))</f>
        <v>0</v>
      </c>
    </row>
    <row r="1414" spans="1:10">
      <c r="A1414" s="17"/>
      <c r="B1414" s="13"/>
      <c r="C1414" s="20"/>
      <c r="D1414" s="19"/>
      <c r="E1414" s="26">
        <f>IF($B1414="","",IFERROR(INDEX(PecDesc,MATCH($B1414,PecCod,0)),"Peça não cadastrada"))</f>
        <v>0</v>
      </c>
      <c r="F1414" s="27">
        <f>IF($B1414="","",IF($D1414&lt;&gt;"",$D1414,IFERROR(INDEX(PecPreco,MATCH($B1414,PecCod,0)),0)))</f>
        <v>0</v>
      </c>
      <c r="G1414" s="27">
        <f>IF(OR($B1414="",$C1414=""),"",$C1414*$F1414)</f>
        <v>0</v>
      </c>
      <c r="H1414" s="27">
        <f>IF(OR($B1414="",$C1414=""),"",$C1414*IFERROR(INDEX(PecCusto,MATCH($B1414,PecCod,0)),0))</f>
        <v>0</v>
      </c>
      <c r="I1414" s="32">
        <f>IF($A1414="","",IFERROR(INDEX(OSStatus,MATCH($A1414,OSNum,0)),"OS inexistente"))</f>
        <v>0</v>
      </c>
      <c r="J1414" s="32">
        <f>IF($A1414="","",IF($I1414="OS inexistente","OS inexistente",IF($E1414="Peça não cadastrada","Peça não cadastrada","OK")))</f>
        <v>0</v>
      </c>
    </row>
    <row r="1415" spans="1:10">
      <c r="A1415" s="17"/>
      <c r="B1415" s="13"/>
      <c r="C1415" s="20"/>
      <c r="D1415" s="19"/>
      <c r="E1415" s="26">
        <f>IF($B1415="","",IFERROR(INDEX(PecDesc,MATCH($B1415,PecCod,0)),"Peça não cadastrada"))</f>
        <v>0</v>
      </c>
      <c r="F1415" s="27">
        <f>IF($B1415="","",IF($D1415&lt;&gt;"",$D1415,IFERROR(INDEX(PecPreco,MATCH($B1415,PecCod,0)),0)))</f>
        <v>0</v>
      </c>
      <c r="G1415" s="27">
        <f>IF(OR($B1415="",$C1415=""),"",$C1415*$F1415)</f>
        <v>0</v>
      </c>
      <c r="H1415" s="27">
        <f>IF(OR($B1415="",$C1415=""),"",$C1415*IFERROR(INDEX(PecCusto,MATCH($B1415,PecCod,0)),0))</f>
        <v>0</v>
      </c>
      <c r="I1415" s="32">
        <f>IF($A1415="","",IFERROR(INDEX(OSStatus,MATCH($A1415,OSNum,0)),"OS inexistente"))</f>
        <v>0</v>
      </c>
      <c r="J1415" s="32">
        <f>IF($A1415="","",IF($I1415="OS inexistente","OS inexistente",IF($E1415="Peça não cadastrada","Peça não cadastrada","OK")))</f>
        <v>0</v>
      </c>
    </row>
    <row r="1416" spans="1:10">
      <c r="A1416" s="17"/>
      <c r="B1416" s="13"/>
      <c r="C1416" s="20"/>
      <c r="D1416" s="19"/>
      <c r="E1416" s="26">
        <f>IF($B1416="","",IFERROR(INDEX(PecDesc,MATCH($B1416,PecCod,0)),"Peça não cadastrada"))</f>
        <v>0</v>
      </c>
      <c r="F1416" s="27">
        <f>IF($B1416="","",IF($D1416&lt;&gt;"",$D1416,IFERROR(INDEX(PecPreco,MATCH($B1416,PecCod,0)),0)))</f>
        <v>0</v>
      </c>
      <c r="G1416" s="27">
        <f>IF(OR($B1416="",$C1416=""),"",$C1416*$F1416)</f>
        <v>0</v>
      </c>
      <c r="H1416" s="27">
        <f>IF(OR($B1416="",$C1416=""),"",$C1416*IFERROR(INDEX(PecCusto,MATCH($B1416,PecCod,0)),0))</f>
        <v>0</v>
      </c>
      <c r="I1416" s="32">
        <f>IF($A1416="","",IFERROR(INDEX(OSStatus,MATCH($A1416,OSNum,0)),"OS inexistente"))</f>
        <v>0</v>
      </c>
      <c r="J1416" s="32">
        <f>IF($A1416="","",IF($I1416="OS inexistente","OS inexistente",IF($E1416="Peça não cadastrada","Peça não cadastrada","OK")))</f>
        <v>0</v>
      </c>
    </row>
    <row r="1417" spans="1:10">
      <c r="A1417" s="17"/>
      <c r="B1417" s="13"/>
      <c r="C1417" s="20"/>
      <c r="D1417" s="19"/>
      <c r="E1417" s="26">
        <f>IF($B1417="","",IFERROR(INDEX(PecDesc,MATCH($B1417,PecCod,0)),"Peça não cadastrada"))</f>
        <v>0</v>
      </c>
      <c r="F1417" s="27">
        <f>IF($B1417="","",IF($D1417&lt;&gt;"",$D1417,IFERROR(INDEX(PecPreco,MATCH($B1417,PecCod,0)),0)))</f>
        <v>0</v>
      </c>
      <c r="G1417" s="27">
        <f>IF(OR($B1417="",$C1417=""),"",$C1417*$F1417)</f>
        <v>0</v>
      </c>
      <c r="H1417" s="27">
        <f>IF(OR($B1417="",$C1417=""),"",$C1417*IFERROR(INDEX(PecCusto,MATCH($B1417,PecCod,0)),0))</f>
        <v>0</v>
      </c>
      <c r="I1417" s="32">
        <f>IF($A1417="","",IFERROR(INDEX(OSStatus,MATCH($A1417,OSNum,0)),"OS inexistente"))</f>
        <v>0</v>
      </c>
      <c r="J1417" s="32">
        <f>IF($A1417="","",IF($I1417="OS inexistente","OS inexistente",IF($E1417="Peça não cadastrada","Peça não cadastrada","OK")))</f>
        <v>0</v>
      </c>
    </row>
    <row r="1418" spans="1:10">
      <c r="A1418" s="17"/>
      <c r="B1418" s="13"/>
      <c r="C1418" s="20"/>
      <c r="D1418" s="19"/>
      <c r="E1418" s="26">
        <f>IF($B1418="","",IFERROR(INDEX(PecDesc,MATCH($B1418,PecCod,0)),"Peça não cadastrada"))</f>
        <v>0</v>
      </c>
      <c r="F1418" s="27">
        <f>IF($B1418="","",IF($D1418&lt;&gt;"",$D1418,IFERROR(INDEX(PecPreco,MATCH($B1418,PecCod,0)),0)))</f>
        <v>0</v>
      </c>
      <c r="G1418" s="27">
        <f>IF(OR($B1418="",$C1418=""),"",$C1418*$F1418)</f>
        <v>0</v>
      </c>
      <c r="H1418" s="27">
        <f>IF(OR($B1418="",$C1418=""),"",$C1418*IFERROR(INDEX(PecCusto,MATCH($B1418,PecCod,0)),0))</f>
        <v>0</v>
      </c>
      <c r="I1418" s="32">
        <f>IF($A1418="","",IFERROR(INDEX(OSStatus,MATCH($A1418,OSNum,0)),"OS inexistente"))</f>
        <v>0</v>
      </c>
      <c r="J1418" s="32">
        <f>IF($A1418="","",IF($I1418="OS inexistente","OS inexistente",IF($E1418="Peça não cadastrada","Peça não cadastrada","OK")))</f>
        <v>0</v>
      </c>
    </row>
    <row r="1419" spans="1:10">
      <c r="A1419" s="17"/>
      <c r="B1419" s="13"/>
      <c r="C1419" s="20"/>
      <c r="D1419" s="19"/>
      <c r="E1419" s="26">
        <f>IF($B1419="","",IFERROR(INDEX(PecDesc,MATCH($B1419,PecCod,0)),"Peça não cadastrada"))</f>
        <v>0</v>
      </c>
      <c r="F1419" s="27">
        <f>IF($B1419="","",IF($D1419&lt;&gt;"",$D1419,IFERROR(INDEX(PecPreco,MATCH($B1419,PecCod,0)),0)))</f>
        <v>0</v>
      </c>
      <c r="G1419" s="27">
        <f>IF(OR($B1419="",$C1419=""),"",$C1419*$F1419)</f>
        <v>0</v>
      </c>
      <c r="H1419" s="27">
        <f>IF(OR($B1419="",$C1419=""),"",$C1419*IFERROR(INDEX(PecCusto,MATCH($B1419,PecCod,0)),0))</f>
        <v>0</v>
      </c>
      <c r="I1419" s="32">
        <f>IF($A1419="","",IFERROR(INDEX(OSStatus,MATCH($A1419,OSNum,0)),"OS inexistente"))</f>
        <v>0</v>
      </c>
      <c r="J1419" s="32">
        <f>IF($A1419="","",IF($I1419="OS inexistente","OS inexistente",IF($E1419="Peça não cadastrada","Peça não cadastrada","OK")))</f>
        <v>0</v>
      </c>
    </row>
    <row r="1420" spans="1:10">
      <c r="A1420" s="17"/>
      <c r="B1420" s="13"/>
      <c r="C1420" s="20"/>
      <c r="D1420" s="19"/>
      <c r="E1420" s="26">
        <f>IF($B1420="","",IFERROR(INDEX(PecDesc,MATCH($B1420,PecCod,0)),"Peça não cadastrada"))</f>
        <v>0</v>
      </c>
      <c r="F1420" s="27">
        <f>IF($B1420="","",IF($D1420&lt;&gt;"",$D1420,IFERROR(INDEX(PecPreco,MATCH($B1420,PecCod,0)),0)))</f>
        <v>0</v>
      </c>
      <c r="G1420" s="27">
        <f>IF(OR($B1420="",$C1420=""),"",$C1420*$F1420)</f>
        <v>0</v>
      </c>
      <c r="H1420" s="27">
        <f>IF(OR($B1420="",$C1420=""),"",$C1420*IFERROR(INDEX(PecCusto,MATCH($B1420,PecCod,0)),0))</f>
        <v>0</v>
      </c>
      <c r="I1420" s="32">
        <f>IF($A1420="","",IFERROR(INDEX(OSStatus,MATCH($A1420,OSNum,0)),"OS inexistente"))</f>
        <v>0</v>
      </c>
      <c r="J1420" s="32">
        <f>IF($A1420="","",IF($I1420="OS inexistente","OS inexistente",IF($E1420="Peça não cadastrada","Peça não cadastrada","OK")))</f>
        <v>0</v>
      </c>
    </row>
    <row r="1421" spans="1:10">
      <c r="A1421" s="17"/>
      <c r="B1421" s="13"/>
      <c r="C1421" s="20"/>
      <c r="D1421" s="19"/>
      <c r="E1421" s="26">
        <f>IF($B1421="","",IFERROR(INDEX(PecDesc,MATCH($B1421,PecCod,0)),"Peça não cadastrada"))</f>
        <v>0</v>
      </c>
      <c r="F1421" s="27">
        <f>IF($B1421="","",IF($D1421&lt;&gt;"",$D1421,IFERROR(INDEX(PecPreco,MATCH($B1421,PecCod,0)),0)))</f>
        <v>0</v>
      </c>
      <c r="G1421" s="27">
        <f>IF(OR($B1421="",$C1421=""),"",$C1421*$F1421)</f>
        <v>0</v>
      </c>
      <c r="H1421" s="27">
        <f>IF(OR($B1421="",$C1421=""),"",$C1421*IFERROR(INDEX(PecCusto,MATCH($B1421,PecCod,0)),0))</f>
        <v>0</v>
      </c>
      <c r="I1421" s="32">
        <f>IF($A1421="","",IFERROR(INDEX(OSStatus,MATCH($A1421,OSNum,0)),"OS inexistente"))</f>
        <v>0</v>
      </c>
      <c r="J1421" s="32">
        <f>IF($A1421="","",IF($I1421="OS inexistente","OS inexistente",IF($E1421="Peça não cadastrada","Peça não cadastrada","OK")))</f>
        <v>0</v>
      </c>
    </row>
    <row r="1422" spans="1:10">
      <c r="A1422" s="17"/>
      <c r="B1422" s="13"/>
      <c r="C1422" s="20"/>
      <c r="D1422" s="19"/>
      <c r="E1422" s="26">
        <f>IF($B1422="","",IFERROR(INDEX(PecDesc,MATCH($B1422,PecCod,0)),"Peça não cadastrada"))</f>
        <v>0</v>
      </c>
      <c r="F1422" s="27">
        <f>IF($B1422="","",IF($D1422&lt;&gt;"",$D1422,IFERROR(INDEX(PecPreco,MATCH($B1422,PecCod,0)),0)))</f>
        <v>0</v>
      </c>
      <c r="G1422" s="27">
        <f>IF(OR($B1422="",$C1422=""),"",$C1422*$F1422)</f>
        <v>0</v>
      </c>
      <c r="H1422" s="27">
        <f>IF(OR($B1422="",$C1422=""),"",$C1422*IFERROR(INDEX(PecCusto,MATCH($B1422,PecCod,0)),0))</f>
        <v>0</v>
      </c>
      <c r="I1422" s="32">
        <f>IF($A1422="","",IFERROR(INDEX(OSStatus,MATCH($A1422,OSNum,0)),"OS inexistente"))</f>
        <v>0</v>
      </c>
      <c r="J1422" s="32">
        <f>IF($A1422="","",IF($I1422="OS inexistente","OS inexistente",IF($E1422="Peça não cadastrada","Peça não cadastrada","OK")))</f>
        <v>0</v>
      </c>
    </row>
    <row r="1423" spans="1:10">
      <c r="A1423" s="17"/>
      <c r="B1423" s="13"/>
      <c r="C1423" s="20"/>
      <c r="D1423" s="19"/>
      <c r="E1423" s="26">
        <f>IF($B1423="","",IFERROR(INDEX(PecDesc,MATCH($B1423,PecCod,0)),"Peça não cadastrada"))</f>
        <v>0</v>
      </c>
      <c r="F1423" s="27">
        <f>IF($B1423="","",IF($D1423&lt;&gt;"",$D1423,IFERROR(INDEX(PecPreco,MATCH($B1423,PecCod,0)),0)))</f>
        <v>0</v>
      </c>
      <c r="G1423" s="27">
        <f>IF(OR($B1423="",$C1423=""),"",$C1423*$F1423)</f>
        <v>0</v>
      </c>
      <c r="H1423" s="27">
        <f>IF(OR($B1423="",$C1423=""),"",$C1423*IFERROR(INDEX(PecCusto,MATCH($B1423,PecCod,0)),0))</f>
        <v>0</v>
      </c>
      <c r="I1423" s="32">
        <f>IF($A1423="","",IFERROR(INDEX(OSStatus,MATCH($A1423,OSNum,0)),"OS inexistente"))</f>
        <v>0</v>
      </c>
      <c r="J1423" s="32">
        <f>IF($A1423="","",IF($I1423="OS inexistente","OS inexistente",IF($E1423="Peça não cadastrada","Peça não cadastrada","OK")))</f>
        <v>0</v>
      </c>
    </row>
    <row r="1424" spans="1:10">
      <c r="A1424" s="17"/>
      <c r="B1424" s="13"/>
      <c r="C1424" s="20"/>
      <c r="D1424" s="19"/>
      <c r="E1424" s="26">
        <f>IF($B1424="","",IFERROR(INDEX(PecDesc,MATCH($B1424,PecCod,0)),"Peça não cadastrada"))</f>
        <v>0</v>
      </c>
      <c r="F1424" s="27">
        <f>IF($B1424="","",IF($D1424&lt;&gt;"",$D1424,IFERROR(INDEX(PecPreco,MATCH($B1424,PecCod,0)),0)))</f>
        <v>0</v>
      </c>
      <c r="G1424" s="27">
        <f>IF(OR($B1424="",$C1424=""),"",$C1424*$F1424)</f>
        <v>0</v>
      </c>
      <c r="H1424" s="27">
        <f>IF(OR($B1424="",$C1424=""),"",$C1424*IFERROR(INDEX(PecCusto,MATCH($B1424,PecCod,0)),0))</f>
        <v>0</v>
      </c>
      <c r="I1424" s="32">
        <f>IF($A1424="","",IFERROR(INDEX(OSStatus,MATCH($A1424,OSNum,0)),"OS inexistente"))</f>
        <v>0</v>
      </c>
      <c r="J1424" s="32">
        <f>IF($A1424="","",IF($I1424="OS inexistente","OS inexistente",IF($E1424="Peça não cadastrada","Peça não cadastrada","OK")))</f>
        <v>0</v>
      </c>
    </row>
    <row r="1425" spans="1:10">
      <c r="A1425" s="17"/>
      <c r="B1425" s="13"/>
      <c r="C1425" s="20"/>
      <c r="D1425" s="19"/>
      <c r="E1425" s="26">
        <f>IF($B1425="","",IFERROR(INDEX(PecDesc,MATCH($B1425,PecCod,0)),"Peça não cadastrada"))</f>
        <v>0</v>
      </c>
      <c r="F1425" s="27">
        <f>IF($B1425="","",IF($D1425&lt;&gt;"",$D1425,IFERROR(INDEX(PecPreco,MATCH($B1425,PecCod,0)),0)))</f>
        <v>0</v>
      </c>
      <c r="G1425" s="27">
        <f>IF(OR($B1425="",$C1425=""),"",$C1425*$F1425)</f>
        <v>0</v>
      </c>
      <c r="H1425" s="27">
        <f>IF(OR($B1425="",$C1425=""),"",$C1425*IFERROR(INDEX(PecCusto,MATCH($B1425,PecCod,0)),0))</f>
        <v>0</v>
      </c>
      <c r="I1425" s="32">
        <f>IF($A1425="","",IFERROR(INDEX(OSStatus,MATCH($A1425,OSNum,0)),"OS inexistente"))</f>
        <v>0</v>
      </c>
      <c r="J1425" s="32">
        <f>IF($A1425="","",IF($I1425="OS inexistente","OS inexistente",IF($E1425="Peça não cadastrada","Peça não cadastrada","OK")))</f>
        <v>0</v>
      </c>
    </row>
    <row r="1426" spans="1:10">
      <c r="A1426" s="17"/>
      <c r="B1426" s="13"/>
      <c r="C1426" s="20"/>
      <c r="D1426" s="19"/>
      <c r="E1426" s="26">
        <f>IF($B1426="","",IFERROR(INDEX(PecDesc,MATCH($B1426,PecCod,0)),"Peça não cadastrada"))</f>
        <v>0</v>
      </c>
      <c r="F1426" s="27">
        <f>IF($B1426="","",IF($D1426&lt;&gt;"",$D1426,IFERROR(INDEX(PecPreco,MATCH($B1426,PecCod,0)),0)))</f>
        <v>0</v>
      </c>
      <c r="G1426" s="27">
        <f>IF(OR($B1426="",$C1426=""),"",$C1426*$F1426)</f>
        <v>0</v>
      </c>
      <c r="H1426" s="27">
        <f>IF(OR($B1426="",$C1426=""),"",$C1426*IFERROR(INDEX(PecCusto,MATCH($B1426,PecCod,0)),0))</f>
        <v>0</v>
      </c>
      <c r="I1426" s="32">
        <f>IF($A1426="","",IFERROR(INDEX(OSStatus,MATCH($A1426,OSNum,0)),"OS inexistente"))</f>
        <v>0</v>
      </c>
      <c r="J1426" s="32">
        <f>IF($A1426="","",IF($I1426="OS inexistente","OS inexistente",IF($E1426="Peça não cadastrada","Peça não cadastrada","OK")))</f>
        <v>0</v>
      </c>
    </row>
    <row r="1427" spans="1:10">
      <c r="A1427" s="17"/>
      <c r="B1427" s="13"/>
      <c r="C1427" s="20"/>
      <c r="D1427" s="19"/>
      <c r="E1427" s="26">
        <f>IF($B1427="","",IFERROR(INDEX(PecDesc,MATCH($B1427,PecCod,0)),"Peça não cadastrada"))</f>
        <v>0</v>
      </c>
      <c r="F1427" s="27">
        <f>IF($B1427="","",IF($D1427&lt;&gt;"",$D1427,IFERROR(INDEX(PecPreco,MATCH($B1427,PecCod,0)),0)))</f>
        <v>0</v>
      </c>
      <c r="G1427" s="27">
        <f>IF(OR($B1427="",$C1427=""),"",$C1427*$F1427)</f>
        <v>0</v>
      </c>
      <c r="H1427" s="27">
        <f>IF(OR($B1427="",$C1427=""),"",$C1427*IFERROR(INDEX(PecCusto,MATCH($B1427,PecCod,0)),0))</f>
        <v>0</v>
      </c>
      <c r="I1427" s="32">
        <f>IF($A1427="","",IFERROR(INDEX(OSStatus,MATCH($A1427,OSNum,0)),"OS inexistente"))</f>
        <v>0</v>
      </c>
      <c r="J1427" s="32">
        <f>IF($A1427="","",IF($I1427="OS inexistente","OS inexistente",IF($E1427="Peça não cadastrada","Peça não cadastrada","OK")))</f>
        <v>0</v>
      </c>
    </row>
    <row r="1428" spans="1:10">
      <c r="A1428" s="17"/>
      <c r="B1428" s="13"/>
      <c r="C1428" s="20"/>
      <c r="D1428" s="19"/>
      <c r="E1428" s="26">
        <f>IF($B1428="","",IFERROR(INDEX(PecDesc,MATCH($B1428,PecCod,0)),"Peça não cadastrada"))</f>
        <v>0</v>
      </c>
      <c r="F1428" s="27">
        <f>IF($B1428="","",IF($D1428&lt;&gt;"",$D1428,IFERROR(INDEX(PecPreco,MATCH($B1428,PecCod,0)),0)))</f>
        <v>0</v>
      </c>
      <c r="G1428" s="27">
        <f>IF(OR($B1428="",$C1428=""),"",$C1428*$F1428)</f>
        <v>0</v>
      </c>
      <c r="H1428" s="27">
        <f>IF(OR($B1428="",$C1428=""),"",$C1428*IFERROR(INDEX(PecCusto,MATCH($B1428,PecCod,0)),0))</f>
        <v>0</v>
      </c>
      <c r="I1428" s="32">
        <f>IF($A1428="","",IFERROR(INDEX(OSStatus,MATCH($A1428,OSNum,0)),"OS inexistente"))</f>
        <v>0</v>
      </c>
      <c r="J1428" s="32">
        <f>IF($A1428="","",IF($I1428="OS inexistente","OS inexistente",IF($E1428="Peça não cadastrada","Peça não cadastrada","OK")))</f>
        <v>0</v>
      </c>
    </row>
    <row r="1429" spans="1:10">
      <c r="A1429" s="17"/>
      <c r="B1429" s="13"/>
      <c r="C1429" s="20"/>
      <c r="D1429" s="19"/>
      <c r="E1429" s="26">
        <f>IF($B1429="","",IFERROR(INDEX(PecDesc,MATCH($B1429,PecCod,0)),"Peça não cadastrada"))</f>
        <v>0</v>
      </c>
      <c r="F1429" s="27">
        <f>IF($B1429="","",IF($D1429&lt;&gt;"",$D1429,IFERROR(INDEX(PecPreco,MATCH($B1429,PecCod,0)),0)))</f>
        <v>0</v>
      </c>
      <c r="G1429" s="27">
        <f>IF(OR($B1429="",$C1429=""),"",$C1429*$F1429)</f>
        <v>0</v>
      </c>
      <c r="H1429" s="27">
        <f>IF(OR($B1429="",$C1429=""),"",$C1429*IFERROR(INDEX(PecCusto,MATCH($B1429,PecCod,0)),0))</f>
        <v>0</v>
      </c>
      <c r="I1429" s="32">
        <f>IF($A1429="","",IFERROR(INDEX(OSStatus,MATCH($A1429,OSNum,0)),"OS inexistente"))</f>
        <v>0</v>
      </c>
      <c r="J1429" s="32">
        <f>IF($A1429="","",IF($I1429="OS inexistente","OS inexistente",IF($E1429="Peça não cadastrada","Peça não cadastrada","OK")))</f>
        <v>0</v>
      </c>
    </row>
    <row r="1430" spans="1:10">
      <c r="A1430" s="17"/>
      <c r="B1430" s="13"/>
      <c r="C1430" s="20"/>
      <c r="D1430" s="19"/>
      <c r="E1430" s="26">
        <f>IF($B1430="","",IFERROR(INDEX(PecDesc,MATCH($B1430,PecCod,0)),"Peça não cadastrada"))</f>
        <v>0</v>
      </c>
      <c r="F1430" s="27">
        <f>IF($B1430="","",IF($D1430&lt;&gt;"",$D1430,IFERROR(INDEX(PecPreco,MATCH($B1430,PecCod,0)),0)))</f>
        <v>0</v>
      </c>
      <c r="G1430" s="27">
        <f>IF(OR($B1430="",$C1430=""),"",$C1430*$F1430)</f>
        <v>0</v>
      </c>
      <c r="H1430" s="27">
        <f>IF(OR($B1430="",$C1430=""),"",$C1430*IFERROR(INDEX(PecCusto,MATCH($B1430,PecCod,0)),0))</f>
        <v>0</v>
      </c>
      <c r="I1430" s="32">
        <f>IF($A1430="","",IFERROR(INDEX(OSStatus,MATCH($A1430,OSNum,0)),"OS inexistente"))</f>
        <v>0</v>
      </c>
      <c r="J1430" s="32">
        <f>IF($A1430="","",IF($I1430="OS inexistente","OS inexistente",IF($E1430="Peça não cadastrada","Peça não cadastrada","OK")))</f>
        <v>0</v>
      </c>
    </row>
    <row r="1431" spans="1:10">
      <c r="A1431" s="17"/>
      <c r="B1431" s="13"/>
      <c r="C1431" s="20"/>
      <c r="D1431" s="19"/>
      <c r="E1431" s="26">
        <f>IF($B1431="","",IFERROR(INDEX(PecDesc,MATCH($B1431,PecCod,0)),"Peça não cadastrada"))</f>
        <v>0</v>
      </c>
      <c r="F1431" s="27">
        <f>IF($B1431="","",IF($D1431&lt;&gt;"",$D1431,IFERROR(INDEX(PecPreco,MATCH($B1431,PecCod,0)),0)))</f>
        <v>0</v>
      </c>
      <c r="G1431" s="27">
        <f>IF(OR($B1431="",$C1431=""),"",$C1431*$F1431)</f>
        <v>0</v>
      </c>
      <c r="H1431" s="27">
        <f>IF(OR($B1431="",$C1431=""),"",$C1431*IFERROR(INDEX(PecCusto,MATCH($B1431,PecCod,0)),0))</f>
        <v>0</v>
      </c>
      <c r="I1431" s="32">
        <f>IF($A1431="","",IFERROR(INDEX(OSStatus,MATCH($A1431,OSNum,0)),"OS inexistente"))</f>
        <v>0</v>
      </c>
      <c r="J1431" s="32">
        <f>IF($A1431="","",IF($I1431="OS inexistente","OS inexistente",IF($E1431="Peça não cadastrada","Peça não cadastrada","OK")))</f>
        <v>0</v>
      </c>
    </row>
    <row r="1432" spans="1:10">
      <c r="A1432" s="17"/>
      <c r="B1432" s="13"/>
      <c r="C1432" s="20"/>
      <c r="D1432" s="19"/>
      <c r="E1432" s="26">
        <f>IF($B1432="","",IFERROR(INDEX(PecDesc,MATCH($B1432,PecCod,0)),"Peça não cadastrada"))</f>
        <v>0</v>
      </c>
      <c r="F1432" s="27">
        <f>IF($B1432="","",IF($D1432&lt;&gt;"",$D1432,IFERROR(INDEX(PecPreco,MATCH($B1432,PecCod,0)),0)))</f>
        <v>0</v>
      </c>
      <c r="G1432" s="27">
        <f>IF(OR($B1432="",$C1432=""),"",$C1432*$F1432)</f>
        <v>0</v>
      </c>
      <c r="H1432" s="27">
        <f>IF(OR($B1432="",$C1432=""),"",$C1432*IFERROR(INDEX(PecCusto,MATCH($B1432,PecCod,0)),0))</f>
        <v>0</v>
      </c>
      <c r="I1432" s="32">
        <f>IF($A1432="","",IFERROR(INDEX(OSStatus,MATCH($A1432,OSNum,0)),"OS inexistente"))</f>
        <v>0</v>
      </c>
      <c r="J1432" s="32">
        <f>IF($A1432="","",IF($I1432="OS inexistente","OS inexistente",IF($E1432="Peça não cadastrada","Peça não cadastrada","OK")))</f>
        <v>0</v>
      </c>
    </row>
    <row r="1433" spans="1:10">
      <c r="A1433" s="17"/>
      <c r="B1433" s="13"/>
      <c r="C1433" s="20"/>
      <c r="D1433" s="19"/>
      <c r="E1433" s="26">
        <f>IF($B1433="","",IFERROR(INDEX(PecDesc,MATCH($B1433,PecCod,0)),"Peça não cadastrada"))</f>
        <v>0</v>
      </c>
      <c r="F1433" s="27">
        <f>IF($B1433="","",IF($D1433&lt;&gt;"",$D1433,IFERROR(INDEX(PecPreco,MATCH($B1433,PecCod,0)),0)))</f>
        <v>0</v>
      </c>
      <c r="G1433" s="27">
        <f>IF(OR($B1433="",$C1433=""),"",$C1433*$F1433)</f>
        <v>0</v>
      </c>
      <c r="H1433" s="27">
        <f>IF(OR($B1433="",$C1433=""),"",$C1433*IFERROR(INDEX(PecCusto,MATCH($B1433,PecCod,0)),0))</f>
        <v>0</v>
      </c>
      <c r="I1433" s="32">
        <f>IF($A1433="","",IFERROR(INDEX(OSStatus,MATCH($A1433,OSNum,0)),"OS inexistente"))</f>
        <v>0</v>
      </c>
      <c r="J1433" s="32">
        <f>IF($A1433="","",IF($I1433="OS inexistente","OS inexistente",IF($E1433="Peça não cadastrada","Peça não cadastrada","OK")))</f>
        <v>0</v>
      </c>
    </row>
    <row r="1434" spans="1:10">
      <c r="A1434" s="17"/>
      <c r="B1434" s="13"/>
      <c r="C1434" s="20"/>
      <c r="D1434" s="19"/>
      <c r="E1434" s="26">
        <f>IF($B1434="","",IFERROR(INDEX(PecDesc,MATCH($B1434,PecCod,0)),"Peça não cadastrada"))</f>
        <v>0</v>
      </c>
      <c r="F1434" s="27">
        <f>IF($B1434="","",IF($D1434&lt;&gt;"",$D1434,IFERROR(INDEX(PecPreco,MATCH($B1434,PecCod,0)),0)))</f>
        <v>0</v>
      </c>
      <c r="G1434" s="27">
        <f>IF(OR($B1434="",$C1434=""),"",$C1434*$F1434)</f>
        <v>0</v>
      </c>
      <c r="H1434" s="27">
        <f>IF(OR($B1434="",$C1434=""),"",$C1434*IFERROR(INDEX(PecCusto,MATCH($B1434,PecCod,0)),0))</f>
        <v>0</v>
      </c>
      <c r="I1434" s="32">
        <f>IF($A1434="","",IFERROR(INDEX(OSStatus,MATCH($A1434,OSNum,0)),"OS inexistente"))</f>
        <v>0</v>
      </c>
      <c r="J1434" s="32">
        <f>IF($A1434="","",IF($I1434="OS inexistente","OS inexistente",IF($E1434="Peça não cadastrada","Peça não cadastrada","OK")))</f>
        <v>0</v>
      </c>
    </row>
    <row r="1435" spans="1:10">
      <c r="A1435" s="17"/>
      <c r="B1435" s="13"/>
      <c r="C1435" s="20"/>
      <c r="D1435" s="19"/>
      <c r="E1435" s="26">
        <f>IF($B1435="","",IFERROR(INDEX(PecDesc,MATCH($B1435,PecCod,0)),"Peça não cadastrada"))</f>
        <v>0</v>
      </c>
      <c r="F1435" s="27">
        <f>IF($B1435="","",IF($D1435&lt;&gt;"",$D1435,IFERROR(INDEX(PecPreco,MATCH($B1435,PecCod,0)),0)))</f>
        <v>0</v>
      </c>
      <c r="G1435" s="27">
        <f>IF(OR($B1435="",$C1435=""),"",$C1435*$F1435)</f>
        <v>0</v>
      </c>
      <c r="H1435" s="27">
        <f>IF(OR($B1435="",$C1435=""),"",$C1435*IFERROR(INDEX(PecCusto,MATCH($B1435,PecCod,0)),0))</f>
        <v>0</v>
      </c>
      <c r="I1435" s="32">
        <f>IF($A1435="","",IFERROR(INDEX(OSStatus,MATCH($A1435,OSNum,0)),"OS inexistente"))</f>
        <v>0</v>
      </c>
      <c r="J1435" s="32">
        <f>IF($A1435="","",IF($I1435="OS inexistente","OS inexistente",IF($E1435="Peça não cadastrada","Peça não cadastrada","OK")))</f>
        <v>0</v>
      </c>
    </row>
    <row r="1436" spans="1:10">
      <c r="A1436" s="17"/>
      <c r="B1436" s="13"/>
      <c r="C1436" s="20"/>
      <c r="D1436" s="19"/>
      <c r="E1436" s="26">
        <f>IF($B1436="","",IFERROR(INDEX(PecDesc,MATCH($B1436,PecCod,0)),"Peça não cadastrada"))</f>
        <v>0</v>
      </c>
      <c r="F1436" s="27">
        <f>IF($B1436="","",IF($D1436&lt;&gt;"",$D1436,IFERROR(INDEX(PecPreco,MATCH($B1436,PecCod,0)),0)))</f>
        <v>0</v>
      </c>
      <c r="G1436" s="27">
        <f>IF(OR($B1436="",$C1436=""),"",$C1436*$F1436)</f>
        <v>0</v>
      </c>
      <c r="H1436" s="27">
        <f>IF(OR($B1436="",$C1436=""),"",$C1436*IFERROR(INDEX(PecCusto,MATCH($B1436,PecCod,0)),0))</f>
        <v>0</v>
      </c>
      <c r="I1436" s="32">
        <f>IF($A1436="","",IFERROR(INDEX(OSStatus,MATCH($A1436,OSNum,0)),"OS inexistente"))</f>
        <v>0</v>
      </c>
      <c r="J1436" s="32">
        <f>IF($A1436="","",IF($I1436="OS inexistente","OS inexistente",IF($E1436="Peça não cadastrada","Peça não cadastrada","OK")))</f>
        <v>0</v>
      </c>
    </row>
    <row r="1437" spans="1:10">
      <c r="A1437" s="17"/>
      <c r="B1437" s="13"/>
      <c r="C1437" s="20"/>
      <c r="D1437" s="19"/>
      <c r="E1437" s="26">
        <f>IF($B1437="","",IFERROR(INDEX(PecDesc,MATCH($B1437,PecCod,0)),"Peça não cadastrada"))</f>
        <v>0</v>
      </c>
      <c r="F1437" s="27">
        <f>IF($B1437="","",IF($D1437&lt;&gt;"",$D1437,IFERROR(INDEX(PecPreco,MATCH($B1437,PecCod,0)),0)))</f>
        <v>0</v>
      </c>
      <c r="G1437" s="27">
        <f>IF(OR($B1437="",$C1437=""),"",$C1437*$F1437)</f>
        <v>0</v>
      </c>
      <c r="H1437" s="27">
        <f>IF(OR($B1437="",$C1437=""),"",$C1437*IFERROR(INDEX(PecCusto,MATCH($B1437,PecCod,0)),0))</f>
        <v>0</v>
      </c>
      <c r="I1437" s="32">
        <f>IF($A1437="","",IFERROR(INDEX(OSStatus,MATCH($A1437,OSNum,0)),"OS inexistente"))</f>
        <v>0</v>
      </c>
      <c r="J1437" s="32">
        <f>IF($A1437="","",IF($I1437="OS inexistente","OS inexistente",IF($E1437="Peça não cadastrada","Peça não cadastrada","OK")))</f>
        <v>0</v>
      </c>
    </row>
    <row r="1438" spans="1:10">
      <c r="A1438" s="17"/>
      <c r="B1438" s="13"/>
      <c r="C1438" s="20"/>
      <c r="D1438" s="19"/>
      <c r="E1438" s="26">
        <f>IF($B1438="","",IFERROR(INDEX(PecDesc,MATCH($B1438,PecCod,0)),"Peça não cadastrada"))</f>
        <v>0</v>
      </c>
      <c r="F1438" s="27">
        <f>IF($B1438="","",IF($D1438&lt;&gt;"",$D1438,IFERROR(INDEX(PecPreco,MATCH($B1438,PecCod,0)),0)))</f>
        <v>0</v>
      </c>
      <c r="G1438" s="27">
        <f>IF(OR($B1438="",$C1438=""),"",$C1438*$F1438)</f>
        <v>0</v>
      </c>
      <c r="H1438" s="27">
        <f>IF(OR($B1438="",$C1438=""),"",$C1438*IFERROR(INDEX(PecCusto,MATCH($B1438,PecCod,0)),0))</f>
        <v>0</v>
      </c>
      <c r="I1438" s="32">
        <f>IF($A1438="","",IFERROR(INDEX(OSStatus,MATCH($A1438,OSNum,0)),"OS inexistente"))</f>
        <v>0</v>
      </c>
      <c r="J1438" s="32">
        <f>IF($A1438="","",IF($I1438="OS inexistente","OS inexistente",IF($E1438="Peça não cadastrada","Peça não cadastrada","OK")))</f>
        <v>0</v>
      </c>
    </row>
    <row r="1439" spans="1:10">
      <c r="A1439" s="17"/>
      <c r="B1439" s="13"/>
      <c r="C1439" s="20"/>
      <c r="D1439" s="19"/>
      <c r="E1439" s="26">
        <f>IF($B1439="","",IFERROR(INDEX(PecDesc,MATCH($B1439,PecCod,0)),"Peça não cadastrada"))</f>
        <v>0</v>
      </c>
      <c r="F1439" s="27">
        <f>IF($B1439="","",IF($D1439&lt;&gt;"",$D1439,IFERROR(INDEX(PecPreco,MATCH($B1439,PecCod,0)),0)))</f>
        <v>0</v>
      </c>
      <c r="G1439" s="27">
        <f>IF(OR($B1439="",$C1439=""),"",$C1439*$F1439)</f>
        <v>0</v>
      </c>
      <c r="H1439" s="27">
        <f>IF(OR($B1439="",$C1439=""),"",$C1439*IFERROR(INDEX(PecCusto,MATCH($B1439,PecCod,0)),0))</f>
        <v>0</v>
      </c>
      <c r="I1439" s="32">
        <f>IF($A1439="","",IFERROR(INDEX(OSStatus,MATCH($A1439,OSNum,0)),"OS inexistente"))</f>
        <v>0</v>
      </c>
      <c r="J1439" s="32">
        <f>IF($A1439="","",IF($I1439="OS inexistente","OS inexistente",IF($E1439="Peça não cadastrada","Peça não cadastrada","OK")))</f>
        <v>0</v>
      </c>
    </row>
    <row r="1440" spans="1:10">
      <c r="A1440" s="17"/>
      <c r="B1440" s="13"/>
      <c r="C1440" s="20"/>
      <c r="D1440" s="19"/>
      <c r="E1440" s="26">
        <f>IF($B1440="","",IFERROR(INDEX(PecDesc,MATCH($B1440,PecCod,0)),"Peça não cadastrada"))</f>
        <v>0</v>
      </c>
      <c r="F1440" s="27">
        <f>IF($B1440="","",IF($D1440&lt;&gt;"",$D1440,IFERROR(INDEX(PecPreco,MATCH($B1440,PecCod,0)),0)))</f>
        <v>0</v>
      </c>
      <c r="G1440" s="27">
        <f>IF(OR($B1440="",$C1440=""),"",$C1440*$F1440)</f>
        <v>0</v>
      </c>
      <c r="H1440" s="27">
        <f>IF(OR($B1440="",$C1440=""),"",$C1440*IFERROR(INDEX(PecCusto,MATCH($B1440,PecCod,0)),0))</f>
        <v>0</v>
      </c>
      <c r="I1440" s="32">
        <f>IF($A1440="","",IFERROR(INDEX(OSStatus,MATCH($A1440,OSNum,0)),"OS inexistente"))</f>
        <v>0</v>
      </c>
      <c r="J1440" s="32">
        <f>IF($A1440="","",IF($I1440="OS inexistente","OS inexistente",IF($E1440="Peça não cadastrada","Peça não cadastrada","OK")))</f>
        <v>0</v>
      </c>
    </row>
    <row r="1441" spans="1:10">
      <c r="A1441" s="17"/>
      <c r="B1441" s="13"/>
      <c r="C1441" s="20"/>
      <c r="D1441" s="19"/>
      <c r="E1441" s="26">
        <f>IF($B1441="","",IFERROR(INDEX(PecDesc,MATCH($B1441,PecCod,0)),"Peça não cadastrada"))</f>
        <v>0</v>
      </c>
      <c r="F1441" s="27">
        <f>IF($B1441="","",IF($D1441&lt;&gt;"",$D1441,IFERROR(INDEX(PecPreco,MATCH($B1441,PecCod,0)),0)))</f>
        <v>0</v>
      </c>
      <c r="G1441" s="27">
        <f>IF(OR($B1441="",$C1441=""),"",$C1441*$F1441)</f>
        <v>0</v>
      </c>
      <c r="H1441" s="27">
        <f>IF(OR($B1441="",$C1441=""),"",$C1441*IFERROR(INDEX(PecCusto,MATCH($B1441,PecCod,0)),0))</f>
        <v>0</v>
      </c>
      <c r="I1441" s="32">
        <f>IF($A1441="","",IFERROR(INDEX(OSStatus,MATCH($A1441,OSNum,0)),"OS inexistente"))</f>
        <v>0</v>
      </c>
      <c r="J1441" s="32">
        <f>IF($A1441="","",IF($I1441="OS inexistente","OS inexistente",IF($E1441="Peça não cadastrada","Peça não cadastrada","OK")))</f>
        <v>0</v>
      </c>
    </row>
    <row r="1442" spans="1:10">
      <c r="A1442" s="17"/>
      <c r="B1442" s="13"/>
      <c r="C1442" s="20"/>
      <c r="D1442" s="19"/>
      <c r="E1442" s="26">
        <f>IF($B1442="","",IFERROR(INDEX(PecDesc,MATCH($B1442,PecCod,0)),"Peça não cadastrada"))</f>
        <v>0</v>
      </c>
      <c r="F1442" s="27">
        <f>IF($B1442="","",IF($D1442&lt;&gt;"",$D1442,IFERROR(INDEX(PecPreco,MATCH($B1442,PecCod,0)),0)))</f>
        <v>0</v>
      </c>
      <c r="G1442" s="27">
        <f>IF(OR($B1442="",$C1442=""),"",$C1442*$F1442)</f>
        <v>0</v>
      </c>
      <c r="H1442" s="27">
        <f>IF(OR($B1442="",$C1442=""),"",$C1442*IFERROR(INDEX(PecCusto,MATCH($B1442,PecCod,0)),0))</f>
        <v>0</v>
      </c>
      <c r="I1442" s="32">
        <f>IF($A1442="","",IFERROR(INDEX(OSStatus,MATCH($A1442,OSNum,0)),"OS inexistente"))</f>
        <v>0</v>
      </c>
      <c r="J1442" s="32">
        <f>IF($A1442="","",IF($I1442="OS inexistente","OS inexistente",IF($E1442="Peça não cadastrada","Peça não cadastrada","OK")))</f>
        <v>0</v>
      </c>
    </row>
    <row r="1443" spans="1:10">
      <c r="A1443" s="17"/>
      <c r="B1443" s="13"/>
      <c r="C1443" s="20"/>
      <c r="D1443" s="19"/>
      <c r="E1443" s="26">
        <f>IF($B1443="","",IFERROR(INDEX(PecDesc,MATCH($B1443,PecCod,0)),"Peça não cadastrada"))</f>
        <v>0</v>
      </c>
      <c r="F1443" s="27">
        <f>IF($B1443="","",IF($D1443&lt;&gt;"",$D1443,IFERROR(INDEX(PecPreco,MATCH($B1443,PecCod,0)),0)))</f>
        <v>0</v>
      </c>
      <c r="G1443" s="27">
        <f>IF(OR($B1443="",$C1443=""),"",$C1443*$F1443)</f>
        <v>0</v>
      </c>
      <c r="H1443" s="27">
        <f>IF(OR($B1443="",$C1443=""),"",$C1443*IFERROR(INDEX(PecCusto,MATCH($B1443,PecCod,0)),0))</f>
        <v>0</v>
      </c>
      <c r="I1443" s="32">
        <f>IF($A1443="","",IFERROR(INDEX(OSStatus,MATCH($A1443,OSNum,0)),"OS inexistente"))</f>
        <v>0</v>
      </c>
      <c r="J1443" s="32">
        <f>IF($A1443="","",IF($I1443="OS inexistente","OS inexistente",IF($E1443="Peça não cadastrada","Peça não cadastrada","OK")))</f>
        <v>0</v>
      </c>
    </row>
    <row r="1444" spans="1:10">
      <c r="A1444" s="17"/>
      <c r="B1444" s="13"/>
      <c r="C1444" s="20"/>
      <c r="D1444" s="19"/>
      <c r="E1444" s="26">
        <f>IF($B1444="","",IFERROR(INDEX(PecDesc,MATCH($B1444,PecCod,0)),"Peça não cadastrada"))</f>
        <v>0</v>
      </c>
      <c r="F1444" s="27">
        <f>IF($B1444="","",IF($D1444&lt;&gt;"",$D1444,IFERROR(INDEX(PecPreco,MATCH($B1444,PecCod,0)),0)))</f>
        <v>0</v>
      </c>
      <c r="G1444" s="27">
        <f>IF(OR($B1444="",$C1444=""),"",$C1444*$F1444)</f>
        <v>0</v>
      </c>
      <c r="H1444" s="27">
        <f>IF(OR($B1444="",$C1444=""),"",$C1444*IFERROR(INDEX(PecCusto,MATCH($B1444,PecCod,0)),0))</f>
        <v>0</v>
      </c>
      <c r="I1444" s="32">
        <f>IF($A1444="","",IFERROR(INDEX(OSStatus,MATCH($A1444,OSNum,0)),"OS inexistente"))</f>
        <v>0</v>
      </c>
      <c r="J1444" s="32">
        <f>IF($A1444="","",IF($I1444="OS inexistente","OS inexistente",IF($E1444="Peça não cadastrada","Peça não cadastrada","OK")))</f>
        <v>0</v>
      </c>
    </row>
    <row r="1445" spans="1:10">
      <c r="A1445" s="17"/>
      <c r="B1445" s="13"/>
      <c r="C1445" s="20"/>
      <c r="D1445" s="19"/>
      <c r="E1445" s="26">
        <f>IF($B1445="","",IFERROR(INDEX(PecDesc,MATCH($B1445,PecCod,0)),"Peça não cadastrada"))</f>
        <v>0</v>
      </c>
      <c r="F1445" s="27">
        <f>IF($B1445="","",IF($D1445&lt;&gt;"",$D1445,IFERROR(INDEX(PecPreco,MATCH($B1445,PecCod,0)),0)))</f>
        <v>0</v>
      </c>
      <c r="G1445" s="27">
        <f>IF(OR($B1445="",$C1445=""),"",$C1445*$F1445)</f>
        <v>0</v>
      </c>
      <c r="H1445" s="27">
        <f>IF(OR($B1445="",$C1445=""),"",$C1445*IFERROR(INDEX(PecCusto,MATCH($B1445,PecCod,0)),0))</f>
        <v>0</v>
      </c>
      <c r="I1445" s="32">
        <f>IF($A1445="","",IFERROR(INDEX(OSStatus,MATCH($A1445,OSNum,0)),"OS inexistente"))</f>
        <v>0</v>
      </c>
      <c r="J1445" s="32">
        <f>IF($A1445="","",IF($I1445="OS inexistente","OS inexistente",IF($E1445="Peça não cadastrada","Peça não cadastrada","OK")))</f>
        <v>0</v>
      </c>
    </row>
    <row r="1446" spans="1:10">
      <c r="A1446" s="17"/>
      <c r="B1446" s="13"/>
      <c r="C1446" s="20"/>
      <c r="D1446" s="19"/>
      <c r="E1446" s="26">
        <f>IF($B1446="","",IFERROR(INDEX(PecDesc,MATCH($B1446,PecCod,0)),"Peça não cadastrada"))</f>
        <v>0</v>
      </c>
      <c r="F1446" s="27">
        <f>IF($B1446="","",IF($D1446&lt;&gt;"",$D1446,IFERROR(INDEX(PecPreco,MATCH($B1446,PecCod,0)),0)))</f>
        <v>0</v>
      </c>
      <c r="G1446" s="27">
        <f>IF(OR($B1446="",$C1446=""),"",$C1446*$F1446)</f>
        <v>0</v>
      </c>
      <c r="H1446" s="27">
        <f>IF(OR($B1446="",$C1446=""),"",$C1446*IFERROR(INDEX(PecCusto,MATCH($B1446,PecCod,0)),0))</f>
        <v>0</v>
      </c>
      <c r="I1446" s="32">
        <f>IF($A1446="","",IFERROR(INDEX(OSStatus,MATCH($A1446,OSNum,0)),"OS inexistente"))</f>
        <v>0</v>
      </c>
      <c r="J1446" s="32">
        <f>IF($A1446="","",IF($I1446="OS inexistente","OS inexistente",IF($E1446="Peça não cadastrada","Peça não cadastrada","OK")))</f>
        <v>0</v>
      </c>
    </row>
    <row r="1447" spans="1:10">
      <c r="A1447" s="17"/>
      <c r="B1447" s="13"/>
      <c r="C1447" s="20"/>
      <c r="D1447" s="19"/>
      <c r="E1447" s="26">
        <f>IF($B1447="","",IFERROR(INDEX(PecDesc,MATCH($B1447,PecCod,0)),"Peça não cadastrada"))</f>
        <v>0</v>
      </c>
      <c r="F1447" s="27">
        <f>IF($B1447="","",IF($D1447&lt;&gt;"",$D1447,IFERROR(INDEX(PecPreco,MATCH($B1447,PecCod,0)),0)))</f>
        <v>0</v>
      </c>
      <c r="G1447" s="27">
        <f>IF(OR($B1447="",$C1447=""),"",$C1447*$F1447)</f>
        <v>0</v>
      </c>
      <c r="H1447" s="27">
        <f>IF(OR($B1447="",$C1447=""),"",$C1447*IFERROR(INDEX(PecCusto,MATCH($B1447,PecCod,0)),0))</f>
        <v>0</v>
      </c>
      <c r="I1447" s="32">
        <f>IF($A1447="","",IFERROR(INDEX(OSStatus,MATCH($A1447,OSNum,0)),"OS inexistente"))</f>
        <v>0</v>
      </c>
      <c r="J1447" s="32">
        <f>IF($A1447="","",IF($I1447="OS inexistente","OS inexistente",IF($E1447="Peça não cadastrada","Peça não cadastrada","OK")))</f>
        <v>0</v>
      </c>
    </row>
    <row r="1448" spans="1:10">
      <c r="A1448" s="17"/>
      <c r="B1448" s="13"/>
      <c r="C1448" s="20"/>
      <c r="D1448" s="19"/>
      <c r="E1448" s="26">
        <f>IF($B1448="","",IFERROR(INDEX(PecDesc,MATCH($B1448,PecCod,0)),"Peça não cadastrada"))</f>
        <v>0</v>
      </c>
      <c r="F1448" s="27">
        <f>IF($B1448="","",IF($D1448&lt;&gt;"",$D1448,IFERROR(INDEX(PecPreco,MATCH($B1448,PecCod,0)),0)))</f>
        <v>0</v>
      </c>
      <c r="G1448" s="27">
        <f>IF(OR($B1448="",$C1448=""),"",$C1448*$F1448)</f>
        <v>0</v>
      </c>
      <c r="H1448" s="27">
        <f>IF(OR($B1448="",$C1448=""),"",$C1448*IFERROR(INDEX(PecCusto,MATCH($B1448,PecCod,0)),0))</f>
        <v>0</v>
      </c>
      <c r="I1448" s="32">
        <f>IF($A1448="","",IFERROR(INDEX(OSStatus,MATCH($A1448,OSNum,0)),"OS inexistente"))</f>
        <v>0</v>
      </c>
      <c r="J1448" s="32">
        <f>IF($A1448="","",IF($I1448="OS inexistente","OS inexistente",IF($E1448="Peça não cadastrada","Peça não cadastrada","OK")))</f>
        <v>0</v>
      </c>
    </row>
    <row r="1449" spans="1:10">
      <c r="A1449" s="17"/>
      <c r="B1449" s="13"/>
      <c r="C1449" s="20"/>
      <c r="D1449" s="19"/>
      <c r="E1449" s="26">
        <f>IF($B1449="","",IFERROR(INDEX(PecDesc,MATCH($B1449,PecCod,0)),"Peça não cadastrada"))</f>
        <v>0</v>
      </c>
      <c r="F1449" s="27">
        <f>IF($B1449="","",IF($D1449&lt;&gt;"",$D1449,IFERROR(INDEX(PecPreco,MATCH($B1449,PecCod,0)),0)))</f>
        <v>0</v>
      </c>
      <c r="G1449" s="27">
        <f>IF(OR($B1449="",$C1449=""),"",$C1449*$F1449)</f>
        <v>0</v>
      </c>
      <c r="H1449" s="27">
        <f>IF(OR($B1449="",$C1449=""),"",$C1449*IFERROR(INDEX(PecCusto,MATCH($B1449,PecCod,0)),0))</f>
        <v>0</v>
      </c>
      <c r="I1449" s="32">
        <f>IF($A1449="","",IFERROR(INDEX(OSStatus,MATCH($A1449,OSNum,0)),"OS inexistente"))</f>
        <v>0</v>
      </c>
      <c r="J1449" s="32">
        <f>IF($A1449="","",IF($I1449="OS inexistente","OS inexistente",IF($E1449="Peça não cadastrada","Peça não cadastrada","OK")))</f>
        <v>0</v>
      </c>
    </row>
    <row r="1450" spans="1:10">
      <c r="A1450" s="17"/>
      <c r="B1450" s="13"/>
      <c r="C1450" s="20"/>
      <c r="D1450" s="19"/>
      <c r="E1450" s="26">
        <f>IF($B1450="","",IFERROR(INDEX(PecDesc,MATCH($B1450,PecCod,0)),"Peça não cadastrada"))</f>
        <v>0</v>
      </c>
      <c r="F1450" s="27">
        <f>IF($B1450="","",IF($D1450&lt;&gt;"",$D1450,IFERROR(INDEX(PecPreco,MATCH($B1450,PecCod,0)),0)))</f>
        <v>0</v>
      </c>
      <c r="G1450" s="27">
        <f>IF(OR($B1450="",$C1450=""),"",$C1450*$F1450)</f>
        <v>0</v>
      </c>
      <c r="H1450" s="27">
        <f>IF(OR($B1450="",$C1450=""),"",$C1450*IFERROR(INDEX(PecCusto,MATCH($B1450,PecCod,0)),0))</f>
        <v>0</v>
      </c>
      <c r="I1450" s="32">
        <f>IF($A1450="","",IFERROR(INDEX(OSStatus,MATCH($A1450,OSNum,0)),"OS inexistente"))</f>
        <v>0</v>
      </c>
      <c r="J1450" s="32">
        <f>IF($A1450="","",IF($I1450="OS inexistente","OS inexistente",IF($E1450="Peça não cadastrada","Peça não cadastrada","OK")))</f>
        <v>0</v>
      </c>
    </row>
    <row r="1451" spans="1:10">
      <c r="A1451" s="17"/>
      <c r="B1451" s="13"/>
      <c r="C1451" s="20"/>
      <c r="D1451" s="19"/>
      <c r="E1451" s="26">
        <f>IF($B1451="","",IFERROR(INDEX(PecDesc,MATCH($B1451,PecCod,0)),"Peça não cadastrada"))</f>
        <v>0</v>
      </c>
      <c r="F1451" s="27">
        <f>IF($B1451="","",IF($D1451&lt;&gt;"",$D1451,IFERROR(INDEX(PecPreco,MATCH($B1451,PecCod,0)),0)))</f>
        <v>0</v>
      </c>
      <c r="G1451" s="27">
        <f>IF(OR($B1451="",$C1451=""),"",$C1451*$F1451)</f>
        <v>0</v>
      </c>
      <c r="H1451" s="27">
        <f>IF(OR($B1451="",$C1451=""),"",$C1451*IFERROR(INDEX(PecCusto,MATCH($B1451,PecCod,0)),0))</f>
        <v>0</v>
      </c>
      <c r="I1451" s="32">
        <f>IF($A1451="","",IFERROR(INDEX(OSStatus,MATCH($A1451,OSNum,0)),"OS inexistente"))</f>
        <v>0</v>
      </c>
      <c r="J1451" s="32">
        <f>IF($A1451="","",IF($I1451="OS inexistente","OS inexistente",IF($E1451="Peça não cadastrada","Peça não cadastrada","OK")))</f>
        <v>0</v>
      </c>
    </row>
    <row r="1452" spans="1:10">
      <c r="A1452" s="17"/>
      <c r="B1452" s="13"/>
      <c r="C1452" s="20"/>
      <c r="D1452" s="19"/>
      <c r="E1452" s="26">
        <f>IF($B1452="","",IFERROR(INDEX(PecDesc,MATCH($B1452,PecCod,0)),"Peça não cadastrada"))</f>
        <v>0</v>
      </c>
      <c r="F1452" s="27">
        <f>IF($B1452="","",IF($D1452&lt;&gt;"",$D1452,IFERROR(INDEX(PecPreco,MATCH($B1452,PecCod,0)),0)))</f>
        <v>0</v>
      </c>
      <c r="G1452" s="27">
        <f>IF(OR($B1452="",$C1452=""),"",$C1452*$F1452)</f>
        <v>0</v>
      </c>
      <c r="H1452" s="27">
        <f>IF(OR($B1452="",$C1452=""),"",$C1452*IFERROR(INDEX(PecCusto,MATCH($B1452,PecCod,0)),0))</f>
        <v>0</v>
      </c>
      <c r="I1452" s="32">
        <f>IF($A1452="","",IFERROR(INDEX(OSStatus,MATCH($A1452,OSNum,0)),"OS inexistente"))</f>
        <v>0</v>
      </c>
      <c r="J1452" s="32">
        <f>IF($A1452="","",IF($I1452="OS inexistente","OS inexistente",IF($E1452="Peça não cadastrada","Peça não cadastrada","OK")))</f>
        <v>0</v>
      </c>
    </row>
    <row r="1453" spans="1:10">
      <c r="A1453" s="17"/>
      <c r="B1453" s="13"/>
      <c r="C1453" s="20"/>
      <c r="D1453" s="19"/>
      <c r="E1453" s="26">
        <f>IF($B1453="","",IFERROR(INDEX(PecDesc,MATCH($B1453,PecCod,0)),"Peça não cadastrada"))</f>
        <v>0</v>
      </c>
      <c r="F1453" s="27">
        <f>IF($B1453="","",IF($D1453&lt;&gt;"",$D1453,IFERROR(INDEX(PecPreco,MATCH($B1453,PecCod,0)),0)))</f>
        <v>0</v>
      </c>
      <c r="G1453" s="27">
        <f>IF(OR($B1453="",$C1453=""),"",$C1453*$F1453)</f>
        <v>0</v>
      </c>
      <c r="H1453" s="27">
        <f>IF(OR($B1453="",$C1453=""),"",$C1453*IFERROR(INDEX(PecCusto,MATCH($B1453,PecCod,0)),0))</f>
        <v>0</v>
      </c>
      <c r="I1453" s="32">
        <f>IF($A1453="","",IFERROR(INDEX(OSStatus,MATCH($A1453,OSNum,0)),"OS inexistente"))</f>
        <v>0</v>
      </c>
      <c r="J1453" s="32">
        <f>IF($A1453="","",IF($I1453="OS inexistente","OS inexistente",IF($E1453="Peça não cadastrada","Peça não cadastrada","OK")))</f>
        <v>0</v>
      </c>
    </row>
    <row r="1454" spans="1:10">
      <c r="A1454" s="17"/>
      <c r="B1454" s="13"/>
      <c r="C1454" s="20"/>
      <c r="D1454" s="19"/>
      <c r="E1454" s="26">
        <f>IF($B1454="","",IFERROR(INDEX(PecDesc,MATCH($B1454,PecCod,0)),"Peça não cadastrada"))</f>
        <v>0</v>
      </c>
      <c r="F1454" s="27">
        <f>IF($B1454="","",IF($D1454&lt;&gt;"",$D1454,IFERROR(INDEX(PecPreco,MATCH($B1454,PecCod,0)),0)))</f>
        <v>0</v>
      </c>
      <c r="G1454" s="27">
        <f>IF(OR($B1454="",$C1454=""),"",$C1454*$F1454)</f>
        <v>0</v>
      </c>
      <c r="H1454" s="27">
        <f>IF(OR($B1454="",$C1454=""),"",$C1454*IFERROR(INDEX(PecCusto,MATCH($B1454,PecCod,0)),0))</f>
        <v>0</v>
      </c>
      <c r="I1454" s="32">
        <f>IF($A1454="","",IFERROR(INDEX(OSStatus,MATCH($A1454,OSNum,0)),"OS inexistente"))</f>
        <v>0</v>
      </c>
      <c r="J1454" s="32">
        <f>IF($A1454="","",IF($I1454="OS inexistente","OS inexistente",IF($E1454="Peça não cadastrada","Peça não cadastrada","OK")))</f>
        <v>0</v>
      </c>
    </row>
    <row r="1455" spans="1:10">
      <c r="A1455" s="17"/>
      <c r="B1455" s="13"/>
      <c r="C1455" s="20"/>
      <c r="D1455" s="19"/>
      <c r="E1455" s="26">
        <f>IF($B1455="","",IFERROR(INDEX(PecDesc,MATCH($B1455,PecCod,0)),"Peça não cadastrada"))</f>
        <v>0</v>
      </c>
      <c r="F1455" s="27">
        <f>IF($B1455="","",IF($D1455&lt;&gt;"",$D1455,IFERROR(INDEX(PecPreco,MATCH($B1455,PecCod,0)),0)))</f>
        <v>0</v>
      </c>
      <c r="G1455" s="27">
        <f>IF(OR($B1455="",$C1455=""),"",$C1455*$F1455)</f>
        <v>0</v>
      </c>
      <c r="H1455" s="27">
        <f>IF(OR($B1455="",$C1455=""),"",$C1455*IFERROR(INDEX(PecCusto,MATCH($B1455,PecCod,0)),0))</f>
        <v>0</v>
      </c>
      <c r="I1455" s="32">
        <f>IF($A1455="","",IFERROR(INDEX(OSStatus,MATCH($A1455,OSNum,0)),"OS inexistente"))</f>
        <v>0</v>
      </c>
      <c r="J1455" s="32">
        <f>IF($A1455="","",IF($I1455="OS inexistente","OS inexistente",IF($E1455="Peça não cadastrada","Peça não cadastrada","OK")))</f>
        <v>0</v>
      </c>
    </row>
    <row r="1456" spans="1:10">
      <c r="A1456" s="17"/>
      <c r="B1456" s="13"/>
      <c r="C1456" s="20"/>
      <c r="D1456" s="19"/>
      <c r="E1456" s="26">
        <f>IF($B1456="","",IFERROR(INDEX(PecDesc,MATCH($B1456,PecCod,0)),"Peça não cadastrada"))</f>
        <v>0</v>
      </c>
      <c r="F1456" s="27">
        <f>IF($B1456="","",IF($D1456&lt;&gt;"",$D1456,IFERROR(INDEX(PecPreco,MATCH($B1456,PecCod,0)),0)))</f>
        <v>0</v>
      </c>
      <c r="G1456" s="27">
        <f>IF(OR($B1456="",$C1456=""),"",$C1456*$F1456)</f>
        <v>0</v>
      </c>
      <c r="H1456" s="27">
        <f>IF(OR($B1456="",$C1456=""),"",$C1456*IFERROR(INDEX(PecCusto,MATCH($B1456,PecCod,0)),0))</f>
        <v>0</v>
      </c>
      <c r="I1456" s="32">
        <f>IF($A1456="","",IFERROR(INDEX(OSStatus,MATCH($A1456,OSNum,0)),"OS inexistente"))</f>
        <v>0</v>
      </c>
      <c r="J1456" s="32">
        <f>IF($A1456="","",IF($I1456="OS inexistente","OS inexistente",IF($E1456="Peça não cadastrada","Peça não cadastrada","OK")))</f>
        <v>0</v>
      </c>
    </row>
    <row r="1457" spans="1:10">
      <c r="A1457" s="17"/>
      <c r="B1457" s="13"/>
      <c r="C1457" s="20"/>
      <c r="D1457" s="19"/>
      <c r="E1457" s="26">
        <f>IF($B1457="","",IFERROR(INDEX(PecDesc,MATCH($B1457,PecCod,0)),"Peça não cadastrada"))</f>
        <v>0</v>
      </c>
      <c r="F1457" s="27">
        <f>IF($B1457="","",IF($D1457&lt;&gt;"",$D1457,IFERROR(INDEX(PecPreco,MATCH($B1457,PecCod,0)),0)))</f>
        <v>0</v>
      </c>
      <c r="G1457" s="27">
        <f>IF(OR($B1457="",$C1457=""),"",$C1457*$F1457)</f>
        <v>0</v>
      </c>
      <c r="H1457" s="27">
        <f>IF(OR($B1457="",$C1457=""),"",$C1457*IFERROR(INDEX(PecCusto,MATCH($B1457,PecCod,0)),0))</f>
        <v>0</v>
      </c>
      <c r="I1457" s="32">
        <f>IF($A1457="","",IFERROR(INDEX(OSStatus,MATCH($A1457,OSNum,0)),"OS inexistente"))</f>
        <v>0</v>
      </c>
      <c r="J1457" s="32">
        <f>IF($A1457="","",IF($I1457="OS inexistente","OS inexistente",IF($E1457="Peça não cadastrada","Peça não cadastrada","OK")))</f>
        <v>0</v>
      </c>
    </row>
    <row r="1458" spans="1:10">
      <c r="A1458" s="17"/>
      <c r="B1458" s="13"/>
      <c r="C1458" s="20"/>
      <c r="D1458" s="19"/>
      <c r="E1458" s="26">
        <f>IF($B1458="","",IFERROR(INDEX(PecDesc,MATCH($B1458,PecCod,0)),"Peça não cadastrada"))</f>
        <v>0</v>
      </c>
      <c r="F1458" s="27">
        <f>IF($B1458="","",IF($D1458&lt;&gt;"",$D1458,IFERROR(INDEX(PecPreco,MATCH($B1458,PecCod,0)),0)))</f>
        <v>0</v>
      </c>
      <c r="G1458" s="27">
        <f>IF(OR($B1458="",$C1458=""),"",$C1458*$F1458)</f>
        <v>0</v>
      </c>
      <c r="H1458" s="27">
        <f>IF(OR($B1458="",$C1458=""),"",$C1458*IFERROR(INDEX(PecCusto,MATCH($B1458,PecCod,0)),0))</f>
        <v>0</v>
      </c>
      <c r="I1458" s="32">
        <f>IF($A1458="","",IFERROR(INDEX(OSStatus,MATCH($A1458,OSNum,0)),"OS inexistente"))</f>
        <v>0</v>
      </c>
      <c r="J1458" s="32">
        <f>IF($A1458="","",IF($I1458="OS inexistente","OS inexistente",IF($E1458="Peça não cadastrada","Peça não cadastrada","OK")))</f>
        <v>0</v>
      </c>
    </row>
    <row r="1459" spans="1:10">
      <c r="A1459" s="17"/>
      <c r="B1459" s="13"/>
      <c r="C1459" s="20"/>
      <c r="D1459" s="19"/>
      <c r="E1459" s="26">
        <f>IF($B1459="","",IFERROR(INDEX(PecDesc,MATCH($B1459,PecCod,0)),"Peça não cadastrada"))</f>
        <v>0</v>
      </c>
      <c r="F1459" s="27">
        <f>IF($B1459="","",IF($D1459&lt;&gt;"",$D1459,IFERROR(INDEX(PecPreco,MATCH($B1459,PecCod,0)),0)))</f>
        <v>0</v>
      </c>
      <c r="G1459" s="27">
        <f>IF(OR($B1459="",$C1459=""),"",$C1459*$F1459)</f>
        <v>0</v>
      </c>
      <c r="H1459" s="27">
        <f>IF(OR($B1459="",$C1459=""),"",$C1459*IFERROR(INDEX(PecCusto,MATCH($B1459,PecCod,0)),0))</f>
        <v>0</v>
      </c>
      <c r="I1459" s="32">
        <f>IF($A1459="","",IFERROR(INDEX(OSStatus,MATCH($A1459,OSNum,0)),"OS inexistente"))</f>
        <v>0</v>
      </c>
      <c r="J1459" s="32">
        <f>IF($A1459="","",IF($I1459="OS inexistente","OS inexistente",IF($E1459="Peça não cadastrada","Peça não cadastrada","OK")))</f>
        <v>0</v>
      </c>
    </row>
    <row r="1460" spans="1:10">
      <c r="A1460" s="17"/>
      <c r="B1460" s="13"/>
      <c r="C1460" s="20"/>
      <c r="D1460" s="19"/>
      <c r="E1460" s="26">
        <f>IF($B1460="","",IFERROR(INDEX(PecDesc,MATCH($B1460,PecCod,0)),"Peça não cadastrada"))</f>
        <v>0</v>
      </c>
      <c r="F1460" s="27">
        <f>IF($B1460="","",IF($D1460&lt;&gt;"",$D1460,IFERROR(INDEX(PecPreco,MATCH($B1460,PecCod,0)),0)))</f>
        <v>0</v>
      </c>
      <c r="G1460" s="27">
        <f>IF(OR($B1460="",$C1460=""),"",$C1460*$F1460)</f>
        <v>0</v>
      </c>
      <c r="H1460" s="27">
        <f>IF(OR($B1460="",$C1460=""),"",$C1460*IFERROR(INDEX(PecCusto,MATCH($B1460,PecCod,0)),0))</f>
        <v>0</v>
      </c>
      <c r="I1460" s="32">
        <f>IF($A1460="","",IFERROR(INDEX(OSStatus,MATCH($A1460,OSNum,0)),"OS inexistente"))</f>
        <v>0</v>
      </c>
      <c r="J1460" s="32">
        <f>IF($A1460="","",IF($I1460="OS inexistente","OS inexistente",IF($E1460="Peça não cadastrada","Peça não cadastrada","OK")))</f>
        <v>0</v>
      </c>
    </row>
    <row r="1461" spans="1:10">
      <c r="A1461" s="17"/>
      <c r="B1461" s="13"/>
      <c r="C1461" s="20"/>
      <c r="D1461" s="19"/>
      <c r="E1461" s="26">
        <f>IF($B1461="","",IFERROR(INDEX(PecDesc,MATCH($B1461,PecCod,0)),"Peça não cadastrada"))</f>
        <v>0</v>
      </c>
      <c r="F1461" s="27">
        <f>IF($B1461="","",IF($D1461&lt;&gt;"",$D1461,IFERROR(INDEX(PecPreco,MATCH($B1461,PecCod,0)),0)))</f>
        <v>0</v>
      </c>
      <c r="G1461" s="27">
        <f>IF(OR($B1461="",$C1461=""),"",$C1461*$F1461)</f>
        <v>0</v>
      </c>
      <c r="H1461" s="27">
        <f>IF(OR($B1461="",$C1461=""),"",$C1461*IFERROR(INDEX(PecCusto,MATCH($B1461,PecCod,0)),0))</f>
        <v>0</v>
      </c>
      <c r="I1461" s="32">
        <f>IF($A1461="","",IFERROR(INDEX(OSStatus,MATCH($A1461,OSNum,0)),"OS inexistente"))</f>
        <v>0</v>
      </c>
      <c r="J1461" s="32">
        <f>IF($A1461="","",IF($I1461="OS inexistente","OS inexistente",IF($E1461="Peça não cadastrada","Peça não cadastrada","OK")))</f>
        <v>0</v>
      </c>
    </row>
    <row r="1462" spans="1:10">
      <c r="A1462" s="17"/>
      <c r="B1462" s="13"/>
      <c r="C1462" s="20"/>
      <c r="D1462" s="19"/>
      <c r="E1462" s="26">
        <f>IF($B1462="","",IFERROR(INDEX(PecDesc,MATCH($B1462,PecCod,0)),"Peça não cadastrada"))</f>
        <v>0</v>
      </c>
      <c r="F1462" s="27">
        <f>IF($B1462="","",IF($D1462&lt;&gt;"",$D1462,IFERROR(INDEX(PecPreco,MATCH($B1462,PecCod,0)),0)))</f>
        <v>0</v>
      </c>
      <c r="G1462" s="27">
        <f>IF(OR($B1462="",$C1462=""),"",$C1462*$F1462)</f>
        <v>0</v>
      </c>
      <c r="H1462" s="27">
        <f>IF(OR($B1462="",$C1462=""),"",$C1462*IFERROR(INDEX(PecCusto,MATCH($B1462,PecCod,0)),0))</f>
        <v>0</v>
      </c>
      <c r="I1462" s="32">
        <f>IF($A1462="","",IFERROR(INDEX(OSStatus,MATCH($A1462,OSNum,0)),"OS inexistente"))</f>
        <v>0</v>
      </c>
      <c r="J1462" s="32">
        <f>IF($A1462="","",IF($I1462="OS inexistente","OS inexistente",IF($E1462="Peça não cadastrada","Peça não cadastrada","OK")))</f>
        <v>0</v>
      </c>
    </row>
    <row r="1463" spans="1:10">
      <c r="A1463" s="17"/>
      <c r="B1463" s="13"/>
      <c r="C1463" s="20"/>
      <c r="D1463" s="19"/>
      <c r="E1463" s="26">
        <f>IF($B1463="","",IFERROR(INDEX(PecDesc,MATCH($B1463,PecCod,0)),"Peça não cadastrada"))</f>
        <v>0</v>
      </c>
      <c r="F1463" s="27">
        <f>IF($B1463="","",IF($D1463&lt;&gt;"",$D1463,IFERROR(INDEX(PecPreco,MATCH($B1463,PecCod,0)),0)))</f>
        <v>0</v>
      </c>
      <c r="G1463" s="27">
        <f>IF(OR($B1463="",$C1463=""),"",$C1463*$F1463)</f>
        <v>0</v>
      </c>
      <c r="H1463" s="27">
        <f>IF(OR($B1463="",$C1463=""),"",$C1463*IFERROR(INDEX(PecCusto,MATCH($B1463,PecCod,0)),0))</f>
        <v>0</v>
      </c>
      <c r="I1463" s="32">
        <f>IF($A1463="","",IFERROR(INDEX(OSStatus,MATCH($A1463,OSNum,0)),"OS inexistente"))</f>
        <v>0</v>
      </c>
      <c r="J1463" s="32">
        <f>IF($A1463="","",IF($I1463="OS inexistente","OS inexistente",IF($E1463="Peça não cadastrada","Peça não cadastrada","OK")))</f>
        <v>0</v>
      </c>
    </row>
    <row r="1464" spans="1:10">
      <c r="A1464" s="17"/>
      <c r="B1464" s="13"/>
      <c r="C1464" s="20"/>
      <c r="D1464" s="19"/>
      <c r="E1464" s="26">
        <f>IF($B1464="","",IFERROR(INDEX(PecDesc,MATCH($B1464,PecCod,0)),"Peça não cadastrada"))</f>
        <v>0</v>
      </c>
      <c r="F1464" s="27">
        <f>IF($B1464="","",IF($D1464&lt;&gt;"",$D1464,IFERROR(INDEX(PecPreco,MATCH($B1464,PecCod,0)),0)))</f>
        <v>0</v>
      </c>
      <c r="G1464" s="27">
        <f>IF(OR($B1464="",$C1464=""),"",$C1464*$F1464)</f>
        <v>0</v>
      </c>
      <c r="H1464" s="27">
        <f>IF(OR($B1464="",$C1464=""),"",$C1464*IFERROR(INDEX(PecCusto,MATCH($B1464,PecCod,0)),0))</f>
        <v>0</v>
      </c>
      <c r="I1464" s="32">
        <f>IF($A1464="","",IFERROR(INDEX(OSStatus,MATCH($A1464,OSNum,0)),"OS inexistente"))</f>
        <v>0</v>
      </c>
      <c r="J1464" s="32">
        <f>IF($A1464="","",IF($I1464="OS inexistente","OS inexistente",IF($E1464="Peça não cadastrada","Peça não cadastrada","OK")))</f>
        <v>0</v>
      </c>
    </row>
    <row r="1465" spans="1:10">
      <c r="A1465" s="17"/>
      <c r="B1465" s="13"/>
      <c r="C1465" s="20"/>
      <c r="D1465" s="19"/>
      <c r="E1465" s="26">
        <f>IF($B1465="","",IFERROR(INDEX(PecDesc,MATCH($B1465,PecCod,0)),"Peça não cadastrada"))</f>
        <v>0</v>
      </c>
      <c r="F1465" s="27">
        <f>IF($B1465="","",IF($D1465&lt;&gt;"",$D1465,IFERROR(INDEX(PecPreco,MATCH($B1465,PecCod,0)),0)))</f>
        <v>0</v>
      </c>
      <c r="G1465" s="27">
        <f>IF(OR($B1465="",$C1465=""),"",$C1465*$F1465)</f>
        <v>0</v>
      </c>
      <c r="H1465" s="27">
        <f>IF(OR($B1465="",$C1465=""),"",$C1465*IFERROR(INDEX(PecCusto,MATCH($B1465,PecCod,0)),0))</f>
        <v>0</v>
      </c>
      <c r="I1465" s="32">
        <f>IF($A1465="","",IFERROR(INDEX(OSStatus,MATCH($A1465,OSNum,0)),"OS inexistente"))</f>
        <v>0</v>
      </c>
      <c r="J1465" s="32">
        <f>IF($A1465="","",IF($I1465="OS inexistente","OS inexistente",IF($E1465="Peça não cadastrada","Peça não cadastrada","OK")))</f>
        <v>0</v>
      </c>
    </row>
    <row r="1466" spans="1:10">
      <c r="A1466" s="17"/>
      <c r="B1466" s="13"/>
      <c r="C1466" s="20"/>
      <c r="D1466" s="19"/>
      <c r="E1466" s="26">
        <f>IF($B1466="","",IFERROR(INDEX(PecDesc,MATCH($B1466,PecCod,0)),"Peça não cadastrada"))</f>
        <v>0</v>
      </c>
      <c r="F1466" s="27">
        <f>IF($B1466="","",IF($D1466&lt;&gt;"",$D1466,IFERROR(INDEX(PecPreco,MATCH($B1466,PecCod,0)),0)))</f>
        <v>0</v>
      </c>
      <c r="G1466" s="27">
        <f>IF(OR($B1466="",$C1466=""),"",$C1466*$F1466)</f>
        <v>0</v>
      </c>
      <c r="H1466" s="27">
        <f>IF(OR($B1466="",$C1466=""),"",$C1466*IFERROR(INDEX(PecCusto,MATCH($B1466,PecCod,0)),0))</f>
        <v>0</v>
      </c>
      <c r="I1466" s="32">
        <f>IF($A1466="","",IFERROR(INDEX(OSStatus,MATCH($A1466,OSNum,0)),"OS inexistente"))</f>
        <v>0</v>
      </c>
      <c r="J1466" s="32">
        <f>IF($A1466="","",IF($I1466="OS inexistente","OS inexistente",IF($E1466="Peça não cadastrada","Peça não cadastrada","OK")))</f>
        <v>0</v>
      </c>
    </row>
    <row r="1467" spans="1:10">
      <c r="A1467" s="17"/>
      <c r="B1467" s="13"/>
      <c r="C1467" s="20"/>
      <c r="D1467" s="19"/>
      <c r="E1467" s="26">
        <f>IF($B1467="","",IFERROR(INDEX(PecDesc,MATCH($B1467,PecCod,0)),"Peça não cadastrada"))</f>
        <v>0</v>
      </c>
      <c r="F1467" s="27">
        <f>IF($B1467="","",IF($D1467&lt;&gt;"",$D1467,IFERROR(INDEX(PecPreco,MATCH($B1467,PecCod,0)),0)))</f>
        <v>0</v>
      </c>
      <c r="G1467" s="27">
        <f>IF(OR($B1467="",$C1467=""),"",$C1467*$F1467)</f>
        <v>0</v>
      </c>
      <c r="H1467" s="27">
        <f>IF(OR($B1467="",$C1467=""),"",$C1467*IFERROR(INDEX(PecCusto,MATCH($B1467,PecCod,0)),0))</f>
        <v>0</v>
      </c>
      <c r="I1467" s="32">
        <f>IF($A1467="","",IFERROR(INDEX(OSStatus,MATCH($A1467,OSNum,0)),"OS inexistente"))</f>
        <v>0</v>
      </c>
      <c r="J1467" s="32">
        <f>IF($A1467="","",IF($I1467="OS inexistente","OS inexistente",IF($E1467="Peça não cadastrada","Peça não cadastrada","OK")))</f>
        <v>0</v>
      </c>
    </row>
    <row r="1468" spans="1:10">
      <c r="A1468" s="17"/>
      <c r="B1468" s="13"/>
      <c r="C1468" s="20"/>
      <c r="D1468" s="19"/>
      <c r="E1468" s="26">
        <f>IF($B1468="","",IFERROR(INDEX(PecDesc,MATCH($B1468,PecCod,0)),"Peça não cadastrada"))</f>
        <v>0</v>
      </c>
      <c r="F1468" s="27">
        <f>IF($B1468="","",IF($D1468&lt;&gt;"",$D1468,IFERROR(INDEX(PecPreco,MATCH($B1468,PecCod,0)),0)))</f>
        <v>0</v>
      </c>
      <c r="G1468" s="27">
        <f>IF(OR($B1468="",$C1468=""),"",$C1468*$F1468)</f>
        <v>0</v>
      </c>
      <c r="H1468" s="27">
        <f>IF(OR($B1468="",$C1468=""),"",$C1468*IFERROR(INDEX(PecCusto,MATCH($B1468,PecCod,0)),0))</f>
        <v>0</v>
      </c>
      <c r="I1468" s="32">
        <f>IF($A1468="","",IFERROR(INDEX(OSStatus,MATCH($A1468,OSNum,0)),"OS inexistente"))</f>
        <v>0</v>
      </c>
      <c r="J1468" s="32">
        <f>IF($A1468="","",IF($I1468="OS inexistente","OS inexistente",IF($E1468="Peça não cadastrada","Peça não cadastrada","OK")))</f>
        <v>0</v>
      </c>
    </row>
    <row r="1469" spans="1:10">
      <c r="A1469" s="17"/>
      <c r="B1469" s="13"/>
      <c r="C1469" s="20"/>
      <c r="D1469" s="19"/>
      <c r="E1469" s="26">
        <f>IF($B1469="","",IFERROR(INDEX(PecDesc,MATCH($B1469,PecCod,0)),"Peça não cadastrada"))</f>
        <v>0</v>
      </c>
      <c r="F1469" s="27">
        <f>IF($B1469="","",IF($D1469&lt;&gt;"",$D1469,IFERROR(INDEX(PecPreco,MATCH($B1469,PecCod,0)),0)))</f>
        <v>0</v>
      </c>
      <c r="G1469" s="27">
        <f>IF(OR($B1469="",$C1469=""),"",$C1469*$F1469)</f>
        <v>0</v>
      </c>
      <c r="H1469" s="27">
        <f>IF(OR($B1469="",$C1469=""),"",$C1469*IFERROR(INDEX(PecCusto,MATCH($B1469,PecCod,0)),0))</f>
        <v>0</v>
      </c>
      <c r="I1469" s="32">
        <f>IF($A1469="","",IFERROR(INDEX(OSStatus,MATCH($A1469,OSNum,0)),"OS inexistente"))</f>
        <v>0</v>
      </c>
      <c r="J1469" s="32">
        <f>IF($A1469="","",IF($I1469="OS inexistente","OS inexistente",IF($E1469="Peça não cadastrada","Peça não cadastrada","OK")))</f>
        <v>0</v>
      </c>
    </row>
    <row r="1470" spans="1:10">
      <c r="A1470" s="17"/>
      <c r="B1470" s="13"/>
      <c r="C1470" s="20"/>
      <c r="D1470" s="19"/>
      <c r="E1470" s="26">
        <f>IF($B1470="","",IFERROR(INDEX(PecDesc,MATCH($B1470,PecCod,0)),"Peça não cadastrada"))</f>
        <v>0</v>
      </c>
      <c r="F1470" s="27">
        <f>IF($B1470="","",IF($D1470&lt;&gt;"",$D1470,IFERROR(INDEX(PecPreco,MATCH($B1470,PecCod,0)),0)))</f>
        <v>0</v>
      </c>
      <c r="G1470" s="27">
        <f>IF(OR($B1470="",$C1470=""),"",$C1470*$F1470)</f>
        <v>0</v>
      </c>
      <c r="H1470" s="27">
        <f>IF(OR($B1470="",$C1470=""),"",$C1470*IFERROR(INDEX(PecCusto,MATCH($B1470,PecCod,0)),0))</f>
        <v>0</v>
      </c>
      <c r="I1470" s="32">
        <f>IF($A1470="","",IFERROR(INDEX(OSStatus,MATCH($A1470,OSNum,0)),"OS inexistente"))</f>
        <v>0</v>
      </c>
      <c r="J1470" s="32">
        <f>IF($A1470="","",IF($I1470="OS inexistente","OS inexistente",IF($E1470="Peça não cadastrada","Peça não cadastrada","OK")))</f>
        <v>0</v>
      </c>
    </row>
    <row r="1471" spans="1:10">
      <c r="A1471" s="17"/>
      <c r="B1471" s="13"/>
      <c r="C1471" s="20"/>
      <c r="D1471" s="19"/>
      <c r="E1471" s="26">
        <f>IF($B1471="","",IFERROR(INDEX(PecDesc,MATCH($B1471,PecCod,0)),"Peça não cadastrada"))</f>
        <v>0</v>
      </c>
      <c r="F1471" s="27">
        <f>IF($B1471="","",IF($D1471&lt;&gt;"",$D1471,IFERROR(INDEX(PecPreco,MATCH($B1471,PecCod,0)),0)))</f>
        <v>0</v>
      </c>
      <c r="G1471" s="27">
        <f>IF(OR($B1471="",$C1471=""),"",$C1471*$F1471)</f>
        <v>0</v>
      </c>
      <c r="H1471" s="27">
        <f>IF(OR($B1471="",$C1471=""),"",$C1471*IFERROR(INDEX(PecCusto,MATCH($B1471,PecCod,0)),0))</f>
        <v>0</v>
      </c>
      <c r="I1471" s="32">
        <f>IF($A1471="","",IFERROR(INDEX(OSStatus,MATCH($A1471,OSNum,0)),"OS inexistente"))</f>
        <v>0</v>
      </c>
      <c r="J1471" s="32">
        <f>IF($A1471="","",IF($I1471="OS inexistente","OS inexistente",IF($E1471="Peça não cadastrada","Peça não cadastrada","OK")))</f>
        <v>0</v>
      </c>
    </row>
    <row r="1472" spans="1:10">
      <c r="A1472" s="17"/>
      <c r="B1472" s="13"/>
      <c r="C1472" s="20"/>
      <c r="D1472" s="19"/>
      <c r="E1472" s="26">
        <f>IF($B1472="","",IFERROR(INDEX(PecDesc,MATCH($B1472,PecCod,0)),"Peça não cadastrada"))</f>
        <v>0</v>
      </c>
      <c r="F1472" s="27">
        <f>IF($B1472="","",IF($D1472&lt;&gt;"",$D1472,IFERROR(INDEX(PecPreco,MATCH($B1472,PecCod,0)),0)))</f>
        <v>0</v>
      </c>
      <c r="G1472" s="27">
        <f>IF(OR($B1472="",$C1472=""),"",$C1472*$F1472)</f>
        <v>0</v>
      </c>
      <c r="H1472" s="27">
        <f>IF(OR($B1472="",$C1472=""),"",$C1472*IFERROR(INDEX(PecCusto,MATCH($B1472,PecCod,0)),0))</f>
        <v>0</v>
      </c>
      <c r="I1472" s="32">
        <f>IF($A1472="","",IFERROR(INDEX(OSStatus,MATCH($A1472,OSNum,0)),"OS inexistente"))</f>
        <v>0</v>
      </c>
      <c r="J1472" s="32">
        <f>IF($A1472="","",IF($I1472="OS inexistente","OS inexistente",IF($E1472="Peça não cadastrada","Peça não cadastrada","OK")))</f>
        <v>0</v>
      </c>
    </row>
    <row r="1473" spans="1:10">
      <c r="A1473" s="17"/>
      <c r="B1473" s="13"/>
      <c r="C1473" s="20"/>
      <c r="D1473" s="19"/>
      <c r="E1473" s="26">
        <f>IF($B1473="","",IFERROR(INDEX(PecDesc,MATCH($B1473,PecCod,0)),"Peça não cadastrada"))</f>
        <v>0</v>
      </c>
      <c r="F1473" s="27">
        <f>IF($B1473="","",IF($D1473&lt;&gt;"",$D1473,IFERROR(INDEX(PecPreco,MATCH($B1473,PecCod,0)),0)))</f>
        <v>0</v>
      </c>
      <c r="G1473" s="27">
        <f>IF(OR($B1473="",$C1473=""),"",$C1473*$F1473)</f>
        <v>0</v>
      </c>
      <c r="H1473" s="27">
        <f>IF(OR($B1473="",$C1473=""),"",$C1473*IFERROR(INDEX(PecCusto,MATCH($B1473,PecCod,0)),0))</f>
        <v>0</v>
      </c>
      <c r="I1473" s="32">
        <f>IF($A1473="","",IFERROR(INDEX(OSStatus,MATCH($A1473,OSNum,0)),"OS inexistente"))</f>
        <v>0</v>
      </c>
      <c r="J1473" s="32">
        <f>IF($A1473="","",IF($I1473="OS inexistente","OS inexistente",IF($E1473="Peça não cadastrada","Peça não cadastrada","OK")))</f>
        <v>0</v>
      </c>
    </row>
    <row r="1474" spans="1:10">
      <c r="A1474" s="17"/>
      <c r="B1474" s="13"/>
      <c r="C1474" s="20"/>
      <c r="D1474" s="19"/>
      <c r="E1474" s="26">
        <f>IF($B1474="","",IFERROR(INDEX(PecDesc,MATCH($B1474,PecCod,0)),"Peça não cadastrada"))</f>
        <v>0</v>
      </c>
      <c r="F1474" s="27">
        <f>IF($B1474="","",IF($D1474&lt;&gt;"",$D1474,IFERROR(INDEX(PecPreco,MATCH($B1474,PecCod,0)),0)))</f>
        <v>0</v>
      </c>
      <c r="G1474" s="27">
        <f>IF(OR($B1474="",$C1474=""),"",$C1474*$F1474)</f>
        <v>0</v>
      </c>
      <c r="H1474" s="27">
        <f>IF(OR($B1474="",$C1474=""),"",$C1474*IFERROR(INDEX(PecCusto,MATCH($B1474,PecCod,0)),0))</f>
        <v>0</v>
      </c>
      <c r="I1474" s="32">
        <f>IF($A1474="","",IFERROR(INDEX(OSStatus,MATCH($A1474,OSNum,0)),"OS inexistente"))</f>
        <v>0</v>
      </c>
      <c r="J1474" s="32">
        <f>IF($A1474="","",IF($I1474="OS inexistente","OS inexistente",IF($E1474="Peça não cadastrada","Peça não cadastrada","OK")))</f>
        <v>0</v>
      </c>
    </row>
    <row r="1475" spans="1:10">
      <c r="A1475" s="17"/>
      <c r="B1475" s="13"/>
      <c r="C1475" s="20"/>
      <c r="D1475" s="19"/>
      <c r="E1475" s="26">
        <f>IF($B1475="","",IFERROR(INDEX(PecDesc,MATCH($B1475,PecCod,0)),"Peça não cadastrada"))</f>
        <v>0</v>
      </c>
      <c r="F1475" s="27">
        <f>IF($B1475="","",IF($D1475&lt;&gt;"",$D1475,IFERROR(INDEX(PecPreco,MATCH($B1475,PecCod,0)),0)))</f>
        <v>0</v>
      </c>
      <c r="G1475" s="27">
        <f>IF(OR($B1475="",$C1475=""),"",$C1475*$F1475)</f>
        <v>0</v>
      </c>
      <c r="H1475" s="27">
        <f>IF(OR($B1475="",$C1475=""),"",$C1475*IFERROR(INDEX(PecCusto,MATCH($B1475,PecCod,0)),0))</f>
        <v>0</v>
      </c>
      <c r="I1475" s="32">
        <f>IF($A1475="","",IFERROR(INDEX(OSStatus,MATCH($A1475,OSNum,0)),"OS inexistente"))</f>
        <v>0</v>
      </c>
      <c r="J1475" s="32">
        <f>IF($A1475="","",IF($I1475="OS inexistente","OS inexistente",IF($E1475="Peça não cadastrada","Peça não cadastrada","OK")))</f>
        <v>0</v>
      </c>
    </row>
    <row r="1476" spans="1:10">
      <c r="A1476" s="17"/>
      <c r="B1476" s="13"/>
      <c r="C1476" s="20"/>
      <c r="D1476" s="19"/>
      <c r="E1476" s="26">
        <f>IF($B1476="","",IFERROR(INDEX(PecDesc,MATCH($B1476,PecCod,0)),"Peça não cadastrada"))</f>
        <v>0</v>
      </c>
      <c r="F1476" s="27">
        <f>IF($B1476="","",IF($D1476&lt;&gt;"",$D1476,IFERROR(INDEX(PecPreco,MATCH($B1476,PecCod,0)),0)))</f>
        <v>0</v>
      </c>
      <c r="G1476" s="27">
        <f>IF(OR($B1476="",$C1476=""),"",$C1476*$F1476)</f>
        <v>0</v>
      </c>
      <c r="H1476" s="27">
        <f>IF(OR($B1476="",$C1476=""),"",$C1476*IFERROR(INDEX(PecCusto,MATCH($B1476,PecCod,0)),0))</f>
        <v>0</v>
      </c>
      <c r="I1476" s="32">
        <f>IF($A1476="","",IFERROR(INDEX(OSStatus,MATCH($A1476,OSNum,0)),"OS inexistente"))</f>
        <v>0</v>
      </c>
      <c r="J1476" s="32">
        <f>IF($A1476="","",IF($I1476="OS inexistente","OS inexistente",IF($E1476="Peça não cadastrada","Peça não cadastrada","OK")))</f>
        <v>0</v>
      </c>
    </row>
    <row r="1477" spans="1:10">
      <c r="A1477" s="17"/>
      <c r="B1477" s="13"/>
      <c r="C1477" s="20"/>
      <c r="D1477" s="19"/>
      <c r="E1477" s="26">
        <f>IF($B1477="","",IFERROR(INDEX(PecDesc,MATCH($B1477,PecCod,0)),"Peça não cadastrada"))</f>
        <v>0</v>
      </c>
      <c r="F1477" s="27">
        <f>IF($B1477="","",IF($D1477&lt;&gt;"",$D1477,IFERROR(INDEX(PecPreco,MATCH($B1477,PecCod,0)),0)))</f>
        <v>0</v>
      </c>
      <c r="G1477" s="27">
        <f>IF(OR($B1477="",$C1477=""),"",$C1477*$F1477)</f>
        <v>0</v>
      </c>
      <c r="H1477" s="27">
        <f>IF(OR($B1477="",$C1477=""),"",$C1477*IFERROR(INDEX(PecCusto,MATCH($B1477,PecCod,0)),0))</f>
        <v>0</v>
      </c>
      <c r="I1477" s="32">
        <f>IF($A1477="","",IFERROR(INDEX(OSStatus,MATCH($A1477,OSNum,0)),"OS inexistente"))</f>
        <v>0</v>
      </c>
      <c r="J1477" s="32">
        <f>IF($A1477="","",IF($I1477="OS inexistente","OS inexistente",IF($E1477="Peça não cadastrada","Peça não cadastrada","OK")))</f>
        <v>0</v>
      </c>
    </row>
    <row r="1478" spans="1:10">
      <c r="A1478" s="17"/>
      <c r="B1478" s="13"/>
      <c r="C1478" s="20"/>
      <c r="D1478" s="19"/>
      <c r="E1478" s="26">
        <f>IF($B1478="","",IFERROR(INDEX(PecDesc,MATCH($B1478,PecCod,0)),"Peça não cadastrada"))</f>
        <v>0</v>
      </c>
      <c r="F1478" s="27">
        <f>IF($B1478="","",IF($D1478&lt;&gt;"",$D1478,IFERROR(INDEX(PecPreco,MATCH($B1478,PecCod,0)),0)))</f>
        <v>0</v>
      </c>
      <c r="G1478" s="27">
        <f>IF(OR($B1478="",$C1478=""),"",$C1478*$F1478)</f>
        <v>0</v>
      </c>
      <c r="H1478" s="27">
        <f>IF(OR($B1478="",$C1478=""),"",$C1478*IFERROR(INDEX(PecCusto,MATCH($B1478,PecCod,0)),0))</f>
        <v>0</v>
      </c>
      <c r="I1478" s="32">
        <f>IF($A1478="","",IFERROR(INDEX(OSStatus,MATCH($A1478,OSNum,0)),"OS inexistente"))</f>
        <v>0</v>
      </c>
      <c r="J1478" s="32">
        <f>IF($A1478="","",IF($I1478="OS inexistente","OS inexistente",IF($E1478="Peça não cadastrada","Peça não cadastrada","OK")))</f>
        <v>0</v>
      </c>
    </row>
    <row r="1479" spans="1:10">
      <c r="A1479" s="17"/>
      <c r="B1479" s="13"/>
      <c r="C1479" s="20"/>
      <c r="D1479" s="19"/>
      <c r="E1479" s="26">
        <f>IF($B1479="","",IFERROR(INDEX(PecDesc,MATCH($B1479,PecCod,0)),"Peça não cadastrada"))</f>
        <v>0</v>
      </c>
      <c r="F1479" s="27">
        <f>IF($B1479="","",IF($D1479&lt;&gt;"",$D1479,IFERROR(INDEX(PecPreco,MATCH($B1479,PecCod,0)),0)))</f>
        <v>0</v>
      </c>
      <c r="G1479" s="27">
        <f>IF(OR($B1479="",$C1479=""),"",$C1479*$F1479)</f>
        <v>0</v>
      </c>
      <c r="H1479" s="27">
        <f>IF(OR($B1479="",$C1479=""),"",$C1479*IFERROR(INDEX(PecCusto,MATCH($B1479,PecCod,0)),0))</f>
        <v>0</v>
      </c>
      <c r="I1479" s="32">
        <f>IF($A1479="","",IFERROR(INDEX(OSStatus,MATCH($A1479,OSNum,0)),"OS inexistente"))</f>
        <v>0</v>
      </c>
      <c r="J1479" s="32">
        <f>IF($A1479="","",IF($I1479="OS inexistente","OS inexistente",IF($E1479="Peça não cadastrada","Peça não cadastrada","OK")))</f>
        <v>0</v>
      </c>
    </row>
    <row r="1480" spans="1:10">
      <c r="A1480" s="17"/>
      <c r="B1480" s="13"/>
      <c r="C1480" s="20"/>
      <c r="D1480" s="19"/>
      <c r="E1480" s="26">
        <f>IF($B1480="","",IFERROR(INDEX(PecDesc,MATCH($B1480,PecCod,0)),"Peça não cadastrada"))</f>
        <v>0</v>
      </c>
      <c r="F1480" s="27">
        <f>IF($B1480="","",IF($D1480&lt;&gt;"",$D1480,IFERROR(INDEX(PecPreco,MATCH($B1480,PecCod,0)),0)))</f>
        <v>0</v>
      </c>
      <c r="G1480" s="27">
        <f>IF(OR($B1480="",$C1480=""),"",$C1480*$F1480)</f>
        <v>0</v>
      </c>
      <c r="H1480" s="27">
        <f>IF(OR($B1480="",$C1480=""),"",$C1480*IFERROR(INDEX(PecCusto,MATCH($B1480,PecCod,0)),0))</f>
        <v>0</v>
      </c>
      <c r="I1480" s="32">
        <f>IF($A1480="","",IFERROR(INDEX(OSStatus,MATCH($A1480,OSNum,0)),"OS inexistente"))</f>
        <v>0</v>
      </c>
      <c r="J1480" s="32">
        <f>IF($A1480="","",IF($I1480="OS inexistente","OS inexistente",IF($E1480="Peça não cadastrada","Peça não cadastrada","OK")))</f>
        <v>0</v>
      </c>
    </row>
    <row r="1481" spans="1:10">
      <c r="A1481" s="17"/>
      <c r="B1481" s="13"/>
      <c r="C1481" s="20"/>
      <c r="D1481" s="19"/>
      <c r="E1481" s="26">
        <f>IF($B1481="","",IFERROR(INDEX(PecDesc,MATCH($B1481,PecCod,0)),"Peça não cadastrada"))</f>
        <v>0</v>
      </c>
      <c r="F1481" s="27">
        <f>IF($B1481="","",IF($D1481&lt;&gt;"",$D1481,IFERROR(INDEX(PecPreco,MATCH($B1481,PecCod,0)),0)))</f>
        <v>0</v>
      </c>
      <c r="G1481" s="27">
        <f>IF(OR($B1481="",$C1481=""),"",$C1481*$F1481)</f>
        <v>0</v>
      </c>
      <c r="H1481" s="27">
        <f>IF(OR($B1481="",$C1481=""),"",$C1481*IFERROR(INDEX(PecCusto,MATCH($B1481,PecCod,0)),0))</f>
        <v>0</v>
      </c>
      <c r="I1481" s="32">
        <f>IF($A1481="","",IFERROR(INDEX(OSStatus,MATCH($A1481,OSNum,0)),"OS inexistente"))</f>
        <v>0</v>
      </c>
      <c r="J1481" s="32">
        <f>IF($A1481="","",IF($I1481="OS inexistente","OS inexistente",IF($E1481="Peça não cadastrada","Peça não cadastrada","OK")))</f>
        <v>0</v>
      </c>
    </row>
    <row r="1482" spans="1:10">
      <c r="A1482" s="17"/>
      <c r="B1482" s="13"/>
      <c r="C1482" s="20"/>
      <c r="D1482" s="19"/>
      <c r="E1482" s="26">
        <f>IF($B1482="","",IFERROR(INDEX(PecDesc,MATCH($B1482,PecCod,0)),"Peça não cadastrada"))</f>
        <v>0</v>
      </c>
      <c r="F1482" s="27">
        <f>IF($B1482="","",IF($D1482&lt;&gt;"",$D1482,IFERROR(INDEX(PecPreco,MATCH($B1482,PecCod,0)),0)))</f>
        <v>0</v>
      </c>
      <c r="G1482" s="27">
        <f>IF(OR($B1482="",$C1482=""),"",$C1482*$F1482)</f>
        <v>0</v>
      </c>
      <c r="H1482" s="27">
        <f>IF(OR($B1482="",$C1482=""),"",$C1482*IFERROR(INDEX(PecCusto,MATCH($B1482,PecCod,0)),0))</f>
        <v>0</v>
      </c>
      <c r="I1482" s="32">
        <f>IF($A1482="","",IFERROR(INDEX(OSStatus,MATCH($A1482,OSNum,0)),"OS inexistente"))</f>
        <v>0</v>
      </c>
      <c r="J1482" s="32">
        <f>IF($A1482="","",IF($I1482="OS inexistente","OS inexistente",IF($E1482="Peça não cadastrada","Peça não cadastrada","OK")))</f>
        <v>0</v>
      </c>
    </row>
    <row r="1483" spans="1:10">
      <c r="A1483" s="17"/>
      <c r="B1483" s="13"/>
      <c r="C1483" s="20"/>
      <c r="D1483" s="19"/>
      <c r="E1483" s="26">
        <f>IF($B1483="","",IFERROR(INDEX(PecDesc,MATCH($B1483,PecCod,0)),"Peça não cadastrada"))</f>
        <v>0</v>
      </c>
      <c r="F1483" s="27">
        <f>IF($B1483="","",IF($D1483&lt;&gt;"",$D1483,IFERROR(INDEX(PecPreco,MATCH($B1483,PecCod,0)),0)))</f>
        <v>0</v>
      </c>
      <c r="G1483" s="27">
        <f>IF(OR($B1483="",$C1483=""),"",$C1483*$F1483)</f>
        <v>0</v>
      </c>
      <c r="H1483" s="27">
        <f>IF(OR($B1483="",$C1483=""),"",$C1483*IFERROR(INDEX(PecCusto,MATCH($B1483,PecCod,0)),0))</f>
        <v>0</v>
      </c>
      <c r="I1483" s="32">
        <f>IF($A1483="","",IFERROR(INDEX(OSStatus,MATCH($A1483,OSNum,0)),"OS inexistente"))</f>
        <v>0</v>
      </c>
      <c r="J1483" s="32">
        <f>IF($A1483="","",IF($I1483="OS inexistente","OS inexistente",IF($E1483="Peça não cadastrada","Peça não cadastrada","OK")))</f>
        <v>0</v>
      </c>
    </row>
    <row r="1484" spans="1:10">
      <c r="A1484" s="17"/>
      <c r="B1484" s="13"/>
      <c r="C1484" s="20"/>
      <c r="D1484" s="19"/>
      <c r="E1484" s="26">
        <f>IF($B1484="","",IFERROR(INDEX(PecDesc,MATCH($B1484,PecCod,0)),"Peça não cadastrada"))</f>
        <v>0</v>
      </c>
      <c r="F1484" s="27">
        <f>IF($B1484="","",IF($D1484&lt;&gt;"",$D1484,IFERROR(INDEX(PecPreco,MATCH($B1484,PecCod,0)),0)))</f>
        <v>0</v>
      </c>
      <c r="G1484" s="27">
        <f>IF(OR($B1484="",$C1484=""),"",$C1484*$F1484)</f>
        <v>0</v>
      </c>
      <c r="H1484" s="27">
        <f>IF(OR($B1484="",$C1484=""),"",$C1484*IFERROR(INDEX(PecCusto,MATCH($B1484,PecCod,0)),0))</f>
        <v>0</v>
      </c>
      <c r="I1484" s="32">
        <f>IF($A1484="","",IFERROR(INDEX(OSStatus,MATCH($A1484,OSNum,0)),"OS inexistente"))</f>
        <v>0</v>
      </c>
      <c r="J1484" s="32">
        <f>IF($A1484="","",IF($I1484="OS inexistente","OS inexistente",IF($E1484="Peça não cadastrada","Peça não cadastrada","OK")))</f>
        <v>0</v>
      </c>
    </row>
    <row r="1485" spans="1:10">
      <c r="A1485" s="17"/>
      <c r="B1485" s="13"/>
      <c r="C1485" s="20"/>
      <c r="D1485" s="19"/>
      <c r="E1485" s="26">
        <f>IF($B1485="","",IFERROR(INDEX(PecDesc,MATCH($B1485,PecCod,0)),"Peça não cadastrada"))</f>
        <v>0</v>
      </c>
      <c r="F1485" s="27">
        <f>IF($B1485="","",IF($D1485&lt;&gt;"",$D1485,IFERROR(INDEX(PecPreco,MATCH($B1485,PecCod,0)),0)))</f>
        <v>0</v>
      </c>
      <c r="G1485" s="27">
        <f>IF(OR($B1485="",$C1485=""),"",$C1485*$F1485)</f>
        <v>0</v>
      </c>
      <c r="H1485" s="27">
        <f>IF(OR($B1485="",$C1485=""),"",$C1485*IFERROR(INDEX(PecCusto,MATCH($B1485,PecCod,0)),0))</f>
        <v>0</v>
      </c>
      <c r="I1485" s="32">
        <f>IF($A1485="","",IFERROR(INDEX(OSStatus,MATCH($A1485,OSNum,0)),"OS inexistente"))</f>
        <v>0</v>
      </c>
      <c r="J1485" s="32">
        <f>IF($A1485="","",IF($I1485="OS inexistente","OS inexistente",IF($E1485="Peça não cadastrada","Peça não cadastrada","OK")))</f>
        <v>0</v>
      </c>
    </row>
    <row r="1486" spans="1:10">
      <c r="A1486" s="17"/>
      <c r="B1486" s="13"/>
      <c r="C1486" s="20"/>
      <c r="D1486" s="19"/>
      <c r="E1486" s="26">
        <f>IF($B1486="","",IFERROR(INDEX(PecDesc,MATCH($B1486,PecCod,0)),"Peça não cadastrada"))</f>
        <v>0</v>
      </c>
      <c r="F1486" s="27">
        <f>IF($B1486="","",IF($D1486&lt;&gt;"",$D1486,IFERROR(INDEX(PecPreco,MATCH($B1486,PecCod,0)),0)))</f>
        <v>0</v>
      </c>
      <c r="G1486" s="27">
        <f>IF(OR($B1486="",$C1486=""),"",$C1486*$F1486)</f>
        <v>0</v>
      </c>
      <c r="H1486" s="27">
        <f>IF(OR($B1486="",$C1486=""),"",$C1486*IFERROR(INDEX(PecCusto,MATCH($B1486,PecCod,0)),0))</f>
        <v>0</v>
      </c>
      <c r="I1486" s="32">
        <f>IF($A1486="","",IFERROR(INDEX(OSStatus,MATCH($A1486,OSNum,0)),"OS inexistente"))</f>
        <v>0</v>
      </c>
      <c r="J1486" s="32">
        <f>IF($A1486="","",IF($I1486="OS inexistente","OS inexistente",IF($E1486="Peça não cadastrada","Peça não cadastrada","OK")))</f>
        <v>0</v>
      </c>
    </row>
    <row r="1487" spans="1:10">
      <c r="A1487" s="17"/>
      <c r="B1487" s="13"/>
      <c r="C1487" s="20"/>
      <c r="D1487" s="19"/>
      <c r="E1487" s="26">
        <f>IF($B1487="","",IFERROR(INDEX(PecDesc,MATCH($B1487,PecCod,0)),"Peça não cadastrada"))</f>
        <v>0</v>
      </c>
      <c r="F1487" s="27">
        <f>IF($B1487="","",IF($D1487&lt;&gt;"",$D1487,IFERROR(INDEX(PecPreco,MATCH($B1487,PecCod,0)),0)))</f>
        <v>0</v>
      </c>
      <c r="G1487" s="27">
        <f>IF(OR($B1487="",$C1487=""),"",$C1487*$F1487)</f>
        <v>0</v>
      </c>
      <c r="H1487" s="27">
        <f>IF(OR($B1487="",$C1487=""),"",$C1487*IFERROR(INDEX(PecCusto,MATCH($B1487,PecCod,0)),0))</f>
        <v>0</v>
      </c>
      <c r="I1487" s="32">
        <f>IF($A1487="","",IFERROR(INDEX(OSStatus,MATCH($A1487,OSNum,0)),"OS inexistente"))</f>
        <v>0</v>
      </c>
      <c r="J1487" s="32">
        <f>IF($A1487="","",IF($I1487="OS inexistente","OS inexistente",IF($E1487="Peça não cadastrada","Peça não cadastrada","OK")))</f>
        <v>0</v>
      </c>
    </row>
    <row r="1488" spans="1:10">
      <c r="A1488" s="17"/>
      <c r="B1488" s="13"/>
      <c r="C1488" s="20"/>
      <c r="D1488" s="19"/>
      <c r="E1488" s="26">
        <f>IF($B1488="","",IFERROR(INDEX(PecDesc,MATCH($B1488,PecCod,0)),"Peça não cadastrada"))</f>
        <v>0</v>
      </c>
      <c r="F1488" s="27">
        <f>IF($B1488="","",IF($D1488&lt;&gt;"",$D1488,IFERROR(INDEX(PecPreco,MATCH($B1488,PecCod,0)),0)))</f>
        <v>0</v>
      </c>
      <c r="G1488" s="27">
        <f>IF(OR($B1488="",$C1488=""),"",$C1488*$F1488)</f>
        <v>0</v>
      </c>
      <c r="H1488" s="27">
        <f>IF(OR($B1488="",$C1488=""),"",$C1488*IFERROR(INDEX(PecCusto,MATCH($B1488,PecCod,0)),0))</f>
        <v>0</v>
      </c>
      <c r="I1488" s="32">
        <f>IF($A1488="","",IFERROR(INDEX(OSStatus,MATCH($A1488,OSNum,0)),"OS inexistente"))</f>
        <v>0</v>
      </c>
      <c r="J1488" s="32">
        <f>IF($A1488="","",IF($I1488="OS inexistente","OS inexistente",IF($E1488="Peça não cadastrada","Peça não cadastrada","OK")))</f>
        <v>0</v>
      </c>
    </row>
    <row r="1489" spans="1:10">
      <c r="A1489" s="17"/>
      <c r="B1489" s="13"/>
      <c r="C1489" s="20"/>
      <c r="D1489" s="19"/>
      <c r="E1489" s="26">
        <f>IF($B1489="","",IFERROR(INDEX(PecDesc,MATCH($B1489,PecCod,0)),"Peça não cadastrada"))</f>
        <v>0</v>
      </c>
      <c r="F1489" s="27">
        <f>IF($B1489="","",IF($D1489&lt;&gt;"",$D1489,IFERROR(INDEX(PecPreco,MATCH($B1489,PecCod,0)),0)))</f>
        <v>0</v>
      </c>
      <c r="G1489" s="27">
        <f>IF(OR($B1489="",$C1489=""),"",$C1489*$F1489)</f>
        <v>0</v>
      </c>
      <c r="H1489" s="27">
        <f>IF(OR($B1489="",$C1489=""),"",$C1489*IFERROR(INDEX(PecCusto,MATCH($B1489,PecCod,0)),0))</f>
        <v>0</v>
      </c>
      <c r="I1489" s="32">
        <f>IF($A1489="","",IFERROR(INDEX(OSStatus,MATCH($A1489,OSNum,0)),"OS inexistente"))</f>
        <v>0</v>
      </c>
      <c r="J1489" s="32">
        <f>IF($A1489="","",IF($I1489="OS inexistente","OS inexistente",IF($E1489="Peça não cadastrada","Peça não cadastrada","OK")))</f>
        <v>0</v>
      </c>
    </row>
    <row r="1490" spans="1:10">
      <c r="A1490" s="17"/>
      <c r="B1490" s="13"/>
      <c r="C1490" s="20"/>
      <c r="D1490" s="19"/>
      <c r="E1490" s="26">
        <f>IF($B1490="","",IFERROR(INDEX(PecDesc,MATCH($B1490,PecCod,0)),"Peça não cadastrada"))</f>
        <v>0</v>
      </c>
      <c r="F1490" s="27">
        <f>IF($B1490="","",IF($D1490&lt;&gt;"",$D1490,IFERROR(INDEX(PecPreco,MATCH($B1490,PecCod,0)),0)))</f>
        <v>0</v>
      </c>
      <c r="G1490" s="27">
        <f>IF(OR($B1490="",$C1490=""),"",$C1490*$F1490)</f>
        <v>0</v>
      </c>
      <c r="H1490" s="27">
        <f>IF(OR($B1490="",$C1490=""),"",$C1490*IFERROR(INDEX(PecCusto,MATCH($B1490,PecCod,0)),0))</f>
        <v>0</v>
      </c>
      <c r="I1490" s="32">
        <f>IF($A1490="","",IFERROR(INDEX(OSStatus,MATCH($A1490,OSNum,0)),"OS inexistente"))</f>
        <v>0</v>
      </c>
      <c r="J1490" s="32">
        <f>IF($A1490="","",IF($I1490="OS inexistente","OS inexistente",IF($E1490="Peça não cadastrada","Peça não cadastrada","OK")))</f>
        <v>0</v>
      </c>
    </row>
    <row r="1491" spans="1:10">
      <c r="A1491" s="17"/>
      <c r="B1491" s="13"/>
      <c r="C1491" s="20"/>
      <c r="D1491" s="19"/>
      <c r="E1491" s="26">
        <f>IF($B1491="","",IFERROR(INDEX(PecDesc,MATCH($B1491,PecCod,0)),"Peça não cadastrada"))</f>
        <v>0</v>
      </c>
      <c r="F1491" s="27">
        <f>IF($B1491="","",IF($D1491&lt;&gt;"",$D1491,IFERROR(INDEX(PecPreco,MATCH($B1491,PecCod,0)),0)))</f>
        <v>0</v>
      </c>
      <c r="G1491" s="27">
        <f>IF(OR($B1491="",$C1491=""),"",$C1491*$F1491)</f>
        <v>0</v>
      </c>
      <c r="H1491" s="27">
        <f>IF(OR($B1491="",$C1491=""),"",$C1491*IFERROR(INDEX(PecCusto,MATCH($B1491,PecCod,0)),0))</f>
        <v>0</v>
      </c>
      <c r="I1491" s="32">
        <f>IF($A1491="","",IFERROR(INDEX(OSStatus,MATCH($A1491,OSNum,0)),"OS inexistente"))</f>
        <v>0</v>
      </c>
      <c r="J1491" s="32">
        <f>IF($A1491="","",IF($I1491="OS inexistente","OS inexistente",IF($E1491="Peça não cadastrada","Peça não cadastrada","OK")))</f>
        <v>0</v>
      </c>
    </row>
    <row r="1492" spans="1:10">
      <c r="A1492" s="17"/>
      <c r="B1492" s="13"/>
      <c r="C1492" s="20"/>
      <c r="D1492" s="19"/>
      <c r="E1492" s="26">
        <f>IF($B1492="","",IFERROR(INDEX(PecDesc,MATCH($B1492,PecCod,0)),"Peça não cadastrada"))</f>
        <v>0</v>
      </c>
      <c r="F1492" s="27">
        <f>IF($B1492="","",IF($D1492&lt;&gt;"",$D1492,IFERROR(INDEX(PecPreco,MATCH($B1492,PecCod,0)),0)))</f>
        <v>0</v>
      </c>
      <c r="G1492" s="27">
        <f>IF(OR($B1492="",$C1492=""),"",$C1492*$F1492)</f>
        <v>0</v>
      </c>
      <c r="H1492" s="27">
        <f>IF(OR($B1492="",$C1492=""),"",$C1492*IFERROR(INDEX(PecCusto,MATCH($B1492,PecCod,0)),0))</f>
        <v>0</v>
      </c>
      <c r="I1492" s="32">
        <f>IF($A1492="","",IFERROR(INDEX(OSStatus,MATCH($A1492,OSNum,0)),"OS inexistente"))</f>
        <v>0</v>
      </c>
      <c r="J1492" s="32">
        <f>IF($A1492="","",IF($I1492="OS inexistente","OS inexistente",IF($E1492="Peça não cadastrada","Peça não cadastrada","OK")))</f>
        <v>0</v>
      </c>
    </row>
    <row r="1493" spans="1:10">
      <c r="A1493" s="17"/>
      <c r="B1493" s="13"/>
      <c r="C1493" s="20"/>
      <c r="D1493" s="19"/>
      <c r="E1493" s="26">
        <f>IF($B1493="","",IFERROR(INDEX(PecDesc,MATCH($B1493,PecCod,0)),"Peça não cadastrada"))</f>
        <v>0</v>
      </c>
      <c r="F1493" s="27">
        <f>IF($B1493="","",IF($D1493&lt;&gt;"",$D1493,IFERROR(INDEX(PecPreco,MATCH($B1493,PecCod,0)),0)))</f>
        <v>0</v>
      </c>
      <c r="G1493" s="27">
        <f>IF(OR($B1493="",$C1493=""),"",$C1493*$F1493)</f>
        <v>0</v>
      </c>
      <c r="H1493" s="27">
        <f>IF(OR($B1493="",$C1493=""),"",$C1493*IFERROR(INDEX(PecCusto,MATCH($B1493,PecCod,0)),0))</f>
        <v>0</v>
      </c>
      <c r="I1493" s="32">
        <f>IF($A1493="","",IFERROR(INDEX(OSStatus,MATCH($A1493,OSNum,0)),"OS inexistente"))</f>
        <v>0</v>
      </c>
      <c r="J1493" s="32">
        <f>IF($A1493="","",IF($I1493="OS inexistente","OS inexistente",IF($E1493="Peça não cadastrada","Peça não cadastrada","OK")))</f>
        <v>0</v>
      </c>
    </row>
    <row r="1494" spans="1:10">
      <c r="A1494" s="17"/>
      <c r="B1494" s="13"/>
      <c r="C1494" s="20"/>
      <c r="D1494" s="19"/>
      <c r="E1494" s="26">
        <f>IF($B1494="","",IFERROR(INDEX(PecDesc,MATCH($B1494,PecCod,0)),"Peça não cadastrada"))</f>
        <v>0</v>
      </c>
      <c r="F1494" s="27">
        <f>IF($B1494="","",IF($D1494&lt;&gt;"",$D1494,IFERROR(INDEX(PecPreco,MATCH($B1494,PecCod,0)),0)))</f>
        <v>0</v>
      </c>
      <c r="G1494" s="27">
        <f>IF(OR($B1494="",$C1494=""),"",$C1494*$F1494)</f>
        <v>0</v>
      </c>
      <c r="H1494" s="27">
        <f>IF(OR($B1494="",$C1494=""),"",$C1494*IFERROR(INDEX(PecCusto,MATCH($B1494,PecCod,0)),0))</f>
        <v>0</v>
      </c>
      <c r="I1494" s="32">
        <f>IF($A1494="","",IFERROR(INDEX(OSStatus,MATCH($A1494,OSNum,0)),"OS inexistente"))</f>
        <v>0</v>
      </c>
      <c r="J1494" s="32">
        <f>IF($A1494="","",IF($I1494="OS inexistente","OS inexistente",IF($E1494="Peça não cadastrada","Peça não cadastrada","OK")))</f>
        <v>0</v>
      </c>
    </row>
    <row r="1495" spans="1:10">
      <c r="A1495" s="17"/>
      <c r="B1495" s="13"/>
      <c r="C1495" s="20"/>
      <c r="D1495" s="19"/>
      <c r="E1495" s="26">
        <f>IF($B1495="","",IFERROR(INDEX(PecDesc,MATCH($B1495,PecCod,0)),"Peça não cadastrada"))</f>
        <v>0</v>
      </c>
      <c r="F1495" s="27">
        <f>IF($B1495="","",IF($D1495&lt;&gt;"",$D1495,IFERROR(INDEX(PecPreco,MATCH($B1495,PecCod,0)),0)))</f>
        <v>0</v>
      </c>
      <c r="G1495" s="27">
        <f>IF(OR($B1495="",$C1495=""),"",$C1495*$F1495)</f>
        <v>0</v>
      </c>
      <c r="H1495" s="27">
        <f>IF(OR($B1495="",$C1495=""),"",$C1495*IFERROR(INDEX(PecCusto,MATCH($B1495,PecCod,0)),0))</f>
        <v>0</v>
      </c>
      <c r="I1495" s="32">
        <f>IF($A1495="","",IFERROR(INDEX(OSStatus,MATCH($A1495,OSNum,0)),"OS inexistente"))</f>
        <v>0</v>
      </c>
      <c r="J1495" s="32">
        <f>IF($A1495="","",IF($I1495="OS inexistente","OS inexistente",IF($E1495="Peça não cadastrada","Peça não cadastrada","OK")))</f>
        <v>0</v>
      </c>
    </row>
    <row r="1496" spans="1:10">
      <c r="A1496" s="17"/>
      <c r="B1496" s="13"/>
      <c r="C1496" s="20"/>
      <c r="D1496" s="19"/>
      <c r="E1496" s="26">
        <f>IF($B1496="","",IFERROR(INDEX(PecDesc,MATCH($B1496,PecCod,0)),"Peça não cadastrada"))</f>
        <v>0</v>
      </c>
      <c r="F1496" s="27">
        <f>IF($B1496="","",IF($D1496&lt;&gt;"",$D1496,IFERROR(INDEX(PecPreco,MATCH($B1496,PecCod,0)),0)))</f>
        <v>0</v>
      </c>
      <c r="G1496" s="27">
        <f>IF(OR($B1496="",$C1496=""),"",$C1496*$F1496)</f>
        <v>0</v>
      </c>
      <c r="H1496" s="27">
        <f>IF(OR($B1496="",$C1496=""),"",$C1496*IFERROR(INDEX(PecCusto,MATCH($B1496,PecCod,0)),0))</f>
        <v>0</v>
      </c>
      <c r="I1496" s="32">
        <f>IF($A1496="","",IFERROR(INDEX(OSStatus,MATCH($A1496,OSNum,0)),"OS inexistente"))</f>
        <v>0</v>
      </c>
      <c r="J1496" s="32">
        <f>IF($A1496="","",IF($I1496="OS inexistente","OS inexistente",IF($E1496="Peça não cadastrada","Peça não cadastrada","OK")))</f>
        <v>0</v>
      </c>
    </row>
    <row r="1497" spans="1:10">
      <c r="A1497" s="17"/>
      <c r="B1497" s="13"/>
      <c r="C1497" s="20"/>
      <c r="D1497" s="19"/>
      <c r="E1497" s="26">
        <f>IF($B1497="","",IFERROR(INDEX(PecDesc,MATCH($B1497,PecCod,0)),"Peça não cadastrada"))</f>
        <v>0</v>
      </c>
      <c r="F1497" s="27">
        <f>IF($B1497="","",IF($D1497&lt;&gt;"",$D1497,IFERROR(INDEX(PecPreco,MATCH($B1497,PecCod,0)),0)))</f>
        <v>0</v>
      </c>
      <c r="G1497" s="27">
        <f>IF(OR($B1497="",$C1497=""),"",$C1497*$F1497)</f>
        <v>0</v>
      </c>
      <c r="H1497" s="27">
        <f>IF(OR($B1497="",$C1497=""),"",$C1497*IFERROR(INDEX(PecCusto,MATCH($B1497,PecCod,0)),0))</f>
        <v>0</v>
      </c>
      <c r="I1497" s="32">
        <f>IF($A1497="","",IFERROR(INDEX(OSStatus,MATCH($A1497,OSNum,0)),"OS inexistente"))</f>
        <v>0</v>
      </c>
      <c r="J1497" s="32">
        <f>IF($A1497="","",IF($I1497="OS inexistente","OS inexistente",IF($E1497="Peça não cadastrada","Peça não cadastrada","OK")))</f>
        <v>0</v>
      </c>
    </row>
    <row r="1498" spans="1:10">
      <c r="A1498" s="17"/>
      <c r="B1498" s="13"/>
      <c r="C1498" s="20"/>
      <c r="D1498" s="19"/>
      <c r="E1498" s="26">
        <f>IF($B1498="","",IFERROR(INDEX(PecDesc,MATCH($B1498,PecCod,0)),"Peça não cadastrada"))</f>
        <v>0</v>
      </c>
      <c r="F1498" s="27">
        <f>IF($B1498="","",IF($D1498&lt;&gt;"",$D1498,IFERROR(INDEX(PecPreco,MATCH($B1498,PecCod,0)),0)))</f>
        <v>0</v>
      </c>
      <c r="G1498" s="27">
        <f>IF(OR($B1498="",$C1498=""),"",$C1498*$F1498)</f>
        <v>0</v>
      </c>
      <c r="H1498" s="27">
        <f>IF(OR($B1498="",$C1498=""),"",$C1498*IFERROR(INDEX(PecCusto,MATCH($B1498,PecCod,0)),0))</f>
        <v>0</v>
      </c>
      <c r="I1498" s="32">
        <f>IF($A1498="","",IFERROR(INDEX(OSStatus,MATCH($A1498,OSNum,0)),"OS inexistente"))</f>
        <v>0</v>
      </c>
      <c r="J1498" s="32">
        <f>IF($A1498="","",IF($I1498="OS inexistente","OS inexistente",IF($E1498="Peça não cadastrada","Peça não cadastrada","OK")))</f>
        <v>0</v>
      </c>
    </row>
    <row r="1499" spans="1:10">
      <c r="A1499" s="17"/>
      <c r="B1499" s="13"/>
      <c r="C1499" s="20"/>
      <c r="D1499" s="19"/>
      <c r="E1499" s="26">
        <f>IF($B1499="","",IFERROR(INDEX(PecDesc,MATCH($B1499,PecCod,0)),"Peça não cadastrada"))</f>
        <v>0</v>
      </c>
      <c r="F1499" s="27">
        <f>IF($B1499="","",IF($D1499&lt;&gt;"",$D1499,IFERROR(INDEX(PecPreco,MATCH($B1499,PecCod,0)),0)))</f>
        <v>0</v>
      </c>
      <c r="G1499" s="27">
        <f>IF(OR($B1499="",$C1499=""),"",$C1499*$F1499)</f>
        <v>0</v>
      </c>
      <c r="H1499" s="27">
        <f>IF(OR($B1499="",$C1499=""),"",$C1499*IFERROR(INDEX(PecCusto,MATCH($B1499,PecCod,0)),0))</f>
        <v>0</v>
      </c>
      <c r="I1499" s="32">
        <f>IF($A1499="","",IFERROR(INDEX(OSStatus,MATCH($A1499,OSNum,0)),"OS inexistente"))</f>
        <v>0</v>
      </c>
      <c r="J1499" s="32">
        <f>IF($A1499="","",IF($I1499="OS inexistente","OS inexistente",IF($E1499="Peça não cadastrada","Peça não cadastrada","OK")))</f>
        <v>0</v>
      </c>
    </row>
    <row r="1500" spans="1:10">
      <c r="A1500" s="17"/>
      <c r="B1500" s="13"/>
      <c r="C1500" s="20"/>
      <c r="D1500" s="19"/>
      <c r="E1500" s="26">
        <f>IF($B1500="","",IFERROR(INDEX(PecDesc,MATCH($B1500,PecCod,0)),"Peça não cadastrada"))</f>
        <v>0</v>
      </c>
      <c r="F1500" s="27">
        <f>IF($B1500="","",IF($D1500&lt;&gt;"",$D1500,IFERROR(INDEX(PecPreco,MATCH($B1500,PecCod,0)),0)))</f>
        <v>0</v>
      </c>
      <c r="G1500" s="27">
        <f>IF(OR($B1500="",$C1500=""),"",$C1500*$F1500)</f>
        <v>0</v>
      </c>
      <c r="H1500" s="27">
        <f>IF(OR($B1500="",$C1500=""),"",$C1500*IFERROR(INDEX(PecCusto,MATCH($B1500,PecCod,0)),0))</f>
        <v>0</v>
      </c>
      <c r="I1500" s="32">
        <f>IF($A1500="","",IFERROR(INDEX(OSStatus,MATCH($A1500,OSNum,0)),"OS inexistente"))</f>
        <v>0</v>
      </c>
      <c r="J1500" s="32">
        <f>IF($A1500="","",IF($I1500="OS inexistente","OS inexistente",IF($E1500="Peça não cadastrada","Peça não cadastrada","OK")))</f>
        <v>0</v>
      </c>
    </row>
    <row r="1501" spans="1:10">
      <c r="A1501" s="17"/>
      <c r="B1501" s="13"/>
      <c r="C1501" s="20"/>
      <c r="D1501" s="19"/>
      <c r="E1501" s="26">
        <f>IF($B1501="","",IFERROR(INDEX(PecDesc,MATCH($B1501,PecCod,0)),"Peça não cadastrada"))</f>
        <v>0</v>
      </c>
      <c r="F1501" s="27">
        <f>IF($B1501="","",IF($D1501&lt;&gt;"",$D1501,IFERROR(INDEX(PecPreco,MATCH($B1501,PecCod,0)),0)))</f>
        <v>0</v>
      </c>
      <c r="G1501" s="27">
        <f>IF(OR($B1501="",$C1501=""),"",$C1501*$F1501)</f>
        <v>0</v>
      </c>
      <c r="H1501" s="27">
        <f>IF(OR($B1501="",$C1501=""),"",$C1501*IFERROR(INDEX(PecCusto,MATCH($B1501,PecCod,0)),0))</f>
        <v>0</v>
      </c>
      <c r="I1501" s="32">
        <f>IF($A1501="","",IFERROR(INDEX(OSStatus,MATCH($A1501,OSNum,0)),"OS inexistente"))</f>
        <v>0</v>
      </c>
      <c r="J1501" s="32">
        <f>IF($A1501="","",IF($I1501="OS inexistente","OS inexistente",IF($E1501="Peça não cadastrada","Peça não cadastrada","OK")))</f>
        <v>0</v>
      </c>
    </row>
    <row r="1502" spans="1:10">
      <c r="A1502" s="17"/>
      <c r="B1502" s="13"/>
      <c r="C1502" s="20"/>
      <c r="D1502" s="19"/>
      <c r="E1502" s="26">
        <f>IF($B1502="","",IFERROR(INDEX(PecDesc,MATCH($B1502,PecCod,0)),"Peça não cadastrada"))</f>
        <v>0</v>
      </c>
      <c r="F1502" s="27">
        <f>IF($B1502="","",IF($D1502&lt;&gt;"",$D1502,IFERROR(INDEX(PecPreco,MATCH($B1502,PecCod,0)),0)))</f>
        <v>0</v>
      </c>
      <c r="G1502" s="27">
        <f>IF(OR($B1502="",$C1502=""),"",$C1502*$F1502)</f>
        <v>0</v>
      </c>
      <c r="H1502" s="27">
        <f>IF(OR($B1502="",$C1502=""),"",$C1502*IFERROR(INDEX(PecCusto,MATCH($B1502,PecCod,0)),0))</f>
        <v>0</v>
      </c>
      <c r="I1502" s="32">
        <f>IF($A1502="","",IFERROR(INDEX(OSStatus,MATCH($A1502,OSNum,0)),"OS inexistente"))</f>
        <v>0</v>
      </c>
      <c r="J1502" s="32">
        <f>IF($A1502="","",IF($I1502="OS inexistente","OS inexistente",IF($E1502="Peça não cadastrada","Peça não cadastrada","OK")))</f>
        <v>0</v>
      </c>
    </row>
    <row r="1503" spans="1:10">
      <c r="A1503" s="17"/>
      <c r="B1503" s="13"/>
      <c r="C1503" s="20"/>
      <c r="D1503" s="19"/>
      <c r="E1503" s="26">
        <f>IF($B1503="","",IFERROR(INDEX(PecDesc,MATCH($B1503,PecCod,0)),"Peça não cadastrada"))</f>
        <v>0</v>
      </c>
      <c r="F1503" s="27">
        <f>IF($B1503="","",IF($D1503&lt;&gt;"",$D1503,IFERROR(INDEX(PecPreco,MATCH($B1503,PecCod,0)),0)))</f>
        <v>0</v>
      </c>
      <c r="G1503" s="27">
        <f>IF(OR($B1503="",$C1503=""),"",$C1503*$F1503)</f>
        <v>0</v>
      </c>
      <c r="H1503" s="27">
        <f>IF(OR($B1503="",$C1503=""),"",$C1503*IFERROR(INDEX(PecCusto,MATCH($B1503,PecCod,0)),0))</f>
        <v>0</v>
      </c>
      <c r="I1503" s="32">
        <f>IF($A1503="","",IFERROR(INDEX(OSStatus,MATCH($A1503,OSNum,0)),"OS inexistente"))</f>
        <v>0</v>
      </c>
      <c r="J1503" s="32">
        <f>IF($A1503="","",IF($I1503="OS inexistente","OS inexistente",IF($E1503="Peça não cadastrada","Peça não cadastrada","OK")))</f>
        <v>0</v>
      </c>
    </row>
    <row r="1504" spans="1:10">
      <c r="A1504" s="17"/>
      <c r="B1504" s="13"/>
      <c r="C1504" s="20"/>
      <c r="D1504" s="19"/>
      <c r="E1504" s="26">
        <f>IF($B1504="","",IFERROR(INDEX(PecDesc,MATCH($B1504,PecCod,0)),"Peça não cadastrada"))</f>
        <v>0</v>
      </c>
      <c r="F1504" s="27">
        <f>IF($B1504="","",IF($D1504&lt;&gt;"",$D1504,IFERROR(INDEX(PecPreco,MATCH($B1504,PecCod,0)),0)))</f>
        <v>0</v>
      </c>
      <c r="G1504" s="27">
        <f>IF(OR($B1504="",$C1504=""),"",$C1504*$F1504)</f>
        <v>0</v>
      </c>
      <c r="H1504" s="27">
        <f>IF(OR($B1504="",$C1504=""),"",$C1504*IFERROR(INDEX(PecCusto,MATCH($B1504,PecCod,0)),0))</f>
        <v>0</v>
      </c>
      <c r="I1504" s="32">
        <f>IF($A1504="","",IFERROR(INDEX(OSStatus,MATCH($A1504,OSNum,0)),"OS inexistente"))</f>
        <v>0</v>
      </c>
      <c r="J1504" s="32">
        <f>IF($A1504="","",IF($I1504="OS inexistente","OS inexistente",IF($E1504="Peça não cadastrada","Peça não cadastrada","OK")))</f>
        <v>0</v>
      </c>
    </row>
    <row r="1505" spans="1:10">
      <c r="A1505" s="17"/>
      <c r="B1505" s="13"/>
      <c r="C1505" s="20"/>
      <c r="D1505" s="19"/>
      <c r="E1505" s="26">
        <f>IF($B1505="","",IFERROR(INDEX(PecDesc,MATCH($B1505,PecCod,0)),"Peça não cadastrada"))</f>
        <v>0</v>
      </c>
      <c r="F1505" s="27">
        <f>IF($B1505="","",IF($D1505&lt;&gt;"",$D1505,IFERROR(INDEX(PecPreco,MATCH($B1505,PecCod,0)),0)))</f>
        <v>0</v>
      </c>
      <c r="G1505" s="27">
        <f>IF(OR($B1505="",$C1505=""),"",$C1505*$F1505)</f>
        <v>0</v>
      </c>
      <c r="H1505" s="27">
        <f>IF(OR($B1505="",$C1505=""),"",$C1505*IFERROR(INDEX(PecCusto,MATCH($B1505,PecCod,0)),0))</f>
        <v>0</v>
      </c>
      <c r="I1505" s="32">
        <f>IF($A1505="","",IFERROR(INDEX(OSStatus,MATCH($A1505,OSNum,0)),"OS inexistente"))</f>
        <v>0</v>
      </c>
      <c r="J1505" s="32">
        <f>IF($A1505="","",IF($I1505="OS inexistente","OS inexistente",IF($E1505="Peça não cadastrada","Peça não cadastrada","OK")))</f>
        <v>0</v>
      </c>
    </row>
    <row r="1506" spans="1:10">
      <c r="A1506" s="17"/>
      <c r="B1506" s="13"/>
      <c r="C1506" s="20"/>
      <c r="D1506" s="19"/>
      <c r="E1506" s="26">
        <f>IF($B1506="","",IFERROR(INDEX(PecDesc,MATCH($B1506,PecCod,0)),"Peça não cadastrada"))</f>
        <v>0</v>
      </c>
      <c r="F1506" s="27">
        <f>IF($B1506="","",IF($D1506&lt;&gt;"",$D1506,IFERROR(INDEX(PecPreco,MATCH($B1506,PecCod,0)),0)))</f>
        <v>0</v>
      </c>
      <c r="G1506" s="27">
        <f>IF(OR($B1506="",$C1506=""),"",$C1506*$F1506)</f>
        <v>0</v>
      </c>
      <c r="H1506" s="27">
        <f>IF(OR($B1506="",$C1506=""),"",$C1506*IFERROR(INDEX(PecCusto,MATCH($B1506,PecCod,0)),0))</f>
        <v>0</v>
      </c>
      <c r="I1506" s="32">
        <f>IF($A1506="","",IFERROR(INDEX(OSStatus,MATCH($A1506,OSNum,0)),"OS inexistente"))</f>
        <v>0</v>
      </c>
      <c r="J1506" s="32">
        <f>IF($A1506="","",IF($I1506="OS inexistente","OS inexistente",IF($E1506="Peça não cadastrada","Peça não cadastrada","OK")))</f>
        <v>0</v>
      </c>
    </row>
    <row r="1507" spans="1:10">
      <c r="A1507" s="17"/>
      <c r="B1507" s="13"/>
      <c r="C1507" s="20"/>
      <c r="D1507" s="19"/>
      <c r="E1507" s="26">
        <f>IF($B1507="","",IFERROR(INDEX(PecDesc,MATCH($B1507,PecCod,0)),"Peça não cadastrada"))</f>
        <v>0</v>
      </c>
      <c r="F1507" s="27">
        <f>IF($B1507="","",IF($D1507&lt;&gt;"",$D1507,IFERROR(INDEX(PecPreco,MATCH($B1507,PecCod,0)),0)))</f>
        <v>0</v>
      </c>
      <c r="G1507" s="27">
        <f>IF(OR($B1507="",$C1507=""),"",$C1507*$F1507)</f>
        <v>0</v>
      </c>
      <c r="H1507" s="27">
        <f>IF(OR($B1507="",$C1507=""),"",$C1507*IFERROR(INDEX(PecCusto,MATCH($B1507,PecCod,0)),0))</f>
        <v>0</v>
      </c>
      <c r="I1507" s="32">
        <f>IF($A1507="","",IFERROR(INDEX(OSStatus,MATCH($A1507,OSNum,0)),"OS inexistente"))</f>
        <v>0</v>
      </c>
      <c r="J1507" s="32">
        <f>IF($A1507="","",IF($I1507="OS inexistente","OS inexistente",IF($E1507="Peça não cadastrada","Peça não cadastrada","OK")))</f>
        <v>0</v>
      </c>
    </row>
    <row r="1508" spans="1:10">
      <c r="A1508" s="17"/>
      <c r="B1508" s="13"/>
      <c r="C1508" s="20"/>
      <c r="D1508" s="19"/>
      <c r="E1508" s="26">
        <f>IF($B1508="","",IFERROR(INDEX(PecDesc,MATCH($B1508,PecCod,0)),"Peça não cadastrada"))</f>
        <v>0</v>
      </c>
      <c r="F1508" s="27">
        <f>IF($B1508="","",IF($D1508&lt;&gt;"",$D1508,IFERROR(INDEX(PecPreco,MATCH($B1508,PecCod,0)),0)))</f>
        <v>0</v>
      </c>
      <c r="G1508" s="27">
        <f>IF(OR($B1508="",$C1508=""),"",$C1508*$F1508)</f>
        <v>0</v>
      </c>
      <c r="H1508" s="27">
        <f>IF(OR($B1508="",$C1508=""),"",$C1508*IFERROR(INDEX(PecCusto,MATCH($B1508,PecCod,0)),0))</f>
        <v>0</v>
      </c>
      <c r="I1508" s="32">
        <f>IF($A1508="","",IFERROR(INDEX(OSStatus,MATCH($A1508,OSNum,0)),"OS inexistente"))</f>
        <v>0</v>
      </c>
      <c r="J1508" s="32">
        <f>IF($A1508="","",IF($I1508="OS inexistente","OS inexistente",IF($E1508="Peça não cadastrada","Peça não cadastrada","OK")))</f>
        <v>0</v>
      </c>
    </row>
    <row r="1509" spans="1:10">
      <c r="A1509" s="17"/>
      <c r="B1509" s="13"/>
      <c r="C1509" s="20"/>
      <c r="D1509" s="19"/>
      <c r="E1509" s="26">
        <f>IF($B1509="","",IFERROR(INDEX(PecDesc,MATCH($B1509,PecCod,0)),"Peça não cadastrada"))</f>
        <v>0</v>
      </c>
      <c r="F1509" s="27">
        <f>IF($B1509="","",IF($D1509&lt;&gt;"",$D1509,IFERROR(INDEX(PecPreco,MATCH($B1509,PecCod,0)),0)))</f>
        <v>0</v>
      </c>
      <c r="G1509" s="27">
        <f>IF(OR($B1509="",$C1509=""),"",$C1509*$F1509)</f>
        <v>0</v>
      </c>
      <c r="H1509" s="27">
        <f>IF(OR($B1509="",$C1509=""),"",$C1509*IFERROR(INDEX(PecCusto,MATCH($B1509,PecCod,0)),0))</f>
        <v>0</v>
      </c>
      <c r="I1509" s="32">
        <f>IF($A1509="","",IFERROR(INDEX(OSStatus,MATCH($A1509,OSNum,0)),"OS inexistente"))</f>
        <v>0</v>
      </c>
      <c r="J1509" s="32">
        <f>IF($A1509="","",IF($I1509="OS inexistente","OS inexistente",IF($E1509="Peça não cadastrada","Peça não cadastrada","OK")))</f>
        <v>0</v>
      </c>
    </row>
    <row r="1510" spans="1:10">
      <c r="A1510" s="17"/>
      <c r="B1510" s="13"/>
      <c r="C1510" s="20"/>
      <c r="D1510" s="19"/>
      <c r="E1510" s="26">
        <f>IF($B1510="","",IFERROR(INDEX(PecDesc,MATCH($B1510,PecCod,0)),"Peça não cadastrada"))</f>
        <v>0</v>
      </c>
      <c r="F1510" s="27">
        <f>IF($B1510="","",IF($D1510&lt;&gt;"",$D1510,IFERROR(INDEX(PecPreco,MATCH($B1510,PecCod,0)),0)))</f>
        <v>0</v>
      </c>
      <c r="G1510" s="27">
        <f>IF(OR($B1510="",$C1510=""),"",$C1510*$F1510)</f>
        <v>0</v>
      </c>
      <c r="H1510" s="27">
        <f>IF(OR($B1510="",$C1510=""),"",$C1510*IFERROR(INDEX(PecCusto,MATCH($B1510,PecCod,0)),0))</f>
        <v>0</v>
      </c>
      <c r="I1510" s="32">
        <f>IF($A1510="","",IFERROR(INDEX(OSStatus,MATCH($A1510,OSNum,0)),"OS inexistente"))</f>
        <v>0</v>
      </c>
      <c r="J1510" s="32">
        <f>IF($A1510="","",IF($I1510="OS inexistente","OS inexistente",IF($E1510="Peça não cadastrada","Peça não cadastrada","OK")))</f>
        <v>0</v>
      </c>
    </row>
    <row r="1511" spans="1:10">
      <c r="A1511" s="17"/>
      <c r="B1511" s="13"/>
      <c r="C1511" s="20"/>
      <c r="D1511" s="19"/>
      <c r="E1511" s="26">
        <f>IF($B1511="","",IFERROR(INDEX(PecDesc,MATCH($B1511,PecCod,0)),"Peça não cadastrada"))</f>
        <v>0</v>
      </c>
      <c r="F1511" s="27">
        <f>IF($B1511="","",IF($D1511&lt;&gt;"",$D1511,IFERROR(INDEX(PecPreco,MATCH($B1511,PecCod,0)),0)))</f>
        <v>0</v>
      </c>
      <c r="G1511" s="27">
        <f>IF(OR($B1511="",$C1511=""),"",$C1511*$F1511)</f>
        <v>0</v>
      </c>
      <c r="H1511" s="27">
        <f>IF(OR($B1511="",$C1511=""),"",$C1511*IFERROR(INDEX(PecCusto,MATCH($B1511,PecCod,0)),0))</f>
        <v>0</v>
      </c>
      <c r="I1511" s="32">
        <f>IF($A1511="","",IFERROR(INDEX(OSStatus,MATCH($A1511,OSNum,0)),"OS inexistente"))</f>
        <v>0</v>
      </c>
      <c r="J1511" s="32">
        <f>IF($A1511="","",IF($I1511="OS inexistente","OS inexistente",IF($E1511="Peça não cadastrada","Peça não cadastrada","OK")))</f>
        <v>0</v>
      </c>
    </row>
    <row r="1512" spans="1:10">
      <c r="A1512" s="17"/>
      <c r="B1512" s="13"/>
      <c r="C1512" s="20"/>
      <c r="D1512" s="19"/>
      <c r="E1512" s="26">
        <f>IF($B1512="","",IFERROR(INDEX(PecDesc,MATCH($B1512,PecCod,0)),"Peça não cadastrada"))</f>
        <v>0</v>
      </c>
      <c r="F1512" s="27">
        <f>IF($B1512="","",IF($D1512&lt;&gt;"",$D1512,IFERROR(INDEX(PecPreco,MATCH($B1512,PecCod,0)),0)))</f>
        <v>0</v>
      </c>
      <c r="G1512" s="27">
        <f>IF(OR($B1512="",$C1512=""),"",$C1512*$F1512)</f>
        <v>0</v>
      </c>
      <c r="H1512" s="27">
        <f>IF(OR($B1512="",$C1512=""),"",$C1512*IFERROR(INDEX(PecCusto,MATCH($B1512,PecCod,0)),0))</f>
        <v>0</v>
      </c>
      <c r="I1512" s="32">
        <f>IF($A1512="","",IFERROR(INDEX(OSStatus,MATCH($A1512,OSNum,0)),"OS inexistente"))</f>
        <v>0</v>
      </c>
      <c r="J1512" s="32">
        <f>IF($A1512="","",IF($I1512="OS inexistente","OS inexistente",IF($E1512="Peça não cadastrada","Peça não cadastrada","OK")))</f>
        <v>0</v>
      </c>
    </row>
    <row r="1513" spans="1:10">
      <c r="A1513" s="17"/>
      <c r="B1513" s="13"/>
      <c r="C1513" s="20"/>
      <c r="D1513" s="19"/>
      <c r="E1513" s="26">
        <f>IF($B1513="","",IFERROR(INDEX(PecDesc,MATCH($B1513,PecCod,0)),"Peça não cadastrada"))</f>
        <v>0</v>
      </c>
      <c r="F1513" s="27">
        <f>IF($B1513="","",IF($D1513&lt;&gt;"",$D1513,IFERROR(INDEX(PecPreco,MATCH($B1513,PecCod,0)),0)))</f>
        <v>0</v>
      </c>
      <c r="G1513" s="27">
        <f>IF(OR($B1513="",$C1513=""),"",$C1513*$F1513)</f>
        <v>0</v>
      </c>
      <c r="H1513" s="27">
        <f>IF(OR($B1513="",$C1513=""),"",$C1513*IFERROR(INDEX(PecCusto,MATCH($B1513,PecCod,0)),0))</f>
        <v>0</v>
      </c>
      <c r="I1513" s="32">
        <f>IF($A1513="","",IFERROR(INDEX(OSStatus,MATCH($A1513,OSNum,0)),"OS inexistente"))</f>
        <v>0</v>
      </c>
      <c r="J1513" s="32">
        <f>IF($A1513="","",IF($I1513="OS inexistente","OS inexistente",IF($E1513="Peça não cadastrada","Peça não cadastrada","OK")))</f>
        <v>0</v>
      </c>
    </row>
    <row r="1514" spans="1:10">
      <c r="A1514" s="17"/>
      <c r="B1514" s="13"/>
      <c r="C1514" s="20"/>
      <c r="D1514" s="19"/>
      <c r="E1514" s="26">
        <f>IF($B1514="","",IFERROR(INDEX(PecDesc,MATCH($B1514,PecCod,0)),"Peça não cadastrada"))</f>
        <v>0</v>
      </c>
      <c r="F1514" s="27">
        <f>IF($B1514="","",IF($D1514&lt;&gt;"",$D1514,IFERROR(INDEX(PecPreco,MATCH($B1514,PecCod,0)),0)))</f>
        <v>0</v>
      </c>
      <c r="G1514" s="27">
        <f>IF(OR($B1514="",$C1514=""),"",$C1514*$F1514)</f>
        <v>0</v>
      </c>
      <c r="H1514" s="27">
        <f>IF(OR($B1514="",$C1514=""),"",$C1514*IFERROR(INDEX(PecCusto,MATCH($B1514,PecCod,0)),0))</f>
        <v>0</v>
      </c>
      <c r="I1514" s="32">
        <f>IF($A1514="","",IFERROR(INDEX(OSStatus,MATCH($A1514,OSNum,0)),"OS inexistente"))</f>
        <v>0</v>
      </c>
      <c r="J1514" s="32">
        <f>IF($A1514="","",IF($I1514="OS inexistente","OS inexistente",IF($E1514="Peça não cadastrada","Peça não cadastrada","OK")))</f>
        <v>0</v>
      </c>
    </row>
    <row r="1515" spans="1:10">
      <c r="A1515" s="17"/>
      <c r="B1515" s="13"/>
      <c r="C1515" s="20"/>
      <c r="D1515" s="19"/>
      <c r="E1515" s="26">
        <f>IF($B1515="","",IFERROR(INDEX(PecDesc,MATCH($B1515,PecCod,0)),"Peça não cadastrada"))</f>
        <v>0</v>
      </c>
      <c r="F1515" s="27">
        <f>IF($B1515="","",IF($D1515&lt;&gt;"",$D1515,IFERROR(INDEX(PecPreco,MATCH($B1515,PecCod,0)),0)))</f>
        <v>0</v>
      </c>
      <c r="G1515" s="27">
        <f>IF(OR($B1515="",$C1515=""),"",$C1515*$F1515)</f>
        <v>0</v>
      </c>
      <c r="H1515" s="27">
        <f>IF(OR($B1515="",$C1515=""),"",$C1515*IFERROR(INDEX(PecCusto,MATCH($B1515,PecCod,0)),0))</f>
        <v>0</v>
      </c>
      <c r="I1515" s="32">
        <f>IF($A1515="","",IFERROR(INDEX(OSStatus,MATCH($A1515,OSNum,0)),"OS inexistente"))</f>
        <v>0</v>
      </c>
      <c r="J1515" s="32">
        <f>IF($A1515="","",IF($I1515="OS inexistente","OS inexistente",IF($E1515="Peça não cadastrada","Peça não cadastrada","OK")))</f>
        <v>0</v>
      </c>
    </row>
    <row r="1516" spans="1:10">
      <c r="A1516" s="17"/>
      <c r="B1516" s="13"/>
      <c r="C1516" s="20"/>
      <c r="D1516" s="19"/>
      <c r="E1516" s="26">
        <f>IF($B1516="","",IFERROR(INDEX(PecDesc,MATCH($B1516,PecCod,0)),"Peça não cadastrada"))</f>
        <v>0</v>
      </c>
      <c r="F1516" s="27">
        <f>IF($B1516="","",IF($D1516&lt;&gt;"",$D1516,IFERROR(INDEX(PecPreco,MATCH($B1516,PecCod,0)),0)))</f>
        <v>0</v>
      </c>
      <c r="G1516" s="27">
        <f>IF(OR($B1516="",$C1516=""),"",$C1516*$F1516)</f>
        <v>0</v>
      </c>
      <c r="H1516" s="27">
        <f>IF(OR($B1516="",$C1516=""),"",$C1516*IFERROR(INDEX(PecCusto,MATCH($B1516,PecCod,0)),0))</f>
        <v>0</v>
      </c>
      <c r="I1516" s="32">
        <f>IF($A1516="","",IFERROR(INDEX(OSStatus,MATCH($A1516,OSNum,0)),"OS inexistente"))</f>
        <v>0</v>
      </c>
      <c r="J1516" s="32">
        <f>IF($A1516="","",IF($I1516="OS inexistente","OS inexistente",IF($E1516="Peça não cadastrada","Peça não cadastrada","OK")))</f>
        <v>0</v>
      </c>
    </row>
    <row r="1517" spans="1:10">
      <c r="A1517" s="17"/>
      <c r="B1517" s="13"/>
      <c r="C1517" s="20"/>
      <c r="D1517" s="19"/>
      <c r="E1517" s="26">
        <f>IF($B1517="","",IFERROR(INDEX(PecDesc,MATCH($B1517,PecCod,0)),"Peça não cadastrada"))</f>
        <v>0</v>
      </c>
      <c r="F1517" s="27">
        <f>IF($B1517="","",IF($D1517&lt;&gt;"",$D1517,IFERROR(INDEX(PecPreco,MATCH($B1517,PecCod,0)),0)))</f>
        <v>0</v>
      </c>
      <c r="G1517" s="27">
        <f>IF(OR($B1517="",$C1517=""),"",$C1517*$F1517)</f>
        <v>0</v>
      </c>
      <c r="H1517" s="27">
        <f>IF(OR($B1517="",$C1517=""),"",$C1517*IFERROR(INDEX(PecCusto,MATCH($B1517,PecCod,0)),0))</f>
        <v>0</v>
      </c>
      <c r="I1517" s="32">
        <f>IF($A1517="","",IFERROR(INDEX(OSStatus,MATCH($A1517,OSNum,0)),"OS inexistente"))</f>
        <v>0</v>
      </c>
      <c r="J1517" s="32">
        <f>IF($A1517="","",IF($I1517="OS inexistente","OS inexistente",IF($E1517="Peça não cadastrada","Peça não cadastrada","OK")))</f>
        <v>0</v>
      </c>
    </row>
    <row r="1518" spans="1:10">
      <c r="A1518" s="17"/>
      <c r="B1518" s="13"/>
      <c r="C1518" s="20"/>
      <c r="D1518" s="19"/>
      <c r="E1518" s="26">
        <f>IF($B1518="","",IFERROR(INDEX(PecDesc,MATCH($B1518,PecCod,0)),"Peça não cadastrada"))</f>
        <v>0</v>
      </c>
      <c r="F1518" s="27">
        <f>IF($B1518="","",IF($D1518&lt;&gt;"",$D1518,IFERROR(INDEX(PecPreco,MATCH($B1518,PecCod,0)),0)))</f>
        <v>0</v>
      </c>
      <c r="G1518" s="27">
        <f>IF(OR($B1518="",$C1518=""),"",$C1518*$F1518)</f>
        <v>0</v>
      </c>
      <c r="H1518" s="27">
        <f>IF(OR($B1518="",$C1518=""),"",$C1518*IFERROR(INDEX(PecCusto,MATCH($B1518,PecCod,0)),0))</f>
        <v>0</v>
      </c>
      <c r="I1518" s="32">
        <f>IF($A1518="","",IFERROR(INDEX(OSStatus,MATCH($A1518,OSNum,0)),"OS inexistente"))</f>
        <v>0</v>
      </c>
      <c r="J1518" s="32">
        <f>IF($A1518="","",IF($I1518="OS inexistente","OS inexistente",IF($E1518="Peça não cadastrada","Peça não cadastrada","OK")))</f>
        <v>0</v>
      </c>
    </row>
    <row r="1519" spans="1:10">
      <c r="A1519" s="17"/>
      <c r="B1519" s="13"/>
      <c r="C1519" s="20"/>
      <c r="D1519" s="19"/>
      <c r="E1519" s="26">
        <f>IF($B1519="","",IFERROR(INDEX(PecDesc,MATCH($B1519,PecCod,0)),"Peça não cadastrada"))</f>
        <v>0</v>
      </c>
      <c r="F1519" s="27">
        <f>IF($B1519="","",IF($D1519&lt;&gt;"",$D1519,IFERROR(INDEX(PecPreco,MATCH($B1519,PecCod,0)),0)))</f>
        <v>0</v>
      </c>
      <c r="G1519" s="27">
        <f>IF(OR($B1519="",$C1519=""),"",$C1519*$F1519)</f>
        <v>0</v>
      </c>
      <c r="H1519" s="27">
        <f>IF(OR($B1519="",$C1519=""),"",$C1519*IFERROR(INDEX(PecCusto,MATCH($B1519,PecCod,0)),0))</f>
        <v>0</v>
      </c>
      <c r="I1519" s="32">
        <f>IF($A1519="","",IFERROR(INDEX(OSStatus,MATCH($A1519,OSNum,0)),"OS inexistente"))</f>
        <v>0</v>
      </c>
      <c r="J1519" s="32">
        <f>IF($A1519="","",IF($I1519="OS inexistente","OS inexistente",IF($E1519="Peça não cadastrada","Peça não cadastrada","OK")))</f>
        <v>0</v>
      </c>
    </row>
    <row r="1520" spans="1:10">
      <c r="A1520" s="17"/>
      <c r="B1520" s="13"/>
      <c r="C1520" s="20"/>
      <c r="D1520" s="19"/>
      <c r="E1520" s="26">
        <f>IF($B1520="","",IFERROR(INDEX(PecDesc,MATCH($B1520,PecCod,0)),"Peça não cadastrada"))</f>
        <v>0</v>
      </c>
      <c r="F1520" s="27">
        <f>IF($B1520="","",IF($D1520&lt;&gt;"",$D1520,IFERROR(INDEX(PecPreco,MATCH($B1520,PecCod,0)),0)))</f>
        <v>0</v>
      </c>
      <c r="G1520" s="27">
        <f>IF(OR($B1520="",$C1520=""),"",$C1520*$F1520)</f>
        <v>0</v>
      </c>
      <c r="H1520" s="27">
        <f>IF(OR($B1520="",$C1520=""),"",$C1520*IFERROR(INDEX(PecCusto,MATCH($B1520,PecCod,0)),0))</f>
        <v>0</v>
      </c>
      <c r="I1520" s="32">
        <f>IF($A1520="","",IFERROR(INDEX(OSStatus,MATCH($A1520,OSNum,0)),"OS inexistente"))</f>
        <v>0</v>
      </c>
      <c r="J1520" s="32">
        <f>IF($A1520="","",IF($I1520="OS inexistente","OS inexistente",IF($E1520="Peça não cadastrada","Peça não cadastrada","OK")))</f>
        <v>0</v>
      </c>
    </row>
    <row r="1521" spans="1:10">
      <c r="A1521" s="17"/>
      <c r="B1521" s="13"/>
      <c r="C1521" s="20"/>
      <c r="D1521" s="19"/>
      <c r="E1521" s="26">
        <f>IF($B1521="","",IFERROR(INDEX(PecDesc,MATCH($B1521,PecCod,0)),"Peça não cadastrada"))</f>
        <v>0</v>
      </c>
      <c r="F1521" s="27">
        <f>IF($B1521="","",IF($D1521&lt;&gt;"",$D1521,IFERROR(INDEX(PecPreco,MATCH($B1521,PecCod,0)),0)))</f>
        <v>0</v>
      </c>
      <c r="G1521" s="27">
        <f>IF(OR($B1521="",$C1521=""),"",$C1521*$F1521)</f>
        <v>0</v>
      </c>
      <c r="H1521" s="27">
        <f>IF(OR($B1521="",$C1521=""),"",$C1521*IFERROR(INDEX(PecCusto,MATCH($B1521,PecCod,0)),0))</f>
        <v>0</v>
      </c>
      <c r="I1521" s="32">
        <f>IF($A1521="","",IFERROR(INDEX(OSStatus,MATCH($A1521,OSNum,0)),"OS inexistente"))</f>
        <v>0</v>
      </c>
      <c r="J1521" s="32">
        <f>IF($A1521="","",IF($I1521="OS inexistente","OS inexistente",IF($E1521="Peça não cadastrada","Peça não cadastrada","OK")))</f>
        <v>0</v>
      </c>
    </row>
    <row r="1522" spans="1:10">
      <c r="A1522" s="17"/>
      <c r="B1522" s="13"/>
      <c r="C1522" s="20"/>
      <c r="D1522" s="19"/>
      <c r="E1522" s="26">
        <f>IF($B1522="","",IFERROR(INDEX(PecDesc,MATCH($B1522,PecCod,0)),"Peça não cadastrada"))</f>
        <v>0</v>
      </c>
      <c r="F1522" s="27">
        <f>IF($B1522="","",IF($D1522&lt;&gt;"",$D1522,IFERROR(INDEX(PecPreco,MATCH($B1522,PecCod,0)),0)))</f>
        <v>0</v>
      </c>
      <c r="G1522" s="27">
        <f>IF(OR($B1522="",$C1522=""),"",$C1522*$F1522)</f>
        <v>0</v>
      </c>
      <c r="H1522" s="27">
        <f>IF(OR($B1522="",$C1522=""),"",$C1522*IFERROR(INDEX(PecCusto,MATCH($B1522,PecCod,0)),0))</f>
        <v>0</v>
      </c>
      <c r="I1522" s="32">
        <f>IF($A1522="","",IFERROR(INDEX(OSStatus,MATCH($A1522,OSNum,0)),"OS inexistente"))</f>
        <v>0</v>
      </c>
      <c r="J1522" s="32">
        <f>IF($A1522="","",IF($I1522="OS inexistente","OS inexistente",IF($E1522="Peça não cadastrada","Peça não cadastrada","OK")))</f>
        <v>0</v>
      </c>
    </row>
    <row r="1523" spans="1:10">
      <c r="A1523" s="17"/>
      <c r="B1523" s="13"/>
      <c r="C1523" s="20"/>
      <c r="D1523" s="19"/>
      <c r="E1523" s="26">
        <f>IF($B1523="","",IFERROR(INDEX(PecDesc,MATCH($B1523,PecCod,0)),"Peça não cadastrada"))</f>
        <v>0</v>
      </c>
      <c r="F1523" s="27">
        <f>IF($B1523="","",IF($D1523&lt;&gt;"",$D1523,IFERROR(INDEX(PecPreco,MATCH($B1523,PecCod,0)),0)))</f>
        <v>0</v>
      </c>
      <c r="G1523" s="27">
        <f>IF(OR($B1523="",$C1523=""),"",$C1523*$F1523)</f>
        <v>0</v>
      </c>
      <c r="H1523" s="27">
        <f>IF(OR($B1523="",$C1523=""),"",$C1523*IFERROR(INDEX(PecCusto,MATCH($B1523,PecCod,0)),0))</f>
        <v>0</v>
      </c>
      <c r="I1523" s="32">
        <f>IF($A1523="","",IFERROR(INDEX(OSStatus,MATCH($A1523,OSNum,0)),"OS inexistente"))</f>
        <v>0</v>
      </c>
      <c r="J1523" s="32">
        <f>IF($A1523="","",IF($I1523="OS inexistente","OS inexistente",IF($E1523="Peça não cadastrada","Peça não cadastrada","OK")))</f>
        <v>0</v>
      </c>
    </row>
    <row r="1524" spans="1:10">
      <c r="A1524" s="17"/>
      <c r="B1524" s="13"/>
      <c r="C1524" s="20"/>
      <c r="D1524" s="19"/>
      <c r="E1524" s="26">
        <f>IF($B1524="","",IFERROR(INDEX(PecDesc,MATCH($B1524,PecCod,0)),"Peça não cadastrada"))</f>
        <v>0</v>
      </c>
      <c r="F1524" s="27">
        <f>IF($B1524="","",IF($D1524&lt;&gt;"",$D1524,IFERROR(INDEX(PecPreco,MATCH($B1524,PecCod,0)),0)))</f>
        <v>0</v>
      </c>
      <c r="G1524" s="27">
        <f>IF(OR($B1524="",$C1524=""),"",$C1524*$F1524)</f>
        <v>0</v>
      </c>
      <c r="H1524" s="27">
        <f>IF(OR($B1524="",$C1524=""),"",$C1524*IFERROR(INDEX(PecCusto,MATCH($B1524,PecCod,0)),0))</f>
        <v>0</v>
      </c>
      <c r="I1524" s="32">
        <f>IF($A1524="","",IFERROR(INDEX(OSStatus,MATCH($A1524,OSNum,0)),"OS inexistente"))</f>
        <v>0</v>
      </c>
      <c r="J1524" s="32">
        <f>IF($A1524="","",IF($I1524="OS inexistente","OS inexistente",IF($E1524="Peça não cadastrada","Peça não cadastrada","OK")))</f>
        <v>0</v>
      </c>
    </row>
    <row r="1525" spans="1:10">
      <c r="A1525" s="17"/>
      <c r="B1525" s="13"/>
      <c r="C1525" s="20"/>
      <c r="D1525" s="19"/>
      <c r="E1525" s="26">
        <f>IF($B1525="","",IFERROR(INDEX(PecDesc,MATCH($B1525,PecCod,0)),"Peça não cadastrada"))</f>
        <v>0</v>
      </c>
      <c r="F1525" s="27">
        <f>IF($B1525="","",IF($D1525&lt;&gt;"",$D1525,IFERROR(INDEX(PecPreco,MATCH($B1525,PecCod,0)),0)))</f>
        <v>0</v>
      </c>
      <c r="G1525" s="27">
        <f>IF(OR($B1525="",$C1525=""),"",$C1525*$F1525)</f>
        <v>0</v>
      </c>
      <c r="H1525" s="27">
        <f>IF(OR($B1525="",$C1525=""),"",$C1525*IFERROR(INDEX(PecCusto,MATCH($B1525,PecCod,0)),0))</f>
        <v>0</v>
      </c>
      <c r="I1525" s="32">
        <f>IF($A1525="","",IFERROR(INDEX(OSStatus,MATCH($A1525,OSNum,0)),"OS inexistente"))</f>
        <v>0</v>
      </c>
      <c r="J1525" s="32">
        <f>IF($A1525="","",IF($I1525="OS inexistente","OS inexistente",IF($E1525="Peça não cadastrada","Peça não cadastrada","OK")))</f>
        <v>0</v>
      </c>
    </row>
    <row r="1526" spans="1:10">
      <c r="A1526" s="17"/>
      <c r="B1526" s="13"/>
      <c r="C1526" s="20"/>
      <c r="D1526" s="19"/>
      <c r="E1526" s="26">
        <f>IF($B1526="","",IFERROR(INDEX(PecDesc,MATCH($B1526,PecCod,0)),"Peça não cadastrada"))</f>
        <v>0</v>
      </c>
      <c r="F1526" s="27">
        <f>IF($B1526="","",IF($D1526&lt;&gt;"",$D1526,IFERROR(INDEX(PecPreco,MATCH($B1526,PecCod,0)),0)))</f>
        <v>0</v>
      </c>
      <c r="G1526" s="27">
        <f>IF(OR($B1526="",$C1526=""),"",$C1526*$F1526)</f>
        <v>0</v>
      </c>
      <c r="H1526" s="27">
        <f>IF(OR($B1526="",$C1526=""),"",$C1526*IFERROR(INDEX(PecCusto,MATCH($B1526,PecCod,0)),0))</f>
        <v>0</v>
      </c>
      <c r="I1526" s="32">
        <f>IF($A1526="","",IFERROR(INDEX(OSStatus,MATCH($A1526,OSNum,0)),"OS inexistente"))</f>
        <v>0</v>
      </c>
      <c r="J1526" s="32">
        <f>IF($A1526="","",IF($I1526="OS inexistente","OS inexistente",IF($E1526="Peça não cadastrada","Peça não cadastrada","OK")))</f>
        <v>0</v>
      </c>
    </row>
    <row r="1527" spans="1:10">
      <c r="A1527" s="17"/>
      <c r="B1527" s="13"/>
      <c r="C1527" s="20"/>
      <c r="D1527" s="19"/>
      <c r="E1527" s="26">
        <f>IF($B1527="","",IFERROR(INDEX(PecDesc,MATCH($B1527,PecCod,0)),"Peça não cadastrada"))</f>
        <v>0</v>
      </c>
      <c r="F1527" s="27">
        <f>IF($B1527="","",IF($D1527&lt;&gt;"",$D1527,IFERROR(INDEX(PecPreco,MATCH($B1527,PecCod,0)),0)))</f>
        <v>0</v>
      </c>
      <c r="G1527" s="27">
        <f>IF(OR($B1527="",$C1527=""),"",$C1527*$F1527)</f>
        <v>0</v>
      </c>
      <c r="H1527" s="27">
        <f>IF(OR($B1527="",$C1527=""),"",$C1527*IFERROR(INDEX(PecCusto,MATCH($B1527,PecCod,0)),0))</f>
        <v>0</v>
      </c>
      <c r="I1527" s="32">
        <f>IF($A1527="","",IFERROR(INDEX(OSStatus,MATCH($A1527,OSNum,0)),"OS inexistente"))</f>
        <v>0</v>
      </c>
      <c r="J1527" s="32">
        <f>IF($A1527="","",IF($I1527="OS inexistente","OS inexistente",IF($E1527="Peça não cadastrada","Peça não cadastrada","OK")))</f>
        <v>0</v>
      </c>
    </row>
    <row r="1528" spans="1:10">
      <c r="A1528" s="17"/>
      <c r="B1528" s="13"/>
      <c r="C1528" s="20"/>
      <c r="D1528" s="19"/>
      <c r="E1528" s="26">
        <f>IF($B1528="","",IFERROR(INDEX(PecDesc,MATCH($B1528,PecCod,0)),"Peça não cadastrada"))</f>
        <v>0</v>
      </c>
      <c r="F1528" s="27">
        <f>IF($B1528="","",IF($D1528&lt;&gt;"",$D1528,IFERROR(INDEX(PecPreco,MATCH($B1528,PecCod,0)),0)))</f>
        <v>0</v>
      </c>
      <c r="G1528" s="27">
        <f>IF(OR($B1528="",$C1528=""),"",$C1528*$F1528)</f>
        <v>0</v>
      </c>
      <c r="H1528" s="27">
        <f>IF(OR($B1528="",$C1528=""),"",$C1528*IFERROR(INDEX(PecCusto,MATCH($B1528,PecCod,0)),0))</f>
        <v>0</v>
      </c>
      <c r="I1528" s="32">
        <f>IF($A1528="","",IFERROR(INDEX(OSStatus,MATCH($A1528,OSNum,0)),"OS inexistente"))</f>
        <v>0</v>
      </c>
      <c r="J1528" s="32">
        <f>IF($A1528="","",IF($I1528="OS inexistente","OS inexistente",IF($E1528="Peça não cadastrada","Peça não cadastrada","OK")))</f>
        <v>0</v>
      </c>
    </row>
    <row r="1529" spans="1:10">
      <c r="A1529" s="17"/>
      <c r="B1529" s="13"/>
      <c r="C1529" s="20"/>
      <c r="D1529" s="19"/>
      <c r="E1529" s="26">
        <f>IF($B1529="","",IFERROR(INDEX(PecDesc,MATCH($B1529,PecCod,0)),"Peça não cadastrada"))</f>
        <v>0</v>
      </c>
      <c r="F1529" s="27">
        <f>IF($B1529="","",IF($D1529&lt;&gt;"",$D1529,IFERROR(INDEX(PecPreco,MATCH($B1529,PecCod,0)),0)))</f>
        <v>0</v>
      </c>
      <c r="G1529" s="27">
        <f>IF(OR($B1529="",$C1529=""),"",$C1529*$F1529)</f>
        <v>0</v>
      </c>
      <c r="H1529" s="27">
        <f>IF(OR($B1529="",$C1529=""),"",$C1529*IFERROR(INDEX(PecCusto,MATCH($B1529,PecCod,0)),0))</f>
        <v>0</v>
      </c>
      <c r="I1529" s="32">
        <f>IF($A1529="","",IFERROR(INDEX(OSStatus,MATCH($A1529,OSNum,0)),"OS inexistente"))</f>
        <v>0</v>
      </c>
      <c r="J1529" s="32">
        <f>IF($A1529="","",IF($I1529="OS inexistente","OS inexistente",IF($E1529="Peça não cadastrada","Peça não cadastrada","OK")))</f>
        <v>0</v>
      </c>
    </row>
    <row r="1530" spans="1:10">
      <c r="A1530" s="17"/>
      <c r="B1530" s="13"/>
      <c r="C1530" s="20"/>
      <c r="D1530" s="19"/>
      <c r="E1530" s="26">
        <f>IF($B1530="","",IFERROR(INDEX(PecDesc,MATCH($B1530,PecCod,0)),"Peça não cadastrada"))</f>
        <v>0</v>
      </c>
      <c r="F1530" s="27">
        <f>IF($B1530="","",IF($D1530&lt;&gt;"",$D1530,IFERROR(INDEX(PecPreco,MATCH($B1530,PecCod,0)),0)))</f>
        <v>0</v>
      </c>
      <c r="G1530" s="27">
        <f>IF(OR($B1530="",$C1530=""),"",$C1530*$F1530)</f>
        <v>0</v>
      </c>
      <c r="H1530" s="27">
        <f>IF(OR($B1530="",$C1530=""),"",$C1530*IFERROR(INDEX(PecCusto,MATCH($B1530,PecCod,0)),0))</f>
        <v>0</v>
      </c>
      <c r="I1530" s="32">
        <f>IF($A1530="","",IFERROR(INDEX(OSStatus,MATCH($A1530,OSNum,0)),"OS inexistente"))</f>
        <v>0</v>
      </c>
      <c r="J1530" s="32">
        <f>IF($A1530="","",IF($I1530="OS inexistente","OS inexistente",IF($E1530="Peça não cadastrada","Peça não cadastrada","OK")))</f>
        <v>0</v>
      </c>
    </row>
    <row r="1531" spans="1:10">
      <c r="A1531" s="17"/>
      <c r="B1531" s="13"/>
      <c r="C1531" s="20"/>
      <c r="D1531" s="19"/>
      <c r="E1531" s="26">
        <f>IF($B1531="","",IFERROR(INDEX(PecDesc,MATCH($B1531,PecCod,0)),"Peça não cadastrada"))</f>
        <v>0</v>
      </c>
      <c r="F1531" s="27">
        <f>IF($B1531="","",IF($D1531&lt;&gt;"",$D1531,IFERROR(INDEX(PecPreco,MATCH($B1531,PecCod,0)),0)))</f>
        <v>0</v>
      </c>
      <c r="G1531" s="27">
        <f>IF(OR($B1531="",$C1531=""),"",$C1531*$F1531)</f>
        <v>0</v>
      </c>
      <c r="H1531" s="27">
        <f>IF(OR($B1531="",$C1531=""),"",$C1531*IFERROR(INDEX(PecCusto,MATCH($B1531,PecCod,0)),0))</f>
        <v>0</v>
      </c>
      <c r="I1531" s="32">
        <f>IF($A1531="","",IFERROR(INDEX(OSStatus,MATCH($A1531,OSNum,0)),"OS inexistente"))</f>
        <v>0</v>
      </c>
      <c r="J1531" s="32">
        <f>IF($A1531="","",IF($I1531="OS inexistente","OS inexistente",IF($E1531="Peça não cadastrada","Peça não cadastrada","OK")))</f>
        <v>0</v>
      </c>
    </row>
    <row r="1532" spans="1:10">
      <c r="A1532" s="17"/>
      <c r="B1532" s="13"/>
      <c r="C1532" s="20"/>
      <c r="D1532" s="19"/>
      <c r="E1532" s="26">
        <f>IF($B1532="","",IFERROR(INDEX(PecDesc,MATCH($B1532,PecCod,0)),"Peça não cadastrada"))</f>
        <v>0</v>
      </c>
      <c r="F1532" s="27">
        <f>IF($B1532="","",IF($D1532&lt;&gt;"",$D1532,IFERROR(INDEX(PecPreco,MATCH($B1532,PecCod,0)),0)))</f>
        <v>0</v>
      </c>
      <c r="G1532" s="27">
        <f>IF(OR($B1532="",$C1532=""),"",$C1532*$F1532)</f>
        <v>0</v>
      </c>
      <c r="H1532" s="27">
        <f>IF(OR($B1532="",$C1532=""),"",$C1532*IFERROR(INDEX(PecCusto,MATCH($B1532,PecCod,0)),0))</f>
        <v>0</v>
      </c>
      <c r="I1532" s="32">
        <f>IF($A1532="","",IFERROR(INDEX(OSStatus,MATCH($A1532,OSNum,0)),"OS inexistente"))</f>
        <v>0</v>
      </c>
      <c r="J1532" s="32">
        <f>IF($A1532="","",IF($I1532="OS inexistente","OS inexistente",IF($E1532="Peça não cadastrada","Peça não cadastrada","OK")))</f>
        <v>0</v>
      </c>
    </row>
    <row r="1533" spans="1:10">
      <c r="A1533" s="17"/>
      <c r="B1533" s="13"/>
      <c r="C1533" s="20"/>
      <c r="D1533" s="19"/>
      <c r="E1533" s="26">
        <f>IF($B1533="","",IFERROR(INDEX(PecDesc,MATCH($B1533,PecCod,0)),"Peça não cadastrada"))</f>
        <v>0</v>
      </c>
      <c r="F1533" s="27">
        <f>IF($B1533="","",IF($D1533&lt;&gt;"",$D1533,IFERROR(INDEX(PecPreco,MATCH($B1533,PecCod,0)),0)))</f>
        <v>0</v>
      </c>
      <c r="G1533" s="27">
        <f>IF(OR($B1533="",$C1533=""),"",$C1533*$F1533)</f>
        <v>0</v>
      </c>
      <c r="H1533" s="27">
        <f>IF(OR($B1533="",$C1533=""),"",$C1533*IFERROR(INDEX(PecCusto,MATCH($B1533,PecCod,0)),0))</f>
        <v>0</v>
      </c>
      <c r="I1533" s="32">
        <f>IF($A1533="","",IFERROR(INDEX(OSStatus,MATCH($A1533,OSNum,0)),"OS inexistente"))</f>
        <v>0</v>
      </c>
      <c r="J1533" s="32">
        <f>IF($A1533="","",IF($I1533="OS inexistente","OS inexistente",IF($E1533="Peça não cadastrada","Peça não cadastrada","OK")))</f>
        <v>0</v>
      </c>
    </row>
    <row r="1534" spans="1:10">
      <c r="A1534" s="17"/>
      <c r="B1534" s="13"/>
      <c r="C1534" s="20"/>
      <c r="D1534" s="19"/>
      <c r="E1534" s="26">
        <f>IF($B1534="","",IFERROR(INDEX(PecDesc,MATCH($B1534,PecCod,0)),"Peça não cadastrada"))</f>
        <v>0</v>
      </c>
      <c r="F1534" s="27">
        <f>IF($B1534="","",IF($D1534&lt;&gt;"",$D1534,IFERROR(INDEX(PecPreco,MATCH($B1534,PecCod,0)),0)))</f>
        <v>0</v>
      </c>
      <c r="G1534" s="27">
        <f>IF(OR($B1534="",$C1534=""),"",$C1534*$F1534)</f>
        <v>0</v>
      </c>
      <c r="H1534" s="27">
        <f>IF(OR($B1534="",$C1534=""),"",$C1534*IFERROR(INDEX(PecCusto,MATCH($B1534,PecCod,0)),0))</f>
        <v>0</v>
      </c>
      <c r="I1534" s="32">
        <f>IF($A1534="","",IFERROR(INDEX(OSStatus,MATCH($A1534,OSNum,0)),"OS inexistente"))</f>
        <v>0</v>
      </c>
      <c r="J1534" s="32">
        <f>IF($A1534="","",IF($I1534="OS inexistente","OS inexistente",IF($E1534="Peça não cadastrada","Peça não cadastrada","OK")))</f>
        <v>0</v>
      </c>
    </row>
    <row r="1535" spans="1:10">
      <c r="A1535" s="17"/>
      <c r="B1535" s="13"/>
      <c r="C1535" s="20"/>
      <c r="D1535" s="19"/>
      <c r="E1535" s="26">
        <f>IF($B1535="","",IFERROR(INDEX(PecDesc,MATCH($B1535,PecCod,0)),"Peça não cadastrada"))</f>
        <v>0</v>
      </c>
      <c r="F1535" s="27">
        <f>IF($B1535="","",IF($D1535&lt;&gt;"",$D1535,IFERROR(INDEX(PecPreco,MATCH($B1535,PecCod,0)),0)))</f>
        <v>0</v>
      </c>
      <c r="G1535" s="27">
        <f>IF(OR($B1535="",$C1535=""),"",$C1535*$F1535)</f>
        <v>0</v>
      </c>
      <c r="H1535" s="27">
        <f>IF(OR($B1535="",$C1535=""),"",$C1535*IFERROR(INDEX(PecCusto,MATCH($B1535,PecCod,0)),0))</f>
        <v>0</v>
      </c>
      <c r="I1535" s="32">
        <f>IF($A1535="","",IFERROR(INDEX(OSStatus,MATCH($A1535,OSNum,0)),"OS inexistente"))</f>
        <v>0</v>
      </c>
      <c r="J1535" s="32">
        <f>IF($A1535="","",IF($I1535="OS inexistente","OS inexistente",IF($E1535="Peça não cadastrada","Peça não cadastrada","OK")))</f>
        <v>0</v>
      </c>
    </row>
    <row r="1536" spans="1:10">
      <c r="A1536" s="17"/>
      <c r="B1536" s="13"/>
      <c r="C1536" s="20"/>
      <c r="D1536" s="19"/>
      <c r="E1536" s="26">
        <f>IF($B1536="","",IFERROR(INDEX(PecDesc,MATCH($B1536,PecCod,0)),"Peça não cadastrada"))</f>
        <v>0</v>
      </c>
      <c r="F1536" s="27">
        <f>IF($B1536="","",IF($D1536&lt;&gt;"",$D1536,IFERROR(INDEX(PecPreco,MATCH($B1536,PecCod,0)),0)))</f>
        <v>0</v>
      </c>
      <c r="G1536" s="27">
        <f>IF(OR($B1536="",$C1536=""),"",$C1536*$F1536)</f>
        <v>0</v>
      </c>
      <c r="H1536" s="27">
        <f>IF(OR($B1536="",$C1536=""),"",$C1536*IFERROR(INDEX(PecCusto,MATCH($B1536,PecCod,0)),0))</f>
        <v>0</v>
      </c>
      <c r="I1536" s="32">
        <f>IF($A1536="","",IFERROR(INDEX(OSStatus,MATCH($A1536,OSNum,0)),"OS inexistente"))</f>
        <v>0</v>
      </c>
      <c r="J1536" s="32">
        <f>IF($A1536="","",IF($I1536="OS inexistente","OS inexistente",IF($E1536="Peça não cadastrada","Peça não cadastrada","OK")))</f>
        <v>0</v>
      </c>
    </row>
    <row r="1537" spans="1:10">
      <c r="A1537" s="17"/>
      <c r="B1537" s="13"/>
      <c r="C1537" s="20"/>
      <c r="D1537" s="19"/>
      <c r="E1537" s="26">
        <f>IF($B1537="","",IFERROR(INDEX(PecDesc,MATCH($B1537,PecCod,0)),"Peça não cadastrada"))</f>
        <v>0</v>
      </c>
      <c r="F1537" s="27">
        <f>IF($B1537="","",IF($D1537&lt;&gt;"",$D1537,IFERROR(INDEX(PecPreco,MATCH($B1537,PecCod,0)),0)))</f>
        <v>0</v>
      </c>
      <c r="G1537" s="27">
        <f>IF(OR($B1537="",$C1537=""),"",$C1537*$F1537)</f>
        <v>0</v>
      </c>
      <c r="H1537" s="27">
        <f>IF(OR($B1537="",$C1537=""),"",$C1537*IFERROR(INDEX(PecCusto,MATCH($B1537,PecCod,0)),0))</f>
        <v>0</v>
      </c>
      <c r="I1537" s="32">
        <f>IF($A1537="","",IFERROR(INDEX(OSStatus,MATCH($A1537,OSNum,0)),"OS inexistente"))</f>
        <v>0</v>
      </c>
      <c r="J1537" s="32">
        <f>IF($A1537="","",IF($I1537="OS inexistente","OS inexistente",IF($E1537="Peça não cadastrada","Peça não cadastrada","OK")))</f>
        <v>0</v>
      </c>
    </row>
    <row r="1538" spans="1:10">
      <c r="A1538" s="17"/>
      <c r="B1538" s="13"/>
      <c r="C1538" s="20"/>
      <c r="D1538" s="19"/>
      <c r="E1538" s="26">
        <f>IF($B1538="","",IFERROR(INDEX(PecDesc,MATCH($B1538,PecCod,0)),"Peça não cadastrada"))</f>
        <v>0</v>
      </c>
      <c r="F1538" s="27">
        <f>IF($B1538="","",IF($D1538&lt;&gt;"",$D1538,IFERROR(INDEX(PecPreco,MATCH($B1538,PecCod,0)),0)))</f>
        <v>0</v>
      </c>
      <c r="G1538" s="27">
        <f>IF(OR($B1538="",$C1538=""),"",$C1538*$F1538)</f>
        <v>0</v>
      </c>
      <c r="H1538" s="27">
        <f>IF(OR($B1538="",$C1538=""),"",$C1538*IFERROR(INDEX(PecCusto,MATCH($B1538,PecCod,0)),0))</f>
        <v>0</v>
      </c>
      <c r="I1538" s="32">
        <f>IF($A1538="","",IFERROR(INDEX(OSStatus,MATCH($A1538,OSNum,0)),"OS inexistente"))</f>
        <v>0</v>
      </c>
      <c r="J1538" s="32">
        <f>IF($A1538="","",IF($I1538="OS inexistente","OS inexistente",IF($E1538="Peça não cadastrada","Peça não cadastrada","OK")))</f>
        <v>0</v>
      </c>
    </row>
    <row r="1539" spans="1:10">
      <c r="A1539" s="17"/>
      <c r="B1539" s="13"/>
      <c r="C1539" s="20"/>
      <c r="D1539" s="19"/>
      <c r="E1539" s="26">
        <f>IF($B1539="","",IFERROR(INDEX(PecDesc,MATCH($B1539,PecCod,0)),"Peça não cadastrada"))</f>
        <v>0</v>
      </c>
      <c r="F1539" s="27">
        <f>IF($B1539="","",IF($D1539&lt;&gt;"",$D1539,IFERROR(INDEX(PecPreco,MATCH($B1539,PecCod,0)),0)))</f>
        <v>0</v>
      </c>
      <c r="G1539" s="27">
        <f>IF(OR($B1539="",$C1539=""),"",$C1539*$F1539)</f>
        <v>0</v>
      </c>
      <c r="H1539" s="27">
        <f>IF(OR($B1539="",$C1539=""),"",$C1539*IFERROR(INDEX(PecCusto,MATCH($B1539,PecCod,0)),0))</f>
        <v>0</v>
      </c>
      <c r="I1539" s="32">
        <f>IF($A1539="","",IFERROR(INDEX(OSStatus,MATCH($A1539,OSNum,0)),"OS inexistente"))</f>
        <v>0</v>
      </c>
      <c r="J1539" s="32">
        <f>IF($A1539="","",IF($I1539="OS inexistente","OS inexistente",IF($E1539="Peça não cadastrada","Peça não cadastrada","OK")))</f>
        <v>0</v>
      </c>
    </row>
    <row r="1540" spans="1:10">
      <c r="A1540" s="17"/>
      <c r="B1540" s="13"/>
      <c r="C1540" s="20"/>
      <c r="D1540" s="19"/>
      <c r="E1540" s="26">
        <f>IF($B1540="","",IFERROR(INDEX(PecDesc,MATCH($B1540,PecCod,0)),"Peça não cadastrada"))</f>
        <v>0</v>
      </c>
      <c r="F1540" s="27">
        <f>IF($B1540="","",IF($D1540&lt;&gt;"",$D1540,IFERROR(INDEX(PecPreco,MATCH($B1540,PecCod,0)),0)))</f>
        <v>0</v>
      </c>
      <c r="G1540" s="27">
        <f>IF(OR($B1540="",$C1540=""),"",$C1540*$F1540)</f>
        <v>0</v>
      </c>
      <c r="H1540" s="27">
        <f>IF(OR($B1540="",$C1540=""),"",$C1540*IFERROR(INDEX(PecCusto,MATCH($B1540,PecCod,0)),0))</f>
        <v>0</v>
      </c>
      <c r="I1540" s="32">
        <f>IF($A1540="","",IFERROR(INDEX(OSStatus,MATCH($A1540,OSNum,0)),"OS inexistente"))</f>
        <v>0</v>
      </c>
      <c r="J1540" s="32">
        <f>IF($A1540="","",IF($I1540="OS inexistente","OS inexistente",IF($E1540="Peça não cadastrada","Peça não cadastrada","OK")))</f>
        <v>0</v>
      </c>
    </row>
    <row r="1541" spans="1:10">
      <c r="A1541" s="17"/>
      <c r="B1541" s="13"/>
      <c r="C1541" s="20"/>
      <c r="D1541" s="19"/>
      <c r="E1541" s="26">
        <f>IF($B1541="","",IFERROR(INDEX(PecDesc,MATCH($B1541,PecCod,0)),"Peça não cadastrada"))</f>
        <v>0</v>
      </c>
      <c r="F1541" s="27">
        <f>IF($B1541="","",IF($D1541&lt;&gt;"",$D1541,IFERROR(INDEX(PecPreco,MATCH($B1541,PecCod,0)),0)))</f>
        <v>0</v>
      </c>
      <c r="G1541" s="27">
        <f>IF(OR($B1541="",$C1541=""),"",$C1541*$F1541)</f>
        <v>0</v>
      </c>
      <c r="H1541" s="27">
        <f>IF(OR($B1541="",$C1541=""),"",$C1541*IFERROR(INDEX(PecCusto,MATCH($B1541,PecCod,0)),0))</f>
        <v>0</v>
      </c>
      <c r="I1541" s="32">
        <f>IF($A1541="","",IFERROR(INDEX(OSStatus,MATCH($A1541,OSNum,0)),"OS inexistente"))</f>
        <v>0</v>
      </c>
      <c r="J1541" s="32">
        <f>IF($A1541="","",IF($I1541="OS inexistente","OS inexistente",IF($E1541="Peça não cadastrada","Peça não cadastrada","OK")))</f>
        <v>0</v>
      </c>
    </row>
    <row r="1542" spans="1:10">
      <c r="A1542" s="17"/>
      <c r="B1542" s="13"/>
      <c r="C1542" s="20"/>
      <c r="D1542" s="19"/>
      <c r="E1542" s="26">
        <f>IF($B1542="","",IFERROR(INDEX(PecDesc,MATCH($B1542,PecCod,0)),"Peça não cadastrada"))</f>
        <v>0</v>
      </c>
      <c r="F1542" s="27">
        <f>IF($B1542="","",IF($D1542&lt;&gt;"",$D1542,IFERROR(INDEX(PecPreco,MATCH($B1542,PecCod,0)),0)))</f>
        <v>0</v>
      </c>
      <c r="G1542" s="27">
        <f>IF(OR($B1542="",$C1542=""),"",$C1542*$F1542)</f>
        <v>0</v>
      </c>
      <c r="H1542" s="27">
        <f>IF(OR($B1542="",$C1542=""),"",$C1542*IFERROR(INDEX(PecCusto,MATCH($B1542,PecCod,0)),0))</f>
        <v>0</v>
      </c>
      <c r="I1542" s="32">
        <f>IF($A1542="","",IFERROR(INDEX(OSStatus,MATCH($A1542,OSNum,0)),"OS inexistente"))</f>
        <v>0</v>
      </c>
      <c r="J1542" s="32">
        <f>IF($A1542="","",IF($I1542="OS inexistente","OS inexistente",IF($E1542="Peça não cadastrada","Peça não cadastrada","OK")))</f>
        <v>0</v>
      </c>
    </row>
    <row r="1543" spans="1:10">
      <c r="A1543" s="17"/>
      <c r="B1543" s="13"/>
      <c r="C1543" s="20"/>
      <c r="D1543" s="19"/>
      <c r="E1543" s="26">
        <f>IF($B1543="","",IFERROR(INDEX(PecDesc,MATCH($B1543,PecCod,0)),"Peça não cadastrada"))</f>
        <v>0</v>
      </c>
      <c r="F1543" s="27">
        <f>IF($B1543="","",IF($D1543&lt;&gt;"",$D1543,IFERROR(INDEX(PecPreco,MATCH($B1543,PecCod,0)),0)))</f>
        <v>0</v>
      </c>
      <c r="G1543" s="27">
        <f>IF(OR($B1543="",$C1543=""),"",$C1543*$F1543)</f>
        <v>0</v>
      </c>
      <c r="H1543" s="27">
        <f>IF(OR($B1543="",$C1543=""),"",$C1543*IFERROR(INDEX(PecCusto,MATCH($B1543,PecCod,0)),0))</f>
        <v>0</v>
      </c>
      <c r="I1543" s="32">
        <f>IF($A1543="","",IFERROR(INDEX(OSStatus,MATCH($A1543,OSNum,0)),"OS inexistente"))</f>
        <v>0</v>
      </c>
      <c r="J1543" s="32">
        <f>IF($A1543="","",IF($I1543="OS inexistente","OS inexistente",IF($E1543="Peça não cadastrada","Peça não cadastrada","OK")))</f>
        <v>0</v>
      </c>
    </row>
    <row r="1544" spans="1:10">
      <c r="A1544" s="17"/>
      <c r="B1544" s="13"/>
      <c r="C1544" s="20"/>
      <c r="D1544" s="19"/>
      <c r="E1544" s="26">
        <f>IF($B1544="","",IFERROR(INDEX(PecDesc,MATCH($B1544,PecCod,0)),"Peça não cadastrada"))</f>
        <v>0</v>
      </c>
      <c r="F1544" s="27">
        <f>IF($B1544="","",IF($D1544&lt;&gt;"",$D1544,IFERROR(INDEX(PecPreco,MATCH($B1544,PecCod,0)),0)))</f>
        <v>0</v>
      </c>
      <c r="G1544" s="27">
        <f>IF(OR($B1544="",$C1544=""),"",$C1544*$F1544)</f>
        <v>0</v>
      </c>
      <c r="H1544" s="27">
        <f>IF(OR($B1544="",$C1544=""),"",$C1544*IFERROR(INDEX(PecCusto,MATCH($B1544,PecCod,0)),0))</f>
        <v>0</v>
      </c>
      <c r="I1544" s="32">
        <f>IF($A1544="","",IFERROR(INDEX(OSStatus,MATCH($A1544,OSNum,0)),"OS inexistente"))</f>
        <v>0</v>
      </c>
      <c r="J1544" s="32">
        <f>IF($A1544="","",IF($I1544="OS inexistente","OS inexistente",IF($E1544="Peça não cadastrada","Peça não cadastrada","OK")))</f>
        <v>0</v>
      </c>
    </row>
    <row r="1545" spans="1:10">
      <c r="A1545" s="17"/>
      <c r="B1545" s="13"/>
      <c r="C1545" s="20"/>
      <c r="D1545" s="19"/>
      <c r="E1545" s="26">
        <f>IF($B1545="","",IFERROR(INDEX(PecDesc,MATCH($B1545,PecCod,0)),"Peça não cadastrada"))</f>
        <v>0</v>
      </c>
      <c r="F1545" s="27">
        <f>IF($B1545="","",IF($D1545&lt;&gt;"",$D1545,IFERROR(INDEX(PecPreco,MATCH($B1545,PecCod,0)),0)))</f>
        <v>0</v>
      </c>
      <c r="G1545" s="27">
        <f>IF(OR($B1545="",$C1545=""),"",$C1545*$F1545)</f>
        <v>0</v>
      </c>
      <c r="H1545" s="27">
        <f>IF(OR($B1545="",$C1545=""),"",$C1545*IFERROR(INDEX(PecCusto,MATCH($B1545,PecCod,0)),0))</f>
        <v>0</v>
      </c>
      <c r="I1545" s="32">
        <f>IF($A1545="","",IFERROR(INDEX(OSStatus,MATCH($A1545,OSNum,0)),"OS inexistente"))</f>
        <v>0</v>
      </c>
      <c r="J1545" s="32">
        <f>IF($A1545="","",IF($I1545="OS inexistente","OS inexistente",IF($E1545="Peça não cadastrada","Peça não cadastrada","OK")))</f>
        <v>0</v>
      </c>
    </row>
    <row r="1546" spans="1:10">
      <c r="A1546" s="17"/>
      <c r="B1546" s="13"/>
      <c r="C1546" s="20"/>
      <c r="D1546" s="19"/>
      <c r="E1546" s="26">
        <f>IF($B1546="","",IFERROR(INDEX(PecDesc,MATCH($B1546,PecCod,0)),"Peça não cadastrada"))</f>
        <v>0</v>
      </c>
      <c r="F1546" s="27">
        <f>IF($B1546="","",IF($D1546&lt;&gt;"",$D1546,IFERROR(INDEX(PecPreco,MATCH($B1546,PecCod,0)),0)))</f>
        <v>0</v>
      </c>
      <c r="G1546" s="27">
        <f>IF(OR($B1546="",$C1546=""),"",$C1546*$F1546)</f>
        <v>0</v>
      </c>
      <c r="H1546" s="27">
        <f>IF(OR($B1546="",$C1546=""),"",$C1546*IFERROR(INDEX(PecCusto,MATCH($B1546,PecCod,0)),0))</f>
        <v>0</v>
      </c>
      <c r="I1546" s="32">
        <f>IF($A1546="","",IFERROR(INDEX(OSStatus,MATCH($A1546,OSNum,0)),"OS inexistente"))</f>
        <v>0</v>
      </c>
      <c r="J1546" s="32">
        <f>IF($A1546="","",IF($I1546="OS inexistente","OS inexistente",IF($E1546="Peça não cadastrada","Peça não cadastrada","OK")))</f>
        <v>0</v>
      </c>
    </row>
    <row r="1547" spans="1:10">
      <c r="A1547" s="17"/>
      <c r="B1547" s="13"/>
      <c r="C1547" s="20"/>
      <c r="D1547" s="19"/>
      <c r="E1547" s="26">
        <f>IF($B1547="","",IFERROR(INDEX(PecDesc,MATCH($B1547,PecCod,0)),"Peça não cadastrada"))</f>
        <v>0</v>
      </c>
      <c r="F1547" s="27">
        <f>IF($B1547="","",IF($D1547&lt;&gt;"",$D1547,IFERROR(INDEX(PecPreco,MATCH($B1547,PecCod,0)),0)))</f>
        <v>0</v>
      </c>
      <c r="G1547" s="27">
        <f>IF(OR($B1547="",$C1547=""),"",$C1547*$F1547)</f>
        <v>0</v>
      </c>
      <c r="H1547" s="27">
        <f>IF(OR($B1547="",$C1547=""),"",$C1547*IFERROR(INDEX(PecCusto,MATCH($B1547,PecCod,0)),0))</f>
        <v>0</v>
      </c>
      <c r="I1547" s="32">
        <f>IF($A1547="","",IFERROR(INDEX(OSStatus,MATCH($A1547,OSNum,0)),"OS inexistente"))</f>
        <v>0</v>
      </c>
      <c r="J1547" s="32">
        <f>IF($A1547="","",IF($I1547="OS inexistente","OS inexistente",IF($E1547="Peça não cadastrada","Peça não cadastrada","OK")))</f>
        <v>0</v>
      </c>
    </row>
    <row r="1548" spans="1:10">
      <c r="A1548" s="17"/>
      <c r="B1548" s="13"/>
      <c r="C1548" s="20"/>
      <c r="D1548" s="19"/>
      <c r="E1548" s="26">
        <f>IF($B1548="","",IFERROR(INDEX(PecDesc,MATCH($B1548,PecCod,0)),"Peça não cadastrada"))</f>
        <v>0</v>
      </c>
      <c r="F1548" s="27">
        <f>IF($B1548="","",IF($D1548&lt;&gt;"",$D1548,IFERROR(INDEX(PecPreco,MATCH($B1548,PecCod,0)),0)))</f>
        <v>0</v>
      </c>
      <c r="G1548" s="27">
        <f>IF(OR($B1548="",$C1548=""),"",$C1548*$F1548)</f>
        <v>0</v>
      </c>
      <c r="H1548" s="27">
        <f>IF(OR($B1548="",$C1548=""),"",$C1548*IFERROR(INDEX(PecCusto,MATCH($B1548,PecCod,0)),0))</f>
        <v>0</v>
      </c>
      <c r="I1548" s="32">
        <f>IF($A1548="","",IFERROR(INDEX(OSStatus,MATCH($A1548,OSNum,0)),"OS inexistente"))</f>
        <v>0</v>
      </c>
      <c r="J1548" s="32">
        <f>IF($A1548="","",IF($I1548="OS inexistente","OS inexistente",IF($E1548="Peça não cadastrada","Peça não cadastrada","OK")))</f>
        <v>0</v>
      </c>
    </row>
    <row r="1549" spans="1:10">
      <c r="A1549" s="17"/>
      <c r="B1549" s="13"/>
      <c r="C1549" s="20"/>
      <c r="D1549" s="19"/>
      <c r="E1549" s="26">
        <f>IF($B1549="","",IFERROR(INDEX(PecDesc,MATCH($B1549,PecCod,0)),"Peça não cadastrada"))</f>
        <v>0</v>
      </c>
      <c r="F1549" s="27">
        <f>IF($B1549="","",IF($D1549&lt;&gt;"",$D1549,IFERROR(INDEX(PecPreco,MATCH($B1549,PecCod,0)),0)))</f>
        <v>0</v>
      </c>
      <c r="G1549" s="27">
        <f>IF(OR($B1549="",$C1549=""),"",$C1549*$F1549)</f>
        <v>0</v>
      </c>
      <c r="H1549" s="27">
        <f>IF(OR($B1549="",$C1549=""),"",$C1549*IFERROR(INDEX(PecCusto,MATCH($B1549,PecCod,0)),0))</f>
        <v>0</v>
      </c>
      <c r="I1549" s="32">
        <f>IF($A1549="","",IFERROR(INDEX(OSStatus,MATCH($A1549,OSNum,0)),"OS inexistente"))</f>
        <v>0</v>
      </c>
      <c r="J1549" s="32">
        <f>IF($A1549="","",IF($I1549="OS inexistente","OS inexistente",IF($E1549="Peça não cadastrada","Peça não cadastrada","OK")))</f>
        <v>0</v>
      </c>
    </row>
    <row r="1550" spans="1:10">
      <c r="A1550" s="17"/>
      <c r="B1550" s="13"/>
      <c r="C1550" s="20"/>
      <c r="D1550" s="19"/>
      <c r="E1550" s="26">
        <f>IF($B1550="","",IFERROR(INDEX(PecDesc,MATCH($B1550,PecCod,0)),"Peça não cadastrada"))</f>
        <v>0</v>
      </c>
      <c r="F1550" s="27">
        <f>IF($B1550="","",IF($D1550&lt;&gt;"",$D1550,IFERROR(INDEX(PecPreco,MATCH($B1550,PecCod,0)),0)))</f>
        <v>0</v>
      </c>
      <c r="G1550" s="27">
        <f>IF(OR($B1550="",$C1550=""),"",$C1550*$F1550)</f>
        <v>0</v>
      </c>
      <c r="H1550" s="27">
        <f>IF(OR($B1550="",$C1550=""),"",$C1550*IFERROR(INDEX(PecCusto,MATCH($B1550,PecCod,0)),0))</f>
        <v>0</v>
      </c>
      <c r="I1550" s="32">
        <f>IF($A1550="","",IFERROR(INDEX(OSStatus,MATCH($A1550,OSNum,0)),"OS inexistente"))</f>
        <v>0</v>
      </c>
      <c r="J1550" s="32">
        <f>IF($A1550="","",IF($I1550="OS inexistente","OS inexistente",IF($E1550="Peça não cadastrada","Peça não cadastrada","OK")))</f>
        <v>0</v>
      </c>
    </row>
    <row r="1551" spans="1:10">
      <c r="A1551" s="17"/>
      <c r="B1551" s="13"/>
      <c r="C1551" s="20"/>
      <c r="D1551" s="19"/>
      <c r="E1551" s="26">
        <f>IF($B1551="","",IFERROR(INDEX(PecDesc,MATCH($B1551,PecCod,0)),"Peça não cadastrada"))</f>
        <v>0</v>
      </c>
      <c r="F1551" s="27">
        <f>IF($B1551="","",IF($D1551&lt;&gt;"",$D1551,IFERROR(INDEX(PecPreco,MATCH($B1551,PecCod,0)),0)))</f>
        <v>0</v>
      </c>
      <c r="G1551" s="27">
        <f>IF(OR($B1551="",$C1551=""),"",$C1551*$F1551)</f>
        <v>0</v>
      </c>
      <c r="H1551" s="27">
        <f>IF(OR($B1551="",$C1551=""),"",$C1551*IFERROR(INDEX(PecCusto,MATCH($B1551,PecCod,0)),0))</f>
        <v>0</v>
      </c>
      <c r="I1551" s="32">
        <f>IF($A1551="","",IFERROR(INDEX(OSStatus,MATCH($A1551,OSNum,0)),"OS inexistente"))</f>
        <v>0</v>
      </c>
      <c r="J1551" s="32">
        <f>IF($A1551="","",IF($I1551="OS inexistente","OS inexistente",IF($E1551="Peça não cadastrada","Peça não cadastrada","OK")))</f>
        <v>0</v>
      </c>
    </row>
    <row r="1552" spans="1:10">
      <c r="A1552" s="17"/>
      <c r="B1552" s="13"/>
      <c r="C1552" s="20"/>
      <c r="D1552" s="19"/>
      <c r="E1552" s="26">
        <f>IF($B1552="","",IFERROR(INDEX(PecDesc,MATCH($B1552,PecCod,0)),"Peça não cadastrada"))</f>
        <v>0</v>
      </c>
      <c r="F1552" s="27">
        <f>IF($B1552="","",IF($D1552&lt;&gt;"",$D1552,IFERROR(INDEX(PecPreco,MATCH($B1552,PecCod,0)),0)))</f>
        <v>0</v>
      </c>
      <c r="G1552" s="27">
        <f>IF(OR($B1552="",$C1552=""),"",$C1552*$F1552)</f>
        <v>0</v>
      </c>
      <c r="H1552" s="27">
        <f>IF(OR($B1552="",$C1552=""),"",$C1552*IFERROR(INDEX(PecCusto,MATCH($B1552,PecCod,0)),0))</f>
        <v>0</v>
      </c>
      <c r="I1552" s="32">
        <f>IF($A1552="","",IFERROR(INDEX(OSStatus,MATCH($A1552,OSNum,0)),"OS inexistente"))</f>
        <v>0</v>
      </c>
      <c r="J1552" s="32">
        <f>IF($A1552="","",IF($I1552="OS inexistente","OS inexistente",IF($E1552="Peça não cadastrada","Peça não cadastrada","OK")))</f>
        <v>0</v>
      </c>
    </row>
    <row r="1553" spans="1:10">
      <c r="A1553" s="17"/>
      <c r="B1553" s="13"/>
      <c r="C1553" s="20"/>
      <c r="D1553" s="19"/>
      <c r="E1553" s="26">
        <f>IF($B1553="","",IFERROR(INDEX(PecDesc,MATCH($B1553,PecCod,0)),"Peça não cadastrada"))</f>
        <v>0</v>
      </c>
      <c r="F1553" s="27">
        <f>IF($B1553="","",IF($D1553&lt;&gt;"",$D1553,IFERROR(INDEX(PecPreco,MATCH($B1553,PecCod,0)),0)))</f>
        <v>0</v>
      </c>
      <c r="G1553" s="27">
        <f>IF(OR($B1553="",$C1553=""),"",$C1553*$F1553)</f>
        <v>0</v>
      </c>
      <c r="H1553" s="27">
        <f>IF(OR($B1553="",$C1553=""),"",$C1553*IFERROR(INDEX(PecCusto,MATCH($B1553,PecCod,0)),0))</f>
        <v>0</v>
      </c>
      <c r="I1553" s="32">
        <f>IF($A1553="","",IFERROR(INDEX(OSStatus,MATCH($A1553,OSNum,0)),"OS inexistente"))</f>
        <v>0</v>
      </c>
      <c r="J1553" s="32">
        <f>IF($A1553="","",IF($I1553="OS inexistente","OS inexistente",IF($E1553="Peça não cadastrada","Peça não cadastrada","OK")))</f>
        <v>0</v>
      </c>
    </row>
    <row r="1554" spans="1:10">
      <c r="A1554" s="17"/>
      <c r="B1554" s="13"/>
      <c r="C1554" s="20"/>
      <c r="D1554" s="19"/>
      <c r="E1554" s="26">
        <f>IF($B1554="","",IFERROR(INDEX(PecDesc,MATCH($B1554,PecCod,0)),"Peça não cadastrada"))</f>
        <v>0</v>
      </c>
      <c r="F1554" s="27">
        <f>IF($B1554="","",IF($D1554&lt;&gt;"",$D1554,IFERROR(INDEX(PecPreco,MATCH($B1554,PecCod,0)),0)))</f>
        <v>0</v>
      </c>
      <c r="G1554" s="27">
        <f>IF(OR($B1554="",$C1554=""),"",$C1554*$F1554)</f>
        <v>0</v>
      </c>
      <c r="H1554" s="27">
        <f>IF(OR($B1554="",$C1554=""),"",$C1554*IFERROR(INDEX(PecCusto,MATCH($B1554,PecCod,0)),0))</f>
        <v>0</v>
      </c>
      <c r="I1554" s="32">
        <f>IF($A1554="","",IFERROR(INDEX(OSStatus,MATCH($A1554,OSNum,0)),"OS inexistente"))</f>
        <v>0</v>
      </c>
      <c r="J1554" s="32">
        <f>IF($A1554="","",IF($I1554="OS inexistente","OS inexistente",IF($E1554="Peça não cadastrada","Peça não cadastrada","OK")))</f>
        <v>0</v>
      </c>
    </row>
    <row r="1555" spans="1:10">
      <c r="A1555" s="17"/>
      <c r="B1555" s="13"/>
      <c r="C1555" s="20"/>
      <c r="D1555" s="19"/>
      <c r="E1555" s="26">
        <f>IF($B1555="","",IFERROR(INDEX(PecDesc,MATCH($B1555,PecCod,0)),"Peça não cadastrada"))</f>
        <v>0</v>
      </c>
      <c r="F1555" s="27">
        <f>IF($B1555="","",IF($D1555&lt;&gt;"",$D1555,IFERROR(INDEX(PecPreco,MATCH($B1555,PecCod,0)),0)))</f>
        <v>0</v>
      </c>
      <c r="G1555" s="27">
        <f>IF(OR($B1555="",$C1555=""),"",$C1555*$F1555)</f>
        <v>0</v>
      </c>
      <c r="H1555" s="27">
        <f>IF(OR($B1555="",$C1555=""),"",$C1555*IFERROR(INDEX(PecCusto,MATCH($B1555,PecCod,0)),0))</f>
        <v>0</v>
      </c>
      <c r="I1555" s="32">
        <f>IF($A1555="","",IFERROR(INDEX(OSStatus,MATCH($A1555,OSNum,0)),"OS inexistente"))</f>
        <v>0</v>
      </c>
      <c r="J1555" s="32">
        <f>IF($A1555="","",IF($I1555="OS inexistente","OS inexistente",IF($E1555="Peça não cadastrada","Peça não cadastrada","OK")))</f>
        <v>0</v>
      </c>
    </row>
    <row r="1556" spans="1:10">
      <c r="A1556" s="17"/>
      <c r="B1556" s="13"/>
      <c r="C1556" s="20"/>
      <c r="D1556" s="19"/>
      <c r="E1556" s="26">
        <f>IF($B1556="","",IFERROR(INDEX(PecDesc,MATCH($B1556,PecCod,0)),"Peça não cadastrada"))</f>
        <v>0</v>
      </c>
      <c r="F1556" s="27">
        <f>IF($B1556="","",IF($D1556&lt;&gt;"",$D1556,IFERROR(INDEX(PecPreco,MATCH($B1556,PecCod,0)),0)))</f>
        <v>0</v>
      </c>
      <c r="G1556" s="27">
        <f>IF(OR($B1556="",$C1556=""),"",$C1556*$F1556)</f>
        <v>0</v>
      </c>
      <c r="H1556" s="27">
        <f>IF(OR($B1556="",$C1556=""),"",$C1556*IFERROR(INDEX(PecCusto,MATCH($B1556,PecCod,0)),0))</f>
        <v>0</v>
      </c>
      <c r="I1556" s="32">
        <f>IF($A1556="","",IFERROR(INDEX(OSStatus,MATCH($A1556,OSNum,0)),"OS inexistente"))</f>
        <v>0</v>
      </c>
      <c r="J1556" s="32">
        <f>IF($A1556="","",IF($I1556="OS inexistente","OS inexistente",IF($E1556="Peça não cadastrada","Peça não cadastrada","OK")))</f>
        <v>0</v>
      </c>
    </row>
    <row r="1557" spans="1:10">
      <c r="A1557" s="17"/>
      <c r="B1557" s="13"/>
      <c r="C1557" s="20"/>
      <c r="D1557" s="19"/>
      <c r="E1557" s="26">
        <f>IF($B1557="","",IFERROR(INDEX(PecDesc,MATCH($B1557,PecCod,0)),"Peça não cadastrada"))</f>
        <v>0</v>
      </c>
      <c r="F1557" s="27">
        <f>IF($B1557="","",IF($D1557&lt;&gt;"",$D1557,IFERROR(INDEX(PecPreco,MATCH($B1557,PecCod,0)),0)))</f>
        <v>0</v>
      </c>
      <c r="G1557" s="27">
        <f>IF(OR($B1557="",$C1557=""),"",$C1557*$F1557)</f>
        <v>0</v>
      </c>
      <c r="H1557" s="27">
        <f>IF(OR($B1557="",$C1557=""),"",$C1557*IFERROR(INDEX(PecCusto,MATCH($B1557,PecCod,0)),0))</f>
        <v>0</v>
      </c>
      <c r="I1557" s="32">
        <f>IF($A1557="","",IFERROR(INDEX(OSStatus,MATCH($A1557,OSNum,0)),"OS inexistente"))</f>
        <v>0</v>
      </c>
      <c r="J1557" s="32">
        <f>IF($A1557="","",IF($I1557="OS inexistente","OS inexistente",IF($E1557="Peça não cadastrada","Peça não cadastrada","OK")))</f>
        <v>0</v>
      </c>
    </row>
    <row r="1558" spans="1:10">
      <c r="A1558" s="17"/>
      <c r="B1558" s="13"/>
      <c r="C1558" s="20"/>
      <c r="D1558" s="19"/>
      <c r="E1558" s="26">
        <f>IF($B1558="","",IFERROR(INDEX(PecDesc,MATCH($B1558,PecCod,0)),"Peça não cadastrada"))</f>
        <v>0</v>
      </c>
      <c r="F1558" s="27">
        <f>IF($B1558="","",IF($D1558&lt;&gt;"",$D1558,IFERROR(INDEX(PecPreco,MATCH($B1558,PecCod,0)),0)))</f>
        <v>0</v>
      </c>
      <c r="G1558" s="27">
        <f>IF(OR($B1558="",$C1558=""),"",$C1558*$F1558)</f>
        <v>0</v>
      </c>
      <c r="H1558" s="27">
        <f>IF(OR($B1558="",$C1558=""),"",$C1558*IFERROR(INDEX(PecCusto,MATCH($B1558,PecCod,0)),0))</f>
        <v>0</v>
      </c>
      <c r="I1558" s="32">
        <f>IF($A1558="","",IFERROR(INDEX(OSStatus,MATCH($A1558,OSNum,0)),"OS inexistente"))</f>
        <v>0</v>
      </c>
      <c r="J1558" s="32">
        <f>IF($A1558="","",IF($I1558="OS inexistente","OS inexistente",IF($E1558="Peça não cadastrada","Peça não cadastrada","OK")))</f>
        <v>0</v>
      </c>
    </row>
    <row r="1559" spans="1:10">
      <c r="A1559" s="17"/>
      <c r="B1559" s="13"/>
      <c r="C1559" s="20"/>
      <c r="D1559" s="19"/>
      <c r="E1559" s="26">
        <f>IF($B1559="","",IFERROR(INDEX(PecDesc,MATCH($B1559,PecCod,0)),"Peça não cadastrada"))</f>
        <v>0</v>
      </c>
      <c r="F1559" s="27">
        <f>IF($B1559="","",IF($D1559&lt;&gt;"",$D1559,IFERROR(INDEX(PecPreco,MATCH($B1559,PecCod,0)),0)))</f>
        <v>0</v>
      </c>
      <c r="G1559" s="27">
        <f>IF(OR($B1559="",$C1559=""),"",$C1559*$F1559)</f>
        <v>0</v>
      </c>
      <c r="H1559" s="27">
        <f>IF(OR($B1559="",$C1559=""),"",$C1559*IFERROR(INDEX(PecCusto,MATCH($B1559,PecCod,0)),0))</f>
        <v>0</v>
      </c>
      <c r="I1559" s="32">
        <f>IF($A1559="","",IFERROR(INDEX(OSStatus,MATCH($A1559,OSNum,0)),"OS inexistente"))</f>
        <v>0</v>
      </c>
      <c r="J1559" s="32">
        <f>IF($A1559="","",IF($I1559="OS inexistente","OS inexistente",IF($E1559="Peça não cadastrada","Peça não cadastrada","OK")))</f>
        <v>0</v>
      </c>
    </row>
    <row r="1560" spans="1:10">
      <c r="A1560" s="17"/>
      <c r="B1560" s="13"/>
      <c r="C1560" s="20"/>
      <c r="D1560" s="19"/>
      <c r="E1560" s="26">
        <f>IF($B1560="","",IFERROR(INDEX(PecDesc,MATCH($B1560,PecCod,0)),"Peça não cadastrada"))</f>
        <v>0</v>
      </c>
      <c r="F1560" s="27">
        <f>IF($B1560="","",IF($D1560&lt;&gt;"",$D1560,IFERROR(INDEX(PecPreco,MATCH($B1560,PecCod,0)),0)))</f>
        <v>0</v>
      </c>
      <c r="G1560" s="27">
        <f>IF(OR($B1560="",$C1560=""),"",$C1560*$F1560)</f>
        <v>0</v>
      </c>
      <c r="H1560" s="27">
        <f>IF(OR($B1560="",$C1560=""),"",$C1560*IFERROR(INDEX(PecCusto,MATCH($B1560,PecCod,0)),0))</f>
        <v>0</v>
      </c>
      <c r="I1560" s="32">
        <f>IF($A1560="","",IFERROR(INDEX(OSStatus,MATCH($A1560,OSNum,0)),"OS inexistente"))</f>
        <v>0</v>
      </c>
      <c r="J1560" s="32">
        <f>IF($A1560="","",IF($I1560="OS inexistente","OS inexistente",IF($E1560="Peça não cadastrada","Peça não cadastrada","OK")))</f>
        <v>0</v>
      </c>
    </row>
    <row r="1561" spans="1:10">
      <c r="A1561" s="17"/>
      <c r="B1561" s="13"/>
      <c r="C1561" s="20"/>
      <c r="D1561" s="19"/>
      <c r="E1561" s="26">
        <f>IF($B1561="","",IFERROR(INDEX(PecDesc,MATCH($B1561,PecCod,0)),"Peça não cadastrada"))</f>
        <v>0</v>
      </c>
      <c r="F1561" s="27">
        <f>IF($B1561="","",IF($D1561&lt;&gt;"",$D1561,IFERROR(INDEX(PecPreco,MATCH($B1561,PecCod,0)),0)))</f>
        <v>0</v>
      </c>
      <c r="G1561" s="27">
        <f>IF(OR($B1561="",$C1561=""),"",$C1561*$F1561)</f>
        <v>0</v>
      </c>
      <c r="H1561" s="27">
        <f>IF(OR($B1561="",$C1561=""),"",$C1561*IFERROR(INDEX(PecCusto,MATCH($B1561,PecCod,0)),0))</f>
        <v>0</v>
      </c>
      <c r="I1561" s="32">
        <f>IF($A1561="","",IFERROR(INDEX(OSStatus,MATCH($A1561,OSNum,0)),"OS inexistente"))</f>
        <v>0</v>
      </c>
      <c r="J1561" s="32">
        <f>IF($A1561="","",IF($I1561="OS inexistente","OS inexistente",IF($E1561="Peça não cadastrada","Peça não cadastrada","OK")))</f>
        <v>0</v>
      </c>
    </row>
    <row r="1562" spans="1:10">
      <c r="A1562" s="17"/>
      <c r="B1562" s="13"/>
      <c r="C1562" s="20"/>
      <c r="D1562" s="19"/>
      <c r="E1562" s="26">
        <f>IF($B1562="","",IFERROR(INDEX(PecDesc,MATCH($B1562,PecCod,0)),"Peça não cadastrada"))</f>
        <v>0</v>
      </c>
      <c r="F1562" s="27">
        <f>IF($B1562="","",IF($D1562&lt;&gt;"",$D1562,IFERROR(INDEX(PecPreco,MATCH($B1562,PecCod,0)),0)))</f>
        <v>0</v>
      </c>
      <c r="G1562" s="27">
        <f>IF(OR($B1562="",$C1562=""),"",$C1562*$F1562)</f>
        <v>0</v>
      </c>
      <c r="H1562" s="27">
        <f>IF(OR($B1562="",$C1562=""),"",$C1562*IFERROR(INDEX(PecCusto,MATCH($B1562,PecCod,0)),0))</f>
        <v>0</v>
      </c>
      <c r="I1562" s="32">
        <f>IF($A1562="","",IFERROR(INDEX(OSStatus,MATCH($A1562,OSNum,0)),"OS inexistente"))</f>
        <v>0</v>
      </c>
      <c r="J1562" s="32">
        <f>IF($A1562="","",IF($I1562="OS inexistente","OS inexistente",IF($E1562="Peça não cadastrada","Peça não cadastrada","OK")))</f>
        <v>0</v>
      </c>
    </row>
    <row r="1563" spans="1:10">
      <c r="A1563" s="17"/>
      <c r="B1563" s="13"/>
      <c r="C1563" s="20"/>
      <c r="D1563" s="19"/>
      <c r="E1563" s="26">
        <f>IF($B1563="","",IFERROR(INDEX(PecDesc,MATCH($B1563,PecCod,0)),"Peça não cadastrada"))</f>
        <v>0</v>
      </c>
      <c r="F1563" s="27">
        <f>IF($B1563="","",IF($D1563&lt;&gt;"",$D1563,IFERROR(INDEX(PecPreco,MATCH($B1563,PecCod,0)),0)))</f>
        <v>0</v>
      </c>
      <c r="G1563" s="27">
        <f>IF(OR($B1563="",$C1563=""),"",$C1563*$F1563)</f>
        <v>0</v>
      </c>
      <c r="H1563" s="27">
        <f>IF(OR($B1563="",$C1563=""),"",$C1563*IFERROR(INDEX(PecCusto,MATCH($B1563,PecCod,0)),0))</f>
        <v>0</v>
      </c>
      <c r="I1563" s="32">
        <f>IF($A1563="","",IFERROR(INDEX(OSStatus,MATCH($A1563,OSNum,0)),"OS inexistente"))</f>
        <v>0</v>
      </c>
      <c r="J1563" s="32">
        <f>IF($A1563="","",IF($I1563="OS inexistente","OS inexistente",IF($E1563="Peça não cadastrada","Peça não cadastrada","OK")))</f>
        <v>0</v>
      </c>
    </row>
    <row r="1564" spans="1:10">
      <c r="A1564" s="17"/>
      <c r="B1564" s="13"/>
      <c r="C1564" s="20"/>
      <c r="D1564" s="19"/>
      <c r="E1564" s="26">
        <f>IF($B1564="","",IFERROR(INDEX(PecDesc,MATCH($B1564,PecCod,0)),"Peça não cadastrada"))</f>
        <v>0</v>
      </c>
      <c r="F1564" s="27">
        <f>IF($B1564="","",IF($D1564&lt;&gt;"",$D1564,IFERROR(INDEX(PecPreco,MATCH($B1564,PecCod,0)),0)))</f>
        <v>0</v>
      </c>
      <c r="G1564" s="27">
        <f>IF(OR($B1564="",$C1564=""),"",$C1564*$F1564)</f>
        <v>0</v>
      </c>
      <c r="H1564" s="27">
        <f>IF(OR($B1564="",$C1564=""),"",$C1564*IFERROR(INDEX(PecCusto,MATCH($B1564,PecCod,0)),0))</f>
        <v>0</v>
      </c>
      <c r="I1564" s="32">
        <f>IF($A1564="","",IFERROR(INDEX(OSStatus,MATCH($A1564,OSNum,0)),"OS inexistente"))</f>
        <v>0</v>
      </c>
      <c r="J1564" s="32">
        <f>IF($A1564="","",IF($I1564="OS inexistente","OS inexistente",IF($E1564="Peça não cadastrada","Peça não cadastrada","OK")))</f>
        <v>0</v>
      </c>
    </row>
    <row r="1565" spans="1:10">
      <c r="A1565" s="17"/>
      <c r="B1565" s="13"/>
      <c r="C1565" s="20"/>
      <c r="D1565" s="19"/>
      <c r="E1565" s="26">
        <f>IF($B1565="","",IFERROR(INDEX(PecDesc,MATCH($B1565,PecCod,0)),"Peça não cadastrada"))</f>
        <v>0</v>
      </c>
      <c r="F1565" s="27">
        <f>IF($B1565="","",IF($D1565&lt;&gt;"",$D1565,IFERROR(INDEX(PecPreco,MATCH($B1565,PecCod,0)),0)))</f>
        <v>0</v>
      </c>
      <c r="G1565" s="27">
        <f>IF(OR($B1565="",$C1565=""),"",$C1565*$F1565)</f>
        <v>0</v>
      </c>
      <c r="H1565" s="27">
        <f>IF(OR($B1565="",$C1565=""),"",$C1565*IFERROR(INDEX(PecCusto,MATCH($B1565,PecCod,0)),0))</f>
        <v>0</v>
      </c>
      <c r="I1565" s="32">
        <f>IF($A1565="","",IFERROR(INDEX(OSStatus,MATCH($A1565,OSNum,0)),"OS inexistente"))</f>
        <v>0</v>
      </c>
      <c r="J1565" s="32">
        <f>IF($A1565="","",IF($I1565="OS inexistente","OS inexistente",IF($E1565="Peça não cadastrada","Peça não cadastrada","OK")))</f>
        <v>0</v>
      </c>
    </row>
    <row r="1566" spans="1:10">
      <c r="A1566" s="17"/>
      <c r="B1566" s="13"/>
      <c r="C1566" s="20"/>
      <c r="D1566" s="19"/>
      <c r="E1566" s="26">
        <f>IF($B1566="","",IFERROR(INDEX(PecDesc,MATCH($B1566,PecCod,0)),"Peça não cadastrada"))</f>
        <v>0</v>
      </c>
      <c r="F1566" s="27">
        <f>IF($B1566="","",IF($D1566&lt;&gt;"",$D1566,IFERROR(INDEX(PecPreco,MATCH($B1566,PecCod,0)),0)))</f>
        <v>0</v>
      </c>
      <c r="G1566" s="27">
        <f>IF(OR($B1566="",$C1566=""),"",$C1566*$F1566)</f>
        <v>0</v>
      </c>
      <c r="H1566" s="27">
        <f>IF(OR($B1566="",$C1566=""),"",$C1566*IFERROR(INDEX(PecCusto,MATCH($B1566,PecCod,0)),0))</f>
        <v>0</v>
      </c>
      <c r="I1566" s="32">
        <f>IF($A1566="","",IFERROR(INDEX(OSStatus,MATCH($A1566,OSNum,0)),"OS inexistente"))</f>
        <v>0</v>
      </c>
      <c r="J1566" s="32">
        <f>IF($A1566="","",IF($I1566="OS inexistente","OS inexistente",IF($E1566="Peça não cadastrada","Peça não cadastrada","OK")))</f>
        <v>0</v>
      </c>
    </row>
    <row r="1567" spans="1:10">
      <c r="A1567" s="17"/>
      <c r="B1567" s="13"/>
      <c r="C1567" s="20"/>
      <c r="D1567" s="19"/>
      <c r="E1567" s="26">
        <f>IF($B1567="","",IFERROR(INDEX(PecDesc,MATCH($B1567,PecCod,0)),"Peça não cadastrada"))</f>
        <v>0</v>
      </c>
      <c r="F1567" s="27">
        <f>IF($B1567="","",IF($D1567&lt;&gt;"",$D1567,IFERROR(INDEX(PecPreco,MATCH($B1567,PecCod,0)),0)))</f>
        <v>0</v>
      </c>
      <c r="G1567" s="27">
        <f>IF(OR($B1567="",$C1567=""),"",$C1567*$F1567)</f>
        <v>0</v>
      </c>
      <c r="H1567" s="27">
        <f>IF(OR($B1567="",$C1567=""),"",$C1567*IFERROR(INDEX(PecCusto,MATCH($B1567,PecCod,0)),0))</f>
        <v>0</v>
      </c>
      <c r="I1567" s="32">
        <f>IF($A1567="","",IFERROR(INDEX(OSStatus,MATCH($A1567,OSNum,0)),"OS inexistente"))</f>
        <v>0</v>
      </c>
      <c r="J1567" s="32">
        <f>IF($A1567="","",IF($I1567="OS inexistente","OS inexistente",IF($E1567="Peça não cadastrada","Peça não cadastrada","OK")))</f>
        <v>0</v>
      </c>
    </row>
    <row r="1568" spans="1:10">
      <c r="A1568" s="17"/>
      <c r="B1568" s="13"/>
      <c r="C1568" s="20"/>
      <c r="D1568" s="19"/>
      <c r="E1568" s="26">
        <f>IF($B1568="","",IFERROR(INDEX(PecDesc,MATCH($B1568,PecCod,0)),"Peça não cadastrada"))</f>
        <v>0</v>
      </c>
      <c r="F1568" s="27">
        <f>IF($B1568="","",IF($D1568&lt;&gt;"",$D1568,IFERROR(INDEX(PecPreco,MATCH($B1568,PecCod,0)),0)))</f>
        <v>0</v>
      </c>
      <c r="G1568" s="27">
        <f>IF(OR($B1568="",$C1568=""),"",$C1568*$F1568)</f>
        <v>0</v>
      </c>
      <c r="H1568" s="27">
        <f>IF(OR($B1568="",$C1568=""),"",$C1568*IFERROR(INDEX(PecCusto,MATCH($B1568,PecCod,0)),0))</f>
        <v>0</v>
      </c>
      <c r="I1568" s="32">
        <f>IF($A1568="","",IFERROR(INDEX(OSStatus,MATCH($A1568,OSNum,0)),"OS inexistente"))</f>
        <v>0</v>
      </c>
      <c r="J1568" s="32">
        <f>IF($A1568="","",IF($I1568="OS inexistente","OS inexistente",IF($E1568="Peça não cadastrada","Peça não cadastrada","OK")))</f>
        <v>0</v>
      </c>
    </row>
    <row r="1569" spans="1:10">
      <c r="A1569" s="17"/>
      <c r="B1569" s="13"/>
      <c r="C1569" s="20"/>
      <c r="D1569" s="19"/>
      <c r="E1569" s="26">
        <f>IF($B1569="","",IFERROR(INDEX(PecDesc,MATCH($B1569,PecCod,0)),"Peça não cadastrada"))</f>
        <v>0</v>
      </c>
      <c r="F1569" s="27">
        <f>IF($B1569="","",IF($D1569&lt;&gt;"",$D1569,IFERROR(INDEX(PecPreco,MATCH($B1569,PecCod,0)),0)))</f>
        <v>0</v>
      </c>
      <c r="G1569" s="27">
        <f>IF(OR($B1569="",$C1569=""),"",$C1569*$F1569)</f>
        <v>0</v>
      </c>
      <c r="H1569" s="27">
        <f>IF(OR($B1569="",$C1569=""),"",$C1569*IFERROR(INDEX(PecCusto,MATCH($B1569,PecCod,0)),0))</f>
        <v>0</v>
      </c>
      <c r="I1569" s="32">
        <f>IF($A1569="","",IFERROR(INDEX(OSStatus,MATCH($A1569,OSNum,0)),"OS inexistente"))</f>
        <v>0</v>
      </c>
      <c r="J1569" s="32">
        <f>IF($A1569="","",IF($I1569="OS inexistente","OS inexistente",IF($E1569="Peça não cadastrada","Peça não cadastrada","OK")))</f>
        <v>0</v>
      </c>
    </row>
    <row r="1570" spans="1:10">
      <c r="A1570" s="17"/>
      <c r="B1570" s="13"/>
      <c r="C1570" s="20"/>
      <c r="D1570" s="19"/>
      <c r="E1570" s="26">
        <f>IF($B1570="","",IFERROR(INDEX(PecDesc,MATCH($B1570,PecCod,0)),"Peça não cadastrada"))</f>
        <v>0</v>
      </c>
      <c r="F1570" s="27">
        <f>IF($B1570="","",IF($D1570&lt;&gt;"",$D1570,IFERROR(INDEX(PecPreco,MATCH($B1570,PecCod,0)),0)))</f>
        <v>0</v>
      </c>
      <c r="G1570" s="27">
        <f>IF(OR($B1570="",$C1570=""),"",$C1570*$F1570)</f>
        <v>0</v>
      </c>
      <c r="H1570" s="27">
        <f>IF(OR($B1570="",$C1570=""),"",$C1570*IFERROR(INDEX(PecCusto,MATCH($B1570,PecCod,0)),0))</f>
        <v>0</v>
      </c>
      <c r="I1570" s="32">
        <f>IF($A1570="","",IFERROR(INDEX(OSStatus,MATCH($A1570,OSNum,0)),"OS inexistente"))</f>
        <v>0</v>
      </c>
      <c r="J1570" s="32">
        <f>IF($A1570="","",IF($I1570="OS inexistente","OS inexistente",IF($E1570="Peça não cadastrada","Peça não cadastrada","OK")))</f>
        <v>0</v>
      </c>
    </row>
    <row r="1571" spans="1:10">
      <c r="A1571" s="17"/>
      <c r="B1571" s="13"/>
      <c r="C1571" s="20"/>
      <c r="D1571" s="19"/>
      <c r="E1571" s="26">
        <f>IF($B1571="","",IFERROR(INDEX(PecDesc,MATCH($B1571,PecCod,0)),"Peça não cadastrada"))</f>
        <v>0</v>
      </c>
      <c r="F1571" s="27">
        <f>IF($B1571="","",IF($D1571&lt;&gt;"",$D1571,IFERROR(INDEX(PecPreco,MATCH($B1571,PecCod,0)),0)))</f>
        <v>0</v>
      </c>
      <c r="G1571" s="27">
        <f>IF(OR($B1571="",$C1571=""),"",$C1571*$F1571)</f>
        <v>0</v>
      </c>
      <c r="H1571" s="27">
        <f>IF(OR($B1571="",$C1571=""),"",$C1571*IFERROR(INDEX(PecCusto,MATCH($B1571,PecCod,0)),0))</f>
        <v>0</v>
      </c>
      <c r="I1571" s="32">
        <f>IF($A1571="","",IFERROR(INDEX(OSStatus,MATCH($A1571,OSNum,0)),"OS inexistente"))</f>
        <v>0</v>
      </c>
      <c r="J1571" s="32">
        <f>IF($A1571="","",IF($I1571="OS inexistente","OS inexistente",IF($E1571="Peça não cadastrada","Peça não cadastrada","OK")))</f>
        <v>0</v>
      </c>
    </row>
    <row r="1572" spans="1:10">
      <c r="A1572" s="17"/>
      <c r="B1572" s="13"/>
      <c r="C1572" s="20"/>
      <c r="D1572" s="19"/>
      <c r="E1572" s="26">
        <f>IF($B1572="","",IFERROR(INDEX(PecDesc,MATCH($B1572,PecCod,0)),"Peça não cadastrada"))</f>
        <v>0</v>
      </c>
      <c r="F1572" s="27">
        <f>IF($B1572="","",IF($D1572&lt;&gt;"",$D1572,IFERROR(INDEX(PecPreco,MATCH($B1572,PecCod,0)),0)))</f>
        <v>0</v>
      </c>
      <c r="G1572" s="27">
        <f>IF(OR($B1572="",$C1572=""),"",$C1572*$F1572)</f>
        <v>0</v>
      </c>
      <c r="H1572" s="27">
        <f>IF(OR($B1572="",$C1572=""),"",$C1572*IFERROR(INDEX(PecCusto,MATCH($B1572,PecCod,0)),0))</f>
        <v>0</v>
      </c>
      <c r="I1572" s="32">
        <f>IF($A1572="","",IFERROR(INDEX(OSStatus,MATCH($A1572,OSNum,0)),"OS inexistente"))</f>
        <v>0</v>
      </c>
      <c r="J1572" s="32">
        <f>IF($A1572="","",IF($I1572="OS inexistente","OS inexistente",IF($E1572="Peça não cadastrada","Peça não cadastrada","OK")))</f>
        <v>0</v>
      </c>
    </row>
    <row r="1573" spans="1:10">
      <c r="A1573" s="17"/>
      <c r="B1573" s="13"/>
      <c r="C1573" s="20"/>
      <c r="D1573" s="19"/>
      <c r="E1573" s="26">
        <f>IF($B1573="","",IFERROR(INDEX(PecDesc,MATCH($B1573,PecCod,0)),"Peça não cadastrada"))</f>
        <v>0</v>
      </c>
      <c r="F1573" s="27">
        <f>IF($B1573="","",IF($D1573&lt;&gt;"",$D1573,IFERROR(INDEX(PecPreco,MATCH($B1573,PecCod,0)),0)))</f>
        <v>0</v>
      </c>
      <c r="G1573" s="27">
        <f>IF(OR($B1573="",$C1573=""),"",$C1573*$F1573)</f>
        <v>0</v>
      </c>
      <c r="H1573" s="27">
        <f>IF(OR($B1573="",$C1573=""),"",$C1573*IFERROR(INDEX(PecCusto,MATCH($B1573,PecCod,0)),0))</f>
        <v>0</v>
      </c>
      <c r="I1573" s="32">
        <f>IF($A1573="","",IFERROR(INDEX(OSStatus,MATCH($A1573,OSNum,0)),"OS inexistente"))</f>
        <v>0</v>
      </c>
      <c r="J1573" s="32">
        <f>IF($A1573="","",IF($I1573="OS inexistente","OS inexistente",IF($E1573="Peça não cadastrada","Peça não cadastrada","OK")))</f>
        <v>0</v>
      </c>
    </row>
    <row r="1574" spans="1:10">
      <c r="A1574" s="17"/>
      <c r="B1574" s="13"/>
      <c r="C1574" s="20"/>
      <c r="D1574" s="19"/>
      <c r="E1574" s="26">
        <f>IF($B1574="","",IFERROR(INDEX(PecDesc,MATCH($B1574,PecCod,0)),"Peça não cadastrada"))</f>
        <v>0</v>
      </c>
      <c r="F1574" s="27">
        <f>IF($B1574="","",IF($D1574&lt;&gt;"",$D1574,IFERROR(INDEX(PecPreco,MATCH($B1574,PecCod,0)),0)))</f>
        <v>0</v>
      </c>
      <c r="G1574" s="27">
        <f>IF(OR($B1574="",$C1574=""),"",$C1574*$F1574)</f>
        <v>0</v>
      </c>
      <c r="H1574" s="27">
        <f>IF(OR($B1574="",$C1574=""),"",$C1574*IFERROR(INDEX(PecCusto,MATCH($B1574,PecCod,0)),0))</f>
        <v>0</v>
      </c>
      <c r="I1574" s="32">
        <f>IF($A1574="","",IFERROR(INDEX(OSStatus,MATCH($A1574,OSNum,0)),"OS inexistente"))</f>
        <v>0</v>
      </c>
      <c r="J1574" s="32">
        <f>IF($A1574="","",IF($I1574="OS inexistente","OS inexistente",IF($E1574="Peça não cadastrada","Peça não cadastrada","OK")))</f>
        <v>0</v>
      </c>
    </row>
    <row r="1575" spans="1:10">
      <c r="A1575" s="17"/>
      <c r="B1575" s="13"/>
      <c r="C1575" s="20"/>
      <c r="D1575" s="19"/>
      <c r="E1575" s="26">
        <f>IF($B1575="","",IFERROR(INDEX(PecDesc,MATCH($B1575,PecCod,0)),"Peça não cadastrada"))</f>
        <v>0</v>
      </c>
      <c r="F1575" s="27">
        <f>IF($B1575="","",IF($D1575&lt;&gt;"",$D1575,IFERROR(INDEX(PecPreco,MATCH($B1575,PecCod,0)),0)))</f>
        <v>0</v>
      </c>
      <c r="G1575" s="27">
        <f>IF(OR($B1575="",$C1575=""),"",$C1575*$F1575)</f>
        <v>0</v>
      </c>
      <c r="H1575" s="27">
        <f>IF(OR($B1575="",$C1575=""),"",$C1575*IFERROR(INDEX(PecCusto,MATCH($B1575,PecCod,0)),0))</f>
        <v>0</v>
      </c>
      <c r="I1575" s="32">
        <f>IF($A1575="","",IFERROR(INDEX(OSStatus,MATCH($A1575,OSNum,0)),"OS inexistente"))</f>
        <v>0</v>
      </c>
      <c r="J1575" s="32">
        <f>IF($A1575="","",IF($I1575="OS inexistente","OS inexistente",IF($E1575="Peça não cadastrada","Peça não cadastrada","OK")))</f>
        <v>0</v>
      </c>
    </row>
    <row r="1576" spans="1:10">
      <c r="A1576" s="17"/>
      <c r="B1576" s="13"/>
      <c r="C1576" s="20"/>
      <c r="D1576" s="19"/>
      <c r="E1576" s="26">
        <f>IF($B1576="","",IFERROR(INDEX(PecDesc,MATCH($B1576,PecCod,0)),"Peça não cadastrada"))</f>
        <v>0</v>
      </c>
      <c r="F1576" s="27">
        <f>IF($B1576="","",IF($D1576&lt;&gt;"",$D1576,IFERROR(INDEX(PecPreco,MATCH($B1576,PecCod,0)),0)))</f>
        <v>0</v>
      </c>
      <c r="G1576" s="27">
        <f>IF(OR($B1576="",$C1576=""),"",$C1576*$F1576)</f>
        <v>0</v>
      </c>
      <c r="H1576" s="27">
        <f>IF(OR($B1576="",$C1576=""),"",$C1576*IFERROR(INDEX(PecCusto,MATCH($B1576,PecCod,0)),0))</f>
        <v>0</v>
      </c>
      <c r="I1576" s="32">
        <f>IF($A1576="","",IFERROR(INDEX(OSStatus,MATCH($A1576,OSNum,0)),"OS inexistente"))</f>
        <v>0</v>
      </c>
      <c r="J1576" s="32">
        <f>IF($A1576="","",IF($I1576="OS inexistente","OS inexistente",IF($E1576="Peça não cadastrada","Peça não cadastrada","OK")))</f>
        <v>0</v>
      </c>
    </row>
    <row r="1577" spans="1:10">
      <c r="A1577" s="17"/>
      <c r="B1577" s="13"/>
      <c r="C1577" s="20"/>
      <c r="D1577" s="19"/>
      <c r="E1577" s="26">
        <f>IF($B1577="","",IFERROR(INDEX(PecDesc,MATCH($B1577,PecCod,0)),"Peça não cadastrada"))</f>
        <v>0</v>
      </c>
      <c r="F1577" s="27">
        <f>IF($B1577="","",IF($D1577&lt;&gt;"",$D1577,IFERROR(INDEX(PecPreco,MATCH($B1577,PecCod,0)),0)))</f>
        <v>0</v>
      </c>
      <c r="G1577" s="27">
        <f>IF(OR($B1577="",$C1577=""),"",$C1577*$F1577)</f>
        <v>0</v>
      </c>
      <c r="H1577" s="27">
        <f>IF(OR($B1577="",$C1577=""),"",$C1577*IFERROR(INDEX(PecCusto,MATCH($B1577,PecCod,0)),0))</f>
        <v>0</v>
      </c>
      <c r="I1577" s="32">
        <f>IF($A1577="","",IFERROR(INDEX(OSStatus,MATCH($A1577,OSNum,0)),"OS inexistente"))</f>
        <v>0</v>
      </c>
      <c r="J1577" s="32">
        <f>IF($A1577="","",IF($I1577="OS inexistente","OS inexistente",IF($E1577="Peça não cadastrada","Peça não cadastrada","OK")))</f>
        <v>0</v>
      </c>
    </row>
    <row r="1578" spans="1:10">
      <c r="A1578" s="17"/>
      <c r="B1578" s="13"/>
      <c r="C1578" s="20"/>
      <c r="D1578" s="19"/>
      <c r="E1578" s="26">
        <f>IF($B1578="","",IFERROR(INDEX(PecDesc,MATCH($B1578,PecCod,0)),"Peça não cadastrada"))</f>
        <v>0</v>
      </c>
      <c r="F1578" s="27">
        <f>IF($B1578="","",IF($D1578&lt;&gt;"",$D1578,IFERROR(INDEX(PecPreco,MATCH($B1578,PecCod,0)),0)))</f>
        <v>0</v>
      </c>
      <c r="G1578" s="27">
        <f>IF(OR($B1578="",$C1578=""),"",$C1578*$F1578)</f>
        <v>0</v>
      </c>
      <c r="H1578" s="27">
        <f>IF(OR($B1578="",$C1578=""),"",$C1578*IFERROR(INDEX(PecCusto,MATCH($B1578,PecCod,0)),0))</f>
        <v>0</v>
      </c>
      <c r="I1578" s="32">
        <f>IF($A1578="","",IFERROR(INDEX(OSStatus,MATCH($A1578,OSNum,0)),"OS inexistente"))</f>
        <v>0</v>
      </c>
      <c r="J1578" s="32">
        <f>IF($A1578="","",IF($I1578="OS inexistente","OS inexistente",IF($E1578="Peça não cadastrada","Peça não cadastrada","OK")))</f>
        <v>0</v>
      </c>
    </row>
    <row r="1579" spans="1:10">
      <c r="A1579" s="17"/>
      <c r="B1579" s="13"/>
      <c r="C1579" s="20"/>
      <c r="D1579" s="19"/>
      <c r="E1579" s="26">
        <f>IF($B1579="","",IFERROR(INDEX(PecDesc,MATCH($B1579,PecCod,0)),"Peça não cadastrada"))</f>
        <v>0</v>
      </c>
      <c r="F1579" s="27">
        <f>IF($B1579="","",IF($D1579&lt;&gt;"",$D1579,IFERROR(INDEX(PecPreco,MATCH($B1579,PecCod,0)),0)))</f>
        <v>0</v>
      </c>
      <c r="G1579" s="27">
        <f>IF(OR($B1579="",$C1579=""),"",$C1579*$F1579)</f>
        <v>0</v>
      </c>
      <c r="H1579" s="27">
        <f>IF(OR($B1579="",$C1579=""),"",$C1579*IFERROR(INDEX(PecCusto,MATCH($B1579,PecCod,0)),0))</f>
        <v>0</v>
      </c>
      <c r="I1579" s="32">
        <f>IF($A1579="","",IFERROR(INDEX(OSStatus,MATCH($A1579,OSNum,0)),"OS inexistente"))</f>
        <v>0</v>
      </c>
      <c r="J1579" s="32">
        <f>IF($A1579="","",IF($I1579="OS inexistente","OS inexistente",IF($E1579="Peça não cadastrada","Peça não cadastrada","OK")))</f>
        <v>0</v>
      </c>
    </row>
    <row r="1580" spans="1:10">
      <c r="A1580" s="17"/>
      <c r="B1580" s="13"/>
      <c r="C1580" s="20"/>
      <c r="D1580" s="19"/>
      <c r="E1580" s="26">
        <f>IF($B1580="","",IFERROR(INDEX(PecDesc,MATCH($B1580,PecCod,0)),"Peça não cadastrada"))</f>
        <v>0</v>
      </c>
      <c r="F1580" s="27">
        <f>IF($B1580="","",IF($D1580&lt;&gt;"",$D1580,IFERROR(INDEX(PecPreco,MATCH($B1580,PecCod,0)),0)))</f>
        <v>0</v>
      </c>
      <c r="G1580" s="27">
        <f>IF(OR($B1580="",$C1580=""),"",$C1580*$F1580)</f>
        <v>0</v>
      </c>
      <c r="H1580" s="27">
        <f>IF(OR($B1580="",$C1580=""),"",$C1580*IFERROR(INDEX(PecCusto,MATCH($B1580,PecCod,0)),0))</f>
        <v>0</v>
      </c>
      <c r="I1580" s="32">
        <f>IF($A1580="","",IFERROR(INDEX(OSStatus,MATCH($A1580,OSNum,0)),"OS inexistente"))</f>
        <v>0</v>
      </c>
      <c r="J1580" s="32">
        <f>IF($A1580="","",IF($I1580="OS inexistente","OS inexistente",IF($E1580="Peça não cadastrada","Peça não cadastrada","OK")))</f>
        <v>0</v>
      </c>
    </row>
    <row r="1581" spans="1:10">
      <c r="A1581" s="17"/>
      <c r="B1581" s="13"/>
      <c r="C1581" s="20"/>
      <c r="D1581" s="19"/>
      <c r="E1581" s="26">
        <f>IF($B1581="","",IFERROR(INDEX(PecDesc,MATCH($B1581,PecCod,0)),"Peça não cadastrada"))</f>
        <v>0</v>
      </c>
      <c r="F1581" s="27">
        <f>IF($B1581="","",IF($D1581&lt;&gt;"",$D1581,IFERROR(INDEX(PecPreco,MATCH($B1581,PecCod,0)),0)))</f>
        <v>0</v>
      </c>
      <c r="G1581" s="27">
        <f>IF(OR($B1581="",$C1581=""),"",$C1581*$F1581)</f>
        <v>0</v>
      </c>
      <c r="H1581" s="27">
        <f>IF(OR($B1581="",$C1581=""),"",$C1581*IFERROR(INDEX(PecCusto,MATCH($B1581,PecCod,0)),0))</f>
        <v>0</v>
      </c>
      <c r="I1581" s="32">
        <f>IF($A1581="","",IFERROR(INDEX(OSStatus,MATCH($A1581,OSNum,0)),"OS inexistente"))</f>
        <v>0</v>
      </c>
      <c r="J1581" s="32">
        <f>IF($A1581="","",IF($I1581="OS inexistente","OS inexistente",IF($E1581="Peça não cadastrada","Peça não cadastrada","OK")))</f>
        <v>0</v>
      </c>
    </row>
    <row r="1582" spans="1:10">
      <c r="A1582" s="17"/>
      <c r="B1582" s="13"/>
      <c r="C1582" s="20"/>
      <c r="D1582" s="19"/>
      <c r="E1582" s="26">
        <f>IF($B1582="","",IFERROR(INDEX(PecDesc,MATCH($B1582,PecCod,0)),"Peça não cadastrada"))</f>
        <v>0</v>
      </c>
      <c r="F1582" s="27">
        <f>IF($B1582="","",IF($D1582&lt;&gt;"",$D1582,IFERROR(INDEX(PecPreco,MATCH($B1582,PecCod,0)),0)))</f>
        <v>0</v>
      </c>
      <c r="G1582" s="27">
        <f>IF(OR($B1582="",$C1582=""),"",$C1582*$F1582)</f>
        <v>0</v>
      </c>
      <c r="H1582" s="27">
        <f>IF(OR($B1582="",$C1582=""),"",$C1582*IFERROR(INDEX(PecCusto,MATCH($B1582,PecCod,0)),0))</f>
        <v>0</v>
      </c>
      <c r="I1582" s="32">
        <f>IF($A1582="","",IFERROR(INDEX(OSStatus,MATCH($A1582,OSNum,0)),"OS inexistente"))</f>
        <v>0</v>
      </c>
      <c r="J1582" s="32">
        <f>IF($A1582="","",IF($I1582="OS inexistente","OS inexistente",IF($E1582="Peça não cadastrada","Peça não cadastrada","OK")))</f>
        <v>0</v>
      </c>
    </row>
    <row r="1583" spans="1:10">
      <c r="A1583" s="17"/>
      <c r="B1583" s="13"/>
      <c r="C1583" s="20"/>
      <c r="D1583" s="19"/>
      <c r="E1583" s="26">
        <f>IF($B1583="","",IFERROR(INDEX(PecDesc,MATCH($B1583,PecCod,0)),"Peça não cadastrada"))</f>
        <v>0</v>
      </c>
      <c r="F1583" s="27">
        <f>IF($B1583="","",IF($D1583&lt;&gt;"",$D1583,IFERROR(INDEX(PecPreco,MATCH($B1583,PecCod,0)),0)))</f>
        <v>0</v>
      </c>
      <c r="G1583" s="27">
        <f>IF(OR($B1583="",$C1583=""),"",$C1583*$F1583)</f>
        <v>0</v>
      </c>
      <c r="H1583" s="27">
        <f>IF(OR($B1583="",$C1583=""),"",$C1583*IFERROR(INDEX(PecCusto,MATCH($B1583,PecCod,0)),0))</f>
        <v>0</v>
      </c>
      <c r="I1583" s="32">
        <f>IF($A1583="","",IFERROR(INDEX(OSStatus,MATCH($A1583,OSNum,0)),"OS inexistente"))</f>
        <v>0</v>
      </c>
      <c r="J1583" s="32">
        <f>IF($A1583="","",IF($I1583="OS inexistente","OS inexistente",IF($E1583="Peça não cadastrada","Peça não cadastrada","OK")))</f>
        <v>0</v>
      </c>
    </row>
    <row r="1584" spans="1:10">
      <c r="A1584" s="17"/>
      <c r="B1584" s="13"/>
      <c r="C1584" s="20"/>
      <c r="D1584" s="19"/>
      <c r="E1584" s="26">
        <f>IF($B1584="","",IFERROR(INDEX(PecDesc,MATCH($B1584,PecCod,0)),"Peça não cadastrada"))</f>
        <v>0</v>
      </c>
      <c r="F1584" s="27">
        <f>IF($B1584="","",IF($D1584&lt;&gt;"",$D1584,IFERROR(INDEX(PecPreco,MATCH($B1584,PecCod,0)),0)))</f>
        <v>0</v>
      </c>
      <c r="G1584" s="27">
        <f>IF(OR($B1584="",$C1584=""),"",$C1584*$F1584)</f>
        <v>0</v>
      </c>
      <c r="H1584" s="27">
        <f>IF(OR($B1584="",$C1584=""),"",$C1584*IFERROR(INDEX(PecCusto,MATCH($B1584,PecCod,0)),0))</f>
        <v>0</v>
      </c>
      <c r="I1584" s="32">
        <f>IF($A1584="","",IFERROR(INDEX(OSStatus,MATCH($A1584,OSNum,0)),"OS inexistente"))</f>
        <v>0</v>
      </c>
      <c r="J1584" s="32">
        <f>IF($A1584="","",IF($I1584="OS inexistente","OS inexistente",IF($E1584="Peça não cadastrada","Peça não cadastrada","OK")))</f>
        <v>0</v>
      </c>
    </row>
    <row r="1585" spans="1:10">
      <c r="A1585" s="17"/>
      <c r="B1585" s="13"/>
      <c r="C1585" s="20"/>
      <c r="D1585" s="19"/>
      <c r="E1585" s="26">
        <f>IF($B1585="","",IFERROR(INDEX(PecDesc,MATCH($B1585,PecCod,0)),"Peça não cadastrada"))</f>
        <v>0</v>
      </c>
      <c r="F1585" s="27">
        <f>IF($B1585="","",IF($D1585&lt;&gt;"",$D1585,IFERROR(INDEX(PecPreco,MATCH($B1585,PecCod,0)),0)))</f>
        <v>0</v>
      </c>
      <c r="G1585" s="27">
        <f>IF(OR($B1585="",$C1585=""),"",$C1585*$F1585)</f>
        <v>0</v>
      </c>
      <c r="H1585" s="27">
        <f>IF(OR($B1585="",$C1585=""),"",$C1585*IFERROR(INDEX(PecCusto,MATCH($B1585,PecCod,0)),0))</f>
        <v>0</v>
      </c>
      <c r="I1585" s="32">
        <f>IF($A1585="","",IFERROR(INDEX(OSStatus,MATCH($A1585,OSNum,0)),"OS inexistente"))</f>
        <v>0</v>
      </c>
      <c r="J1585" s="32">
        <f>IF($A1585="","",IF($I1585="OS inexistente","OS inexistente",IF($E1585="Peça não cadastrada","Peça não cadastrada","OK")))</f>
        <v>0</v>
      </c>
    </row>
    <row r="1586" spans="1:10">
      <c r="A1586" s="17"/>
      <c r="B1586" s="13"/>
      <c r="C1586" s="20"/>
      <c r="D1586" s="19"/>
      <c r="E1586" s="26">
        <f>IF($B1586="","",IFERROR(INDEX(PecDesc,MATCH($B1586,PecCod,0)),"Peça não cadastrada"))</f>
        <v>0</v>
      </c>
      <c r="F1586" s="27">
        <f>IF($B1586="","",IF($D1586&lt;&gt;"",$D1586,IFERROR(INDEX(PecPreco,MATCH($B1586,PecCod,0)),0)))</f>
        <v>0</v>
      </c>
      <c r="G1586" s="27">
        <f>IF(OR($B1586="",$C1586=""),"",$C1586*$F1586)</f>
        <v>0</v>
      </c>
      <c r="H1586" s="27">
        <f>IF(OR($B1586="",$C1586=""),"",$C1586*IFERROR(INDEX(PecCusto,MATCH($B1586,PecCod,0)),0))</f>
        <v>0</v>
      </c>
      <c r="I1586" s="32">
        <f>IF($A1586="","",IFERROR(INDEX(OSStatus,MATCH($A1586,OSNum,0)),"OS inexistente"))</f>
        <v>0</v>
      </c>
      <c r="J1586" s="32">
        <f>IF($A1586="","",IF($I1586="OS inexistente","OS inexistente",IF($E1586="Peça não cadastrada","Peça não cadastrada","OK")))</f>
        <v>0</v>
      </c>
    </row>
    <row r="1587" spans="1:10">
      <c r="A1587" s="17"/>
      <c r="B1587" s="13"/>
      <c r="C1587" s="20"/>
      <c r="D1587" s="19"/>
      <c r="E1587" s="26">
        <f>IF($B1587="","",IFERROR(INDEX(PecDesc,MATCH($B1587,PecCod,0)),"Peça não cadastrada"))</f>
        <v>0</v>
      </c>
      <c r="F1587" s="27">
        <f>IF($B1587="","",IF($D1587&lt;&gt;"",$D1587,IFERROR(INDEX(PecPreco,MATCH($B1587,PecCod,0)),0)))</f>
        <v>0</v>
      </c>
      <c r="G1587" s="27">
        <f>IF(OR($B1587="",$C1587=""),"",$C1587*$F1587)</f>
        <v>0</v>
      </c>
      <c r="H1587" s="27">
        <f>IF(OR($B1587="",$C1587=""),"",$C1587*IFERROR(INDEX(PecCusto,MATCH($B1587,PecCod,0)),0))</f>
        <v>0</v>
      </c>
      <c r="I1587" s="32">
        <f>IF($A1587="","",IFERROR(INDEX(OSStatus,MATCH($A1587,OSNum,0)),"OS inexistente"))</f>
        <v>0</v>
      </c>
      <c r="J1587" s="32">
        <f>IF($A1587="","",IF($I1587="OS inexistente","OS inexistente",IF($E1587="Peça não cadastrada","Peça não cadastrada","OK")))</f>
        <v>0</v>
      </c>
    </row>
    <row r="1588" spans="1:10">
      <c r="A1588" s="17"/>
      <c r="B1588" s="13"/>
      <c r="C1588" s="20"/>
      <c r="D1588" s="19"/>
      <c r="E1588" s="26">
        <f>IF($B1588="","",IFERROR(INDEX(PecDesc,MATCH($B1588,PecCod,0)),"Peça não cadastrada"))</f>
        <v>0</v>
      </c>
      <c r="F1588" s="27">
        <f>IF($B1588="","",IF($D1588&lt;&gt;"",$D1588,IFERROR(INDEX(PecPreco,MATCH($B1588,PecCod,0)),0)))</f>
        <v>0</v>
      </c>
      <c r="G1588" s="27">
        <f>IF(OR($B1588="",$C1588=""),"",$C1588*$F1588)</f>
        <v>0</v>
      </c>
      <c r="H1588" s="27">
        <f>IF(OR($B1588="",$C1588=""),"",$C1588*IFERROR(INDEX(PecCusto,MATCH($B1588,PecCod,0)),0))</f>
        <v>0</v>
      </c>
      <c r="I1588" s="32">
        <f>IF($A1588="","",IFERROR(INDEX(OSStatus,MATCH($A1588,OSNum,0)),"OS inexistente"))</f>
        <v>0</v>
      </c>
      <c r="J1588" s="32">
        <f>IF($A1588="","",IF($I1588="OS inexistente","OS inexistente",IF($E1588="Peça não cadastrada","Peça não cadastrada","OK")))</f>
        <v>0</v>
      </c>
    </row>
    <row r="1589" spans="1:10">
      <c r="A1589" s="17"/>
      <c r="B1589" s="13"/>
      <c r="C1589" s="20"/>
      <c r="D1589" s="19"/>
      <c r="E1589" s="26">
        <f>IF($B1589="","",IFERROR(INDEX(PecDesc,MATCH($B1589,PecCod,0)),"Peça não cadastrada"))</f>
        <v>0</v>
      </c>
      <c r="F1589" s="27">
        <f>IF($B1589="","",IF($D1589&lt;&gt;"",$D1589,IFERROR(INDEX(PecPreco,MATCH($B1589,PecCod,0)),0)))</f>
        <v>0</v>
      </c>
      <c r="G1589" s="27">
        <f>IF(OR($B1589="",$C1589=""),"",$C1589*$F1589)</f>
        <v>0</v>
      </c>
      <c r="H1589" s="27">
        <f>IF(OR($B1589="",$C1589=""),"",$C1589*IFERROR(INDEX(PecCusto,MATCH($B1589,PecCod,0)),0))</f>
        <v>0</v>
      </c>
      <c r="I1589" s="32">
        <f>IF($A1589="","",IFERROR(INDEX(OSStatus,MATCH($A1589,OSNum,0)),"OS inexistente"))</f>
        <v>0</v>
      </c>
      <c r="J1589" s="32">
        <f>IF($A1589="","",IF($I1589="OS inexistente","OS inexistente",IF($E1589="Peça não cadastrada","Peça não cadastrada","OK")))</f>
        <v>0</v>
      </c>
    </row>
    <row r="1590" spans="1:10">
      <c r="A1590" s="17"/>
      <c r="B1590" s="13"/>
      <c r="C1590" s="20"/>
      <c r="D1590" s="19"/>
      <c r="E1590" s="26">
        <f>IF($B1590="","",IFERROR(INDEX(PecDesc,MATCH($B1590,PecCod,0)),"Peça não cadastrada"))</f>
        <v>0</v>
      </c>
      <c r="F1590" s="27">
        <f>IF($B1590="","",IF($D1590&lt;&gt;"",$D1590,IFERROR(INDEX(PecPreco,MATCH($B1590,PecCod,0)),0)))</f>
        <v>0</v>
      </c>
      <c r="G1590" s="27">
        <f>IF(OR($B1590="",$C1590=""),"",$C1590*$F1590)</f>
        <v>0</v>
      </c>
      <c r="H1590" s="27">
        <f>IF(OR($B1590="",$C1590=""),"",$C1590*IFERROR(INDEX(PecCusto,MATCH($B1590,PecCod,0)),0))</f>
        <v>0</v>
      </c>
      <c r="I1590" s="32">
        <f>IF($A1590="","",IFERROR(INDEX(OSStatus,MATCH($A1590,OSNum,0)),"OS inexistente"))</f>
        <v>0</v>
      </c>
      <c r="J1590" s="32">
        <f>IF($A1590="","",IF($I1590="OS inexistente","OS inexistente",IF($E1590="Peça não cadastrada","Peça não cadastrada","OK")))</f>
        <v>0</v>
      </c>
    </row>
    <row r="1591" spans="1:10">
      <c r="A1591" s="17"/>
      <c r="B1591" s="13"/>
      <c r="C1591" s="20"/>
      <c r="D1591" s="19"/>
      <c r="E1591" s="26">
        <f>IF($B1591="","",IFERROR(INDEX(PecDesc,MATCH($B1591,PecCod,0)),"Peça não cadastrada"))</f>
        <v>0</v>
      </c>
      <c r="F1591" s="27">
        <f>IF($B1591="","",IF($D1591&lt;&gt;"",$D1591,IFERROR(INDEX(PecPreco,MATCH($B1591,PecCod,0)),0)))</f>
        <v>0</v>
      </c>
      <c r="G1591" s="27">
        <f>IF(OR($B1591="",$C1591=""),"",$C1591*$F1591)</f>
        <v>0</v>
      </c>
      <c r="H1591" s="27">
        <f>IF(OR($B1591="",$C1591=""),"",$C1591*IFERROR(INDEX(PecCusto,MATCH($B1591,PecCod,0)),0))</f>
        <v>0</v>
      </c>
      <c r="I1591" s="32">
        <f>IF($A1591="","",IFERROR(INDEX(OSStatus,MATCH($A1591,OSNum,0)),"OS inexistente"))</f>
        <v>0</v>
      </c>
      <c r="J1591" s="32">
        <f>IF($A1591="","",IF($I1591="OS inexistente","OS inexistente",IF($E1591="Peça não cadastrada","Peça não cadastrada","OK")))</f>
        <v>0</v>
      </c>
    </row>
    <row r="1592" spans="1:10">
      <c r="A1592" s="17"/>
      <c r="B1592" s="13"/>
      <c r="C1592" s="20"/>
      <c r="D1592" s="19"/>
      <c r="E1592" s="26">
        <f>IF($B1592="","",IFERROR(INDEX(PecDesc,MATCH($B1592,PecCod,0)),"Peça não cadastrada"))</f>
        <v>0</v>
      </c>
      <c r="F1592" s="27">
        <f>IF($B1592="","",IF($D1592&lt;&gt;"",$D1592,IFERROR(INDEX(PecPreco,MATCH($B1592,PecCod,0)),0)))</f>
        <v>0</v>
      </c>
      <c r="G1592" s="27">
        <f>IF(OR($B1592="",$C1592=""),"",$C1592*$F1592)</f>
        <v>0</v>
      </c>
      <c r="H1592" s="27">
        <f>IF(OR($B1592="",$C1592=""),"",$C1592*IFERROR(INDEX(PecCusto,MATCH($B1592,PecCod,0)),0))</f>
        <v>0</v>
      </c>
      <c r="I1592" s="32">
        <f>IF($A1592="","",IFERROR(INDEX(OSStatus,MATCH($A1592,OSNum,0)),"OS inexistente"))</f>
        <v>0</v>
      </c>
      <c r="J1592" s="32">
        <f>IF($A1592="","",IF($I1592="OS inexistente","OS inexistente",IF($E1592="Peça não cadastrada","Peça não cadastrada","OK")))</f>
        <v>0</v>
      </c>
    </row>
    <row r="1593" spans="1:10">
      <c r="A1593" s="17"/>
      <c r="B1593" s="13"/>
      <c r="C1593" s="20"/>
      <c r="D1593" s="19"/>
      <c r="E1593" s="26">
        <f>IF($B1593="","",IFERROR(INDEX(PecDesc,MATCH($B1593,PecCod,0)),"Peça não cadastrada"))</f>
        <v>0</v>
      </c>
      <c r="F1593" s="27">
        <f>IF($B1593="","",IF($D1593&lt;&gt;"",$D1593,IFERROR(INDEX(PecPreco,MATCH($B1593,PecCod,0)),0)))</f>
        <v>0</v>
      </c>
      <c r="G1593" s="27">
        <f>IF(OR($B1593="",$C1593=""),"",$C1593*$F1593)</f>
        <v>0</v>
      </c>
      <c r="H1593" s="27">
        <f>IF(OR($B1593="",$C1593=""),"",$C1593*IFERROR(INDEX(PecCusto,MATCH($B1593,PecCod,0)),0))</f>
        <v>0</v>
      </c>
      <c r="I1593" s="32">
        <f>IF($A1593="","",IFERROR(INDEX(OSStatus,MATCH($A1593,OSNum,0)),"OS inexistente"))</f>
        <v>0</v>
      </c>
      <c r="J1593" s="32">
        <f>IF($A1593="","",IF($I1593="OS inexistente","OS inexistente",IF($E1593="Peça não cadastrada","Peça não cadastrada","OK")))</f>
        <v>0</v>
      </c>
    </row>
    <row r="1594" spans="1:10">
      <c r="A1594" s="17"/>
      <c r="B1594" s="13"/>
      <c r="C1594" s="20"/>
      <c r="D1594" s="19"/>
      <c r="E1594" s="26">
        <f>IF($B1594="","",IFERROR(INDEX(PecDesc,MATCH($B1594,PecCod,0)),"Peça não cadastrada"))</f>
        <v>0</v>
      </c>
      <c r="F1594" s="27">
        <f>IF($B1594="","",IF($D1594&lt;&gt;"",$D1594,IFERROR(INDEX(PecPreco,MATCH($B1594,PecCod,0)),0)))</f>
        <v>0</v>
      </c>
      <c r="G1594" s="27">
        <f>IF(OR($B1594="",$C1594=""),"",$C1594*$F1594)</f>
        <v>0</v>
      </c>
      <c r="H1594" s="27">
        <f>IF(OR($B1594="",$C1594=""),"",$C1594*IFERROR(INDEX(PecCusto,MATCH($B1594,PecCod,0)),0))</f>
        <v>0</v>
      </c>
      <c r="I1594" s="32">
        <f>IF($A1594="","",IFERROR(INDEX(OSStatus,MATCH($A1594,OSNum,0)),"OS inexistente"))</f>
        <v>0</v>
      </c>
      <c r="J1594" s="32">
        <f>IF($A1594="","",IF($I1594="OS inexistente","OS inexistente",IF($E1594="Peça não cadastrada","Peça não cadastrada","OK")))</f>
        <v>0</v>
      </c>
    </row>
    <row r="1595" spans="1:10">
      <c r="A1595" s="17"/>
      <c r="B1595" s="13"/>
      <c r="C1595" s="20"/>
      <c r="D1595" s="19"/>
      <c r="E1595" s="26">
        <f>IF($B1595="","",IFERROR(INDEX(PecDesc,MATCH($B1595,PecCod,0)),"Peça não cadastrada"))</f>
        <v>0</v>
      </c>
      <c r="F1595" s="27">
        <f>IF($B1595="","",IF($D1595&lt;&gt;"",$D1595,IFERROR(INDEX(PecPreco,MATCH($B1595,PecCod,0)),0)))</f>
        <v>0</v>
      </c>
      <c r="G1595" s="27">
        <f>IF(OR($B1595="",$C1595=""),"",$C1595*$F1595)</f>
        <v>0</v>
      </c>
      <c r="H1595" s="27">
        <f>IF(OR($B1595="",$C1595=""),"",$C1595*IFERROR(INDEX(PecCusto,MATCH($B1595,PecCod,0)),0))</f>
        <v>0</v>
      </c>
      <c r="I1595" s="32">
        <f>IF($A1595="","",IFERROR(INDEX(OSStatus,MATCH($A1595,OSNum,0)),"OS inexistente"))</f>
        <v>0</v>
      </c>
      <c r="J1595" s="32">
        <f>IF($A1595="","",IF($I1595="OS inexistente","OS inexistente",IF($E1595="Peça não cadastrada","Peça não cadastrada","OK")))</f>
        <v>0</v>
      </c>
    </row>
    <row r="1596" spans="1:10">
      <c r="A1596" s="17"/>
      <c r="B1596" s="13"/>
      <c r="C1596" s="20"/>
      <c r="D1596" s="19"/>
      <c r="E1596" s="26">
        <f>IF($B1596="","",IFERROR(INDEX(PecDesc,MATCH($B1596,PecCod,0)),"Peça não cadastrada"))</f>
        <v>0</v>
      </c>
      <c r="F1596" s="27">
        <f>IF($B1596="","",IF($D1596&lt;&gt;"",$D1596,IFERROR(INDEX(PecPreco,MATCH($B1596,PecCod,0)),0)))</f>
        <v>0</v>
      </c>
      <c r="G1596" s="27">
        <f>IF(OR($B1596="",$C1596=""),"",$C1596*$F1596)</f>
        <v>0</v>
      </c>
      <c r="H1596" s="27">
        <f>IF(OR($B1596="",$C1596=""),"",$C1596*IFERROR(INDEX(PecCusto,MATCH($B1596,PecCod,0)),0))</f>
        <v>0</v>
      </c>
      <c r="I1596" s="32">
        <f>IF($A1596="","",IFERROR(INDEX(OSStatus,MATCH($A1596,OSNum,0)),"OS inexistente"))</f>
        <v>0</v>
      </c>
      <c r="J1596" s="32">
        <f>IF($A1596="","",IF($I1596="OS inexistente","OS inexistente",IF($E1596="Peça não cadastrada","Peça não cadastrada","OK")))</f>
        <v>0</v>
      </c>
    </row>
    <row r="1597" spans="1:10">
      <c r="A1597" s="17"/>
      <c r="B1597" s="13"/>
      <c r="C1597" s="20"/>
      <c r="D1597" s="19"/>
      <c r="E1597" s="26">
        <f>IF($B1597="","",IFERROR(INDEX(PecDesc,MATCH($B1597,PecCod,0)),"Peça não cadastrada"))</f>
        <v>0</v>
      </c>
      <c r="F1597" s="27">
        <f>IF($B1597="","",IF($D1597&lt;&gt;"",$D1597,IFERROR(INDEX(PecPreco,MATCH($B1597,PecCod,0)),0)))</f>
        <v>0</v>
      </c>
      <c r="G1597" s="27">
        <f>IF(OR($B1597="",$C1597=""),"",$C1597*$F1597)</f>
        <v>0</v>
      </c>
      <c r="H1597" s="27">
        <f>IF(OR($B1597="",$C1597=""),"",$C1597*IFERROR(INDEX(PecCusto,MATCH($B1597,PecCod,0)),0))</f>
        <v>0</v>
      </c>
      <c r="I1597" s="32">
        <f>IF($A1597="","",IFERROR(INDEX(OSStatus,MATCH($A1597,OSNum,0)),"OS inexistente"))</f>
        <v>0</v>
      </c>
      <c r="J1597" s="32">
        <f>IF($A1597="","",IF($I1597="OS inexistente","OS inexistente",IF($E1597="Peça não cadastrada","Peça não cadastrada","OK")))</f>
        <v>0</v>
      </c>
    </row>
    <row r="1598" spans="1:10">
      <c r="A1598" s="17"/>
      <c r="B1598" s="13"/>
      <c r="C1598" s="20"/>
      <c r="D1598" s="19"/>
      <c r="E1598" s="26">
        <f>IF($B1598="","",IFERROR(INDEX(PecDesc,MATCH($B1598,PecCod,0)),"Peça não cadastrada"))</f>
        <v>0</v>
      </c>
      <c r="F1598" s="27">
        <f>IF($B1598="","",IF($D1598&lt;&gt;"",$D1598,IFERROR(INDEX(PecPreco,MATCH($B1598,PecCod,0)),0)))</f>
        <v>0</v>
      </c>
      <c r="G1598" s="27">
        <f>IF(OR($B1598="",$C1598=""),"",$C1598*$F1598)</f>
        <v>0</v>
      </c>
      <c r="H1598" s="27">
        <f>IF(OR($B1598="",$C1598=""),"",$C1598*IFERROR(INDEX(PecCusto,MATCH($B1598,PecCod,0)),0))</f>
        <v>0</v>
      </c>
      <c r="I1598" s="32">
        <f>IF($A1598="","",IFERROR(INDEX(OSStatus,MATCH($A1598,OSNum,0)),"OS inexistente"))</f>
        <v>0</v>
      </c>
      <c r="J1598" s="32">
        <f>IF($A1598="","",IF($I1598="OS inexistente","OS inexistente",IF($E1598="Peça não cadastrada","Peça não cadastrada","OK")))</f>
        <v>0</v>
      </c>
    </row>
    <row r="1599" spans="1:10">
      <c r="A1599" s="17"/>
      <c r="B1599" s="13"/>
      <c r="C1599" s="20"/>
      <c r="D1599" s="19"/>
      <c r="E1599" s="26">
        <f>IF($B1599="","",IFERROR(INDEX(PecDesc,MATCH($B1599,PecCod,0)),"Peça não cadastrada"))</f>
        <v>0</v>
      </c>
      <c r="F1599" s="27">
        <f>IF($B1599="","",IF($D1599&lt;&gt;"",$D1599,IFERROR(INDEX(PecPreco,MATCH($B1599,PecCod,0)),0)))</f>
        <v>0</v>
      </c>
      <c r="G1599" s="27">
        <f>IF(OR($B1599="",$C1599=""),"",$C1599*$F1599)</f>
        <v>0</v>
      </c>
      <c r="H1599" s="27">
        <f>IF(OR($B1599="",$C1599=""),"",$C1599*IFERROR(INDEX(PecCusto,MATCH($B1599,PecCod,0)),0))</f>
        <v>0</v>
      </c>
      <c r="I1599" s="32">
        <f>IF($A1599="","",IFERROR(INDEX(OSStatus,MATCH($A1599,OSNum,0)),"OS inexistente"))</f>
        <v>0</v>
      </c>
      <c r="J1599" s="32">
        <f>IF($A1599="","",IF($I1599="OS inexistente","OS inexistente",IF($E1599="Peça não cadastrada","Peça não cadastrada","OK")))</f>
        <v>0</v>
      </c>
    </row>
    <row r="1600" spans="1:10">
      <c r="A1600" s="17"/>
      <c r="B1600" s="13"/>
      <c r="C1600" s="20"/>
      <c r="D1600" s="19"/>
      <c r="E1600" s="26">
        <f>IF($B1600="","",IFERROR(INDEX(PecDesc,MATCH($B1600,PecCod,0)),"Peça não cadastrada"))</f>
        <v>0</v>
      </c>
      <c r="F1600" s="27">
        <f>IF($B1600="","",IF($D1600&lt;&gt;"",$D1600,IFERROR(INDEX(PecPreco,MATCH($B1600,PecCod,0)),0)))</f>
        <v>0</v>
      </c>
      <c r="G1600" s="27">
        <f>IF(OR($B1600="",$C1600=""),"",$C1600*$F1600)</f>
        <v>0</v>
      </c>
      <c r="H1600" s="27">
        <f>IF(OR($B1600="",$C1600=""),"",$C1600*IFERROR(INDEX(PecCusto,MATCH($B1600,PecCod,0)),0))</f>
        <v>0</v>
      </c>
      <c r="I1600" s="32">
        <f>IF($A1600="","",IFERROR(INDEX(OSStatus,MATCH($A1600,OSNum,0)),"OS inexistente"))</f>
        <v>0</v>
      </c>
      <c r="J1600" s="32">
        <f>IF($A1600="","",IF($I1600="OS inexistente","OS inexistente",IF($E1600="Peça não cadastrada","Peça não cadastrada","OK")))</f>
        <v>0</v>
      </c>
    </row>
    <row r="1601" spans="1:10">
      <c r="A1601" s="17"/>
      <c r="B1601" s="13"/>
      <c r="C1601" s="20"/>
      <c r="D1601" s="19"/>
      <c r="E1601" s="26">
        <f>IF($B1601="","",IFERROR(INDEX(PecDesc,MATCH($B1601,PecCod,0)),"Peça não cadastrada"))</f>
        <v>0</v>
      </c>
      <c r="F1601" s="27">
        <f>IF($B1601="","",IF($D1601&lt;&gt;"",$D1601,IFERROR(INDEX(PecPreco,MATCH($B1601,PecCod,0)),0)))</f>
        <v>0</v>
      </c>
      <c r="G1601" s="27">
        <f>IF(OR($B1601="",$C1601=""),"",$C1601*$F1601)</f>
        <v>0</v>
      </c>
      <c r="H1601" s="27">
        <f>IF(OR($B1601="",$C1601=""),"",$C1601*IFERROR(INDEX(PecCusto,MATCH($B1601,PecCod,0)),0))</f>
        <v>0</v>
      </c>
      <c r="I1601" s="32">
        <f>IF($A1601="","",IFERROR(INDEX(OSStatus,MATCH($A1601,OSNum,0)),"OS inexistente"))</f>
        <v>0</v>
      </c>
      <c r="J1601" s="32">
        <f>IF($A1601="","",IF($I1601="OS inexistente","OS inexistente",IF($E1601="Peça não cadastrada","Peça não cadastrada","OK")))</f>
        <v>0</v>
      </c>
    </row>
    <row r="1602" spans="1:10">
      <c r="A1602" s="17"/>
      <c r="B1602" s="13"/>
      <c r="C1602" s="20"/>
      <c r="D1602" s="19"/>
      <c r="E1602" s="26">
        <f>IF($B1602="","",IFERROR(INDEX(PecDesc,MATCH($B1602,PecCod,0)),"Peça não cadastrada"))</f>
        <v>0</v>
      </c>
      <c r="F1602" s="27">
        <f>IF($B1602="","",IF($D1602&lt;&gt;"",$D1602,IFERROR(INDEX(PecPreco,MATCH($B1602,PecCod,0)),0)))</f>
        <v>0</v>
      </c>
      <c r="G1602" s="27">
        <f>IF(OR($B1602="",$C1602=""),"",$C1602*$F1602)</f>
        <v>0</v>
      </c>
      <c r="H1602" s="27">
        <f>IF(OR($B1602="",$C1602=""),"",$C1602*IFERROR(INDEX(PecCusto,MATCH($B1602,PecCod,0)),0))</f>
        <v>0</v>
      </c>
      <c r="I1602" s="32">
        <f>IF($A1602="","",IFERROR(INDEX(OSStatus,MATCH($A1602,OSNum,0)),"OS inexistente"))</f>
        <v>0</v>
      </c>
      <c r="J1602" s="32">
        <f>IF($A1602="","",IF($I1602="OS inexistente","OS inexistente",IF($E1602="Peça não cadastrada","Peça não cadastrada","OK")))</f>
        <v>0</v>
      </c>
    </row>
    <row r="1603" spans="1:10">
      <c r="A1603" s="17"/>
      <c r="B1603" s="13"/>
      <c r="C1603" s="20"/>
      <c r="D1603" s="19"/>
      <c r="E1603" s="26">
        <f>IF($B1603="","",IFERROR(INDEX(PecDesc,MATCH($B1603,PecCod,0)),"Peça não cadastrada"))</f>
        <v>0</v>
      </c>
      <c r="F1603" s="27">
        <f>IF($B1603="","",IF($D1603&lt;&gt;"",$D1603,IFERROR(INDEX(PecPreco,MATCH($B1603,PecCod,0)),0)))</f>
        <v>0</v>
      </c>
      <c r="G1603" s="27">
        <f>IF(OR($B1603="",$C1603=""),"",$C1603*$F1603)</f>
        <v>0</v>
      </c>
      <c r="H1603" s="27">
        <f>IF(OR($B1603="",$C1603=""),"",$C1603*IFERROR(INDEX(PecCusto,MATCH($B1603,PecCod,0)),0))</f>
        <v>0</v>
      </c>
      <c r="I1603" s="32">
        <f>IF($A1603="","",IFERROR(INDEX(OSStatus,MATCH($A1603,OSNum,0)),"OS inexistente"))</f>
        <v>0</v>
      </c>
      <c r="J1603" s="32">
        <f>IF($A1603="","",IF($I1603="OS inexistente","OS inexistente",IF($E1603="Peça não cadastrada","Peça não cadastrada","OK")))</f>
        <v>0</v>
      </c>
    </row>
    <row r="1604" spans="1:10">
      <c r="A1604" s="17"/>
      <c r="B1604" s="13"/>
      <c r="C1604" s="20"/>
      <c r="D1604" s="19"/>
      <c r="E1604" s="26">
        <f>IF($B1604="","",IFERROR(INDEX(PecDesc,MATCH($B1604,PecCod,0)),"Peça não cadastrada"))</f>
        <v>0</v>
      </c>
      <c r="F1604" s="27">
        <f>IF($B1604="","",IF($D1604&lt;&gt;"",$D1604,IFERROR(INDEX(PecPreco,MATCH($B1604,PecCod,0)),0)))</f>
        <v>0</v>
      </c>
      <c r="G1604" s="27">
        <f>IF(OR($B1604="",$C1604=""),"",$C1604*$F1604)</f>
        <v>0</v>
      </c>
      <c r="H1604" s="27">
        <f>IF(OR($B1604="",$C1604=""),"",$C1604*IFERROR(INDEX(PecCusto,MATCH($B1604,PecCod,0)),0))</f>
        <v>0</v>
      </c>
      <c r="I1604" s="32">
        <f>IF($A1604="","",IFERROR(INDEX(OSStatus,MATCH($A1604,OSNum,0)),"OS inexistente"))</f>
        <v>0</v>
      </c>
      <c r="J1604" s="32">
        <f>IF($A1604="","",IF($I1604="OS inexistente","OS inexistente",IF($E1604="Peça não cadastrada","Peça não cadastrada","OK")))</f>
        <v>0</v>
      </c>
    </row>
    <row r="1605" spans="1:10">
      <c r="A1605" s="17"/>
      <c r="B1605" s="13"/>
      <c r="C1605" s="20"/>
      <c r="D1605" s="19"/>
      <c r="E1605" s="26">
        <f>IF($B1605="","",IFERROR(INDEX(PecDesc,MATCH($B1605,PecCod,0)),"Peça não cadastrada"))</f>
        <v>0</v>
      </c>
      <c r="F1605" s="27">
        <f>IF($B1605="","",IF($D1605&lt;&gt;"",$D1605,IFERROR(INDEX(PecPreco,MATCH($B1605,PecCod,0)),0)))</f>
        <v>0</v>
      </c>
      <c r="G1605" s="27">
        <f>IF(OR($B1605="",$C1605=""),"",$C1605*$F1605)</f>
        <v>0</v>
      </c>
      <c r="H1605" s="27">
        <f>IF(OR($B1605="",$C1605=""),"",$C1605*IFERROR(INDEX(PecCusto,MATCH($B1605,PecCod,0)),0))</f>
        <v>0</v>
      </c>
      <c r="I1605" s="32">
        <f>IF($A1605="","",IFERROR(INDEX(OSStatus,MATCH($A1605,OSNum,0)),"OS inexistente"))</f>
        <v>0</v>
      </c>
      <c r="J1605" s="32">
        <f>IF($A1605="","",IF($I1605="OS inexistente","OS inexistente",IF($E1605="Peça não cadastrada","Peça não cadastrada","OK")))</f>
        <v>0</v>
      </c>
    </row>
    <row r="1606" spans="1:10">
      <c r="A1606" s="17"/>
      <c r="B1606" s="13"/>
      <c r="C1606" s="20"/>
      <c r="D1606" s="19"/>
      <c r="E1606" s="26">
        <f>IF($B1606="","",IFERROR(INDEX(PecDesc,MATCH($B1606,PecCod,0)),"Peça não cadastrada"))</f>
        <v>0</v>
      </c>
      <c r="F1606" s="27">
        <f>IF($B1606="","",IF($D1606&lt;&gt;"",$D1606,IFERROR(INDEX(PecPreco,MATCH($B1606,PecCod,0)),0)))</f>
        <v>0</v>
      </c>
      <c r="G1606" s="27">
        <f>IF(OR($B1606="",$C1606=""),"",$C1606*$F1606)</f>
        <v>0</v>
      </c>
      <c r="H1606" s="27">
        <f>IF(OR($B1606="",$C1606=""),"",$C1606*IFERROR(INDEX(PecCusto,MATCH($B1606,PecCod,0)),0))</f>
        <v>0</v>
      </c>
      <c r="I1606" s="32">
        <f>IF($A1606="","",IFERROR(INDEX(OSStatus,MATCH($A1606,OSNum,0)),"OS inexistente"))</f>
        <v>0</v>
      </c>
      <c r="J1606" s="32">
        <f>IF($A1606="","",IF($I1606="OS inexistente","OS inexistente",IF($E1606="Peça não cadastrada","Peça não cadastrada","OK")))</f>
        <v>0</v>
      </c>
    </row>
    <row r="1607" spans="1:10">
      <c r="A1607" s="17"/>
      <c r="B1607" s="13"/>
      <c r="C1607" s="20"/>
      <c r="D1607" s="19"/>
      <c r="E1607" s="26">
        <f>IF($B1607="","",IFERROR(INDEX(PecDesc,MATCH($B1607,PecCod,0)),"Peça não cadastrada"))</f>
        <v>0</v>
      </c>
      <c r="F1607" s="27">
        <f>IF($B1607="","",IF($D1607&lt;&gt;"",$D1607,IFERROR(INDEX(PecPreco,MATCH($B1607,PecCod,0)),0)))</f>
        <v>0</v>
      </c>
      <c r="G1607" s="27">
        <f>IF(OR($B1607="",$C1607=""),"",$C1607*$F1607)</f>
        <v>0</v>
      </c>
      <c r="H1607" s="27">
        <f>IF(OR($B1607="",$C1607=""),"",$C1607*IFERROR(INDEX(PecCusto,MATCH($B1607,PecCod,0)),0))</f>
        <v>0</v>
      </c>
      <c r="I1607" s="32">
        <f>IF($A1607="","",IFERROR(INDEX(OSStatus,MATCH($A1607,OSNum,0)),"OS inexistente"))</f>
        <v>0</v>
      </c>
      <c r="J1607" s="32">
        <f>IF($A1607="","",IF($I1607="OS inexistente","OS inexistente",IF($E1607="Peça não cadastrada","Peça não cadastrada","OK")))</f>
        <v>0</v>
      </c>
    </row>
    <row r="1608" spans="1:10">
      <c r="A1608" s="17"/>
      <c r="B1608" s="13"/>
      <c r="C1608" s="20"/>
      <c r="D1608" s="19"/>
      <c r="E1608" s="26">
        <f>IF($B1608="","",IFERROR(INDEX(PecDesc,MATCH($B1608,PecCod,0)),"Peça não cadastrada"))</f>
        <v>0</v>
      </c>
      <c r="F1608" s="27">
        <f>IF($B1608="","",IF($D1608&lt;&gt;"",$D1608,IFERROR(INDEX(PecPreco,MATCH($B1608,PecCod,0)),0)))</f>
        <v>0</v>
      </c>
      <c r="G1608" s="27">
        <f>IF(OR($B1608="",$C1608=""),"",$C1608*$F1608)</f>
        <v>0</v>
      </c>
      <c r="H1608" s="27">
        <f>IF(OR($B1608="",$C1608=""),"",$C1608*IFERROR(INDEX(PecCusto,MATCH($B1608,PecCod,0)),0))</f>
        <v>0</v>
      </c>
      <c r="I1608" s="32">
        <f>IF($A1608="","",IFERROR(INDEX(OSStatus,MATCH($A1608,OSNum,0)),"OS inexistente"))</f>
        <v>0</v>
      </c>
      <c r="J1608" s="32">
        <f>IF($A1608="","",IF($I1608="OS inexistente","OS inexistente",IF($E1608="Peça não cadastrada","Peça não cadastrada","OK")))</f>
        <v>0</v>
      </c>
    </row>
    <row r="1609" spans="1:10">
      <c r="A1609" s="17"/>
      <c r="B1609" s="13"/>
      <c r="C1609" s="20"/>
      <c r="D1609" s="19"/>
      <c r="E1609" s="26">
        <f>IF($B1609="","",IFERROR(INDEX(PecDesc,MATCH($B1609,PecCod,0)),"Peça não cadastrada"))</f>
        <v>0</v>
      </c>
      <c r="F1609" s="27">
        <f>IF($B1609="","",IF($D1609&lt;&gt;"",$D1609,IFERROR(INDEX(PecPreco,MATCH($B1609,PecCod,0)),0)))</f>
        <v>0</v>
      </c>
      <c r="G1609" s="27">
        <f>IF(OR($B1609="",$C1609=""),"",$C1609*$F1609)</f>
        <v>0</v>
      </c>
      <c r="H1609" s="27">
        <f>IF(OR($B1609="",$C1609=""),"",$C1609*IFERROR(INDEX(PecCusto,MATCH($B1609,PecCod,0)),0))</f>
        <v>0</v>
      </c>
      <c r="I1609" s="32">
        <f>IF($A1609="","",IFERROR(INDEX(OSStatus,MATCH($A1609,OSNum,0)),"OS inexistente"))</f>
        <v>0</v>
      </c>
      <c r="J1609" s="32">
        <f>IF($A1609="","",IF($I1609="OS inexistente","OS inexistente",IF($E1609="Peça não cadastrada","Peça não cadastrada","OK")))</f>
        <v>0</v>
      </c>
    </row>
    <row r="1610" spans="1:10">
      <c r="A1610" s="17"/>
      <c r="B1610" s="13"/>
      <c r="C1610" s="20"/>
      <c r="D1610" s="19"/>
      <c r="E1610" s="26">
        <f>IF($B1610="","",IFERROR(INDEX(PecDesc,MATCH($B1610,PecCod,0)),"Peça não cadastrada"))</f>
        <v>0</v>
      </c>
      <c r="F1610" s="27">
        <f>IF($B1610="","",IF($D1610&lt;&gt;"",$D1610,IFERROR(INDEX(PecPreco,MATCH($B1610,PecCod,0)),0)))</f>
        <v>0</v>
      </c>
      <c r="G1610" s="27">
        <f>IF(OR($B1610="",$C1610=""),"",$C1610*$F1610)</f>
        <v>0</v>
      </c>
      <c r="H1610" s="27">
        <f>IF(OR($B1610="",$C1610=""),"",$C1610*IFERROR(INDEX(PecCusto,MATCH($B1610,PecCod,0)),0))</f>
        <v>0</v>
      </c>
      <c r="I1610" s="32">
        <f>IF($A1610="","",IFERROR(INDEX(OSStatus,MATCH($A1610,OSNum,0)),"OS inexistente"))</f>
        <v>0</v>
      </c>
      <c r="J1610" s="32">
        <f>IF($A1610="","",IF($I1610="OS inexistente","OS inexistente",IF($E1610="Peça não cadastrada","Peça não cadastrada","OK")))</f>
        <v>0</v>
      </c>
    </row>
    <row r="1611" spans="1:10">
      <c r="A1611" s="17"/>
      <c r="B1611" s="13"/>
      <c r="C1611" s="20"/>
      <c r="D1611" s="19"/>
      <c r="E1611" s="26">
        <f>IF($B1611="","",IFERROR(INDEX(PecDesc,MATCH($B1611,PecCod,0)),"Peça não cadastrada"))</f>
        <v>0</v>
      </c>
      <c r="F1611" s="27">
        <f>IF($B1611="","",IF($D1611&lt;&gt;"",$D1611,IFERROR(INDEX(PecPreco,MATCH($B1611,PecCod,0)),0)))</f>
        <v>0</v>
      </c>
      <c r="G1611" s="27">
        <f>IF(OR($B1611="",$C1611=""),"",$C1611*$F1611)</f>
        <v>0</v>
      </c>
      <c r="H1611" s="27">
        <f>IF(OR($B1611="",$C1611=""),"",$C1611*IFERROR(INDEX(PecCusto,MATCH($B1611,PecCod,0)),0))</f>
        <v>0</v>
      </c>
      <c r="I1611" s="32">
        <f>IF($A1611="","",IFERROR(INDEX(OSStatus,MATCH($A1611,OSNum,0)),"OS inexistente"))</f>
        <v>0</v>
      </c>
      <c r="J1611" s="32">
        <f>IF($A1611="","",IF($I1611="OS inexistente","OS inexistente",IF($E1611="Peça não cadastrada","Peça não cadastrada","OK")))</f>
        <v>0</v>
      </c>
    </row>
    <row r="1612" spans="1:10">
      <c r="A1612" s="17"/>
      <c r="B1612" s="13"/>
      <c r="C1612" s="20"/>
      <c r="D1612" s="19"/>
      <c r="E1612" s="26">
        <f>IF($B1612="","",IFERROR(INDEX(PecDesc,MATCH($B1612,PecCod,0)),"Peça não cadastrada"))</f>
        <v>0</v>
      </c>
      <c r="F1612" s="27">
        <f>IF($B1612="","",IF($D1612&lt;&gt;"",$D1612,IFERROR(INDEX(PecPreco,MATCH($B1612,PecCod,0)),0)))</f>
        <v>0</v>
      </c>
      <c r="G1612" s="27">
        <f>IF(OR($B1612="",$C1612=""),"",$C1612*$F1612)</f>
        <v>0</v>
      </c>
      <c r="H1612" s="27">
        <f>IF(OR($B1612="",$C1612=""),"",$C1612*IFERROR(INDEX(PecCusto,MATCH($B1612,PecCod,0)),0))</f>
        <v>0</v>
      </c>
      <c r="I1612" s="32">
        <f>IF($A1612="","",IFERROR(INDEX(OSStatus,MATCH($A1612,OSNum,0)),"OS inexistente"))</f>
        <v>0</v>
      </c>
      <c r="J1612" s="32">
        <f>IF($A1612="","",IF($I1612="OS inexistente","OS inexistente",IF($E1612="Peça não cadastrada","Peça não cadastrada","OK")))</f>
        <v>0</v>
      </c>
    </row>
    <row r="1613" spans="1:10">
      <c r="A1613" s="17"/>
      <c r="B1613" s="13"/>
      <c r="C1613" s="20"/>
      <c r="D1613" s="19"/>
      <c r="E1613" s="26">
        <f>IF($B1613="","",IFERROR(INDEX(PecDesc,MATCH($B1613,PecCod,0)),"Peça não cadastrada"))</f>
        <v>0</v>
      </c>
      <c r="F1613" s="27">
        <f>IF($B1613="","",IF($D1613&lt;&gt;"",$D1613,IFERROR(INDEX(PecPreco,MATCH($B1613,PecCod,0)),0)))</f>
        <v>0</v>
      </c>
      <c r="G1613" s="27">
        <f>IF(OR($B1613="",$C1613=""),"",$C1613*$F1613)</f>
        <v>0</v>
      </c>
      <c r="H1613" s="27">
        <f>IF(OR($B1613="",$C1613=""),"",$C1613*IFERROR(INDEX(PecCusto,MATCH($B1613,PecCod,0)),0))</f>
        <v>0</v>
      </c>
      <c r="I1613" s="32">
        <f>IF($A1613="","",IFERROR(INDEX(OSStatus,MATCH($A1613,OSNum,0)),"OS inexistente"))</f>
        <v>0</v>
      </c>
      <c r="J1613" s="32">
        <f>IF($A1613="","",IF($I1613="OS inexistente","OS inexistente",IF($E1613="Peça não cadastrada","Peça não cadastrada","OK")))</f>
        <v>0</v>
      </c>
    </row>
    <row r="1614" spans="1:10">
      <c r="A1614" s="17"/>
      <c r="B1614" s="13"/>
      <c r="C1614" s="20"/>
      <c r="D1614" s="19"/>
      <c r="E1614" s="26">
        <f>IF($B1614="","",IFERROR(INDEX(PecDesc,MATCH($B1614,PecCod,0)),"Peça não cadastrada"))</f>
        <v>0</v>
      </c>
      <c r="F1614" s="27">
        <f>IF($B1614="","",IF($D1614&lt;&gt;"",$D1614,IFERROR(INDEX(PecPreco,MATCH($B1614,PecCod,0)),0)))</f>
        <v>0</v>
      </c>
      <c r="G1614" s="27">
        <f>IF(OR($B1614="",$C1614=""),"",$C1614*$F1614)</f>
        <v>0</v>
      </c>
      <c r="H1614" s="27">
        <f>IF(OR($B1614="",$C1614=""),"",$C1614*IFERROR(INDEX(PecCusto,MATCH($B1614,PecCod,0)),0))</f>
        <v>0</v>
      </c>
      <c r="I1614" s="32">
        <f>IF($A1614="","",IFERROR(INDEX(OSStatus,MATCH($A1614,OSNum,0)),"OS inexistente"))</f>
        <v>0</v>
      </c>
      <c r="J1614" s="32">
        <f>IF($A1614="","",IF($I1614="OS inexistente","OS inexistente",IF($E1614="Peça não cadastrada","Peça não cadastrada","OK")))</f>
        <v>0</v>
      </c>
    </row>
    <row r="1615" spans="1:10">
      <c r="A1615" s="17"/>
      <c r="B1615" s="13"/>
      <c r="C1615" s="20"/>
      <c r="D1615" s="19"/>
      <c r="E1615" s="26">
        <f>IF($B1615="","",IFERROR(INDEX(PecDesc,MATCH($B1615,PecCod,0)),"Peça não cadastrada"))</f>
        <v>0</v>
      </c>
      <c r="F1615" s="27">
        <f>IF($B1615="","",IF($D1615&lt;&gt;"",$D1615,IFERROR(INDEX(PecPreco,MATCH($B1615,PecCod,0)),0)))</f>
        <v>0</v>
      </c>
      <c r="G1615" s="27">
        <f>IF(OR($B1615="",$C1615=""),"",$C1615*$F1615)</f>
        <v>0</v>
      </c>
      <c r="H1615" s="27">
        <f>IF(OR($B1615="",$C1615=""),"",$C1615*IFERROR(INDEX(PecCusto,MATCH($B1615,PecCod,0)),0))</f>
        <v>0</v>
      </c>
      <c r="I1615" s="32">
        <f>IF($A1615="","",IFERROR(INDEX(OSStatus,MATCH($A1615,OSNum,0)),"OS inexistente"))</f>
        <v>0</v>
      </c>
      <c r="J1615" s="32">
        <f>IF($A1615="","",IF($I1615="OS inexistente","OS inexistente",IF($E1615="Peça não cadastrada","Peça não cadastrada","OK")))</f>
        <v>0</v>
      </c>
    </row>
    <row r="1616" spans="1:10">
      <c r="A1616" s="17"/>
      <c r="B1616" s="13"/>
      <c r="C1616" s="20"/>
      <c r="D1616" s="19"/>
      <c r="E1616" s="26">
        <f>IF($B1616="","",IFERROR(INDEX(PecDesc,MATCH($B1616,PecCod,0)),"Peça não cadastrada"))</f>
        <v>0</v>
      </c>
      <c r="F1616" s="27">
        <f>IF($B1616="","",IF($D1616&lt;&gt;"",$D1616,IFERROR(INDEX(PecPreco,MATCH($B1616,PecCod,0)),0)))</f>
        <v>0</v>
      </c>
      <c r="G1616" s="27">
        <f>IF(OR($B1616="",$C1616=""),"",$C1616*$F1616)</f>
        <v>0</v>
      </c>
      <c r="H1616" s="27">
        <f>IF(OR($B1616="",$C1616=""),"",$C1616*IFERROR(INDEX(PecCusto,MATCH($B1616,PecCod,0)),0))</f>
        <v>0</v>
      </c>
      <c r="I1616" s="32">
        <f>IF($A1616="","",IFERROR(INDEX(OSStatus,MATCH($A1616,OSNum,0)),"OS inexistente"))</f>
        <v>0</v>
      </c>
      <c r="J1616" s="32">
        <f>IF($A1616="","",IF($I1616="OS inexistente","OS inexistente",IF($E1616="Peça não cadastrada","Peça não cadastrada","OK")))</f>
        <v>0</v>
      </c>
    </row>
    <row r="1617" spans="1:10">
      <c r="A1617" s="17"/>
      <c r="B1617" s="13"/>
      <c r="C1617" s="20"/>
      <c r="D1617" s="19"/>
      <c r="E1617" s="26">
        <f>IF($B1617="","",IFERROR(INDEX(PecDesc,MATCH($B1617,PecCod,0)),"Peça não cadastrada"))</f>
        <v>0</v>
      </c>
      <c r="F1617" s="27">
        <f>IF($B1617="","",IF($D1617&lt;&gt;"",$D1617,IFERROR(INDEX(PecPreco,MATCH($B1617,PecCod,0)),0)))</f>
        <v>0</v>
      </c>
      <c r="G1617" s="27">
        <f>IF(OR($B1617="",$C1617=""),"",$C1617*$F1617)</f>
        <v>0</v>
      </c>
      <c r="H1617" s="27">
        <f>IF(OR($B1617="",$C1617=""),"",$C1617*IFERROR(INDEX(PecCusto,MATCH($B1617,PecCod,0)),0))</f>
        <v>0</v>
      </c>
      <c r="I1617" s="32">
        <f>IF($A1617="","",IFERROR(INDEX(OSStatus,MATCH($A1617,OSNum,0)),"OS inexistente"))</f>
        <v>0</v>
      </c>
      <c r="J1617" s="32">
        <f>IF($A1617="","",IF($I1617="OS inexistente","OS inexistente",IF($E1617="Peça não cadastrada","Peça não cadastrada","OK")))</f>
        <v>0</v>
      </c>
    </row>
    <row r="1618" spans="1:10">
      <c r="A1618" s="17"/>
      <c r="B1618" s="13"/>
      <c r="C1618" s="20"/>
      <c r="D1618" s="19"/>
      <c r="E1618" s="26">
        <f>IF($B1618="","",IFERROR(INDEX(PecDesc,MATCH($B1618,PecCod,0)),"Peça não cadastrada"))</f>
        <v>0</v>
      </c>
      <c r="F1618" s="27">
        <f>IF($B1618="","",IF($D1618&lt;&gt;"",$D1618,IFERROR(INDEX(PecPreco,MATCH($B1618,PecCod,0)),0)))</f>
        <v>0</v>
      </c>
      <c r="G1618" s="27">
        <f>IF(OR($B1618="",$C1618=""),"",$C1618*$F1618)</f>
        <v>0</v>
      </c>
      <c r="H1618" s="27">
        <f>IF(OR($B1618="",$C1618=""),"",$C1618*IFERROR(INDEX(PecCusto,MATCH($B1618,PecCod,0)),0))</f>
        <v>0</v>
      </c>
      <c r="I1618" s="32">
        <f>IF($A1618="","",IFERROR(INDEX(OSStatus,MATCH($A1618,OSNum,0)),"OS inexistente"))</f>
        <v>0</v>
      </c>
      <c r="J1618" s="32">
        <f>IF($A1618="","",IF($I1618="OS inexistente","OS inexistente",IF($E1618="Peça não cadastrada","Peça não cadastrada","OK")))</f>
        <v>0</v>
      </c>
    </row>
    <row r="1619" spans="1:10">
      <c r="A1619" s="17"/>
      <c r="B1619" s="13"/>
      <c r="C1619" s="20"/>
      <c r="D1619" s="19"/>
      <c r="E1619" s="26">
        <f>IF($B1619="","",IFERROR(INDEX(PecDesc,MATCH($B1619,PecCod,0)),"Peça não cadastrada"))</f>
        <v>0</v>
      </c>
      <c r="F1619" s="27">
        <f>IF($B1619="","",IF($D1619&lt;&gt;"",$D1619,IFERROR(INDEX(PecPreco,MATCH($B1619,PecCod,0)),0)))</f>
        <v>0</v>
      </c>
      <c r="G1619" s="27">
        <f>IF(OR($B1619="",$C1619=""),"",$C1619*$F1619)</f>
        <v>0</v>
      </c>
      <c r="H1619" s="27">
        <f>IF(OR($B1619="",$C1619=""),"",$C1619*IFERROR(INDEX(PecCusto,MATCH($B1619,PecCod,0)),0))</f>
        <v>0</v>
      </c>
      <c r="I1619" s="32">
        <f>IF($A1619="","",IFERROR(INDEX(OSStatus,MATCH($A1619,OSNum,0)),"OS inexistente"))</f>
        <v>0</v>
      </c>
      <c r="J1619" s="32">
        <f>IF($A1619="","",IF($I1619="OS inexistente","OS inexistente",IF($E1619="Peça não cadastrada","Peça não cadastrada","OK")))</f>
        <v>0</v>
      </c>
    </row>
    <row r="1620" spans="1:10">
      <c r="A1620" s="17"/>
      <c r="B1620" s="13"/>
      <c r="C1620" s="20"/>
      <c r="D1620" s="19"/>
      <c r="E1620" s="26">
        <f>IF($B1620="","",IFERROR(INDEX(PecDesc,MATCH($B1620,PecCod,0)),"Peça não cadastrada"))</f>
        <v>0</v>
      </c>
      <c r="F1620" s="27">
        <f>IF($B1620="","",IF($D1620&lt;&gt;"",$D1620,IFERROR(INDEX(PecPreco,MATCH($B1620,PecCod,0)),0)))</f>
        <v>0</v>
      </c>
      <c r="G1620" s="27">
        <f>IF(OR($B1620="",$C1620=""),"",$C1620*$F1620)</f>
        <v>0</v>
      </c>
      <c r="H1620" s="27">
        <f>IF(OR($B1620="",$C1620=""),"",$C1620*IFERROR(INDEX(PecCusto,MATCH($B1620,PecCod,0)),0))</f>
        <v>0</v>
      </c>
      <c r="I1620" s="32">
        <f>IF($A1620="","",IFERROR(INDEX(OSStatus,MATCH($A1620,OSNum,0)),"OS inexistente"))</f>
        <v>0</v>
      </c>
      <c r="J1620" s="32">
        <f>IF($A1620="","",IF($I1620="OS inexistente","OS inexistente",IF($E1620="Peça não cadastrada","Peça não cadastrada","OK")))</f>
        <v>0</v>
      </c>
    </row>
    <row r="1621" spans="1:10">
      <c r="A1621" s="17"/>
      <c r="B1621" s="13"/>
      <c r="C1621" s="20"/>
      <c r="D1621" s="19"/>
      <c r="E1621" s="26">
        <f>IF($B1621="","",IFERROR(INDEX(PecDesc,MATCH($B1621,PecCod,0)),"Peça não cadastrada"))</f>
        <v>0</v>
      </c>
      <c r="F1621" s="27">
        <f>IF($B1621="","",IF($D1621&lt;&gt;"",$D1621,IFERROR(INDEX(PecPreco,MATCH($B1621,PecCod,0)),0)))</f>
        <v>0</v>
      </c>
      <c r="G1621" s="27">
        <f>IF(OR($B1621="",$C1621=""),"",$C1621*$F1621)</f>
        <v>0</v>
      </c>
      <c r="H1621" s="27">
        <f>IF(OR($B1621="",$C1621=""),"",$C1621*IFERROR(INDEX(PecCusto,MATCH($B1621,PecCod,0)),0))</f>
        <v>0</v>
      </c>
      <c r="I1621" s="32">
        <f>IF($A1621="","",IFERROR(INDEX(OSStatus,MATCH($A1621,OSNum,0)),"OS inexistente"))</f>
        <v>0</v>
      </c>
      <c r="J1621" s="32">
        <f>IF($A1621="","",IF($I1621="OS inexistente","OS inexistente",IF($E1621="Peça não cadastrada","Peça não cadastrada","OK")))</f>
        <v>0</v>
      </c>
    </row>
    <row r="1622" spans="1:10">
      <c r="A1622" s="17"/>
      <c r="B1622" s="13"/>
      <c r="C1622" s="20"/>
      <c r="D1622" s="19"/>
      <c r="E1622" s="26">
        <f>IF($B1622="","",IFERROR(INDEX(PecDesc,MATCH($B1622,PecCod,0)),"Peça não cadastrada"))</f>
        <v>0</v>
      </c>
      <c r="F1622" s="27">
        <f>IF($B1622="","",IF($D1622&lt;&gt;"",$D1622,IFERROR(INDEX(PecPreco,MATCH($B1622,PecCod,0)),0)))</f>
        <v>0</v>
      </c>
      <c r="G1622" s="27">
        <f>IF(OR($B1622="",$C1622=""),"",$C1622*$F1622)</f>
        <v>0</v>
      </c>
      <c r="H1622" s="27">
        <f>IF(OR($B1622="",$C1622=""),"",$C1622*IFERROR(INDEX(PecCusto,MATCH($B1622,PecCod,0)),0))</f>
        <v>0</v>
      </c>
      <c r="I1622" s="32">
        <f>IF($A1622="","",IFERROR(INDEX(OSStatus,MATCH($A1622,OSNum,0)),"OS inexistente"))</f>
        <v>0</v>
      </c>
      <c r="J1622" s="32">
        <f>IF($A1622="","",IF($I1622="OS inexistente","OS inexistente",IF($E1622="Peça não cadastrada","Peça não cadastrada","OK")))</f>
        <v>0</v>
      </c>
    </row>
    <row r="1623" spans="1:10">
      <c r="A1623" s="17"/>
      <c r="B1623" s="13"/>
      <c r="C1623" s="20"/>
      <c r="D1623" s="19"/>
      <c r="E1623" s="26">
        <f>IF($B1623="","",IFERROR(INDEX(PecDesc,MATCH($B1623,PecCod,0)),"Peça não cadastrada"))</f>
        <v>0</v>
      </c>
      <c r="F1623" s="27">
        <f>IF($B1623="","",IF($D1623&lt;&gt;"",$D1623,IFERROR(INDEX(PecPreco,MATCH($B1623,PecCod,0)),0)))</f>
        <v>0</v>
      </c>
      <c r="G1623" s="27">
        <f>IF(OR($B1623="",$C1623=""),"",$C1623*$F1623)</f>
        <v>0</v>
      </c>
      <c r="H1623" s="27">
        <f>IF(OR($B1623="",$C1623=""),"",$C1623*IFERROR(INDEX(PecCusto,MATCH($B1623,PecCod,0)),0))</f>
        <v>0</v>
      </c>
      <c r="I1623" s="32">
        <f>IF($A1623="","",IFERROR(INDEX(OSStatus,MATCH($A1623,OSNum,0)),"OS inexistente"))</f>
        <v>0</v>
      </c>
      <c r="J1623" s="32">
        <f>IF($A1623="","",IF($I1623="OS inexistente","OS inexistente",IF($E1623="Peça não cadastrada","Peça não cadastrada","OK")))</f>
        <v>0</v>
      </c>
    </row>
    <row r="1624" spans="1:10">
      <c r="A1624" s="17"/>
      <c r="B1624" s="13"/>
      <c r="C1624" s="20"/>
      <c r="D1624" s="19"/>
      <c r="E1624" s="26">
        <f>IF($B1624="","",IFERROR(INDEX(PecDesc,MATCH($B1624,PecCod,0)),"Peça não cadastrada"))</f>
        <v>0</v>
      </c>
      <c r="F1624" s="27">
        <f>IF($B1624="","",IF($D1624&lt;&gt;"",$D1624,IFERROR(INDEX(PecPreco,MATCH($B1624,PecCod,0)),0)))</f>
        <v>0</v>
      </c>
      <c r="G1624" s="27">
        <f>IF(OR($B1624="",$C1624=""),"",$C1624*$F1624)</f>
        <v>0</v>
      </c>
      <c r="H1624" s="27">
        <f>IF(OR($B1624="",$C1624=""),"",$C1624*IFERROR(INDEX(PecCusto,MATCH($B1624,PecCod,0)),0))</f>
        <v>0</v>
      </c>
      <c r="I1624" s="32">
        <f>IF($A1624="","",IFERROR(INDEX(OSStatus,MATCH($A1624,OSNum,0)),"OS inexistente"))</f>
        <v>0</v>
      </c>
      <c r="J1624" s="32">
        <f>IF($A1624="","",IF($I1624="OS inexistente","OS inexistente",IF($E1624="Peça não cadastrada","Peça não cadastrada","OK")))</f>
        <v>0</v>
      </c>
    </row>
    <row r="1625" spans="1:10">
      <c r="A1625" s="17"/>
      <c r="B1625" s="13"/>
      <c r="C1625" s="20"/>
      <c r="D1625" s="19"/>
      <c r="E1625" s="26">
        <f>IF($B1625="","",IFERROR(INDEX(PecDesc,MATCH($B1625,PecCod,0)),"Peça não cadastrada"))</f>
        <v>0</v>
      </c>
      <c r="F1625" s="27">
        <f>IF($B1625="","",IF($D1625&lt;&gt;"",$D1625,IFERROR(INDEX(PecPreco,MATCH($B1625,PecCod,0)),0)))</f>
        <v>0</v>
      </c>
      <c r="G1625" s="27">
        <f>IF(OR($B1625="",$C1625=""),"",$C1625*$F1625)</f>
        <v>0</v>
      </c>
      <c r="H1625" s="27">
        <f>IF(OR($B1625="",$C1625=""),"",$C1625*IFERROR(INDEX(PecCusto,MATCH($B1625,PecCod,0)),0))</f>
        <v>0</v>
      </c>
      <c r="I1625" s="32">
        <f>IF($A1625="","",IFERROR(INDEX(OSStatus,MATCH($A1625,OSNum,0)),"OS inexistente"))</f>
        <v>0</v>
      </c>
      <c r="J1625" s="32">
        <f>IF($A1625="","",IF($I1625="OS inexistente","OS inexistente",IF($E1625="Peça não cadastrada","Peça não cadastrada","OK")))</f>
        <v>0</v>
      </c>
    </row>
    <row r="1626" spans="1:10">
      <c r="A1626" s="17"/>
      <c r="B1626" s="13"/>
      <c r="C1626" s="20"/>
      <c r="D1626" s="19"/>
      <c r="E1626" s="26">
        <f>IF($B1626="","",IFERROR(INDEX(PecDesc,MATCH($B1626,PecCod,0)),"Peça não cadastrada"))</f>
        <v>0</v>
      </c>
      <c r="F1626" s="27">
        <f>IF($B1626="","",IF($D1626&lt;&gt;"",$D1626,IFERROR(INDEX(PecPreco,MATCH($B1626,PecCod,0)),0)))</f>
        <v>0</v>
      </c>
      <c r="G1626" s="27">
        <f>IF(OR($B1626="",$C1626=""),"",$C1626*$F1626)</f>
        <v>0</v>
      </c>
      <c r="H1626" s="27">
        <f>IF(OR($B1626="",$C1626=""),"",$C1626*IFERROR(INDEX(PecCusto,MATCH($B1626,PecCod,0)),0))</f>
        <v>0</v>
      </c>
      <c r="I1626" s="32">
        <f>IF($A1626="","",IFERROR(INDEX(OSStatus,MATCH($A1626,OSNum,0)),"OS inexistente"))</f>
        <v>0</v>
      </c>
      <c r="J1626" s="32">
        <f>IF($A1626="","",IF($I1626="OS inexistente","OS inexistente",IF($E1626="Peça não cadastrada","Peça não cadastrada","OK")))</f>
        <v>0</v>
      </c>
    </row>
    <row r="1627" spans="1:10">
      <c r="A1627" s="17"/>
      <c r="B1627" s="13"/>
      <c r="C1627" s="20"/>
      <c r="D1627" s="19"/>
      <c r="E1627" s="26">
        <f>IF($B1627="","",IFERROR(INDEX(PecDesc,MATCH($B1627,PecCod,0)),"Peça não cadastrada"))</f>
        <v>0</v>
      </c>
      <c r="F1627" s="27">
        <f>IF($B1627="","",IF($D1627&lt;&gt;"",$D1627,IFERROR(INDEX(PecPreco,MATCH($B1627,PecCod,0)),0)))</f>
        <v>0</v>
      </c>
      <c r="G1627" s="27">
        <f>IF(OR($B1627="",$C1627=""),"",$C1627*$F1627)</f>
        <v>0</v>
      </c>
      <c r="H1627" s="27">
        <f>IF(OR($B1627="",$C1627=""),"",$C1627*IFERROR(INDEX(PecCusto,MATCH($B1627,PecCod,0)),0))</f>
        <v>0</v>
      </c>
      <c r="I1627" s="32">
        <f>IF($A1627="","",IFERROR(INDEX(OSStatus,MATCH($A1627,OSNum,0)),"OS inexistente"))</f>
        <v>0</v>
      </c>
      <c r="J1627" s="32">
        <f>IF($A1627="","",IF($I1627="OS inexistente","OS inexistente",IF($E1627="Peça não cadastrada","Peça não cadastrada","OK")))</f>
        <v>0</v>
      </c>
    </row>
    <row r="1628" spans="1:10">
      <c r="A1628" s="17"/>
      <c r="B1628" s="13"/>
      <c r="C1628" s="20"/>
      <c r="D1628" s="19"/>
      <c r="E1628" s="26">
        <f>IF($B1628="","",IFERROR(INDEX(PecDesc,MATCH($B1628,PecCod,0)),"Peça não cadastrada"))</f>
        <v>0</v>
      </c>
      <c r="F1628" s="27">
        <f>IF($B1628="","",IF($D1628&lt;&gt;"",$D1628,IFERROR(INDEX(PecPreco,MATCH($B1628,PecCod,0)),0)))</f>
        <v>0</v>
      </c>
      <c r="G1628" s="27">
        <f>IF(OR($B1628="",$C1628=""),"",$C1628*$F1628)</f>
        <v>0</v>
      </c>
      <c r="H1628" s="27">
        <f>IF(OR($B1628="",$C1628=""),"",$C1628*IFERROR(INDEX(PecCusto,MATCH($B1628,PecCod,0)),0))</f>
        <v>0</v>
      </c>
      <c r="I1628" s="32">
        <f>IF($A1628="","",IFERROR(INDEX(OSStatus,MATCH($A1628,OSNum,0)),"OS inexistente"))</f>
        <v>0</v>
      </c>
      <c r="J1628" s="32">
        <f>IF($A1628="","",IF($I1628="OS inexistente","OS inexistente",IF($E1628="Peça não cadastrada","Peça não cadastrada","OK")))</f>
        <v>0</v>
      </c>
    </row>
    <row r="1629" spans="1:10">
      <c r="A1629" s="17"/>
      <c r="B1629" s="13"/>
      <c r="C1629" s="20"/>
      <c r="D1629" s="19"/>
      <c r="E1629" s="26">
        <f>IF($B1629="","",IFERROR(INDEX(PecDesc,MATCH($B1629,PecCod,0)),"Peça não cadastrada"))</f>
        <v>0</v>
      </c>
      <c r="F1629" s="27">
        <f>IF($B1629="","",IF($D1629&lt;&gt;"",$D1629,IFERROR(INDEX(PecPreco,MATCH($B1629,PecCod,0)),0)))</f>
        <v>0</v>
      </c>
      <c r="G1629" s="27">
        <f>IF(OR($B1629="",$C1629=""),"",$C1629*$F1629)</f>
        <v>0</v>
      </c>
      <c r="H1629" s="27">
        <f>IF(OR($B1629="",$C1629=""),"",$C1629*IFERROR(INDEX(PecCusto,MATCH($B1629,PecCod,0)),0))</f>
        <v>0</v>
      </c>
      <c r="I1629" s="32">
        <f>IF($A1629="","",IFERROR(INDEX(OSStatus,MATCH($A1629,OSNum,0)),"OS inexistente"))</f>
        <v>0</v>
      </c>
      <c r="J1629" s="32">
        <f>IF($A1629="","",IF($I1629="OS inexistente","OS inexistente",IF($E1629="Peça não cadastrada","Peça não cadastrada","OK")))</f>
        <v>0</v>
      </c>
    </row>
    <row r="1630" spans="1:10">
      <c r="A1630" s="17"/>
      <c r="B1630" s="13"/>
      <c r="C1630" s="20"/>
      <c r="D1630" s="19"/>
      <c r="E1630" s="26">
        <f>IF($B1630="","",IFERROR(INDEX(PecDesc,MATCH($B1630,PecCod,0)),"Peça não cadastrada"))</f>
        <v>0</v>
      </c>
      <c r="F1630" s="27">
        <f>IF($B1630="","",IF($D1630&lt;&gt;"",$D1630,IFERROR(INDEX(PecPreco,MATCH($B1630,PecCod,0)),0)))</f>
        <v>0</v>
      </c>
      <c r="G1630" s="27">
        <f>IF(OR($B1630="",$C1630=""),"",$C1630*$F1630)</f>
        <v>0</v>
      </c>
      <c r="H1630" s="27">
        <f>IF(OR($B1630="",$C1630=""),"",$C1630*IFERROR(INDEX(PecCusto,MATCH($B1630,PecCod,0)),0))</f>
        <v>0</v>
      </c>
      <c r="I1630" s="32">
        <f>IF($A1630="","",IFERROR(INDEX(OSStatus,MATCH($A1630,OSNum,0)),"OS inexistente"))</f>
        <v>0</v>
      </c>
      <c r="J1630" s="32">
        <f>IF($A1630="","",IF($I1630="OS inexistente","OS inexistente",IF($E1630="Peça não cadastrada","Peça não cadastrada","OK")))</f>
        <v>0</v>
      </c>
    </row>
    <row r="1631" spans="1:10">
      <c r="A1631" s="17"/>
      <c r="B1631" s="13"/>
      <c r="C1631" s="20"/>
      <c r="D1631" s="19"/>
      <c r="E1631" s="26">
        <f>IF($B1631="","",IFERROR(INDEX(PecDesc,MATCH($B1631,PecCod,0)),"Peça não cadastrada"))</f>
        <v>0</v>
      </c>
      <c r="F1631" s="27">
        <f>IF($B1631="","",IF($D1631&lt;&gt;"",$D1631,IFERROR(INDEX(PecPreco,MATCH($B1631,PecCod,0)),0)))</f>
        <v>0</v>
      </c>
      <c r="G1631" s="27">
        <f>IF(OR($B1631="",$C1631=""),"",$C1631*$F1631)</f>
        <v>0</v>
      </c>
      <c r="H1631" s="27">
        <f>IF(OR($B1631="",$C1631=""),"",$C1631*IFERROR(INDEX(PecCusto,MATCH($B1631,PecCod,0)),0))</f>
        <v>0</v>
      </c>
      <c r="I1631" s="32">
        <f>IF($A1631="","",IFERROR(INDEX(OSStatus,MATCH($A1631,OSNum,0)),"OS inexistente"))</f>
        <v>0</v>
      </c>
      <c r="J1631" s="32">
        <f>IF($A1631="","",IF($I1631="OS inexistente","OS inexistente",IF($E1631="Peça não cadastrada","Peça não cadastrada","OK")))</f>
        <v>0</v>
      </c>
    </row>
    <row r="1632" spans="1:10">
      <c r="A1632" s="17"/>
      <c r="B1632" s="13"/>
      <c r="C1632" s="20"/>
      <c r="D1632" s="19"/>
      <c r="E1632" s="26">
        <f>IF($B1632="","",IFERROR(INDEX(PecDesc,MATCH($B1632,PecCod,0)),"Peça não cadastrada"))</f>
        <v>0</v>
      </c>
      <c r="F1632" s="27">
        <f>IF($B1632="","",IF($D1632&lt;&gt;"",$D1632,IFERROR(INDEX(PecPreco,MATCH($B1632,PecCod,0)),0)))</f>
        <v>0</v>
      </c>
      <c r="G1632" s="27">
        <f>IF(OR($B1632="",$C1632=""),"",$C1632*$F1632)</f>
        <v>0</v>
      </c>
      <c r="H1632" s="27">
        <f>IF(OR($B1632="",$C1632=""),"",$C1632*IFERROR(INDEX(PecCusto,MATCH($B1632,PecCod,0)),0))</f>
        <v>0</v>
      </c>
      <c r="I1632" s="32">
        <f>IF($A1632="","",IFERROR(INDEX(OSStatus,MATCH($A1632,OSNum,0)),"OS inexistente"))</f>
        <v>0</v>
      </c>
      <c r="J1632" s="32">
        <f>IF($A1632="","",IF($I1632="OS inexistente","OS inexistente",IF($E1632="Peça não cadastrada","Peça não cadastrada","OK")))</f>
        <v>0</v>
      </c>
    </row>
    <row r="1633" spans="1:10">
      <c r="A1633" s="17"/>
      <c r="B1633" s="13"/>
      <c r="C1633" s="20"/>
      <c r="D1633" s="19"/>
      <c r="E1633" s="26">
        <f>IF($B1633="","",IFERROR(INDEX(PecDesc,MATCH($B1633,PecCod,0)),"Peça não cadastrada"))</f>
        <v>0</v>
      </c>
      <c r="F1633" s="27">
        <f>IF($B1633="","",IF($D1633&lt;&gt;"",$D1633,IFERROR(INDEX(PecPreco,MATCH($B1633,PecCod,0)),0)))</f>
        <v>0</v>
      </c>
      <c r="G1633" s="27">
        <f>IF(OR($B1633="",$C1633=""),"",$C1633*$F1633)</f>
        <v>0</v>
      </c>
      <c r="H1633" s="27">
        <f>IF(OR($B1633="",$C1633=""),"",$C1633*IFERROR(INDEX(PecCusto,MATCH($B1633,PecCod,0)),0))</f>
        <v>0</v>
      </c>
      <c r="I1633" s="32">
        <f>IF($A1633="","",IFERROR(INDEX(OSStatus,MATCH($A1633,OSNum,0)),"OS inexistente"))</f>
        <v>0</v>
      </c>
      <c r="J1633" s="32">
        <f>IF($A1633="","",IF($I1633="OS inexistente","OS inexistente",IF($E1633="Peça não cadastrada","Peça não cadastrada","OK")))</f>
        <v>0</v>
      </c>
    </row>
    <row r="1634" spans="1:10">
      <c r="A1634" s="17"/>
      <c r="B1634" s="13"/>
      <c r="C1634" s="20"/>
      <c r="D1634" s="19"/>
      <c r="E1634" s="26">
        <f>IF($B1634="","",IFERROR(INDEX(PecDesc,MATCH($B1634,PecCod,0)),"Peça não cadastrada"))</f>
        <v>0</v>
      </c>
      <c r="F1634" s="27">
        <f>IF($B1634="","",IF($D1634&lt;&gt;"",$D1634,IFERROR(INDEX(PecPreco,MATCH($B1634,PecCod,0)),0)))</f>
        <v>0</v>
      </c>
      <c r="G1634" s="27">
        <f>IF(OR($B1634="",$C1634=""),"",$C1634*$F1634)</f>
        <v>0</v>
      </c>
      <c r="H1634" s="27">
        <f>IF(OR($B1634="",$C1634=""),"",$C1634*IFERROR(INDEX(PecCusto,MATCH($B1634,PecCod,0)),0))</f>
        <v>0</v>
      </c>
      <c r="I1634" s="32">
        <f>IF($A1634="","",IFERROR(INDEX(OSStatus,MATCH($A1634,OSNum,0)),"OS inexistente"))</f>
        <v>0</v>
      </c>
      <c r="J1634" s="32">
        <f>IF($A1634="","",IF($I1634="OS inexistente","OS inexistente",IF($E1634="Peça não cadastrada","Peça não cadastrada","OK")))</f>
        <v>0</v>
      </c>
    </row>
    <row r="1635" spans="1:10">
      <c r="A1635" s="17"/>
      <c r="B1635" s="13"/>
      <c r="C1635" s="20"/>
      <c r="D1635" s="19"/>
      <c r="E1635" s="26">
        <f>IF($B1635="","",IFERROR(INDEX(PecDesc,MATCH($B1635,PecCod,0)),"Peça não cadastrada"))</f>
        <v>0</v>
      </c>
      <c r="F1635" s="27">
        <f>IF($B1635="","",IF($D1635&lt;&gt;"",$D1635,IFERROR(INDEX(PecPreco,MATCH($B1635,PecCod,0)),0)))</f>
        <v>0</v>
      </c>
      <c r="G1635" s="27">
        <f>IF(OR($B1635="",$C1635=""),"",$C1635*$F1635)</f>
        <v>0</v>
      </c>
      <c r="H1635" s="27">
        <f>IF(OR($B1635="",$C1635=""),"",$C1635*IFERROR(INDEX(PecCusto,MATCH($B1635,PecCod,0)),0))</f>
        <v>0</v>
      </c>
      <c r="I1635" s="32">
        <f>IF($A1635="","",IFERROR(INDEX(OSStatus,MATCH($A1635,OSNum,0)),"OS inexistente"))</f>
        <v>0</v>
      </c>
      <c r="J1635" s="32">
        <f>IF($A1635="","",IF($I1635="OS inexistente","OS inexistente",IF($E1635="Peça não cadastrada","Peça não cadastrada","OK")))</f>
        <v>0</v>
      </c>
    </row>
    <row r="1636" spans="1:10">
      <c r="A1636" s="17"/>
      <c r="B1636" s="13"/>
      <c r="C1636" s="20"/>
      <c r="D1636" s="19"/>
      <c r="E1636" s="26">
        <f>IF($B1636="","",IFERROR(INDEX(PecDesc,MATCH($B1636,PecCod,0)),"Peça não cadastrada"))</f>
        <v>0</v>
      </c>
      <c r="F1636" s="27">
        <f>IF($B1636="","",IF($D1636&lt;&gt;"",$D1636,IFERROR(INDEX(PecPreco,MATCH($B1636,PecCod,0)),0)))</f>
        <v>0</v>
      </c>
      <c r="G1636" s="27">
        <f>IF(OR($B1636="",$C1636=""),"",$C1636*$F1636)</f>
        <v>0</v>
      </c>
      <c r="H1636" s="27">
        <f>IF(OR($B1636="",$C1636=""),"",$C1636*IFERROR(INDEX(PecCusto,MATCH($B1636,PecCod,0)),0))</f>
        <v>0</v>
      </c>
      <c r="I1636" s="32">
        <f>IF($A1636="","",IFERROR(INDEX(OSStatus,MATCH($A1636,OSNum,0)),"OS inexistente"))</f>
        <v>0</v>
      </c>
      <c r="J1636" s="32">
        <f>IF($A1636="","",IF($I1636="OS inexistente","OS inexistente",IF($E1636="Peça não cadastrada","Peça não cadastrada","OK")))</f>
        <v>0</v>
      </c>
    </row>
    <row r="1637" spans="1:10">
      <c r="A1637" s="17"/>
      <c r="B1637" s="13"/>
      <c r="C1637" s="20"/>
      <c r="D1637" s="19"/>
      <c r="E1637" s="26">
        <f>IF($B1637="","",IFERROR(INDEX(PecDesc,MATCH($B1637,PecCod,0)),"Peça não cadastrada"))</f>
        <v>0</v>
      </c>
      <c r="F1637" s="27">
        <f>IF($B1637="","",IF($D1637&lt;&gt;"",$D1637,IFERROR(INDEX(PecPreco,MATCH($B1637,PecCod,0)),0)))</f>
        <v>0</v>
      </c>
      <c r="G1637" s="27">
        <f>IF(OR($B1637="",$C1637=""),"",$C1637*$F1637)</f>
        <v>0</v>
      </c>
      <c r="H1637" s="27">
        <f>IF(OR($B1637="",$C1637=""),"",$C1637*IFERROR(INDEX(PecCusto,MATCH($B1637,PecCod,0)),0))</f>
        <v>0</v>
      </c>
      <c r="I1637" s="32">
        <f>IF($A1637="","",IFERROR(INDEX(OSStatus,MATCH($A1637,OSNum,0)),"OS inexistente"))</f>
        <v>0</v>
      </c>
      <c r="J1637" s="32">
        <f>IF($A1637="","",IF($I1637="OS inexistente","OS inexistente",IF($E1637="Peça não cadastrada","Peça não cadastrada","OK")))</f>
        <v>0</v>
      </c>
    </row>
    <row r="1638" spans="1:10">
      <c r="A1638" s="17"/>
      <c r="B1638" s="13"/>
      <c r="C1638" s="20"/>
      <c r="D1638" s="19"/>
      <c r="E1638" s="26">
        <f>IF($B1638="","",IFERROR(INDEX(PecDesc,MATCH($B1638,PecCod,0)),"Peça não cadastrada"))</f>
        <v>0</v>
      </c>
      <c r="F1638" s="27">
        <f>IF($B1638="","",IF($D1638&lt;&gt;"",$D1638,IFERROR(INDEX(PecPreco,MATCH($B1638,PecCod,0)),0)))</f>
        <v>0</v>
      </c>
      <c r="G1638" s="27">
        <f>IF(OR($B1638="",$C1638=""),"",$C1638*$F1638)</f>
        <v>0</v>
      </c>
      <c r="H1638" s="27">
        <f>IF(OR($B1638="",$C1638=""),"",$C1638*IFERROR(INDEX(PecCusto,MATCH($B1638,PecCod,0)),0))</f>
        <v>0</v>
      </c>
      <c r="I1638" s="32">
        <f>IF($A1638="","",IFERROR(INDEX(OSStatus,MATCH($A1638,OSNum,0)),"OS inexistente"))</f>
        <v>0</v>
      </c>
      <c r="J1638" s="32">
        <f>IF($A1638="","",IF($I1638="OS inexistente","OS inexistente",IF($E1638="Peça não cadastrada","Peça não cadastrada","OK")))</f>
        <v>0</v>
      </c>
    </row>
    <row r="1639" spans="1:10">
      <c r="A1639" s="17"/>
      <c r="B1639" s="13"/>
      <c r="C1639" s="20"/>
      <c r="D1639" s="19"/>
      <c r="E1639" s="26">
        <f>IF($B1639="","",IFERROR(INDEX(PecDesc,MATCH($B1639,PecCod,0)),"Peça não cadastrada"))</f>
        <v>0</v>
      </c>
      <c r="F1639" s="27">
        <f>IF($B1639="","",IF($D1639&lt;&gt;"",$D1639,IFERROR(INDEX(PecPreco,MATCH($B1639,PecCod,0)),0)))</f>
        <v>0</v>
      </c>
      <c r="G1639" s="27">
        <f>IF(OR($B1639="",$C1639=""),"",$C1639*$F1639)</f>
        <v>0</v>
      </c>
      <c r="H1639" s="27">
        <f>IF(OR($B1639="",$C1639=""),"",$C1639*IFERROR(INDEX(PecCusto,MATCH($B1639,PecCod,0)),0))</f>
        <v>0</v>
      </c>
      <c r="I1639" s="32">
        <f>IF($A1639="","",IFERROR(INDEX(OSStatus,MATCH($A1639,OSNum,0)),"OS inexistente"))</f>
        <v>0</v>
      </c>
      <c r="J1639" s="32">
        <f>IF($A1639="","",IF($I1639="OS inexistente","OS inexistente",IF($E1639="Peça não cadastrada","Peça não cadastrada","OK")))</f>
        <v>0</v>
      </c>
    </row>
    <row r="1640" spans="1:10">
      <c r="A1640" s="17"/>
      <c r="B1640" s="13"/>
      <c r="C1640" s="20"/>
      <c r="D1640" s="19"/>
      <c r="E1640" s="26">
        <f>IF($B1640="","",IFERROR(INDEX(PecDesc,MATCH($B1640,PecCod,0)),"Peça não cadastrada"))</f>
        <v>0</v>
      </c>
      <c r="F1640" s="27">
        <f>IF($B1640="","",IF($D1640&lt;&gt;"",$D1640,IFERROR(INDEX(PecPreco,MATCH($B1640,PecCod,0)),0)))</f>
        <v>0</v>
      </c>
      <c r="G1640" s="27">
        <f>IF(OR($B1640="",$C1640=""),"",$C1640*$F1640)</f>
        <v>0</v>
      </c>
      <c r="H1640" s="27">
        <f>IF(OR($B1640="",$C1640=""),"",$C1640*IFERROR(INDEX(PecCusto,MATCH($B1640,PecCod,0)),0))</f>
        <v>0</v>
      </c>
      <c r="I1640" s="32">
        <f>IF($A1640="","",IFERROR(INDEX(OSStatus,MATCH($A1640,OSNum,0)),"OS inexistente"))</f>
        <v>0</v>
      </c>
      <c r="J1640" s="32">
        <f>IF($A1640="","",IF($I1640="OS inexistente","OS inexistente",IF($E1640="Peça não cadastrada","Peça não cadastrada","OK")))</f>
        <v>0</v>
      </c>
    </row>
    <row r="1641" spans="1:10">
      <c r="A1641" s="17"/>
      <c r="B1641" s="13"/>
      <c r="C1641" s="20"/>
      <c r="D1641" s="19"/>
      <c r="E1641" s="26">
        <f>IF($B1641="","",IFERROR(INDEX(PecDesc,MATCH($B1641,PecCod,0)),"Peça não cadastrada"))</f>
        <v>0</v>
      </c>
      <c r="F1641" s="27">
        <f>IF($B1641="","",IF($D1641&lt;&gt;"",$D1641,IFERROR(INDEX(PecPreco,MATCH($B1641,PecCod,0)),0)))</f>
        <v>0</v>
      </c>
      <c r="G1641" s="27">
        <f>IF(OR($B1641="",$C1641=""),"",$C1641*$F1641)</f>
        <v>0</v>
      </c>
      <c r="H1641" s="27">
        <f>IF(OR($B1641="",$C1641=""),"",$C1641*IFERROR(INDEX(PecCusto,MATCH($B1641,PecCod,0)),0))</f>
        <v>0</v>
      </c>
      <c r="I1641" s="32">
        <f>IF($A1641="","",IFERROR(INDEX(OSStatus,MATCH($A1641,OSNum,0)),"OS inexistente"))</f>
        <v>0</v>
      </c>
      <c r="J1641" s="32">
        <f>IF($A1641="","",IF($I1641="OS inexistente","OS inexistente",IF($E1641="Peça não cadastrada","Peça não cadastrada","OK")))</f>
        <v>0</v>
      </c>
    </row>
    <row r="1642" spans="1:10">
      <c r="A1642" s="17"/>
      <c r="B1642" s="13"/>
      <c r="C1642" s="20"/>
      <c r="D1642" s="19"/>
      <c r="E1642" s="26">
        <f>IF($B1642="","",IFERROR(INDEX(PecDesc,MATCH($B1642,PecCod,0)),"Peça não cadastrada"))</f>
        <v>0</v>
      </c>
      <c r="F1642" s="27">
        <f>IF($B1642="","",IF($D1642&lt;&gt;"",$D1642,IFERROR(INDEX(PecPreco,MATCH($B1642,PecCod,0)),0)))</f>
        <v>0</v>
      </c>
      <c r="G1642" s="27">
        <f>IF(OR($B1642="",$C1642=""),"",$C1642*$F1642)</f>
        <v>0</v>
      </c>
      <c r="H1642" s="27">
        <f>IF(OR($B1642="",$C1642=""),"",$C1642*IFERROR(INDEX(PecCusto,MATCH($B1642,PecCod,0)),0))</f>
        <v>0</v>
      </c>
      <c r="I1642" s="32">
        <f>IF($A1642="","",IFERROR(INDEX(OSStatus,MATCH($A1642,OSNum,0)),"OS inexistente"))</f>
        <v>0</v>
      </c>
      <c r="J1642" s="32">
        <f>IF($A1642="","",IF($I1642="OS inexistente","OS inexistente",IF($E1642="Peça não cadastrada","Peça não cadastrada","OK")))</f>
        <v>0</v>
      </c>
    </row>
    <row r="1643" spans="1:10">
      <c r="A1643" s="17"/>
      <c r="B1643" s="13"/>
      <c r="C1643" s="20"/>
      <c r="D1643" s="19"/>
      <c r="E1643" s="26">
        <f>IF($B1643="","",IFERROR(INDEX(PecDesc,MATCH($B1643,PecCod,0)),"Peça não cadastrada"))</f>
        <v>0</v>
      </c>
      <c r="F1643" s="27">
        <f>IF($B1643="","",IF($D1643&lt;&gt;"",$D1643,IFERROR(INDEX(PecPreco,MATCH($B1643,PecCod,0)),0)))</f>
        <v>0</v>
      </c>
      <c r="G1643" s="27">
        <f>IF(OR($B1643="",$C1643=""),"",$C1643*$F1643)</f>
        <v>0</v>
      </c>
      <c r="H1643" s="27">
        <f>IF(OR($B1643="",$C1643=""),"",$C1643*IFERROR(INDEX(PecCusto,MATCH($B1643,PecCod,0)),0))</f>
        <v>0</v>
      </c>
      <c r="I1643" s="32">
        <f>IF($A1643="","",IFERROR(INDEX(OSStatus,MATCH($A1643,OSNum,0)),"OS inexistente"))</f>
        <v>0</v>
      </c>
      <c r="J1643" s="32">
        <f>IF($A1643="","",IF($I1643="OS inexistente","OS inexistente",IF($E1643="Peça não cadastrada","Peça não cadastrada","OK")))</f>
        <v>0</v>
      </c>
    </row>
    <row r="1644" spans="1:10">
      <c r="A1644" s="17"/>
      <c r="B1644" s="13"/>
      <c r="C1644" s="20"/>
      <c r="D1644" s="19"/>
      <c r="E1644" s="26">
        <f>IF($B1644="","",IFERROR(INDEX(PecDesc,MATCH($B1644,PecCod,0)),"Peça não cadastrada"))</f>
        <v>0</v>
      </c>
      <c r="F1644" s="27">
        <f>IF($B1644="","",IF($D1644&lt;&gt;"",$D1644,IFERROR(INDEX(PecPreco,MATCH($B1644,PecCod,0)),0)))</f>
        <v>0</v>
      </c>
      <c r="G1644" s="27">
        <f>IF(OR($B1644="",$C1644=""),"",$C1644*$F1644)</f>
        <v>0</v>
      </c>
      <c r="H1644" s="27">
        <f>IF(OR($B1644="",$C1644=""),"",$C1644*IFERROR(INDEX(PecCusto,MATCH($B1644,PecCod,0)),0))</f>
        <v>0</v>
      </c>
      <c r="I1644" s="32">
        <f>IF($A1644="","",IFERROR(INDEX(OSStatus,MATCH($A1644,OSNum,0)),"OS inexistente"))</f>
        <v>0</v>
      </c>
      <c r="J1644" s="32">
        <f>IF($A1644="","",IF($I1644="OS inexistente","OS inexistente",IF($E1644="Peça não cadastrada","Peça não cadastrada","OK")))</f>
        <v>0</v>
      </c>
    </row>
    <row r="1645" spans="1:10">
      <c r="A1645" s="17"/>
      <c r="B1645" s="13"/>
      <c r="C1645" s="20"/>
      <c r="D1645" s="19"/>
      <c r="E1645" s="26">
        <f>IF($B1645="","",IFERROR(INDEX(PecDesc,MATCH($B1645,PecCod,0)),"Peça não cadastrada"))</f>
        <v>0</v>
      </c>
      <c r="F1645" s="27">
        <f>IF($B1645="","",IF($D1645&lt;&gt;"",$D1645,IFERROR(INDEX(PecPreco,MATCH($B1645,PecCod,0)),0)))</f>
        <v>0</v>
      </c>
      <c r="G1645" s="27">
        <f>IF(OR($B1645="",$C1645=""),"",$C1645*$F1645)</f>
        <v>0</v>
      </c>
      <c r="H1645" s="27">
        <f>IF(OR($B1645="",$C1645=""),"",$C1645*IFERROR(INDEX(PecCusto,MATCH($B1645,PecCod,0)),0))</f>
        <v>0</v>
      </c>
      <c r="I1645" s="32">
        <f>IF($A1645="","",IFERROR(INDEX(OSStatus,MATCH($A1645,OSNum,0)),"OS inexistente"))</f>
        <v>0</v>
      </c>
      <c r="J1645" s="32">
        <f>IF($A1645="","",IF($I1645="OS inexistente","OS inexistente",IF($E1645="Peça não cadastrada","Peça não cadastrada","OK")))</f>
        <v>0</v>
      </c>
    </row>
    <row r="1646" spans="1:10">
      <c r="A1646" s="17"/>
      <c r="B1646" s="13"/>
      <c r="C1646" s="20"/>
      <c r="D1646" s="19"/>
      <c r="E1646" s="26">
        <f>IF($B1646="","",IFERROR(INDEX(PecDesc,MATCH($B1646,PecCod,0)),"Peça não cadastrada"))</f>
        <v>0</v>
      </c>
      <c r="F1646" s="27">
        <f>IF($B1646="","",IF($D1646&lt;&gt;"",$D1646,IFERROR(INDEX(PecPreco,MATCH($B1646,PecCod,0)),0)))</f>
        <v>0</v>
      </c>
      <c r="G1646" s="27">
        <f>IF(OR($B1646="",$C1646=""),"",$C1646*$F1646)</f>
        <v>0</v>
      </c>
      <c r="H1646" s="27">
        <f>IF(OR($B1646="",$C1646=""),"",$C1646*IFERROR(INDEX(PecCusto,MATCH($B1646,PecCod,0)),0))</f>
        <v>0</v>
      </c>
      <c r="I1646" s="32">
        <f>IF($A1646="","",IFERROR(INDEX(OSStatus,MATCH($A1646,OSNum,0)),"OS inexistente"))</f>
        <v>0</v>
      </c>
      <c r="J1646" s="32">
        <f>IF($A1646="","",IF($I1646="OS inexistente","OS inexistente",IF($E1646="Peça não cadastrada","Peça não cadastrada","OK")))</f>
        <v>0</v>
      </c>
    </row>
    <row r="1647" spans="1:10">
      <c r="A1647" s="17"/>
      <c r="B1647" s="13"/>
      <c r="C1647" s="20"/>
      <c r="D1647" s="19"/>
      <c r="E1647" s="26">
        <f>IF($B1647="","",IFERROR(INDEX(PecDesc,MATCH($B1647,PecCod,0)),"Peça não cadastrada"))</f>
        <v>0</v>
      </c>
      <c r="F1647" s="27">
        <f>IF($B1647="","",IF($D1647&lt;&gt;"",$D1647,IFERROR(INDEX(PecPreco,MATCH($B1647,PecCod,0)),0)))</f>
        <v>0</v>
      </c>
      <c r="G1647" s="27">
        <f>IF(OR($B1647="",$C1647=""),"",$C1647*$F1647)</f>
        <v>0</v>
      </c>
      <c r="H1647" s="27">
        <f>IF(OR($B1647="",$C1647=""),"",$C1647*IFERROR(INDEX(PecCusto,MATCH($B1647,PecCod,0)),0))</f>
        <v>0</v>
      </c>
      <c r="I1647" s="32">
        <f>IF($A1647="","",IFERROR(INDEX(OSStatus,MATCH($A1647,OSNum,0)),"OS inexistente"))</f>
        <v>0</v>
      </c>
      <c r="J1647" s="32">
        <f>IF($A1647="","",IF($I1647="OS inexistente","OS inexistente",IF($E1647="Peça não cadastrada","Peça não cadastrada","OK")))</f>
        <v>0</v>
      </c>
    </row>
    <row r="1648" spans="1:10">
      <c r="A1648" s="17"/>
      <c r="B1648" s="13"/>
      <c r="C1648" s="20"/>
      <c r="D1648" s="19"/>
      <c r="E1648" s="26">
        <f>IF($B1648="","",IFERROR(INDEX(PecDesc,MATCH($B1648,PecCod,0)),"Peça não cadastrada"))</f>
        <v>0</v>
      </c>
      <c r="F1648" s="27">
        <f>IF($B1648="","",IF($D1648&lt;&gt;"",$D1648,IFERROR(INDEX(PecPreco,MATCH($B1648,PecCod,0)),0)))</f>
        <v>0</v>
      </c>
      <c r="G1648" s="27">
        <f>IF(OR($B1648="",$C1648=""),"",$C1648*$F1648)</f>
        <v>0</v>
      </c>
      <c r="H1648" s="27">
        <f>IF(OR($B1648="",$C1648=""),"",$C1648*IFERROR(INDEX(PecCusto,MATCH($B1648,PecCod,0)),0))</f>
        <v>0</v>
      </c>
      <c r="I1648" s="32">
        <f>IF($A1648="","",IFERROR(INDEX(OSStatus,MATCH($A1648,OSNum,0)),"OS inexistente"))</f>
        <v>0</v>
      </c>
      <c r="J1648" s="32">
        <f>IF($A1648="","",IF($I1648="OS inexistente","OS inexistente",IF($E1648="Peça não cadastrada","Peça não cadastrada","OK")))</f>
        <v>0</v>
      </c>
    </row>
    <row r="1649" spans="1:10">
      <c r="A1649" s="17"/>
      <c r="B1649" s="13"/>
      <c r="C1649" s="20"/>
      <c r="D1649" s="19"/>
      <c r="E1649" s="26">
        <f>IF($B1649="","",IFERROR(INDEX(PecDesc,MATCH($B1649,PecCod,0)),"Peça não cadastrada"))</f>
        <v>0</v>
      </c>
      <c r="F1649" s="27">
        <f>IF($B1649="","",IF($D1649&lt;&gt;"",$D1649,IFERROR(INDEX(PecPreco,MATCH($B1649,PecCod,0)),0)))</f>
        <v>0</v>
      </c>
      <c r="G1649" s="27">
        <f>IF(OR($B1649="",$C1649=""),"",$C1649*$F1649)</f>
        <v>0</v>
      </c>
      <c r="H1649" s="27">
        <f>IF(OR($B1649="",$C1649=""),"",$C1649*IFERROR(INDEX(PecCusto,MATCH($B1649,PecCod,0)),0))</f>
        <v>0</v>
      </c>
      <c r="I1649" s="32">
        <f>IF($A1649="","",IFERROR(INDEX(OSStatus,MATCH($A1649,OSNum,0)),"OS inexistente"))</f>
        <v>0</v>
      </c>
      <c r="J1649" s="32">
        <f>IF($A1649="","",IF($I1649="OS inexistente","OS inexistente",IF($E1649="Peça não cadastrada","Peça não cadastrada","OK")))</f>
        <v>0</v>
      </c>
    </row>
    <row r="1650" spans="1:10">
      <c r="A1650" s="17"/>
      <c r="B1650" s="13"/>
      <c r="C1650" s="20"/>
      <c r="D1650" s="19"/>
      <c r="E1650" s="26">
        <f>IF($B1650="","",IFERROR(INDEX(PecDesc,MATCH($B1650,PecCod,0)),"Peça não cadastrada"))</f>
        <v>0</v>
      </c>
      <c r="F1650" s="27">
        <f>IF($B1650="","",IF($D1650&lt;&gt;"",$D1650,IFERROR(INDEX(PecPreco,MATCH($B1650,PecCod,0)),0)))</f>
        <v>0</v>
      </c>
      <c r="G1650" s="27">
        <f>IF(OR($B1650="",$C1650=""),"",$C1650*$F1650)</f>
        <v>0</v>
      </c>
      <c r="H1650" s="27">
        <f>IF(OR($B1650="",$C1650=""),"",$C1650*IFERROR(INDEX(PecCusto,MATCH($B1650,PecCod,0)),0))</f>
        <v>0</v>
      </c>
      <c r="I1650" s="32">
        <f>IF($A1650="","",IFERROR(INDEX(OSStatus,MATCH($A1650,OSNum,0)),"OS inexistente"))</f>
        <v>0</v>
      </c>
      <c r="J1650" s="32">
        <f>IF($A1650="","",IF($I1650="OS inexistente","OS inexistente",IF($E1650="Peça não cadastrada","Peça não cadastrada","OK")))</f>
        <v>0</v>
      </c>
    </row>
    <row r="1651" spans="1:10">
      <c r="A1651" s="17"/>
      <c r="B1651" s="13"/>
      <c r="C1651" s="20"/>
      <c r="D1651" s="19"/>
      <c r="E1651" s="26">
        <f>IF($B1651="","",IFERROR(INDEX(PecDesc,MATCH($B1651,PecCod,0)),"Peça não cadastrada"))</f>
        <v>0</v>
      </c>
      <c r="F1651" s="27">
        <f>IF($B1651="","",IF($D1651&lt;&gt;"",$D1651,IFERROR(INDEX(PecPreco,MATCH($B1651,PecCod,0)),0)))</f>
        <v>0</v>
      </c>
      <c r="G1651" s="27">
        <f>IF(OR($B1651="",$C1651=""),"",$C1651*$F1651)</f>
        <v>0</v>
      </c>
      <c r="H1651" s="27">
        <f>IF(OR($B1651="",$C1651=""),"",$C1651*IFERROR(INDEX(PecCusto,MATCH($B1651,PecCod,0)),0))</f>
        <v>0</v>
      </c>
      <c r="I1651" s="32">
        <f>IF($A1651="","",IFERROR(INDEX(OSStatus,MATCH($A1651,OSNum,0)),"OS inexistente"))</f>
        <v>0</v>
      </c>
      <c r="J1651" s="32">
        <f>IF($A1651="","",IF($I1651="OS inexistente","OS inexistente",IF($E1651="Peça não cadastrada","Peça não cadastrada","OK")))</f>
        <v>0</v>
      </c>
    </row>
    <row r="1652" spans="1:10">
      <c r="A1652" s="17"/>
      <c r="B1652" s="13"/>
      <c r="C1652" s="20"/>
      <c r="D1652" s="19"/>
      <c r="E1652" s="26">
        <f>IF($B1652="","",IFERROR(INDEX(PecDesc,MATCH($B1652,PecCod,0)),"Peça não cadastrada"))</f>
        <v>0</v>
      </c>
      <c r="F1652" s="27">
        <f>IF($B1652="","",IF($D1652&lt;&gt;"",$D1652,IFERROR(INDEX(PecPreco,MATCH($B1652,PecCod,0)),0)))</f>
        <v>0</v>
      </c>
      <c r="G1652" s="27">
        <f>IF(OR($B1652="",$C1652=""),"",$C1652*$F1652)</f>
        <v>0</v>
      </c>
      <c r="H1652" s="27">
        <f>IF(OR($B1652="",$C1652=""),"",$C1652*IFERROR(INDEX(PecCusto,MATCH($B1652,PecCod,0)),0))</f>
        <v>0</v>
      </c>
      <c r="I1652" s="32">
        <f>IF($A1652="","",IFERROR(INDEX(OSStatus,MATCH($A1652,OSNum,0)),"OS inexistente"))</f>
        <v>0</v>
      </c>
      <c r="J1652" s="32">
        <f>IF($A1652="","",IF($I1652="OS inexistente","OS inexistente",IF($E1652="Peça não cadastrada","Peça não cadastrada","OK")))</f>
        <v>0</v>
      </c>
    </row>
    <row r="1653" spans="1:10">
      <c r="A1653" s="17"/>
      <c r="B1653" s="13"/>
      <c r="C1653" s="20"/>
      <c r="D1653" s="19"/>
      <c r="E1653" s="26">
        <f>IF($B1653="","",IFERROR(INDEX(PecDesc,MATCH($B1653,PecCod,0)),"Peça não cadastrada"))</f>
        <v>0</v>
      </c>
      <c r="F1653" s="27">
        <f>IF($B1653="","",IF($D1653&lt;&gt;"",$D1653,IFERROR(INDEX(PecPreco,MATCH($B1653,PecCod,0)),0)))</f>
        <v>0</v>
      </c>
      <c r="G1653" s="27">
        <f>IF(OR($B1653="",$C1653=""),"",$C1653*$F1653)</f>
        <v>0</v>
      </c>
      <c r="H1653" s="27">
        <f>IF(OR($B1653="",$C1653=""),"",$C1653*IFERROR(INDEX(PecCusto,MATCH($B1653,PecCod,0)),0))</f>
        <v>0</v>
      </c>
      <c r="I1653" s="32">
        <f>IF($A1653="","",IFERROR(INDEX(OSStatus,MATCH($A1653,OSNum,0)),"OS inexistente"))</f>
        <v>0</v>
      </c>
      <c r="J1653" s="32">
        <f>IF($A1653="","",IF($I1653="OS inexistente","OS inexistente",IF($E1653="Peça não cadastrada","Peça não cadastrada","OK")))</f>
        <v>0</v>
      </c>
    </row>
    <row r="1654" spans="1:10">
      <c r="A1654" s="17"/>
      <c r="B1654" s="13"/>
      <c r="C1654" s="20"/>
      <c r="D1654" s="19"/>
      <c r="E1654" s="26">
        <f>IF($B1654="","",IFERROR(INDEX(PecDesc,MATCH($B1654,PecCod,0)),"Peça não cadastrada"))</f>
        <v>0</v>
      </c>
      <c r="F1654" s="27">
        <f>IF($B1654="","",IF($D1654&lt;&gt;"",$D1654,IFERROR(INDEX(PecPreco,MATCH($B1654,PecCod,0)),0)))</f>
        <v>0</v>
      </c>
      <c r="G1654" s="27">
        <f>IF(OR($B1654="",$C1654=""),"",$C1654*$F1654)</f>
        <v>0</v>
      </c>
      <c r="H1654" s="27">
        <f>IF(OR($B1654="",$C1654=""),"",$C1654*IFERROR(INDEX(PecCusto,MATCH($B1654,PecCod,0)),0))</f>
        <v>0</v>
      </c>
      <c r="I1654" s="32">
        <f>IF($A1654="","",IFERROR(INDEX(OSStatus,MATCH($A1654,OSNum,0)),"OS inexistente"))</f>
        <v>0</v>
      </c>
      <c r="J1654" s="32">
        <f>IF($A1654="","",IF($I1654="OS inexistente","OS inexistente",IF($E1654="Peça não cadastrada","Peça não cadastrada","OK")))</f>
        <v>0</v>
      </c>
    </row>
    <row r="1655" spans="1:10">
      <c r="A1655" s="17"/>
      <c r="B1655" s="13"/>
      <c r="C1655" s="20"/>
      <c r="D1655" s="19"/>
      <c r="E1655" s="26">
        <f>IF($B1655="","",IFERROR(INDEX(PecDesc,MATCH($B1655,PecCod,0)),"Peça não cadastrada"))</f>
        <v>0</v>
      </c>
      <c r="F1655" s="27">
        <f>IF($B1655="","",IF($D1655&lt;&gt;"",$D1655,IFERROR(INDEX(PecPreco,MATCH($B1655,PecCod,0)),0)))</f>
        <v>0</v>
      </c>
      <c r="G1655" s="27">
        <f>IF(OR($B1655="",$C1655=""),"",$C1655*$F1655)</f>
        <v>0</v>
      </c>
      <c r="H1655" s="27">
        <f>IF(OR($B1655="",$C1655=""),"",$C1655*IFERROR(INDEX(PecCusto,MATCH($B1655,PecCod,0)),0))</f>
        <v>0</v>
      </c>
      <c r="I1655" s="32">
        <f>IF($A1655="","",IFERROR(INDEX(OSStatus,MATCH($A1655,OSNum,0)),"OS inexistente"))</f>
        <v>0</v>
      </c>
      <c r="J1655" s="32">
        <f>IF($A1655="","",IF($I1655="OS inexistente","OS inexistente",IF($E1655="Peça não cadastrada","Peça não cadastrada","OK")))</f>
        <v>0</v>
      </c>
    </row>
    <row r="1656" spans="1:10">
      <c r="A1656" s="17"/>
      <c r="B1656" s="13"/>
      <c r="C1656" s="20"/>
      <c r="D1656" s="19"/>
      <c r="E1656" s="26">
        <f>IF($B1656="","",IFERROR(INDEX(PecDesc,MATCH($B1656,PecCod,0)),"Peça não cadastrada"))</f>
        <v>0</v>
      </c>
      <c r="F1656" s="27">
        <f>IF($B1656="","",IF($D1656&lt;&gt;"",$D1656,IFERROR(INDEX(PecPreco,MATCH($B1656,PecCod,0)),0)))</f>
        <v>0</v>
      </c>
      <c r="G1656" s="27">
        <f>IF(OR($B1656="",$C1656=""),"",$C1656*$F1656)</f>
        <v>0</v>
      </c>
      <c r="H1656" s="27">
        <f>IF(OR($B1656="",$C1656=""),"",$C1656*IFERROR(INDEX(PecCusto,MATCH($B1656,PecCod,0)),0))</f>
        <v>0</v>
      </c>
      <c r="I1656" s="32">
        <f>IF($A1656="","",IFERROR(INDEX(OSStatus,MATCH($A1656,OSNum,0)),"OS inexistente"))</f>
        <v>0</v>
      </c>
      <c r="J1656" s="32">
        <f>IF($A1656="","",IF($I1656="OS inexistente","OS inexistente",IF($E1656="Peça não cadastrada","Peça não cadastrada","OK")))</f>
        <v>0</v>
      </c>
    </row>
    <row r="1657" spans="1:10">
      <c r="A1657" s="17"/>
      <c r="B1657" s="13"/>
      <c r="C1657" s="20"/>
      <c r="D1657" s="19"/>
      <c r="E1657" s="26">
        <f>IF($B1657="","",IFERROR(INDEX(PecDesc,MATCH($B1657,PecCod,0)),"Peça não cadastrada"))</f>
        <v>0</v>
      </c>
      <c r="F1657" s="27">
        <f>IF($B1657="","",IF($D1657&lt;&gt;"",$D1657,IFERROR(INDEX(PecPreco,MATCH($B1657,PecCod,0)),0)))</f>
        <v>0</v>
      </c>
      <c r="G1657" s="27">
        <f>IF(OR($B1657="",$C1657=""),"",$C1657*$F1657)</f>
        <v>0</v>
      </c>
      <c r="H1657" s="27">
        <f>IF(OR($B1657="",$C1657=""),"",$C1657*IFERROR(INDEX(PecCusto,MATCH($B1657,PecCod,0)),0))</f>
        <v>0</v>
      </c>
      <c r="I1657" s="32">
        <f>IF($A1657="","",IFERROR(INDEX(OSStatus,MATCH($A1657,OSNum,0)),"OS inexistente"))</f>
        <v>0</v>
      </c>
      <c r="J1657" s="32">
        <f>IF($A1657="","",IF($I1657="OS inexistente","OS inexistente",IF($E1657="Peça não cadastrada","Peça não cadastrada","OK")))</f>
        <v>0</v>
      </c>
    </row>
    <row r="1658" spans="1:10">
      <c r="A1658" s="17"/>
      <c r="B1658" s="13"/>
      <c r="C1658" s="20"/>
      <c r="D1658" s="19"/>
      <c r="E1658" s="26">
        <f>IF($B1658="","",IFERROR(INDEX(PecDesc,MATCH($B1658,PecCod,0)),"Peça não cadastrada"))</f>
        <v>0</v>
      </c>
      <c r="F1658" s="27">
        <f>IF($B1658="","",IF($D1658&lt;&gt;"",$D1658,IFERROR(INDEX(PecPreco,MATCH($B1658,PecCod,0)),0)))</f>
        <v>0</v>
      </c>
      <c r="G1658" s="27">
        <f>IF(OR($B1658="",$C1658=""),"",$C1658*$F1658)</f>
        <v>0</v>
      </c>
      <c r="H1658" s="27">
        <f>IF(OR($B1658="",$C1658=""),"",$C1658*IFERROR(INDEX(PecCusto,MATCH($B1658,PecCod,0)),0))</f>
        <v>0</v>
      </c>
      <c r="I1658" s="32">
        <f>IF($A1658="","",IFERROR(INDEX(OSStatus,MATCH($A1658,OSNum,0)),"OS inexistente"))</f>
        <v>0</v>
      </c>
      <c r="J1658" s="32">
        <f>IF($A1658="","",IF($I1658="OS inexistente","OS inexistente",IF($E1658="Peça não cadastrada","Peça não cadastrada","OK")))</f>
        <v>0</v>
      </c>
    </row>
    <row r="1659" spans="1:10">
      <c r="A1659" s="17"/>
      <c r="B1659" s="13"/>
      <c r="C1659" s="20"/>
      <c r="D1659" s="19"/>
      <c r="E1659" s="26">
        <f>IF($B1659="","",IFERROR(INDEX(PecDesc,MATCH($B1659,PecCod,0)),"Peça não cadastrada"))</f>
        <v>0</v>
      </c>
      <c r="F1659" s="27">
        <f>IF($B1659="","",IF($D1659&lt;&gt;"",$D1659,IFERROR(INDEX(PecPreco,MATCH($B1659,PecCod,0)),0)))</f>
        <v>0</v>
      </c>
      <c r="G1659" s="27">
        <f>IF(OR($B1659="",$C1659=""),"",$C1659*$F1659)</f>
        <v>0</v>
      </c>
      <c r="H1659" s="27">
        <f>IF(OR($B1659="",$C1659=""),"",$C1659*IFERROR(INDEX(PecCusto,MATCH($B1659,PecCod,0)),0))</f>
        <v>0</v>
      </c>
      <c r="I1659" s="32">
        <f>IF($A1659="","",IFERROR(INDEX(OSStatus,MATCH($A1659,OSNum,0)),"OS inexistente"))</f>
        <v>0</v>
      </c>
      <c r="J1659" s="32">
        <f>IF($A1659="","",IF($I1659="OS inexistente","OS inexistente",IF($E1659="Peça não cadastrada","Peça não cadastrada","OK")))</f>
        <v>0</v>
      </c>
    </row>
    <row r="1660" spans="1:10">
      <c r="A1660" s="17"/>
      <c r="B1660" s="13"/>
      <c r="C1660" s="20"/>
      <c r="D1660" s="19"/>
      <c r="E1660" s="26">
        <f>IF($B1660="","",IFERROR(INDEX(PecDesc,MATCH($B1660,PecCod,0)),"Peça não cadastrada"))</f>
        <v>0</v>
      </c>
      <c r="F1660" s="27">
        <f>IF($B1660="","",IF($D1660&lt;&gt;"",$D1660,IFERROR(INDEX(PecPreco,MATCH($B1660,PecCod,0)),0)))</f>
        <v>0</v>
      </c>
      <c r="G1660" s="27">
        <f>IF(OR($B1660="",$C1660=""),"",$C1660*$F1660)</f>
        <v>0</v>
      </c>
      <c r="H1660" s="27">
        <f>IF(OR($B1660="",$C1660=""),"",$C1660*IFERROR(INDEX(PecCusto,MATCH($B1660,PecCod,0)),0))</f>
        <v>0</v>
      </c>
      <c r="I1660" s="32">
        <f>IF($A1660="","",IFERROR(INDEX(OSStatus,MATCH($A1660,OSNum,0)),"OS inexistente"))</f>
        <v>0</v>
      </c>
      <c r="J1660" s="32">
        <f>IF($A1660="","",IF($I1660="OS inexistente","OS inexistente",IF($E1660="Peça não cadastrada","Peça não cadastrada","OK")))</f>
        <v>0</v>
      </c>
    </row>
    <row r="1661" spans="1:10">
      <c r="A1661" s="17"/>
      <c r="B1661" s="13"/>
      <c r="C1661" s="20"/>
      <c r="D1661" s="19"/>
      <c r="E1661" s="26">
        <f>IF($B1661="","",IFERROR(INDEX(PecDesc,MATCH($B1661,PecCod,0)),"Peça não cadastrada"))</f>
        <v>0</v>
      </c>
      <c r="F1661" s="27">
        <f>IF($B1661="","",IF($D1661&lt;&gt;"",$D1661,IFERROR(INDEX(PecPreco,MATCH($B1661,PecCod,0)),0)))</f>
        <v>0</v>
      </c>
      <c r="G1661" s="27">
        <f>IF(OR($B1661="",$C1661=""),"",$C1661*$F1661)</f>
        <v>0</v>
      </c>
      <c r="H1661" s="27">
        <f>IF(OR($B1661="",$C1661=""),"",$C1661*IFERROR(INDEX(PecCusto,MATCH($B1661,PecCod,0)),0))</f>
        <v>0</v>
      </c>
      <c r="I1661" s="32">
        <f>IF($A1661="","",IFERROR(INDEX(OSStatus,MATCH($A1661,OSNum,0)),"OS inexistente"))</f>
        <v>0</v>
      </c>
      <c r="J1661" s="32">
        <f>IF($A1661="","",IF($I1661="OS inexistente","OS inexistente",IF($E1661="Peça não cadastrada","Peça não cadastrada","OK")))</f>
        <v>0</v>
      </c>
    </row>
    <row r="1662" spans="1:10">
      <c r="A1662" s="17"/>
      <c r="B1662" s="13"/>
      <c r="C1662" s="20"/>
      <c r="D1662" s="19"/>
      <c r="E1662" s="26">
        <f>IF($B1662="","",IFERROR(INDEX(PecDesc,MATCH($B1662,PecCod,0)),"Peça não cadastrada"))</f>
        <v>0</v>
      </c>
      <c r="F1662" s="27">
        <f>IF($B1662="","",IF($D1662&lt;&gt;"",$D1662,IFERROR(INDEX(PecPreco,MATCH($B1662,PecCod,0)),0)))</f>
        <v>0</v>
      </c>
      <c r="G1662" s="27">
        <f>IF(OR($B1662="",$C1662=""),"",$C1662*$F1662)</f>
        <v>0</v>
      </c>
      <c r="H1662" s="27">
        <f>IF(OR($B1662="",$C1662=""),"",$C1662*IFERROR(INDEX(PecCusto,MATCH($B1662,PecCod,0)),0))</f>
        <v>0</v>
      </c>
      <c r="I1662" s="32">
        <f>IF($A1662="","",IFERROR(INDEX(OSStatus,MATCH($A1662,OSNum,0)),"OS inexistente"))</f>
        <v>0</v>
      </c>
      <c r="J1662" s="32">
        <f>IF($A1662="","",IF($I1662="OS inexistente","OS inexistente",IF($E1662="Peça não cadastrada","Peça não cadastrada","OK")))</f>
        <v>0</v>
      </c>
    </row>
    <row r="1663" spans="1:10">
      <c r="A1663" s="17"/>
      <c r="B1663" s="13"/>
      <c r="C1663" s="20"/>
      <c r="D1663" s="19"/>
      <c r="E1663" s="26">
        <f>IF($B1663="","",IFERROR(INDEX(PecDesc,MATCH($B1663,PecCod,0)),"Peça não cadastrada"))</f>
        <v>0</v>
      </c>
      <c r="F1663" s="27">
        <f>IF($B1663="","",IF($D1663&lt;&gt;"",$D1663,IFERROR(INDEX(PecPreco,MATCH($B1663,PecCod,0)),0)))</f>
        <v>0</v>
      </c>
      <c r="G1663" s="27">
        <f>IF(OR($B1663="",$C1663=""),"",$C1663*$F1663)</f>
        <v>0</v>
      </c>
      <c r="H1663" s="27">
        <f>IF(OR($B1663="",$C1663=""),"",$C1663*IFERROR(INDEX(PecCusto,MATCH($B1663,PecCod,0)),0))</f>
        <v>0</v>
      </c>
      <c r="I1663" s="32">
        <f>IF($A1663="","",IFERROR(INDEX(OSStatus,MATCH($A1663,OSNum,0)),"OS inexistente"))</f>
        <v>0</v>
      </c>
      <c r="J1663" s="32">
        <f>IF($A1663="","",IF($I1663="OS inexistente","OS inexistente",IF($E1663="Peça não cadastrada","Peça não cadastrada","OK")))</f>
        <v>0</v>
      </c>
    </row>
    <row r="1664" spans="1:10">
      <c r="A1664" s="17"/>
      <c r="B1664" s="13"/>
      <c r="C1664" s="20"/>
      <c r="D1664" s="19"/>
      <c r="E1664" s="26">
        <f>IF($B1664="","",IFERROR(INDEX(PecDesc,MATCH($B1664,PecCod,0)),"Peça não cadastrada"))</f>
        <v>0</v>
      </c>
      <c r="F1664" s="27">
        <f>IF($B1664="","",IF($D1664&lt;&gt;"",$D1664,IFERROR(INDEX(PecPreco,MATCH($B1664,PecCod,0)),0)))</f>
        <v>0</v>
      </c>
      <c r="G1664" s="27">
        <f>IF(OR($B1664="",$C1664=""),"",$C1664*$F1664)</f>
        <v>0</v>
      </c>
      <c r="H1664" s="27">
        <f>IF(OR($B1664="",$C1664=""),"",$C1664*IFERROR(INDEX(PecCusto,MATCH($B1664,PecCod,0)),0))</f>
        <v>0</v>
      </c>
      <c r="I1664" s="32">
        <f>IF($A1664="","",IFERROR(INDEX(OSStatus,MATCH($A1664,OSNum,0)),"OS inexistente"))</f>
        <v>0</v>
      </c>
      <c r="J1664" s="32">
        <f>IF($A1664="","",IF($I1664="OS inexistente","OS inexistente",IF($E1664="Peça não cadastrada","Peça não cadastrada","OK")))</f>
        <v>0</v>
      </c>
    </row>
    <row r="1665" spans="1:10">
      <c r="A1665" s="17"/>
      <c r="B1665" s="13"/>
      <c r="C1665" s="20"/>
      <c r="D1665" s="19"/>
      <c r="E1665" s="26">
        <f>IF($B1665="","",IFERROR(INDEX(PecDesc,MATCH($B1665,PecCod,0)),"Peça não cadastrada"))</f>
        <v>0</v>
      </c>
      <c r="F1665" s="27">
        <f>IF($B1665="","",IF($D1665&lt;&gt;"",$D1665,IFERROR(INDEX(PecPreco,MATCH($B1665,PecCod,0)),0)))</f>
        <v>0</v>
      </c>
      <c r="G1665" s="27">
        <f>IF(OR($B1665="",$C1665=""),"",$C1665*$F1665)</f>
        <v>0</v>
      </c>
      <c r="H1665" s="27">
        <f>IF(OR($B1665="",$C1665=""),"",$C1665*IFERROR(INDEX(PecCusto,MATCH($B1665,PecCod,0)),0))</f>
        <v>0</v>
      </c>
      <c r="I1665" s="32">
        <f>IF($A1665="","",IFERROR(INDEX(OSStatus,MATCH($A1665,OSNum,0)),"OS inexistente"))</f>
        <v>0</v>
      </c>
      <c r="J1665" s="32">
        <f>IF($A1665="","",IF($I1665="OS inexistente","OS inexistente",IF($E1665="Peça não cadastrada","Peça não cadastrada","OK")))</f>
        <v>0</v>
      </c>
    </row>
    <row r="1666" spans="1:10">
      <c r="A1666" s="17"/>
      <c r="B1666" s="13"/>
      <c r="C1666" s="20"/>
      <c r="D1666" s="19"/>
      <c r="E1666" s="26">
        <f>IF($B1666="","",IFERROR(INDEX(PecDesc,MATCH($B1666,PecCod,0)),"Peça não cadastrada"))</f>
        <v>0</v>
      </c>
      <c r="F1666" s="27">
        <f>IF($B1666="","",IF($D1666&lt;&gt;"",$D1666,IFERROR(INDEX(PecPreco,MATCH($B1666,PecCod,0)),0)))</f>
        <v>0</v>
      </c>
      <c r="G1666" s="27">
        <f>IF(OR($B1666="",$C1666=""),"",$C1666*$F1666)</f>
        <v>0</v>
      </c>
      <c r="H1666" s="27">
        <f>IF(OR($B1666="",$C1666=""),"",$C1666*IFERROR(INDEX(PecCusto,MATCH($B1666,PecCod,0)),0))</f>
        <v>0</v>
      </c>
      <c r="I1666" s="32">
        <f>IF($A1666="","",IFERROR(INDEX(OSStatus,MATCH($A1666,OSNum,0)),"OS inexistente"))</f>
        <v>0</v>
      </c>
      <c r="J1666" s="32">
        <f>IF($A1666="","",IF($I1666="OS inexistente","OS inexistente",IF($E1666="Peça não cadastrada","Peça não cadastrada","OK")))</f>
        <v>0</v>
      </c>
    </row>
    <row r="1667" spans="1:10">
      <c r="A1667" s="17"/>
      <c r="B1667" s="13"/>
      <c r="C1667" s="20"/>
      <c r="D1667" s="19"/>
      <c r="E1667" s="26">
        <f>IF($B1667="","",IFERROR(INDEX(PecDesc,MATCH($B1667,PecCod,0)),"Peça não cadastrada"))</f>
        <v>0</v>
      </c>
      <c r="F1667" s="27">
        <f>IF($B1667="","",IF($D1667&lt;&gt;"",$D1667,IFERROR(INDEX(PecPreco,MATCH($B1667,PecCod,0)),0)))</f>
        <v>0</v>
      </c>
      <c r="G1667" s="27">
        <f>IF(OR($B1667="",$C1667=""),"",$C1667*$F1667)</f>
        <v>0</v>
      </c>
      <c r="H1667" s="27">
        <f>IF(OR($B1667="",$C1667=""),"",$C1667*IFERROR(INDEX(PecCusto,MATCH($B1667,PecCod,0)),0))</f>
        <v>0</v>
      </c>
      <c r="I1667" s="32">
        <f>IF($A1667="","",IFERROR(INDEX(OSStatus,MATCH($A1667,OSNum,0)),"OS inexistente"))</f>
        <v>0</v>
      </c>
      <c r="J1667" s="32">
        <f>IF($A1667="","",IF($I1667="OS inexistente","OS inexistente",IF($E1667="Peça não cadastrada","Peça não cadastrada","OK")))</f>
        <v>0</v>
      </c>
    </row>
    <row r="1668" spans="1:10">
      <c r="A1668" s="17"/>
      <c r="B1668" s="13"/>
      <c r="C1668" s="20"/>
      <c r="D1668" s="19"/>
      <c r="E1668" s="26">
        <f>IF($B1668="","",IFERROR(INDEX(PecDesc,MATCH($B1668,PecCod,0)),"Peça não cadastrada"))</f>
        <v>0</v>
      </c>
      <c r="F1668" s="27">
        <f>IF($B1668="","",IF($D1668&lt;&gt;"",$D1668,IFERROR(INDEX(PecPreco,MATCH($B1668,PecCod,0)),0)))</f>
        <v>0</v>
      </c>
      <c r="G1668" s="27">
        <f>IF(OR($B1668="",$C1668=""),"",$C1668*$F1668)</f>
        <v>0</v>
      </c>
      <c r="H1668" s="27">
        <f>IF(OR($B1668="",$C1668=""),"",$C1668*IFERROR(INDEX(PecCusto,MATCH($B1668,PecCod,0)),0))</f>
        <v>0</v>
      </c>
      <c r="I1668" s="32">
        <f>IF($A1668="","",IFERROR(INDEX(OSStatus,MATCH($A1668,OSNum,0)),"OS inexistente"))</f>
        <v>0</v>
      </c>
      <c r="J1668" s="32">
        <f>IF($A1668="","",IF($I1668="OS inexistente","OS inexistente",IF($E1668="Peça não cadastrada","Peça não cadastrada","OK")))</f>
        <v>0</v>
      </c>
    </row>
    <row r="1669" spans="1:10">
      <c r="A1669" s="17"/>
      <c r="B1669" s="13"/>
      <c r="C1669" s="20"/>
      <c r="D1669" s="19"/>
      <c r="E1669" s="26">
        <f>IF($B1669="","",IFERROR(INDEX(PecDesc,MATCH($B1669,PecCod,0)),"Peça não cadastrada"))</f>
        <v>0</v>
      </c>
      <c r="F1669" s="27">
        <f>IF($B1669="","",IF($D1669&lt;&gt;"",$D1669,IFERROR(INDEX(PecPreco,MATCH($B1669,PecCod,0)),0)))</f>
        <v>0</v>
      </c>
      <c r="G1669" s="27">
        <f>IF(OR($B1669="",$C1669=""),"",$C1669*$F1669)</f>
        <v>0</v>
      </c>
      <c r="H1669" s="27">
        <f>IF(OR($B1669="",$C1669=""),"",$C1669*IFERROR(INDEX(PecCusto,MATCH($B1669,PecCod,0)),0))</f>
        <v>0</v>
      </c>
      <c r="I1669" s="32">
        <f>IF($A1669="","",IFERROR(INDEX(OSStatus,MATCH($A1669,OSNum,0)),"OS inexistente"))</f>
        <v>0</v>
      </c>
      <c r="J1669" s="32">
        <f>IF($A1669="","",IF($I1669="OS inexistente","OS inexistente",IF($E1669="Peça não cadastrada","Peça não cadastrada","OK")))</f>
        <v>0</v>
      </c>
    </row>
    <row r="1670" spans="1:10">
      <c r="A1670" s="17"/>
      <c r="B1670" s="13"/>
      <c r="C1670" s="20"/>
      <c r="D1670" s="19"/>
      <c r="E1670" s="26">
        <f>IF($B1670="","",IFERROR(INDEX(PecDesc,MATCH($B1670,PecCod,0)),"Peça não cadastrada"))</f>
        <v>0</v>
      </c>
      <c r="F1670" s="27">
        <f>IF($B1670="","",IF($D1670&lt;&gt;"",$D1670,IFERROR(INDEX(PecPreco,MATCH($B1670,PecCod,0)),0)))</f>
        <v>0</v>
      </c>
      <c r="G1670" s="27">
        <f>IF(OR($B1670="",$C1670=""),"",$C1670*$F1670)</f>
        <v>0</v>
      </c>
      <c r="H1670" s="27">
        <f>IF(OR($B1670="",$C1670=""),"",$C1670*IFERROR(INDEX(PecCusto,MATCH($B1670,PecCod,0)),0))</f>
        <v>0</v>
      </c>
      <c r="I1670" s="32">
        <f>IF($A1670="","",IFERROR(INDEX(OSStatus,MATCH($A1670,OSNum,0)),"OS inexistente"))</f>
        <v>0</v>
      </c>
      <c r="J1670" s="32">
        <f>IF($A1670="","",IF($I1670="OS inexistente","OS inexistente",IF($E1670="Peça não cadastrada","Peça não cadastrada","OK")))</f>
        <v>0</v>
      </c>
    </row>
    <row r="1671" spans="1:10">
      <c r="A1671" s="17"/>
      <c r="B1671" s="13"/>
      <c r="C1671" s="20"/>
      <c r="D1671" s="19"/>
      <c r="E1671" s="26">
        <f>IF($B1671="","",IFERROR(INDEX(PecDesc,MATCH($B1671,PecCod,0)),"Peça não cadastrada"))</f>
        <v>0</v>
      </c>
      <c r="F1671" s="27">
        <f>IF($B1671="","",IF($D1671&lt;&gt;"",$D1671,IFERROR(INDEX(PecPreco,MATCH($B1671,PecCod,0)),0)))</f>
        <v>0</v>
      </c>
      <c r="G1671" s="27">
        <f>IF(OR($B1671="",$C1671=""),"",$C1671*$F1671)</f>
        <v>0</v>
      </c>
      <c r="H1671" s="27">
        <f>IF(OR($B1671="",$C1671=""),"",$C1671*IFERROR(INDEX(PecCusto,MATCH($B1671,PecCod,0)),0))</f>
        <v>0</v>
      </c>
      <c r="I1671" s="32">
        <f>IF($A1671="","",IFERROR(INDEX(OSStatus,MATCH($A1671,OSNum,0)),"OS inexistente"))</f>
        <v>0</v>
      </c>
      <c r="J1671" s="32">
        <f>IF($A1671="","",IF($I1671="OS inexistente","OS inexistente",IF($E1671="Peça não cadastrada","Peça não cadastrada","OK")))</f>
        <v>0</v>
      </c>
    </row>
    <row r="1672" spans="1:10">
      <c r="A1672" s="17"/>
      <c r="B1672" s="13"/>
      <c r="C1672" s="20"/>
      <c r="D1672" s="19"/>
      <c r="E1672" s="26">
        <f>IF($B1672="","",IFERROR(INDEX(PecDesc,MATCH($B1672,PecCod,0)),"Peça não cadastrada"))</f>
        <v>0</v>
      </c>
      <c r="F1672" s="27">
        <f>IF($B1672="","",IF($D1672&lt;&gt;"",$D1672,IFERROR(INDEX(PecPreco,MATCH($B1672,PecCod,0)),0)))</f>
        <v>0</v>
      </c>
      <c r="G1672" s="27">
        <f>IF(OR($B1672="",$C1672=""),"",$C1672*$F1672)</f>
        <v>0</v>
      </c>
      <c r="H1672" s="27">
        <f>IF(OR($B1672="",$C1672=""),"",$C1672*IFERROR(INDEX(PecCusto,MATCH($B1672,PecCod,0)),0))</f>
        <v>0</v>
      </c>
      <c r="I1672" s="32">
        <f>IF($A1672="","",IFERROR(INDEX(OSStatus,MATCH($A1672,OSNum,0)),"OS inexistente"))</f>
        <v>0</v>
      </c>
      <c r="J1672" s="32">
        <f>IF($A1672="","",IF($I1672="OS inexistente","OS inexistente",IF($E1672="Peça não cadastrada","Peça não cadastrada","OK")))</f>
        <v>0</v>
      </c>
    </row>
    <row r="1673" spans="1:10">
      <c r="A1673" s="17"/>
      <c r="B1673" s="13"/>
      <c r="C1673" s="20"/>
      <c r="D1673" s="19"/>
      <c r="E1673" s="26">
        <f>IF($B1673="","",IFERROR(INDEX(PecDesc,MATCH($B1673,PecCod,0)),"Peça não cadastrada"))</f>
        <v>0</v>
      </c>
      <c r="F1673" s="27">
        <f>IF($B1673="","",IF($D1673&lt;&gt;"",$D1673,IFERROR(INDEX(PecPreco,MATCH($B1673,PecCod,0)),0)))</f>
        <v>0</v>
      </c>
      <c r="G1673" s="27">
        <f>IF(OR($B1673="",$C1673=""),"",$C1673*$F1673)</f>
        <v>0</v>
      </c>
      <c r="H1673" s="27">
        <f>IF(OR($B1673="",$C1673=""),"",$C1673*IFERROR(INDEX(PecCusto,MATCH($B1673,PecCod,0)),0))</f>
        <v>0</v>
      </c>
      <c r="I1673" s="32">
        <f>IF($A1673="","",IFERROR(INDEX(OSStatus,MATCH($A1673,OSNum,0)),"OS inexistente"))</f>
        <v>0</v>
      </c>
      <c r="J1673" s="32">
        <f>IF($A1673="","",IF($I1673="OS inexistente","OS inexistente",IF($E1673="Peça não cadastrada","Peça não cadastrada","OK")))</f>
        <v>0</v>
      </c>
    </row>
    <row r="1674" spans="1:10">
      <c r="A1674" s="17"/>
      <c r="B1674" s="13"/>
      <c r="C1674" s="20"/>
      <c r="D1674" s="19"/>
      <c r="E1674" s="26">
        <f>IF($B1674="","",IFERROR(INDEX(PecDesc,MATCH($B1674,PecCod,0)),"Peça não cadastrada"))</f>
        <v>0</v>
      </c>
      <c r="F1674" s="27">
        <f>IF($B1674="","",IF($D1674&lt;&gt;"",$D1674,IFERROR(INDEX(PecPreco,MATCH($B1674,PecCod,0)),0)))</f>
        <v>0</v>
      </c>
      <c r="G1674" s="27">
        <f>IF(OR($B1674="",$C1674=""),"",$C1674*$F1674)</f>
        <v>0</v>
      </c>
      <c r="H1674" s="27">
        <f>IF(OR($B1674="",$C1674=""),"",$C1674*IFERROR(INDEX(PecCusto,MATCH($B1674,PecCod,0)),0))</f>
        <v>0</v>
      </c>
      <c r="I1674" s="32">
        <f>IF($A1674="","",IFERROR(INDEX(OSStatus,MATCH($A1674,OSNum,0)),"OS inexistente"))</f>
        <v>0</v>
      </c>
      <c r="J1674" s="32">
        <f>IF($A1674="","",IF($I1674="OS inexistente","OS inexistente",IF($E1674="Peça não cadastrada","Peça não cadastrada","OK")))</f>
        <v>0</v>
      </c>
    </row>
    <row r="1675" spans="1:10">
      <c r="A1675" s="17"/>
      <c r="B1675" s="13"/>
      <c r="C1675" s="20"/>
      <c r="D1675" s="19"/>
      <c r="E1675" s="26">
        <f>IF($B1675="","",IFERROR(INDEX(PecDesc,MATCH($B1675,PecCod,0)),"Peça não cadastrada"))</f>
        <v>0</v>
      </c>
      <c r="F1675" s="27">
        <f>IF($B1675="","",IF($D1675&lt;&gt;"",$D1675,IFERROR(INDEX(PecPreco,MATCH($B1675,PecCod,0)),0)))</f>
        <v>0</v>
      </c>
      <c r="G1675" s="27">
        <f>IF(OR($B1675="",$C1675=""),"",$C1675*$F1675)</f>
        <v>0</v>
      </c>
      <c r="H1675" s="27">
        <f>IF(OR($B1675="",$C1675=""),"",$C1675*IFERROR(INDEX(PecCusto,MATCH($B1675,PecCod,0)),0))</f>
        <v>0</v>
      </c>
      <c r="I1675" s="32">
        <f>IF($A1675="","",IFERROR(INDEX(OSStatus,MATCH($A1675,OSNum,0)),"OS inexistente"))</f>
        <v>0</v>
      </c>
      <c r="J1675" s="32">
        <f>IF($A1675="","",IF($I1675="OS inexistente","OS inexistente",IF($E1675="Peça não cadastrada","Peça não cadastrada","OK")))</f>
        <v>0</v>
      </c>
    </row>
    <row r="1676" spans="1:10">
      <c r="A1676" s="17"/>
      <c r="B1676" s="13"/>
      <c r="C1676" s="20"/>
      <c r="D1676" s="19"/>
      <c r="E1676" s="26">
        <f>IF($B1676="","",IFERROR(INDEX(PecDesc,MATCH($B1676,PecCod,0)),"Peça não cadastrada"))</f>
        <v>0</v>
      </c>
      <c r="F1676" s="27">
        <f>IF($B1676="","",IF($D1676&lt;&gt;"",$D1676,IFERROR(INDEX(PecPreco,MATCH($B1676,PecCod,0)),0)))</f>
        <v>0</v>
      </c>
      <c r="G1676" s="27">
        <f>IF(OR($B1676="",$C1676=""),"",$C1676*$F1676)</f>
        <v>0</v>
      </c>
      <c r="H1676" s="27">
        <f>IF(OR($B1676="",$C1676=""),"",$C1676*IFERROR(INDEX(PecCusto,MATCH($B1676,PecCod,0)),0))</f>
        <v>0</v>
      </c>
      <c r="I1676" s="32">
        <f>IF($A1676="","",IFERROR(INDEX(OSStatus,MATCH($A1676,OSNum,0)),"OS inexistente"))</f>
        <v>0</v>
      </c>
      <c r="J1676" s="32">
        <f>IF($A1676="","",IF($I1676="OS inexistente","OS inexistente",IF($E1676="Peça não cadastrada","Peça não cadastrada","OK")))</f>
        <v>0</v>
      </c>
    </row>
    <row r="1677" spans="1:10">
      <c r="A1677" s="17"/>
      <c r="B1677" s="13"/>
      <c r="C1677" s="20"/>
      <c r="D1677" s="19"/>
      <c r="E1677" s="26">
        <f>IF($B1677="","",IFERROR(INDEX(PecDesc,MATCH($B1677,PecCod,0)),"Peça não cadastrada"))</f>
        <v>0</v>
      </c>
      <c r="F1677" s="27">
        <f>IF($B1677="","",IF($D1677&lt;&gt;"",$D1677,IFERROR(INDEX(PecPreco,MATCH($B1677,PecCod,0)),0)))</f>
        <v>0</v>
      </c>
      <c r="G1677" s="27">
        <f>IF(OR($B1677="",$C1677=""),"",$C1677*$F1677)</f>
        <v>0</v>
      </c>
      <c r="H1677" s="27">
        <f>IF(OR($B1677="",$C1677=""),"",$C1677*IFERROR(INDEX(PecCusto,MATCH($B1677,PecCod,0)),0))</f>
        <v>0</v>
      </c>
      <c r="I1677" s="32">
        <f>IF($A1677="","",IFERROR(INDEX(OSStatus,MATCH($A1677,OSNum,0)),"OS inexistente"))</f>
        <v>0</v>
      </c>
      <c r="J1677" s="32">
        <f>IF($A1677="","",IF($I1677="OS inexistente","OS inexistente",IF($E1677="Peça não cadastrada","Peça não cadastrada","OK")))</f>
        <v>0</v>
      </c>
    </row>
    <row r="1678" spans="1:10">
      <c r="A1678" s="17"/>
      <c r="B1678" s="13"/>
      <c r="C1678" s="20"/>
      <c r="D1678" s="19"/>
      <c r="E1678" s="26">
        <f>IF($B1678="","",IFERROR(INDEX(PecDesc,MATCH($B1678,PecCod,0)),"Peça não cadastrada"))</f>
        <v>0</v>
      </c>
      <c r="F1678" s="27">
        <f>IF($B1678="","",IF($D1678&lt;&gt;"",$D1678,IFERROR(INDEX(PecPreco,MATCH($B1678,PecCod,0)),0)))</f>
        <v>0</v>
      </c>
      <c r="G1678" s="27">
        <f>IF(OR($B1678="",$C1678=""),"",$C1678*$F1678)</f>
        <v>0</v>
      </c>
      <c r="H1678" s="27">
        <f>IF(OR($B1678="",$C1678=""),"",$C1678*IFERROR(INDEX(PecCusto,MATCH($B1678,PecCod,0)),0))</f>
        <v>0</v>
      </c>
      <c r="I1678" s="32">
        <f>IF($A1678="","",IFERROR(INDEX(OSStatus,MATCH($A1678,OSNum,0)),"OS inexistente"))</f>
        <v>0</v>
      </c>
      <c r="J1678" s="32">
        <f>IF($A1678="","",IF($I1678="OS inexistente","OS inexistente",IF($E1678="Peça não cadastrada","Peça não cadastrada","OK")))</f>
        <v>0</v>
      </c>
    </row>
    <row r="1679" spans="1:10">
      <c r="A1679" s="17"/>
      <c r="B1679" s="13"/>
      <c r="C1679" s="20"/>
      <c r="D1679" s="19"/>
      <c r="E1679" s="26">
        <f>IF($B1679="","",IFERROR(INDEX(PecDesc,MATCH($B1679,PecCod,0)),"Peça não cadastrada"))</f>
        <v>0</v>
      </c>
      <c r="F1679" s="27">
        <f>IF($B1679="","",IF($D1679&lt;&gt;"",$D1679,IFERROR(INDEX(PecPreco,MATCH($B1679,PecCod,0)),0)))</f>
        <v>0</v>
      </c>
      <c r="G1679" s="27">
        <f>IF(OR($B1679="",$C1679=""),"",$C1679*$F1679)</f>
        <v>0</v>
      </c>
      <c r="H1679" s="27">
        <f>IF(OR($B1679="",$C1679=""),"",$C1679*IFERROR(INDEX(PecCusto,MATCH($B1679,PecCod,0)),0))</f>
        <v>0</v>
      </c>
      <c r="I1679" s="32">
        <f>IF($A1679="","",IFERROR(INDEX(OSStatus,MATCH($A1679,OSNum,0)),"OS inexistente"))</f>
        <v>0</v>
      </c>
      <c r="J1679" s="32">
        <f>IF($A1679="","",IF($I1679="OS inexistente","OS inexistente",IF($E1679="Peça não cadastrada","Peça não cadastrada","OK")))</f>
        <v>0</v>
      </c>
    </row>
    <row r="1680" spans="1:10">
      <c r="A1680" s="17"/>
      <c r="B1680" s="13"/>
      <c r="C1680" s="20"/>
      <c r="D1680" s="19"/>
      <c r="E1680" s="26">
        <f>IF($B1680="","",IFERROR(INDEX(PecDesc,MATCH($B1680,PecCod,0)),"Peça não cadastrada"))</f>
        <v>0</v>
      </c>
      <c r="F1680" s="27">
        <f>IF($B1680="","",IF($D1680&lt;&gt;"",$D1680,IFERROR(INDEX(PecPreco,MATCH($B1680,PecCod,0)),0)))</f>
        <v>0</v>
      </c>
      <c r="G1680" s="27">
        <f>IF(OR($B1680="",$C1680=""),"",$C1680*$F1680)</f>
        <v>0</v>
      </c>
      <c r="H1680" s="27">
        <f>IF(OR($B1680="",$C1680=""),"",$C1680*IFERROR(INDEX(PecCusto,MATCH($B1680,PecCod,0)),0))</f>
        <v>0</v>
      </c>
      <c r="I1680" s="32">
        <f>IF($A1680="","",IFERROR(INDEX(OSStatus,MATCH($A1680,OSNum,0)),"OS inexistente"))</f>
        <v>0</v>
      </c>
      <c r="J1680" s="32">
        <f>IF($A1680="","",IF($I1680="OS inexistente","OS inexistente",IF($E1680="Peça não cadastrada","Peça não cadastrada","OK")))</f>
        <v>0</v>
      </c>
    </row>
    <row r="1681" spans="1:10">
      <c r="A1681" s="17"/>
      <c r="B1681" s="13"/>
      <c r="C1681" s="20"/>
      <c r="D1681" s="19"/>
      <c r="E1681" s="26">
        <f>IF($B1681="","",IFERROR(INDEX(PecDesc,MATCH($B1681,PecCod,0)),"Peça não cadastrada"))</f>
        <v>0</v>
      </c>
      <c r="F1681" s="27">
        <f>IF($B1681="","",IF($D1681&lt;&gt;"",$D1681,IFERROR(INDEX(PecPreco,MATCH($B1681,PecCod,0)),0)))</f>
        <v>0</v>
      </c>
      <c r="G1681" s="27">
        <f>IF(OR($B1681="",$C1681=""),"",$C1681*$F1681)</f>
        <v>0</v>
      </c>
      <c r="H1681" s="27">
        <f>IF(OR($B1681="",$C1681=""),"",$C1681*IFERROR(INDEX(PecCusto,MATCH($B1681,PecCod,0)),0))</f>
        <v>0</v>
      </c>
      <c r="I1681" s="32">
        <f>IF($A1681="","",IFERROR(INDEX(OSStatus,MATCH($A1681,OSNum,0)),"OS inexistente"))</f>
        <v>0</v>
      </c>
      <c r="J1681" s="32">
        <f>IF($A1681="","",IF($I1681="OS inexistente","OS inexistente",IF($E1681="Peça não cadastrada","Peça não cadastrada","OK")))</f>
        <v>0</v>
      </c>
    </row>
    <row r="1682" spans="1:10">
      <c r="A1682" s="17"/>
      <c r="B1682" s="13"/>
      <c r="C1682" s="20"/>
      <c r="D1682" s="19"/>
      <c r="E1682" s="26">
        <f>IF($B1682="","",IFERROR(INDEX(PecDesc,MATCH($B1682,PecCod,0)),"Peça não cadastrada"))</f>
        <v>0</v>
      </c>
      <c r="F1682" s="27">
        <f>IF($B1682="","",IF($D1682&lt;&gt;"",$D1682,IFERROR(INDEX(PecPreco,MATCH($B1682,PecCod,0)),0)))</f>
        <v>0</v>
      </c>
      <c r="G1682" s="27">
        <f>IF(OR($B1682="",$C1682=""),"",$C1682*$F1682)</f>
        <v>0</v>
      </c>
      <c r="H1682" s="27">
        <f>IF(OR($B1682="",$C1682=""),"",$C1682*IFERROR(INDEX(PecCusto,MATCH($B1682,PecCod,0)),0))</f>
        <v>0</v>
      </c>
      <c r="I1682" s="32">
        <f>IF($A1682="","",IFERROR(INDEX(OSStatus,MATCH($A1682,OSNum,0)),"OS inexistente"))</f>
        <v>0</v>
      </c>
      <c r="J1682" s="32">
        <f>IF($A1682="","",IF($I1682="OS inexistente","OS inexistente",IF($E1682="Peça não cadastrada","Peça não cadastrada","OK")))</f>
        <v>0</v>
      </c>
    </row>
    <row r="1683" spans="1:10">
      <c r="A1683" s="17"/>
      <c r="B1683" s="13"/>
      <c r="C1683" s="20"/>
      <c r="D1683" s="19"/>
      <c r="E1683" s="26">
        <f>IF($B1683="","",IFERROR(INDEX(PecDesc,MATCH($B1683,PecCod,0)),"Peça não cadastrada"))</f>
        <v>0</v>
      </c>
      <c r="F1683" s="27">
        <f>IF($B1683="","",IF($D1683&lt;&gt;"",$D1683,IFERROR(INDEX(PecPreco,MATCH($B1683,PecCod,0)),0)))</f>
        <v>0</v>
      </c>
      <c r="G1683" s="27">
        <f>IF(OR($B1683="",$C1683=""),"",$C1683*$F1683)</f>
        <v>0</v>
      </c>
      <c r="H1683" s="27">
        <f>IF(OR($B1683="",$C1683=""),"",$C1683*IFERROR(INDEX(PecCusto,MATCH($B1683,PecCod,0)),0))</f>
        <v>0</v>
      </c>
      <c r="I1683" s="32">
        <f>IF($A1683="","",IFERROR(INDEX(OSStatus,MATCH($A1683,OSNum,0)),"OS inexistente"))</f>
        <v>0</v>
      </c>
      <c r="J1683" s="32">
        <f>IF($A1683="","",IF($I1683="OS inexistente","OS inexistente",IF($E1683="Peça não cadastrada","Peça não cadastrada","OK")))</f>
        <v>0</v>
      </c>
    </row>
    <row r="1684" spans="1:10">
      <c r="A1684" s="17"/>
      <c r="B1684" s="13"/>
      <c r="C1684" s="20"/>
      <c r="D1684" s="19"/>
      <c r="E1684" s="26">
        <f>IF($B1684="","",IFERROR(INDEX(PecDesc,MATCH($B1684,PecCod,0)),"Peça não cadastrada"))</f>
        <v>0</v>
      </c>
      <c r="F1684" s="27">
        <f>IF($B1684="","",IF($D1684&lt;&gt;"",$D1684,IFERROR(INDEX(PecPreco,MATCH($B1684,PecCod,0)),0)))</f>
        <v>0</v>
      </c>
      <c r="G1684" s="27">
        <f>IF(OR($B1684="",$C1684=""),"",$C1684*$F1684)</f>
        <v>0</v>
      </c>
      <c r="H1684" s="27">
        <f>IF(OR($B1684="",$C1684=""),"",$C1684*IFERROR(INDEX(PecCusto,MATCH($B1684,PecCod,0)),0))</f>
        <v>0</v>
      </c>
      <c r="I1684" s="32">
        <f>IF($A1684="","",IFERROR(INDEX(OSStatus,MATCH($A1684,OSNum,0)),"OS inexistente"))</f>
        <v>0</v>
      </c>
      <c r="J1684" s="32">
        <f>IF($A1684="","",IF($I1684="OS inexistente","OS inexistente",IF($E1684="Peça não cadastrada","Peça não cadastrada","OK")))</f>
        <v>0</v>
      </c>
    </row>
    <row r="1685" spans="1:10">
      <c r="A1685" s="17"/>
      <c r="B1685" s="13"/>
      <c r="C1685" s="20"/>
      <c r="D1685" s="19"/>
      <c r="E1685" s="26">
        <f>IF($B1685="","",IFERROR(INDEX(PecDesc,MATCH($B1685,PecCod,0)),"Peça não cadastrada"))</f>
        <v>0</v>
      </c>
      <c r="F1685" s="27">
        <f>IF($B1685="","",IF($D1685&lt;&gt;"",$D1685,IFERROR(INDEX(PecPreco,MATCH($B1685,PecCod,0)),0)))</f>
        <v>0</v>
      </c>
      <c r="G1685" s="27">
        <f>IF(OR($B1685="",$C1685=""),"",$C1685*$F1685)</f>
        <v>0</v>
      </c>
      <c r="H1685" s="27">
        <f>IF(OR($B1685="",$C1685=""),"",$C1685*IFERROR(INDEX(PecCusto,MATCH($B1685,PecCod,0)),0))</f>
        <v>0</v>
      </c>
      <c r="I1685" s="32">
        <f>IF($A1685="","",IFERROR(INDEX(OSStatus,MATCH($A1685,OSNum,0)),"OS inexistente"))</f>
        <v>0</v>
      </c>
      <c r="J1685" s="32">
        <f>IF($A1685="","",IF($I1685="OS inexistente","OS inexistente",IF($E1685="Peça não cadastrada","Peça não cadastrada","OK")))</f>
        <v>0</v>
      </c>
    </row>
    <row r="1686" spans="1:10">
      <c r="A1686" s="17"/>
      <c r="B1686" s="13"/>
      <c r="C1686" s="20"/>
      <c r="D1686" s="19"/>
      <c r="E1686" s="26">
        <f>IF($B1686="","",IFERROR(INDEX(PecDesc,MATCH($B1686,PecCod,0)),"Peça não cadastrada"))</f>
        <v>0</v>
      </c>
      <c r="F1686" s="27">
        <f>IF($B1686="","",IF($D1686&lt;&gt;"",$D1686,IFERROR(INDEX(PecPreco,MATCH($B1686,PecCod,0)),0)))</f>
        <v>0</v>
      </c>
      <c r="G1686" s="27">
        <f>IF(OR($B1686="",$C1686=""),"",$C1686*$F1686)</f>
        <v>0</v>
      </c>
      <c r="H1686" s="27">
        <f>IF(OR($B1686="",$C1686=""),"",$C1686*IFERROR(INDEX(PecCusto,MATCH($B1686,PecCod,0)),0))</f>
        <v>0</v>
      </c>
      <c r="I1686" s="32">
        <f>IF($A1686="","",IFERROR(INDEX(OSStatus,MATCH($A1686,OSNum,0)),"OS inexistente"))</f>
        <v>0</v>
      </c>
      <c r="J1686" s="32">
        <f>IF($A1686="","",IF($I1686="OS inexistente","OS inexistente",IF($E1686="Peça não cadastrada","Peça não cadastrada","OK")))</f>
        <v>0</v>
      </c>
    </row>
    <row r="1687" spans="1:10">
      <c r="A1687" s="17"/>
      <c r="B1687" s="13"/>
      <c r="C1687" s="20"/>
      <c r="D1687" s="19"/>
      <c r="E1687" s="26">
        <f>IF($B1687="","",IFERROR(INDEX(PecDesc,MATCH($B1687,PecCod,0)),"Peça não cadastrada"))</f>
        <v>0</v>
      </c>
      <c r="F1687" s="27">
        <f>IF($B1687="","",IF($D1687&lt;&gt;"",$D1687,IFERROR(INDEX(PecPreco,MATCH($B1687,PecCod,0)),0)))</f>
        <v>0</v>
      </c>
      <c r="G1687" s="27">
        <f>IF(OR($B1687="",$C1687=""),"",$C1687*$F1687)</f>
        <v>0</v>
      </c>
      <c r="H1687" s="27">
        <f>IF(OR($B1687="",$C1687=""),"",$C1687*IFERROR(INDEX(PecCusto,MATCH($B1687,PecCod,0)),0))</f>
        <v>0</v>
      </c>
      <c r="I1687" s="32">
        <f>IF($A1687="","",IFERROR(INDEX(OSStatus,MATCH($A1687,OSNum,0)),"OS inexistente"))</f>
        <v>0</v>
      </c>
      <c r="J1687" s="32">
        <f>IF($A1687="","",IF($I1687="OS inexistente","OS inexistente",IF($E1687="Peça não cadastrada","Peça não cadastrada","OK")))</f>
        <v>0</v>
      </c>
    </row>
    <row r="1688" spans="1:10">
      <c r="A1688" s="17"/>
      <c r="B1688" s="13"/>
      <c r="C1688" s="20"/>
      <c r="D1688" s="19"/>
      <c r="E1688" s="26">
        <f>IF($B1688="","",IFERROR(INDEX(PecDesc,MATCH($B1688,PecCod,0)),"Peça não cadastrada"))</f>
        <v>0</v>
      </c>
      <c r="F1688" s="27">
        <f>IF($B1688="","",IF($D1688&lt;&gt;"",$D1688,IFERROR(INDEX(PecPreco,MATCH($B1688,PecCod,0)),0)))</f>
        <v>0</v>
      </c>
      <c r="G1688" s="27">
        <f>IF(OR($B1688="",$C1688=""),"",$C1688*$F1688)</f>
        <v>0</v>
      </c>
      <c r="H1688" s="27">
        <f>IF(OR($B1688="",$C1688=""),"",$C1688*IFERROR(INDEX(PecCusto,MATCH($B1688,PecCod,0)),0))</f>
        <v>0</v>
      </c>
      <c r="I1688" s="32">
        <f>IF($A1688="","",IFERROR(INDEX(OSStatus,MATCH($A1688,OSNum,0)),"OS inexistente"))</f>
        <v>0</v>
      </c>
      <c r="J1688" s="32">
        <f>IF($A1688="","",IF($I1688="OS inexistente","OS inexistente",IF($E1688="Peça não cadastrada","Peça não cadastrada","OK")))</f>
        <v>0</v>
      </c>
    </row>
    <row r="1689" spans="1:10">
      <c r="A1689" s="17"/>
      <c r="B1689" s="13"/>
      <c r="C1689" s="20"/>
      <c r="D1689" s="19"/>
      <c r="E1689" s="26">
        <f>IF($B1689="","",IFERROR(INDEX(PecDesc,MATCH($B1689,PecCod,0)),"Peça não cadastrada"))</f>
        <v>0</v>
      </c>
      <c r="F1689" s="27">
        <f>IF($B1689="","",IF($D1689&lt;&gt;"",$D1689,IFERROR(INDEX(PecPreco,MATCH($B1689,PecCod,0)),0)))</f>
        <v>0</v>
      </c>
      <c r="G1689" s="27">
        <f>IF(OR($B1689="",$C1689=""),"",$C1689*$F1689)</f>
        <v>0</v>
      </c>
      <c r="H1689" s="27">
        <f>IF(OR($B1689="",$C1689=""),"",$C1689*IFERROR(INDEX(PecCusto,MATCH($B1689,PecCod,0)),0))</f>
        <v>0</v>
      </c>
      <c r="I1689" s="32">
        <f>IF($A1689="","",IFERROR(INDEX(OSStatus,MATCH($A1689,OSNum,0)),"OS inexistente"))</f>
        <v>0</v>
      </c>
      <c r="J1689" s="32">
        <f>IF($A1689="","",IF($I1689="OS inexistente","OS inexistente",IF($E1689="Peça não cadastrada","Peça não cadastrada","OK")))</f>
        <v>0</v>
      </c>
    </row>
    <row r="1690" spans="1:10">
      <c r="A1690" s="17"/>
      <c r="B1690" s="13"/>
      <c r="C1690" s="20"/>
      <c r="D1690" s="19"/>
      <c r="E1690" s="26">
        <f>IF($B1690="","",IFERROR(INDEX(PecDesc,MATCH($B1690,PecCod,0)),"Peça não cadastrada"))</f>
        <v>0</v>
      </c>
      <c r="F1690" s="27">
        <f>IF($B1690="","",IF($D1690&lt;&gt;"",$D1690,IFERROR(INDEX(PecPreco,MATCH($B1690,PecCod,0)),0)))</f>
        <v>0</v>
      </c>
      <c r="G1690" s="27">
        <f>IF(OR($B1690="",$C1690=""),"",$C1690*$F1690)</f>
        <v>0</v>
      </c>
      <c r="H1690" s="27">
        <f>IF(OR($B1690="",$C1690=""),"",$C1690*IFERROR(INDEX(PecCusto,MATCH($B1690,PecCod,0)),0))</f>
        <v>0</v>
      </c>
      <c r="I1690" s="32">
        <f>IF($A1690="","",IFERROR(INDEX(OSStatus,MATCH($A1690,OSNum,0)),"OS inexistente"))</f>
        <v>0</v>
      </c>
      <c r="J1690" s="32">
        <f>IF($A1690="","",IF($I1690="OS inexistente","OS inexistente",IF($E1690="Peça não cadastrada","Peça não cadastrada","OK")))</f>
        <v>0</v>
      </c>
    </row>
    <row r="1691" spans="1:10">
      <c r="A1691" s="17"/>
      <c r="B1691" s="13"/>
      <c r="C1691" s="20"/>
      <c r="D1691" s="19"/>
      <c r="E1691" s="26">
        <f>IF($B1691="","",IFERROR(INDEX(PecDesc,MATCH($B1691,PecCod,0)),"Peça não cadastrada"))</f>
        <v>0</v>
      </c>
      <c r="F1691" s="27">
        <f>IF($B1691="","",IF($D1691&lt;&gt;"",$D1691,IFERROR(INDEX(PecPreco,MATCH($B1691,PecCod,0)),0)))</f>
        <v>0</v>
      </c>
      <c r="G1691" s="27">
        <f>IF(OR($B1691="",$C1691=""),"",$C1691*$F1691)</f>
        <v>0</v>
      </c>
      <c r="H1691" s="27">
        <f>IF(OR($B1691="",$C1691=""),"",$C1691*IFERROR(INDEX(PecCusto,MATCH($B1691,PecCod,0)),0))</f>
        <v>0</v>
      </c>
      <c r="I1691" s="32">
        <f>IF($A1691="","",IFERROR(INDEX(OSStatus,MATCH($A1691,OSNum,0)),"OS inexistente"))</f>
        <v>0</v>
      </c>
      <c r="J1691" s="32">
        <f>IF($A1691="","",IF($I1691="OS inexistente","OS inexistente",IF($E1691="Peça não cadastrada","Peça não cadastrada","OK")))</f>
        <v>0</v>
      </c>
    </row>
    <row r="1692" spans="1:10">
      <c r="A1692" s="17"/>
      <c r="B1692" s="13"/>
      <c r="C1692" s="20"/>
      <c r="D1692" s="19"/>
      <c r="E1692" s="26">
        <f>IF($B1692="","",IFERROR(INDEX(PecDesc,MATCH($B1692,PecCod,0)),"Peça não cadastrada"))</f>
        <v>0</v>
      </c>
      <c r="F1692" s="27">
        <f>IF($B1692="","",IF($D1692&lt;&gt;"",$D1692,IFERROR(INDEX(PecPreco,MATCH($B1692,PecCod,0)),0)))</f>
        <v>0</v>
      </c>
      <c r="G1692" s="27">
        <f>IF(OR($B1692="",$C1692=""),"",$C1692*$F1692)</f>
        <v>0</v>
      </c>
      <c r="H1692" s="27">
        <f>IF(OR($B1692="",$C1692=""),"",$C1692*IFERROR(INDEX(PecCusto,MATCH($B1692,PecCod,0)),0))</f>
        <v>0</v>
      </c>
      <c r="I1692" s="32">
        <f>IF($A1692="","",IFERROR(INDEX(OSStatus,MATCH($A1692,OSNum,0)),"OS inexistente"))</f>
        <v>0</v>
      </c>
      <c r="J1692" s="32">
        <f>IF($A1692="","",IF($I1692="OS inexistente","OS inexistente",IF($E1692="Peça não cadastrada","Peça não cadastrada","OK")))</f>
        <v>0</v>
      </c>
    </row>
    <row r="1693" spans="1:10">
      <c r="A1693" s="17"/>
      <c r="B1693" s="13"/>
      <c r="C1693" s="20"/>
      <c r="D1693" s="19"/>
      <c r="E1693" s="26">
        <f>IF($B1693="","",IFERROR(INDEX(PecDesc,MATCH($B1693,PecCod,0)),"Peça não cadastrada"))</f>
        <v>0</v>
      </c>
      <c r="F1693" s="27">
        <f>IF($B1693="","",IF($D1693&lt;&gt;"",$D1693,IFERROR(INDEX(PecPreco,MATCH($B1693,PecCod,0)),0)))</f>
        <v>0</v>
      </c>
      <c r="G1693" s="27">
        <f>IF(OR($B1693="",$C1693=""),"",$C1693*$F1693)</f>
        <v>0</v>
      </c>
      <c r="H1693" s="27">
        <f>IF(OR($B1693="",$C1693=""),"",$C1693*IFERROR(INDEX(PecCusto,MATCH($B1693,PecCod,0)),0))</f>
        <v>0</v>
      </c>
      <c r="I1693" s="32">
        <f>IF($A1693="","",IFERROR(INDEX(OSStatus,MATCH($A1693,OSNum,0)),"OS inexistente"))</f>
        <v>0</v>
      </c>
      <c r="J1693" s="32">
        <f>IF($A1693="","",IF($I1693="OS inexistente","OS inexistente",IF($E1693="Peça não cadastrada","Peça não cadastrada","OK")))</f>
        <v>0</v>
      </c>
    </row>
    <row r="1694" spans="1:10">
      <c r="A1694" s="17"/>
      <c r="B1694" s="13"/>
      <c r="C1694" s="20"/>
      <c r="D1694" s="19"/>
      <c r="E1694" s="26">
        <f>IF($B1694="","",IFERROR(INDEX(PecDesc,MATCH($B1694,PecCod,0)),"Peça não cadastrada"))</f>
        <v>0</v>
      </c>
      <c r="F1694" s="27">
        <f>IF($B1694="","",IF($D1694&lt;&gt;"",$D1694,IFERROR(INDEX(PecPreco,MATCH($B1694,PecCod,0)),0)))</f>
        <v>0</v>
      </c>
      <c r="G1694" s="27">
        <f>IF(OR($B1694="",$C1694=""),"",$C1694*$F1694)</f>
        <v>0</v>
      </c>
      <c r="H1694" s="27">
        <f>IF(OR($B1694="",$C1694=""),"",$C1694*IFERROR(INDEX(PecCusto,MATCH($B1694,PecCod,0)),0))</f>
        <v>0</v>
      </c>
      <c r="I1694" s="32">
        <f>IF($A1694="","",IFERROR(INDEX(OSStatus,MATCH($A1694,OSNum,0)),"OS inexistente"))</f>
        <v>0</v>
      </c>
      <c r="J1694" s="32">
        <f>IF($A1694="","",IF($I1694="OS inexistente","OS inexistente",IF($E1694="Peça não cadastrada","Peça não cadastrada","OK")))</f>
        <v>0</v>
      </c>
    </row>
    <row r="1695" spans="1:10">
      <c r="A1695" s="17"/>
      <c r="B1695" s="13"/>
      <c r="C1695" s="20"/>
      <c r="D1695" s="19"/>
      <c r="E1695" s="26">
        <f>IF($B1695="","",IFERROR(INDEX(PecDesc,MATCH($B1695,PecCod,0)),"Peça não cadastrada"))</f>
        <v>0</v>
      </c>
      <c r="F1695" s="27">
        <f>IF($B1695="","",IF($D1695&lt;&gt;"",$D1695,IFERROR(INDEX(PecPreco,MATCH($B1695,PecCod,0)),0)))</f>
        <v>0</v>
      </c>
      <c r="G1695" s="27">
        <f>IF(OR($B1695="",$C1695=""),"",$C1695*$F1695)</f>
        <v>0</v>
      </c>
      <c r="H1695" s="27">
        <f>IF(OR($B1695="",$C1695=""),"",$C1695*IFERROR(INDEX(PecCusto,MATCH($B1695,PecCod,0)),0))</f>
        <v>0</v>
      </c>
      <c r="I1695" s="32">
        <f>IF($A1695="","",IFERROR(INDEX(OSStatus,MATCH($A1695,OSNum,0)),"OS inexistente"))</f>
        <v>0</v>
      </c>
      <c r="J1695" s="32">
        <f>IF($A1695="","",IF($I1695="OS inexistente","OS inexistente",IF($E1695="Peça não cadastrada","Peça não cadastrada","OK")))</f>
        <v>0</v>
      </c>
    </row>
    <row r="1696" spans="1:10">
      <c r="A1696" s="17"/>
      <c r="B1696" s="13"/>
      <c r="C1696" s="20"/>
      <c r="D1696" s="19"/>
      <c r="E1696" s="26">
        <f>IF($B1696="","",IFERROR(INDEX(PecDesc,MATCH($B1696,PecCod,0)),"Peça não cadastrada"))</f>
        <v>0</v>
      </c>
      <c r="F1696" s="27">
        <f>IF($B1696="","",IF($D1696&lt;&gt;"",$D1696,IFERROR(INDEX(PecPreco,MATCH($B1696,PecCod,0)),0)))</f>
        <v>0</v>
      </c>
      <c r="G1696" s="27">
        <f>IF(OR($B1696="",$C1696=""),"",$C1696*$F1696)</f>
        <v>0</v>
      </c>
      <c r="H1696" s="27">
        <f>IF(OR($B1696="",$C1696=""),"",$C1696*IFERROR(INDEX(PecCusto,MATCH($B1696,PecCod,0)),0))</f>
        <v>0</v>
      </c>
      <c r="I1696" s="32">
        <f>IF($A1696="","",IFERROR(INDEX(OSStatus,MATCH($A1696,OSNum,0)),"OS inexistente"))</f>
        <v>0</v>
      </c>
      <c r="J1696" s="32">
        <f>IF($A1696="","",IF($I1696="OS inexistente","OS inexistente",IF($E1696="Peça não cadastrada","Peça não cadastrada","OK")))</f>
        <v>0</v>
      </c>
    </row>
    <row r="1697" spans="1:10">
      <c r="A1697" s="17"/>
      <c r="B1697" s="13"/>
      <c r="C1697" s="20"/>
      <c r="D1697" s="19"/>
      <c r="E1697" s="26">
        <f>IF($B1697="","",IFERROR(INDEX(PecDesc,MATCH($B1697,PecCod,0)),"Peça não cadastrada"))</f>
        <v>0</v>
      </c>
      <c r="F1697" s="27">
        <f>IF($B1697="","",IF($D1697&lt;&gt;"",$D1697,IFERROR(INDEX(PecPreco,MATCH($B1697,PecCod,0)),0)))</f>
        <v>0</v>
      </c>
      <c r="G1697" s="27">
        <f>IF(OR($B1697="",$C1697=""),"",$C1697*$F1697)</f>
        <v>0</v>
      </c>
      <c r="H1697" s="27">
        <f>IF(OR($B1697="",$C1697=""),"",$C1697*IFERROR(INDEX(PecCusto,MATCH($B1697,PecCod,0)),0))</f>
        <v>0</v>
      </c>
      <c r="I1697" s="32">
        <f>IF($A1697="","",IFERROR(INDEX(OSStatus,MATCH($A1697,OSNum,0)),"OS inexistente"))</f>
        <v>0</v>
      </c>
      <c r="J1697" s="32">
        <f>IF($A1697="","",IF($I1697="OS inexistente","OS inexistente",IF($E1697="Peça não cadastrada","Peça não cadastrada","OK")))</f>
        <v>0</v>
      </c>
    </row>
    <row r="1698" spans="1:10">
      <c r="A1698" s="17"/>
      <c r="B1698" s="13"/>
      <c r="C1698" s="20"/>
      <c r="D1698" s="19"/>
      <c r="E1698" s="26">
        <f>IF($B1698="","",IFERROR(INDEX(PecDesc,MATCH($B1698,PecCod,0)),"Peça não cadastrada"))</f>
        <v>0</v>
      </c>
      <c r="F1698" s="27">
        <f>IF($B1698="","",IF($D1698&lt;&gt;"",$D1698,IFERROR(INDEX(PecPreco,MATCH($B1698,PecCod,0)),0)))</f>
        <v>0</v>
      </c>
      <c r="G1698" s="27">
        <f>IF(OR($B1698="",$C1698=""),"",$C1698*$F1698)</f>
        <v>0</v>
      </c>
      <c r="H1698" s="27">
        <f>IF(OR($B1698="",$C1698=""),"",$C1698*IFERROR(INDEX(PecCusto,MATCH($B1698,PecCod,0)),0))</f>
        <v>0</v>
      </c>
      <c r="I1698" s="32">
        <f>IF($A1698="","",IFERROR(INDEX(OSStatus,MATCH($A1698,OSNum,0)),"OS inexistente"))</f>
        <v>0</v>
      </c>
      <c r="J1698" s="32">
        <f>IF($A1698="","",IF($I1698="OS inexistente","OS inexistente",IF($E1698="Peça não cadastrada","Peça não cadastrada","OK")))</f>
        <v>0</v>
      </c>
    </row>
    <row r="1699" spans="1:10">
      <c r="A1699" s="17"/>
      <c r="B1699" s="13"/>
      <c r="C1699" s="20"/>
      <c r="D1699" s="19"/>
      <c r="E1699" s="26">
        <f>IF($B1699="","",IFERROR(INDEX(PecDesc,MATCH($B1699,PecCod,0)),"Peça não cadastrada"))</f>
        <v>0</v>
      </c>
      <c r="F1699" s="27">
        <f>IF($B1699="","",IF($D1699&lt;&gt;"",$D1699,IFERROR(INDEX(PecPreco,MATCH($B1699,PecCod,0)),0)))</f>
        <v>0</v>
      </c>
      <c r="G1699" s="27">
        <f>IF(OR($B1699="",$C1699=""),"",$C1699*$F1699)</f>
        <v>0</v>
      </c>
      <c r="H1699" s="27">
        <f>IF(OR($B1699="",$C1699=""),"",$C1699*IFERROR(INDEX(PecCusto,MATCH($B1699,PecCod,0)),0))</f>
        <v>0</v>
      </c>
      <c r="I1699" s="32">
        <f>IF($A1699="","",IFERROR(INDEX(OSStatus,MATCH($A1699,OSNum,0)),"OS inexistente"))</f>
        <v>0</v>
      </c>
      <c r="J1699" s="32">
        <f>IF($A1699="","",IF($I1699="OS inexistente","OS inexistente",IF($E1699="Peça não cadastrada","Peça não cadastrada","OK")))</f>
        <v>0</v>
      </c>
    </row>
    <row r="1700" spans="1:10">
      <c r="A1700" s="17"/>
      <c r="B1700" s="13"/>
      <c r="C1700" s="20"/>
      <c r="D1700" s="19"/>
      <c r="E1700" s="26">
        <f>IF($B1700="","",IFERROR(INDEX(PecDesc,MATCH($B1700,PecCod,0)),"Peça não cadastrada"))</f>
        <v>0</v>
      </c>
      <c r="F1700" s="27">
        <f>IF($B1700="","",IF($D1700&lt;&gt;"",$D1700,IFERROR(INDEX(PecPreco,MATCH($B1700,PecCod,0)),0)))</f>
        <v>0</v>
      </c>
      <c r="G1700" s="27">
        <f>IF(OR($B1700="",$C1700=""),"",$C1700*$F1700)</f>
        <v>0</v>
      </c>
      <c r="H1700" s="27">
        <f>IF(OR($B1700="",$C1700=""),"",$C1700*IFERROR(INDEX(PecCusto,MATCH($B1700,PecCod,0)),0))</f>
        <v>0</v>
      </c>
      <c r="I1700" s="32">
        <f>IF($A1700="","",IFERROR(INDEX(OSStatus,MATCH($A1700,OSNum,0)),"OS inexistente"))</f>
        <v>0</v>
      </c>
      <c r="J1700" s="32">
        <f>IF($A1700="","",IF($I1700="OS inexistente","OS inexistente",IF($E1700="Peça não cadastrada","Peça não cadastrada","OK")))</f>
        <v>0</v>
      </c>
    </row>
    <row r="1701" spans="1:10">
      <c r="A1701" s="17"/>
      <c r="B1701" s="13"/>
      <c r="C1701" s="20"/>
      <c r="D1701" s="19"/>
      <c r="E1701" s="26">
        <f>IF($B1701="","",IFERROR(INDEX(PecDesc,MATCH($B1701,PecCod,0)),"Peça não cadastrada"))</f>
        <v>0</v>
      </c>
      <c r="F1701" s="27">
        <f>IF($B1701="","",IF($D1701&lt;&gt;"",$D1701,IFERROR(INDEX(PecPreco,MATCH($B1701,PecCod,0)),0)))</f>
        <v>0</v>
      </c>
      <c r="G1701" s="27">
        <f>IF(OR($B1701="",$C1701=""),"",$C1701*$F1701)</f>
        <v>0</v>
      </c>
      <c r="H1701" s="27">
        <f>IF(OR($B1701="",$C1701=""),"",$C1701*IFERROR(INDEX(PecCusto,MATCH($B1701,PecCod,0)),0))</f>
        <v>0</v>
      </c>
      <c r="I1701" s="32">
        <f>IF($A1701="","",IFERROR(INDEX(OSStatus,MATCH($A1701,OSNum,0)),"OS inexistente"))</f>
        <v>0</v>
      </c>
      <c r="J1701" s="32">
        <f>IF($A1701="","",IF($I1701="OS inexistente","OS inexistente",IF($E1701="Peça não cadastrada","Peça não cadastrada","OK")))</f>
        <v>0</v>
      </c>
    </row>
    <row r="1702" spans="1:10">
      <c r="A1702" s="17"/>
      <c r="B1702" s="13"/>
      <c r="C1702" s="20"/>
      <c r="D1702" s="19"/>
      <c r="E1702" s="26">
        <f>IF($B1702="","",IFERROR(INDEX(PecDesc,MATCH($B1702,PecCod,0)),"Peça não cadastrada"))</f>
        <v>0</v>
      </c>
      <c r="F1702" s="27">
        <f>IF($B1702="","",IF($D1702&lt;&gt;"",$D1702,IFERROR(INDEX(PecPreco,MATCH($B1702,PecCod,0)),0)))</f>
        <v>0</v>
      </c>
      <c r="G1702" s="27">
        <f>IF(OR($B1702="",$C1702=""),"",$C1702*$F1702)</f>
        <v>0</v>
      </c>
      <c r="H1702" s="27">
        <f>IF(OR($B1702="",$C1702=""),"",$C1702*IFERROR(INDEX(PecCusto,MATCH($B1702,PecCod,0)),0))</f>
        <v>0</v>
      </c>
      <c r="I1702" s="32">
        <f>IF($A1702="","",IFERROR(INDEX(OSStatus,MATCH($A1702,OSNum,0)),"OS inexistente"))</f>
        <v>0</v>
      </c>
      <c r="J1702" s="32">
        <f>IF($A1702="","",IF($I1702="OS inexistente","OS inexistente",IF($E1702="Peça não cadastrada","Peça não cadastrada","OK")))</f>
        <v>0</v>
      </c>
    </row>
    <row r="1703" spans="1:10">
      <c r="A1703" s="17"/>
      <c r="B1703" s="13"/>
      <c r="C1703" s="20"/>
      <c r="D1703" s="19"/>
      <c r="E1703" s="26">
        <f>IF($B1703="","",IFERROR(INDEX(PecDesc,MATCH($B1703,PecCod,0)),"Peça não cadastrada"))</f>
        <v>0</v>
      </c>
      <c r="F1703" s="27">
        <f>IF($B1703="","",IF($D1703&lt;&gt;"",$D1703,IFERROR(INDEX(PecPreco,MATCH($B1703,PecCod,0)),0)))</f>
        <v>0</v>
      </c>
      <c r="G1703" s="27">
        <f>IF(OR($B1703="",$C1703=""),"",$C1703*$F1703)</f>
        <v>0</v>
      </c>
      <c r="H1703" s="27">
        <f>IF(OR($B1703="",$C1703=""),"",$C1703*IFERROR(INDEX(PecCusto,MATCH($B1703,PecCod,0)),0))</f>
        <v>0</v>
      </c>
      <c r="I1703" s="32">
        <f>IF($A1703="","",IFERROR(INDEX(OSStatus,MATCH($A1703,OSNum,0)),"OS inexistente"))</f>
        <v>0</v>
      </c>
      <c r="J1703" s="32">
        <f>IF($A1703="","",IF($I1703="OS inexistente","OS inexistente",IF($E1703="Peça não cadastrada","Peça não cadastrada","OK")))</f>
        <v>0</v>
      </c>
    </row>
    <row r="1704" spans="1:10">
      <c r="A1704" s="17"/>
      <c r="B1704" s="13"/>
      <c r="C1704" s="20"/>
      <c r="D1704" s="19"/>
      <c r="E1704" s="26">
        <f>IF($B1704="","",IFERROR(INDEX(PecDesc,MATCH($B1704,PecCod,0)),"Peça não cadastrada"))</f>
        <v>0</v>
      </c>
      <c r="F1704" s="27">
        <f>IF($B1704="","",IF($D1704&lt;&gt;"",$D1704,IFERROR(INDEX(PecPreco,MATCH($B1704,PecCod,0)),0)))</f>
        <v>0</v>
      </c>
      <c r="G1704" s="27">
        <f>IF(OR($B1704="",$C1704=""),"",$C1704*$F1704)</f>
        <v>0</v>
      </c>
      <c r="H1704" s="27">
        <f>IF(OR($B1704="",$C1704=""),"",$C1704*IFERROR(INDEX(PecCusto,MATCH($B1704,PecCod,0)),0))</f>
        <v>0</v>
      </c>
      <c r="I1704" s="32">
        <f>IF($A1704="","",IFERROR(INDEX(OSStatus,MATCH($A1704,OSNum,0)),"OS inexistente"))</f>
        <v>0</v>
      </c>
      <c r="J1704" s="32">
        <f>IF($A1704="","",IF($I1704="OS inexistente","OS inexistente",IF($E1704="Peça não cadastrada","Peça não cadastrada","OK")))</f>
        <v>0</v>
      </c>
    </row>
    <row r="1705" spans="1:10">
      <c r="A1705" s="17"/>
      <c r="B1705" s="13"/>
      <c r="C1705" s="20"/>
      <c r="D1705" s="19"/>
      <c r="E1705" s="26">
        <f>IF($B1705="","",IFERROR(INDEX(PecDesc,MATCH($B1705,PecCod,0)),"Peça não cadastrada"))</f>
        <v>0</v>
      </c>
      <c r="F1705" s="27">
        <f>IF($B1705="","",IF($D1705&lt;&gt;"",$D1705,IFERROR(INDEX(PecPreco,MATCH($B1705,PecCod,0)),0)))</f>
        <v>0</v>
      </c>
      <c r="G1705" s="27">
        <f>IF(OR($B1705="",$C1705=""),"",$C1705*$F1705)</f>
        <v>0</v>
      </c>
      <c r="H1705" s="27">
        <f>IF(OR($B1705="",$C1705=""),"",$C1705*IFERROR(INDEX(PecCusto,MATCH($B1705,PecCod,0)),0))</f>
        <v>0</v>
      </c>
      <c r="I1705" s="32">
        <f>IF($A1705="","",IFERROR(INDEX(OSStatus,MATCH($A1705,OSNum,0)),"OS inexistente"))</f>
        <v>0</v>
      </c>
      <c r="J1705" s="32">
        <f>IF($A1705="","",IF($I1705="OS inexistente","OS inexistente",IF($E1705="Peça não cadastrada","Peça não cadastrada","OK")))</f>
        <v>0</v>
      </c>
    </row>
    <row r="1706" spans="1:10">
      <c r="A1706" s="17"/>
      <c r="B1706" s="13"/>
      <c r="C1706" s="20"/>
      <c r="D1706" s="19"/>
      <c r="E1706" s="26">
        <f>IF($B1706="","",IFERROR(INDEX(PecDesc,MATCH($B1706,PecCod,0)),"Peça não cadastrada"))</f>
        <v>0</v>
      </c>
      <c r="F1706" s="27">
        <f>IF($B1706="","",IF($D1706&lt;&gt;"",$D1706,IFERROR(INDEX(PecPreco,MATCH($B1706,PecCod,0)),0)))</f>
        <v>0</v>
      </c>
      <c r="G1706" s="27">
        <f>IF(OR($B1706="",$C1706=""),"",$C1706*$F1706)</f>
        <v>0</v>
      </c>
      <c r="H1706" s="27">
        <f>IF(OR($B1706="",$C1706=""),"",$C1706*IFERROR(INDEX(PecCusto,MATCH($B1706,PecCod,0)),0))</f>
        <v>0</v>
      </c>
      <c r="I1706" s="32">
        <f>IF($A1706="","",IFERROR(INDEX(OSStatus,MATCH($A1706,OSNum,0)),"OS inexistente"))</f>
        <v>0</v>
      </c>
      <c r="J1706" s="32">
        <f>IF($A1706="","",IF($I1706="OS inexistente","OS inexistente",IF($E1706="Peça não cadastrada","Peça não cadastrada","OK")))</f>
        <v>0</v>
      </c>
    </row>
    <row r="1707" spans="1:10">
      <c r="A1707" s="17"/>
      <c r="B1707" s="13"/>
      <c r="C1707" s="20"/>
      <c r="D1707" s="19"/>
      <c r="E1707" s="26">
        <f>IF($B1707="","",IFERROR(INDEX(PecDesc,MATCH($B1707,PecCod,0)),"Peça não cadastrada"))</f>
        <v>0</v>
      </c>
      <c r="F1707" s="27">
        <f>IF($B1707="","",IF($D1707&lt;&gt;"",$D1707,IFERROR(INDEX(PecPreco,MATCH($B1707,PecCod,0)),0)))</f>
        <v>0</v>
      </c>
      <c r="G1707" s="27">
        <f>IF(OR($B1707="",$C1707=""),"",$C1707*$F1707)</f>
        <v>0</v>
      </c>
      <c r="H1707" s="27">
        <f>IF(OR($B1707="",$C1707=""),"",$C1707*IFERROR(INDEX(PecCusto,MATCH($B1707,PecCod,0)),0))</f>
        <v>0</v>
      </c>
      <c r="I1707" s="32">
        <f>IF($A1707="","",IFERROR(INDEX(OSStatus,MATCH($A1707,OSNum,0)),"OS inexistente"))</f>
        <v>0</v>
      </c>
      <c r="J1707" s="32">
        <f>IF($A1707="","",IF($I1707="OS inexistente","OS inexistente",IF($E1707="Peça não cadastrada","Peça não cadastrada","OK")))</f>
        <v>0</v>
      </c>
    </row>
    <row r="1708" spans="1:10">
      <c r="A1708" s="17"/>
      <c r="B1708" s="13"/>
      <c r="C1708" s="20"/>
      <c r="D1708" s="19"/>
      <c r="E1708" s="26">
        <f>IF($B1708="","",IFERROR(INDEX(PecDesc,MATCH($B1708,PecCod,0)),"Peça não cadastrada"))</f>
        <v>0</v>
      </c>
      <c r="F1708" s="27">
        <f>IF($B1708="","",IF($D1708&lt;&gt;"",$D1708,IFERROR(INDEX(PecPreco,MATCH($B1708,PecCod,0)),0)))</f>
        <v>0</v>
      </c>
      <c r="G1708" s="27">
        <f>IF(OR($B1708="",$C1708=""),"",$C1708*$F1708)</f>
        <v>0</v>
      </c>
      <c r="H1708" s="27">
        <f>IF(OR($B1708="",$C1708=""),"",$C1708*IFERROR(INDEX(PecCusto,MATCH($B1708,PecCod,0)),0))</f>
        <v>0</v>
      </c>
      <c r="I1708" s="32">
        <f>IF($A1708="","",IFERROR(INDEX(OSStatus,MATCH($A1708,OSNum,0)),"OS inexistente"))</f>
        <v>0</v>
      </c>
      <c r="J1708" s="32">
        <f>IF($A1708="","",IF($I1708="OS inexistente","OS inexistente",IF($E1708="Peça não cadastrada","Peça não cadastrada","OK")))</f>
        <v>0</v>
      </c>
    </row>
    <row r="1709" spans="1:10">
      <c r="A1709" s="17"/>
      <c r="B1709" s="13"/>
      <c r="C1709" s="20"/>
      <c r="D1709" s="19"/>
      <c r="E1709" s="26">
        <f>IF($B1709="","",IFERROR(INDEX(PecDesc,MATCH($B1709,PecCod,0)),"Peça não cadastrada"))</f>
        <v>0</v>
      </c>
      <c r="F1709" s="27">
        <f>IF($B1709="","",IF($D1709&lt;&gt;"",$D1709,IFERROR(INDEX(PecPreco,MATCH($B1709,PecCod,0)),0)))</f>
        <v>0</v>
      </c>
      <c r="G1709" s="27">
        <f>IF(OR($B1709="",$C1709=""),"",$C1709*$F1709)</f>
        <v>0</v>
      </c>
      <c r="H1709" s="27">
        <f>IF(OR($B1709="",$C1709=""),"",$C1709*IFERROR(INDEX(PecCusto,MATCH($B1709,PecCod,0)),0))</f>
        <v>0</v>
      </c>
      <c r="I1709" s="32">
        <f>IF($A1709="","",IFERROR(INDEX(OSStatus,MATCH($A1709,OSNum,0)),"OS inexistente"))</f>
        <v>0</v>
      </c>
      <c r="J1709" s="32">
        <f>IF($A1709="","",IF($I1709="OS inexistente","OS inexistente",IF($E1709="Peça não cadastrada","Peça não cadastrada","OK")))</f>
        <v>0</v>
      </c>
    </row>
    <row r="1710" spans="1:10">
      <c r="A1710" s="17"/>
      <c r="B1710" s="13"/>
      <c r="C1710" s="20"/>
      <c r="D1710" s="19"/>
      <c r="E1710" s="26">
        <f>IF($B1710="","",IFERROR(INDEX(PecDesc,MATCH($B1710,PecCod,0)),"Peça não cadastrada"))</f>
        <v>0</v>
      </c>
      <c r="F1710" s="27">
        <f>IF($B1710="","",IF($D1710&lt;&gt;"",$D1710,IFERROR(INDEX(PecPreco,MATCH($B1710,PecCod,0)),0)))</f>
        <v>0</v>
      </c>
      <c r="G1710" s="27">
        <f>IF(OR($B1710="",$C1710=""),"",$C1710*$F1710)</f>
        <v>0</v>
      </c>
      <c r="H1710" s="27">
        <f>IF(OR($B1710="",$C1710=""),"",$C1710*IFERROR(INDEX(PecCusto,MATCH($B1710,PecCod,0)),0))</f>
        <v>0</v>
      </c>
      <c r="I1710" s="32">
        <f>IF($A1710="","",IFERROR(INDEX(OSStatus,MATCH($A1710,OSNum,0)),"OS inexistente"))</f>
        <v>0</v>
      </c>
      <c r="J1710" s="32">
        <f>IF($A1710="","",IF($I1710="OS inexistente","OS inexistente",IF($E1710="Peça não cadastrada","Peça não cadastrada","OK")))</f>
        <v>0</v>
      </c>
    </row>
    <row r="1711" spans="1:10">
      <c r="A1711" s="17"/>
      <c r="B1711" s="13"/>
      <c r="C1711" s="20"/>
      <c r="D1711" s="19"/>
      <c r="E1711" s="26">
        <f>IF($B1711="","",IFERROR(INDEX(PecDesc,MATCH($B1711,PecCod,0)),"Peça não cadastrada"))</f>
        <v>0</v>
      </c>
      <c r="F1711" s="27">
        <f>IF($B1711="","",IF($D1711&lt;&gt;"",$D1711,IFERROR(INDEX(PecPreco,MATCH($B1711,PecCod,0)),0)))</f>
        <v>0</v>
      </c>
      <c r="G1711" s="27">
        <f>IF(OR($B1711="",$C1711=""),"",$C1711*$F1711)</f>
        <v>0</v>
      </c>
      <c r="H1711" s="27">
        <f>IF(OR($B1711="",$C1711=""),"",$C1711*IFERROR(INDEX(PecCusto,MATCH($B1711,PecCod,0)),0))</f>
        <v>0</v>
      </c>
      <c r="I1711" s="32">
        <f>IF($A1711="","",IFERROR(INDEX(OSStatus,MATCH($A1711,OSNum,0)),"OS inexistente"))</f>
        <v>0</v>
      </c>
      <c r="J1711" s="32">
        <f>IF($A1711="","",IF($I1711="OS inexistente","OS inexistente",IF($E1711="Peça não cadastrada","Peça não cadastrada","OK")))</f>
        <v>0</v>
      </c>
    </row>
    <row r="1712" spans="1:10">
      <c r="A1712" s="17"/>
      <c r="B1712" s="13"/>
      <c r="C1712" s="20"/>
      <c r="D1712" s="19"/>
      <c r="E1712" s="26">
        <f>IF($B1712="","",IFERROR(INDEX(PecDesc,MATCH($B1712,PecCod,0)),"Peça não cadastrada"))</f>
        <v>0</v>
      </c>
      <c r="F1712" s="27">
        <f>IF($B1712="","",IF($D1712&lt;&gt;"",$D1712,IFERROR(INDEX(PecPreco,MATCH($B1712,PecCod,0)),0)))</f>
        <v>0</v>
      </c>
      <c r="G1712" s="27">
        <f>IF(OR($B1712="",$C1712=""),"",$C1712*$F1712)</f>
        <v>0</v>
      </c>
      <c r="H1712" s="27">
        <f>IF(OR($B1712="",$C1712=""),"",$C1712*IFERROR(INDEX(PecCusto,MATCH($B1712,PecCod,0)),0))</f>
        <v>0</v>
      </c>
      <c r="I1712" s="32">
        <f>IF($A1712="","",IFERROR(INDEX(OSStatus,MATCH($A1712,OSNum,0)),"OS inexistente"))</f>
        <v>0</v>
      </c>
      <c r="J1712" s="32">
        <f>IF($A1712="","",IF($I1712="OS inexistente","OS inexistente",IF($E1712="Peça não cadastrada","Peça não cadastrada","OK")))</f>
        <v>0</v>
      </c>
    </row>
    <row r="1713" spans="1:10">
      <c r="A1713" s="17"/>
      <c r="B1713" s="13"/>
      <c r="C1713" s="20"/>
      <c r="D1713" s="19"/>
      <c r="E1713" s="26">
        <f>IF($B1713="","",IFERROR(INDEX(PecDesc,MATCH($B1713,PecCod,0)),"Peça não cadastrada"))</f>
        <v>0</v>
      </c>
      <c r="F1713" s="27">
        <f>IF($B1713="","",IF($D1713&lt;&gt;"",$D1713,IFERROR(INDEX(PecPreco,MATCH($B1713,PecCod,0)),0)))</f>
        <v>0</v>
      </c>
      <c r="G1713" s="27">
        <f>IF(OR($B1713="",$C1713=""),"",$C1713*$F1713)</f>
        <v>0</v>
      </c>
      <c r="H1713" s="27">
        <f>IF(OR($B1713="",$C1713=""),"",$C1713*IFERROR(INDEX(PecCusto,MATCH($B1713,PecCod,0)),0))</f>
        <v>0</v>
      </c>
      <c r="I1713" s="32">
        <f>IF($A1713="","",IFERROR(INDEX(OSStatus,MATCH($A1713,OSNum,0)),"OS inexistente"))</f>
        <v>0</v>
      </c>
      <c r="J1713" s="32">
        <f>IF($A1713="","",IF($I1713="OS inexistente","OS inexistente",IF($E1713="Peça não cadastrada","Peça não cadastrada","OK")))</f>
        <v>0</v>
      </c>
    </row>
    <row r="1714" spans="1:10">
      <c r="A1714" s="17"/>
      <c r="B1714" s="13"/>
      <c r="C1714" s="20"/>
      <c r="D1714" s="19"/>
      <c r="E1714" s="26">
        <f>IF($B1714="","",IFERROR(INDEX(PecDesc,MATCH($B1714,PecCod,0)),"Peça não cadastrada"))</f>
        <v>0</v>
      </c>
      <c r="F1714" s="27">
        <f>IF($B1714="","",IF($D1714&lt;&gt;"",$D1714,IFERROR(INDEX(PecPreco,MATCH($B1714,PecCod,0)),0)))</f>
        <v>0</v>
      </c>
      <c r="G1714" s="27">
        <f>IF(OR($B1714="",$C1714=""),"",$C1714*$F1714)</f>
        <v>0</v>
      </c>
      <c r="H1714" s="27">
        <f>IF(OR($B1714="",$C1714=""),"",$C1714*IFERROR(INDEX(PecCusto,MATCH($B1714,PecCod,0)),0))</f>
        <v>0</v>
      </c>
      <c r="I1714" s="32">
        <f>IF($A1714="","",IFERROR(INDEX(OSStatus,MATCH($A1714,OSNum,0)),"OS inexistente"))</f>
        <v>0</v>
      </c>
      <c r="J1714" s="32">
        <f>IF($A1714="","",IF($I1714="OS inexistente","OS inexistente",IF($E1714="Peça não cadastrada","Peça não cadastrada","OK")))</f>
        <v>0</v>
      </c>
    </row>
    <row r="1715" spans="1:10">
      <c r="A1715" s="17"/>
      <c r="B1715" s="13"/>
      <c r="C1715" s="20"/>
      <c r="D1715" s="19"/>
      <c r="E1715" s="26">
        <f>IF($B1715="","",IFERROR(INDEX(PecDesc,MATCH($B1715,PecCod,0)),"Peça não cadastrada"))</f>
        <v>0</v>
      </c>
      <c r="F1715" s="27">
        <f>IF($B1715="","",IF($D1715&lt;&gt;"",$D1715,IFERROR(INDEX(PecPreco,MATCH($B1715,PecCod,0)),0)))</f>
        <v>0</v>
      </c>
      <c r="G1715" s="27">
        <f>IF(OR($B1715="",$C1715=""),"",$C1715*$F1715)</f>
        <v>0</v>
      </c>
      <c r="H1715" s="27">
        <f>IF(OR($B1715="",$C1715=""),"",$C1715*IFERROR(INDEX(PecCusto,MATCH($B1715,PecCod,0)),0))</f>
        <v>0</v>
      </c>
      <c r="I1715" s="32">
        <f>IF($A1715="","",IFERROR(INDEX(OSStatus,MATCH($A1715,OSNum,0)),"OS inexistente"))</f>
        <v>0</v>
      </c>
      <c r="J1715" s="32">
        <f>IF($A1715="","",IF($I1715="OS inexistente","OS inexistente",IF($E1715="Peça não cadastrada","Peça não cadastrada","OK")))</f>
        <v>0</v>
      </c>
    </row>
    <row r="1716" spans="1:10">
      <c r="A1716" s="17"/>
      <c r="B1716" s="13"/>
      <c r="C1716" s="20"/>
      <c r="D1716" s="19"/>
      <c r="E1716" s="26">
        <f>IF($B1716="","",IFERROR(INDEX(PecDesc,MATCH($B1716,PecCod,0)),"Peça não cadastrada"))</f>
        <v>0</v>
      </c>
      <c r="F1716" s="27">
        <f>IF($B1716="","",IF($D1716&lt;&gt;"",$D1716,IFERROR(INDEX(PecPreco,MATCH($B1716,PecCod,0)),0)))</f>
        <v>0</v>
      </c>
      <c r="G1716" s="27">
        <f>IF(OR($B1716="",$C1716=""),"",$C1716*$F1716)</f>
        <v>0</v>
      </c>
      <c r="H1716" s="27">
        <f>IF(OR($B1716="",$C1716=""),"",$C1716*IFERROR(INDEX(PecCusto,MATCH($B1716,PecCod,0)),0))</f>
        <v>0</v>
      </c>
      <c r="I1716" s="32">
        <f>IF($A1716="","",IFERROR(INDEX(OSStatus,MATCH($A1716,OSNum,0)),"OS inexistente"))</f>
        <v>0</v>
      </c>
      <c r="J1716" s="32">
        <f>IF($A1716="","",IF($I1716="OS inexistente","OS inexistente",IF($E1716="Peça não cadastrada","Peça não cadastrada","OK")))</f>
        <v>0</v>
      </c>
    </row>
    <row r="1717" spans="1:10">
      <c r="A1717" s="17"/>
      <c r="B1717" s="13"/>
      <c r="C1717" s="20"/>
      <c r="D1717" s="19"/>
      <c r="E1717" s="26">
        <f>IF($B1717="","",IFERROR(INDEX(PecDesc,MATCH($B1717,PecCod,0)),"Peça não cadastrada"))</f>
        <v>0</v>
      </c>
      <c r="F1717" s="27">
        <f>IF($B1717="","",IF($D1717&lt;&gt;"",$D1717,IFERROR(INDEX(PecPreco,MATCH($B1717,PecCod,0)),0)))</f>
        <v>0</v>
      </c>
      <c r="G1717" s="27">
        <f>IF(OR($B1717="",$C1717=""),"",$C1717*$F1717)</f>
        <v>0</v>
      </c>
      <c r="H1717" s="27">
        <f>IF(OR($B1717="",$C1717=""),"",$C1717*IFERROR(INDEX(PecCusto,MATCH($B1717,PecCod,0)),0))</f>
        <v>0</v>
      </c>
      <c r="I1717" s="32">
        <f>IF($A1717="","",IFERROR(INDEX(OSStatus,MATCH($A1717,OSNum,0)),"OS inexistente"))</f>
        <v>0</v>
      </c>
      <c r="J1717" s="32">
        <f>IF($A1717="","",IF($I1717="OS inexistente","OS inexistente",IF($E1717="Peça não cadastrada","Peça não cadastrada","OK")))</f>
        <v>0</v>
      </c>
    </row>
    <row r="1718" spans="1:10">
      <c r="A1718" s="17"/>
      <c r="B1718" s="13"/>
      <c r="C1718" s="20"/>
      <c r="D1718" s="19"/>
      <c r="E1718" s="26">
        <f>IF($B1718="","",IFERROR(INDEX(PecDesc,MATCH($B1718,PecCod,0)),"Peça não cadastrada"))</f>
        <v>0</v>
      </c>
      <c r="F1718" s="27">
        <f>IF($B1718="","",IF($D1718&lt;&gt;"",$D1718,IFERROR(INDEX(PecPreco,MATCH($B1718,PecCod,0)),0)))</f>
        <v>0</v>
      </c>
      <c r="G1718" s="27">
        <f>IF(OR($B1718="",$C1718=""),"",$C1718*$F1718)</f>
        <v>0</v>
      </c>
      <c r="H1718" s="27">
        <f>IF(OR($B1718="",$C1718=""),"",$C1718*IFERROR(INDEX(PecCusto,MATCH($B1718,PecCod,0)),0))</f>
        <v>0</v>
      </c>
      <c r="I1718" s="32">
        <f>IF($A1718="","",IFERROR(INDEX(OSStatus,MATCH($A1718,OSNum,0)),"OS inexistente"))</f>
        <v>0</v>
      </c>
      <c r="J1718" s="32">
        <f>IF($A1718="","",IF($I1718="OS inexistente","OS inexistente",IF($E1718="Peça não cadastrada","Peça não cadastrada","OK")))</f>
        <v>0</v>
      </c>
    </row>
    <row r="1719" spans="1:10">
      <c r="A1719" s="17"/>
      <c r="B1719" s="13"/>
      <c r="C1719" s="20"/>
      <c r="D1719" s="19"/>
      <c r="E1719" s="26">
        <f>IF($B1719="","",IFERROR(INDEX(PecDesc,MATCH($B1719,PecCod,0)),"Peça não cadastrada"))</f>
        <v>0</v>
      </c>
      <c r="F1719" s="27">
        <f>IF($B1719="","",IF($D1719&lt;&gt;"",$D1719,IFERROR(INDEX(PecPreco,MATCH($B1719,PecCod,0)),0)))</f>
        <v>0</v>
      </c>
      <c r="G1719" s="27">
        <f>IF(OR($B1719="",$C1719=""),"",$C1719*$F1719)</f>
        <v>0</v>
      </c>
      <c r="H1719" s="27">
        <f>IF(OR($B1719="",$C1719=""),"",$C1719*IFERROR(INDEX(PecCusto,MATCH($B1719,PecCod,0)),0))</f>
        <v>0</v>
      </c>
      <c r="I1719" s="32">
        <f>IF($A1719="","",IFERROR(INDEX(OSStatus,MATCH($A1719,OSNum,0)),"OS inexistente"))</f>
        <v>0</v>
      </c>
      <c r="J1719" s="32">
        <f>IF($A1719="","",IF($I1719="OS inexistente","OS inexistente",IF($E1719="Peça não cadastrada","Peça não cadastrada","OK")))</f>
        <v>0</v>
      </c>
    </row>
    <row r="1720" spans="1:10">
      <c r="A1720" s="17"/>
      <c r="B1720" s="13"/>
      <c r="C1720" s="20"/>
      <c r="D1720" s="19"/>
      <c r="E1720" s="26">
        <f>IF($B1720="","",IFERROR(INDEX(PecDesc,MATCH($B1720,PecCod,0)),"Peça não cadastrada"))</f>
        <v>0</v>
      </c>
      <c r="F1720" s="27">
        <f>IF($B1720="","",IF($D1720&lt;&gt;"",$D1720,IFERROR(INDEX(PecPreco,MATCH($B1720,PecCod,0)),0)))</f>
        <v>0</v>
      </c>
      <c r="G1720" s="27">
        <f>IF(OR($B1720="",$C1720=""),"",$C1720*$F1720)</f>
        <v>0</v>
      </c>
      <c r="H1720" s="27">
        <f>IF(OR($B1720="",$C1720=""),"",$C1720*IFERROR(INDEX(PecCusto,MATCH($B1720,PecCod,0)),0))</f>
        <v>0</v>
      </c>
      <c r="I1720" s="32">
        <f>IF($A1720="","",IFERROR(INDEX(OSStatus,MATCH($A1720,OSNum,0)),"OS inexistente"))</f>
        <v>0</v>
      </c>
      <c r="J1720" s="32">
        <f>IF($A1720="","",IF($I1720="OS inexistente","OS inexistente",IF($E1720="Peça não cadastrada","Peça não cadastrada","OK")))</f>
        <v>0</v>
      </c>
    </row>
    <row r="1721" spans="1:10">
      <c r="A1721" s="17"/>
      <c r="B1721" s="13"/>
      <c r="C1721" s="20"/>
      <c r="D1721" s="19"/>
      <c r="E1721" s="26">
        <f>IF($B1721="","",IFERROR(INDEX(PecDesc,MATCH($B1721,PecCod,0)),"Peça não cadastrada"))</f>
        <v>0</v>
      </c>
      <c r="F1721" s="27">
        <f>IF($B1721="","",IF($D1721&lt;&gt;"",$D1721,IFERROR(INDEX(PecPreco,MATCH($B1721,PecCod,0)),0)))</f>
        <v>0</v>
      </c>
      <c r="G1721" s="27">
        <f>IF(OR($B1721="",$C1721=""),"",$C1721*$F1721)</f>
        <v>0</v>
      </c>
      <c r="H1721" s="27">
        <f>IF(OR($B1721="",$C1721=""),"",$C1721*IFERROR(INDEX(PecCusto,MATCH($B1721,PecCod,0)),0))</f>
        <v>0</v>
      </c>
      <c r="I1721" s="32">
        <f>IF($A1721="","",IFERROR(INDEX(OSStatus,MATCH($A1721,OSNum,0)),"OS inexistente"))</f>
        <v>0</v>
      </c>
      <c r="J1721" s="32">
        <f>IF($A1721="","",IF($I1721="OS inexistente","OS inexistente",IF($E1721="Peça não cadastrada","Peça não cadastrada","OK")))</f>
        <v>0</v>
      </c>
    </row>
    <row r="1722" spans="1:10">
      <c r="A1722" s="17"/>
      <c r="B1722" s="13"/>
      <c r="C1722" s="20"/>
      <c r="D1722" s="19"/>
      <c r="E1722" s="26">
        <f>IF($B1722="","",IFERROR(INDEX(PecDesc,MATCH($B1722,PecCod,0)),"Peça não cadastrada"))</f>
        <v>0</v>
      </c>
      <c r="F1722" s="27">
        <f>IF($B1722="","",IF($D1722&lt;&gt;"",$D1722,IFERROR(INDEX(PecPreco,MATCH($B1722,PecCod,0)),0)))</f>
        <v>0</v>
      </c>
      <c r="G1722" s="27">
        <f>IF(OR($B1722="",$C1722=""),"",$C1722*$F1722)</f>
        <v>0</v>
      </c>
      <c r="H1722" s="27">
        <f>IF(OR($B1722="",$C1722=""),"",$C1722*IFERROR(INDEX(PecCusto,MATCH($B1722,PecCod,0)),0))</f>
        <v>0</v>
      </c>
      <c r="I1722" s="32">
        <f>IF($A1722="","",IFERROR(INDEX(OSStatus,MATCH($A1722,OSNum,0)),"OS inexistente"))</f>
        <v>0</v>
      </c>
      <c r="J1722" s="32">
        <f>IF($A1722="","",IF($I1722="OS inexistente","OS inexistente",IF($E1722="Peça não cadastrada","Peça não cadastrada","OK")))</f>
        <v>0</v>
      </c>
    </row>
    <row r="1723" spans="1:10">
      <c r="A1723" s="17"/>
      <c r="B1723" s="13"/>
      <c r="C1723" s="20"/>
      <c r="D1723" s="19"/>
      <c r="E1723" s="26">
        <f>IF($B1723="","",IFERROR(INDEX(PecDesc,MATCH($B1723,PecCod,0)),"Peça não cadastrada"))</f>
        <v>0</v>
      </c>
      <c r="F1723" s="27">
        <f>IF($B1723="","",IF($D1723&lt;&gt;"",$D1723,IFERROR(INDEX(PecPreco,MATCH($B1723,PecCod,0)),0)))</f>
        <v>0</v>
      </c>
      <c r="G1723" s="27">
        <f>IF(OR($B1723="",$C1723=""),"",$C1723*$F1723)</f>
        <v>0</v>
      </c>
      <c r="H1723" s="27">
        <f>IF(OR($B1723="",$C1723=""),"",$C1723*IFERROR(INDEX(PecCusto,MATCH($B1723,PecCod,0)),0))</f>
        <v>0</v>
      </c>
      <c r="I1723" s="32">
        <f>IF($A1723="","",IFERROR(INDEX(OSStatus,MATCH($A1723,OSNum,0)),"OS inexistente"))</f>
        <v>0</v>
      </c>
      <c r="J1723" s="32">
        <f>IF($A1723="","",IF($I1723="OS inexistente","OS inexistente",IF($E1723="Peça não cadastrada","Peça não cadastrada","OK")))</f>
        <v>0</v>
      </c>
    </row>
    <row r="1724" spans="1:10">
      <c r="A1724" s="17"/>
      <c r="B1724" s="13"/>
      <c r="C1724" s="20"/>
      <c r="D1724" s="19"/>
      <c r="E1724" s="26">
        <f>IF($B1724="","",IFERROR(INDEX(PecDesc,MATCH($B1724,PecCod,0)),"Peça não cadastrada"))</f>
        <v>0</v>
      </c>
      <c r="F1724" s="27">
        <f>IF($B1724="","",IF($D1724&lt;&gt;"",$D1724,IFERROR(INDEX(PecPreco,MATCH($B1724,PecCod,0)),0)))</f>
        <v>0</v>
      </c>
      <c r="G1724" s="27">
        <f>IF(OR($B1724="",$C1724=""),"",$C1724*$F1724)</f>
        <v>0</v>
      </c>
      <c r="H1724" s="27">
        <f>IF(OR($B1724="",$C1724=""),"",$C1724*IFERROR(INDEX(PecCusto,MATCH($B1724,PecCod,0)),0))</f>
        <v>0</v>
      </c>
      <c r="I1724" s="32">
        <f>IF($A1724="","",IFERROR(INDEX(OSStatus,MATCH($A1724,OSNum,0)),"OS inexistente"))</f>
        <v>0</v>
      </c>
      <c r="J1724" s="32">
        <f>IF($A1724="","",IF($I1724="OS inexistente","OS inexistente",IF($E1724="Peça não cadastrada","Peça não cadastrada","OK")))</f>
        <v>0</v>
      </c>
    </row>
    <row r="1725" spans="1:10">
      <c r="A1725" s="17"/>
      <c r="B1725" s="13"/>
      <c r="C1725" s="20"/>
      <c r="D1725" s="19"/>
      <c r="E1725" s="26">
        <f>IF($B1725="","",IFERROR(INDEX(PecDesc,MATCH($B1725,PecCod,0)),"Peça não cadastrada"))</f>
        <v>0</v>
      </c>
      <c r="F1725" s="27">
        <f>IF($B1725="","",IF($D1725&lt;&gt;"",$D1725,IFERROR(INDEX(PecPreco,MATCH($B1725,PecCod,0)),0)))</f>
        <v>0</v>
      </c>
      <c r="G1725" s="27">
        <f>IF(OR($B1725="",$C1725=""),"",$C1725*$F1725)</f>
        <v>0</v>
      </c>
      <c r="H1725" s="27">
        <f>IF(OR($B1725="",$C1725=""),"",$C1725*IFERROR(INDEX(PecCusto,MATCH($B1725,PecCod,0)),0))</f>
        <v>0</v>
      </c>
      <c r="I1725" s="32">
        <f>IF($A1725="","",IFERROR(INDEX(OSStatus,MATCH($A1725,OSNum,0)),"OS inexistente"))</f>
        <v>0</v>
      </c>
      <c r="J1725" s="32">
        <f>IF($A1725="","",IF($I1725="OS inexistente","OS inexistente",IF($E1725="Peça não cadastrada","Peça não cadastrada","OK")))</f>
        <v>0</v>
      </c>
    </row>
    <row r="1726" spans="1:10">
      <c r="A1726" s="17"/>
      <c r="B1726" s="13"/>
      <c r="C1726" s="20"/>
      <c r="D1726" s="19"/>
      <c r="E1726" s="26">
        <f>IF($B1726="","",IFERROR(INDEX(PecDesc,MATCH($B1726,PecCod,0)),"Peça não cadastrada"))</f>
        <v>0</v>
      </c>
      <c r="F1726" s="27">
        <f>IF($B1726="","",IF($D1726&lt;&gt;"",$D1726,IFERROR(INDEX(PecPreco,MATCH($B1726,PecCod,0)),0)))</f>
        <v>0</v>
      </c>
      <c r="G1726" s="27">
        <f>IF(OR($B1726="",$C1726=""),"",$C1726*$F1726)</f>
        <v>0</v>
      </c>
      <c r="H1726" s="27">
        <f>IF(OR($B1726="",$C1726=""),"",$C1726*IFERROR(INDEX(PecCusto,MATCH($B1726,PecCod,0)),0))</f>
        <v>0</v>
      </c>
      <c r="I1726" s="32">
        <f>IF($A1726="","",IFERROR(INDEX(OSStatus,MATCH($A1726,OSNum,0)),"OS inexistente"))</f>
        <v>0</v>
      </c>
      <c r="J1726" s="32">
        <f>IF($A1726="","",IF($I1726="OS inexistente","OS inexistente",IF($E1726="Peça não cadastrada","Peça não cadastrada","OK")))</f>
        <v>0</v>
      </c>
    </row>
    <row r="1727" spans="1:10">
      <c r="A1727" s="17"/>
      <c r="B1727" s="13"/>
      <c r="C1727" s="20"/>
      <c r="D1727" s="19"/>
      <c r="E1727" s="26">
        <f>IF($B1727="","",IFERROR(INDEX(PecDesc,MATCH($B1727,PecCod,0)),"Peça não cadastrada"))</f>
        <v>0</v>
      </c>
      <c r="F1727" s="27">
        <f>IF($B1727="","",IF($D1727&lt;&gt;"",$D1727,IFERROR(INDEX(PecPreco,MATCH($B1727,PecCod,0)),0)))</f>
        <v>0</v>
      </c>
      <c r="G1727" s="27">
        <f>IF(OR($B1727="",$C1727=""),"",$C1727*$F1727)</f>
        <v>0</v>
      </c>
      <c r="H1727" s="27">
        <f>IF(OR($B1727="",$C1727=""),"",$C1727*IFERROR(INDEX(PecCusto,MATCH($B1727,PecCod,0)),0))</f>
        <v>0</v>
      </c>
      <c r="I1727" s="32">
        <f>IF($A1727="","",IFERROR(INDEX(OSStatus,MATCH($A1727,OSNum,0)),"OS inexistente"))</f>
        <v>0</v>
      </c>
      <c r="J1727" s="32">
        <f>IF($A1727="","",IF($I1727="OS inexistente","OS inexistente",IF($E1727="Peça não cadastrada","Peça não cadastrada","OK")))</f>
        <v>0</v>
      </c>
    </row>
    <row r="1728" spans="1:10">
      <c r="A1728" s="17"/>
      <c r="B1728" s="13"/>
      <c r="C1728" s="20"/>
      <c r="D1728" s="19"/>
      <c r="E1728" s="26">
        <f>IF($B1728="","",IFERROR(INDEX(PecDesc,MATCH($B1728,PecCod,0)),"Peça não cadastrada"))</f>
        <v>0</v>
      </c>
      <c r="F1728" s="27">
        <f>IF($B1728="","",IF($D1728&lt;&gt;"",$D1728,IFERROR(INDEX(PecPreco,MATCH($B1728,PecCod,0)),0)))</f>
        <v>0</v>
      </c>
      <c r="G1728" s="27">
        <f>IF(OR($B1728="",$C1728=""),"",$C1728*$F1728)</f>
        <v>0</v>
      </c>
      <c r="H1728" s="27">
        <f>IF(OR($B1728="",$C1728=""),"",$C1728*IFERROR(INDEX(PecCusto,MATCH($B1728,PecCod,0)),0))</f>
        <v>0</v>
      </c>
      <c r="I1728" s="32">
        <f>IF($A1728="","",IFERROR(INDEX(OSStatus,MATCH($A1728,OSNum,0)),"OS inexistente"))</f>
        <v>0</v>
      </c>
      <c r="J1728" s="32">
        <f>IF($A1728="","",IF($I1728="OS inexistente","OS inexistente",IF($E1728="Peça não cadastrada","Peça não cadastrada","OK")))</f>
        <v>0</v>
      </c>
    </row>
    <row r="1729" spans="1:10">
      <c r="A1729" s="17"/>
      <c r="B1729" s="13"/>
      <c r="C1729" s="20"/>
      <c r="D1729" s="19"/>
      <c r="E1729" s="26">
        <f>IF($B1729="","",IFERROR(INDEX(PecDesc,MATCH($B1729,PecCod,0)),"Peça não cadastrada"))</f>
        <v>0</v>
      </c>
      <c r="F1729" s="27">
        <f>IF($B1729="","",IF($D1729&lt;&gt;"",$D1729,IFERROR(INDEX(PecPreco,MATCH($B1729,PecCod,0)),0)))</f>
        <v>0</v>
      </c>
      <c r="G1729" s="27">
        <f>IF(OR($B1729="",$C1729=""),"",$C1729*$F1729)</f>
        <v>0</v>
      </c>
      <c r="H1729" s="27">
        <f>IF(OR($B1729="",$C1729=""),"",$C1729*IFERROR(INDEX(PecCusto,MATCH($B1729,PecCod,0)),0))</f>
        <v>0</v>
      </c>
      <c r="I1729" s="32">
        <f>IF($A1729="","",IFERROR(INDEX(OSStatus,MATCH($A1729,OSNum,0)),"OS inexistente"))</f>
        <v>0</v>
      </c>
      <c r="J1729" s="32">
        <f>IF($A1729="","",IF($I1729="OS inexistente","OS inexistente",IF($E1729="Peça não cadastrada","Peça não cadastrada","OK")))</f>
        <v>0</v>
      </c>
    </row>
    <row r="1730" spans="1:10">
      <c r="A1730" s="17"/>
      <c r="B1730" s="13"/>
      <c r="C1730" s="20"/>
      <c r="D1730" s="19"/>
      <c r="E1730" s="26">
        <f>IF($B1730="","",IFERROR(INDEX(PecDesc,MATCH($B1730,PecCod,0)),"Peça não cadastrada"))</f>
        <v>0</v>
      </c>
      <c r="F1730" s="27">
        <f>IF($B1730="","",IF($D1730&lt;&gt;"",$D1730,IFERROR(INDEX(PecPreco,MATCH($B1730,PecCod,0)),0)))</f>
        <v>0</v>
      </c>
      <c r="G1730" s="27">
        <f>IF(OR($B1730="",$C1730=""),"",$C1730*$F1730)</f>
        <v>0</v>
      </c>
      <c r="H1730" s="27">
        <f>IF(OR($B1730="",$C1730=""),"",$C1730*IFERROR(INDEX(PecCusto,MATCH($B1730,PecCod,0)),0))</f>
        <v>0</v>
      </c>
      <c r="I1730" s="32">
        <f>IF($A1730="","",IFERROR(INDEX(OSStatus,MATCH($A1730,OSNum,0)),"OS inexistente"))</f>
        <v>0</v>
      </c>
      <c r="J1730" s="32">
        <f>IF($A1730="","",IF($I1730="OS inexistente","OS inexistente",IF($E1730="Peça não cadastrada","Peça não cadastrada","OK")))</f>
        <v>0</v>
      </c>
    </row>
    <row r="1731" spans="1:10">
      <c r="A1731" s="17"/>
      <c r="B1731" s="13"/>
      <c r="C1731" s="20"/>
      <c r="D1731" s="19"/>
      <c r="E1731" s="26">
        <f>IF($B1731="","",IFERROR(INDEX(PecDesc,MATCH($B1731,PecCod,0)),"Peça não cadastrada"))</f>
        <v>0</v>
      </c>
      <c r="F1731" s="27">
        <f>IF($B1731="","",IF($D1731&lt;&gt;"",$D1731,IFERROR(INDEX(PecPreco,MATCH($B1731,PecCod,0)),0)))</f>
        <v>0</v>
      </c>
      <c r="G1731" s="27">
        <f>IF(OR($B1731="",$C1731=""),"",$C1731*$F1731)</f>
        <v>0</v>
      </c>
      <c r="H1731" s="27">
        <f>IF(OR($B1731="",$C1731=""),"",$C1731*IFERROR(INDEX(PecCusto,MATCH($B1731,PecCod,0)),0))</f>
        <v>0</v>
      </c>
      <c r="I1731" s="32">
        <f>IF($A1731="","",IFERROR(INDEX(OSStatus,MATCH($A1731,OSNum,0)),"OS inexistente"))</f>
        <v>0</v>
      </c>
      <c r="J1731" s="32">
        <f>IF($A1731="","",IF($I1731="OS inexistente","OS inexistente",IF($E1731="Peça não cadastrada","Peça não cadastrada","OK")))</f>
        <v>0</v>
      </c>
    </row>
    <row r="1732" spans="1:10">
      <c r="A1732" s="17"/>
      <c r="B1732" s="13"/>
      <c r="C1732" s="20"/>
      <c r="D1732" s="19"/>
      <c r="E1732" s="26">
        <f>IF($B1732="","",IFERROR(INDEX(PecDesc,MATCH($B1732,PecCod,0)),"Peça não cadastrada"))</f>
        <v>0</v>
      </c>
      <c r="F1732" s="27">
        <f>IF($B1732="","",IF($D1732&lt;&gt;"",$D1732,IFERROR(INDEX(PecPreco,MATCH($B1732,PecCod,0)),0)))</f>
        <v>0</v>
      </c>
      <c r="G1732" s="27">
        <f>IF(OR($B1732="",$C1732=""),"",$C1732*$F1732)</f>
        <v>0</v>
      </c>
      <c r="H1732" s="27">
        <f>IF(OR($B1732="",$C1732=""),"",$C1732*IFERROR(INDEX(PecCusto,MATCH($B1732,PecCod,0)),0))</f>
        <v>0</v>
      </c>
      <c r="I1732" s="32">
        <f>IF($A1732="","",IFERROR(INDEX(OSStatus,MATCH($A1732,OSNum,0)),"OS inexistente"))</f>
        <v>0</v>
      </c>
      <c r="J1732" s="32">
        <f>IF($A1732="","",IF($I1732="OS inexistente","OS inexistente",IF($E1732="Peça não cadastrada","Peça não cadastrada","OK")))</f>
        <v>0</v>
      </c>
    </row>
    <row r="1733" spans="1:10">
      <c r="A1733" s="17"/>
      <c r="B1733" s="13"/>
      <c r="C1733" s="20"/>
      <c r="D1733" s="19"/>
      <c r="E1733" s="26">
        <f>IF($B1733="","",IFERROR(INDEX(PecDesc,MATCH($B1733,PecCod,0)),"Peça não cadastrada"))</f>
        <v>0</v>
      </c>
      <c r="F1733" s="27">
        <f>IF($B1733="","",IF($D1733&lt;&gt;"",$D1733,IFERROR(INDEX(PecPreco,MATCH($B1733,PecCod,0)),0)))</f>
        <v>0</v>
      </c>
      <c r="G1733" s="27">
        <f>IF(OR($B1733="",$C1733=""),"",$C1733*$F1733)</f>
        <v>0</v>
      </c>
      <c r="H1733" s="27">
        <f>IF(OR($B1733="",$C1733=""),"",$C1733*IFERROR(INDEX(PecCusto,MATCH($B1733,PecCod,0)),0))</f>
        <v>0</v>
      </c>
      <c r="I1733" s="32">
        <f>IF($A1733="","",IFERROR(INDEX(OSStatus,MATCH($A1733,OSNum,0)),"OS inexistente"))</f>
        <v>0</v>
      </c>
      <c r="J1733" s="32">
        <f>IF($A1733="","",IF($I1733="OS inexistente","OS inexistente",IF($E1733="Peça não cadastrada","Peça não cadastrada","OK")))</f>
        <v>0</v>
      </c>
    </row>
    <row r="1734" spans="1:10">
      <c r="A1734" s="17"/>
      <c r="B1734" s="13"/>
      <c r="C1734" s="20"/>
      <c r="D1734" s="19"/>
      <c r="E1734" s="26">
        <f>IF($B1734="","",IFERROR(INDEX(PecDesc,MATCH($B1734,PecCod,0)),"Peça não cadastrada"))</f>
        <v>0</v>
      </c>
      <c r="F1734" s="27">
        <f>IF($B1734="","",IF($D1734&lt;&gt;"",$D1734,IFERROR(INDEX(PecPreco,MATCH($B1734,PecCod,0)),0)))</f>
        <v>0</v>
      </c>
      <c r="G1734" s="27">
        <f>IF(OR($B1734="",$C1734=""),"",$C1734*$F1734)</f>
        <v>0</v>
      </c>
      <c r="H1734" s="27">
        <f>IF(OR($B1734="",$C1734=""),"",$C1734*IFERROR(INDEX(PecCusto,MATCH($B1734,PecCod,0)),0))</f>
        <v>0</v>
      </c>
      <c r="I1734" s="32">
        <f>IF($A1734="","",IFERROR(INDEX(OSStatus,MATCH($A1734,OSNum,0)),"OS inexistente"))</f>
        <v>0</v>
      </c>
      <c r="J1734" s="32">
        <f>IF($A1734="","",IF($I1734="OS inexistente","OS inexistente",IF($E1734="Peça não cadastrada","Peça não cadastrada","OK")))</f>
        <v>0</v>
      </c>
    </row>
    <row r="1735" spans="1:10">
      <c r="A1735" s="17"/>
      <c r="B1735" s="13"/>
      <c r="C1735" s="20"/>
      <c r="D1735" s="19"/>
      <c r="E1735" s="26">
        <f>IF($B1735="","",IFERROR(INDEX(PecDesc,MATCH($B1735,PecCod,0)),"Peça não cadastrada"))</f>
        <v>0</v>
      </c>
      <c r="F1735" s="27">
        <f>IF($B1735="","",IF($D1735&lt;&gt;"",$D1735,IFERROR(INDEX(PecPreco,MATCH($B1735,PecCod,0)),0)))</f>
        <v>0</v>
      </c>
      <c r="G1735" s="27">
        <f>IF(OR($B1735="",$C1735=""),"",$C1735*$F1735)</f>
        <v>0</v>
      </c>
      <c r="H1735" s="27">
        <f>IF(OR($B1735="",$C1735=""),"",$C1735*IFERROR(INDEX(PecCusto,MATCH($B1735,PecCod,0)),0))</f>
        <v>0</v>
      </c>
      <c r="I1735" s="32">
        <f>IF($A1735="","",IFERROR(INDEX(OSStatus,MATCH($A1735,OSNum,0)),"OS inexistente"))</f>
        <v>0</v>
      </c>
      <c r="J1735" s="32">
        <f>IF($A1735="","",IF($I1735="OS inexistente","OS inexistente",IF($E1735="Peça não cadastrada","Peça não cadastrada","OK")))</f>
        <v>0</v>
      </c>
    </row>
    <row r="1736" spans="1:10">
      <c r="A1736" s="17"/>
      <c r="B1736" s="13"/>
      <c r="C1736" s="20"/>
      <c r="D1736" s="19"/>
      <c r="E1736" s="26">
        <f>IF($B1736="","",IFERROR(INDEX(PecDesc,MATCH($B1736,PecCod,0)),"Peça não cadastrada"))</f>
        <v>0</v>
      </c>
      <c r="F1736" s="27">
        <f>IF($B1736="","",IF($D1736&lt;&gt;"",$D1736,IFERROR(INDEX(PecPreco,MATCH($B1736,PecCod,0)),0)))</f>
        <v>0</v>
      </c>
      <c r="G1736" s="27">
        <f>IF(OR($B1736="",$C1736=""),"",$C1736*$F1736)</f>
        <v>0</v>
      </c>
      <c r="H1736" s="27">
        <f>IF(OR($B1736="",$C1736=""),"",$C1736*IFERROR(INDEX(PecCusto,MATCH($B1736,PecCod,0)),0))</f>
        <v>0</v>
      </c>
      <c r="I1736" s="32">
        <f>IF($A1736="","",IFERROR(INDEX(OSStatus,MATCH($A1736,OSNum,0)),"OS inexistente"))</f>
        <v>0</v>
      </c>
      <c r="J1736" s="32">
        <f>IF($A1736="","",IF($I1736="OS inexistente","OS inexistente",IF($E1736="Peça não cadastrada","Peça não cadastrada","OK")))</f>
        <v>0</v>
      </c>
    </row>
    <row r="1737" spans="1:10">
      <c r="A1737" s="17"/>
      <c r="B1737" s="13"/>
      <c r="C1737" s="20"/>
      <c r="D1737" s="19"/>
      <c r="E1737" s="26">
        <f>IF($B1737="","",IFERROR(INDEX(PecDesc,MATCH($B1737,PecCod,0)),"Peça não cadastrada"))</f>
        <v>0</v>
      </c>
      <c r="F1737" s="27">
        <f>IF($B1737="","",IF($D1737&lt;&gt;"",$D1737,IFERROR(INDEX(PecPreco,MATCH($B1737,PecCod,0)),0)))</f>
        <v>0</v>
      </c>
      <c r="G1737" s="27">
        <f>IF(OR($B1737="",$C1737=""),"",$C1737*$F1737)</f>
        <v>0</v>
      </c>
      <c r="H1737" s="27">
        <f>IF(OR($B1737="",$C1737=""),"",$C1737*IFERROR(INDEX(PecCusto,MATCH($B1737,PecCod,0)),0))</f>
        <v>0</v>
      </c>
      <c r="I1737" s="32">
        <f>IF($A1737="","",IFERROR(INDEX(OSStatus,MATCH($A1737,OSNum,0)),"OS inexistente"))</f>
        <v>0</v>
      </c>
      <c r="J1737" s="32">
        <f>IF($A1737="","",IF($I1737="OS inexistente","OS inexistente",IF($E1737="Peça não cadastrada","Peça não cadastrada","OK")))</f>
        <v>0</v>
      </c>
    </row>
    <row r="1738" spans="1:10">
      <c r="A1738" s="17"/>
      <c r="B1738" s="13"/>
      <c r="C1738" s="20"/>
      <c r="D1738" s="19"/>
      <c r="E1738" s="26">
        <f>IF($B1738="","",IFERROR(INDEX(PecDesc,MATCH($B1738,PecCod,0)),"Peça não cadastrada"))</f>
        <v>0</v>
      </c>
      <c r="F1738" s="27">
        <f>IF($B1738="","",IF($D1738&lt;&gt;"",$D1738,IFERROR(INDEX(PecPreco,MATCH($B1738,PecCod,0)),0)))</f>
        <v>0</v>
      </c>
      <c r="G1738" s="27">
        <f>IF(OR($B1738="",$C1738=""),"",$C1738*$F1738)</f>
        <v>0</v>
      </c>
      <c r="H1738" s="27">
        <f>IF(OR($B1738="",$C1738=""),"",$C1738*IFERROR(INDEX(PecCusto,MATCH($B1738,PecCod,0)),0))</f>
        <v>0</v>
      </c>
      <c r="I1738" s="32">
        <f>IF($A1738="","",IFERROR(INDEX(OSStatus,MATCH($A1738,OSNum,0)),"OS inexistente"))</f>
        <v>0</v>
      </c>
      <c r="J1738" s="32">
        <f>IF($A1738="","",IF($I1738="OS inexistente","OS inexistente",IF($E1738="Peça não cadastrada","Peça não cadastrada","OK")))</f>
        <v>0</v>
      </c>
    </row>
    <row r="1739" spans="1:10">
      <c r="A1739" s="17"/>
      <c r="B1739" s="13"/>
      <c r="C1739" s="20"/>
      <c r="D1739" s="19"/>
      <c r="E1739" s="26">
        <f>IF($B1739="","",IFERROR(INDEX(PecDesc,MATCH($B1739,PecCod,0)),"Peça não cadastrada"))</f>
        <v>0</v>
      </c>
      <c r="F1739" s="27">
        <f>IF($B1739="","",IF($D1739&lt;&gt;"",$D1739,IFERROR(INDEX(PecPreco,MATCH($B1739,PecCod,0)),0)))</f>
        <v>0</v>
      </c>
      <c r="G1739" s="27">
        <f>IF(OR($B1739="",$C1739=""),"",$C1739*$F1739)</f>
        <v>0</v>
      </c>
      <c r="H1739" s="27">
        <f>IF(OR($B1739="",$C1739=""),"",$C1739*IFERROR(INDEX(PecCusto,MATCH($B1739,PecCod,0)),0))</f>
        <v>0</v>
      </c>
      <c r="I1739" s="32">
        <f>IF($A1739="","",IFERROR(INDEX(OSStatus,MATCH($A1739,OSNum,0)),"OS inexistente"))</f>
        <v>0</v>
      </c>
      <c r="J1739" s="32">
        <f>IF($A1739="","",IF($I1739="OS inexistente","OS inexistente",IF($E1739="Peça não cadastrada","Peça não cadastrada","OK")))</f>
        <v>0</v>
      </c>
    </row>
    <row r="1740" spans="1:10">
      <c r="A1740" s="17"/>
      <c r="B1740" s="13"/>
      <c r="C1740" s="20"/>
      <c r="D1740" s="19"/>
      <c r="E1740" s="26">
        <f>IF($B1740="","",IFERROR(INDEX(PecDesc,MATCH($B1740,PecCod,0)),"Peça não cadastrada"))</f>
        <v>0</v>
      </c>
      <c r="F1740" s="27">
        <f>IF($B1740="","",IF($D1740&lt;&gt;"",$D1740,IFERROR(INDEX(PecPreco,MATCH($B1740,PecCod,0)),0)))</f>
        <v>0</v>
      </c>
      <c r="G1740" s="27">
        <f>IF(OR($B1740="",$C1740=""),"",$C1740*$F1740)</f>
        <v>0</v>
      </c>
      <c r="H1740" s="27">
        <f>IF(OR($B1740="",$C1740=""),"",$C1740*IFERROR(INDEX(PecCusto,MATCH($B1740,PecCod,0)),0))</f>
        <v>0</v>
      </c>
      <c r="I1740" s="32">
        <f>IF($A1740="","",IFERROR(INDEX(OSStatus,MATCH($A1740,OSNum,0)),"OS inexistente"))</f>
        <v>0</v>
      </c>
      <c r="J1740" s="32">
        <f>IF($A1740="","",IF($I1740="OS inexistente","OS inexistente",IF($E1740="Peça não cadastrada","Peça não cadastrada","OK")))</f>
        <v>0</v>
      </c>
    </row>
    <row r="1741" spans="1:10">
      <c r="A1741" s="17"/>
      <c r="B1741" s="13"/>
      <c r="C1741" s="20"/>
      <c r="D1741" s="19"/>
      <c r="E1741" s="26">
        <f>IF($B1741="","",IFERROR(INDEX(PecDesc,MATCH($B1741,PecCod,0)),"Peça não cadastrada"))</f>
        <v>0</v>
      </c>
      <c r="F1741" s="27">
        <f>IF($B1741="","",IF($D1741&lt;&gt;"",$D1741,IFERROR(INDEX(PecPreco,MATCH($B1741,PecCod,0)),0)))</f>
        <v>0</v>
      </c>
      <c r="G1741" s="27">
        <f>IF(OR($B1741="",$C1741=""),"",$C1741*$F1741)</f>
        <v>0</v>
      </c>
      <c r="H1741" s="27">
        <f>IF(OR($B1741="",$C1741=""),"",$C1741*IFERROR(INDEX(PecCusto,MATCH($B1741,PecCod,0)),0))</f>
        <v>0</v>
      </c>
      <c r="I1741" s="32">
        <f>IF($A1741="","",IFERROR(INDEX(OSStatus,MATCH($A1741,OSNum,0)),"OS inexistente"))</f>
        <v>0</v>
      </c>
      <c r="J1741" s="32">
        <f>IF($A1741="","",IF($I1741="OS inexistente","OS inexistente",IF($E1741="Peça não cadastrada","Peça não cadastrada","OK")))</f>
        <v>0</v>
      </c>
    </row>
    <row r="1742" spans="1:10">
      <c r="A1742" s="17"/>
      <c r="B1742" s="13"/>
      <c r="C1742" s="20"/>
      <c r="D1742" s="19"/>
      <c r="E1742" s="26">
        <f>IF($B1742="","",IFERROR(INDEX(PecDesc,MATCH($B1742,PecCod,0)),"Peça não cadastrada"))</f>
        <v>0</v>
      </c>
      <c r="F1742" s="27">
        <f>IF($B1742="","",IF($D1742&lt;&gt;"",$D1742,IFERROR(INDEX(PecPreco,MATCH($B1742,PecCod,0)),0)))</f>
        <v>0</v>
      </c>
      <c r="G1742" s="27">
        <f>IF(OR($B1742="",$C1742=""),"",$C1742*$F1742)</f>
        <v>0</v>
      </c>
      <c r="H1742" s="27">
        <f>IF(OR($B1742="",$C1742=""),"",$C1742*IFERROR(INDEX(PecCusto,MATCH($B1742,PecCod,0)),0))</f>
        <v>0</v>
      </c>
      <c r="I1742" s="32">
        <f>IF($A1742="","",IFERROR(INDEX(OSStatus,MATCH($A1742,OSNum,0)),"OS inexistente"))</f>
        <v>0</v>
      </c>
      <c r="J1742" s="32">
        <f>IF($A1742="","",IF($I1742="OS inexistente","OS inexistente",IF($E1742="Peça não cadastrada","Peça não cadastrada","OK")))</f>
        <v>0</v>
      </c>
    </row>
    <row r="1743" spans="1:10">
      <c r="A1743" s="17"/>
      <c r="B1743" s="13"/>
      <c r="C1743" s="20"/>
      <c r="D1743" s="19"/>
      <c r="E1743" s="26">
        <f>IF($B1743="","",IFERROR(INDEX(PecDesc,MATCH($B1743,PecCod,0)),"Peça não cadastrada"))</f>
        <v>0</v>
      </c>
      <c r="F1743" s="27">
        <f>IF($B1743="","",IF($D1743&lt;&gt;"",$D1743,IFERROR(INDEX(PecPreco,MATCH($B1743,PecCod,0)),0)))</f>
        <v>0</v>
      </c>
      <c r="G1743" s="27">
        <f>IF(OR($B1743="",$C1743=""),"",$C1743*$F1743)</f>
        <v>0</v>
      </c>
      <c r="H1743" s="27">
        <f>IF(OR($B1743="",$C1743=""),"",$C1743*IFERROR(INDEX(PecCusto,MATCH($B1743,PecCod,0)),0))</f>
        <v>0</v>
      </c>
      <c r="I1743" s="32">
        <f>IF($A1743="","",IFERROR(INDEX(OSStatus,MATCH($A1743,OSNum,0)),"OS inexistente"))</f>
        <v>0</v>
      </c>
      <c r="J1743" s="32">
        <f>IF($A1743="","",IF($I1743="OS inexistente","OS inexistente",IF($E1743="Peça não cadastrada","Peça não cadastrada","OK")))</f>
        <v>0</v>
      </c>
    </row>
    <row r="1744" spans="1:10">
      <c r="A1744" s="17"/>
      <c r="B1744" s="13"/>
      <c r="C1744" s="20"/>
      <c r="D1744" s="19"/>
      <c r="E1744" s="26">
        <f>IF($B1744="","",IFERROR(INDEX(PecDesc,MATCH($B1744,PecCod,0)),"Peça não cadastrada"))</f>
        <v>0</v>
      </c>
      <c r="F1744" s="27">
        <f>IF($B1744="","",IF($D1744&lt;&gt;"",$D1744,IFERROR(INDEX(PecPreco,MATCH($B1744,PecCod,0)),0)))</f>
        <v>0</v>
      </c>
      <c r="G1744" s="27">
        <f>IF(OR($B1744="",$C1744=""),"",$C1744*$F1744)</f>
        <v>0</v>
      </c>
      <c r="H1744" s="27">
        <f>IF(OR($B1744="",$C1744=""),"",$C1744*IFERROR(INDEX(PecCusto,MATCH($B1744,PecCod,0)),0))</f>
        <v>0</v>
      </c>
      <c r="I1744" s="32">
        <f>IF($A1744="","",IFERROR(INDEX(OSStatus,MATCH($A1744,OSNum,0)),"OS inexistente"))</f>
        <v>0</v>
      </c>
      <c r="J1744" s="32">
        <f>IF($A1744="","",IF($I1744="OS inexistente","OS inexistente",IF($E1744="Peça não cadastrada","Peça não cadastrada","OK")))</f>
        <v>0</v>
      </c>
    </row>
    <row r="1745" spans="1:10">
      <c r="A1745" s="17"/>
      <c r="B1745" s="13"/>
      <c r="C1745" s="20"/>
      <c r="D1745" s="19"/>
      <c r="E1745" s="26">
        <f>IF($B1745="","",IFERROR(INDEX(PecDesc,MATCH($B1745,PecCod,0)),"Peça não cadastrada"))</f>
        <v>0</v>
      </c>
      <c r="F1745" s="27">
        <f>IF($B1745="","",IF($D1745&lt;&gt;"",$D1745,IFERROR(INDEX(PecPreco,MATCH($B1745,PecCod,0)),0)))</f>
        <v>0</v>
      </c>
      <c r="G1745" s="27">
        <f>IF(OR($B1745="",$C1745=""),"",$C1745*$F1745)</f>
        <v>0</v>
      </c>
      <c r="H1745" s="27">
        <f>IF(OR($B1745="",$C1745=""),"",$C1745*IFERROR(INDEX(PecCusto,MATCH($B1745,PecCod,0)),0))</f>
        <v>0</v>
      </c>
      <c r="I1745" s="32">
        <f>IF($A1745="","",IFERROR(INDEX(OSStatus,MATCH($A1745,OSNum,0)),"OS inexistente"))</f>
        <v>0</v>
      </c>
      <c r="J1745" s="32">
        <f>IF($A1745="","",IF($I1745="OS inexistente","OS inexistente",IF($E1745="Peça não cadastrada","Peça não cadastrada","OK")))</f>
        <v>0</v>
      </c>
    </row>
    <row r="1746" spans="1:10">
      <c r="A1746" s="17"/>
      <c r="B1746" s="13"/>
      <c r="C1746" s="20"/>
      <c r="D1746" s="19"/>
      <c r="E1746" s="26">
        <f>IF($B1746="","",IFERROR(INDEX(PecDesc,MATCH($B1746,PecCod,0)),"Peça não cadastrada"))</f>
        <v>0</v>
      </c>
      <c r="F1746" s="27">
        <f>IF($B1746="","",IF($D1746&lt;&gt;"",$D1746,IFERROR(INDEX(PecPreco,MATCH($B1746,PecCod,0)),0)))</f>
        <v>0</v>
      </c>
      <c r="G1746" s="27">
        <f>IF(OR($B1746="",$C1746=""),"",$C1746*$F1746)</f>
        <v>0</v>
      </c>
      <c r="H1746" s="27">
        <f>IF(OR($B1746="",$C1746=""),"",$C1746*IFERROR(INDEX(PecCusto,MATCH($B1746,PecCod,0)),0))</f>
        <v>0</v>
      </c>
      <c r="I1746" s="32">
        <f>IF($A1746="","",IFERROR(INDEX(OSStatus,MATCH($A1746,OSNum,0)),"OS inexistente"))</f>
        <v>0</v>
      </c>
      <c r="J1746" s="32">
        <f>IF($A1746="","",IF($I1746="OS inexistente","OS inexistente",IF($E1746="Peça não cadastrada","Peça não cadastrada","OK")))</f>
        <v>0</v>
      </c>
    </row>
    <row r="1747" spans="1:10">
      <c r="A1747" s="17"/>
      <c r="B1747" s="13"/>
      <c r="C1747" s="20"/>
      <c r="D1747" s="19"/>
      <c r="E1747" s="26">
        <f>IF($B1747="","",IFERROR(INDEX(PecDesc,MATCH($B1747,PecCod,0)),"Peça não cadastrada"))</f>
        <v>0</v>
      </c>
      <c r="F1747" s="27">
        <f>IF($B1747="","",IF($D1747&lt;&gt;"",$D1747,IFERROR(INDEX(PecPreco,MATCH($B1747,PecCod,0)),0)))</f>
        <v>0</v>
      </c>
      <c r="G1747" s="27">
        <f>IF(OR($B1747="",$C1747=""),"",$C1747*$F1747)</f>
        <v>0</v>
      </c>
      <c r="H1747" s="27">
        <f>IF(OR($B1747="",$C1747=""),"",$C1747*IFERROR(INDEX(PecCusto,MATCH($B1747,PecCod,0)),0))</f>
        <v>0</v>
      </c>
      <c r="I1747" s="32">
        <f>IF($A1747="","",IFERROR(INDEX(OSStatus,MATCH($A1747,OSNum,0)),"OS inexistente"))</f>
        <v>0</v>
      </c>
      <c r="J1747" s="32">
        <f>IF($A1747="","",IF($I1747="OS inexistente","OS inexistente",IF($E1747="Peça não cadastrada","Peça não cadastrada","OK")))</f>
        <v>0</v>
      </c>
    </row>
    <row r="1748" spans="1:10">
      <c r="A1748" s="17"/>
      <c r="B1748" s="13"/>
      <c r="C1748" s="20"/>
      <c r="D1748" s="19"/>
      <c r="E1748" s="26">
        <f>IF($B1748="","",IFERROR(INDEX(PecDesc,MATCH($B1748,PecCod,0)),"Peça não cadastrada"))</f>
        <v>0</v>
      </c>
      <c r="F1748" s="27">
        <f>IF($B1748="","",IF($D1748&lt;&gt;"",$D1748,IFERROR(INDEX(PecPreco,MATCH($B1748,PecCod,0)),0)))</f>
        <v>0</v>
      </c>
      <c r="G1748" s="27">
        <f>IF(OR($B1748="",$C1748=""),"",$C1748*$F1748)</f>
        <v>0</v>
      </c>
      <c r="H1748" s="27">
        <f>IF(OR($B1748="",$C1748=""),"",$C1748*IFERROR(INDEX(PecCusto,MATCH($B1748,PecCod,0)),0))</f>
        <v>0</v>
      </c>
      <c r="I1748" s="32">
        <f>IF($A1748="","",IFERROR(INDEX(OSStatus,MATCH($A1748,OSNum,0)),"OS inexistente"))</f>
        <v>0</v>
      </c>
      <c r="J1748" s="32">
        <f>IF($A1748="","",IF($I1748="OS inexistente","OS inexistente",IF($E1748="Peça não cadastrada","Peça não cadastrada","OK")))</f>
        <v>0</v>
      </c>
    </row>
    <row r="1749" spans="1:10">
      <c r="A1749" s="17"/>
      <c r="B1749" s="13"/>
      <c r="C1749" s="20"/>
      <c r="D1749" s="19"/>
      <c r="E1749" s="26">
        <f>IF($B1749="","",IFERROR(INDEX(PecDesc,MATCH($B1749,PecCod,0)),"Peça não cadastrada"))</f>
        <v>0</v>
      </c>
      <c r="F1749" s="27">
        <f>IF($B1749="","",IF($D1749&lt;&gt;"",$D1749,IFERROR(INDEX(PecPreco,MATCH($B1749,PecCod,0)),0)))</f>
        <v>0</v>
      </c>
      <c r="G1749" s="27">
        <f>IF(OR($B1749="",$C1749=""),"",$C1749*$F1749)</f>
        <v>0</v>
      </c>
      <c r="H1749" s="27">
        <f>IF(OR($B1749="",$C1749=""),"",$C1749*IFERROR(INDEX(PecCusto,MATCH($B1749,PecCod,0)),0))</f>
        <v>0</v>
      </c>
      <c r="I1749" s="32">
        <f>IF($A1749="","",IFERROR(INDEX(OSStatus,MATCH($A1749,OSNum,0)),"OS inexistente"))</f>
        <v>0</v>
      </c>
      <c r="J1749" s="32">
        <f>IF($A1749="","",IF($I1749="OS inexistente","OS inexistente",IF($E1749="Peça não cadastrada","Peça não cadastrada","OK")))</f>
        <v>0</v>
      </c>
    </row>
    <row r="1750" spans="1:10">
      <c r="A1750" s="17"/>
      <c r="B1750" s="13"/>
      <c r="C1750" s="20"/>
      <c r="D1750" s="19"/>
      <c r="E1750" s="26">
        <f>IF($B1750="","",IFERROR(INDEX(PecDesc,MATCH($B1750,PecCod,0)),"Peça não cadastrada"))</f>
        <v>0</v>
      </c>
      <c r="F1750" s="27">
        <f>IF($B1750="","",IF($D1750&lt;&gt;"",$D1750,IFERROR(INDEX(PecPreco,MATCH($B1750,PecCod,0)),0)))</f>
        <v>0</v>
      </c>
      <c r="G1750" s="27">
        <f>IF(OR($B1750="",$C1750=""),"",$C1750*$F1750)</f>
        <v>0</v>
      </c>
      <c r="H1750" s="27">
        <f>IF(OR($B1750="",$C1750=""),"",$C1750*IFERROR(INDEX(PecCusto,MATCH($B1750,PecCod,0)),0))</f>
        <v>0</v>
      </c>
      <c r="I1750" s="32">
        <f>IF($A1750="","",IFERROR(INDEX(OSStatus,MATCH($A1750,OSNum,0)),"OS inexistente"))</f>
        <v>0</v>
      </c>
      <c r="J1750" s="32">
        <f>IF($A1750="","",IF($I1750="OS inexistente","OS inexistente",IF($E1750="Peça não cadastrada","Peça não cadastrada","OK")))</f>
        <v>0</v>
      </c>
    </row>
    <row r="1751" spans="1:10">
      <c r="A1751" s="17"/>
      <c r="B1751" s="13"/>
      <c r="C1751" s="20"/>
      <c r="D1751" s="19"/>
      <c r="E1751" s="26">
        <f>IF($B1751="","",IFERROR(INDEX(PecDesc,MATCH($B1751,PecCod,0)),"Peça não cadastrada"))</f>
        <v>0</v>
      </c>
      <c r="F1751" s="27">
        <f>IF($B1751="","",IF($D1751&lt;&gt;"",$D1751,IFERROR(INDEX(PecPreco,MATCH($B1751,PecCod,0)),0)))</f>
        <v>0</v>
      </c>
      <c r="G1751" s="27">
        <f>IF(OR($B1751="",$C1751=""),"",$C1751*$F1751)</f>
        <v>0</v>
      </c>
      <c r="H1751" s="27">
        <f>IF(OR($B1751="",$C1751=""),"",$C1751*IFERROR(INDEX(PecCusto,MATCH($B1751,PecCod,0)),0))</f>
        <v>0</v>
      </c>
      <c r="I1751" s="32">
        <f>IF($A1751="","",IFERROR(INDEX(OSStatus,MATCH($A1751,OSNum,0)),"OS inexistente"))</f>
        <v>0</v>
      </c>
      <c r="J1751" s="32">
        <f>IF($A1751="","",IF($I1751="OS inexistente","OS inexistente",IF($E1751="Peça não cadastrada","Peça não cadastrada","OK")))</f>
        <v>0</v>
      </c>
    </row>
    <row r="1752" spans="1:10">
      <c r="A1752" s="17"/>
      <c r="B1752" s="13"/>
      <c r="C1752" s="20"/>
      <c r="D1752" s="19"/>
      <c r="E1752" s="26">
        <f>IF($B1752="","",IFERROR(INDEX(PecDesc,MATCH($B1752,PecCod,0)),"Peça não cadastrada"))</f>
        <v>0</v>
      </c>
      <c r="F1752" s="27">
        <f>IF($B1752="","",IF($D1752&lt;&gt;"",$D1752,IFERROR(INDEX(PecPreco,MATCH($B1752,PecCod,0)),0)))</f>
        <v>0</v>
      </c>
      <c r="G1752" s="27">
        <f>IF(OR($B1752="",$C1752=""),"",$C1752*$F1752)</f>
        <v>0</v>
      </c>
      <c r="H1752" s="27">
        <f>IF(OR($B1752="",$C1752=""),"",$C1752*IFERROR(INDEX(PecCusto,MATCH($B1752,PecCod,0)),0))</f>
        <v>0</v>
      </c>
      <c r="I1752" s="32">
        <f>IF($A1752="","",IFERROR(INDEX(OSStatus,MATCH($A1752,OSNum,0)),"OS inexistente"))</f>
        <v>0</v>
      </c>
      <c r="J1752" s="32">
        <f>IF($A1752="","",IF($I1752="OS inexistente","OS inexistente",IF($E1752="Peça não cadastrada","Peça não cadastrada","OK")))</f>
        <v>0</v>
      </c>
    </row>
    <row r="1753" spans="1:10">
      <c r="A1753" s="17"/>
      <c r="B1753" s="13"/>
      <c r="C1753" s="20"/>
      <c r="D1753" s="19"/>
      <c r="E1753" s="26">
        <f>IF($B1753="","",IFERROR(INDEX(PecDesc,MATCH($B1753,PecCod,0)),"Peça não cadastrada"))</f>
        <v>0</v>
      </c>
      <c r="F1753" s="27">
        <f>IF($B1753="","",IF($D1753&lt;&gt;"",$D1753,IFERROR(INDEX(PecPreco,MATCH($B1753,PecCod,0)),0)))</f>
        <v>0</v>
      </c>
      <c r="G1753" s="27">
        <f>IF(OR($B1753="",$C1753=""),"",$C1753*$F1753)</f>
        <v>0</v>
      </c>
      <c r="H1753" s="27">
        <f>IF(OR($B1753="",$C1753=""),"",$C1753*IFERROR(INDEX(PecCusto,MATCH($B1753,PecCod,0)),0))</f>
        <v>0</v>
      </c>
      <c r="I1753" s="32">
        <f>IF($A1753="","",IFERROR(INDEX(OSStatus,MATCH($A1753,OSNum,0)),"OS inexistente"))</f>
        <v>0</v>
      </c>
      <c r="J1753" s="32">
        <f>IF($A1753="","",IF($I1753="OS inexistente","OS inexistente",IF($E1753="Peça não cadastrada","Peça não cadastrada","OK")))</f>
        <v>0</v>
      </c>
    </row>
    <row r="1754" spans="1:10">
      <c r="A1754" s="17"/>
      <c r="B1754" s="13"/>
      <c r="C1754" s="20"/>
      <c r="D1754" s="19"/>
      <c r="E1754" s="26">
        <f>IF($B1754="","",IFERROR(INDEX(PecDesc,MATCH($B1754,PecCod,0)),"Peça não cadastrada"))</f>
        <v>0</v>
      </c>
      <c r="F1754" s="27">
        <f>IF($B1754="","",IF($D1754&lt;&gt;"",$D1754,IFERROR(INDEX(PecPreco,MATCH($B1754,PecCod,0)),0)))</f>
        <v>0</v>
      </c>
      <c r="G1754" s="27">
        <f>IF(OR($B1754="",$C1754=""),"",$C1754*$F1754)</f>
        <v>0</v>
      </c>
      <c r="H1754" s="27">
        <f>IF(OR($B1754="",$C1754=""),"",$C1754*IFERROR(INDEX(PecCusto,MATCH($B1754,PecCod,0)),0))</f>
        <v>0</v>
      </c>
      <c r="I1754" s="32">
        <f>IF($A1754="","",IFERROR(INDEX(OSStatus,MATCH($A1754,OSNum,0)),"OS inexistente"))</f>
        <v>0</v>
      </c>
      <c r="J1754" s="32">
        <f>IF($A1754="","",IF($I1754="OS inexistente","OS inexistente",IF($E1754="Peça não cadastrada","Peça não cadastrada","OK")))</f>
        <v>0</v>
      </c>
    </row>
    <row r="1755" spans="1:10">
      <c r="A1755" s="17"/>
      <c r="B1755" s="13"/>
      <c r="C1755" s="20"/>
      <c r="D1755" s="19"/>
      <c r="E1755" s="26">
        <f>IF($B1755="","",IFERROR(INDEX(PecDesc,MATCH($B1755,PecCod,0)),"Peça não cadastrada"))</f>
        <v>0</v>
      </c>
      <c r="F1755" s="27">
        <f>IF($B1755="","",IF($D1755&lt;&gt;"",$D1755,IFERROR(INDEX(PecPreco,MATCH($B1755,PecCod,0)),0)))</f>
        <v>0</v>
      </c>
      <c r="G1755" s="27">
        <f>IF(OR($B1755="",$C1755=""),"",$C1755*$F1755)</f>
        <v>0</v>
      </c>
      <c r="H1755" s="27">
        <f>IF(OR($B1755="",$C1755=""),"",$C1755*IFERROR(INDEX(PecCusto,MATCH($B1755,PecCod,0)),0))</f>
        <v>0</v>
      </c>
      <c r="I1755" s="32">
        <f>IF($A1755="","",IFERROR(INDEX(OSStatus,MATCH($A1755,OSNum,0)),"OS inexistente"))</f>
        <v>0</v>
      </c>
      <c r="J1755" s="32">
        <f>IF($A1755="","",IF($I1755="OS inexistente","OS inexistente",IF($E1755="Peça não cadastrada","Peça não cadastrada","OK")))</f>
        <v>0</v>
      </c>
    </row>
    <row r="1756" spans="1:10">
      <c r="A1756" s="17"/>
      <c r="B1756" s="13"/>
      <c r="C1756" s="20"/>
      <c r="D1756" s="19"/>
      <c r="E1756" s="26">
        <f>IF($B1756="","",IFERROR(INDEX(PecDesc,MATCH($B1756,PecCod,0)),"Peça não cadastrada"))</f>
        <v>0</v>
      </c>
      <c r="F1756" s="27">
        <f>IF($B1756="","",IF($D1756&lt;&gt;"",$D1756,IFERROR(INDEX(PecPreco,MATCH($B1756,PecCod,0)),0)))</f>
        <v>0</v>
      </c>
      <c r="G1756" s="27">
        <f>IF(OR($B1756="",$C1756=""),"",$C1756*$F1756)</f>
        <v>0</v>
      </c>
      <c r="H1756" s="27">
        <f>IF(OR($B1756="",$C1756=""),"",$C1756*IFERROR(INDEX(PecCusto,MATCH($B1756,PecCod,0)),0))</f>
        <v>0</v>
      </c>
      <c r="I1756" s="32">
        <f>IF($A1756="","",IFERROR(INDEX(OSStatus,MATCH($A1756,OSNum,0)),"OS inexistente"))</f>
        <v>0</v>
      </c>
      <c r="J1756" s="32">
        <f>IF($A1756="","",IF($I1756="OS inexistente","OS inexistente",IF($E1756="Peça não cadastrada","Peça não cadastrada","OK")))</f>
        <v>0</v>
      </c>
    </row>
    <row r="1757" spans="1:10">
      <c r="A1757" s="17"/>
      <c r="B1757" s="13"/>
      <c r="C1757" s="20"/>
      <c r="D1757" s="19"/>
      <c r="E1757" s="26">
        <f>IF($B1757="","",IFERROR(INDEX(PecDesc,MATCH($B1757,PecCod,0)),"Peça não cadastrada"))</f>
        <v>0</v>
      </c>
      <c r="F1757" s="27">
        <f>IF($B1757="","",IF($D1757&lt;&gt;"",$D1757,IFERROR(INDEX(PecPreco,MATCH($B1757,PecCod,0)),0)))</f>
        <v>0</v>
      </c>
      <c r="G1757" s="27">
        <f>IF(OR($B1757="",$C1757=""),"",$C1757*$F1757)</f>
        <v>0</v>
      </c>
      <c r="H1757" s="27">
        <f>IF(OR($B1757="",$C1757=""),"",$C1757*IFERROR(INDEX(PecCusto,MATCH($B1757,PecCod,0)),0))</f>
        <v>0</v>
      </c>
      <c r="I1757" s="32">
        <f>IF($A1757="","",IFERROR(INDEX(OSStatus,MATCH($A1757,OSNum,0)),"OS inexistente"))</f>
        <v>0</v>
      </c>
      <c r="J1757" s="32">
        <f>IF($A1757="","",IF($I1757="OS inexistente","OS inexistente",IF($E1757="Peça não cadastrada","Peça não cadastrada","OK")))</f>
        <v>0</v>
      </c>
    </row>
    <row r="1758" spans="1:10">
      <c r="A1758" s="17"/>
      <c r="B1758" s="13"/>
      <c r="C1758" s="20"/>
      <c r="D1758" s="19"/>
      <c r="E1758" s="26">
        <f>IF($B1758="","",IFERROR(INDEX(PecDesc,MATCH($B1758,PecCod,0)),"Peça não cadastrada"))</f>
        <v>0</v>
      </c>
      <c r="F1758" s="27">
        <f>IF($B1758="","",IF($D1758&lt;&gt;"",$D1758,IFERROR(INDEX(PecPreco,MATCH($B1758,PecCod,0)),0)))</f>
        <v>0</v>
      </c>
      <c r="G1758" s="27">
        <f>IF(OR($B1758="",$C1758=""),"",$C1758*$F1758)</f>
        <v>0</v>
      </c>
      <c r="H1758" s="27">
        <f>IF(OR($B1758="",$C1758=""),"",$C1758*IFERROR(INDEX(PecCusto,MATCH($B1758,PecCod,0)),0))</f>
        <v>0</v>
      </c>
      <c r="I1758" s="32">
        <f>IF($A1758="","",IFERROR(INDEX(OSStatus,MATCH($A1758,OSNum,0)),"OS inexistente"))</f>
        <v>0</v>
      </c>
      <c r="J1758" s="32">
        <f>IF($A1758="","",IF($I1758="OS inexistente","OS inexistente",IF($E1758="Peça não cadastrada","Peça não cadastrada","OK")))</f>
        <v>0</v>
      </c>
    </row>
    <row r="1759" spans="1:10">
      <c r="A1759" s="17"/>
      <c r="B1759" s="13"/>
      <c r="C1759" s="20"/>
      <c r="D1759" s="19"/>
      <c r="E1759" s="26">
        <f>IF($B1759="","",IFERROR(INDEX(PecDesc,MATCH($B1759,PecCod,0)),"Peça não cadastrada"))</f>
        <v>0</v>
      </c>
      <c r="F1759" s="27">
        <f>IF($B1759="","",IF($D1759&lt;&gt;"",$D1759,IFERROR(INDEX(PecPreco,MATCH($B1759,PecCod,0)),0)))</f>
        <v>0</v>
      </c>
      <c r="G1759" s="27">
        <f>IF(OR($B1759="",$C1759=""),"",$C1759*$F1759)</f>
        <v>0</v>
      </c>
      <c r="H1759" s="27">
        <f>IF(OR($B1759="",$C1759=""),"",$C1759*IFERROR(INDEX(PecCusto,MATCH($B1759,PecCod,0)),0))</f>
        <v>0</v>
      </c>
      <c r="I1759" s="32">
        <f>IF($A1759="","",IFERROR(INDEX(OSStatus,MATCH($A1759,OSNum,0)),"OS inexistente"))</f>
        <v>0</v>
      </c>
      <c r="J1759" s="32">
        <f>IF($A1759="","",IF($I1759="OS inexistente","OS inexistente",IF($E1759="Peça não cadastrada","Peça não cadastrada","OK")))</f>
        <v>0</v>
      </c>
    </row>
    <row r="1760" spans="1:10">
      <c r="A1760" s="17"/>
      <c r="B1760" s="13"/>
      <c r="C1760" s="20"/>
      <c r="D1760" s="19"/>
      <c r="E1760" s="26">
        <f>IF($B1760="","",IFERROR(INDEX(PecDesc,MATCH($B1760,PecCod,0)),"Peça não cadastrada"))</f>
        <v>0</v>
      </c>
      <c r="F1760" s="27">
        <f>IF($B1760="","",IF($D1760&lt;&gt;"",$D1760,IFERROR(INDEX(PecPreco,MATCH($B1760,PecCod,0)),0)))</f>
        <v>0</v>
      </c>
      <c r="G1760" s="27">
        <f>IF(OR($B1760="",$C1760=""),"",$C1760*$F1760)</f>
        <v>0</v>
      </c>
      <c r="H1760" s="27">
        <f>IF(OR($B1760="",$C1760=""),"",$C1760*IFERROR(INDEX(PecCusto,MATCH($B1760,PecCod,0)),0))</f>
        <v>0</v>
      </c>
      <c r="I1760" s="32">
        <f>IF($A1760="","",IFERROR(INDEX(OSStatus,MATCH($A1760,OSNum,0)),"OS inexistente"))</f>
        <v>0</v>
      </c>
      <c r="J1760" s="32">
        <f>IF($A1760="","",IF($I1760="OS inexistente","OS inexistente",IF($E1760="Peça não cadastrada","Peça não cadastrada","OK")))</f>
        <v>0</v>
      </c>
    </row>
    <row r="1761" spans="1:10">
      <c r="A1761" s="17"/>
      <c r="B1761" s="13"/>
      <c r="C1761" s="20"/>
      <c r="D1761" s="19"/>
      <c r="E1761" s="26">
        <f>IF($B1761="","",IFERROR(INDEX(PecDesc,MATCH($B1761,PecCod,0)),"Peça não cadastrada"))</f>
        <v>0</v>
      </c>
      <c r="F1761" s="27">
        <f>IF($B1761="","",IF($D1761&lt;&gt;"",$D1761,IFERROR(INDEX(PecPreco,MATCH($B1761,PecCod,0)),0)))</f>
        <v>0</v>
      </c>
      <c r="G1761" s="27">
        <f>IF(OR($B1761="",$C1761=""),"",$C1761*$F1761)</f>
        <v>0</v>
      </c>
      <c r="H1761" s="27">
        <f>IF(OR($B1761="",$C1761=""),"",$C1761*IFERROR(INDEX(PecCusto,MATCH($B1761,PecCod,0)),0))</f>
        <v>0</v>
      </c>
      <c r="I1761" s="32">
        <f>IF($A1761="","",IFERROR(INDEX(OSStatus,MATCH($A1761,OSNum,0)),"OS inexistente"))</f>
        <v>0</v>
      </c>
      <c r="J1761" s="32">
        <f>IF($A1761="","",IF($I1761="OS inexistente","OS inexistente",IF($E1761="Peça não cadastrada","Peça não cadastrada","OK")))</f>
        <v>0</v>
      </c>
    </row>
    <row r="1762" spans="1:10">
      <c r="A1762" s="17"/>
      <c r="B1762" s="13"/>
      <c r="C1762" s="20"/>
      <c r="D1762" s="19"/>
      <c r="E1762" s="26">
        <f>IF($B1762="","",IFERROR(INDEX(PecDesc,MATCH($B1762,PecCod,0)),"Peça não cadastrada"))</f>
        <v>0</v>
      </c>
      <c r="F1762" s="27">
        <f>IF($B1762="","",IF($D1762&lt;&gt;"",$D1762,IFERROR(INDEX(PecPreco,MATCH($B1762,PecCod,0)),0)))</f>
        <v>0</v>
      </c>
      <c r="G1762" s="27">
        <f>IF(OR($B1762="",$C1762=""),"",$C1762*$F1762)</f>
        <v>0</v>
      </c>
      <c r="H1762" s="27">
        <f>IF(OR($B1762="",$C1762=""),"",$C1762*IFERROR(INDEX(PecCusto,MATCH($B1762,PecCod,0)),0))</f>
        <v>0</v>
      </c>
      <c r="I1762" s="32">
        <f>IF($A1762="","",IFERROR(INDEX(OSStatus,MATCH($A1762,OSNum,0)),"OS inexistente"))</f>
        <v>0</v>
      </c>
      <c r="J1762" s="32">
        <f>IF($A1762="","",IF($I1762="OS inexistente","OS inexistente",IF($E1762="Peça não cadastrada","Peça não cadastrada","OK")))</f>
        <v>0</v>
      </c>
    </row>
    <row r="1763" spans="1:10">
      <c r="A1763" s="17"/>
      <c r="B1763" s="13"/>
      <c r="C1763" s="20"/>
      <c r="D1763" s="19"/>
      <c r="E1763" s="26">
        <f>IF($B1763="","",IFERROR(INDEX(PecDesc,MATCH($B1763,PecCod,0)),"Peça não cadastrada"))</f>
        <v>0</v>
      </c>
      <c r="F1763" s="27">
        <f>IF($B1763="","",IF($D1763&lt;&gt;"",$D1763,IFERROR(INDEX(PecPreco,MATCH($B1763,PecCod,0)),0)))</f>
        <v>0</v>
      </c>
      <c r="G1763" s="27">
        <f>IF(OR($B1763="",$C1763=""),"",$C1763*$F1763)</f>
        <v>0</v>
      </c>
      <c r="H1763" s="27">
        <f>IF(OR($B1763="",$C1763=""),"",$C1763*IFERROR(INDEX(PecCusto,MATCH($B1763,PecCod,0)),0))</f>
        <v>0</v>
      </c>
      <c r="I1763" s="32">
        <f>IF($A1763="","",IFERROR(INDEX(OSStatus,MATCH($A1763,OSNum,0)),"OS inexistente"))</f>
        <v>0</v>
      </c>
      <c r="J1763" s="32">
        <f>IF($A1763="","",IF($I1763="OS inexistente","OS inexistente",IF($E1763="Peça não cadastrada","Peça não cadastrada","OK")))</f>
        <v>0</v>
      </c>
    </row>
    <row r="1764" spans="1:10">
      <c r="A1764" s="17"/>
      <c r="B1764" s="13"/>
      <c r="C1764" s="20"/>
      <c r="D1764" s="19"/>
      <c r="E1764" s="26">
        <f>IF($B1764="","",IFERROR(INDEX(PecDesc,MATCH($B1764,PecCod,0)),"Peça não cadastrada"))</f>
        <v>0</v>
      </c>
      <c r="F1764" s="27">
        <f>IF($B1764="","",IF($D1764&lt;&gt;"",$D1764,IFERROR(INDEX(PecPreco,MATCH($B1764,PecCod,0)),0)))</f>
        <v>0</v>
      </c>
      <c r="G1764" s="27">
        <f>IF(OR($B1764="",$C1764=""),"",$C1764*$F1764)</f>
        <v>0</v>
      </c>
      <c r="H1764" s="27">
        <f>IF(OR($B1764="",$C1764=""),"",$C1764*IFERROR(INDEX(PecCusto,MATCH($B1764,PecCod,0)),0))</f>
        <v>0</v>
      </c>
      <c r="I1764" s="32">
        <f>IF($A1764="","",IFERROR(INDEX(OSStatus,MATCH($A1764,OSNum,0)),"OS inexistente"))</f>
        <v>0</v>
      </c>
      <c r="J1764" s="32">
        <f>IF($A1764="","",IF($I1764="OS inexistente","OS inexistente",IF($E1764="Peça não cadastrada","Peça não cadastrada","OK")))</f>
        <v>0</v>
      </c>
    </row>
    <row r="1765" spans="1:10">
      <c r="A1765" s="17"/>
      <c r="B1765" s="13"/>
      <c r="C1765" s="20"/>
      <c r="D1765" s="19"/>
      <c r="E1765" s="26">
        <f>IF($B1765="","",IFERROR(INDEX(PecDesc,MATCH($B1765,PecCod,0)),"Peça não cadastrada"))</f>
        <v>0</v>
      </c>
      <c r="F1765" s="27">
        <f>IF($B1765="","",IF($D1765&lt;&gt;"",$D1765,IFERROR(INDEX(PecPreco,MATCH($B1765,PecCod,0)),0)))</f>
        <v>0</v>
      </c>
      <c r="G1765" s="27">
        <f>IF(OR($B1765="",$C1765=""),"",$C1765*$F1765)</f>
        <v>0</v>
      </c>
      <c r="H1765" s="27">
        <f>IF(OR($B1765="",$C1765=""),"",$C1765*IFERROR(INDEX(PecCusto,MATCH($B1765,PecCod,0)),0))</f>
        <v>0</v>
      </c>
      <c r="I1765" s="32">
        <f>IF($A1765="","",IFERROR(INDEX(OSStatus,MATCH($A1765,OSNum,0)),"OS inexistente"))</f>
        <v>0</v>
      </c>
      <c r="J1765" s="32">
        <f>IF($A1765="","",IF($I1765="OS inexistente","OS inexistente",IF($E1765="Peça não cadastrada","Peça não cadastrada","OK")))</f>
        <v>0</v>
      </c>
    </row>
    <row r="1766" spans="1:10">
      <c r="A1766" s="17"/>
      <c r="B1766" s="13"/>
      <c r="C1766" s="20"/>
      <c r="D1766" s="19"/>
      <c r="E1766" s="26">
        <f>IF($B1766="","",IFERROR(INDEX(PecDesc,MATCH($B1766,PecCod,0)),"Peça não cadastrada"))</f>
        <v>0</v>
      </c>
      <c r="F1766" s="27">
        <f>IF($B1766="","",IF($D1766&lt;&gt;"",$D1766,IFERROR(INDEX(PecPreco,MATCH($B1766,PecCod,0)),0)))</f>
        <v>0</v>
      </c>
      <c r="G1766" s="27">
        <f>IF(OR($B1766="",$C1766=""),"",$C1766*$F1766)</f>
        <v>0</v>
      </c>
      <c r="H1766" s="27">
        <f>IF(OR($B1766="",$C1766=""),"",$C1766*IFERROR(INDEX(PecCusto,MATCH($B1766,PecCod,0)),0))</f>
        <v>0</v>
      </c>
      <c r="I1766" s="32">
        <f>IF($A1766="","",IFERROR(INDEX(OSStatus,MATCH($A1766,OSNum,0)),"OS inexistente"))</f>
        <v>0</v>
      </c>
      <c r="J1766" s="32">
        <f>IF($A1766="","",IF($I1766="OS inexistente","OS inexistente",IF($E1766="Peça não cadastrada","Peça não cadastrada","OK")))</f>
        <v>0</v>
      </c>
    </row>
    <row r="1767" spans="1:10">
      <c r="A1767" s="17"/>
      <c r="B1767" s="13"/>
      <c r="C1767" s="20"/>
      <c r="D1767" s="19"/>
      <c r="E1767" s="26">
        <f>IF($B1767="","",IFERROR(INDEX(PecDesc,MATCH($B1767,PecCod,0)),"Peça não cadastrada"))</f>
        <v>0</v>
      </c>
      <c r="F1767" s="27">
        <f>IF($B1767="","",IF($D1767&lt;&gt;"",$D1767,IFERROR(INDEX(PecPreco,MATCH($B1767,PecCod,0)),0)))</f>
        <v>0</v>
      </c>
      <c r="G1767" s="27">
        <f>IF(OR($B1767="",$C1767=""),"",$C1767*$F1767)</f>
        <v>0</v>
      </c>
      <c r="H1767" s="27">
        <f>IF(OR($B1767="",$C1767=""),"",$C1767*IFERROR(INDEX(PecCusto,MATCH($B1767,PecCod,0)),0))</f>
        <v>0</v>
      </c>
      <c r="I1767" s="32">
        <f>IF($A1767="","",IFERROR(INDEX(OSStatus,MATCH($A1767,OSNum,0)),"OS inexistente"))</f>
        <v>0</v>
      </c>
      <c r="J1767" s="32">
        <f>IF($A1767="","",IF($I1767="OS inexistente","OS inexistente",IF($E1767="Peça não cadastrada","Peça não cadastrada","OK")))</f>
        <v>0</v>
      </c>
    </row>
    <row r="1768" spans="1:10">
      <c r="A1768" s="17"/>
      <c r="B1768" s="13"/>
      <c r="C1768" s="20"/>
      <c r="D1768" s="19"/>
      <c r="E1768" s="26">
        <f>IF($B1768="","",IFERROR(INDEX(PecDesc,MATCH($B1768,PecCod,0)),"Peça não cadastrada"))</f>
        <v>0</v>
      </c>
      <c r="F1768" s="27">
        <f>IF($B1768="","",IF($D1768&lt;&gt;"",$D1768,IFERROR(INDEX(PecPreco,MATCH($B1768,PecCod,0)),0)))</f>
        <v>0</v>
      </c>
      <c r="G1768" s="27">
        <f>IF(OR($B1768="",$C1768=""),"",$C1768*$F1768)</f>
        <v>0</v>
      </c>
      <c r="H1768" s="27">
        <f>IF(OR($B1768="",$C1768=""),"",$C1768*IFERROR(INDEX(PecCusto,MATCH($B1768,PecCod,0)),0))</f>
        <v>0</v>
      </c>
      <c r="I1768" s="32">
        <f>IF($A1768="","",IFERROR(INDEX(OSStatus,MATCH($A1768,OSNum,0)),"OS inexistente"))</f>
        <v>0</v>
      </c>
      <c r="J1768" s="32">
        <f>IF($A1768="","",IF($I1768="OS inexistente","OS inexistente",IF($E1768="Peça não cadastrada","Peça não cadastrada","OK")))</f>
        <v>0</v>
      </c>
    </row>
    <row r="1769" spans="1:10">
      <c r="A1769" s="17"/>
      <c r="B1769" s="13"/>
      <c r="C1769" s="20"/>
      <c r="D1769" s="19"/>
      <c r="E1769" s="26">
        <f>IF($B1769="","",IFERROR(INDEX(PecDesc,MATCH($B1769,PecCod,0)),"Peça não cadastrada"))</f>
        <v>0</v>
      </c>
      <c r="F1769" s="27">
        <f>IF($B1769="","",IF($D1769&lt;&gt;"",$D1769,IFERROR(INDEX(PecPreco,MATCH($B1769,PecCod,0)),0)))</f>
        <v>0</v>
      </c>
      <c r="G1769" s="27">
        <f>IF(OR($B1769="",$C1769=""),"",$C1769*$F1769)</f>
        <v>0</v>
      </c>
      <c r="H1769" s="27">
        <f>IF(OR($B1769="",$C1769=""),"",$C1769*IFERROR(INDEX(PecCusto,MATCH($B1769,PecCod,0)),0))</f>
        <v>0</v>
      </c>
      <c r="I1769" s="32">
        <f>IF($A1769="","",IFERROR(INDEX(OSStatus,MATCH($A1769,OSNum,0)),"OS inexistente"))</f>
        <v>0</v>
      </c>
      <c r="J1769" s="32">
        <f>IF($A1769="","",IF($I1769="OS inexistente","OS inexistente",IF($E1769="Peça não cadastrada","Peça não cadastrada","OK")))</f>
        <v>0</v>
      </c>
    </row>
    <row r="1770" spans="1:10">
      <c r="A1770" s="17"/>
      <c r="B1770" s="13"/>
      <c r="C1770" s="20"/>
      <c r="D1770" s="19"/>
      <c r="E1770" s="26">
        <f>IF($B1770="","",IFERROR(INDEX(PecDesc,MATCH($B1770,PecCod,0)),"Peça não cadastrada"))</f>
        <v>0</v>
      </c>
      <c r="F1770" s="27">
        <f>IF($B1770="","",IF($D1770&lt;&gt;"",$D1770,IFERROR(INDEX(PecPreco,MATCH($B1770,PecCod,0)),0)))</f>
        <v>0</v>
      </c>
      <c r="G1770" s="27">
        <f>IF(OR($B1770="",$C1770=""),"",$C1770*$F1770)</f>
        <v>0</v>
      </c>
      <c r="H1770" s="27">
        <f>IF(OR($B1770="",$C1770=""),"",$C1770*IFERROR(INDEX(PecCusto,MATCH($B1770,PecCod,0)),0))</f>
        <v>0</v>
      </c>
      <c r="I1770" s="32">
        <f>IF($A1770="","",IFERROR(INDEX(OSStatus,MATCH($A1770,OSNum,0)),"OS inexistente"))</f>
        <v>0</v>
      </c>
      <c r="J1770" s="32">
        <f>IF($A1770="","",IF($I1770="OS inexistente","OS inexistente",IF($E1770="Peça não cadastrada","Peça não cadastrada","OK")))</f>
        <v>0</v>
      </c>
    </row>
    <row r="1771" spans="1:10">
      <c r="A1771" s="17"/>
      <c r="B1771" s="13"/>
      <c r="C1771" s="20"/>
      <c r="D1771" s="19"/>
      <c r="E1771" s="26">
        <f>IF($B1771="","",IFERROR(INDEX(PecDesc,MATCH($B1771,PecCod,0)),"Peça não cadastrada"))</f>
        <v>0</v>
      </c>
      <c r="F1771" s="27">
        <f>IF($B1771="","",IF($D1771&lt;&gt;"",$D1771,IFERROR(INDEX(PecPreco,MATCH($B1771,PecCod,0)),0)))</f>
        <v>0</v>
      </c>
      <c r="G1771" s="27">
        <f>IF(OR($B1771="",$C1771=""),"",$C1771*$F1771)</f>
        <v>0</v>
      </c>
      <c r="H1771" s="27">
        <f>IF(OR($B1771="",$C1771=""),"",$C1771*IFERROR(INDEX(PecCusto,MATCH($B1771,PecCod,0)),0))</f>
        <v>0</v>
      </c>
      <c r="I1771" s="32">
        <f>IF($A1771="","",IFERROR(INDEX(OSStatus,MATCH($A1771,OSNum,0)),"OS inexistente"))</f>
        <v>0</v>
      </c>
      <c r="J1771" s="32">
        <f>IF($A1771="","",IF($I1771="OS inexistente","OS inexistente",IF($E1771="Peça não cadastrada","Peça não cadastrada","OK")))</f>
        <v>0</v>
      </c>
    </row>
    <row r="1772" spans="1:10">
      <c r="A1772" s="17"/>
      <c r="B1772" s="13"/>
      <c r="C1772" s="20"/>
      <c r="D1772" s="19"/>
      <c r="E1772" s="26">
        <f>IF($B1772="","",IFERROR(INDEX(PecDesc,MATCH($B1772,PecCod,0)),"Peça não cadastrada"))</f>
        <v>0</v>
      </c>
      <c r="F1772" s="27">
        <f>IF($B1772="","",IF($D1772&lt;&gt;"",$D1772,IFERROR(INDEX(PecPreco,MATCH($B1772,PecCod,0)),0)))</f>
        <v>0</v>
      </c>
      <c r="G1772" s="27">
        <f>IF(OR($B1772="",$C1772=""),"",$C1772*$F1772)</f>
        <v>0</v>
      </c>
      <c r="H1772" s="27">
        <f>IF(OR($B1772="",$C1772=""),"",$C1772*IFERROR(INDEX(PecCusto,MATCH($B1772,PecCod,0)),0))</f>
        <v>0</v>
      </c>
      <c r="I1772" s="32">
        <f>IF($A1772="","",IFERROR(INDEX(OSStatus,MATCH($A1772,OSNum,0)),"OS inexistente"))</f>
        <v>0</v>
      </c>
      <c r="J1772" s="32">
        <f>IF($A1772="","",IF($I1772="OS inexistente","OS inexistente",IF($E1772="Peça não cadastrada","Peça não cadastrada","OK")))</f>
        <v>0</v>
      </c>
    </row>
    <row r="1773" spans="1:10">
      <c r="A1773" s="17"/>
      <c r="B1773" s="13"/>
      <c r="C1773" s="20"/>
      <c r="D1773" s="19"/>
      <c r="E1773" s="26">
        <f>IF($B1773="","",IFERROR(INDEX(PecDesc,MATCH($B1773,PecCod,0)),"Peça não cadastrada"))</f>
        <v>0</v>
      </c>
      <c r="F1773" s="27">
        <f>IF($B1773="","",IF($D1773&lt;&gt;"",$D1773,IFERROR(INDEX(PecPreco,MATCH($B1773,PecCod,0)),0)))</f>
        <v>0</v>
      </c>
      <c r="G1773" s="27">
        <f>IF(OR($B1773="",$C1773=""),"",$C1773*$F1773)</f>
        <v>0</v>
      </c>
      <c r="H1773" s="27">
        <f>IF(OR($B1773="",$C1773=""),"",$C1773*IFERROR(INDEX(PecCusto,MATCH($B1773,PecCod,0)),0))</f>
        <v>0</v>
      </c>
      <c r="I1773" s="32">
        <f>IF($A1773="","",IFERROR(INDEX(OSStatus,MATCH($A1773,OSNum,0)),"OS inexistente"))</f>
        <v>0</v>
      </c>
      <c r="J1773" s="32">
        <f>IF($A1773="","",IF($I1773="OS inexistente","OS inexistente",IF($E1773="Peça não cadastrada","Peça não cadastrada","OK")))</f>
        <v>0</v>
      </c>
    </row>
    <row r="1774" spans="1:10">
      <c r="A1774" s="17"/>
      <c r="B1774" s="13"/>
      <c r="C1774" s="20"/>
      <c r="D1774" s="19"/>
      <c r="E1774" s="26">
        <f>IF($B1774="","",IFERROR(INDEX(PecDesc,MATCH($B1774,PecCod,0)),"Peça não cadastrada"))</f>
        <v>0</v>
      </c>
      <c r="F1774" s="27">
        <f>IF($B1774="","",IF($D1774&lt;&gt;"",$D1774,IFERROR(INDEX(PecPreco,MATCH($B1774,PecCod,0)),0)))</f>
        <v>0</v>
      </c>
      <c r="G1774" s="27">
        <f>IF(OR($B1774="",$C1774=""),"",$C1774*$F1774)</f>
        <v>0</v>
      </c>
      <c r="H1774" s="27">
        <f>IF(OR($B1774="",$C1774=""),"",$C1774*IFERROR(INDEX(PecCusto,MATCH($B1774,PecCod,0)),0))</f>
        <v>0</v>
      </c>
      <c r="I1774" s="32">
        <f>IF($A1774="","",IFERROR(INDEX(OSStatus,MATCH($A1774,OSNum,0)),"OS inexistente"))</f>
        <v>0</v>
      </c>
      <c r="J1774" s="32">
        <f>IF($A1774="","",IF($I1774="OS inexistente","OS inexistente",IF($E1774="Peça não cadastrada","Peça não cadastrada","OK")))</f>
        <v>0</v>
      </c>
    </row>
    <row r="1775" spans="1:10">
      <c r="A1775" s="17"/>
      <c r="B1775" s="13"/>
      <c r="C1775" s="20"/>
      <c r="D1775" s="19"/>
      <c r="E1775" s="26">
        <f>IF($B1775="","",IFERROR(INDEX(PecDesc,MATCH($B1775,PecCod,0)),"Peça não cadastrada"))</f>
        <v>0</v>
      </c>
      <c r="F1775" s="27">
        <f>IF($B1775="","",IF($D1775&lt;&gt;"",$D1775,IFERROR(INDEX(PecPreco,MATCH($B1775,PecCod,0)),0)))</f>
        <v>0</v>
      </c>
      <c r="G1775" s="27">
        <f>IF(OR($B1775="",$C1775=""),"",$C1775*$F1775)</f>
        <v>0</v>
      </c>
      <c r="H1775" s="27">
        <f>IF(OR($B1775="",$C1775=""),"",$C1775*IFERROR(INDEX(PecCusto,MATCH($B1775,PecCod,0)),0))</f>
        <v>0</v>
      </c>
      <c r="I1775" s="32">
        <f>IF($A1775="","",IFERROR(INDEX(OSStatus,MATCH($A1775,OSNum,0)),"OS inexistente"))</f>
        <v>0</v>
      </c>
      <c r="J1775" s="32">
        <f>IF($A1775="","",IF($I1775="OS inexistente","OS inexistente",IF($E1775="Peça não cadastrada","Peça não cadastrada","OK")))</f>
        <v>0</v>
      </c>
    </row>
    <row r="1776" spans="1:10">
      <c r="A1776" s="17"/>
      <c r="B1776" s="13"/>
      <c r="C1776" s="20"/>
      <c r="D1776" s="19"/>
      <c r="E1776" s="26">
        <f>IF($B1776="","",IFERROR(INDEX(PecDesc,MATCH($B1776,PecCod,0)),"Peça não cadastrada"))</f>
        <v>0</v>
      </c>
      <c r="F1776" s="27">
        <f>IF($B1776="","",IF($D1776&lt;&gt;"",$D1776,IFERROR(INDEX(PecPreco,MATCH($B1776,PecCod,0)),0)))</f>
        <v>0</v>
      </c>
      <c r="G1776" s="27">
        <f>IF(OR($B1776="",$C1776=""),"",$C1776*$F1776)</f>
        <v>0</v>
      </c>
      <c r="H1776" s="27">
        <f>IF(OR($B1776="",$C1776=""),"",$C1776*IFERROR(INDEX(PecCusto,MATCH($B1776,PecCod,0)),0))</f>
        <v>0</v>
      </c>
      <c r="I1776" s="32">
        <f>IF($A1776="","",IFERROR(INDEX(OSStatus,MATCH($A1776,OSNum,0)),"OS inexistente"))</f>
        <v>0</v>
      </c>
      <c r="J1776" s="32">
        <f>IF($A1776="","",IF($I1776="OS inexistente","OS inexistente",IF($E1776="Peça não cadastrada","Peça não cadastrada","OK")))</f>
        <v>0</v>
      </c>
    </row>
    <row r="1777" spans="1:10">
      <c r="A1777" s="17"/>
      <c r="B1777" s="13"/>
      <c r="C1777" s="20"/>
      <c r="D1777" s="19"/>
      <c r="E1777" s="26">
        <f>IF($B1777="","",IFERROR(INDEX(PecDesc,MATCH($B1777,PecCod,0)),"Peça não cadastrada"))</f>
        <v>0</v>
      </c>
      <c r="F1777" s="27">
        <f>IF($B1777="","",IF($D1777&lt;&gt;"",$D1777,IFERROR(INDEX(PecPreco,MATCH($B1777,PecCod,0)),0)))</f>
        <v>0</v>
      </c>
      <c r="G1777" s="27">
        <f>IF(OR($B1777="",$C1777=""),"",$C1777*$F1777)</f>
        <v>0</v>
      </c>
      <c r="H1777" s="27">
        <f>IF(OR($B1777="",$C1777=""),"",$C1777*IFERROR(INDEX(PecCusto,MATCH($B1777,PecCod,0)),0))</f>
        <v>0</v>
      </c>
      <c r="I1777" s="32">
        <f>IF($A1777="","",IFERROR(INDEX(OSStatus,MATCH($A1777,OSNum,0)),"OS inexistente"))</f>
        <v>0</v>
      </c>
      <c r="J1777" s="32">
        <f>IF($A1777="","",IF($I1777="OS inexistente","OS inexistente",IF($E1777="Peça não cadastrada","Peça não cadastrada","OK")))</f>
        <v>0</v>
      </c>
    </row>
    <row r="1778" spans="1:10">
      <c r="A1778" s="17"/>
      <c r="B1778" s="13"/>
      <c r="C1778" s="20"/>
      <c r="D1778" s="19"/>
      <c r="E1778" s="26">
        <f>IF($B1778="","",IFERROR(INDEX(PecDesc,MATCH($B1778,PecCod,0)),"Peça não cadastrada"))</f>
        <v>0</v>
      </c>
      <c r="F1778" s="27">
        <f>IF($B1778="","",IF($D1778&lt;&gt;"",$D1778,IFERROR(INDEX(PecPreco,MATCH($B1778,PecCod,0)),0)))</f>
        <v>0</v>
      </c>
      <c r="G1778" s="27">
        <f>IF(OR($B1778="",$C1778=""),"",$C1778*$F1778)</f>
        <v>0</v>
      </c>
      <c r="H1778" s="27">
        <f>IF(OR($B1778="",$C1778=""),"",$C1778*IFERROR(INDEX(PecCusto,MATCH($B1778,PecCod,0)),0))</f>
        <v>0</v>
      </c>
      <c r="I1778" s="32">
        <f>IF($A1778="","",IFERROR(INDEX(OSStatus,MATCH($A1778,OSNum,0)),"OS inexistente"))</f>
        <v>0</v>
      </c>
      <c r="J1778" s="32">
        <f>IF($A1778="","",IF($I1778="OS inexistente","OS inexistente",IF($E1778="Peça não cadastrada","Peça não cadastrada","OK")))</f>
        <v>0</v>
      </c>
    </row>
    <row r="1779" spans="1:10">
      <c r="A1779" s="17"/>
      <c r="B1779" s="13"/>
      <c r="C1779" s="20"/>
      <c r="D1779" s="19"/>
      <c r="E1779" s="26">
        <f>IF($B1779="","",IFERROR(INDEX(PecDesc,MATCH($B1779,PecCod,0)),"Peça não cadastrada"))</f>
        <v>0</v>
      </c>
      <c r="F1779" s="27">
        <f>IF($B1779="","",IF($D1779&lt;&gt;"",$D1779,IFERROR(INDEX(PecPreco,MATCH($B1779,PecCod,0)),0)))</f>
        <v>0</v>
      </c>
      <c r="G1779" s="27">
        <f>IF(OR($B1779="",$C1779=""),"",$C1779*$F1779)</f>
        <v>0</v>
      </c>
      <c r="H1779" s="27">
        <f>IF(OR($B1779="",$C1779=""),"",$C1779*IFERROR(INDEX(PecCusto,MATCH($B1779,PecCod,0)),0))</f>
        <v>0</v>
      </c>
      <c r="I1779" s="32">
        <f>IF($A1779="","",IFERROR(INDEX(OSStatus,MATCH($A1779,OSNum,0)),"OS inexistente"))</f>
        <v>0</v>
      </c>
      <c r="J1779" s="32">
        <f>IF($A1779="","",IF($I1779="OS inexistente","OS inexistente",IF($E1779="Peça não cadastrada","Peça não cadastrada","OK")))</f>
        <v>0</v>
      </c>
    </row>
    <row r="1780" spans="1:10">
      <c r="A1780" s="17"/>
      <c r="B1780" s="13"/>
      <c r="C1780" s="20"/>
      <c r="D1780" s="19"/>
      <c r="E1780" s="26">
        <f>IF($B1780="","",IFERROR(INDEX(PecDesc,MATCH($B1780,PecCod,0)),"Peça não cadastrada"))</f>
        <v>0</v>
      </c>
      <c r="F1780" s="27">
        <f>IF($B1780="","",IF($D1780&lt;&gt;"",$D1780,IFERROR(INDEX(PecPreco,MATCH($B1780,PecCod,0)),0)))</f>
        <v>0</v>
      </c>
      <c r="G1780" s="27">
        <f>IF(OR($B1780="",$C1780=""),"",$C1780*$F1780)</f>
        <v>0</v>
      </c>
      <c r="H1780" s="27">
        <f>IF(OR($B1780="",$C1780=""),"",$C1780*IFERROR(INDEX(PecCusto,MATCH($B1780,PecCod,0)),0))</f>
        <v>0</v>
      </c>
      <c r="I1780" s="32">
        <f>IF($A1780="","",IFERROR(INDEX(OSStatus,MATCH($A1780,OSNum,0)),"OS inexistente"))</f>
        <v>0</v>
      </c>
      <c r="J1780" s="32">
        <f>IF($A1780="","",IF($I1780="OS inexistente","OS inexistente",IF($E1780="Peça não cadastrada","Peça não cadastrada","OK")))</f>
        <v>0</v>
      </c>
    </row>
    <row r="1781" spans="1:10">
      <c r="A1781" s="17"/>
      <c r="B1781" s="13"/>
      <c r="C1781" s="20"/>
      <c r="D1781" s="19"/>
      <c r="E1781" s="26">
        <f>IF($B1781="","",IFERROR(INDEX(PecDesc,MATCH($B1781,PecCod,0)),"Peça não cadastrada"))</f>
        <v>0</v>
      </c>
      <c r="F1781" s="27">
        <f>IF($B1781="","",IF($D1781&lt;&gt;"",$D1781,IFERROR(INDEX(PecPreco,MATCH($B1781,PecCod,0)),0)))</f>
        <v>0</v>
      </c>
      <c r="G1781" s="27">
        <f>IF(OR($B1781="",$C1781=""),"",$C1781*$F1781)</f>
        <v>0</v>
      </c>
      <c r="H1781" s="27">
        <f>IF(OR($B1781="",$C1781=""),"",$C1781*IFERROR(INDEX(PecCusto,MATCH($B1781,PecCod,0)),0))</f>
        <v>0</v>
      </c>
      <c r="I1781" s="32">
        <f>IF($A1781="","",IFERROR(INDEX(OSStatus,MATCH($A1781,OSNum,0)),"OS inexistente"))</f>
        <v>0</v>
      </c>
      <c r="J1781" s="32">
        <f>IF($A1781="","",IF($I1781="OS inexistente","OS inexistente",IF($E1781="Peça não cadastrada","Peça não cadastrada","OK")))</f>
        <v>0</v>
      </c>
    </row>
    <row r="1782" spans="1:10">
      <c r="A1782" s="17"/>
      <c r="B1782" s="13"/>
      <c r="C1782" s="20"/>
      <c r="D1782" s="19"/>
      <c r="E1782" s="26">
        <f>IF($B1782="","",IFERROR(INDEX(PecDesc,MATCH($B1782,PecCod,0)),"Peça não cadastrada"))</f>
        <v>0</v>
      </c>
      <c r="F1782" s="27">
        <f>IF($B1782="","",IF($D1782&lt;&gt;"",$D1782,IFERROR(INDEX(PecPreco,MATCH($B1782,PecCod,0)),0)))</f>
        <v>0</v>
      </c>
      <c r="G1782" s="27">
        <f>IF(OR($B1782="",$C1782=""),"",$C1782*$F1782)</f>
        <v>0</v>
      </c>
      <c r="H1782" s="27">
        <f>IF(OR($B1782="",$C1782=""),"",$C1782*IFERROR(INDEX(PecCusto,MATCH($B1782,PecCod,0)),0))</f>
        <v>0</v>
      </c>
      <c r="I1782" s="32">
        <f>IF($A1782="","",IFERROR(INDEX(OSStatus,MATCH($A1782,OSNum,0)),"OS inexistente"))</f>
        <v>0</v>
      </c>
      <c r="J1782" s="32">
        <f>IF($A1782="","",IF($I1782="OS inexistente","OS inexistente",IF($E1782="Peça não cadastrada","Peça não cadastrada","OK")))</f>
        <v>0</v>
      </c>
    </row>
    <row r="1783" spans="1:10">
      <c r="A1783" s="17"/>
      <c r="B1783" s="13"/>
      <c r="C1783" s="20"/>
      <c r="D1783" s="19"/>
      <c r="E1783" s="26">
        <f>IF($B1783="","",IFERROR(INDEX(PecDesc,MATCH($B1783,PecCod,0)),"Peça não cadastrada"))</f>
        <v>0</v>
      </c>
      <c r="F1783" s="27">
        <f>IF($B1783="","",IF($D1783&lt;&gt;"",$D1783,IFERROR(INDEX(PecPreco,MATCH($B1783,PecCod,0)),0)))</f>
        <v>0</v>
      </c>
      <c r="G1783" s="27">
        <f>IF(OR($B1783="",$C1783=""),"",$C1783*$F1783)</f>
        <v>0</v>
      </c>
      <c r="H1783" s="27">
        <f>IF(OR($B1783="",$C1783=""),"",$C1783*IFERROR(INDEX(PecCusto,MATCH($B1783,PecCod,0)),0))</f>
        <v>0</v>
      </c>
      <c r="I1783" s="32">
        <f>IF($A1783="","",IFERROR(INDEX(OSStatus,MATCH($A1783,OSNum,0)),"OS inexistente"))</f>
        <v>0</v>
      </c>
      <c r="J1783" s="32">
        <f>IF($A1783="","",IF($I1783="OS inexistente","OS inexistente",IF($E1783="Peça não cadastrada","Peça não cadastrada","OK")))</f>
        <v>0</v>
      </c>
    </row>
    <row r="1784" spans="1:10">
      <c r="A1784" s="17"/>
      <c r="B1784" s="13"/>
      <c r="C1784" s="20"/>
      <c r="D1784" s="19"/>
      <c r="E1784" s="26">
        <f>IF($B1784="","",IFERROR(INDEX(PecDesc,MATCH($B1784,PecCod,0)),"Peça não cadastrada"))</f>
        <v>0</v>
      </c>
      <c r="F1784" s="27">
        <f>IF($B1784="","",IF($D1784&lt;&gt;"",$D1784,IFERROR(INDEX(PecPreco,MATCH($B1784,PecCod,0)),0)))</f>
        <v>0</v>
      </c>
      <c r="G1784" s="27">
        <f>IF(OR($B1784="",$C1784=""),"",$C1784*$F1784)</f>
        <v>0</v>
      </c>
      <c r="H1784" s="27">
        <f>IF(OR($B1784="",$C1784=""),"",$C1784*IFERROR(INDEX(PecCusto,MATCH($B1784,PecCod,0)),0))</f>
        <v>0</v>
      </c>
      <c r="I1784" s="32">
        <f>IF($A1784="","",IFERROR(INDEX(OSStatus,MATCH($A1784,OSNum,0)),"OS inexistente"))</f>
        <v>0</v>
      </c>
      <c r="J1784" s="32">
        <f>IF($A1784="","",IF($I1784="OS inexistente","OS inexistente",IF($E1784="Peça não cadastrada","Peça não cadastrada","OK")))</f>
        <v>0</v>
      </c>
    </row>
    <row r="1785" spans="1:10">
      <c r="A1785" s="17"/>
      <c r="B1785" s="13"/>
      <c r="C1785" s="20"/>
      <c r="D1785" s="19"/>
      <c r="E1785" s="26">
        <f>IF($B1785="","",IFERROR(INDEX(PecDesc,MATCH($B1785,PecCod,0)),"Peça não cadastrada"))</f>
        <v>0</v>
      </c>
      <c r="F1785" s="27">
        <f>IF($B1785="","",IF($D1785&lt;&gt;"",$D1785,IFERROR(INDEX(PecPreco,MATCH($B1785,PecCod,0)),0)))</f>
        <v>0</v>
      </c>
      <c r="G1785" s="27">
        <f>IF(OR($B1785="",$C1785=""),"",$C1785*$F1785)</f>
        <v>0</v>
      </c>
      <c r="H1785" s="27">
        <f>IF(OR($B1785="",$C1785=""),"",$C1785*IFERROR(INDEX(PecCusto,MATCH($B1785,PecCod,0)),0))</f>
        <v>0</v>
      </c>
      <c r="I1785" s="32">
        <f>IF($A1785="","",IFERROR(INDEX(OSStatus,MATCH($A1785,OSNum,0)),"OS inexistente"))</f>
        <v>0</v>
      </c>
      <c r="J1785" s="32">
        <f>IF($A1785="","",IF($I1785="OS inexistente","OS inexistente",IF($E1785="Peça não cadastrada","Peça não cadastrada","OK")))</f>
        <v>0</v>
      </c>
    </row>
    <row r="1786" spans="1:10">
      <c r="A1786" s="17"/>
      <c r="B1786" s="13"/>
      <c r="C1786" s="20"/>
      <c r="D1786" s="19"/>
      <c r="E1786" s="26">
        <f>IF($B1786="","",IFERROR(INDEX(PecDesc,MATCH($B1786,PecCod,0)),"Peça não cadastrada"))</f>
        <v>0</v>
      </c>
      <c r="F1786" s="27">
        <f>IF($B1786="","",IF($D1786&lt;&gt;"",$D1786,IFERROR(INDEX(PecPreco,MATCH($B1786,PecCod,0)),0)))</f>
        <v>0</v>
      </c>
      <c r="G1786" s="27">
        <f>IF(OR($B1786="",$C1786=""),"",$C1786*$F1786)</f>
        <v>0</v>
      </c>
      <c r="H1786" s="27">
        <f>IF(OR($B1786="",$C1786=""),"",$C1786*IFERROR(INDEX(PecCusto,MATCH($B1786,PecCod,0)),0))</f>
        <v>0</v>
      </c>
      <c r="I1786" s="32">
        <f>IF($A1786="","",IFERROR(INDEX(OSStatus,MATCH($A1786,OSNum,0)),"OS inexistente"))</f>
        <v>0</v>
      </c>
      <c r="J1786" s="32">
        <f>IF($A1786="","",IF($I1786="OS inexistente","OS inexistente",IF($E1786="Peça não cadastrada","Peça não cadastrada","OK")))</f>
        <v>0</v>
      </c>
    </row>
    <row r="1787" spans="1:10">
      <c r="A1787" s="17"/>
      <c r="B1787" s="13"/>
      <c r="C1787" s="20"/>
      <c r="D1787" s="19"/>
      <c r="E1787" s="26">
        <f>IF($B1787="","",IFERROR(INDEX(PecDesc,MATCH($B1787,PecCod,0)),"Peça não cadastrada"))</f>
        <v>0</v>
      </c>
      <c r="F1787" s="27">
        <f>IF($B1787="","",IF($D1787&lt;&gt;"",$D1787,IFERROR(INDEX(PecPreco,MATCH($B1787,PecCod,0)),0)))</f>
        <v>0</v>
      </c>
      <c r="G1787" s="27">
        <f>IF(OR($B1787="",$C1787=""),"",$C1787*$F1787)</f>
        <v>0</v>
      </c>
      <c r="H1787" s="27">
        <f>IF(OR($B1787="",$C1787=""),"",$C1787*IFERROR(INDEX(PecCusto,MATCH($B1787,PecCod,0)),0))</f>
        <v>0</v>
      </c>
      <c r="I1787" s="32">
        <f>IF($A1787="","",IFERROR(INDEX(OSStatus,MATCH($A1787,OSNum,0)),"OS inexistente"))</f>
        <v>0</v>
      </c>
      <c r="J1787" s="32">
        <f>IF($A1787="","",IF($I1787="OS inexistente","OS inexistente",IF($E1787="Peça não cadastrada","Peça não cadastrada","OK")))</f>
        <v>0</v>
      </c>
    </row>
    <row r="1788" spans="1:10">
      <c r="A1788" s="17"/>
      <c r="B1788" s="13"/>
      <c r="C1788" s="20"/>
      <c r="D1788" s="19"/>
      <c r="E1788" s="26">
        <f>IF($B1788="","",IFERROR(INDEX(PecDesc,MATCH($B1788,PecCod,0)),"Peça não cadastrada"))</f>
        <v>0</v>
      </c>
      <c r="F1788" s="27">
        <f>IF($B1788="","",IF($D1788&lt;&gt;"",$D1788,IFERROR(INDEX(PecPreco,MATCH($B1788,PecCod,0)),0)))</f>
        <v>0</v>
      </c>
      <c r="G1788" s="27">
        <f>IF(OR($B1788="",$C1788=""),"",$C1788*$F1788)</f>
        <v>0</v>
      </c>
      <c r="H1788" s="27">
        <f>IF(OR($B1788="",$C1788=""),"",$C1788*IFERROR(INDEX(PecCusto,MATCH($B1788,PecCod,0)),0))</f>
        <v>0</v>
      </c>
      <c r="I1788" s="32">
        <f>IF($A1788="","",IFERROR(INDEX(OSStatus,MATCH($A1788,OSNum,0)),"OS inexistente"))</f>
        <v>0</v>
      </c>
      <c r="J1788" s="32">
        <f>IF($A1788="","",IF($I1788="OS inexistente","OS inexistente",IF($E1788="Peça não cadastrada","Peça não cadastrada","OK")))</f>
        <v>0</v>
      </c>
    </row>
    <row r="1789" spans="1:10">
      <c r="A1789" s="17"/>
      <c r="B1789" s="13"/>
      <c r="C1789" s="20"/>
      <c r="D1789" s="19"/>
      <c r="E1789" s="26">
        <f>IF($B1789="","",IFERROR(INDEX(PecDesc,MATCH($B1789,PecCod,0)),"Peça não cadastrada"))</f>
        <v>0</v>
      </c>
      <c r="F1789" s="27">
        <f>IF($B1789="","",IF($D1789&lt;&gt;"",$D1789,IFERROR(INDEX(PecPreco,MATCH($B1789,PecCod,0)),0)))</f>
        <v>0</v>
      </c>
      <c r="G1789" s="27">
        <f>IF(OR($B1789="",$C1789=""),"",$C1789*$F1789)</f>
        <v>0</v>
      </c>
      <c r="H1789" s="27">
        <f>IF(OR($B1789="",$C1789=""),"",$C1789*IFERROR(INDEX(PecCusto,MATCH($B1789,PecCod,0)),0))</f>
        <v>0</v>
      </c>
      <c r="I1789" s="32">
        <f>IF($A1789="","",IFERROR(INDEX(OSStatus,MATCH($A1789,OSNum,0)),"OS inexistente"))</f>
        <v>0</v>
      </c>
      <c r="J1789" s="32">
        <f>IF($A1789="","",IF($I1789="OS inexistente","OS inexistente",IF($E1789="Peça não cadastrada","Peça não cadastrada","OK")))</f>
        <v>0</v>
      </c>
    </row>
    <row r="1790" spans="1:10">
      <c r="A1790" s="17"/>
      <c r="B1790" s="13"/>
      <c r="C1790" s="20"/>
      <c r="D1790" s="19"/>
      <c r="E1790" s="26">
        <f>IF($B1790="","",IFERROR(INDEX(PecDesc,MATCH($B1790,PecCod,0)),"Peça não cadastrada"))</f>
        <v>0</v>
      </c>
      <c r="F1790" s="27">
        <f>IF($B1790="","",IF($D1790&lt;&gt;"",$D1790,IFERROR(INDEX(PecPreco,MATCH($B1790,PecCod,0)),0)))</f>
        <v>0</v>
      </c>
      <c r="G1790" s="27">
        <f>IF(OR($B1790="",$C1790=""),"",$C1790*$F1790)</f>
        <v>0</v>
      </c>
      <c r="H1790" s="27">
        <f>IF(OR($B1790="",$C1790=""),"",$C1790*IFERROR(INDEX(PecCusto,MATCH($B1790,PecCod,0)),0))</f>
        <v>0</v>
      </c>
      <c r="I1790" s="32">
        <f>IF($A1790="","",IFERROR(INDEX(OSStatus,MATCH($A1790,OSNum,0)),"OS inexistente"))</f>
        <v>0</v>
      </c>
      <c r="J1790" s="32">
        <f>IF($A1790="","",IF($I1790="OS inexistente","OS inexistente",IF($E1790="Peça não cadastrada","Peça não cadastrada","OK")))</f>
        <v>0</v>
      </c>
    </row>
    <row r="1791" spans="1:10">
      <c r="A1791" s="17"/>
      <c r="B1791" s="13"/>
      <c r="C1791" s="20"/>
      <c r="D1791" s="19"/>
      <c r="E1791" s="26">
        <f>IF($B1791="","",IFERROR(INDEX(PecDesc,MATCH($B1791,PecCod,0)),"Peça não cadastrada"))</f>
        <v>0</v>
      </c>
      <c r="F1791" s="27">
        <f>IF($B1791="","",IF($D1791&lt;&gt;"",$D1791,IFERROR(INDEX(PecPreco,MATCH($B1791,PecCod,0)),0)))</f>
        <v>0</v>
      </c>
      <c r="G1791" s="27">
        <f>IF(OR($B1791="",$C1791=""),"",$C1791*$F1791)</f>
        <v>0</v>
      </c>
      <c r="H1791" s="27">
        <f>IF(OR($B1791="",$C1791=""),"",$C1791*IFERROR(INDEX(PecCusto,MATCH($B1791,PecCod,0)),0))</f>
        <v>0</v>
      </c>
      <c r="I1791" s="32">
        <f>IF($A1791="","",IFERROR(INDEX(OSStatus,MATCH($A1791,OSNum,0)),"OS inexistente"))</f>
        <v>0</v>
      </c>
      <c r="J1791" s="32">
        <f>IF($A1791="","",IF($I1791="OS inexistente","OS inexistente",IF($E1791="Peça não cadastrada","Peça não cadastrada","OK")))</f>
        <v>0</v>
      </c>
    </row>
    <row r="1792" spans="1:10">
      <c r="A1792" s="17"/>
      <c r="B1792" s="13"/>
      <c r="C1792" s="20"/>
      <c r="D1792" s="19"/>
      <c r="E1792" s="26">
        <f>IF($B1792="","",IFERROR(INDEX(PecDesc,MATCH($B1792,PecCod,0)),"Peça não cadastrada"))</f>
        <v>0</v>
      </c>
      <c r="F1792" s="27">
        <f>IF($B1792="","",IF($D1792&lt;&gt;"",$D1792,IFERROR(INDEX(PecPreco,MATCH($B1792,PecCod,0)),0)))</f>
        <v>0</v>
      </c>
      <c r="G1792" s="27">
        <f>IF(OR($B1792="",$C1792=""),"",$C1792*$F1792)</f>
        <v>0</v>
      </c>
      <c r="H1792" s="27">
        <f>IF(OR($B1792="",$C1792=""),"",$C1792*IFERROR(INDEX(PecCusto,MATCH($B1792,PecCod,0)),0))</f>
        <v>0</v>
      </c>
      <c r="I1792" s="32">
        <f>IF($A1792="","",IFERROR(INDEX(OSStatus,MATCH($A1792,OSNum,0)),"OS inexistente"))</f>
        <v>0</v>
      </c>
      <c r="J1792" s="32">
        <f>IF($A1792="","",IF($I1792="OS inexistente","OS inexistente",IF($E1792="Peça não cadastrada","Peça não cadastrada","OK")))</f>
        <v>0</v>
      </c>
    </row>
    <row r="1793" spans="1:10">
      <c r="A1793" s="17"/>
      <c r="B1793" s="13"/>
      <c r="C1793" s="20"/>
      <c r="D1793" s="19"/>
      <c r="E1793" s="26">
        <f>IF($B1793="","",IFERROR(INDEX(PecDesc,MATCH($B1793,PecCod,0)),"Peça não cadastrada"))</f>
        <v>0</v>
      </c>
      <c r="F1793" s="27">
        <f>IF($B1793="","",IF($D1793&lt;&gt;"",$D1793,IFERROR(INDEX(PecPreco,MATCH($B1793,PecCod,0)),0)))</f>
        <v>0</v>
      </c>
      <c r="G1793" s="27">
        <f>IF(OR($B1793="",$C1793=""),"",$C1793*$F1793)</f>
        <v>0</v>
      </c>
      <c r="H1793" s="27">
        <f>IF(OR($B1793="",$C1793=""),"",$C1793*IFERROR(INDEX(PecCusto,MATCH($B1793,PecCod,0)),0))</f>
        <v>0</v>
      </c>
      <c r="I1793" s="32">
        <f>IF($A1793="","",IFERROR(INDEX(OSStatus,MATCH($A1793,OSNum,0)),"OS inexistente"))</f>
        <v>0</v>
      </c>
      <c r="J1793" s="32">
        <f>IF($A1793="","",IF($I1793="OS inexistente","OS inexistente",IF($E1793="Peça não cadastrada","Peça não cadastrada","OK")))</f>
        <v>0</v>
      </c>
    </row>
    <row r="1794" spans="1:10">
      <c r="A1794" s="17"/>
      <c r="B1794" s="13"/>
      <c r="C1794" s="20"/>
      <c r="D1794" s="19"/>
      <c r="E1794" s="26">
        <f>IF($B1794="","",IFERROR(INDEX(PecDesc,MATCH($B1794,PecCod,0)),"Peça não cadastrada"))</f>
        <v>0</v>
      </c>
      <c r="F1794" s="27">
        <f>IF($B1794="","",IF($D1794&lt;&gt;"",$D1794,IFERROR(INDEX(PecPreco,MATCH($B1794,PecCod,0)),0)))</f>
        <v>0</v>
      </c>
      <c r="G1794" s="27">
        <f>IF(OR($B1794="",$C1794=""),"",$C1794*$F1794)</f>
        <v>0</v>
      </c>
      <c r="H1794" s="27">
        <f>IF(OR($B1794="",$C1794=""),"",$C1794*IFERROR(INDEX(PecCusto,MATCH($B1794,PecCod,0)),0))</f>
        <v>0</v>
      </c>
      <c r="I1794" s="32">
        <f>IF($A1794="","",IFERROR(INDEX(OSStatus,MATCH($A1794,OSNum,0)),"OS inexistente"))</f>
        <v>0</v>
      </c>
      <c r="J1794" s="32">
        <f>IF($A1794="","",IF($I1794="OS inexistente","OS inexistente",IF($E1794="Peça não cadastrada","Peça não cadastrada","OK")))</f>
        <v>0</v>
      </c>
    </row>
    <row r="1795" spans="1:10">
      <c r="A1795" s="17"/>
      <c r="B1795" s="13"/>
      <c r="C1795" s="20"/>
      <c r="D1795" s="19"/>
      <c r="E1795" s="26">
        <f>IF($B1795="","",IFERROR(INDEX(PecDesc,MATCH($B1795,PecCod,0)),"Peça não cadastrada"))</f>
        <v>0</v>
      </c>
      <c r="F1795" s="27">
        <f>IF($B1795="","",IF($D1795&lt;&gt;"",$D1795,IFERROR(INDEX(PecPreco,MATCH($B1795,PecCod,0)),0)))</f>
        <v>0</v>
      </c>
      <c r="G1795" s="27">
        <f>IF(OR($B1795="",$C1795=""),"",$C1795*$F1795)</f>
        <v>0</v>
      </c>
      <c r="H1795" s="27">
        <f>IF(OR($B1795="",$C1795=""),"",$C1795*IFERROR(INDEX(PecCusto,MATCH($B1795,PecCod,0)),0))</f>
        <v>0</v>
      </c>
      <c r="I1795" s="32">
        <f>IF($A1795="","",IFERROR(INDEX(OSStatus,MATCH($A1795,OSNum,0)),"OS inexistente"))</f>
        <v>0</v>
      </c>
      <c r="J1795" s="32">
        <f>IF($A1795="","",IF($I1795="OS inexistente","OS inexistente",IF($E1795="Peça não cadastrada","Peça não cadastrada","OK")))</f>
        <v>0</v>
      </c>
    </row>
    <row r="1796" spans="1:10">
      <c r="A1796" s="17"/>
      <c r="B1796" s="13"/>
      <c r="C1796" s="20"/>
      <c r="D1796" s="19"/>
      <c r="E1796" s="26">
        <f>IF($B1796="","",IFERROR(INDEX(PecDesc,MATCH($B1796,PecCod,0)),"Peça não cadastrada"))</f>
        <v>0</v>
      </c>
      <c r="F1796" s="27">
        <f>IF($B1796="","",IF($D1796&lt;&gt;"",$D1796,IFERROR(INDEX(PecPreco,MATCH($B1796,PecCod,0)),0)))</f>
        <v>0</v>
      </c>
      <c r="G1796" s="27">
        <f>IF(OR($B1796="",$C1796=""),"",$C1796*$F1796)</f>
        <v>0</v>
      </c>
      <c r="H1796" s="27">
        <f>IF(OR($B1796="",$C1796=""),"",$C1796*IFERROR(INDEX(PecCusto,MATCH($B1796,PecCod,0)),0))</f>
        <v>0</v>
      </c>
      <c r="I1796" s="32">
        <f>IF($A1796="","",IFERROR(INDEX(OSStatus,MATCH($A1796,OSNum,0)),"OS inexistente"))</f>
        <v>0</v>
      </c>
      <c r="J1796" s="32">
        <f>IF($A1796="","",IF($I1796="OS inexistente","OS inexistente",IF($E1796="Peça não cadastrada","Peça não cadastrada","OK")))</f>
        <v>0</v>
      </c>
    </row>
    <row r="1797" spans="1:10">
      <c r="A1797" s="17"/>
      <c r="B1797" s="13"/>
      <c r="C1797" s="20"/>
      <c r="D1797" s="19"/>
      <c r="E1797" s="26">
        <f>IF($B1797="","",IFERROR(INDEX(PecDesc,MATCH($B1797,PecCod,0)),"Peça não cadastrada"))</f>
        <v>0</v>
      </c>
      <c r="F1797" s="27">
        <f>IF($B1797="","",IF($D1797&lt;&gt;"",$D1797,IFERROR(INDEX(PecPreco,MATCH($B1797,PecCod,0)),0)))</f>
        <v>0</v>
      </c>
      <c r="G1797" s="27">
        <f>IF(OR($B1797="",$C1797=""),"",$C1797*$F1797)</f>
        <v>0</v>
      </c>
      <c r="H1797" s="27">
        <f>IF(OR($B1797="",$C1797=""),"",$C1797*IFERROR(INDEX(PecCusto,MATCH($B1797,PecCod,0)),0))</f>
        <v>0</v>
      </c>
      <c r="I1797" s="32">
        <f>IF($A1797="","",IFERROR(INDEX(OSStatus,MATCH($A1797,OSNum,0)),"OS inexistente"))</f>
        <v>0</v>
      </c>
      <c r="J1797" s="32">
        <f>IF($A1797="","",IF($I1797="OS inexistente","OS inexistente",IF($E1797="Peça não cadastrada","Peça não cadastrada","OK")))</f>
        <v>0</v>
      </c>
    </row>
    <row r="1798" spans="1:10">
      <c r="A1798" s="17"/>
      <c r="B1798" s="13"/>
      <c r="C1798" s="20"/>
      <c r="D1798" s="19"/>
      <c r="E1798" s="26">
        <f>IF($B1798="","",IFERROR(INDEX(PecDesc,MATCH($B1798,PecCod,0)),"Peça não cadastrada"))</f>
        <v>0</v>
      </c>
      <c r="F1798" s="27">
        <f>IF($B1798="","",IF($D1798&lt;&gt;"",$D1798,IFERROR(INDEX(PecPreco,MATCH($B1798,PecCod,0)),0)))</f>
        <v>0</v>
      </c>
      <c r="G1798" s="27">
        <f>IF(OR($B1798="",$C1798=""),"",$C1798*$F1798)</f>
        <v>0</v>
      </c>
      <c r="H1798" s="27">
        <f>IF(OR($B1798="",$C1798=""),"",$C1798*IFERROR(INDEX(PecCusto,MATCH($B1798,PecCod,0)),0))</f>
        <v>0</v>
      </c>
      <c r="I1798" s="32">
        <f>IF($A1798="","",IFERROR(INDEX(OSStatus,MATCH($A1798,OSNum,0)),"OS inexistente"))</f>
        <v>0</v>
      </c>
      <c r="J1798" s="32">
        <f>IF($A1798="","",IF($I1798="OS inexistente","OS inexistente",IF($E1798="Peça não cadastrada","Peça não cadastrada","OK")))</f>
        <v>0</v>
      </c>
    </row>
    <row r="1799" spans="1:10">
      <c r="A1799" s="17"/>
      <c r="B1799" s="13"/>
      <c r="C1799" s="20"/>
      <c r="D1799" s="19"/>
      <c r="E1799" s="26">
        <f>IF($B1799="","",IFERROR(INDEX(PecDesc,MATCH($B1799,PecCod,0)),"Peça não cadastrada"))</f>
        <v>0</v>
      </c>
      <c r="F1799" s="27">
        <f>IF($B1799="","",IF($D1799&lt;&gt;"",$D1799,IFERROR(INDEX(PecPreco,MATCH($B1799,PecCod,0)),0)))</f>
        <v>0</v>
      </c>
      <c r="G1799" s="27">
        <f>IF(OR($B1799="",$C1799=""),"",$C1799*$F1799)</f>
        <v>0</v>
      </c>
      <c r="H1799" s="27">
        <f>IF(OR($B1799="",$C1799=""),"",$C1799*IFERROR(INDEX(PecCusto,MATCH($B1799,PecCod,0)),0))</f>
        <v>0</v>
      </c>
      <c r="I1799" s="32">
        <f>IF($A1799="","",IFERROR(INDEX(OSStatus,MATCH($A1799,OSNum,0)),"OS inexistente"))</f>
        <v>0</v>
      </c>
      <c r="J1799" s="32">
        <f>IF($A1799="","",IF($I1799="OS inexistente","OS inexistente",IF($E1799="Peça não cadastrada","Peça não cadastrada","OK")))</f>
        <v>0</v>
      </c>
    </row>
    <row r="1800" spans="1:10">
      <c r="A1800" s="17"/>
      <c r="B1800" s="13"/>
      <c r="C1800" s="20"/>
      <c r="D1800" s="19"/>
      <c r="E1800" s="26">
        <f>IF($B1800="","",IFERROR(INDEX(PecDesc,MATCH($B1800,PecCod,0)),"Peça não cadastrada"))</f>
        <v>0</v>
      </c>
      <c r="F1800" s="27">
        <f>IF($B1800="","",IF($D1800&lt;&gt;"",$D1800,IFERROR(INDEX(PecPreco,MATCH($B1800,PecCod,0)),0)))</f>
        <v>0</v>
      </c>
      <c r="G1800" s="27">
        <f>IF(OR($B1800="",$C1800=""),"",$C1800*$F1800)</f>
        <v>0</v>
      </c>
      <c r="H1800" s="27">
        <f>IF(OR($B1800="",$C1800=""),"",$C1800*IFERROR(INDEX(PecCusto,MATCH($B1800,PecCod,0)),0))</f>
        <v>0</v>
      </c>
      <c r="I1800" s="32">
        <f>IF($A1800="","",IFERROR(INDEX(OSStatus,MATCH($A1800,OSNum,0)),"OS inexistente"))</f>
        <v>0</v>
      </c>
      <c r="J1800" s="32">
        <f>IF($A1800="","",IF($I1800="OS inexistente","OS inexistente",IF($E1800="Peça não cadastrada","Peça não cadastrada","OK")))</f>
        <v>0</v>
      </c>
    </row>
    <row r="1801" spans="1:10">
      <c r="A1801" s="17"/>
      <c r="B1801" s="13"/>
      <c r="C1801" s="20"/>
      <c r="D1801" s="19"/>
      <c r="E1801" s="26">
        <f>IF($B1801="","",IFERROR(INDEX(PecDesc,MATCH($B1801,PecCod,0)),"Peça não cadastrada"))</f>
        <v>0</v>
      </c>
      <c r="F1801" s="27">
        <f>IF($B1801="","",IF($D1801&lt;&gt;"",$D1801,IFERROR(INDEX(PecPreco,MATCH($B1801,PecCod,0)),0)))</f>
        <v>0</v>
      </c>
      <c r="G1801" s="27">
        <f>IF(OR($B1801="",$C1801=""),"",$C1801*$F1801)</f>
        <v>0</v>
      </c>
      <c r="H1801" s="27">
        <f>IF(OR($B1801="",$C1801=""),"",$C1801*IFERROR(INDEX(PecCusto,MATCH($B1801,PecCod,0)),0))</f>
        <v>0</v>
      </c>
      <c r="I1801" s="32">
        <f>IF($A1801="","",IFERROR(INDEX(OSStatus,MATCH($A1801,OSNum,0)),"OS inexistente"))</f>
        <v>0</v>
      </c>
      <c r="J1801" s="32">
        <f>IF($A1801="","",IF($I1801="OS inexistente","OS inexistente",IF($E1801="Peça não cadastrada","Peça não cadastrada","OK")))</f>
        <v>0</v>
      </c>
    </row>
    <row r="1802" spans="1:10">
      <c r="A1802" s="17"/>
      <c r="B1802" s="13"/>
      <c r="C1802" s="20"/>
      <c r="D1802" s="19"/>
      <c r="E1802" s="26">
        <f>IF($B1802="","",IFERROR(INDEX(PecDesc,MATCH($B1802,PecCod,0)),"Peça não cadastrada"))</f>
        <v>0</v>
      </c>
      <c r="F1802" s="27">
        <f>IF($B1802="","",IF($D1802&lt;&gt;"",$D1802,IFERROR(INDEX(PecPreco,MATCH($B1802,PecCod,0)),0)))</f>
        <v>0</v>
      </c>
      <c r="G1802" s="27">
        <f>IF(OR($B1802="",$C1802=""),"",$C1802*$F1802)</f>
        <v>0</v>
      </c>
      <c r="H1802" s="27">
        <f>IF(OR($B1802="",$C1802=""),"",$C1802*IFERROR(INDEX(PecCusto,MATCH($B1802,PecCod,0)),0))</f>
        <v>0</v>
      </c>
      <c r="I1802" s="32">
        <f>IF($A1802="","",IFERROR(INDEX(OSStatus,MATCH($A1802,OSNum,0)),"OS inexistente"))</f>
        <v>0</v>
      </c>
      <c r="J1802" s="32">
        <f>IF($A1802="","",IF($I1802="OS inexistente","OS inexistente",IF($E1802="Peça não cadastrada","Peça não cadastrada","OK")))</f>
        <v>0</v>
      </c>
    </row>
    <row r="1803" spans="1:10">
      <c r="A1803" s="17"/>
      <c r="B1803" s="13"/>
      <c r="C1803" s="20"/>
      <c r="D1803" s="19"/>
      <c r="E1803" s="26">
        <f>IF($B1803="","",IFERROR(INDEX(PecDesc,MATCH($B1803,PecCod,0)),"Peça não cadastrada"))</f>
        <v>0</v>
      </c>
      <c r="F1803" s="27">
        <f>IF($B1803="","",IF($D1803&lt;&gt;"",$D1803,IFERROR(INDEX(PecPreco,MATCH($B1803,PecCod,0)),0)))</f>
        <v>0</v>
      </c>
      <c r="G1803" s="27">
        <f>IF(OR($B1803="",$C1803=""),"",$C1803*$F1803)</f>
        <v>0</v>
      </c>
      <c r="H1803" s="27">
        <f>IF(OR($B1803="",$C1803=""),"",$C1803*IFERROR(INDEX(PecCusto,MATCH($B1803,PecCod,0)),0))</f>
        <v>0</v>
      </c>
      <c r="I1803" s="32">
        <f>IF($A1803="","",IFERROR(INDEX(OSStatus,MATCH($A1803,OSNum,0)),"OS inexistente"))</f>
        <v>0</v>
      </c>
      <c r="J1803" s="32">
        <f>IF($A1803="","",IF($I1803="OS inexistente","OS inexistente",IF($E1803="Peça não cadastrada","Peça não cadastrada","OK")))</f>
        <v>0</v>
      </c>
    </row>
    <row r="1804" spans="1:10">
      <c r="A1804" s="17"/>
      <c r="B1804" s="13"/>
      <c r="C1804" s="20"/>
      <c r="D1804" s="19"/>
      <c r="E1804" s="26">
        <f>IF($B1804="","",IFERROR(INDEX(PecDesc,MATCH($B1804,PecCod,0)),"Peça não cadastrada"))</f>
        <v>0</v>
      </c>
      <c r="F1804" s="27">
        <f>IF($B1804="","",IF($D1804&lt;&gt;"",$D1804,IFERROR(INDEX(PecPreco,MATCH($B1804,PecCod,0)),0)))</f>
        <v>0</v>
      </c>
      <c r="G1804" s="27">
        <f>IF(OR($B1804="",$C1804=""),"",$C1804*$F1804)</f>
        <v>0</v>
      </c>
      <c r="H1804" s="27">
        <f>IF(OR($B1804="",$C1804=""),"",$C1804*IFERROR(INDEX(PecCusto,MATCH($B1804,PecCod,0)),0))</f>
        <v>0</v>
      </c>
      <c r="I1804" s="32">
        <f>IF($A1804="","",IFERROR(INDEX(OSStatus,MATCH($A1804,OSNum,0)),"OS inexistente"))</f>
        <v>0</v>
      </c>
      <c r="J1804" s="32">
        <f>IF($A1804="","",IF($I1804="OS inexistente","OS inexistente",IF($E1804="Peça não cadastrada","Peça não cadastrada","OK")))</f>
        <v>0</v>
      </c>
    </row>
    <row r="1805" spans="1:10">
      <c r="A1805" s="17"/>
      <c r="B1805" s="13"/>
      <c r="C1805" s="20"/>
      <c r="D1805" s="19"/>
      <c r="E1805" s="26">
        <f>IF($B1805="","",IFERROR(INDEX(PecDesc,MATCH($B1805,PecCod,0)),"Peça não cadastrada"))</f>
        <v>0</v>
      </c>
      <c r="F1805" s="27">
        <f>IF($B1805="","",IF($D1805&lt;&gt;"",$D1805,IFERROR(INDEX(PecPreco,MATCH($B1805,PecCod,0)),0)))</f>
        <v>0</v>
      </c>
      <c r="G1805" s="27">
        <f>IF(OR($B1805="",$C1805=""),"",$C1805*$F1805)</f>
        <v>0</v>
      </c>
      <c r="H1805" s="27">
        <f>IF(OR($B1805="",$C1805=""),"",$C1805*IFERROR(INDEX(PecCusto,MATCH($B1805,PecCod,0)),0))</f>
        <v>0</v>
      </c>
      <c r="I1805" s="32">
        <f>IF($A1805="","",IFERROR(INDEX(OSStatus,MATCH($A1805,OSNum,0)),"OS inexistente"))</f>
        <v>0</v>
      </c>
      <c r="J1805" s="32">
        <f>IF($A1805="","",IF($I1805="OS inexistente","OS inexistente",IF($E1805="Peça não cadastrada","Peça não cadastrada","OK")))</f>
        <v>0</v>
      </c>
    </row>
    <row r="1806" spans="1:10">
      <c r="A1806" s="17"/>
      <c r="B1806" s="13"/>
      <c r="C1806" s="20"/>
      <c r="D1806" s="19"/>
      <c r="E1806" s="26">
        <f>IF($B1806="","",IFERROR(INDEX(PecDesc,MATCH($B1806,PecCod,0)),"Peça não cadastrada"))</f>
        <v>0</v>
      </c>
      <c r="F1806" s="27">
        <f>IF($B1806="","",IF($D1806&lt;&gt;"",$D1806,IFERROR(INDEX(PecPreco,MATCH($B1806,PecCod,0)),0)))</f>
        <v>0</v>
      </c>
      <c r="G1806" s="27">
        <f>IF(OR($B1806="",$C1806=""),"",$C1806*$F1806)</f>
        <v>0</v>
      </c>
      <c r="H1806" s="27">
        <f>IF(OR($B1806="",$C1806=""),"",$C1806*IFERROR(INDEX(PecCusto,MATCH($B1806,PecCod,0)),0))</f>
        <v>0</v>
      </c>
      <c r="I1806" s="32">
        <f>IF($A1806="","",IFERROR(INDEX(OSStatus,MATCH($A1806,OSNum,0)),"OS inexistente"))</f>
        <v>0</v>
      </c>
      <c r="J1806" s="32">
        <f>IF($A1806="","",IF($I1806="OS inexistente","OS inexistente",IF($E1806="Peça não cadastrada","Peça não cadastrada","OK")))</f>
        <v>0</v>
      </c>
    </row>
    <row r="1807" spans="1:10">
      <c r="A1807" s="17"/>
      <c r="B1807" s="13"/>
      <c r="C1807" s="20"/>
      <c r="D1807" s="19"/>
      <c r="E1807" s="26">
        <f>IF($B1807="","",IFERROR(INDEX(PecDesc,MATCH($B1807,PecCod,0)),"Peça não cadastrada"))</f>
        <v>0</v>
      </c>
      <c r="F1807" s="27">
        <f>IF($B1807="","",IF($D1807&lt;&gt;"",$D1807,IFERROR(INDEX(PecPreco,MATCH($B1807,PecCod,0)),0)))</f>
        <v>0</v>
      </c>
      <c r="G1807" s="27">
        <f>IF(OR($B1807="",$C1807=""),"",$C1807*$F1807)</f>
        <v>0</v>
      </c>
      <c r="H1807" s="27">
        <f>IF(OR($B1807="",$C1807=""),"",$C1807*IFERROR(INDEX(PecCusto,MATCH($B1807,PecCod,0)),0))</f>
        <v>0</v>
      </c>
      <c r="I1807" s="32">
        <f>IF($A1807="","",IFERROR(INDEX(OSStatus,MATCH($A1807,OSNum,0)),"OS inexistente"))</f>
        <v>0</v>
      </c>
      <c r="J1807" s="32">
        <f>IF($A1807="","",IF($I1807="OS inexistente","OS inexistente",IF($E1807="Peça não cadastrada","Peça não cadastrada","OK")))</f>
        <v>0</v>
      </c>
    </row>
    <row r="1808" spans="1:10">
      <c r="A1808" s="17"/>
      <c r="B1808" s="13"/>
      <c r="C1808" s="20"/>
      <c r="D1808" s="19"/>
      <c r="E1808" s="26">
        <f>IF($B1808="","",IFERROR(INDEX(PecDesc,MATCH($B1808,PecCod,0)),"Peça não cadastrada"))</f>
        <v>0</v>
      </c>
      <c r="F1808" s="27">
        <f>IF($B1808="","",IF($D1808&lt;&gt;"",$D1808,IFERROR(INDEX(PecPreco,MATCH($B1808,PecCod,0)),0)))</f>
        <v>0</v>
      </c>
      <c r="G1808" s="27">
        <f>IF(OR($B1808="",$C1808=""),"",$C1808*$F1808)</f>
        <v>0</v>
      </c>
      <c r="H1808" s="27">
        <f>IF(OR($B1808="",$C1808=""),"",$C1808*IFERROR(INDEX(PecCusto,MATCH($B1808,PecCod,0)),0))</f>
        <v>0</v>
      </c>
      <c r="I1808" s="32">
        <f>IF($A1808="","",IFERROR(INDEX(OSStatus,MATCH($A1808,OSNum,0)),"OS inexistente"))</f>
        <v>0</v>
      </c>
      <c r="J1808" s="32">
        <f>IF($A1808="","",IF($I1808="OS inexistente","OS inexistente",IF($E1808="Peça não cadastrada","Peça não cadastrada","OK")))</f>
        <v>0</v>
      </c>
    </row>
    <row r="1809" spans="1:10">
      <c r="A1809" s="17"/>
      <c r="B1809" s="13"/>
      <c r="C1809" s="20"/>
      <c r="D1809" s="19"/>
      <c r="E1809" s="26">
        <f>IF($B1809="","",IFERROR(INDEX(PecDesc,MATCH($B1809,PecCod,0)),"Peça não cadastrada"))</f>
        <v>0</v>
      </c>
      <c r="F1809" s="27">
        <f>IF($B1809="","",IF($D1809&lt;&gt;"",$D1809,IFERROR(INDEX(PecPreco,MATCH($B1809,PecCod,0)),0)))</f>
        <v>0</v>
      </c>
      <c r="G1809" s="27">
        <f>IF(OR($B1809="",$C1809=""),"",$C1809*$F1809)</f>
        <v>0</v>
      </c>
      <c r="H1809" s="27">
        <f>IF(OR($B1809="",$C1809=""),"",$C1809*IFERROR(INDEX(PecCusto,MATCH($B1809,PecCod,0)),0))</f>
        <v>0</v>
      </c>
      <c r="I1809" s="32">
        <f>IF($A1809="","",IFERROR(INDEX(OSStatus,MATCH($A1809,OSNum,0)),"OS inexistente"))</f>
        <v>0</v>
      </c>
      <c r="J1809" s="32">
        <f>IF($A1809="","",IF($I1809="OS inexistente","OS inexistente",IF($E1809="Peça não cadastrada","Peça não cadastrada","OK")))</f>
        <v>0</v>
      </c>
    </row>
    <row r="1810" spans="1:10">
      <c r="A1810" s="17"/>
      <c r="B1810" s="13"/>
      <c r="C1810" s="20"/>
      <c r="D1810" s="19"/>
      <c r="E1810" s="26">
        <f>IF($B1810="","",IFERROR(INDEX(PecDesc,MATCH($B1810,PecCod,0)),"Peça não cadastrada"))</f>
        <v>0</v>
      </c>
      <c r="F1810" s="27">
        <f>IF($B1810="","",IF($D1810&lt;&gt;"",$D1810,IFERROR(INDEX(PecPreco,MATCH($B1810,PecCod,0)),0)))</f>
        <v>0</v>
      </c>
      <c r="G1810" s="27">
        <f>IF(OR($B1810="",$C1810=""),"",$C1810*$F1810)</f>
        <v>0</v>
      </c>
      <c r="H1810" s="27">
        <f>IF(OR($B1810="",$C1810=""),"",$C1810*IFERROR(INDEX(PecCusto,MATCH($B1810,PecCod,0)),0))</f>
        <v>0</v>
      </c>
      <c r="I1810" s="32">
        <f>IF($A1810="","",IFERROR(INDEX(OSStatus,MATCH($A1810,OSNum,0)),"OS inexistente"))</f>
        <v>0</v>
      </c>
      <c r="J1810" s="32">
        <f>IF($A1810="","",IF($I1810="OS inexistente","OS inexistente",IF($E1810="Peça não cadastrada","Peça não cadastrada","OK")))</f>
        <v>0</v>
      </c>
    </row>
    <row r="1811" spans="1:10">
      <c r="A1811" s="17"/>
      <c r="B1811" s="13"/>
      <c r="C1811" s="20"/>
      <c r="D1811" s="19"/>
      <c r="E1811" s="26">
        <f>IF($B1811="","",IFERROR(INDEX(PecDesc,MATCH($B1811,PecCod,0)),"Peça não cadastrada"))</f>
        <v>0</v>
      </c>
      <c r="F1811" s="27">
        <f>IF($B1811="","",IF($D1811&lt;&gt;"",$D1811,IFERROR(INDEX(PecPreco,MATCH($B1811,PecCod,0)),0)))</f>
        <v>0</v>
      </c>
      <c r="G1811" s="27">
        <f>IF(OR($B1811="",$C1811=""),"",$C1811*$F1811)</f>
        <v>0</v>
      </c>
      <c r="H1811" s="27">
        <f>IF(OR($B1811="",$C1811=""),"",$C1811*IFERROR(INDEX(PecCusto,MATCH($B1811,PecCod,0)),0))</f>
        <v>0</v>
      </c>
      <c r="I1811" s="32">
        <f>IF($A1811="","",IFERROR(INDEX(OSStatus,MATCH($A1811,OSNum,0)),"OS inexistente"))</f>
        <v>0</v>
      </c>
      <c r="J1811" s="32">
        <f>IF($A1811="","",IF($I1811="OS inexistente","OS inexistente",IF($E1811="Peça não cadastrada","Peça não cadastrada","OK")))</f>
        <v>0</v>
      </c>
    </row>
    <row r="1812" spans="1:10">
      <c r="A1812" s="17"/>
      <c r="B1812" s="13"/>
      <c r="C1812" s="20"/>
      <c r="D1812" s="19"/>
      <c r="E1812" s="26">
        <f>IF($B1812="","",IFERROR(INDEX(PecDesc,MATCH($B1812,PecCod,0)),"Peça não cadastrada"))</f>
        <v>0</v>
      </c>
      <c r="F1812" s="27">
        <f>IF($B1812="","",IF($D1812&lt;&gt;"",$D1812,IFERROR(INDEX(PecPreco,MATCH($B1812,PecCod,0)),0)))</f>
        <v>0</v>
      </c>
      <c r="G1812" s="27">
        <f>IF(OR($B1812="",$C1812=""),"",$C1812*$F1812)</f>
        <v>0</v>
      </c>
      <c r="H1812" s="27">
        <f>IF(OR($B1812="",$C1812=""),"",$C1812*IFERROR(INDEX(PecCusto,MATCH($B1812,PecCod,0)),0))</f>
        <v>0</v>
      </c>
      <c r="I1812" s="32">
        <f>IF($A1812="","",IFERROR(INDEX(OSStatus,MATCH($A1812,OSNum,0)),"OS inexistente"))</f>
        <v>0</v>
      </c>
      <c r="J1812" s="32">
        <f>IF($A1812="","",IF($I1812="OS inexistente","OS inexistente",IF($E1812="Peça não cadastrada","Peça não cadastrada","OK")))</f>
        <v>0</v>
      </c>
    </row>
    <row r="1813" spans="1:10">
      <c r="A1813" s="17"/>
      <c r="B1813" s="13"/>
      <c r="C1813" s="20"/>
      <c r="D1813" s="19"/>
      <c r="E1813" s="26">
        <f>IF($B1813="","",IFERROR(INDEX(PecDesc,MATCH($B1813,PecCod,0)),"Peça não cadastrada"))</f>
        <v>0</v>
      </c>
      <c r="F1813" s="27">
        <f>IF($B1813="","",IF($D1813&lt;&gt;"",$D1813,IFERROR(INDEX(PecPreco,MATCH($B1813,PecCod,0)),0)))</f>
        <v>0</v>
      </c>
      <c r="G1813" s="27">
        <f>IF(OR($B1813="",$C1813=""),"",$C1813*$F1813)</f>
        <v>0</v>
      </c>
      <c r="H1813" s="27">
        <f>IF(OR($B1813="",$C1813=""),"",$C1813*IFERROR(INDEX(PecCusto,MATCH($B1813,PecCod,0)),0))</f>
        <v>0</v>
      </c>
      <c r="I1813" s="32">
        <f>IF($A1813="","",IFERROR(INDEX(OSStatus,MATCH($A1813,OSNum,0)),"OS inexistente"))</f>
        <v>0</v>
      </c>
      <c r="J1813" s="32">
        <f>IF($A1813="","",IF($I1813="OS inexistente","OS inexistente",IF($E1813="Peça não cadastrada","Peça não cadastrada","OK")))</f>
        <v>0</v>
      </c>
    </row>
    <row r="1814" spans="1:10">
      <c r="A1814" s="17"/>
      <c r="B1814" s="13"/>
      <c r="C1814" s="20"/>
      <c r="D1814" s="19"/>
      <c r="E1814" s="26">
        <f>IF($B1814="","",IFERROR(INDEX(PecDesc,MATCH($B1814,PecCod,0)),"Peça não cadastrada"))</f>
        <v>0</v>
      </c>
      <c r="F1814" s="27">
        <f>IF($B1814="","",IF($D1814&lt;&gt;"",$D1814,IFERROR(INDEX(PecPreco,MATCH($B1814,PecCod,0)),0)))</f>
        <v>0</v>
      </c>
      <c r="G1814" s="27">
        <f>IF(OR($B1814="",$C1814=""),"",$C1814*$F1814)</f>
        <v>0</v>
      </c>
      <c r="H1814" s="27">
        <f>IF(OR($B1814="",$C1814=""),"",$C1814*IFERROR(INDEX(PecCusto,MATCH($B1814,PecCod,0)),0))</f>
        <v>0</v>
      </c>
      <c r="I1814" s="32">
        <f>IF($A1814="","",IFERROR(INDEX(OSStatus,MATCH($A1814,OSNum,0)),"OS inexistente"))</f>
        <v>0</v>
      </c>
      <c r="J1814" s="32">
        <f>IF($A1814="","",IF($I1814="OS inexistente","OS inexistente",IF($E1814="Peça não cadastrada","Peça não cadastrada","OK")))</f>
        <v>0</v>
      </c>
    </row>
    <row r="1815" spans="1:10">
      <c r="A1815" s="17"/>
      <c r="B1815" s="13"/>
      <c r="C1815" s="20"/>
      <c r="D1815" s="19"/>
      <c r="E1815" s="26">
        <f>IF($B1815="","",IFERROR(INDEX(PecDesc,MATCH($B1815,PecCod,0)),"Peça não cadastrada"))</f>
        <v>0</v>
      </c>
      <c r="F1815" s="27">
        <f>IF($B1815="","",IF($D1815&lt;&gt;"",$D1815,IFERROR(INDEX(PecPreco,MATCH($B1815,PecCod,0)),0)))</f>
        <v>0</v>
      </c>
      <c r="G1815" s="27">
        <f>IF(OR($B1815="",$C1815=""),"",$C1815*$F1815)</f>
        <v>0</v>
      </c>
      <c r="H1815" s="27">
        <f>IF(OR($B1815="",$C1815=""),"",$C1815*IFERROR(INDEX(PecCusto,MATCH($B1815,PecCod,0)),0))</f>
        <v>0</v>
      </c>
      <c r="I1815" s="32">
        <f>IF($A1815="","",IFERROR(INDEX(OSStatus,MATCH($A1815,OSNum,0)),"OS inexistente"))</f>
        <v>0</v>
      </c>
      <c r="J1815" s="32">
        <f>IF($A1815="","",IF($I1815="OS inexistente","OS inexistente",IF($E1815="Peça não cadastrada","Peça não cadastrada","OK")))</f>
        <v>0</v>
      </c>
    </row>
    <row r="1816" spans="1:10">
      <c r="A1816" s="17"/>
      <c r="B1816" s="13"/>
      <c r="C1816" s="20"/>
      <c r="D1816" s="19"/>
      <c r="E1816" s="26">
        <f>IF($B1816="","",IFERROR(INDEX(PecDesc,MATCH($B1816,PecCod,0)),"Peça não cadastrada"))</f>
        <v>0</v>
      </c>
      <c r="F1816" s="27">
        <f>IF($B1816="","",IF($D1816&lt;&gt;"",$D1816,IFERROR(INDEX(PecPreco,MATCH($B1816,PecCod,0)),0)))</f>
        <v>0</v>
      </c>
      <c r="G1816" s="27">
        <f>IF(OR($B1816="",$C1816=""),"",$C1816*$F1816)</f>
        <v>0</v>
      </c>
      <c r="H1816" s="27">
        <f>IF(OR($B1816="",$C1816=""),"",$C1816*IFERROR(INDEX(PecCusto,MATCH($B1816,PecCod,0)),0))</f>
        <v>0</v>
      </c>
      <c r="I1816" s="32">
        <f>IF($A1816="","",IFERROR(INDEX(OSStatus,MATCH($A1816,OSNum,0)),"OS inexistente"))</f>
        <v>0</v>
      </c>
      <c r="J1816" s="32">
        <f>IF($A1816="","",IF($I1816="OS inexistente","OS inexistente",IF($E1816="Peça não cadastrada","Peça não cadastrada","OK")))</f>
        <v>0</v>
      </c>
    </row>
    <row r="1817" spans="1:10">
      <c r="A1817" s="17"/>
      <c r="B1817" s="13"/>
      <c r="C1817" s="20"/>
      <c r="D1817" s="19"/>
      <c r="E1817" s="26">
        <f>IF($B1817="","",IFERROR(INDEX(PecDesc,MATCH($B1817,PecCod,0)),"Peça não cadastrada"))</f>
        <v>0</v>
      </c>
      <c r="F1817" s="27">
        <f>IF($B1817="","",IF($D1817&lt;&gt;"",$D1817,IFERROR(INDEX(PecPreco,MATCH($B1817,PecCod,0)),0)))</f>
        <v>0</v>
      </c>
      <c r="G1817" s="27">
        <f>IF(OR($B1817="",$C1817=""),"",$C1817*$F1817)</f>
        <v>0</v>
      </c>
      <c r="H1817" s="27">
        <f>IF(OR($B1817="",$C1817=""),"",$C1817*IFERROR(INDEX(PecCusto,MATCH($B1817,PecCod,0)),0))</f>
        <v>0</v>
      </c>
      <c r="I1817" s="32">
        <f>IF($A1817="","",IFERROR(INDEX(OSStatus,MATCH($A1817,OSNum,0)),"OS inexistente"))</f>
        <v>0</v>
      </c>
      <c r="J1817" s="32">
        <f>IF($A1817="","",IF($I1817="OS inexistente","OS inexistente",IF($E1817="Peça não cadastrada","Peça não cadastrada","OK")))</f>
        <v>0</v>
      </c>
    </row>
    <row r="1818" spans="1:10">
      <c r="A1818" s="17"/>
      <c r="B1818" s="13"/>
      <c r="C1818" s="20"/>
      <c r="D1818" s="19"/>
      <c r="E1818" s="26">
        <f>IF($B1818="","",IFERROR(INDEX(PecDesc,MATCH($B1818,PecCod,0)),"Peça não cadastrada"))</f>
        <v>0</v>
      </c>
      <c r="F1818" s="27">
        <f>IF($B1818="","",IF($D1818&lt;&gt;"",$D1818,IFERROR(INDEX(PecPreco,MATCH($B1818,PecCod,0)),0)))</f>
        <v>0</v>
      </c>
      <c r="G1818" s="27">
        <f>IF(OR($B1818="",$C1818=""),"",$C1818*$F1818)</f>
        <v>0</v>
      </c>
      <c r="H1818" s="27">
        <f>IF(OR($B1818="",$C1818=""),"",$C1818*IFERROR(INDEX(PecCusto,MATCH($B1818,PecCod,0)),0))</f>
        <v>0</v>
      </c>
      <c r="I1818" s="32">
        <f>IF($A1818="","",IFERROR(INDEX(OSStatus,MATCH($A1818,OSNum,0)),"OS inexistente"))</f>
        <v>0</v>
      </c>
      <c r="J1818" s="32">
        <f>IF($A1818="","",IF($I1818="OS inexistente","OS inexistente",IF($E1818="Peça não cadastrada","Peça não cadastrada","OK")))</f>
        <v>0</v>
      </c>
    </row>
    <row r="1819" spans="1:10">
      <c r="A1819" s="17"/>
      <c r="B1819" s="13"/>
      <c r="C1819" s="20"/>
      <c r="D1819" s="19"/>
      <c r="E1819" s="26">
        <f>IF($B1819="","",IFERROR(INDEX(PecDesc,MATCH($B1819,PecCod,0)),"Peça não cadastrada"))</f>
        <v>0</v>
      </c>
      <c r="F1819" s="27">
        <f>IF($B1819="","",IF($D1819&lt;&gt;"",$D1819,IFERROR(INDEX(PecPreco,MATCH($B1819,PecCod,0)),0)))</f>
        <v>0</v>
      </c>
      <c r="G1819" s="27">
        <f>IF(OR($B1819="",$C1819=""),"",$C1819*$F1819)</f>
        <v>0</v>
      </c>
      <c r="H1819" s="27">
        <f>IF(OR($B1819="",$C1819=""),"",$C1819*IFERROR(INDEX(PecCusto,MATCH($B1819,PecCod,0)),0))</f>
        <v>0</v>
      </c>
      <c r="I1819" s="32">
        <f>IF($A1819="","",IFERROR(INDEX(OSStatus,MATCH($A1819,OSNum,0)),"OS inexistente"))</f>
        <v>0</v>
      </c>
      <c r="J1819" s="32">
        <f>IF($A1819="","",IF($I1819="OS inexistente","OS inexistente",IF($E1819="Peça não cadastrada","Peça não cadastrada","OK")))</f>
        <v>0</v>
      </c>
    </row>
    <row r="1820" spans="1:10">
      <c r="A1820" s="17"/>
      <c r="B1820" s="13"/>
      <c r="C1820" s="20"/>
      <c r="D1820" s="19"/>
      <c r="E1820" s="26">
        <f>IF($B1820="","",IFERROR(INDEX(PecDesc,MATCH($B1820,PecCod,0)),"Peça não cadastrada"))</f>
        <v>0</v>
      </c>
      <c r="F1820" s="27">
        <f>IF($B1820="","",IF($D1820&lt;&gt;"",$D1820,IFERROR(INDEX(PecPreco,MATCH($B1820,PecCod,0)),0)))</f>
        <v>0</v>
      </c>
      <c r="G1820" s="27">
        <f>IF(OR($B1820="",$C1820=""),"",$C1820*$F1820)</f>
        <v>0</v>
      </c>
      <c r="H1820" s="27">
        <f>IF(OR($B1820="",$C1820=""),"",$C1820*IFERROR(INDEX(PecCusto,MATCH($B1820,PecCod,0)),0))</f>
        <v>0</v>
      </c>
      <c r="I1820" s="32">
        <f>IF($A1820="","",IFERROR(INDEX(OSStatus,MATCH($A1820,OSNum,0)),"OS inexistente"))</f>
        <v>0</v>
      </c>
      <c r="J1820" s="32">
        <f>IF($A1820="","",IF($I1820="OS inexistente","OS inexistente",IF($E1820="Peça não cadastrada","Peça não cadastrada","OK")))</f>
        <v>0</v>
      </c>
    </row>
    <row r="1821" spans="1:10">
      <c r="A1821" s="17"/>
      <c r="B1821" s="13"/>
      <c r="C1821" s="20"/>
      <c r="D1821" s="19"/>
      <c r="E1821" s="26">
        <f>IF($B1821="","",IFERROR(INDEX(PecDesc,MATCH($B1821,PecCod,0)),"Peça não cadastrada"))</f>
        <v>0</v>
      </c>
      <c r="F1821" s="27">
        <f>IF($B1821="","",IF($D1821&lt;&gt;"",$D1821,IFERROR(INDEX(PecPreco,MATCH($B1821,PecCod,0)),0)))</f>
        <v>0</v>
      </c>
      <c r="G1821" s="27">
        <f>IF(OR($B1821="",$C1821=""),"",$C1821*$F1821)</f>
        <v>0</v>
      </c>
      <c r="H1821" s="27">
        <f>IF(OR($B1821="",$C1821=""),"",$C1821*IFERROR(INDEX(PecCusto,MATCH($B1821,PecCod,0)),0))</f>
        <v>0</v>
      </c>
      <c r="I1821" s="32">
        <f>IF($A1821="","",IFERROR(INDEX(OSStatus,MATCH($A1821,OSNum,0)),"OS inexistente"))</f>
        <v>0</v>
      </c>
      <c r="J1821" s="32">
        <f>IF($A1821="","",IF($I1821="OS inexistente","OS inexistente",IF($E1821="Peça não cadastrada","Peça não cadastrada","OK")))</f>
        <v>0</v>
      </c>
    </row>
    <row r="1822" spans="1:10">
      <c r="A1822" s="17"/>
      <c r="B1822" s="13"/>
      <c r="C1822" s="20"/>
      <c r="D1822" s="19"/>
      <c r="E1822" s="26">
        <f>IF($B1822="","",IFERROR(INDEX(PecDesc,MATCH($B1822,PecCod,0)),"Peça não cadastrada"))</f>
        <v>0</v>
      </c>
      <c r="F1822" s="27">
        <f>IF($B1822="","",IF($D1822&lt;&gt;"",$D1822,IFERROR(INDEX(PecPreco,MATCH($B1822,PecCod,0)),0)))</f>
        <v>0</v>
      </c>
      <c r="G1822" s="27">
        <f>IF(OR($B1822="",$C1822=""),"",$C1822*$F1822)</f>
        <v>0</v>
      </c>
      <c r="H1822" s="27">
        <f>IF(OR($B1822="",$C1822=""),"",$C1822*IFERROR(INDEX(PecCusto,MATCH($B1822,PecCod,0)),0))</f>
        <v>0</v>
      </c>
      <c r="I1822" s="32">
        <f>IF($A1822="","",IFERROR(INDEX(OSStatus,MATCH($A1822,OSNum,0)),"OS inexistente"))</f>
        <v>0</v>
      </c>
      <c r="J1822" s="32">
        <f>IF($A1822="","",IF($I1822="OS inexistente","OS inexistente",IF($E1822="Peça não cadastrada","Peça não cadastrada","OK")))</f>
        <v>0</v>
      </c>
    </row>
    <row r="1823" spans="1:10">
      <c r="A1823" s="17"/>
      <c r="B1823" s="13"/>
      <c r="C1823" s="20"/>
      <c r="D1823" s="19"/>
      <c r="E1823" s="26">
        <f>IF($B1823="","",IFERROR(INDEX(PecDesc,MATCH($B1823,PecCod,0)),"Peça não cadastrada"))</f>
        <v>0</v>
      </c>
      <c r="F1823" s="27">
        <f>IF($B1823="","",IF($D1823&lt;&gt;"",$D1823,IFERROR(INDEX(PecPreco,MATCH($B1823,PecCod,0)),0)))</f>
        <v>0</v>
      </c>
      <c r="G1823" s="27">
        <f>IF(OR($B1823="",$C1823=""),"",$C1823*$F1823)</f>
        <v>0</v>
      </c>
      <c r="H1823" s="27">
        <f>IF(OR($B1823="",$C1823=""),"",$C1823*IFERROR(INDEX(PecCusto,MATCH($B1823,PecCod,0)),0))</f>
        <v>0</v>
      </c>
      <c r="I1823" s="32">
        <f>IF($A1823="","",IFERROR(INDEX(OSStatus,MATCH($A1823,OSNum,0)),"OS inexistente"))</f>
        <v>0</v>
      </c>
      <c r="J1823" s="32">
        <f>IF($A1823="","",IF($I1823="OS inexistente","OS inexistente",IF($E1823="Peça não cadastrada","Peça não cadastrada","OK")))</f>
        <v>0</v>
      </c>
    </row>
    <row r="1824" spans="1:10">
      <c r="A1824" s="17"/>
      <c r="B1824" s="13"/>
      <c r="C1824" s="20"/>
      <c r="D1824" s="19"/>
      <c r="E1824" s="26">
        <f>IF($B1824="","",IFERROR(INDEX(PecDesc,MATCH($B1824,PecCod,0)),"Peça não cadastrada"))</f>
        <v>0</v>
      </c>
      <c r="F1824" s="27">
        <f>IF($B1824="","",IF($D1824&lt;&gt;"",$D1824,IFERROR(INDEX(PecPreco,MATCH($B1824,PecCod,0)),0)))</f>
        <v>0</v>
      </c>
      <c r="G1824" s="27">
        <f>IF(OR($B1824="",$C1824=""),"",$C1824*$F1824)</f>
        <v>0</v>
      </c>
      <c r="H1824" s="27">
        <f>IF(OR($B1824="",$C1824=""),"",$C1824*IFERROR(INDEX(PecCusto,MATCH($B1824,PecCod,0)),0))</f>
        <v>0</v>
      </c>
      <c r="I1824" s="32">
        <f>IF($A1824="","",IFERROR(INDEX(OSStatus,MATCH($A1824,OSNum,0)),"OS inexistente"))</f>
        <v>0</v>
      </c>
      <c r="J1824" s="32">
        <f>IF($A1824="","",IF($I1824="OS inexistente","OS inexistente",IF($E1824="Peça não cadastrada","Peça não cadastrada","OK")))</f>
        <v>0</v>
      </c>
    </row>
    <row r="1825" spans="1:10">
      <c r="A1825" s="17"/>
      <c r="B1825" s="13"/>
      <c r="C1825" s="20"/>
      <c r="D1825" s="19"/>
      <c r="E1825" s="26">
        <f>IF($B1825="","",IFERROR(INDEX(PecDesc,MATCH($B1825,PecCod,0)),"Peça não cadastrada"))</f>
        <v>0</v>
      </c>
      <c r="F1825" s="27">
        <f>IF($B1825="","",IF($D1825&lt;&gt;"",$D1825,IFERROR(INDEX(PecPreco,MATCH($B1825,PecCod,0)),0)))</f>
        <v>0</v>
      </c>
      <c r="G1825" s="27">
        <f>IF(OR($B1825="",$C1825=""),"",$C1825*$F1825)</f>
        <v>0</v>
      </c>
      <c r="H1825" s="27">
        <f>IF(OR($B1825="",$C1825=""),"",$C1825*IFERROR(INDEX(PecCusto,MATCH($B1825,PecCod,0)),0))</f>
        <v>0</v>
      </c>
      <c r="I1825" s="32">
        <f>IF($A1825="","",IFERROR(INDEX(OSStatus,MATCH($A1825,OSNum,0)),"OS inexistente"))</f>
        <v>0</v>
      </c>
      <c r="J1825" s="32">
        <f>IF($A1825="","",IF($I1825="OS inexistente","OS inexistente",IF($E1825="Peça não cadastrada","Peça não cadastrada","OK")))</f>
        <v>0</v>
      </c>
    </row>
    <row r="1826" spans="1:10">
      <c r="A1826" s="17"/>
      <c r="B1826" s="13"/>
      <c r="C1826" s="20"/>
      <c r="D1826" s="19"/>
      <c r="E1826" s="26">
        <f>IF($B1826="","",IFERROR(INDEX(PecDesc,MATCH($B1826,PecCod,0)),"Peça não cadastrada"))</f>
        <v>0</v>
      </c>
      <c r="F1826" s="27">
        <f>IF($B1826="","",IF($D1826&lt;&gt;"",$D1826,IFERROR(INDEX(PecPreco,MATCH($B1826,PecCod,0)),0)))</f>
        <v>0</v>
      </c>
      <c r="G1826" s="27">
        <f>IF(OR($B1826="",$C1826=""),"",$C1826*$F1826)</f>
        <v>0</v>
      </c>
      <c r="H1826" s="27">
        <f>IF(OR($B1826="",$C1826=""),"",$C1826*IFERROR(INDEX(PecCusto,MATCH($B1826,PecCod,0)),0))</f>
        <v>0</v>
      </c>
      <c r="I1826" s="32">
        <f>IF($A1826="","",IFERROR(INDEX(OSStatus,MATCH($A1826,OSNum,0)),"OS inexistente"))</f>
        <v>0</v>
      </c>
      <c r="J1826" s="32">
        <f>IF($A1826="","",IF($I1826="OS inexistente","OS inexistente",IF($E1826="Peça não cadastrada","Peça não cadastrada","OK")))</f>
        <v>0</v>
      </c>
    </row>
    <row r="1827" spans="1:10">
      <c r="A1827" s="17"/>
      <c r="B1827" s="13"/>
      <c r="C1827" s="20"/>
      <c r="D1827" s="19"/>
      <c r="E1827" s="26">
        <f>IF($B1827="","",IFERROR(INDEX(PecDesc,MATCH($B1827,PecCod,0)),"Peça não cadastrada"))</f>
        <v>0</v>
      </c>
      <c r="F1827" s="27">
        <f>IF($B1827="","",IF($D1827&lt;&gt;"",$D1827,IFERROR(INDEX(PecPreco,MATCH($B1827,PecCod,0)),0)))</f>
        <v>0</v>
      </c>
      <c r="G1827" s="27">
        <f>IF(OR($B1827="",$C1827=""),"",$C1827*$F1827)</f>
        <v>0</v>
      </c>
      <c r="H1827" s="27">
        <f>IF(OR($B1827="",$C1827=""),"",$C1827*IFERROR(INDEX(PecCusto,MATCH($B1827,PecCod,0)),0))</f>
        <v>0</v>
      </c>
      <c r="I1827" s="32">
        <f>IF($A1827="","",IFERROR(INDEX(OSStatus,MATCH($A1827,OSNum,0)),"OS inexistente"))</f>
        <v>0</v>
      </c>
      <c r="J1827" s="32">
        <f>IF($A1827="","",IF($I1827="OS inexistente","OS inexistente",IF($E1827="Peça não cadastrada","Peça não cadastrada","OK")))</f>
        <v>0</v>
      </c>
    </row>
    <row r="1828" spans="1:10">
      <c r="A1828" s="17"/>
      <c r="B1828" s="13"/>
      <c r="C1828" s="20"/>
      <c r="D1828" s="19"/>
      <c r="E1828" s="26">
        <f>IF($B1828="","",IFERROR(INDEX(PecDesc,MATCH($B1828,PecCod,0)),"Peça não cadastrada"))</f>
        <v>0</v>
      </c>
      <c r="F1828" s="27">
        <f>IF($B1828="","",IF($D1828&lt;&gt;"",$D1828,IFERROR(INDEX(PecPreco,MATCH($B1828,PecCod,0)),0)))</f>
        <v>0</v>
      </c>
      <c r="G1828" s="27">
        <f>IF(OR($B1828="",$C1828=""),"",$C1828*$F1828)</f>
        <v>0</v>
      </c>
      <c r="H1828" s="27">
        <f>IF(OR($B1828="",$C1828=""),"",$C1828*IFERROR(INDEX(PecCusto,MATCH($B1828,PecCod,0)),0))</f>
        <v>0</v>
      </c>
      <c r="I1828" s="32">
        <f>IF($A1828="","",IFERROR(INDEX(OSStatus,MATCH($A1828,OSNum,0)),"OS inexistente"))</f>
        <v>0</v>
      </c>
      <c r="J1828" s="32">
        <f>IF($A1828="","",IF($I1828="OS inexistente","OS inexistente",IF($E1828="Peça não cadastrada","Peça não cadastrada","OK")))</f>
        <v>0</v>
      </c>
    </row>
    <row r="1829" spans="1:10">
      <c r="A1829" s="17"/>
      <c r="B1829" s="13"/>
      <c r="C1829" s="20"/>
      <c r="D1829" s="19"/>
      <c r="E1829" s="26">
        <f>IF($B1829="","",IFERROR(INDEX(PecDesc,MATCH($B1829,PecCod,0)),"Peça não cadastrada"))</f>
        <v>0</v>
      </c>
      <c r="F1829" s="27">
        <f>IF($B1829="","",IF($D1829&lt;&gt;"",$D1829,IFERROR(INDEX(PecPreco,MATCH($B1829,PecCod,0)),0)))</f>
        <v>0</v>
      </c>
      <c r="G1829" s="27">
        <f>IF(OR($B1829="",$C1829=""),"",$C1829*$F1829)</f>
        <v>0</v>
      </c>
      <c r="H1829" s="27">
        <f>IF(OR($B1829="",$C1829=""),"",$C1829*IFERROR(INDEX(PecCusto,MATCH($B1829,PecCod,0)),0))</f>
        <v>0</v>
      </c>
      <c r="I1829" s="32">
        <f>IF($A1829="","",IFERROR(INDEX(OSStatus,MATCH($A1829,OSNum,0)),"OS inexistente"))</f>
        <v>0</v>
      </c>
      <c r="J1829" s="32">
        <f>IF($A1829="","",IF($I1829="OS inexistente","OS inexistente",IF($E1829="Peça não cadastrada","Peça não cadastrada","OK")))</f>
        <v>0</v>
      </c>
    </row>
    <row r="1830" spans="1:10">
      <c r="A1830" s="17"/>
      <c r="B1830" s="13"/>
      <c r="C1830" s="20"/>
      <c r="D1830" s="19"/>
      <c r="E1830" s="26">
        <f>IF($B1830="","",IFERROR(INDEX(PecDesc,MATCH($B1830,PecCod,0)),"Peça não cadastrada"))</f>
        <v>0</v>
      </c>
      <c r="F1830" s="27">
        <f>IF($B1830="","",IF($D1830&lt;&gt;"",$D1830,IFERROR(INDEX(PecPreco,MATCH($B1830,PecCod,0)),0)))</f>
        <v>0</v>
      </c>
      <c r="G1830" s="27">
        <f>IF(OR($B1830="",$C1830=""),"",$C1830*$F1830)</f>
        <v>0</v>
      </c>
      <c r="H1830" s="27">
        <f>IF(OR($B1830="",$C1830=""),"",$C1830*IFERROR(INDEX(PecCusto,MATCH($B1830,PecCod,0)),0))</f>
        <v>0</v>
      </c>
      <c r="I1830" s="32">
        <f>IF($A1830="","",IFERROR(INDEX(OSStatus,MATCH($A1830,OSNum,0)),"OS inexistente"))</f>
        <v>0</v>
      </c>
      <c r="J1830" s="32">
        <f>IF($A1830="","",IF($I1830="OS inexistente","OS inexistente",IF($E1830="Peça não cadastrada","Peça não cadastrada","OK")))</f>
        <v>0</v>
      </c>
    </row>
    <row r="1831" spans="1:10">
      <c r="A1831" s="17"/>
      <c r="B1831" s="13"/>
      <c r="C1831" s="20"/>
      <c r="D1831" s="19"/>
      <c r="E1831" s="26">
        <f>IF($B1831="","",IFERROR(INDEX(PecDesc,MATCH($B1831,PecCod,0)),"Peça não cadastrada"))</f>
        <v>0</v>
      </c>
      <c r="F1831" s="27">
        <f>IF($B1831="","",IF($D1831&lt;&gt;"",$D1831,IFERROR(INDEX(PecPreco,MATCH($B1831,PecCod,0)),0)))</f>
        <v>0</v>
      </c>
      <c r="G1831" s="27">
        <f>IF(OR($B1831="",$C1831=""),"",$C1831*$F1831)</f>
        <v>0</v>
      </c>
      <c r="H1831" s="27">
        <f>IF(OR($B1831="",$C1831=""),"",$C1831*IFERROR(INDEX(PecCusto,MATCH($B1831,PecCod,0)),0))</f>
        <v>0</v>
      </c>
      <c r="I1831" s="32">
        <f>IF($A1831="","",IFERROR(INDEX(OSStatus,MATCH($A1831,OSNum,0)),"OS inexistente"))</f>
        <v>0</v>
      </c>
      <c r="J1831" s="32">
        <f>IF($A1831="","",IF($I1831="OS inexistente","OS inexistente",IF($E1831="Peça não cadastrada","Peça não cadastrada","OK")))</f>
        <v>0</v>
      </c>
    </row>
    <row r="1832" spans="1:10">
      <c r="A1832" s="17"/>
      <c r="B1832" s="13"/>
      <c r="C1832" s="20"/>
      <c r="D1832" s="19"/>
      <c r="E1832" s="26">
        <f>IF($B1832="","",IFERROR(INDEX(PecDesc,MATCH($B1832,PecCod,0)),"Peça não cadastrada"))</f>
        <v>0</v>
      </c>
      <c r="F1832" s="27">
        <f>IF($B1832="","",IF($D1832&lt;&gt;"",$D1832,IFERROR(INDEX(PecPreco,MATCH($B1832,PecCod,0)),0)))</f>
        <v>0</v>
      </c>
      <c r="G1832" s="27">
        <f>IF(OR($B1832="",$C1832=""),"",$C1832*$F1832)</f>
        <v>0</v>
      </c>
      <c r="H1832" s="27">
        <f>IF(OR($B1832="",$C1832=""),"",$C1832*IFERROR(INDEX(PecCusto,MATCH($B1832,PecCod,0)),0))</f>
        <v>0</v>
      </c>
      <c r="I1832" s="32">
        <f>IF($A1832="","",IFERROR(INDEX(OSStatus,MATCH($A1832,OSNum,0)),"OS inexistente"))</f>
        <v>0</v>
      </c>
      <c r="J1832" s="32">
        <f>IF($A1832="","",IF($I1832="OS inexistente","OS inexistente",IF($E1832="Peça não cadastrada","Peça não cadastrada","OK")))</f>
        <v>0</v>
      </c>
    </row>
    <row r="1833" spans="1:10">
      <c r="A1833" s="17"/>
      <c r="B1833" s="13"/>
      <c r="C1833" s="20"/>
      <c r="D1833" s="19"/>
      <c r="E1833" s="26">
        <f>IF($B1833="","",IFERROR(INDEX(PecDesc,MATCH($B1833,PecCod,0)),"Peça não cadastrada"))</f>
        <v>0</v>
      </c>
      <c r="F1833" s="27">
        <f>IF($B1833="","",IF($D1833&lt;&gt;"",$D1833,IFERROR(INDEX(PecPreco,MATCH($B1833,PecCod,0)),0)))</f>
        <v>0</v>
      </c>
      <c r="G1833" s="27">
        <f>IF(OR($B1833="",$C1833=""),"",$C1833*$F1833)</f>
        <v>0</v>
      </c>
      <c r="H1833" s="27">
        <f>IF(OR($B1833="",$C1833=""),"",$C1833*IFERROR(INDEX(PecCusto,MATCH($B1833,PecCod,0)),0))</f>
        <v>0</v>
      </c>
      <c r="I1833" s="32">
        <f>IF($A1833="","",IFERROR(INDEX(OSStatus,MATCH($A1833,OSNum,0)),"OS inexistente"))</f>
        <v>0</v>
      </c>
      <c r="J1833" s="32">
        <f>IF($A1833="","",IF($I1833="OS inexistente","OS inexistente",IF($E1833="Peça não cadastrada","Peça não cadastrada","OK")))</f>
        <v>0</v>
      </c>
    </row>
    <row r="1834" spans="1:10">
      <c r="A1834" s="17"/>
      <c r="B1834" s="13"/>
      <c r="C1834" s="20"/>
      <c r="D1834" s="19"/>
      <c r="E1834" s="26">
        <f>IF($B1834="","",IFERROR(INDEX(PecDesc,MATCH($B1834,PecCod,0)),"Peça não cadastrada"))</f>
        <v>0</v>
      </c>
      <c r="F1834" s="27">
        <f>IF($B1834="","",IF($D1834&lt;&gt;"",$D1834,IFERROR(INDEX(PecPreco,MATCH($B1834,PecCod,0)),0)))</f>
        <v>0</v>
      </c>
      <c r="G1834" s="27">
        <f>IF(OR($B1834="",$C1834=""),"",$C1834*$F1834)</f>
        <v>0</v>
      </c>
      <c r="H1834" s="27">
        <f>IF(OR($B1834="",$C1834=""),"",$C1834*IFERROR(INDEX(PecCusto,MATCH($B1834,PecCod,0)),0))</f>
        <v>0</v>
      </c>
      <c r="I1834" s="32">
        <f>IF($A1834="","",IFERROR(INDEX(OSStatus,MATCH($A1834,OSNum,0)),"OS inexistente"))</f>
        <v>0</v>
      </c>
      <c r="J1834" s="32">
        <f>IF($A1834="","",IF($I1834="OS inexistente","OS inexistente",IF($E1834="Peça não cadastrada","Peça não cadastrada","OK")))</f>
        <v>0</v>
      </c>
    </row>
    <row r="1835" spans="1:10">
      <c r="A1835" s="17"/>
      <c r="B1835" s="13"/>
      <c r="C1835" s="20"/>
      <c r="D1835" s="19"/>
      <c r="E1835" s="26">
        <f>IF($B1835="","",IFERROR(INDEX(PecDesc,MATCH($B1835,PecCod,0)),"Peça não cadastrada"))</f>
        <v>0</v>
      </c>
      <c r="F1835" s="27">
        <f>IF($B1835="","",IF($D1835&lt;&gt;"",$D1835,IFERROR(INDEX(PecPreco,MATCH($B1835,PecCod,0)),0)))</f>
        <v>0</v>
      </c>
      <c r="G1835" s="27">
        <f>IF(OR($B1835="",$C1835=""),"",$C1835*$F1835)</f>
        <v>0</v>
      </c>
      <c r="H1835" s="27">
        <f>IF(OR($B1835="",$C1835=""),"",$C1835*IFERROR(INDEX(PecCusto,MATCH($B1835,PecCod,0)),0))</f>
        <v>0</v>
      </c>
      <c r="I1835" s="32">
        <f>IF($A1835="","",IFERROR(INDEX(OSStatus,MATCH($A1835,OSNum,0)),"OS inexistente"))</f>
        <v>0</v>
      </c>
      <c r="J1835" s="32">
        <f>IF($A1835="","",IF($I1835="OS inexistente","OS inexistente",IF($E1835="Peça não cadastrada","Peça não cadastrada","OK")))</f>
        <v>0</v>
      </c>
    </row>
    <row r="1836" spans="1:10">
      <c r="A1836" s="17"/>
      <c r="B1836" s="13"/>
      <c r="C1836" s="20"/>
      <c r="D1836" s="19"/>
      <c r="E1836" s="26">
        <f>IF($B1836="","",IFERROR(INDEX(PecDesc,MATCH($B1836,PecCod,0)),"Peça não cadastrada"))</f>
        <v>0</v>
      </c>
      <c r="F1836" s="27">
        <f>IF($B1836="","",IF($D1836&lt;&gt;"",$D1836,IFERROR(INDEX(PecPreco,MATCH($B1836,PecCod,0)),0)))</f>
        <v>0</v>
      </c>
      <c r="G1836" s="27">
        <f>IF(OR($B1836="",$C1836=""),"",$C1836*$F1836)</f>
        <v>0</v>
      </c>
      <c r="H1836" s="27">
        <f>IF(OR($B1836="",$C1836=""),"",$C1836*IFERROR(INDEX(PecCusto,MATCH($B1836,PecCod,0)),0))</f>
        <v>0</v>
      </c>
      <c r="I1836" s="32">
        <f>IF($A1836="","",IFERROR(INDEX(OSStatus,MATCH($A1836,OSNum,0)),"OS inexistente"))</f>
        <v>0</v>
      </c>
      <c r="J1836" s="32">
        <f>IF($A1836="","",IF($I1836="OS inexistente","OS inexistente",IF($E1836="Peça não cadastrada","Peça não cadastrada","OK")))</f>
        <v>0</v>
      </c>
    </row>
    <row r="1837" spans="1:10">
      <c r="A1837" s="17"/>
      <c r="B1837" s="13"/>
      <c r="C1837" s="20"/>
      <c r="D1837" s="19"/>
      <c r="E1837" s="26">
        <f>IF($B1837="","",IFERROR(INDEX(PecDesc,MATCH($B1837,PecCod,0)),"Peça não cadastrada"))</f>
        <v>0</v>
      </c>
      <c r="F1837" s="27">
        <f>IF($B1837="","",IF($D1837&lt;&gt;"",$D1837,IFERROR(INDEX(PecPreco,MATCH($B1837,PecCod,0)),0)))</f>
        <v>0</v>
      </c>
      <c r="G1837" s="27">
        <f>IF(OR($B1837="",$C1837=""),"",$C1837*$F1837)</f>
        <v>0</v>
      </c>
      <c r="H1837" s="27">
        <f>IF(OR($B1837="",$C1837=""),"",$C1837*IFERROR(INDEX(PecCusto,MATCH($B1837,PecCod,0)),0))</f>
        <v>0</v>
      </c>
      <c r="I1837" s="32">
        <f>IF($A1837="","",IFERROR(INDEX(OSStatus,MATCH($A1837,OSNum,0)),"OS inexistente"))</f>
        <v>0</v>
      </c>
      <c r="J1837" s="32">
        <f>IF($A1837="","",IF($I1837="OS inexistente","OS inexistente",IF($E1837="Peça não cadastrada","Peça não cadastrada","OK")))</f>
        <v>0</v>
      </c>
    </row>
    <row r="1838" spans="1:10">
      <c r="A1838" s="17"/>
      <c r="B1838" s="13"/>
      <c r="C1838" s="20"/>
      <c r="D1838" s="19"/>
      <c r="E1838" s="26">
        <f>IF($B1838="","",IFERROR(INDEX(PecDesc,MATCH($B1838,PecCod,0)),"Peça não cadastrada"))</f>
        <v>0</v>
      </c>
      <c r="F1838" s="27">
        <f>IF($B1838="","",IF($D1838&lt;&gt;"",$D1838,IFERROR(INDEX(PecPreco,MATCH($B1838,PecCod,0)),0)))</f>
        <v>0</v>
      </c>
      <c r="G1838" s="27">
        <f>IF(OR($B1838="",$C1838=""),"",$C1838*$F1838)</f>
        <v>0</v>
      </c>
      <c r="H1838" s="27">
        <f>IF(OR($B1838="",$C1838=""),"",$C1838*IFERROR(INDEX(PecCusto,MATCH($B1838,PecCod,0)),0))</f>
        <v>0</v>
      </c>
      <c r="I1838" s="32">
        <f>IF($A1838="","",IFERROR(INDEX(OSStatus,MATCH($A1838,OSNum,0)),"OS inexistente"))</f>
        <v>0</v>
      </c>
      <c r="J1838" s="32">
        <f>IF($A1838="","",IF($I1838="OS inexistente","OS inexistente",IF($E1838="Peça não cadastrada","Peça não cadastrada","OK")))</f>
        <v>0</v>
      </c>
    </row>
    <row r="1839" spans="1:10">
      <c r="A1839" s="17"/>
      <c r="B1839" s="13"/>
      <c r="C1839" s="20"/>
      <c r="D1839" s="19"/>
      <c r="E1839" s="26">
        <f>IF($B1839="","",IFERROR(INDEX(PecDesc,MATCH($B1839,PecCod,0)),"Peça não cadastrada"))</f>
        <v>0</v>
      </c>
      <c r="F1839" s="27">
        <f>IF($B1839="","",IF($D1839&lt;&gt;"",$D1839,IFERROR(INDEX(PecPreco,MATCH($B1839,PecCod,0)),0)))</f>
        <v>0</v>
      </c>
      <c r="G1839" s="27">
        <f>IF(OR($B1839="",$C1839=""),"",$C1839*$F1839)</f>
        <v>0</v>
      </c>
      <c r="H1839" s="27">
        <f>IF(OR($B1839="",$C1839=""),"",$C1839*IFERROR(INDEX(PecCusto,MATCH($B1839,PecCod,0)),0))</f>
        <v>0</v>
      </c>
      <c r="I1839" s="32">
        <f>IF($A1839="","",IFERROR(INDEX(OSStatus,MATCH($A1839,OSNum,0)),"OS inexistente"))</f>
        <v>0</v>
      </c>
      <c r="J1839" s="32">
        <f>IF($A1839="","",IF($I1839="OS inexistente","OS inexistente",IF($E1839="Peça não cadastrada","Peça não cadastrada","OK")))</f>
        <v>0</v>
      </c>
    </row>
    <row r="1840" spans="1:10">
      <c r="A1840" s="17"/>
      <c r="B1840" s="13"/>
      <c r="C1840" s="20"/>
      <c r="D1840" s="19"/>
      <c r="E1840" s="26">
        <f>IF($B1840="","",IFERROR(INDEX(PecDesc,MATCH($B1840,PecCod,0)),"Peça não cadastrada"))</f>
        <v>0</v>
      </c>
      <c r="F1840" s="27">
        <f>IF($B1840="","",IF($D1840&lt;&gt;"",$D1840,IFERROR(INDEX(PecPreco,MATCH($B1840,PecCod,0)),0)))</f>
        <v>0</v>
      </c>
      <c r="G1840" s="27">
        <f>IF(OR($B1840="",$C1840=""),"",$C1840*$F1840)</f>
        <v>0</v>
      </c>
      <c r="H1840" s="27">
        <f>IF(OR($B1840="",$C1840=""),"",$C1840*IFERROR(INDEX(PecCusto,MATCH($B1840,PecCod,0)),0))</f>
        <v>0</v>
      </c>
      <c r="I1840" s="32">
        <f>IF($A1840="","",IFERROR(INDEX(OSStatus,MATCH($A1840,OSNum,0)),"OS inexistente"))</f>
        <v>0</v>
      </c>
      <c r="J1840" s="32">
        <f>IF($A1840="","",IF($I1840="OS inexistente","OS inexistente",IF($E1840="Peça não cadastrada","Peça não cadastrada","OK")))</f>
        <v>0</v>
      </c>
    </row>
    <row r="1841" spans="1:10">
      <c r="A1841" s="17"/>
      <c r="B1841" s="13"/>
      <c r="C1841" s="20"/>
      <c r="D1841" s="19"/>
      <c r="E1841" s="26">
        <f>IF($B1841="","",IFERROR(INDEX(PecDesc,MATCH($B1841,PecCod,0)),"Peça não cadastrada"))</f>
        <v>0</v>
      </c>
      <c r="F1841" s="27">
        <f>IF($B1841="","",IF($D1841&lt;&gt;"",$D1841,IFERROR(INDEX(PecPreco,MATCH($B1841,PecCod,0)),0)))</f>
        <v>0</v>
      </c>
      <c r="G1841" s="27">
        <f>IF(OR($B1841="",$C1841=""),"",$C1841*$F1841)</f>
        <v>0</v>
      </c>
      <c r="H1841" s="27">
        <f>IF(OR($B1841="",$C1841=""),"",$C1841*IFERROR(INDEX(PecCusto,MATCH($B1841,PecCod,0)),0))</f>
        <v>0</v>
      </c>
      <c r="I1841" s="32">
        <f>IF($A1841="","",IFERROR(INDEX(OSStatus,MATCH($A1841,OSNum,0)),"OS inexistente"))</f>
        <v>0</v>
      </c>
      <c r="J1841" s="32">
        <f>IF($A1841="","",IF($I1841="OS inexistente","OS inexistente",IF($E1841="Peça não cadastrada","Peça não cadastrada","OK")))</f>
        <v>0</v>
      </c>
    </row>
    <row r="1842" spans="1:10">
      <c r="A1842" s="17"/>
      <c r="B1842" s="13"/>
      <c r="C1842" s="20"/>
      <c r="D1842" s="19"/>
      <c r="E1842" s="26">
        <f>IF($B1842="","",IFERROR(INDEX(PecDesc,MATCH($B1842,PecCod,0)),"Peça não cadastrada"))</f>
        <v>0</v>
      </c>
      <c r="F1842" s="27">
        <f>IF($B1842="","",IF($D1842&lt;&gt;"",$D1842,IFERROR(INDEX(PecPreco,MATCH($B1842,PecCod,0)),0)))</f>
        <v>0</v>
      </c>
      <c r="G1842" s="27">
        <f>IF(OR($B1842="",$C1842=""),"",$C1842*$F1842)</f>
        <v>0</v>
      </c>
      <c r="H1842" s="27">
        <f>IF(OR($B1842="",$C1842=""),"",$C1842*IFERROR(INDEX(PecCusto,MATCH($B1842,PecCod,0)),0))</f>
        <v>0</v>
      </c>
      <c r="I1842" s="32">
        <f>IF($A1842="","",IFERROR(INDEX(OSStatus,MATCH($A1842,OSNum,0)),"OS inexistente"))</f>
        <v>0</v>
      </c>
      <c r="J1842" s="32">
        <f>IF($A1842="","",IF($I1842="OS inexistente","OS inexistente",IF($E1842="Peça não cadastrada","Peça não cadastrada","OK")))</f>
        <v>0</v>
      </c>
    </row>
    <row r="1843" spans="1:10">
      <c r="A1843" s="17"/>
      <c r="B1843" s="13"/>
      <c r="C1843" s="20"/>
      <c r="D1843" s="19"/>
      <c r="E1843" s="26">
        <f>IF($B1843="","",IFERROR(INDEX(PecDesc,MATCH($B1843,PecCod,0)),"Peça não cadastrada"))</f>
        <v>0</v>
      </c>
      <c r="F1843" s="27">
        <f>IF($B1843="","",IF($D1843&lt;&gt;"",$D1843,IFERROR(INDEX(PecPreco,MATCH($B1843,PecCod,0)),0)))</f>
        <v>0</v>
      </c>
      <c r="G1843" s="27">
        <f>IF(OR($B1843="",$C1843=""),"",$C1843*$F1843)</f>
        <v>0</v>
      </c>
      <c r="H1843" s="27">
        <f>IF(OR($B1843="",$C1843=""),"",$C1843*IFERROR(INDEX(PecCusto,MATCH($B1843,PecCod,0)),0))</f>
        <v>0</v>
      </c>
      <c r="I1843" s="32">
        <f>IF($A1843="","",IFERROR(INDEX(OSStatus,MATCH($A1843,OSNum,0)),"OS inexistente"))</f>
        <v>0</v>
      </c>
      <c r="J1843" s="32">
        <f>IF($A1843="","",IF($I1843="OS inexistente","OS inexistente",IF($E1843="Peça não cadastrada","Peça não cadastrada","OK")))</f>
        <v>0</v>
      </c>
    </row>
    <row r="1844" spans="1:10">
      <c r="A1844" s="17"/>
      <c r="B1844" s="13"/>
      <c r="C1844" s="20"/>
      <c r="D1844" s="19"/>
      <c r="E1844" s="26">
        <f>IF($B1844="","",IFERROR(INDEX(PecDesc,MATCH($B1844,PecCod,0)),"Peça não cadastrada"))</f>
        <v>0</v>
      </c>
      <c r="F1844" s="27">
        <f>IF($B1844="","",IF($D1844&lt;&gt;"",$D1844,IFERROR(INDEX(PecPreco,MATCH($B1844,PecCod,0)),0)))</f>
        <v>0</v>
      </c>
      <c r="G1844" s="27">
        <f>IF(OR($B1844="",$C1844=""),"",$C1844*$F1844)</f>
        <v>0</v>
      </c>
      <c r="H1844" s="27">
        <f>IF(OR($B1844="",$C1844=""),"",$C1844*IFERROR(INDEX(PecCusto,MATCH($B1844,PecCod,0)),0))</f>
        <v>0</v>
      </c>
      <c r="I1844" s="32">
        <f>IF($A1844="","",IFERROR(INDEX(OSStatus,MATCH($A1844,OSNum,0)),"OS inexistente"))</f>
        <v>0</v>
      </c>
      <c r="J1844" s="32">
        <f>IF($A1844="","",IF($I1844="OS inexistente","OS inexistente",IF($E1844="Peça não cadastrada","Peça não cadastrada","OK")))</f>
        <v>0</v>
      </c>
    </row>
    <row r="1845" spans="1:10">
      <c r="A1845" s="17"/>
      <c r="B1845" s="13"/>
      <c r="C1845" s="20"/>
      <c r="D1845" s="19"/>
      <c r="E1845" s="26">
        <f>IF($B1845="","",IFERROR(INDEX(PecDesc,MATCH($B1845,PecCod,0)),"Peça não cadastrada"))</f>
        <v>0</v>
      </c>
      <c r="F1845" s="27">
        <f>IF($B1845="","",IF($D1845&lt;&gt;"",$D1845,IFERROR(INDEX(PecPreco,MATCH($B1845,PecCod,0)),0)))</f>
        <v>0</v>
      </c>
      <c r="G1845" s="27">
        <f>IF(OR($B1845="",$C1845=""),"",$C1845*$F1845)</f>
        <v>0</v>
      </c>
      <c r="H1845" s="27">
        <f>IF(OR($B1845="",$C1845=""),"",$C1845*IFERROR(INDEX(PecCusto,MATCH($B1845,PecCod,0)),0))</f>
        <v>0</v>
      </c>
      <c r="I1845" s="32">
        <f>IF($A1845="","",IFERROR(INDEX(OSStatus,MATCH($A1845,OSNum,0)),"OS inexistente"))</f>
        <v>0</v>
      </c>
      <c r="J1845" s="32">
        <f>IF($A1845="","",IF($I1845="OS inexistente","OS inexistente",IF($E1845="Peça não cadastrada","Peça não cadastrada","OK")))</f>
        <v>0</v>
      </c>
    </row>
    <row r="1846" spans="1:10">
      <c r="A1846" s="17"/>
      <c r="B1846" s="13"/>
      <c r="C1846" s="20"/>
      <c r="D1846" s="19"/>
      <c r="E1846" s="26">
        <f>IF($B1846="","",IFERROR(INDEX(PecDesc,MATCH($B1846,PecCod,0)),"Peça não cadastrada"))</f>
        <v>0</v>
      </c>
      <c r="F1846" s="27">
        <f>IF($B1846="","",IF($D1846&lt;&gt;"",$D1846,IFERROR(INDEX(PecPreco,MATCH($B1846,PecCod,0)),0)))</f>
        <v>0</v>
      </c>
      <c r="G1846" s="27">
        <f>IF(OR($B1846="",$C1846=""),"",$C1846*$F1846)</f>
        <v>0</v>
      </c>
      <c r="H1846" s="27">
        <f>IF(OR($B1846="",$C1846=""),"",$C1846*IFERROR(INDEX(PecCusto,MATCH($B1846,PecCod,0)),0))</f>
        <v>0</v>
      </c>
      <c r="I1846" s="32">
        <f>IF($A1846="","",IFERROR(INDEX(OSStatus,MATCH($A1846,OSNum,0)),"OS inexistente"))</f>
        <v>0</v>
      </c>
      <c r="J1846" s="32">
        <f>IF($A1846="","",IF($I1846="OS inexistente","OS inexistente",IF($E1846="Peça não cadastrada","Peça não cadastrada","OK")))</f>
        <v>0</v>
      </c>
    </row>
    <row r="1847" spans="1:10">
      <c r="A1847" s="17"/>
      <c r="B1847" s="13"/>
      <c r="C1847" s="20"/>
      <c r="D1847" s="19"/>
      <c r="E1847" s="26">
        <f>IF($B1847="","",IFERROR(INDEX(PecDesc,MATCH($B1847,PecCod,0)),"Peça não cadastrada"))</f>
        <v>0</v>
      </c>
      <c r="F1847" s="27">
        <f>IF($B1847="","",IF($D1847&lt;&gt;"",$D1847,IFERROR(INDEX(PecPreco,MATCH($B1847,PecCod,0)),0)))</f>
        <v>0</v>
      </c>
      <c r="G1847" s="27">
        <f>IF(OR($B1847="",$C1847=""),"",$C1847*$F1847)</f>
        <v>0</v>
      </c>
      <c r="H1847" s="27">
        <f>IF(OR($B1847="",$C1847=""),"",$C1847*IFERROR(INDEX(PecCusto,MATCH($B1847,PecCod,0)),0))</f>
        <v>0</v>
      </c>
      <c r="I1847" s="32">
        <f>IF($A1847="","",IFERROR(INDEX(OSStatus,MATCH($A1847,OSNum,0)),"OS inexistente"))</f>
        <v>0</v>
      </c>
      <c r="J1847" s="32">
        <f>IF($A1847="","",IF($I1847="OS inexistente","OS inexistente",IF($E1847="Peça não cadastrada","Peça não cadastrada","OK")))</f>
        <v>0</v>
      </c>
    </row>
    <row r="1848" spans="1:10">
      <c r="A1848" s="17"/>
      <c r="B1848" s="13"/>
      <c r="C1848" s="20"/>
      <c r="D1848" s="19"/>
      <c r="E1848" s="26">
        <f>IF($B1848="","",IFERROR(INDEX(PecDesc,MATCH($B1848,PecCod,0)),"Peça não cadastrada"))</f>
        <v>0</v>
      </c>
      <c r="F1848" s="27">
        <f>IF($B1848="","",IF($D1848&lt;&gt;"",$D1848,IFERROR(INDEX(PecPreco,MATCH($B1848,PecCod,0)),0)))</f>
        <v>0</v>
      </c>
      <c r="G1848" s="27">
        <f>IF(OR($B1848="",$C1848=""),"",$C1848*$F1848)</f>
        <v>0</v>
      </c>
      <c r="H1848" s="27">
        <f>IF(OR($B1848="",$C1848=""),"",$C1848*IFERROR(INDEX(PecCusto,MATCH($B1848,PecCod,0)),0))</f>
        <v>0</v>
      </c>
      <c r="I1848" s="32">
        <f>IF($A1848="","",IFERROR(INDEX(OSStatus,MATCH($A1848,OSNum,0)),"OS inexistente"))</f>
        <v>0</v>
      </c>
      <c r="J1848" s="32">
        <f>IF($A1848="","",IF($I1848="OS inexistente","OS inexistente",IF($E1848="Peça não cadastrada","Peça não cadastrada","OK")))</f>
        <v>0</v>
      </c>
    </row>
    <row r="1849" spans="1:10">
      <c r="A1849" s="17"/>
      <c r="B1849" s="13"/>
      <c r="C1849" s="20"/>
      <c r="D1849" s="19"/>
      <c r="E1849" s="26">
        <f>IF($B1849="","",IFERROR(INDEX(PecDesc,MATCH($B1849,PecCod,0)),"Peça não cadastrada"))</f>
        <v>0</v>
      </c>
      <c r="F1849" s="27">
        <f>IF($B1849="","",IF($D1849&lt;&gt;"",$D1849,IFERROR(INDEX(PecPreco,MATCH($B1849,PecCod,0)),0)))</f>
        <v>0</v>
      </c>
      <c r="G1849" s="27">
        <f>IF(OR($B1849="",$C1849=""),"",$C1849*$F1849)</f>
        <v>0</v>
      </c>
      <c r="H1849" s="27">
        <f>IF(OR($B1849="",$C1849=""),"",$C1849*IFERROR(INDEX(PecCusto,MATCH($B1849,PecCod,0)),0))</f>
        <v>0</v>
      </c>
      <c r="I1849" s="32">
        <f>IF($A1849="","",IFERROR(INDEX(OSStatus,MATCH($A1849,OSNum,0)),"OS inexistente"))</f>
        <v>0</v>
      </c>
      <c r="J1849" s="32">
        <f>IF($A1849="","",IF($I1849="OS inexistente","OS inexistente",IF($E1849="Peça não cadastrada","Peça não cadastrada","OK")))</f>
        <v>0</v>
      </c>
    </row>
    <row r="1850" spans="1:10">
      <c r="A1850" s="17"/>
      <c r="B1850" s="13"/>
      <c r="C1850" s="20"/>
      <c r="D1850" s="19"/>
      <c r="E1850" s="26">
        <f>IF($B1850="","",IFERROR(INDEX(PecDesc,MATCH($B1850,PecCod,0)),"Peça não cadastrada"))</f>
        <v>0</v>
      </c>
      <c r="F1850" s="27">
        <f>IF($B1850="","",IF($D1850&lt;&gt;"",$D1850,IFERROR(INDEX(PecPreco,MATCH($B1850,PecCod,0)),0)))</f>
        <v>0</v>
      </c>
      <c r="G1850" s="27">
        <f>IF(OR($B1850="",$C1850=""),"",$C1850*$F1850)</f>
        <v>0</v>
      </c>
      <c r="H1850" s="27">
        <f>IF(OR($B1850="",$C1850=""),"",$C1850*IFERROR(INDEX(PecCusto,MATCH($B1850,PecCod,0)),0))</f>
        <v>0</v>
      </c>
      <c r="I1850" s="32">
        <f>IF($A1850="","",IFERROR(INDEX(OSStatus,MATCH($A1850,OSNum,0)),"OS inexistente"))</f>
        <v>0</v>
      </c>
      <c r="J1850" s="32">
        <f>IF($A1850="","",IF($I1850="OS inexistente","OS inexistente",IF($E1850="Peça não cadastrada","Peça não cadastrada","OK")))</f>
        <v>0</v>
      </c>
    </row>
    <row r="1851" spans="1:10">
      <c r="A1851" s="17"/>
      <c r="B1851" s="13"/>
      <c r="C1851" s="20"/>
      <c r="D1851" s="19"/>
      <c r="E1851" s="26">
        <f>IF($B1851="","",IFERROR(INDEX(PecDesc,MATCH($B1851,PecCod,0)),"Peça não cadastrada"))</f>
        <v>0</v>
      </c>
      <c r="F1851" s="27">
        <f>IF($B1851="","",IF($D1851&lt;&gt;"",$D1851,IFERROR(INDEX(PecPreco,MATCH($B1851,PecCod,0)),0)))</f>
        <v>0</v>
      </c>
      <c r="G1851" s="27">
        <f>IF(OR($B1851="",$C1851=""),"",$C1851*$F1851)</f>
        <v>0</v>
      </c>
      <c r="H1851" s="27">
        <f>IF(OR($B1851="",$C1851=""),"",$C1851*IFERROR(INDEX(PecCusto,MATCH($B1851,PecCod,0)),0))</f>
        <v>0</v>
      </c>
      <c r="I1851" s="32">
        <f>IF($A1851="","",IFERROR(INDEX(OSStatus,MATCH($A1851,OSNum,0)),"OS inexistente"))</f>
        <v>0</v>
      </c>
      <c r="J1851" s="32">
        <f>IF($A1851="","",IF($I1851="OS inexistente","OS inexistente",IF($E1851="Peça não cadastrada","Peça não cadastrada","OK")))</f>
        <v>0</v>
      </c>
    </row>
    <row r="1852" spans="1:10">
      <c r="A1852" s="17"/>
      <c r="B1852" s="13"/>
      <c r="C1852" s="20"/>
      <c r="D1852" s="19"/>
      <c r="E1852" s="26">
        <f>IF($B1852="","",IFERROR(INDEX(PecDesc,MATCH($B1852,PecCod,0)),"Peça não cadastrada"))</f>
        <v>0</v>
      </c>
      <c r="F1852" s="27">
        <f>IF($B1852="","",IF($D1852&lt;&gt;"",$D1852,IFERROR(INDEX(PecPreco,MATCH($B1852,PecCod,0)),0)))</f>
        <v>0</v>
      </c>
      <c r="G1852" s="27">
        <f>IF(OR($B1852="",$C1852=""),"",$C1852*$F1852)</f>
        <v>0</v>
      </c>
      <c r="H1852" s="27">
        <f>IF(OR($B1852="",$C1852=""),"",$C1852*IFERROR(INDEX(PecCusto,MATCH($B1852,PecCod,0)),0))</f>
        <v>0</v>
      </c>
      <c r="I1852" s="32">
        <f>IF($A1852="","",IFERROR(INDEX(OSStatus,MATCH($A1852,OSNum,0)),"OS inexistente"))</f>
        <v>0</v>
      </c>
      <c r="J1852" s="32">
        <f>IF($A1852="","",IF($I1852="OS inexistente","OS inexistente",IF($E1852="Peça não cadastrada","Peça não cadastrada","OK")))</f>
        <v>0</v>
      </c>
    </row>
    <row r="1853" spans="1:10">
      <c r="A1853" s="17"/>
      <c r="B1853" s="13"/>
      <c r="C1853" s="20"/>
      <c r="D1853" s="19"/>
      <c r="E1853" s="26">
        <f>IF($B1853="","",IFERROR(INDEX(PecDesc,MATCH($B1853,PecCod,0)),"Peça não cadastrada"))</f>
        <v>0</v>
      </c>
      <c r="F1853" s="27">
        <f>IF($B1853="","",IF($D1853&lt;&gt;"",$D1853,IFERROR(INDEX(PecPreco,MATCH($B1853,PecCod,0)),0)))</f>
        <v>0</v>
      </c>
      <c r="G1853" s="27">
        <f>IF(OR($B1853="",$C1853=""),"",$C1853*$F1853)</f>
        <v>0</v>
      </c>
      <c r="H1853" s="27">
        <f>IF(OR($B1853="",$C1853=""),"",$C1853*IFERROR(INDEX(PecCusto,MATCH($B1853,PecCod,0)),0))</f>
        <v>0</v>
      </c>
      <c r="I1853" s="32">
        <f>IF($A1853="","",IFERROR(INDEX(OSStatus,MATCH($A1853,OSNum,0)),"OS inexistente"))</f>
        <v>0</v>
      </c>
      <c r="J1853" s="32">
        <f>IF($A1853="","",IF($I1853="OS inexistente","OS inexistente",IF($E1853="Peça não cadastrada","Peça não cadastrada","OK")))</f>
        <v>0</v>
      </c>
    </row>
    <row r="1854" spans="1:10">
      <c r="A1854" s="17"/>
      <c r="B1854" s="13"/>
      <c r="C1854" s="20"/>
      <c r="D1854" s="19"/>
      <c r="E1854" s="26">
        <f>IF($B1854="","",IFERROR(INDEX(PecDesc,MATCH($B1854,PecCod,0)),"Peça não cadastrada"))</f>
        <v>0</v>
      </c>
      <c r="F1854" s="27">
        <f>IF($B1854="","",IF($D1854&lt;&gt;"",$D1854,IFERROR(INDEX(PecPreco,MATCH($B1854,PecCod,0)),0)))</f>
        <v>0</v>
      </c>
      <c r="G1854" s="27">
        <f>IF(OR($B1854="",$C1854=""),"",$C1854*$F1854)</f>
        <v>0</v>
      </c>
      <c r="H1854" s="27">
        <f>IF(OR($B1854="",$C1854=""),"",$C1854*IFERROR(INDEX(PecCusto,MATCH($B1854,PecCod,0)),0))</f>
        <v>0</v>
      </c>
      <c r="I1854" s="32">
        <f>IF($A1854="","",IFERROR(INDEX(OSStatus,MATCH($A1854,OSNum,0)),"OS inexistente"))</f>
        <v>0</v>
      </c>
      <c r="J1854" s="32">
        <f>IF($A1854="","",IF($I1854="OS inexistente","OS inexistente",IF($E1854="Peça não cadastrada","Peça não cadastrada","OK")))</f>
        <v>0</v>
      </c>
    </row>
    <row r="1855" spans="1:10">
      <c r="A1855" s="17"/>
      <c r="B1855" s="13"/>
      <c r="C1855" s="20"/>
      <c r="D1855" s="19"/>
      <c r="E1855" s="26">
        <f>IF($B1855="","",IFERROR(INDEX(PecDesc,MATCH($B1855,PecCod,0)),"Peça não cadastrada"))</f>
        <v>0</v>
      </c>
      <c r="F1855" s="27">
        <f>IF($B1855="","",IF($D1855&lt;&gt;"",$D1855,IFERROR(INDEX(PecPreco,MATCH($B1855,PecCod,0)),0)))</f>
        <v>0</v>
      </c>
      <c r="G1855" s="27">
        <f>IF(OR($B1855="",$C1855=""),"",$C1855*$F1855)</f>
        <v>0</v>
      </c>
      <c r="H1855" s="27">
        <f>IF(OR($B1855="",$C1855=""),"",$C1855*IFERROR(INDEX(PecCusto,MATCH($B1855,PecCod,0)),0))</f>
        <v>0</v>
      </c>
      <c r="I1855" s="32">
        <f>IF($A1855="","",IFERROR(INDEX(OSStatus,MATCH($A1855,OSNum,0)),"OS inexistente"))</f>
        <v>0</v>
      </c>
      <c r="J1855" s="32">
        <f>IF($A1855="","",IF($I1855="OS inexistente","OS inexistente",IF($E1855="Peça não cadastrada","Peça não cadastrada","OK")))</f>
        <v>0</v>
      </c>
    </row>
    <row r="1856" spans="1:10">
      <c r="A1856" s="17"/>
      <c r="B1856" s="13"/>
      <c r="C1856" s="20"/>
      <c r="D1856" s="19"/>
      <c r="E1856" s="26">
        <f>IF($B1856="","",IFERROR(INDEX(PecDesc,MATCH($B1856,PecCod,0)),"Peça não cadastrada"))</f>
        <v>0</v>
      </c>
      <c r="F1856" s="27">
        <f>IF($B1856="","",IF($D1856&lt;&gt;"",$D1856,IFERROR(INDEX(PecPreco,MATCH($B1856,PecCod,0)),0)))</f>
        <v>0</v>
      </c>
      <c r="G1856" s="27">
        <f>IF(OR($B1856="",$C1856=""),"",$C1856*$F1856)</f>
        <v>0</v>
      </c>
      <c r="H1856" s="27">
        <f>IF(OR($B1856="",$C1856=""),"",$C1856*IFERROR(INDEX(PecCusto,MATCH($B1856,PecCod,0)),0))</f>
        <v>0</v>
      </c>
      <c r="I1856" s="32">
        <f>IF($A1856="","",IFERROR(INDEX(OSStatus,MATCH($A1856,OSNum,0)),"OS inexistente"))</f>
        <v>0</v>
      </c>
      <c r="J1856" s="32">
        <f>IF($A1856="","",IF($I1856="OS inexistente","OS inexistente",IF($E1856="Peça não cadastrada","Peça não cadastrada","OK")))</f>
        <v>0</v>
      </c>
    </row>
    <row r="1857" spans="1:10">
      <c r="A1857" s="17"/>
      <c r="B1857" s="13"/>
      <c r="C1857" s="20"/>
      <c r="D1857" s="19"/>
      <c r="E1857" s="26">
        <f>IF($B1857="","",IFERROR(INDEX(PecDesc,MATCH($B1857,PecCod,0)),"Peça não cadastrada"))</f>
        <v>0</v>
      </c>
      <c r="F1857" s="27">
        <f>IF($B1857="","",IF($D1857&lt;&gt;"",$D1857,IFERROR(INDEX(PecPreco,MATCH($B1857,PecCod,0)),0)))</f>
        <v>0</v>
      </c>
      <c r="G1857" s="27">
        <f>IF(OR($B1857="",$C1857=""),"",$C1857*$F1857)</f>
        <v>0</v>
      </c>
      <c r="H1857" s="27">
        <f>IF(OR($B1857="",$C1857=""),"",$C1857*IFERROR(INDEX(PecCusto,MATCH($B1857,PecCod,0)),0))</f>
        <v>0</v>
      </c>
      <c r="I1857" s="32">
        <f>IF($A1857="","",IFERROR(INDEX(OSStatus,MATCH($A1857,OSNum,0)),"OS inexistente"))</f>
        <v>0</v>
      </c>
      <c r="J1857" s="32">
        <f>IF($A1857="","",IF($I1857="OS inexistente","OS inexistente",IF($E1857="Peça não cadastrada","Peça não cadastrada","OK")))</f>
        <v>0</v>
      </c>
    </row>
    <row r="1858" spans="1:10">
      <c r="A1858" s="17"/>
      <c r="B1858" s="13"/>
      <c r="C1858" s="20"/>
      <c r="D1858" s="19"/>
      <c r="E1858" s="26">
        <f>IF($B1858="","",IFERROR(INDEX(PecDesc,MATCH($B1858,PecCod,0)),"Peça não cadastrada"))</f>
        <v>0</v>
      </c>
      <c r="F1858" s="27">
        <f>IF($B1858="","",IF($D1858&lt;&gt;"",$D1858,IFERROR(INDEX(PecPreco,MATCH($B1858,PecCod,0)),0)))</f>
        <v>0</v>
      </c>
      <c r="G1858" s="27">
        <f>IF(OR($B1858="",$C1858=""),"",$C1858*$F1858)</f>
        <v>0</v>
      </c>
      <c r="H1858" s="27">
        <f>IF(OR($B1858="",$C1858=""),"",$C1858*IFERROR(INDEX(PecCusto,MATCH($B1858,PecCod,0)),0))</f>
        <v>0</v>
      </c>
      <c r="I1858" s="32">
        <f>IF($A1858="","",IFERROR(INDEX(OSStatus,MATCH($A1858,OSNum,0)),"OS inexistente"))</f>
        <v>0</v>
      </c>
      <c r="J1858" s="32">
        <f>IF($A1858="","",IF($I1858="OS inexistente","OS inexistente",IF($E1858="Peça não cadastrada","Peça não cadastrada","OK")))</f>
        <v>0</v>
      </c>
    </row>
    <row r="1859" spans="1:10">
      <c r="A1859" s="17"/>
      <c r="B1859" s="13"/>
      <c r="C1859" s="20"/>
      <c r="D1859" s="19"/>
      <c r="E1859" s="26">
        <f>IF($B1859="","",IFERROR(INDEX(PecDesc,MATCH($B1859,PecCod,0)),"Peça não cadastrada"))</f>
        <v>0</v>
      </c>
      <c r="F1859" s="27">
        <f>IF($B1859="","",IF($D1859&lt;&gt;"",$D1859,IFERROR(INDEX(PecPreco,MATCH($B1859,PecCod,0)),0)))</f>
        <v>0</v>
      </c>
      <c r="G1859" s="27">
        <f>IF(OR($B1859="",$C1859=""),"",$C1859*$F1859)</f>
        <v>0</v>
      </c>
      <c r="H1859" s="27">
        <f>IF(OR($B1859="",$C1859=""),"",$C1859*IFERROR(INDEX(PecCusto,MATCH($B1859,PecCod,0)),0))</f>
        <v>0</v>
      </c>
      <c r="I1859" s="32">
        <f>IF($A1859="","",IFERROR(INDEX(OSStatus,MATCH($A1859,OSNum,0)),"OS inexistente"))</f>
        <v>0</v>
      </c>
      <c r="J1859" s="32">
        <f>IF($A1859="","",IF($I1859="OS inexistente","OS inexistente",IF($E1859="Peça não cadastrada","Peça não cadastrada","OK")))</f>
        <v>0</v>
      </c>
    </row>
    <row r="1860" spans="1:10">
      <c r="A1860" s="17"/>
      <c r="B1860" s="13"/>
      <c r="C1860" s="20"/>
      <c r="D1860" s="19"/>
      <c r="E1860" s="26">
        <f>IF($B1860="","",IFERROR(INDEX(PecDesc,MATCH($B1860,PecCod,0)),"Peça não cadastrada"))</f>
        <v>0</v>
      </c>
      <c r="F1860" s="27">
        <f>IF($B1860="","",IF($D1860&lt;&gt;"",$D1860,IFERROR(INDEX(PecPreco,MATCH($B1860,PecCod,0)),0)))</f>
        <v>0</v>
      </c>
      <c r="G1860" s="27">
        <f>IF(OR($B1860="",$C1860=""),"",$C1860*$F1860)</f>
        <v>0</v>
      </c>
      <c r="H1860" s="27">
        <f>IF(OR($B1860="",$C1860=""),"",$C1860*IFERROR(INDEX(PecCusto,MATCH($B1860,PecCod,0)),0))</f>
        <v>0</v>
      </c>
      <c r="I1860" s="32">
        <f>IF($A1860="","",IFERROR(INDEX(OSStatus,MATCH($A1860,OSNum,0)),"OS inexistente"))</f>
        <v>0</v>
      </c>
      <c r="J1860" s="32">
        <f>IF($A1860="","",IF($I1860="OS inexistente","OS inexistente",IF($E1860="Peça não cadastrada","Peça não cadastrada","OK")))</f>
        <v>0</v>
      </c>
    </row>
    <row r="1861" spans="1:10">
      <c r="A1861" s="17"/>
      <c r="B1861" s="13"/>
      <c r="C1861" s="20"/>
      <c r="D1861" s="19"/>
      <c r="E1861" s="26">
        <f>IF($B1861="","",IFERROR(INDEX(PecDesc,MATCH($B1861,PecCod,0)),"Peça não cadastrada"))</f>
        <v>0</v>
      </c>
      <c r="F1861" s="27">
        <f>IF($B1861="","",IF($D1861&lt;&gt;"",$D1861,IFERROR(INDEX(PecPreco,MATCH($B1861,PecCod,0)),0)))</f>
        <v>0</v>
      </c>
      <c r="G1861" s="27">
        <f>IF(OR($B1861="",$C1861=""),"",$C1861*$F1861)</f>
        <v>0</v>
      </c>
      <c r="H1861" s="27">
        <f>IF(OR($B1861="",$C1861=""),"",$C1861*IFERROR(INDEX(PecCusto,MATCH($B1861,PecCod,0)),0))</f>
        <v>0</v>
      </c>
      <c r="I1861" s="32">
        <f>IF($A1861="","",IFERROR(INDEX(OSStatus,MATCH($A1861,OSNum,0)),"OS inexistente"))</f>
        <v>0</v>
      </c>
      <c r="J1861" s="32">
        <f>IF($A1861="","",IF($I1861="OS inexistente","OS inexistente",IF($E1861="Peça não cadastrada","Peça não cadastrada","OK")))</f>
        <v>0</v>
      </c>
    </row>
    <row r="1862" spans="1:10">
      <c r="A1862" s="17"/>
      <c r="B1862" s="13"/>
      <c r="C1862" s="20"/>
      <c r="D1862" s="19"/>
      <c r="E1862" s="26">
        <f>IF($B1862="","",IFERROR(INDEX(PecDesc,MATCH($B1862,PecCod,0)),"Peça não cadastrada"))</f>
        <v>0</v>
      </c>
      <c r="F1862" s="27">
        <f>IF($B1862="","",IF($D1862&lt;&gt;"",$D1862,IFERROR(INDEX(PecPreco,MATCH($B1862,PecCod,0)),0)))</f>
        <v>0</v>
      </c>
      <c r="G1862" s="27">
        <f>IF(OR($B1862="",$C1862=""),"",$C1862*$F1862)</f>
        <v>0</v>
      </c>
      <c r="H1862" s="27">
        <f>IF(OR($B1862="",$C1862=""),"",$C1862*IFERROR(INDEX(PecCusto,MATCH($B1862,PecCod,0)),0))</f>
        <v>0</v>
      </c>
      <c r="I1862" s="32">
        <f>IF($A1862="","",IFERROR(INDEX(OSStatus,MATCH($A1862,OSNum,0)),"OS inexistente"))</f>
        <v>0</v>
      </c>
      <c r="J1862" s="32">
        <f>IF($A1862="","",IF($I1862="OS inexistente","OS inexistente",IF($E1862="Peça não cadastrada","Peça não cadastrada","OK")))</f>
        <v>0</v>
      </c>
    </row>
    <row r="1863" spans="1:10">
      <c r="A1863" s="17"/>
      <c r="B1863" s="13"/>
      <c r="C1863" s="20"/>
      <c r="D1863" s="19"/>
      <c r="E1863" s="26">
        <f>IF($B1863="","",IFERROR(INDEX(PecDesc,MATCH($B1863,PecCod,0)),"Peça não cadastrada"))</f>
        <v>0</v>
      </c>
      <c r="F1863" s="27">
        <f>IF($B1863="","",IF($D1863&lt;&gt;"",$D1863,IFERROR(INDEX(PecPreco,MATCH($B1863,PecCod,0)),0)))</f>
        <v>0</v>
      </c>
      <c r="G1863" s="27">
        <f>IF(OR($B1863="",$C1863=""),"",$C1863*$F1863)</f>
        <v>0</v>
      </c>
      <c r="H1863" s="27">
        <f>IF(OR($B1863="",$C1863=""),"",$C1863*IFERROR(INDEX(PecCusto,MATCH($B1863,PecCod,0)),0))</f>
        <v>0</v>
      </c>
      <c r="I1863" s="32">
        <f>IF($A1863="","",IFERROR(INDEX(OSStatus,MATCH($A1863,OSNum,0)),"OS inexistente"))</f>
        <v>0</v>
      </c>
      <c r="J1863" s="32">
        <f>IF($A1863="","",IF($I1863="OS inexistente","OS inexistente",IF($E1863="Peça não cadastrada","Peça não cadastrada","OK")))</f>
        <v>0</v>
      </c>
    </row>
    <row r="1864" spans="1:10">
      <c r="A1864" s="17"/>
      <c r="B1864" s="13"/>
      <c r="C1864" s="20"/>
      <c r="D1864" s="19"/>
      <c r="E1864" s="26">
        <f>IF($B1864="","",IFERROR(INDEX(PecDesc,MATCH($B1864,PecCod,0)),"Peça não cadastrada"))</f>
        <v>0</v>
      </c>
      <c r="F1864" s="27">
        <f>IF($B1864="","",IF($D1864&lt;&gt;"",$D1864,IFERROR(INDEX(PecPreco,MATCH($B1864,PecCod,0)),0)))</f>
        <v>0</v>
      </c>
      <c r="G1864" s="27">
        <f>IF(OR($B1864="",$C1864=""),"",$C1864*$F1864)</f>
        <v>0</v>
      </c>
      <c r="H1864" s="27">
        <f>IF(OR($B1864="",$C1864=""),"",$C1864*IFERROR(INDEX(PecCusto,MATCH($B1864,PecCod,0)),0))</f>
        <v>0</v>
      </c>
      <c r="I1864" s="32">
        <f>IF($A1864="","",IFERROR(INDEX(OSStatus,MATCH($A1864,OSNum,0)),"OS inexistente"))</f>
        <v>0</v>
      </c>
      <c r="J1864" s="32">
        <f>IF($A1864="","",IF($I1864="OS inexistente","OS inexistente",IF($E1864="Peça não cadastrada","Peça não cadastrada","OK")))</f>
        <v>0</v>
      </c>
    </row>
    <row r="1865" spans="1:10">
      <c r="A1865" s="17"/>
      <c r="B1865" s="13"/>
      <c r="C1865" s="20"/>
      <c r="D1865" s="19"/>
      <c r="E1865" s="26">
        <f>IF($B1865="","",IFERROR(INDEX(PecDesc,MATCH($B1865,PecCod,0)),"Peça não cadastrada"))</f>
        <v>0</v>
      </c>
      <c r="F1865" s="27">
        <f>IF($B1865="","",IF($D1865&lt;&gt;"",$D1865,IFERROR(INDEX(PecPreco,MATCH($B1865,PecCod,0)),0)))</f>
        <v>0</v>
      </c>
      <c r="G1865" s="27">
        <f>IF(OR($B1865="",$C1865=""),"",$C1865*$F1865)</f>
        <v>0</v>
      </c>
      <c r="H1865" s="27">
        <f>IF(OR($B1865="",$C1865=""),"",$C1865*IFERROR(INDEX(PecCusto,MATCH($B1865,PecCod,0)),0))</f>
        <v>0</v>
      </c>
      <c r="I1865" s="32">
        <f>IF($A1865="","",IFERROR(INDEX(OSStatus,MATCH($A1865,OSNum,0)),"OS inexistente"))</f>
        <v>0</v>
      </c>
      <c r="J1865" s="32">
        <f>IF($A1865="","",IF($I1865="OS inexistente","OS inexistente",IF($E1865="Peça não cadastrada","Peça não cadastrada","OK")))</f>
        <v>0</v>
      </c>
    </row>
    <row r="1866" spans="1:10">
      <c r="A1866" s="17"/>
      <c r="B1866" s="13"/>
      <c r="C1866" s="20"/>
      <c r="D1866" s="19"/>
      <c r="E1866" s="26">
        <f>IF($B1866="","",IFERROR(INDEX(PecDesc,MATCH($B1866,PecCod,0)),"Peça não cadastrada"))</f>
        <v>0</v>
      </c>
      <c r="F1866" s="27">
        <f>IF($B1866="","",IF($D1866&lt;&gt;"",$D1866,IFERROR(INDEX(PecPreco,MATCH($B1866,PecCod,0)),0)))</f>
        <v>0</v>
      </c>
      <c r="G1866" s="27">
        <f>IF(OR($B1866="",$C1866=""),"",$C1866*$F1866)</f>
        <v>0</v>
      </c>
      <c r="H1866" s="27">
        <f>IF(OR($B1866="",$C1866=""),"",$C1866*IFERROR(INDEX(PecCusto,MATCH($B1866,PecCod,0)),0))</f>
        <v>0</v>
      </c>
      <c r="I1866" s="32">
        <f>IF($A1866="","",IFERROR(INDEX(OSStatus,MATCH($A1866,OSNum,0)),"OS inexistente"))</f>
        <v>0</v>
      </c>
      <c r="J1866" s="32">
        <f>IF($A1866="","",IF($I1866="OS inexistente","OS inexistente",IF($E1866="Peça não cadastrada","Peça não cadastrada","OK")))</f>
        <v>0</v>
      </c>
    </row>
    <row r="1867" spans="1:10">
      <c r="A1867" s="17"/>
      <c r="B1867" s="13"/>
      <c r="C1867" s="20"/>
      <c r="D1867" s="19"/>
      <c r="E1867" s="26">
        <f>IF($B1867="","",IFERROR(INDEX(PecDesc,MATCH($B1867,PecCod,0)),"Peça não cadastrada"))</f>
        <v>0</v>
      </c>
      <c r="F1867" s="27">
        <f>IF($B1867="","",IF($D1867&lt;&gt;"",$D1867,IFERROR(INDEX(PecPreco,MATCH($B1867,PecCod,0)),0)))</f>
        <v>0</v>
      </c>
      <c r="G1867" s="27">
        <f>IF(OR($B1867="",$C1867=""),"",$C1867*$F1867)</f>
        <v>0</v>
      </c>
      <c r="H1867" s="27">
        <f>IF(OR($B1867="",$C1867=""),"",$C1867*IFERROR(INDEX(PecCusto,MATCH($B1867,PecCod,0)),0))</f>
        <v>0</v>
      </c>
      <c r="I1867" s="32">
        <f>IF($A1867="","",IFERROR(INDEX(OSStatus,MATCH($A1867,OSNum,0)),"OS inexistente"))</f>
        <v>0</v>
      </c>
      <c r="J1867" s="32">
        <f>IF($A1867="","",IF($I1867="OS inexistente","OS inexistente",IF($E1867="Peça não cadastrada","Peça não cadastrada","OK")))</f>
        <v>0</v>
      </c>
    </row>
    <row r="1868" spans="1:10">
      <c r="A1868" s="17"/>
      <c r="B1868" s="13"/>
      <c r="C1868" s="20"/>
      <c r="D1868" s="19"/>
      <c r="E1868" s="26">
        <f>IF($B1868="","",IFERROR(INDEX(PecDesc,MATCH($B1868,PecCod,0)),"Peça não cadastrada"))</f>
        <v>0</v>
      </c>
      <c r="F1868" s="27">
        <f>IF($B1868="","",IF($D1868&lt;&gt;"",$D1868,IFERROR(INDEX(PecPreco,MATCH($B1868,PecCod,0)),0)))</f>
        <v>0</v>
      </c>
      <c r="G1868" s="27">
        <f>IF(OR($B1868="",$C1868=""),"",$C1868*$F1868)</f>
        <v>0</v>
      </c>
      <c r="H1868" s="27">
        <f>IF(OR($B1868="",$C1868=""),"",$C1868*IFERROR(INDEX(PecCusto,MATCH($B1868,PecCod,0)),0))</f>
        <v>0</v>
      </c>
      <c r="I1868" s="32">
        <f>IF($A1868="","",IFERROR(INDEX(OSStatus,MATCH($A1868,OSNum,0)),"OS inexistente"))</f>
        <v>0</v>
      </c>
      <c r="J1868" s="32">
        <f>IF($A1868="","",IF($I1868="OS inexistente","OS inexistente",IF($E1868="Peça não cadastrada","Peça não cadastrada","OK")))</f>
        <v>0</v>
      </c>
    </row>
    <row r="1869" spans="1:10">
      <c r="A1869" s="17"/>
      <c r="B1869" s="13"/>
      <c r="C1869" s="20"/>
      <c r="D1869" s="19"/>
      <c r="E1869" s="26">
        <f>IF($B1869="","",IFERROR(INDEX(PecDesc,MATCH($B1869,PecCod,0)),"Peça não cadastrada"))</f>
        <v>0</v>
      </c>
      <c r="F1869" s="27">
        <f>IF($B1869="","",IF($D1869&lt;&gt;"",$D1869,IFERROR(INDEX(PecPreco,MATCH($B1869,PecCod,0)),0)))</f>
        <v>0</v>
      </c>
      <c r="G1869" s="27">
        <f>IF(OR($B1869="",$C1869=""),"",$C1869*$F1869)</f>
        <v>0</v>
      </c>
      <c r="H1869" s="27">
        <f>IF(OR($B1869="",$C1869=""),"",$C1869*IFERROR(INDEX(PecCusto,MATCH($B1869,PecCod,0)),0))</f>
        <v>0</v>
      </c>
      <c r="I1869" s="32">
        <f>IF($A1869="","",IFERROR(INDEX(OSStatus,MATCH($A1869,OSNum,0)),"OS inexistente"))</f>
        <v>0</v>
      </c>
      <c r="J1869" s="32">
        <f>IF($A1869="","",IF($I1869="OS inexistente","OS inexistente",IF($E1869="Peça não cadastrada","Peça não cadastrada","OK")))</f>
        <v>0</v>
      </c>
    </row>
    <row r="1870" spans="1:10">
      <c r="A1870" s="17"/>
      <c r="B1870" s="13"/>
      <c r="C1870" s="20"/>
      <c r="D1870" s="19"/>
      <c r="E1870" s="26">
        <f>IF($B1870="","",IFERROR(INDEX(PecDesc,MATCH($B1870,PecCod,0)),"Peça não cadastrada"))</f>
        <v>0</v>
      </c>
      <c r="F1870" s="27">
        <f>IF($B1870="","",IF($D1870&lt;&gt;"",$D1870,IFERROR(INDEX(PecPreco,MATCH($B1870,PecCod,0)),0)))</f>
        <v>0</v>
      </c>
      <c r="G1870" s="27">
        <f>IF(OR($B1870="",$C1870=""),"",$C1870*$F1870)</f>
        <v>0</v>
      </c>
      <c r="H1870" s="27">
        <f>IF(OR($B1870="",$C1870=""),"",$C1870*IFERROR(INDEX(PecCusto,MATCH($B1870,PecCod,0)),0))</f>
        <v>0</v>
      </c>
      <c r="I1870" s="32">
        <f>IF($A1870="","",IFERROR(INDEX(OSStatus,MATCH($A1870,OSNum,0)),"OS inexistente"))</f>
        <v>0</v>
      </c>
      <c r="J1870" s="32">
        <f>IF($A1870="","",IF($I1870="OS inexistente","OS inexistente",IF($E1870="Peça não cadastrada","Peça não cadastrada","OK")))</f>
        <v>0</v>
      </c>
    </row>
    <row r="1871" spans="1:10">
      <c r="A1871" s="17"/>
      <c r="B1871" s="13"/>
      <c r="C1871" s="20"/>
      <c r="D1871" s="19"/>
      <c r="E1871" s="26">
        <f>IF($B1871="","",IFERROR(INDEX(PecDesc,MATCH($B1871,PecCod,0)),"Peça não cadastrada"))</f>
        <v>0</v>
      </c>
      <c r="F1871" s="27">
        <f>IF($B1871="","",IF($D1871&lt;&gt;"",$D1871,IFERROR(INDEX(PecPreco,MATCH($B1871,PecCod,0)),0)))</f>
        <v>0</v>
      </c>
      <c r="G1871" s="27">
        <f>IF(OR($B1871="",$C1871=""),"",$C1871*$F1871)</f>
        <v>0</v>
      </c>
      <c r="H1871" s="27">
        <f>IF(OR($B1871="",$C1871=""),"",$C1871*IFERROR(INDEX(PecCusto,MATCH($B1871,PecCod,0)),0))</f>
        <v>0</v>
      </c>
      <c r="I1871" s="32">
        <f>IF($A1871="","",IFERROR(INDEX(OSStatus,MATCH($A1871,OSNum,0)),"OS inexistente"))</f>
        <v>0</v>
      </c>
      <c r="J1871" s="32">
        <f>IF($A1871="","",IF($I1871="OS inexistente","OS inexistente",IF($E1871="Peça não cadastrada","Peça não cadastrada","OK")))</f>
        <v>0</v>
      </c>
    </row>
    <row r="1872" spans="1:10">
      <c r="A1872" s="17"/>
      <c r="B1872" s="13"/>
      <c r="C1872" s="20"/>
      <c r="D1872" s="19"/>
      <c r="E1872" s="26">
        <f>IF($B1872="","",IFERROR(INDEX(PecDesc,MATCH($B1872,PecCod,0)),"Peça não cadastrada"))</f>
        <v>0</v>
      </c>
      <c r="F1872" s="27">
        <f>IF($B1872="","",IF($D1872&lt;&gt;"",$D1872,IFERROR(INDEX(PecPreco,MATCH($B1872,PecCod,0)),0)))</f>
        <v>0</v>
      </c>
      <c r="G1872" s="27">
        <f>IF(OR($B1872="",$C1872=""),"",$C1872*$F1872)</f>
        <v>0</v>
      </c>
      <c r="H1872" s="27">
        <f>IF(OR($B1872="",$C1872=""),"",$C1872*IFERROR(INDEX(PecCusto,MATCH($B1872,PecCod,0)),0))</f>
        <v>0</v>
      </c>
      <c r="I1872" s="32">
        <f>IF($A1872="","",IFERROR(INDEX(OSStatus,MATCH($A1872,OSNum,0)),"OS inexistente"))</f>
        <v>0</v>
      </c>
      <c r="J1872" s="32">
        <f>IF($A1872="","",IF($I1872="OS inexistente","OS inexistente",IF($E1872="Peça não cadastrada","Peça não cadastrada","OK")))</f>
        <v>0</v>
      </c>
    </row>
    <row r="1873" spans="1:10">
      <c r="A1873" s="17"/>
      <c r="B1873" s="13"/>
      <c r="C1873" s="20"/>
      <c r="D1873" s="19"/>
      <c r="E1873" s="26">
        <f>IF($B1873="","",IFERROR(INDEX(PecDesc,MATCH($B1873,PecCod,0)),"Peça não cadastrada"))</f>
        <v>0</v>
      </c>
      <c r="F1873" s="27">
        <f>IF($B1873="","",IF($D1873&lt;&gt;"",$D1873,IFERROR(INDEX(PecPreco,MATCH($B1873,PecCod,0)),0)))</f>
        <v>0</v>
      </c>
      <c r="G1873" s="27">
        <f>IF(OR($B1873="",$C1873=""),"",$C1873*$F1873)</f>
        <v>0</v>
      </c>
      <c r="H1873" s="27">
        <f>IF(OR($B1873="",$C1873=""),"",$C1873*IFERROR(INDEX(PecCusto,MATCH($B1873,PecCod,0)),0))</f>
        <v>0</v>
      </c>
      <c r="I1873" s="32">
        <f>IF($A1873="","",IFERROR(INDEX(OSStatus,MATCH($A1873,OSNum,0)),"OS inexistente"))</f>
        <v>0</v>
      </c>
      <c r="J1873" s="32">
        <f>IF($A1873="","",IF($I1873="OS inexistente","OS inexistente",IF($E1873="Peça não cadastrada","Peça não cadastrada","OK")))</f>
        <v>0</v>
      </c>
    </row>
    <row r="1874" spans="1:10">
      <c r="A1874" s="17"/>
      <c r="B1874" s="13"/>
      <c r="C1874" s="20"/>
      <c r="D1874" s="19"/>
      <c r="E1874" s="26">
        <f>IF($B1874="","",IFERROR(INDEX(PecDesc,MATCH($B1874,PecCod,0)),"Peça não cadastrada"))</f>
        <v>0</v>
      </c>
      <c r="F1874" s="27">
        <f>IF($B1874="","",IF($D1874&lt;&gt;"",$D1874,IFERROR(INDEX(PecPreco,MATCH($B1874,PecCod,0)),0)))</f>
        <v>0</v>
      </c>
      <c r="G1874" s="27">
        <f>IF(OR($B1874="",$C1874=""),"",$C1874*$F1874)</f>
        <v>0</v>
      </c>
      <c r="H1874" s="27">
        <f>IF(OR($B1874="",$C1874=""),"",$C1874*IFERROR(INDEX(PecCusto,MATCH($B1874,PecCod,0)),0))</f>
        <v>0</v>
      </c>
      <c r="I1874" s="32">
        <f>IF($A1874="","",IFERROR(INDEX(OSStatus,MATCH($A1874,OSNum,0)),"OS inexistente"))</f>
        <v>0</v>
      </c>
      <c r="J1874" s="32">
        <f>IF($A1874="","",IF($I1874="OS inexistente","OS inexistente",IF($E1874="Peça não cadastrada","Peça não cadastrada","OK")))</f>
        <v>0</v>
      </c>
    </row>
    <row r="1875" spans="1:10">
      <c r="A1875" s="17"/>
      <c r="B1875" s="13"/>
      <c r="C1875" s="20"/>
      <c r="D1875" s="19"/>
      <c r="E1875" s="26">
        <f>IF($B1875="","",IFERROR(INDEX(PecDesc,MATCH($B1875,PecCod,0)),"Peça não cadastrada"))</f>
        <v>0</v>
      </c>
      <c r="F1875" s="27">
        <f>IF($B1875="","",IF($D1875&lt;&gt;"",$D1875,IFERROR(INDEX(PecPreco,MATCH($B1875,PecCod,0)),0)))</f>
        <v>0</v>
      </c>
      <c r="G1875" s="27">
        <f>IF(OR($B1875="",$C1875=""),"",$C1875*$F1875)</f>
        <v>0</v>
      </c>
      <c r="H1875" s="27">
        <f>IF(OR($B1875="",$C1875=""),"",$C1875*IFERROR(INDEX(PecCusto,MATCH($B1875,PecCod,0)),0))</f>
        <v>0</v>
      </c>
      <c r="I1875" s="32">
        <f>IF($A1875="","",IFERROR(INDEX(OSStatus,MATCH($A1875,OSNum,0)),"OS inexistente"))</f>
        <v>0</v>
      </c>
      <c r="J1875" s="32">
        <f>IF($A1875="","",IF($I1875="OS inexistente","OS inexistente",IF($E1875="Peça não cadastrada","Peça não cadastrada","OK")))</f>
        <v>0</v>
      </c>
    </row>
    <row r="1876" spans="1:10">
      <c r="A1876" s="17"/>
      <c r="B1876" s="13"/>
      <c r="C1876" s="20"/>
      <c r="D1876" s="19"/>
      <c r="E1876" s="26">
        <f>IF($B1876="","",IFERROR(INDEX(PecDesc,MATCH($B1876,PecCod,0)),"Peça não cadastrada"))</f>
        <v>0</v>
      </c>
      <c r="F1876" s="27">
        <f>IF($B1876="","",IF($D1876&lt;&gt;"",$D1876,IFERROR(INDEX(PecPreco,MATCH($B1876,PecCod,0)),0)))</f>
        <v>0</v>
      </c>
      <c r="G1876" s="27">
        <f>IF(OR($B1876="",$C1876=""),"",$C1876*$F1876)</f>
        <v>0</v>
      </c>
      <c r="H1876" s="27">
        <f>IF(OR($B1876="",$C1876=""),"",$C1876*IFERROR(INDEX(PecCusto,MATCH($B1876,PecCod,0)),0))</f>
        <v>0</v>
      </c>
      <c r="I1876" s="32">
        <f>IF($A1876="","",IFERROR(INDEX(OSStatus,MATCH($A1876,OSNum,0)),"OS inexistente"))</f>
        <v>0</v>
      </c>
      <c r="J1876" s="32">
        <f>IF($A1876="","",IF($I1876="OS inexistente","OS inexistente",IF($E1876="Peça não cadastrada","Peça não cadastrada","OK")))</f>
        <v>0</v>
      </c>
    </row>
    <row r="1877" spans="1:10">
      <c r="A1877" s="17"/>
      <c r="B1877" s="13"/>
      <c r="C1877" s="20"/>
      <c r="D1877" s="19"/>
      <c r="E1877" s="26">
        <f>IF($B1877="","",IFERROR(INDEX(PecDesc,MATCH($B1877,PecCod,0)),"Peça não cadastrada"))</f>
        <v>0</v>
      </c>
      <c r="F1877" s="27">
        <f>IF($B1877="","",IF($D1877&lt;&gt;"",$D1877,IFERROR(INDEX(PecPreco,MATCH($B1877,PecCod,0)),0)))</f>
        <v>0</v>
      </c>
      <c r="G1877" s="27">
        <f>IF(OR($B1877="",$C1877=""),"",$C1877*$F1877)</f>
        <v>0</v>
      </c>
      <c r="H1877" s="27">
        <f>IF(OR($B1877="",$C1877=""),"",$C1877*IFERROR(INDEX(PecCusto,MATCH($B1877,PecCod,0)),0))</f>
        <v>0</v>
      </c>
      <c r="I1877" s="32">
        <f>IF($A1877="","",IFERROR(INDEX(OSStatus,MATCH($A1877,OSNum,0)),"OS inexistente"))</f>
        <v>0</v>
      </c>
      <c r="J1877" s="32">
        <f>IF($A1877="","",IF($I1877="OS inexistente","OS inexistente",IF($E1877="Peça não cadastrada","Peça não cadastrada","OK")))</f>
        <v>0</v>
      </c>
    </row>
    <row r="1878" spans="1:10">
      <c r="A1878" s="17"/>
      <c r="B1878" s="13"/>
      <c r="C1878" s="20"/>
      <c r="D1878" s="19"/>
      <c r="E1878" s="26">
        <f>IF($B1878="","",IFERROR(INDEX(PecDesc,MATCH($B1878,PecCod,0)),"Peça não cadastrada"))</f>
        <v>0</v>
      </c>
      <c r="F1878" s="27">
        <f>IF($B1878="","",IF($D1878&lt;&gt;"",$D1878,IFERROR(INDEX(PecPreco,MATCH($B1878,PecCod,0)),0)))</f>
        <v>0</v>
      </c>
      <c r="G1878" s="27">
        <f>IF(OR($B1878="",$C1878=""),"",$C1878*$F1878)</f>
        <v>0</v>
      </c>
      <c r="H1878" s="27">
        <f>IF(OR($B1878="",$C1878=""),"",$C1878*IFERROR(INDEX(PecCusto,MATCH($B1878,PecCod,0)),0))</f>
        <v>0</v>
      </c>
      <c r="I1878" s="32">
        <f>IF($A1878="","",IFERROR(INDEX(OSStatus,MATCH($A1878,OSNum,0)),"OS inexistente"))</f>
        <v>0</v>
      </c>
      <c r="J1878" s="32">
        <f>IF($A1878="","",IF($I1878="OS inexistente","OS inexistente",IF($E1878="Peça não cadastrada","Peça não cadastrada","OK")))</f>
        <v>0</v>
      </c>
    </row>
    <row r="1879" spans="1:10">
      <c r="A1879" s="17"/>
      <c r="B1879" s="13"/>
      <c r="C1879" s="20"/>
      <c r="D1879" s="19"/>
      <c r="E1879" s="26">
        <f>IF($B1879="","",IFERROR(INDEX(PecDesc,MATCH($B1879,PecCod,0)),"Peça não cadastrada"))</f>
        <v>0</v>
      </c>
      <c r="F1879" s="27">
        <f>IF($B1879="","",IF($D1879&lt;&gt;"",$D1879,IFERROR(INDEX(PecPreco,MATCH($B1879,PecCod,0)),0)))</f>
        <v>0</v>
      </c>
      <c r="G1879" s="27">
        <f>IF(OR($B1879="",$C1879=""),"",$C1879*$F1879)</f>
        <v>0</v>
      </c>
      <c r="H1879" s="27">
        <f>IF(OR($B1879="",$C1879=""),"",$C1879*IFERROR(INDEX(PecCusto,MATCH($B1879,PecCod,0)),0))</f>
        <v>0</v>
      </c>
      <c r="I1879" s="32">
        <f>IF($A1879="","",IFERROR(INDEX(OSStatus,MATCH($A1879,OSNum,0)),"OS inexistente"))</f>
        <v>0</v>
      </c>
      <c r="J1879" s="32">
        <f>IF($A1879="","",IF($I1879="OS inexistente","OS inexistente",IF($E1879="Peça não cadastrada","Peça não cadastrada","OK")))</f>
        <v>0</v>
      </c>
    </row>
    <row r="1880" spans="1:10">
      <c r="A1880" s="17"/>
      <c r="B1880" s="13"/>
      <c r="C1880" s="20"/>
      <c r="D1880" s="19"/>
      <c r="E1880" s="26">
        <f>IF($B1880="","",IFERROR(INDEX(PecDesc,MATCH($B1880,PecCod,0)),"Peça não cadastrada"))</f>
        <v>0</v>
      </c>
      <c r="F1880" s="27">
        <f>IF($B1880="","",IF($D1880&lt;&gt;"",$D1880,IFERROR(INDEX(PecPreco,MATCH($B1880,PecCod,0)),0)))</f>
        <v>0</v>
      </c>
      <c r="G1880" s="27">
        <f>IF(OR($B1880="",$C1880=""),"",$C1880*$F1880)</f>
        <v>0</v>
      </c>
      <c r="H1880" s="27">
        <f>IF(OR($B1880="",$C1880=""),"",$C1880*IFERROR(INDEX(PecCusto,MATCH($B1880,PecCod,0)),0))</f>
        <v>0</v>
      </c>
      <c r="I1880" s="32">
        <f>IF($A1880="","",IFERROR(INDEX(OSStatus,MATCH($A1880,OSNum,0)),"OS inexistente"))</f>
        <v>0</v>
      </c>
      <c r="J1880" s="32">
        <f>IF($A1880="","",IF($I1880="OS inexistente","OS inexistente",IF($E1880="Peça não cadastrada","Peça não cadastrada","OK")))</f>
        <v>0</v>
      </c>
    </row>
    <row r="1881" spans="1:10">
      <c r="A1881" s="17"/>
      <c r="B1881" s="13"/>
      <c r="C1881" s="20"/>
      <c r="D1881" s="19"/>
      <c r="E1881" s="26">
        <f>IF($B1881="","",IFERROR(INDEX(PecDesc,MATCH($B1881,PecCod,0)),"Peça não cadastrada"))</f>
        <v>0</v>
      </c>
      <c r="F1881" s="27">
        <f>IF($B1881="","",IF($D1881&lt;&gt;"",$D1881,IFERROR(INDEX(PecPreco,MATCH($B1881,PecCod,0)),0)))</f>
        <v>0</v>
      </c>
      <c r="G1881" s="27">
        <f>IF(OR($B1881="",$C1881=""),"",$C1881*$F1881)</f>
        <v>0</v>
      </c>
      <c r="H1881" s="27">
        <f>IF(OR($B1881="",$C1881=""),"",$C1881*IFERROR(INDEX(PecCusto,MATCH($B1881,PecCod,0)),0))</f>
        <v>0</v>
      </c>
      <c r="I1881" s="32">
        <f>IF($A1881="","",IFERROR(INDEX(OSStatus,MATCH($A1881,OSNum,0)),"OS inexistente"))</f>
        <v>0</v>
      </c>
      <c r="J1881" s="32">
        <f>IF($A1881="","",IF($I1881="OS inexistente","OS inexistente",IF($E1881="Peça não cadastrada","Peça não cadastrada","OK")))</f>
        <v>0</v>
      </c>
    </row>
    <row r="1882" spans="1:10">
      <c r="A1882" s="17"/>
      <c r="B1882" s="13"/>
      <c r="C1882" s="20"/>
      <c r="D1882" s="19"/>
      <c r="E1882" s="26">
        <f>IF($B1882="","",IFERROR(INDEX(PecDesc,MATCH($B1882,PecCod,0)),"Peça não cadastrada"))</f>
        <v>0</v>
      </c>
      <c r="F1882" s="27">
        <f>IF($B1882="","",IF($D1882&lt;&gt;"",$D1882,IFERROR(INDEX(PecPreco,MATCH($B1882,PecCod,0)),0)))</f>
        <v>0</v>
      </c>
      <c r="G1882" s="27">
        <f>IF(OR($B1882="",$C1882=""),"",$C1882*$F1882)</f>
        <v>0</v>
      </c>
      <c r="H1882" s="27">
        <f>IF(OR($B1882="",$C1882=""),"",$C1882*IFERROR(INDEX(PecCusto,MATCH($B1882,PecCod,0)),0))</f>
        <v>0</v>
      </c>
      <c r="I1882" s="32">
        <f>IF($A1882="","",IFERROR(INDEX(OSStatus,MATCH($A1882,OSNum,0)),"OS inexistente"))</f>
        <v>0</v>
      </c>
      <c r="J1882" s="32">
        <f>IF($A1882="","",IF($I1882="OS inexistente","OS inexistente",IF($E1882="Peça não cadastrada","Peça não cadastrada","OK")))</f>
        <v>0</v>
      </c>
    </row>
    <row r="1883" spans="1:10">
      <c r="A1883" s="17"/>
      <c r="B1883" s="13"/>
      <c r="C1883" s="20"/>
      <c r="D1883" s="19"/>
      <c r="E1883" s="26">
        <f>IF($B1883="","",IFERROR(INDEX(PecDesc,MATCH($B1883,PecCod,0)),"Peça não cadastrada"))</f>
        <v>0</v>
      </c>
      <c r="F1883" s="27">
        <f>IF($B1883="","",IF($D1883&lt;&gt;"",$D1883,IFERROR(INDEX(PecPreco,MATCH($B1883,PecCod,0)),0)))</f>
        <v>0</v>
      </c>
      <c r="G1883" s="27">
        <f>IF(OR($B1883="",$C1883=""),"",$C1883*$F1883)</f>
        <v>0</v>
      </c>
      <c r="H1883" s="27">
        <f>IF(OR($B1883="",$C1883=""),"",$C1883*IFERROR(INDEX(PecCusto,MATCH($B1883,PecCod,0)),0))</f>
        <v>0</v>
      </c>
      <c r="I1883" s="32">
        <f>IF($A1883="","",IFERROR(INDEX(OSStatus,MATCH($A1883,OSNum,0)),"OS inexistente"))</f>
        <v>0</v>
      </c>
      <c r="J1883" s="32">
        <f>IF($A1883="","",IF($I1883="OS inexistente","OS inexistente",IF($E1883="Peça não cadastrada","Peça não cadastrada","OK")))</f>
        <v>0</v>
      </c>
    </row>
    <row r="1884" spans="1:10">
      <c r="A1884" s="17"/>
      <c r="B1884" s="13"/>
      <c r="C1884" s="20"/>
      <c r="D1884" s="19"/>
      <c r="E1884" s="26">
        <f>IF($B1884="","",IFERROR(INDEX(PecDesc,MATCH($B1884,PecCod,0)),"Peça não cadastrada"))</f>
        <v>0</v>
      </c>
      <c r="F1884" s="27">
        <f>IF($B1884="","",IF($D1884&lt;&gt;"",$D1884,IFERROR(INDEX(PecPreco,MATCH($B1884,PecCod,0)),0)))</f>
        <v>0</v>
      </c>
      <c r="G1884" s="27">
        <f>IF(OR($B1884="",$C1884=""),"",$C1884*$F1884)</f>
        <v>0</v>
      </c>
      <c r="H1884" s="27">
        <f>IF(OR($B1884="",$C1884=""),"",$C1884*IFERROR(INDEX(PecCusto,MATCH($B1884,PecCod,0)),0))</f>
        <v>0</v>
      </c>
      <c r="I1884" s="32">
        <f>IF($A1884="","",IFERROR(INDEX(OSStatus,MATCH($A1884,OSNum,0)),"OS inexistente"))</f>
        <v>0</v>
      </c>
      <c r="J1884" s="32">
        <f>IF($A1884="","",IF($I1884="OS inexistente","OS inexistente",IF($E1884="Peça não cadastrada","Peça não cadastrada","OK")))</f>
        <v>0</v>
      </c>
    </row>
    <row r="1885" spans="1:10">
      <c r="A1885" s="17"/>
      <c r="B1885" s="13"/>
      <c r="C1885" s="20"/>
      <c r="D1885" s="19"/>
      <c r="E1885" s="26">
        <f>IF($B1885="","",IFERROR(INDEX(PecDesc,MATCH($B1885,PecCod,0)),"Peça não cadastrada"))</f>
        <v>0</v>
      </c>
      <c r="F1885" s="27">
        <f>IF($B1885="","",IF($D1885&lt;&gt;"",$D1885,IFERROR(INDEX(PecPreco,MATCH($B1885,PecCod,0)),0)))</f>
        <v>0</v>
      </c>
      <c r="G1885" s="27">
        <f>IF(OR($B1885="",$C1885=""),"",$C1885*$F1885)</f>
        <v>0</v>
      </c>
      <c r="H1885" s="27">
        <f>IF(OR($B1885="",$C1885=""),"",$C1885*IFERROR(INDEX(PecCusto,MATCH($B1885,PecCod,0)),0))</f>
        <v>0</v>
      </c>
      <c r="I1885" s="32">
        <f>IF($A1885="","",IFERROR(INDEX(OSStatus,MATCH($A1885,OSNum,0)),"OS inexistente"))</f>
        <v>0</v>
      </c>
      <c r="J1885" s="32">
        <f>IF($A1885="","",IF($I1885="OS inexistente","OS inexistente",IF($E1885="Peça não cadastrada","Peça não cadastrada","OK")))</f>
        <v>0</v>
      </c>
    </row>
    <row r="1886" spans="1:10">
      <c r="A1886" s="17"/>
      <c r="B1886" s="13"/>
      <c r="C1886" s="20"/>
      <c r="D1886" s="19"/>
      <c r="E1886" s="26">
        <f>IF($B1886="","",IFERROR(INDEX(PecDesc,MATCH($B1886,PecCod,0)),"Peça não cadastrada"))</f>
        <v>0</v>
      </c>
      <c r="F1886" s="27">
        <f>IF($B1886="","",IF($D1886&lt;&gt;"",$D1886,IFERROR(INDEX(PecPreco,MATCH($B1886,PecCod,0)),0)))</f>
        <v>0</v>
      </c>
      <c r="G1886" s="27">
        <f>IF(OR($B1886="",$C1886=""),"",$C1886*$F1886)</f>
        <v>0</v>
      </c>
      <c r="H1886" s="27">
        <f>IF(OR($B1886="",$C1886=""),"",$C1886*IFERROR(INDEX(PecCusto,MATCH($B1886,PecCod,0)),0))</f>
        <v>0</v>
      </c>
      <c r="I1886" s="32">
        <f>IF($A1886="","",IFERROR(INDEX(OSStatus,MATCH($A1886,OSNum,0)),"OS inexistente"))</f>
        <v>0</v>
      </c>
      <c r="J1886" s="32">
        <f>IF($A1886="","",IF($I1886="OS inexistente","OS inexistente",IF($E1886="Peça não cadastrada","Peça não cadastrada","OK")))</f>
        <v>0</v>
      </c>
    </row>
    <row r="1887" spans="1:10">
      <c r="A1887" s="17"/>
      <c r="B1887" s="13"/>
      <c r="C1887" s="20"/>
      <c r="D1887" s="19"/>
      <c r="E1887" s="26">
        <f>IF($B1887="","",IFERROR(INDEX(PecDesc,MATCH($B1887,PecCod,0)),"Peça não cadastrada"))</f>
        <v>0</v>
      </c>
      <c r="F1887" s="27">
        <f>IF($B1887="","",IF($D1887&lt;&gt;"",$D1887,IFERROR(INDEX(PecPreco,MATCH($B1887,PecCod,0)),0)))</f>
        <v>0</v>
      </c>
      <c r="G1887" s="27">
        <f>IF(OR($B1887="",$C1887=""),"",$C1887*$F1887)</f>
        <v>0</v>
      </c>
      <c r="H1887" s="27">
        <f>IF(OR($B1887="",$C1887=""),"",$C1887*IFERROR(INDEX(PecCusto,MATCH($B1887,PecCod,0)),0))</f>
        <v>0</v>
      </c>
      <c r="I1887" s="32">
        <f>IF($A1887="","",IFERROR(INDEX(OSStatus,MATCH($A1887,OSNum,0)),"OS inexistente"))</f>
        <v>0</v>
      </c>
      <c r="J1887" s="32">
        <f>IF($A1887="","",IF($I1887="OS inexistente","OS inexistente",IF($E1887="Peça não cadastrada","Peça não cadastrada","OK")))</f>
        <v>0</v>
      </c>
    </row>
    <row r="1888" spans="1:10">
      <c r="A1888" s="17"/>
      <c r="B1888" s="13"/>
      <c r="C1888" s="20"/>
      <c r="D1888" s="19"/>
      <c r="E1888" s="26">
        <f>IF($B1888="","",IFERROR(INDEX(PecDesc,MATCH($B1888,PecCod,0)),"Peça não cadastrada"))</f>
        <v>0</v>
      </c>
      <c r="F1888" s="27">
        <f>IF($B1888="","",IF($D1888&lt;&gt;"",$D1888,IFERROR(INDEX(PecPreco,MATCH($B1888,PecCod,0)),0)))</f>
        <v>0</v>
      </c>
      <c r="G1888" s="27">
        <f>IF(OR($B1888="",$C1888=""),"",$C1888*$F1888)</f>
        <v>0</v>
      </c>
      <c r="H1888" s="27">
        <f>IF(OR($B1888="",$C1888=""),"",$C1888*IFERROR(INDEX(PecCusto,MATCH($B1888,PecCod,0)),0))</f>
        <v>0</v>
      </c>
      <c r="I1888" s="32">
        <f>IF($A1888="","",IFERROR(INDEX(OSStatus,MATCH($A1888,OSNum,0)),"OS inexistente"))</f>
        <v>0</v>
      </c>
      <c r="J1888" s="32">
        <f>IF($A1888="","",IF($I1888="OS inexistente","OS inexistente",IF($E1888="Peça não cadastrada","Peça não cadastrada","OK")))</f>
        <v>0</v>
      </c>
    </row>
    <row r="1889" spans="1:10">
      <c r="A1889" s="17"/>
      <c r="B1889" s="13"/>
      <c r="C1889" s="20"/>
      <c r="D1889" s="19"/>
      <c r="E1889" s="26">
        <f>IF($B1889="","",IFERROR(INDEX(PecDesc,MATCH($B1889,PecCod,0)),"Peça não cadastrada"))</f>
        <v>0</v>
      </c>
      <c r="F1889" s="27">
        <f>IF($B1889="","",IF($D1889&lt;&gt;"",$D1889,IFERROR(INDEX(PecPreco,MATCH($B1889,PecCod,0)),0)))</f>
        <v>0</v>
      </c>
      <c r="G1889" s="27">
        <f>IF(OR($B1889="",$C1889=""),"",$C1889*$F1889)</f>
        <v>0</v>
      </c>
      <c r="H1889" s="27">
        <f>IF(OR($B1889="",$C1889=""),"",$C1889*IFERROR(INDEX(PecCusto,MATCH($B1889,PecCod,0)),0))</f>
        <v>0</v>
      </c>
      <c r="I1889" s="32">
        <f>IF($A1889="","",IFERROR(INDEX(OSStatus,MATCH($A1889,OSNum,0)),"OS inexistente"))</f>
        <v>0</v>
      </c>
      <c r="J1889" s="32">
        <f>IF($A1889="","",IF($I1889="OS inexistente","OS inexistente",IF($E1889="Peça não cadastrada","Peça não cadastrada","OK")))</f>
        <v>0</v>
      </c>
    </row>
    <row r="1890" spans="1:10">
      <c r="A1890" s="17"/>
      <c r="B1890" s="13"/>
      <c r="C1890" s="20"/>
      <c r="D1890" s="19"/>
      <c r="E1890" s="26">
        <f>IF($B1890="","",IFERROR(INDEX(PecDesc,MATCH($B1890,PecCod,0)),"Peça não cadastrada"))</f>
        <v>0</v>
      </c>
      <c r="F1890" s="27">
        <f>IF($B1890="","",IF($D1890&lt;&gt;"",$D1890,IFERROR(INDEX(PecPreco,MATCH($B1890,PecCod,0)),0)))</f>
        <v>0</v>
      </c>
      <c r="G1890" s="27">
        <f>IF(OR($B1890="",$C1890=""),"",$C1890*$F1890)</f>
        <v>0</v>
      </c>
      <c r="H1890" s="27">
        <f>IF(OR($B1890="",$C1890=""),"",$C1890*IFERROR(INDEX(PecCusto,MATCH($B1890,PecCod,0)),0))</f>
        <v>0</v>
      </c>
      <c r="I1890" s="32">
        <f>IF($A1890="","",IFERROR(INDEX(OSStatus,MATCH($A1890,OSNum,0)),"OS inexistente"))</f>
        <v>0</v>
      </c>
      <c r="J1890" s="32">
        <f>IF($A1890="","",IF($I1890="OS inexistente","OS inexistente",IF($E1890="Peça não cadastrada","Peça não cadastrada","OK")))</f>
        <v>0</v>
      </c>
    </row>
    <row r="1891" spans="1:10">
      <c r="A1891" s="17"/>
      <c r="B1891" s="13"/>
      <c r="C1891" s="20"/>
      <c r="D1891" s="19"/>
      <c r="E1891" s="26">
        <f>IF($B1891="","",IFERROR(INDEX(PecDesc,MATCH($B1891,PecCod,0)),"Peça não cadastrada"))</f>
        <v>0</v>
      </c>
      <c r="F1891" s="27">
        <f>IF($B1891="","",IF($D1891&lt;&gt;"",$D1891,IFERROR(INDEX(PecPreco,MATCH($B1891,PecCod,0)),0)))</f>
        <v>0</v>
      </c>
      <c r="G1891" s="27">
        <f>IF(OR($B1891="",$C1891=""),"",$C1891*$F1891)</f>
        <v>0</v>
      </c>
      <c r="H1891" s="27">
        <f>IF(OR($B1891="",$C1891=""),"",$C1891*IFERROR(INDEX(PecCusto,MATCH($B1891,PecCod,0)),0))</f>
        <v>0</v>
      </c>
      <c r="I1891" s="32">
        <f>IF($A1891="","",IFERROR(INDEX(OSStatus,MATCH($A1891,OSNum,0)),"OS inexistente"))</f>
        <v>0</v>
      </c>
      <c r="J1891" s="32">
        <f>IF($A1891="","",IF($I1891="OS inexistente","OS inexistente",IF($E1891="Peça não cadastrada","Peça não cadastrada","OK")))</f>
        <v>0</v>
      </c>
    </row>
    <row r="1892" spans="1:10">
      <c r="A1892" s="17"/>
      <c r="B1892" s="13"/>
      <c r="C1892" s="20"/>
      <c r="D1892" s="19"/>
      <c r="E1892" s="26">
        <f>IF($B1892="","",IFERROR(INDEX(PecDesc,MATCH($B1892,PecCod,0)),"Peça não cadastrada"))</f>
        <v>0</v>
      </c>
      <c r="F1892" s="27">
        <f>IF($B1892="","",IF($D1892&lt;&gt;"",$D1892,IFERROR(INDEX(PecPreco,MATCH($B1892,PecCod,0)),0)))</f>
        <v>0</v>
      </c>
      <c r="G1892" s="27">
        <f>IF(OR($B1892="",$C1892=""),"",$C1892*$F1892)</f>
        <v>0</v>
      </c>
      <c r="H1892" s="27">
        <f>IF(OR($B1892="",$C1892=""),"",$C1892*IFERROR(INDEX(PecCusto,MATCH($B1892,PecCod,0)),0))</f>
        <v>0</v>
      </c>
      <c r="I1892" s="32">
        <f>IF($A1892="","",IFERROR(INDEX(OSStatus,MATCH($A1892,OSNum,0)),"OS inexistente"))</f>
        <v>0</v>
      </c>
      <c r="J1892" s="32">
        <f>IF($A1892="","",IF($I1892="OS inexistente","OS inexistente",IF($E1892="Peça não cadastrada","Peça não cadastrada","OK")))</f>
        <v>0</v>
      </c>
    </row>
    <row r="1893" spans="1:10">
      <c r="A1893" s="17"/>
      <c r="B1893" s="13"/>
      <c r="C1893" s="20"/>
      <c r="D1893" s="19"/>
      <c r="E1893" s="26">
        <f>IF($B1893="","",IFERROR(INDEX(PecDesc,MATCH($B1893,PecCod,0)),"Peça não cadastrada"))</f>
        <v>0</v>
      </c>
      <c r="F1893" s="27">
        <f>IF($B1893="","",IF($D1893&lt;&gt;"",$D1893,IFERROR(INDEX(PecPreco,MATCH($B1893,PecCod,0)),0)))</f>
        <v>0</v>
      </c>
      <c r="G1893" s="27">
        <f>IF(OR($B1893="",$C1893=""),"",$C1893*$F1893)</f>
        <v>0</v>
      </c>
      <c r="H1893" s="27">
        <f>IF(OR($B1893="",$C1893=""),"",$C1893*IFERROR(INDEX(PecCusto,MATCH($B1893,PecCod,0)),0))</f>
        <v>0</v>
      </c>
      <c r="I1893" s="32">
        <f>IF($A1893="","",IFERROR(INDEX(OSStatus,MATCH($A1893,OSNum,0)),"OS inexistente"))</f>
        <v>0</v>
      </c>
      <c r="J1893" s="32">
        <f>IF($A1893="","",IF($I1893="OS inexistente","OS inexistente",IF($E1893="Peça não cadastrada","Peça não cadastrada","OK")))</f>
        <v>0</v>
      </c>
    </row>
    <row r="1894" spans="1:10">
      <c r="A1894" s="17"/>
      <c r="B1894" s="13"/>
      <c r="C1894" s="20"/>
      <c r="D1894" s="19"/>
      <c r="E1894" s="26">
        <f>IF($B1894="","",IFERROR(INDEX(PecDesc,MATCH($B1894,PecCod,0)),"Peça não cadastrada"))</f>
        <v>0</v>
      </c>
      <c r="F1894" s="27">
        <f>IF($B1894="","",IF($D1894&lt;&gt;"",$D1894,IFERROR(INDEX(PecPreco,MATCH($B1894,PecCod,0)),0)))</f>
        <v>0</v>
      </c>
      <c r="G1894" s="27">
        <f>IF(OR($B1894="",$C1894=""),"",$C1894*$F1894)</f>
        <v>0</v>
      </c>
      <c r="H1894" s="27">
        <f>IF(OR($B1894="",$C1894=""),"",$C1894*IFERROR(INDEX(PecCusto,MATCH($B1894,PecCod,0)),0))</f>
        <v>0</v>
      </c>
      <c r="I1894" s="32">
        <f>IF($A1894="","",IFERROR(INDEX(OSStatus,MATCH($A1894,OSNum,0)),"OS inexistente"))</f>
        <v>0</v>
      </c>
      <c r="J1894" s="32">
        <f>IF($A1894="","",IF($I1894="OS inexistente","OS inexistente",IF($E1894="Peça não cadastrada","Peça não cadastrada","OK")))</f>
        <v>0</v>
      </c>
    </row>
    <row r="1895" spans="1:10">
      <c r="A1895" s="17"/>
      <c r="B1895" s="13"/>
      <c r="C1895" s="20"/>
      <c r="D1895" s="19"/>
      <c r="E1895" s="26">
        <f>IF($B1895="","",IFERROR(INDEX(PecDesc,MATCH($B1895,PecCod,0)),"Peça não cadastrada"))</f>
        <v>0</v>
      </c>
      <c r="F1895" s="27">
        <f>IF($B1895="","",IF($D1895&lt;&gt;"",$D1895,IFERROR(INDEX(PecPreco,MATCH($B1895,PecCod,0)),0)))</f>
        <v>0</v>
      </c>
      <c r="G1895" s="27">
        <f>IF(OR($B1895="",$C1895=""),"",$C1895*$F1895)</f>
        <v>0</v>
      </c>
      <c r="H1895" s="27">
        <f>IF(OR($B1895="",$C1895=""),"",$C1895*IFERROR(INDEX(PecCusto,MATCH($B1895,PecCod,0)),0))</f>
        <v>0</v>
      </c>
      <c r="I1895" s="32">
        <f>IF($A1895="","",IFERROR(INDEX(OSStatus,MATCH($A1895,OSNum,0)),"OS inexistente"))</f>
        <v>0</v>
      </c>
      <c r="J1895" s="32">
        <f>IF($A1895="","",IF($I1895="OS inexistente","OS inexistente",IF($E1895="Peça não cadastrada","Peça não cadastrada","OK")))</f>
        <v>0</v>
      </c>
    </row>
    <row r="1896" spans="1:10">
      <c r="A1896" s="17"/>
      <c r="B1896" s="13"/>
      <c r="C1896" s="20"/>
      <c r="D1896" s="19"/>
      <c r="E1896" s="26">
        <f>IF($B1896="","",IFERROR(INDEX(PecDesc,MATCH($B1896,PecCod,0)),"Peça não cadastrada"))</f>
        <v>0</v>
      </c>
      <c r="F1896" s="27">
        <f>IF($B1896="","",IF($D1896&lt;&gt;"",$D1896,IFERROR(INDEX(PecPreco,MATCH($B1896,PecCod,0)),0)))</f>
        <v>0</v>
      </c>
      <c r="G1896" s="27">
        <f>IF(OR($B1896="",$C1896=""),"",$C1896*$F1896)</f>
        <v>0</v>
      </c>
      <c r="H1896" s="27">
        <f>IF(OR($B1896="",$C1896=""),"",$C1896*IFERROR(INDEX(PecCusto,MATCH($B1896,PecCod,0)),0))</f>
        <v>0</v>
      </c>
      <c r="I1896" s="32">
        <f>IF($A1896="","",IFERROR(INDEX(OSStatus,MATCH($A1896,OSNum,0)),"OS inexistente"))</f>
        <v>0</v>
      </c>
      <c r="J1896" s="32">
        <f>IF($A1896="","",IF($I1896="OS inexistente","OS inexistente",IF($E1896="Peça não cadastrada","Peça não cadastrada","OK")))</f>
        <v>0</v>
      </c>
    </row>
    <row r="1897" spans="1:10">
      <c r="A1897" s="17"/>
      <c r="B1897" s="13"/>
      <c r="C1897" s="20"/>
      <c r="D1897" s="19"/>
      <c r="E1897" s="26">
        <f>IF($B1897="","",IFERROR(INDEX(PecDesc,MATCH($B1897,PecCod,0)),"Peça não cadastrada"))</f>
        <v>0</v>
      </c>
      <c r="F1897" s="27">
        <f>IF($B1897="","",IF($D1897&lt;&gt;"",$D1897,IFERROR(INDEX(PecPreco,MATCH($B1897,PecCod,0)),0)))</f>
        <v>0</v>
      </c>
      <c r="G1897" s="27">
        <f>IF(OR($B1897="",$C1897=""),"",$C1897*$F1897)</f>
        <v>0</v>
      </c>
      <c r="H1897" s="27">
        <f>IF(OR($B1897="",$C1897=""),"",$C1897*IFERROR(INDEX(PecCusto,MATCH($B1897,PecCod,0)),0))</f>
        <v>0</v>
      </c>
      <c r="I1897" s="32">
        <f>IF($A1897="","",IFERROR(INDEX(OSStatus,MATCH($A1897,OSNum,0)),"OS inexistente"))</f>
        <v>0</v>
      </c>
      <c r="J1897" s="32">
        <f>IF($A1897="","",IF($I1897="OS inexistente","OS inexistente",IF($E1897="Peça não cadastrada","Peça não cadastrada","OK")))</f>
        <v>0</v>
      </c>
    </row>
    <row r="1898" spans="1:10">
      <c r="A1898" s="17"/>
      <c r="B1898" s="13"/>
      <c r="C1898" s="20"/>
      <c r="D1898" s="19"/>
      <c r="E1898" s="26">
        <f>IF($B1898="","",IFERROR(INDEX(PecDesc,MATCH($B1898,PecCod,0)),"Peça não cadastrada"))</f>
        <v>0</v>
      </c>
      <c r="F1898" s="27">
        <f>IF($B1898="","",IF($D1898&lt;&gt;"",$D1898,IFERROR(INDEX(PecPreco,MATCH($B1898,PecCod,0)),0)))</f>
        <v>0</v>
      </c>
      <c r="G1898" s="27">
        <f>IF(OR($B1898="",$C1898=""),"",$C1898*$F1898)</f>
        <v>0</v>
      </c>
      <c r="H1898" s="27">
        <f>IF(OR($B1898="",$C1898=""),"",$C1898*IFERROR(INDEX(PecCusto,MATCH($B1898,PecCod,0)),0))</f>
        <v>0</v>
      </c>
      <c r="I1898" s="32">
        <f>IF($A1898="","",IFERROR(INDEX(OSStatus,MATCH($A1898,OSNum,0)),"OS inexistente"))</f>
        <v>0</v>
      </c>
      <c r="J1898" s="32">
        <f>IF($A1898="","",IF($I1898="OS inexistente","OS inexistente",IF($E1898="Peça não cadastrada","Peça não cadastrada","OK")))</f>
        <v>0</v>
      </c>
    </row>
    <row r="1899" spans="1:10">
      <c r="A1899" s="17"/>
      <c r="B1899" s="13"/>
      <c r="C1899" s="20"/>
      <c r="D1899" s="19"/>
      <c r="E1899" s="26">
        <f>IF($B1899="","",IFERROR(INDEX(PecDesc,MATCH($B1899,PecCod,0)),"Peça não cadastrada"))</f>
        <v>0</v>
      </c>
      <c r="F1899" s="27">
        <f>IF($B1899="","",IF($D1899&lt;&gt;"",$D1899,IFERROR(INDEX(PecPreco,MATCH($B1899,PecCod,0)),0)))</f>
        <v>0</v>
      </c>
      <c r="G1899" s="27">
        <f>IF(OR($B1899="",$C1899=""),"",$C1899*$F1899)</f>
        <v>0</v>
      </c>
      <c r="H1899" s="27">
        <f>IF(OR($B1899="",$C1899=""),"",$C1899*IFERROR(INDEX(PecCusto,MATCH($B1899,PecCod,0)),0))</f>
        <v>0</v>
      </c>
      <c r="I1899" s="32">
        <f>IF($A1899="","",IFERROR(INDEX(OSStatus,MATCH($A1899,OSNum,0)),"OS inexistente"))</f>
        <v>0</v>
      </c>
      <c r="J1899" s="32">
        <f>IF($A1899="","",IF($I1899="OS inexistente","OS inexistente",IF($E1899="Peça não cadastrada","Peça não cadastrada","OK")))</f>
        <v>0</v>
      </c>
    </row>
    <row r="1900" spans="1:10">
      <c r="A1900" s="17"/>
      <c r="B1900" s="13"/>
      <c r="C1900" s="20"/>
      <c r="D1900" s="19"/>
      <c r="E1900" s="26">
        <f>IF($B1900="","",IFERROR(INDEX(PecDesc,MATCH($B1900,PecCod,0)),"Peça não cadastrada"))</f>
        <v>0</v>
      </c>
      <c r="F1900" s="27">
        <f>IF($B1900="","",IF($D1900&lt;&gt;"",$D1900,IFERROR(INDEX(PecPreco,MATCH($B1900,PecCod,0)),0)))</f>
        <v>0</v>
      </c>
      <c r="G1900" s="27">
        <f>IF(OR($B1900="",$C1900=""),"",$C1900*$F1900)</f>
        <v>0</v>
      </c>
      <c r="H1900" s="27">
        <f>IF(OR($B1900="",$C1900=""),"",$C1900*IFERROR(INDEX(PecCusto,MATCH($B1900,PecCod,0)),0))</f>
        <v>0</v>
      </c>
      <c r="I1900" s="32">
        <f>IF($A1900="","",IFERROR(INDEX(OSStatus,MATCH($A1900,OSNum,0)),"OS inexistente"))</f>
        <v>0</v>
      </c>
      <c r="J1900" s="32">
        <f>IF($A1900="","",IF($I1900="OS inexistente","OS inexistente",IF($E1900="Peça não cadastrada","Peça não cadastrada","OK")))</f>
        <v>0</v>
      </c>
    </row>
    <row r="1901" spans="1:10">
      <c r="A1901" s="17"/>
      <c r="B1901" s="13"/>
      <c r="C1901" s="20"/>
      <c r="D1901" s="19"/>
      <c r="E1901" s="26">
        <f>IF($B1901="","",IFERROR(INDEX(PecDesc,MATCH($B1901,PecCod,0)),"Peça não cadastrada"))</f>
        <v>0</v>
      </c>
      <c r="F1901" s="27">
        <f>IF($B1901="","",IF($D1901&lt;&gt;"",$D1901,IFERROR(INDEX(PecPreco,MATCH($B1901,PecCod,0)),0)))</f>
        <v>0</v>
      </c>
      <c r="G1901" s="27">
        <f>IF(OR($B1901="",$C1901=""),"",$C1901*$F1901)</f>
        <v>0</v>
      </c>
      <c r="H1901" s="27">
        <f>IF(OR($B1901="",$C1901=""),"",$C1901*IFERROR(INDEX(PecCusto,MATCH($B1901,PecCod,0)),0))</f>
        <v>0</v>
      </c>
      <c r="I1901" s="32">
        <f>IF($A1901="","",IFERROR(INDEX(OSStatus,MATCH($A1901,OSNum,0)),"OS inexistente"))</f>
        <v>0</v>
      </c>
      <c r="J1901" s="32">
        <f>IF($A1901="","",IF($I1901="OS inexistente","OS inexistente",IF($E1901="Peça não cadastrada","Peça não cadastrada","OK")))</f>
        <v>0</v>
      </c>
    </row>
    <row r="1902" spans="1:10">
      <c r="A1902" s="17"/>
      <c r="B1902" s="13"/>
      <c r="C1902" s="20"/>
      <c r="D1902" s="19"/>
      <c r="E1902" s="26">
        <f>IF($B1902="","",IFERROR(INDEX(PecDesc,MATCH($B1902,PecCod,0)),"Peça não cadastrada"))</f>
        <v>0</v>
      </c>
      <c r="F1902" s="27">
        <f>IF($B1902="","",IF($D1902&lt;&gt;"",$D1902,IFERROR(INDEX(PecPreco,MATCH($B1902,PecCod,0)),0)))</f>
        <v>0</v>
      </c>
      <c r="G1902" s="27">
        <f>IF(OR($B1902="",$C1902=""),"",$C1902*$F1902)</f>
        <v>0</v>
      </c>
      <c r="H1902" s="27">
        <f>IF(OR($B1902="",$C1902=""),"",$C1902*IFERROR(INDEX(PecCusto,MATCH($B1902,PecCod,0)),0))</f>
        <v>0</v>
      </c>
      <c r="I1902" s="32">
        <f>IF($A1902="","",IFERROR(INDEX(OSStatus,MATCH($A1902,OSNum,0)),"OS inexistente"))</f>
        <v>0</v>
      </c>
      <c r="J1902" s="32">
        <f>IF($A1902="","",IF($I1902="OS inexistente","OS inexistente",IF($E1902="Peça não cadastrada","Peça não cadastrada","OK")))</f>
        <v>0</v>
      </c>
    </row>
    <row r="1903" spans="1:10">
      <c r="A1903" s="17"/>
      <c r="B1903" s="13"/>
      <c r="C1903" s="20"/>
      <c r="D1903" s="19"/>
      <c r="E1903" s="26">
        <f>IF($B1903="","",IFERROR(INDEX(PecDesc,MATCH($B1903,PecCod,0)),"Peça não cadastrada"))</f>
        <v>0</v>
      </c>
      <c r="F1903" s="27">
        <f>IF($B1903="","",IF($D1903&lt;&gt;"",$D1903,IFERROR(INDEX(PecPreco,MATCH($B1903,PecCod,0)),0)))</f>
        <v>0</v>
      </c>
      <c r="G1903" s="27">
        <f>IF(OR($B1903="",$C1903=""),"",$C1903*$F1903)</f>
        <v>0</v>
      </c>
      <c r="H1903" s="27">
        <f>IF(OR($B1903="",$C1903=""),"",$C1903*IFERROR(INDEX(PecCusto,MATCH($B1903,PecCod,0)),0))</f>
        <v>0</v>
      </c>
      <c r="I1903" s="32">
        <f>IF($A1903="","",IFERROR(INDEX(OSStatus,MATCH($A1903,OSNum,0)),"OS inexistente"))</f>
        <v>0</v>
      </c>
      <c r="J1903" s="32">
        <f>IF($A1903="","",IF($I1903="OS inexistente","OS inexistente",IF($E1903="Peça não cadastrada","Peça não cadastrada","OK")))</f>
        <v>0</v>
      </c>
    </row>
    <row r="1904" spans="1:10">
      <c r="A1904" s="17"/>
      <c r="B1904" s="13"/>
      <c r="C1904" s="20"/>
      <c r="D1904" s="19"/>
      <c r="E1904" s="26">
        <f>IF($B1904="","",IFERROR(INDEX(PecDesc,MATCH($B1904,PecCod,0)),"Peça não cadastrada"))</f>
        <v>0</v>
      </c>
      <c r="F1904" s="27">
        <f>IF($B1904="","",IF($D1904&lt;&gt;"",$D1904,IFERROR(INDEX(PecPreco,MATCH($B1904,PecCod,0)),0)))</f>
        <v>0</v>
      </c>
      <c r="G1904" s="27">
        <f>IF(OR($B1904="",$C1904=""),"",$C1904*$F1904)</f>
        <v>0</v>
      </c>
      <c r="H1904" s="27">
        <f>IF(OR($B1904="",$C1904=""),"",$C1904*IFERROR(INDEX(PecCusto,MATCH($B1904,PecCod,0)),0))</f>
        <v>0</v>
      </c>
      <c r="I1904" s="32">
        <f>IF($A1904="","",IFERROR(INDEX(OSStatus,MATCH($A1904,OSNum,0)),"OS inexistente"))</f>
        <v>0</v>
      </c>
      <c r="J1904" s="32">
        <f>IF($A1904="","",IF($I1904="OS inexistente","OS inexistente",IF($E1904="Peça não cadastrada","Peça não cadastrada","OK")))</f>
        <v>0</v>
      </c>
    </row>
    <row r="1905" spans="1:10">
      <c r="A1905" s="17"/>
      <c r="B1905" s="13"/>
      <c r="C1905" s="20"/>
      <c r="D1905" s="19"/>
      <c r="E1905" s="26">
        <f>IF($B1905="","",IFERROR(INDEX(PecDesc,MATCH($B1905,PecCod,0)),"Peça não cadastrada"))</f>
        <v>0</v>
      </c>
      <c r="F1905" s="27">
        <f>IF($B1905="","",IF($D1905&lt;&gt;"",$D1905,IFERROR(INDEX(PecPreco,MATCH($B1905,PecCod,0)),0)))</f>
        <v>0</v>
      </c>
      <c r="G1905" s="27">
        <f>IF(OR($B1905="",$C1905=""),"",$C1905*$F1905)</f>
        <v>0</v>
      </c>
      <c r="H1905" s="27">
        <f>IF(OR($B1905="",$C1905=""),"",$C1905*IFERROR(INDEX(PecCusto,MATCH($B1905,PecCod,0)),0))</f>
        <v>0</v>
      </c>
      <c r="I1905" s="32">
        <f>IF($A1905="","",IFERROR(INDEX(OSStatus,MATCH($A1905,OSNum,0)),"OS inexistente"))</f>
        <v>0</v>
      </c>
      <c r="J1905" s="32">
        <f>IF($A1905="","",IF($I1905="OS inexistente","OS inexistente",IF($E1905="Peça não cadastrada","Peça não cadastrada","OK")))</f>
        <v>0</v>
      </c>
    </row>
    <row r="1906" spans="1:10">
      <c r="A1906" s="17"/>
      <c r="B1906" s="13"/>
      <c r="C1906" s="20"/>
      <c r="D1906" s="19"/>
      <c r="E1906" s="26">
        <f>IF($B1906="","",IFERROR(INDEX(PecDesc,MATCH($B1906,PecCod,0)),"Peça não cadastrada"))</f>
        <v>0</v>
      </c>
      <c r="F1906" s="27">
        <f>IF($B1906="","",IF($D1906&lt;&gt;"",$D1906,IFERROR(INDEX(PecPreco,MATCH($B1906,PecCod,0)),0)))</f>
        <v>0</v>
      </c>
      <c r="G1906" s="27">
        <f>IF(OR($B1906="",$C1906=""),"",$C1906*$F1906)</f>
        <v>0</v>
      </c>
      <c r="H1906" s="27">
        <f>IF(OR($B1906="",$C1906=""),"",$C1906*IFERROR(INDEX(PecCusto,MATCH($B1906,PecCod,0)),0))</f>
        <v>0</v>
      </c>
      <c r="I1906" s="32">
        <f>IF($A1906="","",IFERROR(INDEX(OSStatus,MATCH($A1906,OSNum,0)),"OS inexistente"))</f>
        <v>0</v>
      </c>
      <c r="J1906" s="32">
        <f>IF($A1906="","",IF($I1906="OS inexistente","OS inexistente",IF($E1906="Peça não cadastrada","Peça não cadastrada","OK")))</f>
        <v>0</v>
      </c>
    </row>
    <row r="1907" spans="1:10">
      <c r="A1907" s="17"/>
      <c r="B1907" s="13"/>
      <c r="C1907" s="20"/>
      <c r="D1907" s="19"/>
      <c r="E1907" s="26">
        <f>IF($B1907="","",IFERROR(INDEX(PecDesc,MATCH($B1907,PecCod,0)),"Peça não cadastrada"))</f>
        <v>0</v>
      </c>
      <c r="F1907" s="27">
        <f>IF($B1907="","",IF($D1907&lt;&gt;"",$D1907,IFERROR(INDEX(PecPreco,MATCH($B1907,PecCod,0)),0)))</f>
        <v>0</v>
      </c>
      <c r="G1907" s="27">
        <f>IF(OR($B1907="",$C1907=""),"",$C1907*$F1907)</f>
        <v>0</v>
      </c>
      <c r="H1907" s="27">
        <f>IF(OR($B1907="",$C1907=""),"",$C1907*IFERROR(INDEX(PecCusto,MATCH($B1907,PecCod,0)),0))</f>
        <v>0</v>
      </c>
      <c r="I1907" s="32">
        <f>IF($A1907="","",IFERROR(INDEX(OSStatus,MATCH($A1907,OSNum,0)),"OS inexistente"))</f>
        <v>0</v>
      </c>
      <c r="J1907" s="32">
        <f>IF($A1907="","",IF($I1907="OS inexistente","OS inexistente",IF($E1907="Peça não cadastrada","Peça não cadastrada","OK")))</f>
        <v>0</v>
      </c>
    </row>
    <row r="1908" spans="1:10">
      <c r="A1908" s="17"/>
      <c r="B1908" s="13"/>
      <c r="C1908" s="20"/>
      <c r="D1908" s="19"/>
      <c r="E1908" s="26">
        <f>IF($B1908="","",IFERROR(INDEX(PecDesc,MATCH($B1908,PecCod,0)),"Peça não cadastrada"))</f>
        <v>0</v>
      </c>
      <c r="F1908" s="27">
        <f>IF($B1908="","",IF($D1908&lt;&gt;"",$D1908,IFERROR(INDEX(PecPreco,MATCH($B1908,PecCod,0)),0)))</f>
        <v>0</v>
      </c>
      <c r="G1908" s="27">
        <f>IF(OR($B1908="",$C1908=""),"",$C1908*$F1908)</f>
        <v>0</v>
      </c>
      <c r="H1908" s="27">
        <f>IF(OR($B1908="",$C1908=""),"",$C1908*IFERROR(INDEX(PecCusto,MATCH($B1908,PecCod,0)),0))</f>
        <v>0</v>
      </c>
      <c r="I1908" s="32">
        <f>IF($A1908="","",IFERROR(INDEX(OSStatus,MATCH($A1908,OSNum,0)),"OS inexistente"))</f>
        <v>0</v>
      </c>
      <c r="J1908" s="32">
        <f>IF($A1908="","",IF($I1908="OS inexistente","OS inexistente",IF($E1908="Peça não cadastrada","Peça não cadastrada","OK")))</f>
        <v>0</v>
      </c>
    </row>
    <row r="1909" spans="1:10">
      <c r="A1909" s="17"/>
      <c r="B1909" s="13"/>
      <c r="C1909" s="20"/>
      <c r="D1909" s="19"/>
      <c r="E1909" s="26">
        <f>IF($B1909="","",IFERROR(INDEX(PecDesc,MATCH($B1909,PecCod,0)),"Peça não cadastrada"))</f>
        <v>0</v>
      </c>
      <c r="F1909" s="27">
        <f>IF($B1909="","",IF($D1909&lt;&gt;"",$D1909,IFERROR(INDEX(PecPreco,MATCH($B1909,PecCod,0)),0)))</f>
        <v>0</v>
      </c>
      <c r="G1909" s="27">
        <f>IF(OR($B1909="",$C1909=""),"",$C1909*$F1909)</f>
        <v>0</v>
      </c>
      <c r="H1909" s="27">
        <f>IF(OR($B1909="",$C1909=""),"",$C1909*IFERROR(INDEX(PecCusto,MATCH($B1909,PecCod,0)),0))</f>
        <v>0</v>
      </c>
      <c r="I1909" s="32">
        <f>IF($A1909="","",IFERROR(INDEX(OSStatus,MATCH($A1909,OSNum,0)),"OS inexistente"))</f>
        <v>0</v>
      </c>
      <c r="J1909" s="32">
        <f>IF($A1909="","",IF($I1909="OS inexistente","OS inexistente",IF($E1909="Peça não cadastrada","Peça não cadastrada","OK")))</f>
        <v>0</v>
      </c>
    </row>
    <row r="1910" spans="1:10">
      <c r="A1910" s="17"/>
      <c r="B1910" s="13"/>
      <c r="C1910" s="20"/>
      <c r="D1910" s="19"/>
      <c r="E1910" s="26">
        <f>IF($B1910="","",IFERROR(INDEX(PecDesc,MATCH($B1910,PecCod,0)),"Peça não cadastrada"))</f>
        <v>0</v>
      </c>
      <c r="F1910" s="27">
        <f>IF($B1910="","",IF($D1910&lt;&gt;"",$D1910,IFERROR(INDEX(PecPreco,MATCH($B1910,PecCod,0)),0)))</f>
        <v>0</v>
      </c>
      <c r="G1910" s="27">
        <f>IF(OR($B1910="",$C1910=""),"",$C1910*$F1910)</f>
        <v>0</v>
      </c>
      <c r="H1910" s="27">
        <f>IF(OR($B1910="",$C1910=""),"",$C1910*IFERROR(INDEX(PecCusto,MATCH($B1910,PecCod,0)),0))</f>
        <v>0</v>
      </c>
      <c r="I1910" s="32">
        <f>IF($A1910="","",IFERROR(INDEX(OSStatus,MATCH($A1910,OSNum,0)),"OS inexistente"))</f>
        <v>0</v>
      </c>
      <c r="J1910" s="32">
        <f>IF($A1910="","",IF($I1910="OS inexistente","OS inexistente",IF($E1910="Peça não cadastrada","Peça não cadastrada","OK")))</f>
        <v>0</v>
      </c>
    </row>
    <row r="1911" spans="1:10">
      <c r="A1911" s="17"/>
      <c r="B1911" s="13"/>
      <c r="C1911" s="20"/>
      <c r="D1911" s="19"/>
      <c r="E1911" s="26">
        <f>IF($B1911="","",IFERROR(INDEX(PecDesc,MATCH($B1911,PecCod,0)),"Peça não cadastrada"))</f>
        <v>0</v>
      </c>
      <c r="F1911" s="27">
        <f>IF($B1911="","",IF($D1911&lt;&gt;"",$D1911,IFERROR(INDEX(PecPreco,MATCH($B1911,PecCod,0)),0)))</f>
        <v>0</v>
      </c>
      <c r="G1911" s="27">
        <f>IF(OR($B1911="",$C1911=""),"",$C1911*$F1911)</f>
        <v>0</v>
      </c>
      <c r="H1911" s="27">
        <f>IF(OR($B1911="",$C1911=""),"",$C1911*IFERROR(INDEX(PecCusto,MATCH($B1911,PecCod,0)),0))</f>
        <v>0</v>
      </c>
      <c r="I1911" s="32">
        <f>IF($A1911="","",IFERROR(INDEX(OSStatus,MATCH($A1911,OSNum,0)),"OS inexistente"))</f>
        <v>0</v>
      </c>
      <c r="J1911" s="32">
        <f>IF($A1911="","",IF($I1911="OS inexistente","OS inexistente",IF($E1911="Peça não cadastrada","Peça não cadastrada","OK")))</f>
        <v>0</v>
      </c>
    </row>
    <row r="1912" spans="1:10">
      <c r="A1912" s="17"/>
      <c r="B1912" s="13"/>
      <c r="C1912" s="20"/>
      <c r="D1912" s="19"/>
      <c r="E1912" s="26">
        <f>IF($B1912="","",IFERROR(INDEX(PecDesc,MATCH($B1912,PecCod,0)),"Peça não cadastrada"))</f>
        <v>0</v>
      </c>
      <c r="F1912" s="27">
        <f>IF($B1912="","",IF($D1912&lt;&gt;"",$D1912,IFERROR(INDEX(PecPreco,MATCH($B1912,PecCod,0)),0)))</f>
        <v>0</v>
      </c>
      <c r="G1912" s="27">
        <f>IF(OR($B1912="",$C1912=""),"",$C1912*$F1912)</f>
        <v>0</v>
      </c>
      <c r="H1912" s="27">
        <f>IF(OR($B1912="",$C1912=""),"",$C1912*IFERROR(INDEX(PecCusto,MATCH($B1912,PecCod,0)),0))</f>
        <v>0</v>
      </c>
      <c r="I1912" s="32">
        <f>IF($A1912="","",IFERROR(INDEX(OSStatus,MATCH($A1912,OSNum,0)),"OS inexistente"))</f>
        <v>0</v>
      </c>
      <c r="J1912" s="32">
        <f>IF($A1912="","",IF($I1912="OS inexistente","OS inexistente",IF($E1912="Peça não cadastrada","Peça não cadastrada","OK")))</f>
        <v>0</v>
      </c>
    </row>
    <row r="1913" spans="1:10">
      <c r="A1913" s="17"/>
      <c r="B1913" s="13"/>
      <c r="C1913" s="20"/>
      <c r="D1913" s="19"/>
      <c r="E1913" s="26">
        <f>IF($B1913="","",IFERROR(INDEX(PecDesc,MATCH($B1913,PecCod,0)),"Peça não cadastrada"))</f>
        <v>0</v>
      </c>
      <c r="F1913" s="27">
        <f>IF($B1913="","",IF($D1913&lt;&gt;"",$D1913,IFERROR(INDEX(PecPreco,MATCH($B1913,PecCod,0)),0)))</f>
        <v>0</v>
      </c>
      <c r="G1913" s="27">
        <f>IF(OR($B1913="",$C1913=""),"",$C1913*$F1913)</f>
        <v>0</v>
      </c>
      <c r="H1913" s="27">
        <f>IF(OR($B1913="",$C1913=""),"",$C1913*IFERROR(INDEX(PecCusto,MATCH($B1913,PecCod,0)),0))</f>
        <v>0</v>
      </c>
      <c r="I1913" s="32">
        <f>IF($A1913="","",IFERROR(INDEX(OSStatus,MATCH($A1913,OSNum,0)),"OS inexistente"))</f>
        <v>0</v>
      </c>
      <c r="J1913" s="32">
        <f>IF($A1913="","",IF($I1913="OS inexistente","OS inexistente",IF($E1913="Peça não cadastrada","Peça não cadastrada","OK")))</f>
        <v>0</v>
      </c>
    </row>
    <row r="1914" spans="1:10">
      <c r="A1914" s="17"/>
      <c r="B1914" s="13"/>
      <c r="C1914" s="20"/>
      <c r="D1914" s="19"/>
      <c r="E1914" s="26">
        <f>IF($B1914="","",IFERROR(INDEX(PecDesc,MATCH($B1914,PecCod,0)),"Peça não cadastrada"))</f>
        <v>0</v>
      </c>
      <c r="F1914" s="27">
        <f>IF($B1914="","",IF($D1914&lt;&gt;"",$D1914,IFERROR(INDEX(PecPreco,MATCH($B1914,PecCod,0)),0)))</f>
        <v>0</v>
      </c>
      <c r="G1914" s="27">
        <f>IF(OR($B1914="",$C1914=""),"",$C1914*$F1914)</f>
        <v>0</v>
      </c>
      <c r="H1914" s="27">
        <f>IF(OR($B1914="",$C1914=""),"",$C1914*IFERROR(INDEX(PecCusto,MATCH($B1914,PecCod,0)),0))</f>
        <v>0</v>
      </c>
      <c r="I1914" s="32">
        <f>IF($A1914="","",IFERROR(INDEX(OSStatus,MATCH($A1914,OSNum,0)),"OS inexistente"))</f>
        <v>0</v>
      </c>
      <c r="J1914" s="32">
        <f>IF($A1914="","",IF($I1914="OS inexistente","OS inexistente",IF($E1914="Peça não cadastrada","Peça não cadastrada","OK")))</f>
        <v>0</v>
      </c>
    </row>
    <row r="1915" spans="1:10">
      <c r="A1915" s="17"/>
      <c r="B1915" s="13"/>
      <c r="C1915" s="20"/>
      <c r="D1915" s="19"/>
      <c r="E1915" s="26">
        <f>IF($B1915="","",IFERROR(INDEX(PecDesc,MATCH($B1915,PecCod,0)),"Peça não cadastrada"))</f>
        <v>0</v>
      </c>
      <c r="F1915" s="27">
        <f>IF($B1915="","",IF($D1915&lt;&gt;"",$D1915,IFERROR(INDEX(PecPreco,MATCH($B1915,PecCod,0)),0)))</f>
        <v>0</v>
      </c>
      <c r="G1915" s="27">
        <f>IF(OR($B1915="",$C1915=""),"",$C1915*$F1915)</f>
        <v>0</v>
      </c>
      <c r="H1915" s="27">
        <f>IF(OR($B1915="",$C1915=""),"",$C1915*IFERROR(INDEX(PecCusto,MATCH($B1915,PecCod,0)),0))</f>
        <v>0</v>
      </c>
      <c r="I1915" s="32">
        <f>IF($A1915="","",IFERROR(INDEX(OSStatus,MATCH($A1915,OSNum,0)),"OS inexistente"))</f>
        <v>0</v>
      </c>
      <c r="J1915" s="32">
        <f>IF($A1915="","",IF($I1915="OS inexistente","OS inexistente",IF($E1915="Peça não cadastrada","Peça não cadastrada","OK")))</f>
        <v>0</v>
      </c>
    </row>
    <row r="1916" spans="1:10">
      <c r="A1916" s="17"/>
      <c r="B1916" s="13"/>
      <c r="C1916" s="20"/>
      <c r="D1916" s="19"/>
      <c r="E1916" s="26">
        <f>IF($B1916="","",IFERROR(INDEX(PecDesc,MATCH($B1916,PecCod,0)),"Peça não cadastrada"))</f>
        <v>0</v>
      </c>
      <c r="F1916" s="27">
        <f>IF($B1916="","",IF($D1916&lt;&gt;"",$D1916,IFERROR(INDEX(PecPreco,MATCH($B1916,PecCod,0)),0)))</f>
        <v>0</v>
      </c>
      <c r="G1916" s="27">
        <f>IF(OR($B1916="",$C1916=""),"",$C1916*$F1916)</f>
        <v>0</v>
      </c>
      <c r="H1916" s="27">
        <f>IF(OR($B1916="",$C1916=""),"",$C1916*IFERROR(INDEX(PecCusto,MATCH($B1916,PecCod,0)),0))</f>
        <v>0</v>
      </c>
      <c r="I1916" s="32">
        <f>IF($A1916="","",IFERROR(INDEX(OSStatus,MATCH($A1916,OSNum,0)),"OS inexistente"))</f>
        <v>0</v>
      </c>
      <c r="J1916" s="32">
        <f>IF($A1916="","",IF($I1916="OS inexistente","OS inexistente",IF($E1916="Peça não cadastrada","Peça não cadastrada","OK")))</f>
        <v>0</v>
      </c>
    </row>
    <row r="1917" spans="1:10">
      <c r="A1917" s="17"/>
      <c r="B1917" s="13"/>
      <c r="C1917" s="20"/>
      <c r="D1917" s="19"/>
      <c r="E1917" s="26">
        <f>IF($B1917="","",IFERROR(INDEX(PecDesc,MATCH($B1917,PecCod,0)),"Peça não cadastrada"))</f>
        <v>0</v>
      </c>
      <c r="F1917" s="27">
        <f>IF($B1917="","",IF($D1917&lt;&gt;"",$D1917,IFERROR(INDEX(PecPreco,MATCH($B1917,PecCod,0)),0)))</f>
        <v>0</v>
      </c>
      <c r="G1917" s="27">
        <f>IF(OR($B1917="",$C1917=""),"",$C1917*$F1917)</f>
        <v>0</v>
      </c>
      <c r="H1917" s="27">
        <f>IF(OR($B1917="",$C1917=""),"",$C1917*IFERROR(INDEX(PecCusto,MATCH($B1917,PecCod,0)),0))</f>
        <v>0</v>
      </c>
      <c r="I1917" s="32">
        <f>IF($A1917="","",IFERROR(INDEX(OSStatus,MATCH($A1917,OSNum,0)),"OS inexistente"))</f>
        <v>0</v>
      </c>
      <c r="J1917" s="32">
        <f>IF($A1917="","",IF($I1917="OS inexistente","OS inexistente",IF($E1917="Peça não cadastrada","Peça não cadastrada","OK")))</f>
        <v>0</v>
      </c>
    </row>
    <row r="1918" spans="1:10">
      <c r="A1918" s="17"/>
      <c r="B1918" s="13"/>
      <c r="C1918" s="20"/>
      <c r="D1918" s="19"/>
      <c r="E1918" s="26">
        <f>IF($B1918="","",IFERROR(INDEX(PecDesc,MATCH($B1918,PecCod,0)),"Peça não cadastrada"))</f>
        <v>0</v>
      </c>
      <c r="F1918" s="27">
        <f>IF($B1918="","",IF($D1918&lt;&gt;"",$D1918,IFERROR(INDEX(PecPreco,MATCH($B1918,PecCod,0)),0)))</f>
        <v>0</v>
      </c>
      <c r="G1918" s="27">
        <f>IF(OR($B1918="",$C1918=""),"",$C1918*$F1918)</f>
        <v>0</v>
      </c>
      <c r="H1918" s="27">
        <f>IF(OR($B1918="",$C1918=""),"",$C1918*IFERROR(INDEX(PecCusto,MATCH($B1918,PecCod,0)),0))</f>
        <v>0</v>
      </c>
      <c r="I1918" s="32">
        <f>IF($A1918="","",IFERROR(INDEX(OSStatus,MATCH($A1918,OSNum,0)),"OS inexistente"))</f>
        <v>0</v>
      </c>
      <c r="J1918" s="32">
        <f>IF($A1918="","",IF($I1918="OS inexistente","OS inexistente",IF($E1918="Peça não cadastrada","Peça não cadastrada","OK")))</f>
        <v>0</v>
      </c>
    </row>
    <row r="1919" spans="1:10">
      <c r="A1919" s="17"/>
      <c r="B1919" s="13"/>
      <c r="C1919" s="20"/>
      <c r="D1919" s="19"/>
      <c r="E1919" s="26">
        <f>IF($B1919="","",IFERROR(INDEX(PecDesc,MATCH($B1919,PecCod,0)),"Peça não cadastrada"))</f>
        <v>0</v>
      </c>
      <c r="F1919" s="27">
        <f>IF($B1919="","",IF($D1919&lt;&gt;"",$D1919,IFERROR(INDEX(PecPreco,MATCH($B1919,PecCod,0)),0)))</f>
        <v>0</v>
      </c>
      <c r="G1919" s="27">
        <f>IF(OR($B1919="",$C1919=""),"",$C1919*$F1919)</f>
        <v>0</v>
      </c>
      <c r="H1919" s="27">
        <f>IF(OR($B1919="",$C1919=""),"",$C1919*IFERROR(INDEX(PecCusto,MATCH($B1919,PecCod,0)),0))</f>
        <v>0</v>
      </c>
      <c r="I1919" s="32">
        <f>IF($A1919="","",IFERROR(INDEX(OSStatus,MATCH($A1919,OSNum,0)),"OS inexistente"))</f>
        <v>0</v>
      </c>
      <c r="J1919" s="32">
        <f>IF($A1919="","",IF($I1919="OS inexistente","OS inexistente",IF($E1919="Peça não cadastrada","Peça não cadastrada","OK")))</f>
        <v>0</v>
      </c>
    </row>
    <row r="1920" spans="1:10">
      <c r="A1920" s="17"/>
      <c r="B1920" s="13"/>
      <c r="C1920" s="20"/>
      <c r="D1920" s="19"/>
      <c r="E1920" s="26">
        <f>IF($B1920="","",IFERROR(INDEX(PecDesc,MATCH($B1920,PecCod,0)),"Peça não cadastrada"))</f>
        <v>0</v>
      </c>
      <c r="F1920" s="27">
        <f>IF($B1920="","",IF($D1920&lt;&gt;"",$D1920,IFERROR(INDEX(PecPreco,MATCH($B1920,PecCod,0)),0)))</f>
        <v>0</v>
      </c>
      <c r="G1920" s="27">
        <f>IF(OR($B1920="",$C1920=""),"",$C1920*$F1920)</f>
        <v>0</v>
      </c>
      <c r="H1920" s="27">
        <f>IF(OR($B1920="",$C1920=""),"",$C1920*IFERROR(INDEX(PecCusto,MATCH($B1920,PecCod,0)),0))</f>
        <v>0</v>
      </c>
      <c r="I1920" s="32">
        <f>IF($A1920="","",IFERROR(INDEX(OSStatus,MATCH($A1920,OSNum,0)),"OS inexistente"))</f>
        <v>0</v>
      </c>
      <c r="J1920" s="32">
        <f>IF($A1920="","",IF($I1920="OS inexistente","OS inexistente",IF($E1920="Peça não cadastrada","Peça não cadastrada","OK")))</f>
        <v>0</v>
      </c>
    </row>
    <row r="1921" spans="1:10">
      <c r="A1921" s="17"/>
      <c r="B1921" s="13"/>
      <c r="C1921" s="20"/>
      <c r="D1921" s="19"/>
      <c r="E1921" s="26">
        <f>IF($B1921="","",IFERROR(INDEX(PecDesc,MATCH($B1921,PecCod,0)),"Peça não cadastrada"))</f>
        <v>0</v>
      </c>
      <c r="F1921" s="27">
        <f>IF($B1921="","",IF($D1921&lt;&gt;"",$D1921,IFERROR(INDEX(PecPreco,MATCH($B1921,PecCod,0)),0)))</f>
        <v>0</v>
      </c>
      <c r="G1921" s="27">
        <f>IF(OR($B1921="",$C1921=""),"",$C1921*$F1921)</f>
        <v>0</v>
      </c>
      <c r="H1921" s="27">
        <f>IF(OR($B1921="",$C1921=""),"",$C1921*IFERROR(INDEX(PecCusto,MATCH($B1921,PecCod,0)),0))</f>
        <v>0</v>
      </c>
      <c r="I1921" s="32">
        <f>IF($A1921="","",IFERROR(INDEX(OSStatus,MATCH($A1921,OSNum,0)),"OS inexistente"))</f>
        <v>0</v>
      </c>
      <c r="J1921" s="32">
        <f>IF($A1921="","",IF($I1921="OS inexistente","OS inexistente",IF($E1921="Peça não cadastrada","Peça não cadastrada","OK")))</f>
        <v>0</v>
      </c>
    </row>
    <row r="1922" spans="1:10">
      <c r="A1922" s="17"/>
      <c r="B1922" s="13"/>
      <c r="C1922" s="20"/>
      <c r="D1922" s="19"/>
      <c r="E1922" s="26">
        <f>IF($B1922="","",IFERROR(INDEX(PecDesc,MATCH($B1922,PecCod,0)),"Peça não cadastrada"))</f>
        <v>0</v>
      </c>
      <c r="F1922" s="27">
        <f>IF($B1922="","",IF($D1922&lt;&gt;"",$D1922,IFERROR(INDEX(PecPreco,MATCH($B1922,PecCod,0)),0)))</f>
        <v>0</v>
      </c>
      <c r="G1922" s="27">
        <f>IF(OR($B1922="",$C1922=""),"",$C1922*$F1922)</f>
        <v>0</v>
      </c>
      <c r="H1922" s="27">
        <f>IF(OR($B1922="",$C1922=""),"",$C1922*IFERROR(INDEX(PecCusto,MATCH($B1922,PecCod,0)),0))</f>
        <v>0</v>
      </c>
      <c r="I1922" s="32">
        <f>IF($A1922="","",IFERROR(INDEX(OSStatus,MATCH($A1922,OSNum,0)),"OS inexistente"))</f>
        <v>0</v>
      </c>
      <c r="J1922" s="32">
        <f>IF($A1922="","",IF($I1922="OS inexistente","OS inexistente",IF($E1922="Peça não cadastrada","Peça não cadastrada","OK")))</f>
        <v>0</v>
      </c>
    </row>
    <row r="1923" spans="1:10">
      <c r="A1923" s="17"/>
      <c r="B1923" s="13"/>
      <c r="C1923" s="20"/>
      <c r="D1923" s="19"/>
      <c r="E1923" s="26">
        <f>IF($B1923="","",IFERROR(INDEX(PecDesc,MATCH($B1923,PecCod,0)),"Peça não cadastrada"))</f>
        <v>0</v>
      </c>
      <c r="F1923" s="27">
        <f>IF($B1923="","",IF($D1923&lt;&gt;"",$D1923,IFERROR(INDEX(PecPreco,MATCH($B1923,PecCod,0)),0)))</f>
        <v>0</v>
      </c>
      <c r="G1923" s="27">
        <f>IF(OR($B1923="",$C1923=""),"",$C1923*$F1923)</f>
        <v>0</v>
      </c>
      <c r="H1923" s="27">
        <f>IF(OR($B1923="",$C1923=""),"",$C1923*IFERROR(INDEX(PecCusto,MATCH($B1923,PecCod,0)),0))</f>
        <v>0</v>
      </c>
      <c r="I1923" s="32">
        <f>IF($A1923="","",IFERROR(INDEX(OSStatus,MATCH($A1923,OSNum,0)),"OS inexistente"))</f>
        <v>0</v>
      </c>
      <c r="J1923" s="32">
        <f>IF($A1923="","",IF($I1923="OS inexistente","OS inexistente",IF($E1923="Peça não cadastrada","Peça não cadastrada","OK")))</f>
        <v>0</v>
      </c>
    </row>
    <row r="1924" spans="1:10">
      <c r="A1924" s="17"/>
      <c r="B1924" s="13"/>
      <c r="C1924" s="20"/>
      <c r="D1924" s="19"/>
      <c r="E1924" s="26">
        <f>IF($B1924="","",IFERROR(INDEX(PecDesc,MATCH($B1924,PecCod,0)),"Peça não cadastrada"))</f>
        <v>0</v>
      </c>
      <c r="F1924" s="27">
        <f>IF($B1924="","",IF($D1924&lt;&gt;"",$D1924,IFERROR(INDEX(PecPreco,MATCH($B1924,PecCod,0)),0)))</f>
        <v>0</v>
      </c>
      <c r="G1924" s="27">
        <f>IF(OR($B1924="",$C1924=""),"",$C1924*$F1924)</f>
        <v>0</v>
      </c>
      <c r="H1924" s="27">
        <f>IF(OR($B1924="",$C1924=""),"",$C1924*IFERROR(INDEX(PecCusto,MATCH($B1924,PecCod,0)),0))</f>
        <v>0</v>
      </c>
      <c r="I1924" s="32">
        <f>IF($A1924="","",IFERROR(INDEX(OSStatus,MATCH($A1924,OSNum,0)),"OS inexistente"))</f>
        <v>0</v>
      </c>
      <c r="J1924" s="32">
        <f>IF($A1924="","",IF($I1924="OS inexistente","OS inexistente",IF($E1924="Peça não cadastrada","Peça não cadastrada","OK")))</f>
        <v>0</v>
      </c>
    </row>
    <row r="1925" spans="1:10">
      <c r="A1925" s="17"/>
      <c r="B1925" s="13"/>
      <c r="C1925" s="20"/>
      <c r="D1925" s="19"/>
      <c r="E1925" s="26">
        <f>IF($B1925="","",IFERROR(INDEX(PecDesc,MATCH($B1925,PecCod,0)),"Peça não cadastrada"))</f>
        <v>0</v>
      </c>
      <c r="F1925" s="27">
        <f>IF($B1925="","",IF($D1925&lt;&gt;"",$D1925,IFERROR(INDEX(PecPreco,MATCH($B1925,PecCod,0)),0)))</f>
        <v>0</v>
      </c>
      <c r="G1925" s="27">
        <f>IF(OR($B1925="",$C1925=""),"",$C1925*$F1925)</f>
        <v>0</v>
      </c>
      <c r="H1925" s="27">
        <f>IF(OR($B1925="",$C1925=""),"",$C1925*IFERROR(INDEX(PecCusto,MATCH($B1925,PecCod,0)),0))</f>
        <v>0</v>
      </c>
      <c r="I1925" s="32">
        <f>IF($A1925="","",IFERROR(INDEX(OSStatus,MATCH($A1925,OSNum,0)),"OS inexistente"))</f>
        <v>0</v>
      </c>
      <c r="J1925" s="32">
        <f>IF($A1925="","",IF($I1925="OS inexistente","OS inexistente",IF($E1925="Peça não cadastrada","Peça não cadastrada","OK")))</f>
        <v>0</v>
      </c>
    </row>
    <row r="1926" spans="1:10">
      <c r="A1926" s="17"/>
      <c r="B1926" s="13"/>
      <c r="C1926" s="20"/>
      <c r="D1926" s="19"/>
      <c r="E1926" s="26">
        <f>IF($B1926="","",IFERROR(INDEX(PecDesc,MATCH($B1926,PecCod,0)),"Peça não cadastrada"))</f>
        <v>0</v>
      </c>
      <c r="F1926" s="27">
        <f>IF($B1926="","",IF($D1926&lt;&gt;"",$D1926,IFERROR(INDEX(PecPreco,MATCH($B1926,PecCod,0)),0)))</f>
        <v>0</v>
      </c>
      <c r="G1926" s="27">
        <f>IF(OR($B1926="",$C1926=""),"",$C1926*$F1926)</f>
        <v>0</v>
      </c>
      <c r="H1926" s="27">
        <f>IF(OR($B1926="",$C1926=""),"",$C1926*IFERROR(INDEX(PecCusto,MATCH($B1926,PecCod,0)),0))</f>
        <v>0</v>
      </c>
      <c r="I1926" s="32">
        <f>IF($A1926="","",IFERROR(INDEX(OSStatus,MATCH($A1926,OSNum,0)),"OS inexistente"))</f>
        <v>0</v>
      </c>
      <c r="J1926" s="32">
        <f>IF($A1926="","",IF($I1926="OS inexistente","OS inexistente",IF($E1926="Peça não cadastrada","Peça não cadastrada","OK")))</f>
        <v>0</v>
      </c>
    </row>
    <row r="1927" spans="1:10">
      <c r="A1927" s="17"/>
      <c r="B1927" s="13"/>
      <c r="C1927" s="20"/>
      <c r="D1927" s="19"/>
      <c r="E1927" s="26">
        <f>IF($B1927="","",IFERROR(INDEX(PecDesc,MATCH($B1927,PecCod,0)),"Peça não cadastrada"))</f>
        <v>0</v>
      </c>
      <c r="F1927" s="27">
        <f>IF($B1927="","",IF($D1927&lt;&gt;"",$D1927,IFERROR(INDEX(PecPreco,MATCH($B1927,PecCod,0)),0)))</f>
        <v>0</v>
      </c>
      <c r="G1927" s="27">
        <f>IF(OR($B1927="",$C1927=""),"",$C1927*$F1927)</f>
        <v>0</v>
      </c>
      <c r="H1927" s="27">
        <f>IF(OR($B1927="",$C1927=""),"",$C1927*IFERROR(INDEX(PecCusto,MATCH($B1927,PecCod,0)),0))</f>
        <v>0</v>
      </c>
      <c r="I1927" s="32">
        <f>IF($A1927="","",IFERROR(INDEX(OSStatus,MATCH($A1927,OSNum,0)),"OS inexistente"))</f>
        <v>0</v>
      </c>
      <c r="J1927" s="32">
        <f>IF($A1927="","",IF($I1927="OS inexistente","OS inexistente",IF($E1927="Peça não cadastrada","Peça não cadastrada","OK")))</f>
        <v>0</v>
      </c>
    </row>
    <row r="1928" spans="1:10">
      <c r="A1928" s="17"/>
      <c r="B1928" s="13"/>
      <c r="C1928" s="20"/>
      <c r="D1928" s="19"/>
      <c r="E1928" s="26">
        <f>IF($B1928="","",IFERROR(INDEX(PecDesc,MATCH($B1928,PecCod,0)),"Peça não cadastrada"))</f>
        <v>0</v>
      </c>
      <c r="F1928" s="27">
        <f>IF($B1928="","",IF($D1928&lt;&gt;"",$D1928,IFERROR(INDEX(PecPreco,MATCH($B1928,PecCod,0)),0)))</f>
        <v>0</v>
      </c>
      <c r="G1928" s="27">
        <f>IF(OR($B1928="",$C1928=""),"",$C1928*$F1928)</f>
        <v>0</v>
      </c>
      <c r="H1928" s="27">
        <f>IF(OR($B1928="",$C1928=""),"",$C1928*IFERROR(INDEX(PecCusto,MATCH($B1928,PecCod,0)),0))</f>
        <v>0</v>
      </c>
      <c r="I1928" s="32">
        <f>IF($A1928="","",IFERROR(INDEX(OSStatus,MATCH($A1928,OSNum,0)),"OS inexistente"))</f>
        <v>0</v>
      </c>
      <c r="J1928" s="32">
        <f>IF($A1928="","",IF($I1928="OS inexistente","OS inexistente",IF($E1928="Peça não cadastrada","Peça não cadastrada","OK")))</f>
        <v>0</v>
      </c>
    </row>
    <row r="1929" spans="1:10">
      <c r="A1929" s="17"/>
      <c r="B1929" s="13"/>
      <c r="C1929" s="20"/>
      <c r="D1929" s="19"/>
      <c r="E1929" s="26">
        <f>IF($B1929="","",IFERROR(INDEX(PecDesc,MATCH($B1929,PecCod,0)),"Peça não cadastrada"))</f>
        <v>0</v>
      </c>
      <c r="F1929" s="27">
        <f>IF($B1929="","",IF($D1929&lt;&gt;"",$D1929,IFERROR(INDEX(PecPreco,MATCH($B1929,PecCod,0)),0)))</f>
        <v>0</v>
      </c>
      <c r="G1929" s="27">
        <f>IF(OR($B1929="",$C1929=""),"",$C1929*$F1929)</f>
        <v>0</v>
      </c>
      <c r="H1929" s="27">
        <f>IF(OR($B1929="",$C1929=""),"",$C1929*IFERROR(INDEX(PecCusto,MATCH($B1929,PecCod,0)),0))</f>
        <v>0</v>
      </c>
      <c r="I1929" s="32">
        <f>IF($A1929="","",IFERROR(INDEX(OSStatus,MATCH($A1929,OSNum,0)),"OS inexistente"))</f>
        <v>0</v>
      </c>
      <c r="J1929" s="32">
        <f>IF($A1929="","",IF($I1929="OS inexistente","OS inexistente",IF($E1929="Peça não cadastrada","Peça não cadastrada","OK")))</f>
        <v>0</v>
      </c>
    </row>
    <row r="1930" spans="1:10">
      <c r="A1930" s="17"/>
      <c r="B1930" s="13"/>
      <c r="C1930" s="20"/>
      <c r="D1930" s="19"/>
      <c r="E1930" s="26">
        <f>IF($B1930="","",IFERROR(INDEX(PecDesc,MATCH($B1930,PecCod,0)),"Peça não cadastrada"))</f>
        <v>0</v>
      </c>
      <c r="F1930" s="27">
        <f>IF($B1930="","",IF($D1930&lt;&gt;"",$D1930,IFERROR(INDEX(PecPreco,MATCH($B1930,PecCod,0)),0)))</f>
        <v>0</v>
      </c>
      <c r="G1930" s="27">
        <f>IF(OR($B1930="",$C1930=""),"",$C1930*$F1930)</f>
        <v>0</v>
      </c>
      <c r="H1930" s="27">
        <f>IF(OR($B1930="",$C1930=""),"",$C1930*IFERROR(INDEX(PecCusto,MATCH($B1930,PecCod,0)),0))</f>
        <v>0</v>
      </c>
      <c r="I1930" s="32">
        <f>IF($A1930="","",IFERROR(INDEX(OSStatus,MATCH($A1930,OSNum,0)),"OS inexistente"))</f>
        <v>0</v>
      </c>
      <c r="J1930" s="32">
        <f>IF($A1930="","",IF($I1930="OS inexistente","OS inexistente",IF($E1930="Peça não cadastrada","Peça não cadastrada","OK")))</f>
        <v>0</v>
      </c>
    </row>
    <row r="1931" spans="1:10">
      <c r="A1931" s="17"/>
      <c r="B1931" s="13"/>
      <c r="C1931" s="20"/>
      <c r="D1931" s="19"/>
      <c r="E1931" s="26">
        <f>IF($B1931="","",IFERROR(INDEX(PecDesc,MATCH($B1931,PecCod,0)),"Peça não cadastrada"))</f>
        <v>0</v>
      </c>
      <c r="F1931" s="27">
        <f>IF($B1931="","",IF($D1931&lt;&gt;"",$D1931,IFERROR(INDEX(PecPreco,MATCH($B1931,PecCod,0)),0)))</f>
        <v>0</v>
      </c>
      <c r="G1931" s="27">
        <f>IF(OR($B1931="",$C1931=""),"",$C1931*$F1931)</f>
        <v>0</v>
      </c>
      <c r="H1931" s="27">
        <f>IF(OR($B1931="",$C1931=""),"",$C1931*IFERROR(INDEX(PecCusto,MATCH($B1931,PecCod,0)),0))</f>
        <v>0</v>
      </c>
      <c r="I1931" s="32">
        <f>IF($A1931="","",IFERROR(INDEX(OSStatus,MATCH($A1931,OSNum,0)),"OS inexistente"))</f>
        <v>0</v>
      </c>
      <c r="J1931" s="32">
        <f>IF($A1931="","",IF($I1931="OS inexistente","OS inexistente",IF($E1931="Peça não cadastrada","Peça não cadastrada","OK")))</f>
        <v>0</v>
      </c>
    </row>
    <row r="1932" spans="1:10">
      <c r="A1932" s="17"/>
      <c r="B1932" s="13"/>
      <c r="C1932" s="20"/>
      <c r="D1932" s="19"/>
      <c r="E1932" s="26">
        <f>IF($B1932="","",IFERROR(INDEX(PecDesc,MATCH($B1932,PecCod,0)),"Peça não cadastrada"))</f>
        <v>0</v>
      </c>
      <c r="F1932" s="27">
        <f>IF($B1932="","",IF($D1932&lt;&gt;"",$D1932,IFERROR(INDEX(PecPreco,MATCH($B1932,PecCod,0)),0)))</f>
        <v>0</v>
      </c>
      <c r="G1932" s="27">
        <f>IF(OR($B1932="",$C1932=""),"",$C1932*$F1932)</f>
        <v>0</v>
      </c>
      <c r="H1932" s="27">
        <f>IF(OR($B1932="",$C1932=""),"",$C1932*IFERROR(INDEX(PecCusto,MATCH($B1932,PecCod,0)),0))</f>
        <v>0</v>
      </c>
      <c r="I1932" s="32">
        <f>IF($A1932="","",IFERROR(INDEX(OSStatus,MATCH($A1932,OSNum,0)),"OS inexistente"))</f>
        <v>0</v>
      </c>
      <c r="J1932" s="32">
        <f>IF($A1932="","",IF($I1932="OS inexistente","OS inexistente",IF($E1932="Peça não cadastrada","Peça não cadastrada","OK")))</f>
        <v>0</v>
      </c>
    </row>
    <row r="1933" spans="1:10">
      <c r="A1933" s="17"/>
      <c r="B1933" s="13"/>
      <c r="C1933" s="20"/>
      <c r="D1933" s="19"/>
      <c r="E1933" s="26">
        <f>IF($B1933="","",IFERROR(INDEX(PecDesc,MATCH($B1933,PecCod,0)),"Peça não cadastrada"))</f>
        <v>0</v>
      </c>
      <c r="F1933" s="27">
        <f>IF($B1933="","",IF($D1933&lt;&gt;"",$D1933,IFERROR(INDEX(PecPreco,MATCH($B1933,PecCod,0)),0)))</f>
        <v>0</v>
      </c>
      <c r="G1933" s="27">
        <f>IF(OR($B1933="",$C1933=""),"",$C1933*$F1933)</f>
        <v>0</v>
      </c>
      <c r="H1933" s="27">
        <f>IF(OR($B1933="",$C1933=""),"",$C1933*IFERROR(INDEX(PecCusto,MATCH($B1933,PecCod,0)),0))</f>
        <v>0</v>
      </c>
      <c r="I1933" s="32">
        <f>IF($A1933="","",IFERROR(INDEX(OSStatus,MATCH($A1933,OSNum,0)),"OS inexistente"))</f>
        <v>0</v>
      </c>
      <c r="J1933" s="32">
        <f>IF($A1933="","",IF($I1933="OS inexistente","OS inexistente",IF($E1933="Peça não cadastrada","Peça não cadastrada","OK")))</f>
        <v>0</v>
      </c>
    </row>
    <row r="1934" spans="1:10">
      <c r="A1934" s="17"/>
      <c r="B1934" s="13"/>
      <c r="C1934" s="20"/>
      <c r="D1934" s="19"/>
      <c r="E1934" s="26">
        <f>IF($B1934="","",IFERROR(INDEX(PecDesc,MATCH($B1934,PecCod,0)),"Peça não cadastrada"))</f>
        <v>0</v>
      </c>
      <c r="F1934" s="27">
        <f>IF($B1934="","",IF($D1934&lt;&gt;"",$D1934,IFERROR(INDEX(PecPreco,MATCH($B1934,PecCod,0)),0)))</f>
        <v>0</v>
      </c>
      <c r="G1934" s="27">
        <f>IF(OR($B1934="",$C1934=""),"",$C1934*$F1934)</f>
        <v>0</v>
      </c>
      <c r="H1934" s="27">
        <f>IF(OR($B1934="",$C1934=""),"",$C1934*IFERROR(INDEX(PecCusto,MATCH($B1934,PecCod,0)),0))</f>
        <v>0</v>
      </c>
      <c r="I1934" s="32">
        <f>IF($A1934="","",IFERROR(INDEX(OSStatus,MATCH($A1934,OSNum,0)),"OS inexistente"))</f>
        <v>0</v>
      </c>
      <c r="J1934" s="32">
        <f>IF($A1934="","",IF($I1934="OS inexistente","OS inexistente",IF($E1934="Peça não cadastrada","Peça não cadastrada","OK")))</f>
        <v>0</v>
      </c>
    </row>
    <row r="1935" spans="1:10">
      <c r="A1935" s="17"/>
      <c r="B1935" s="13"/>
      <c r="C1935" s="20"/>
      <c r="D1935" s="19"/>
      <c r="E1935" s="26">
        <f>IF($B1935="","",IFERROR(INDEX(PecDesc,MATCH($B1935,PecCod,0)),"Peça não cadastrada"))</f>
        <v>0</v>
      </c>
      <c r="F1935" s="27">
        <f>IF($B1935="","",IF($D1935&lt;&gt;"",$D1935,IFERROR(INDEX(PecPreco,MATCH($B1935,PecCod,0)),0)))</f>
        <v>0</v>
      </c>
      <c r="G1935" s="27">
        <f>IF(OR($B1935="",$C1935=""),"",$C1935*$F1935)</f>
        <v>0</v>
      </c>
      <c r="H1935" s="27">
        <f>IF(OR($B1935="",$C1935=""),"",$C1935*IFERROR(INDEX(PecCusto,MATCH($B1935,PecCod,0)),0))</f>
        <v>0</v>
      </c>
      <c r="I1935" s="32">
        <f>IF($A1935="","",IFERROR(INDEX(OSStatus,MATCH($A1935,OSNum,0)),"OS inexistente"))</f>
        <v>0</v>
      </c>
      <c r="J1935" s="32">
        <f>IF($A1935="","",IF($I1935="OS inexistente","OS inexistente",IF($E1935="Peça não cadastrada","Peça não cadastrada","OK")))</f>
        <v>0</v>
      </c>
    </row>
    <row r="1936" spans="1:10">
      <c r="A1936" s="17"/>
      <c r="B1936" s="13"/>
      <c r="C1936" s="20"/>
      <c r="D1936" s="19"/>
      <c r="E1936" s="26">
        <f>IF($B1936="","",IFERROR(INDEX(PecDesc,MATCH($B1936,PecCod,0)),"Peça não cadastrada"))</f>
        <v>0</v>
      </c>
      <c r="F1936" s="27">
        <f>IF($B1936="","",IF($D1936&lt;&gt;"",$D1936,IFERROR(INDEX(PecPreco,MATCH($B1936,PecCod,0)),0)))</f>
        <v>0</v>
      </c>
      <c r="G1936" s="27">
        <f>IF(OR($B1936="",$C1936=""),"",$C1936*$F1936)</f>
        <v>0</v>
      </c>
      <c r="H1936" s="27">
        <f>IF(OR($B1936="",$C1936=""),"",$C1936*IFERROR(INDEX(PecCusto,MATCH($B1936,PecCod,0)),0))</f>
        <v>0</v>
      </c>
      <c r="I1936" s="32">
        <f>IF($A1936="","",IFERROR(INDEX(OSStatus,MATCH($A1936,OSNum,0)),"OS inexistente"))</f>
        <v>0</v>
      </c>
      <c r="J1936" s="32">
        <f>IF($A1936="","",IF($I1936="OS inexistente","OS inexistente",IF($E1936="Peça não cadastrada","Peça não cadastrada","OK")))</f>
        <v>0</v>
      </c>
    </row>
    <row r="1937" spans="1:10">
      <c r="A1937" s="17"/>
      <c r="B1937" s="13"/>
      <c r="C1937" s="20"/>
      <c r="D1937" s="19"/>
      <c r="E1937" s="26">
        <f>IF($B1937="","",IFERROR(INDEX(PecDesc,MATCH($B1937,PecCod,0)),"Peça não cadastrada"))</f>
        <v>0</v>
      </c>
      <c r="F1937" s="27">
        <f>IF($B1937="","",IF($D1937&lt;&gt;"",$D1937,IFERROR(INDEX(PecPreco,MATCH($B1937,PecCod,0)),0)))</f>
        <v>0</v>
      </c>
      <c r="G1937" s="27">
        <f>IF(OR($B1937="",$C1937=""),"",$C1937*$F1937)</f>
        <v>0</v>
      </c>
      <c r="H1937" s="27">
        <f>IF(OR($B1937="",$C1937=""),"",$C1937*IFERROR(INDEX(PecCusto,MATCH($B1937,PecCod,0)),0))</f>
        <v>0</v>
      </c>
      <c r="I1937" s="32">
        <f>IF($A1937="","",IFERROR(INDEX(OSStatus,MATCH($A1937,OSNum,0)),"OS inexistente"))</f>
        <v>0</v>
      </c>
      <c r="J1937" s="32">
        <f>IF($A1937="","",IF($I1937="OS inexistente","OS inexistente",IF($E1937="Peça não cadastrada","Peça não cadastrada","OK")))</f>
        <v>0</v>
      </c>
    </row>
    <row r="1938" spans="1:10">
      <c r="A1938" s="17"/>
      <c r="B1938" s="13"/>
      <c r="C1938" s="20"/>
      <c r="D1938" s="19"/>
      <c r="E1938" s="26">
        <f>IF($B1938="","",IFERROR(INDEX(PecDesc,MATCH($B1938,PecCod,0)),"Peça não cadastrada"))</f>
        <v>0</v>
      </c>
      <c r="F1938" s="27">
        <f>IF($B1938="","",IF($D1938&lt;&gt;"",$D1938,IFERROR(INDEX(PecPreco,MATCH($B1938,PecCod,0)),0)))</f>
        <v>0</v>
      </c>
      <c r="G1938" s="27">
        <f>IF(OR($B1938="",$C1938=""),"",$C1938*$F1938)</f>
        <v>0</v>
      </c>
      <c r="H1938" s="27">
        <f>IF(OR($B1938="",$C1938=""),"",$C1938*IFERROR(INDEX(PecCusto,MATCH($B1938,PecCod,0)),0))</f>
        <v>0</v>
      </c>
      <c r="I1938" s="32">
        <f>IF($A1938="","",IFERROR(INDEX(OSStatus,MATCH($A1938,OSNum,0)),"OS inexistente"))</f>
        <v>0</v>
      </c>
      <c r="J1938" s="32">
        <f>IF($A1938="","",IF($I1938="OS inexistente","OS inexistente",IF($E1938="Peça não cadastrada","Peça não cadastrada","OK")))</f>
        <v>0</v>
      </c>
    </row>
    <row r="1939" spans="1:10">
      <c r="A1939" s="17"/>
      <c r="B1939" s="13"/>
      <c r="C1939" s="20"/>
      <c r="D1939" s="19"/>
      <c r="E1939" s="26">
        <f>IF($B1939="","",IFERROR(INDEX(PecDesc,MATCH($B1939,PecCod,0)),"Peça não cadastrada"))</f>
        <v>0</v>
      </c>
      <c r="F1939" s="27">
        <f>IF($B1939="","",IF($D1939&lt;&gt;"",$D1939,IFERROR(INDEX(PecPreco,MATCH($B1939,PecCod,0)),0)))</f>
        <v>0</v>
      </c>
      <c r="G1939" s="27">
        <f>IF(OR($B1939="",$C1939=""),"",$C1939*$F1939)</f>
        <v>0</v>
      </c>
      <c r="H1939" s="27">
        <f>IF(OR($B1939="",$C1939=""),"",$C1939*IFERROR(INDEX(PecCusto,MATCH($B1939,PecCod,0)),0))</f>
        <v>0</v>
      </c>
      <c r="I1939" s="32">
        <f>IF($A1939="","",IFERROR(INDEX(OSStatus,MATCH($A1939,OSNum,0)),"OS inexistente"))</f>
        <v>0</v>
      </c>
      <c r="J1939" s="32">
        <f>IF($A1939="","",IF($I1939="OS inexistente","OS inexistente",IF($E1939="Peça não cadastrada","Peça não cadastrada","OK")))</f>
        <v>0</v>
      </c>
    </row>
    <row r="1940" spans="1:10">
      <c r="A1940" s="17"/>
      <c r="B1940" s="13"/>
      <c r="C1940" s="20"/>
      <c r="D1940" s="19"/>
      <c r="E1940" s="26">
        <f>IF($B1940="","",IFERROR(INDEX(PecDesc,MATCH($B1940,PecCod,0)),"Peça não cadastrada"))</f>
        <v>0</v>
      </c>
      <c r="F1940" s="27">
        <f>IF($B1940="","",IF($D1940&lt;&gt;"",$D1940,IFERROR(INDEX(PecPreco,MATCH($B1940,PecCod,0)),0)))</f>
        <v>0</v>
      </c>
      <c r="G1940" s="27">
        <f>IF(OR($B1940="",$C1940=""),"",$C1940*$F1940)</f>
        <v>0</v>
      </c>
      <c r="H1940" s="27">
        <f>IF(OR($B1940="",$C1940=""),"",$C1940*IFERROR(INDEX(PecCusto,MATCH($B1940,PecCod,0)),0))</f>
        <v>0</v>
      </c>
      <c r="I1940" s="32">
        <f>IF($A1940="","",IFERROR(INDEX(OSStatus,MATCH($A1940,OSNum,0)),"OS inexistente"))</f>
        <v>0</v>
      </c>
      <c r="J1940" s="32">
        <f>IF($A1940="","",IF($I1940="OS inexistente","OS inexistente",IF($E1940="Peça não cadastrada","Peça não cadastrada","OK")))</f>
        <v>0</v>
      </c>
    </row>
    <row r="1941" spans="1:10">
      <c r="A1941" s="17"/>
      <c r="B1941" s="13"/>
      <c r="C1941" s="20"/>
      <c r="D1941" s="19"/>
      <c r="E1941" s="26">
        <f>IF($B1941="","",IFERROR(INDEX(PecDesc,MATCH($B1941,PecCod,0)),"Peça não cadastrada"))</f>
        <v>0</v>
      </c>
      <c r="F1941" s="27">
        <f>IF($B1941="","",IF($D1941&lt;&gt;"",$D1941,IFERROR(INDEX(PecPreco,MATCH($B1941,PecCod,0)),0)))</f>
        <v>0</v>
      </c>
      <c r="G1941" s="27">
        <f>IF(OR($B1941="",$C1941=""),"",$C1941*$F1941)</f>
        <v>0</v>
      </c>
      <c r="H1941" s="27">
        <f>IF(OR($B1941="",$C1941=""),"",$C1941*IFERROR(INDEX(PecCusto,MATCH($B1941,PecCod,0)),0))</f>
        <v>0</v>
      </c>
      <c r="I1941" s="32">
        <f>IF($A1941="","",IFERROR(INDEX(OSStatus,MATCH($A1941,OSNum,0)),"OS inexistente"))</f>
        <v>0</v>
      </c>
      <c r="J1941" s="32">
        <f>IF($A1941="","",IF($I1941="OS inexistente","OS inexistente",IF($E1941="Peça não cadastrada","Peça não cadastrada","OK")))</f>
        <v>0</v>
      </c>
    </row>
    <row r="1942" spans="1:10">
      <c r="A1942" s="17"/>
      <c r="B1942" s="13"/>
      <c r="C1942" s="20"/>
      <c r="D1942" s="19"/>
      <c r="E1942" s="26">
        <f>IF($B1942="","",IFERROR(INDEX(PecDesc,MATCH($B1942,PecCod,0)),"Peça não cadastrada"))</f>
        <v>0</v>
      </c>
      <c r="F1942" s="27">
        <f>IF($B1942="","",IF($D1942&lt;&gt;"",$D1942,IFERROR(INDEX(PecPreco,MATCH($B1942,PecCod,0)),0)))</f>
        <v>0</v>
      </c>
      <c r="G1942" s="27">
        <f>IF(OR($B1942="",$C1942=""),"",$C1942*$F1942)</f>
        <v>0</v>
      </c>
      <c r="H1942" s="27">
        <f>IF(OR($B1942="",$C1942=""),"",$C1942*IFERROR(INDEX(PecCusto,MATCH($B1942,PecCod,0)),0))</f>
        <v>0</v>
      </c>
      <c r="I1942" s="32">
        <f>IF($A1942="","",IFERROR(INDEX(OSStatus,MATCH($A1942,OSNum,0)),"OS inexistente"))</f>
        <v>0</v>
      </c>
      <c r="J1942" s="32">
        <f>IF($A1942="","",IF($I1942="OS inexistente","OS inexistente",IF($E1942="Peça não cadastrada","Peça não cadastrada","OK")))</f>
        <v>0</v>
      </c>
    </row>
    <row r="1943" spans="1:10">
      <c r="A1943" s="17"/>
      <c r="B1943" s="13"/>
      <c r="C1943" s="20"/>
      <c r="D1943" s="19"/>
      <c r="E1943" s="26">
        <f>IF($B1943="","",IFERROR(INDEX(PecDesc,MATCH($B1943,PecCod,0)),"Peça não cadastrada"))</f>
        <v>0</v>
      </c>
      <c r="F1943" s="27">
        <f>IF($B1943="","",IF($D1943&lt;&gt;"",$D1943,IFERROR(INDEX(PecPreco,MATCH($B1943,PecCod,0)),0)))</f>
        <v>0</v>
      </c>
      <c r="G1943" s="27">
        <f>IF(OR($B1943="",$C1943=""),"",$C1943*$F1943)</f>
        <v>0</v>
      </c>
      <c r="H1943" s="27">
        <f>IF(OR($B1943="",$C1943=""),"",$C1943*IFERROR(INDEX(PecCusto,MATCH($B1943,PecCod,0)),0))</f>
        <v>0</v>
      </c>
      <c r="I1943" s="32">
        <f>IF($A1943="","",IFERROR(INDEX(OSStatus,MATCH($A1943,OSNum,0)),"OS inexistente"))</f>
        <v>0</v>
      </c>
      <c r="J1943" s="32">
        <f>IF($A1943="","",IF($I1943="OS inexistente","OS inexistente",IF($E1943="Peça não cadastrada","Peça não cadastrada","OK")))</f>
        <v>0</v>
      </c>
    </row>
    <row r="1944" spans="1:10">
      <c r="A1944" s="17"/>
      <c r="B1944" s="13"/>
      <c r="C1944" s="20"/>
      <c r="D1944" s="19"/>
      <c r="E1944" s="26">
        <f>IF($B1944="","",IFERROR(INDEX(PecDesc,MATCH($B1944,PecCod,0)),"Peça não cadastrada"))</f>
        <v>0</v>
      </c>
      <c r="F1944" s="27">
        <f>IF($B1944="","",IF($D1944&lt;&gt;"",$D1944,IFERROR(INDEX(PecPreco,MATCH($B1944,PecCod,0)),0)))</f>
        <v>0</v>
      </c>
      <c r="G1944" s="27">
        <f>IF(OR($B1944="",$C1944=""),"",$C1944*$F1944)</f>
        <v>0</v>
      </c>
      <c r="H1944" s="27">
        <f>IF(OR($B1944="",$C1944=""),"",$C1944*IFERROR(INDEX(PecCusto,MATCH($B1944,PecCod,0)),0))</f>
        <v>0</v>
      </c>
      <c r="I1944" s="32">
        <f>IF($A1944="","",IFERROR(INDEX(OSStatus,MATCH($A1944,OSNum,0)),"OS inexistente"))</f>
        <v>0</v>
      </c>
      <c r="J1944" s="32">
        <f>IF($A1944="","",IF($I1944="OS inexistente","OS inexistente",IF($E1944="Peça não cadastrada","Peça não cadastrada","OK")))</f>
        <v>0</v>
      </c>
    </row>
    <row r="1945" spans="1:10">
      <c r="A1945" s="17"/>
      <c r="B1945" s="13"/>
      <c r="C1945" s="20"/>
      <c r="D1945" s="19"/>
      <c r="E1945" s="26">
        <f>IF($B1945="","",IFERROR(INDEX(PecDesc,MATCH($B1945,PecCod,0)),"Peça não cadastrada"))</f>
        <v>0</v>
      </c>
      <c r="F1945" s="27">
        <f>IF($B1945="","",IF($D1945&lt;&gt;"",$D1945,IFERROR(INDEX(PecPreco,MATCH($B1945,PecCod,0)),0)))</f>
        <v>0</v>
      </c>
      <c r="G1945" s="27">
        <f>IF(OR($B1945="",$C1945=""),"",$C1945*$F1945)</f>
        <v>0</v>
      </c>
      <c r="H1945" s="27">
        <f>IF(OR($B1945="",$C1945=""),"",$C1945*IFERROR(INDEX(PecCusto,MATCH($B1945,PecCod,0)),0))</f>
        <v>0</v>
      </c>
      <c r="I1945" s="32">
        <f>IF($A1945="","",IFERROR(INDEX(OSStatus,MATCH($A1945,OSNum,0)),"OS inexistente"))</f>
        <v>0</v>
      </c>
      <c r="J1945" s="32">
        <f>IF($A1945="","",IF($I1945="OS inexistente","OS inexistente",IF($E1945="Peça não cadastrada","Peça não cadastrada","OK")))</f>
        <v>0</v>
      </c>
    </row>
    <row r="1946" spans="1:10">
      <c r="A1946" s="17"/>
      <c r="B1946" s="13"/>
      <c r="C1946" s="20"/>
      <c r="D1946" s="19"/>
      <c r="E1946" s="26">
        <f>IF($B1946="","",IFERROR(INDEX(PecDesc,MATCH($B1946,PecCod,0)),"Peça não cadastrada"))</f>
        <v>0</v>
      </c>
      <c r="F1946" s="27">
        <f>IF($B1946="","",IF($D1946&lt;&gt;"",$D1946,IFERROR(INDEX(PecPreco,MATCH($B1946,PecCod,0)),0)))</f>
        <v>0</v>
      </c>
      <c r="G1946" s="27">
        <f>IF(OR($B1946="",$C1946=""),"",$C1946*$F1946)</f>
        <v>0</v>
      </c>
      <c r="H1946" s="27">
        <f>IF(OR($B1946="",$C1946=""),"",$C1946*IFERROR(INDEX(PecCusto,MATCH($B1946,PecCod,0)),0))</f>
        <v>0</v>
      </c>
      <c r="I1946" s="32">
        <f>IF($A1946="","",IFERROR(INDEX(OSStatus,MATCH($A1946,OSNum,0)),"OS inexistente"))</f>
        <v>0</v>
      </c>
      <c r="J1946" s="32">
        <f>IF($A1946="","",IF($I1946="OS inexistente","OS inexistente",IF($E1946="Peça não cadastrada","Peça não cadastrada","OK")))</f>
        <v>0</v>
      </c>
    </row>
    <row r="1947" spans="1:10">
      <c r="A1947" s="17"/>
      <c r="B1947" s="13"/>
      <c r="C1947" s="20"/>
      <c r="D1947" s="19"/>
      <c r="E1947" s="26">
        <f>IF($B1947="","",IFERROR(INDEX(PecDesc,MATCH($B1947,PecCod,0)),"Peça não cadastrada"))</f>
        <v>0</v>
      </c>
      <c r="F1947" s="27">
        <f>IF($B1947="","",IF($D1947&lt;&gt;"",$D1947,IFERROR(INDEX(PecPreco,MATCH($B1947,PecCod,0)),0)))</f>
        <v>0</v>
      </c>
      <c r="G1947" s="27">
        <f>IF(OR($B1947="",$C1947=""),"",$C1947*$F1947)</f>
        <v>0</v>
      </c>
      <c r="H1947" s="27">
        <f>IF(OR($B1947="",$C1947=""),"",$C1947*IFERROR(INDEX(PecCusto,MATCH($B1947,PecCod,0)),0))</f>
        <v>0</v>
      </c>
      <c r="I1947" s="32">
        <f>IF($A1947="","",IFERROR(INDEX(OSStatus,MATCH($A1947,OSNum,0)),"OS inexistente"))</f>
        <v>0</v>
      </c>
      <c r="J1947" s="32">
        <f>IF($A1947="","",IF($I1947="OS inexistente","OS inexistente",IF($E1947="Peça não cadastrada","Peça não cadastrada","OK")))</f>
        <v>0</v>
      </c>
    </row>
    <row r="1948" spans="1:10">
      <c r="A1948" s="17"/>
      <c r="B1948" s="13"/>
      <c r="C1948" s="20"/>
      <c r="D1948" s="19"/>
      <c r="E1948" s="26">
        <f>IF($B1948="","",IFERROR(INDEX(PecDesc,MATCH($B1948,PecCod,0)),"Peça não cadastrada"))</f>
        <v>0</v>
      </c>
      <c r="F1948" s="27">
        <f>IF($B1948="","",IF($D1948&lt;&gt;"",$D1948,IFERROR(INDEX(PecPreco,MATCH($B1948,PecCod,0)),0)))</f>
        <v>0</v>
      </c>
      <c r="G1948" s="27">
        <f>IF(OR($B1948="",$C1948=""),"",$C1948*$F1948)</f>
        <v>0</v>
      </c>
      <c r="H1948" s="27">
        <f>IF(OR($B1948="",$C1948=""),"",$C1948*IFERROR(INDEX(PecCusto,MATCH($B1948,PecCod,0)),0))</f>
        <v>0</v>
      </c>
      <c r="I1948" s="32">
        <f>IF($A1948="","",IFERROR(INDEX(OSStatus,MATCH($A1948,OSNum,0)),"OS inexistente"))</f>
        <v>0</v>
      </c>
      <c r="J1948" s="32">
        <f>IF($A1948="","",IF($I1948="OS inexistente","OS inexistente",IF($E1948="Peça não cadastrada","Peça não cadastrada","OK")))</f>
        <v>0</v>
      </c>
    </row>
    <row r="1949" spans="1:10">
      <c r="A1949" s="17"/>
      <c r="B1949" s="13"/>
      <c r="C1949" s="20"/>
      <c r="D1949" s="19"/>
      <c r="E1949" s="26">
        <f>IF($B1949="","",IFERROR(INDEX(PecDesc,MATCH($B1949,PecCod,0)),"Peça não cadastrada"))</f>
        <v>0</v>
      </c>
      <c r="F1949" s="27">
        <f>IF($B1949="","",IF($D1949&lt;&gt;"",$D1949,IFERROR(INDEX(PecPreco,MATCH($B1949,PecCod,0)),0)))</f>
        <v>0</v>
      </c>
      <c r="G1949" s="27">
        <f>IF(OR($B1949="",$C1949=""),"",$C1949*$F1949)</f>
        <v>0</v>
      </c>
      <c r="H1949" s="27">
        <f>IF(OR($B1949="",$C1949=""),"",$C1949*IFERROR(INDEX(PecCusto,MATCH($B1949,PecCod,0)),0))</f>
        <v>0</v>
      </c>
      <c r="I1949" s="32">
        <f>IF($A1949="","",IFERROR(INDEX(OSStatus,MATCH($A1949,OSNum,0)),"OS inexistente"))</f>
        <v>0</v>
      </c>
      <c r="J1949" s="32">
        <f>IF($A1949="","",IF($I1949="OS inexistente","OS inexistente",IF($E1949="Peça não cadastrada","Peça não cadastrada","OK")))</f>
        <v>0</v>
      </c>
    </row>
    <row r="1950" spans="1:10">
      <c r="A1950" s="17"/>
      <c r="B1950" s="13"/>
      <c r="C1950" s="20"/>
      <c r="D1950" s="19"/>
      <c r="E1950" s="26">
        <f>IF($B1950="","",IFERROR(INDEX(PecDesc,MATCH($B1950,PecCod,0)),"Peça não cadastrada"))</f>
        <v>0</v>
      </c>
      <c r="F1950" s="27">
        <f>IF($B1950="","",IF($D1950&lt;&gt;"",$D1950,IFERROR(INDEX(PecPreco,MATCH($B1950,PecCod,0)),0)))</f>
        <v>0</v>
      </c>
      <c r="G1950" s="27">
        <f>IF(OR($B1950="",$C1950=""),"",$C1950*$F1950)</f>
        <v>0</v>
      </c>
      <c r="H1950" s="27">
        <f>IF(OR($B1950="",$C1950=""),"",$C1950*IFERROR(INDEX(PecCusto,MATCH($B1950,PecCod,0)),0))</f>
        <v>0</v>
      </c>
      <c r="I1950" s="32">
        <f>IF($A1950="","",IFERROR(INDEX(OSStatus,MATCH($A1950,OSNum,0)),"OS inexistente"))</f>
        <v>0</v>
      </c>
      <c r="J1950" s="32">
        <f>IF($A1950="","",IF($I1950="OS inexistente","OS inexistente",IF($E1950="Peça não cadastrada","Peça não cadastrada","OK")))</f>
        <v>0</v>
      </c>
    </row>
    <row r="1951" spans="1:10">
      <c r="A1951" s="17"/>
      <c r="B1951" s="13"/>
      <c r="C1951" s="20"/>
      <c r="D1951" s="19"/>
      <c r="E1951" s="26">
        <f>IF($B1951="","",IFERROR(INDEX(PecDesc,MATCH($B1951,PecCod,0)),"Peça não cadastrada"))</f>
        <v>0</v>
      </c>
      <c r="F1951" s="27">
        <f>IF($B1951="","",IF($D1951&lt;&gt;"",$D1951,IFERROR(INDEX(PecPreco,MATCH($B1951,PecCod,0)),0)))</f>
        <v>0</v>
      </c>
      <c r="G1951" s="27">
        <f>IF(OR($B1951="",$C1951=""),"",$C1951*$F1951)</f>
        <v>0</v>
      </c>
      <c r="H1951" s="27">
        <f>IF(OR($B1951="",$C1951=""),"",$C1951*IFERROR(INDEX(PecCusto,MATCH($B1951,PecCod,0)),0))</f>
        <v>0</v>
      </c>
      <c r="I1951" s="32">
        <f>IF($A1951="","",IFERROR(INDEX(OSStatus,MATCH($A1951,OSNum,0)),"OS inexistente"))</f>
        <v>0</v>
      </c>
      <c r="J1951" s="32">
        <f>IF($A1951="","",IF($I1951="OS inexistente","OS inexistente",IF($E1951="Peça não cadastrada","Peça não cadastrada","OK")))</f>
        <v>0</v>
      </c>
    </row>
    <row r="1952" spans="1:10">
      <c r="A1952" s="17"/>
      <c r="B1952" s="13"/>
      <c r="C1952" s="20"/>
      <c r="D1952" s="19"/>
      <c r="E1952" s="26">
        <f>IF($B1952="","",IFERROR(INDEX(PecDesc,MATCH($B1952,PecCod,0)),"Peça não cadastrada"))</f>
        <v>0</v>
      </c>
      <c r="F1952" s="27">
        <f>IF($B1952="","",IF($D1952&lt;&gt;"",$D1952,IFERROR(INDEX(PecPreco,MATCH($B1952,PecCod,0)),0)))</f>
        <v>0</v>
      </c>
      <c r="G1952" s="27">
        <f>IF(OR($B1952="",$C1952=""),"",$C1952*$F1952)</f>
        <v>0</v>
      </c>
      <c r="H1952" s="27">
        <f>IF(OR($B1952="",$C1952=""),"",$C1952*IFERROR(INDEX(PecCusto,MATCH($B1952,PecCod,0)),0))</f>
        <v>0</v>
      </c>
      <c r="I1952" s="32">
        <f>IF($A1952="","",IFERROR(INDEX(OSStatus,MATCH($A1952,OSNum,0)),"OS inexistente"))</f>
        <v>0</v>
      </c>
      <c r="J1952" s="32">
        <f>IF($A1952="","",IF($I1952="OS inexistente","OS inexistente",IF($E1952="Peça não cadastrada","Peça não cadastrada","OK")))</f>
        <v>0</v>
      </c>
    </row>
    <row r="1953" spans="1:10">
      <c r="A1953" s="17"/>
      <c r="B1953" s="13"/>
      <c r="C1953" s="20"/>
      <c r="D1953" s="19"/>
      <c r="E1953" s="26">
        <f>IF($B1953="","",IFERROR(INDEX(PecDesc,MATCH($B1953,PecCod,0)),"Peça não cadastrada"))</f>
        <v>0</v>
      </c>
      <c r="F1953" s="27">
        <f>IF($B1953="","",IF($D1953&lt;&gt;"",$D1953,IFERROR(INDEX(PecPreco,MATCH($B1953,PecCod,0)),0)))</f>
        <v>0</v>
      </c>
      <c r="G1953" s="27">
        <f>IF(OR($B1953="",$C1953=""),"",$C1953*$F1953)</f>
        <v>0</v>
      </c>
      <c r="H1953" s="27">
        <f>IF(OR($B1953="",$C1953=""),"",$C1953*IFERROR(INDEX(PecCusto,MATCH($B1953,PecCod,0)),0))</f>
        <v>0</v>
      </c>
      <c r="I1953" s="32">
        <f>IF($A1953="","",IFERROR(INDEX(OSStatus,MATCH($A1953,OSNum,0)),"OS inexistente"))</f>
        <v>0</v>
      </c>
      <c r="J1953" s="32">
        <f>IF($A1953="","",IF($I1953="OS inexistente","OS inexistente",IF($E1953="Peça não cadastrada","Peça não cadastrada","OK")))</f>
        <v>0</v>
      </c>
    </row>
    <row r="1954" spans="1:10">
      <c r="A1954" s="17"/>
      <c r="B1954" s="13"/>
      <c r="C1954" s="20"/>
      <c r="D1954" s="19"/>
      <c r="E1954" s="26">
        <f>IF($B1954="","",IFERROR(INDEX(PecDesc,MATCH($B1954,PecCod,0)),"Peça não cadastrada"))</f>
        <v>0</v>
      </c>
      <c r="F1954" s="27">
        <f>IF($B1954="","",IF($D1954&lt;&gt;"",$D1954,IFERROR(INDEX(PecPreco,MATCH($B1954,PecCod,0)),0)))</f>
        <v>0</v>
      </c>
      <c r="G1954" s="27">
        <f>IF(OR($B1954="",$C1954=""),"",$C1954*$F1954)</f>
        <v>0</v>
      </c>
      <c r="H1954" s="27">
        <f>IF(OR($B1954="",$C1954=""),"",$C1954*IFERROR(INDEX(PecCusto,MATCH($B1954,PecCod,0)),0))</f>
        <v>0</v>
      </c>
      <c r="I1954" s="32">
        <f>IF($A1954="","",IFERROR(INDEX(OSStatus,MATCH($A1954,OSNum,0)),"OS inexistente"))</f>
        <v>0</v>
      </c>
      <c r="J1954" s="32">
        <f>IF($A1954="","",IF($I1954="OS inexistente","OS inexistente",IF($E1954="Peça não cadastrada","Peça não cadastrada","OK")))</f>
        <v>0</v>
      </c>
    </row>
    <row r="1955" spans="1:10">
      <c r="A1955" s="17"/>
      <c r="B1955" s="13"/>
      <c r="C1955" s="20"/>
      <c r="D1955" s="19"/>
      <c r="E1955" s="26">
        <f>IF($B1955="","",IFERROR(INDEX(PecDesc,MATCH($B1955,PecCod,0)),"Peça não cadastrada"))</f>
        <v>0</v>
      </c>
      <c r="F1955" s="27">
        <f>IF($B1955="","",IF($D1955&lt;&gt;"",$D1955,IFERROR(INDEX(PecPreco,MATCH($B1955,PecCod,0)),0)))</f>
        <v>0</v>
      </c>
      <c r="G1955" s="27">
        <f>IF(OR($B1955="",$C1955=""),"",$C1955*$F1955)</f>
        <v>0</v>
      </c>
      <c r="H1955" s="27">
        <f>IF(OR($B1955="",$C1955=""),"",$C1955*IFERROR(INDEX(PecCusto,MATCH($B1955,PecCod,0)),0))</f>
        <v>0</v>
      </c>
      <c r="I1955" s="32">
        <f>IF($A1955="","",IFERROR(INDEX(OSStatus,MATCH($A1955,OSNum,0)),"OS inexistente"))</f>
        <v>0</v>
      </c>
      <c r="J1955" s="32">
        <f>IF($A1955="","",IF($I1955="OS inexistente","OS inexistente",IF($E1955="Peça não cadastrada","Peça não cadastrada","OK")))</f>
        <v>0</v>
      </c>
    </row>
    <row r="1956" spans="1:10">
      <c r="A1956" s="17"/>
      <c r="B1956" s="13"/>
      <c r="C1956" s="20"/>
      <c r="D1956" s="19"/>
      <c r="E1956" s="26">
        <f>IF($B1956="","",IFERROR(INDEX(PecDesc,MATCH($B1956,PecCod,0)),"Peça não cadastrada"))</f>
        <v>0</v>
      </c>
      <c r="F1956" s="27">
        <f>IF($B1956="","",IF($D1956&lt;&gt;"",$D1956,IFERROR(INDEX(PecPreco,MATCH($B1956,PecCod,0)),0)))</f>
        <v>0</v>
      </c>
      <c r="G1956" s="27">
        <f>IF(OR($B1956="",$C1956=""),"",$C1956*$F1956)</f>
        <v>0</v>
      </c>
      <c r="H1956" s="27">
        <f>IF(OR($B1956="",$C1956=""),"",$C1956*IFERROR(INDEX(PecCusto,MATCH($B1956,PecCod,0)),0))</f>
        <v>0</v>
      </c>
      <c r="I1956" s="32">
        <f>IF($A1956="","",IFERROR(INDEX(OSStatus,MATCH($A1956,OSNum,0)),"OS inexistente"))</f>
        <v>0</v>
      </c>
      <c r="J1956" s="32">
        <f>IF($A1956="","",IF($I1956="OS inexistente","OS inexistente",IF($E1956="Peça não cadastrada","Peça não cadastrada","OK")))</f>
        <v>0</v>
      </c>
    </row>
    <row r="1957" spans="1:10">
      <c r="A1957" s="17"/>
      <c r="B1957" s="13"/>
      <c r="C1957" s="20"/>
      <c r="D1957" s="19"/>
      <c r="E1957" s="26">
        <f>IF($B1957="","",IFERROR(INDEX(PecDesc,MATCH($B1957,PecCod,0)),"Peça não cadastrada"))</f>
        <v>0</v>
      </c>
      <c r="F1957" s="27">
        <f>IF($B1957="","",IF($D1957&lt;&gt;"",$D1957,IFERROR(INDEX(PecPreco,MATCH($B1957,PecCod,0)),0)))</f>
        <v>0</v>
      </c>
      <c r="G1957" s="27">
        <f>IF(OR($B1957="",$C1957=""),"",$C1957*$F1957)</f>
        <v>0</v>
      </c>
      <c r="H1957" s="27">
        <f>IF(OR($B1957="",$C1957=""),"",$C1957*IFERROR(INDEX(PecCusto,MATCH($B1957,PecCod,0)),0))</f>
        <v>0</v>
      </c>
      <c r="I1957" s="32">
        <f>IF($A1957="","",IFERROR(INDEX(OSStatus,MATCH($A1957,OSNum,0)),"OS inexistente"))</f>
        <v>0</v>
      </c>
      <c r="J1957" s="32">
        <f>IF($A1957="","",IF($I1957="OS inexistente","OS inexistente",IF($E1957="Peça não cadastrada","Peça não cadastrada","OK")))</f>
        <v>0</v>
      </c>
    </row>
    <row r="1958" spans="1:10">
      <c r="A1958" s="17"/>
      <c r="B1958" s="13"/>
      <c r="C1958" s="20"/>
      <c r="D1958" s="19"/>
      <c r="E1958" s="26">
        <f>IF($B1958="","",IFERROR(INDEX(PecDesc,MATCH($B1958,PecCod,0)),"Peça não cadastrada"))</f>
        <v>0</v>
      </c>
      <c r="F1958" s="27">
        <f>IF($B1958="","",IF($D1958&lt;&gt;"",$D1958,IFERROR(INDEX(PecPreco,MATCH($B1958,PecCod,0)),0)))</f>
        <v>0</v>
      </c>
      <c r="G1958" s="27">
        <f>IF(OR($B1958="",$C1958=""),"",$C1958*$F1958)</f>
        <v>0</v>
      </c>
      <c r="H1958" s="27">
        <f>IF(OR($B1958="",$C1958=""),"",$C1958*IFERROR(INDEX(PecCusto,MATCH($B1958,PecCod,0)),0))</f>
        <v>0</v>
      </c>
      <c r="I1958" s="32">
        <f>IF($A1958="","",IFERROR(INDEX(OSStatus,MATCH($A1958,OSNum,0)),"OS inexistente"))</f>
        <v>0</v>
      </c>
      <c r="J1958" s="32">
        <f>IF($A1958="","",IF($I1958="OS inexistente","OS inexistente",IF($E1958="Peça não cadastrada","Peça não cadastrada","OK")))</f>
        <v>0</v>
      </c>
    </row>
    <row r="1959" spans="1:10">
      <c r="A1959" s="17"/>
      <c r="B1959" s="13"/>
      <c r="C1959" s="20"/>
      <c r="D1959" s="19"/>
      <c r="E1959" s="26">
        <f>IF($B1959="","",IFERROR(INDEX(PecDesc,MATCH($B1959,PecCod,0)),"Peça não cadastrada"))</f>
        <v>0</v>
      </c>
      <c r="F1959" s="27">
        <f>IF($B1959="","",IF($D1959&lt;&gt;"",$D1959,IFERROR(INDEX(PecPreco,MATCH($B1959,PecCod,0)),0)))</f>
        <v>0</v>
      </c>
      <c r="G1959" s="27">
        <f>IF(OR($B1959="",$C1959=""),"",$C1959*$F1959)</f>
        <v>0</v>
      </c>
      <c r="H1959" s="27">
        <f>IF(OR($B1959="",$C1959=""),"",$C1959*IFERROR(INDEX(PecCusto,MATCH($B1959,PecCod,0)),0))</f>
        <v>0</v>
      </c>
      <c r="I1959" s="32">
        <f>IF($A1959="","",IFERROR(INDEX(OSStatus,MATCH($A1959,OSNum,0)),"OS inexistente"))</f>
        <v>0</v>
      </c>
      <c r="J1959" s="32">
        <f>IF($A1959="","",IF($I1959="OS inexistente","OS inexistente",IF($E1959="Peça não cadastrada","Peça não cadastrada","OK")))</f>
        <v>0</v>
      </c>
    </row>
    <row r="1960" spans="1:10">
      <c r="A1960" s="17"/>
      <c r="B1960" s="13"/>
      <c r="C1960" s="20"/>
      <c r="D1960" s="19"/>
      <c r="E1960" s="26">
        <f>IF($B1960="","",IFERROR(INDEX(PecDesc,MATCH($B1960,PecCod,0)),"Peça não cadastrada"))</f>
        <v>0</v>
      </c>
      <c r="F1960" s="27">
        <f>IF($B1960="","",IF($D1960&lt;&gt;"",$D1960,IFERROR(INDEX(PecPreco,MATCH($B1960,PecCod,0)),0)))</f>
        <v>0</v>
      </c>
      <c r="G1960" s="27">
        <f>IF(OR($B1960="",$C1960=""),"",$C1960*$F1960)</f>
        <v>0</v>
      </c>
      <c r="H1960" s="27">
        <f>IF(OR($B1960="",$C1960=""),"",$C1960*IFERROR(INDEX(PecCusto,MATCH($B1960,PecCod,0)),0))</f>
        <v>0</v>
      </c>
      <c r="I1960" s="32">
        <f>IF($A1960="","",IFERROR(INDEX(OSStatus,MATCH($A1960,OSNum,0)),"OS inexistente"))</f>
        <v>0</v>
      </c>
      <c r="J1960" s="32">
        <f>IF($A1960="","",IF($I1960="OS inexistente","OS inexistente",IF($E1960="Peça não cadastrada","Peça não cadastrada","OK")))</f>
        <v>0</v>
      </c>
    </row>
    <row r="1961" spans="1:10">
      <c r="A1961" s="17"/>
      <c r="B1961" s="13"/>
      <c r="C1961" s="20"/>
      <c r="D1961" s="19"/>
      <c r="E1961" s="26">
        <f>IF($B1961="","",IFERROR(INDEX(PecDesc,MATCH($B1961,PecCod,0)),"Peça não cadastrada"))</f>
        <v>0</v>
      </c>
      <c r="F1961" s="27">
        <f>IF($B1961="","",IF($D1961&lt;&gt;"",$D1961,IFERROR(INDEX(PecPreco,MATCH($B1961,PecCod,0)),0)))</f>
        <v>0</v>
      </c>
      <c r="G1961" s="27">
        <f>IF(OR($B1961="",$C1961=""),"",$C1961*$F1961)</f>
        <v>0</v>
      </c>
      <c r="H1961" s="27">
        <f>IF(OR($B1961="",$C1961=""),"",$C1961*IFERROR(INDEX(PecCusto,MATCH($B1961,PecCod,0)),0))</f>
        <v>0</v>
      </c>
      <c r="I1961" s="32">
        <f>IF($A1961="","",IFERROR(INDEX(OSStatus,MATCH($A1961,OSNum,0)),"OS inexistente"))</f>
        <v>0</v>
      </c>
      <c r="J1961" s="32">
        <f>IF($A1961="","",IF($I1961="OS inexistente","OS inexistente",IF($E1961="Peça não cadastrada","Peça não cadastrada","OK")))</f>
        <v>0</v>
      </c>
    </row>
    <row r="1962" spans="1:10">
      <c r="A1962" s="17"/>
      <c r="B1962" s="13"/>
      <c r="C1962" s="20"/>
      <c r="D1962" s="19"/>
      <c r="E1962" s="26">
        <f>IF($B1962="","",IFERROR(INDEX(PecDesc,MATCH($B1962,PecCod,0)),"Peça não cadastrada"))</f>
        <v>0</v>
      </c>
      <c r="F1962" s="27">
        <f>IF($B1962="","",IF($D1962&lt;&gt;"",$D1962,IFERROR(INDEX(PecPreco,MATCH($B1962,PecCod,0)),0)))</f>
        <v>0</v>
      </c>
      <c r="G1962" s="27">
        <f>IF(OR($B1962="",$C1962=""),"",$C1962*$F1962)</f>
        <v>0</v>
      </c>
      <c r="H1962" s="27">
        <f>IF(OR($B1962="",$C1962=""),"",$C1962*IFERROR(INDEX(PecCusto,MATCH($B1962,PecCod,0)),0))</f>
        <v>0</v>
      </c>
      <c r="I1962" s="32">
        <f>IF($A1962="","",IFERROR(INDEX(OSStatus,MATCH($A1962,OSNum,0)),"OS inexistente"))</f>
        <v>0</v>
      </c>
      <c r="J1962" s="32">
        <f>IF($A1962="","",IF($I1962="OS inexistente","OS inexistente",IF($E1962="Peça não cadastrada","Peça não cadastrada","OK")))</f>
        <v>0</v>
      </c>
    </row>
    <row r="1963" spans="1:10">
      <c r="A1963" s="17"/>
      <c r="B1963" s="13"/>
      <c r="C1963" s="20"/>
      <c r="D1963" s="19"/>
      <c r="E1963" s="26">
        <f>IF($B1963="","",IFERROR(INDEX(PecDesc,MATCH($B1963,PecCod,0)),"Peça não cadastrada"))</f>
        <v>0</v>
      </c>
      <c r="F1963" s="27">
        <f>IF($B1963="","",IF($D1963&lt;&gt;"",$D1963,IFERROR(INDEX(PecPreco,MATCH($B1963,PecCod,0)),0)))</f>
        <v>0</v>
      </c>
      <c r="G1963" s="27">
        <f>IF(OR($B1963="",$C1963=""),"",$C1963*$F1963)</f>
        <v>0</v>
      </c>
      <c r="H1963" s="27">
        <f>IF(OR($B1963="",$C1963=""),"",$C1963*IFERROR(INDEX(PecCusto,MATCH($B1963,PecCod,0)),0))</f>
        <v>0</v>
      </c>
      <c r="I1963" s="32">
        <f>IF($A1963="","",IFERROR(INDEX(OSStatus,MATCH($A1963,OSNum,0)),"OS inexistente"))</f>
        <v>0</v>
      </c>
      <c r="J1963" s="32">
        <f>IF($A1963="","",IF($I1963="OS inexistente","OS inexistente",IF($E1963="Peça não cadastrada","Peça não cadastrada","OK")))</f>
        <v>0</v>
      </c>
    </row>
    <row r="1964" spans="1:10">
      <c r="A1964" s="17"/>
      <c r="B1964" s="13"/>
      <c r="C1964" s="20"/>
      <c r="D1964" s="19"/>
      <c r="E1964" s="26">
        <f>IF($B1964="","",IFERROR(INDEX(PecDesc,MATCH($B1964,PecCod,0)),"Peça não cadastrada"))</f>
        <v>0</v>
      </c>
      <c r="F1964" s="27">
        <f>IF($B1964="","",IF($D1964&lt;&gt;"",$D1964,IFERROR(INDEX(PecPreco,MATCH($B1964,PecCod,0)),0)))</f>
        <v>0</v>
      </c>
      <c r="G1964" s="27">
        <f>IF(OR($B1964="",$C1964=""),"",$C1964*$F1964)</f>
        <v>0</v>
      </c>
      <c r="H1964" s="27">
        <f>IF(OR($B1964="",$C1964=""),"",$C1964*IFERROR(INDEX(PecCusto,MATCH($B1964,PecCod,0)),0))</f>
        <v>0</v>
      </c>
      <c r="I1964" s="32">
        <f>IF($A1964="","",IFERROR(INDEX(OSStatus,MATCH($A1964,OSNum,0)),"OS inexistente"))</f>
        <v>0</v>
      </c>
      <c r="J1964" s="32">
        <f>IF($A1964="","",IF($I1964="OS inexistente","OS inexistente",IF($E1964="Peça não cadastrada","Peça não cadastrada","OK")))</f>
        <v>0</v>
      </c>
    </row>
    <row r="1965" spans="1:10">
      <c r="A1965" s="17"/>
      <c r="B1965" s="13"/>
      <c r="C1965" s="20"/>
      <c r="D1965" s="19"/>
      <c r="E1965" s="26">
        <f>IF($B1965="","",IFERROR(INDEX(PecDesc,MATCH($B1965,PecCod,0)),"Peça não cadastrada"))</f>
        <v>0</v>
      </c>
      <c r="F1965" s="27">
        <f>IF($B1965="","",IF($D1965&lt;&gt;"",$D1965,IFERROR(INDEX(PecPreco,MATCH($B1965,PecCod,0)),0)))</f>
        <v>0</v>
      </c>
      <c r="G1965" s="27">
        <f>IF(OR($B1965="",$C1965=""),"",$C1965*$F1965)</f>
        <v>0</v>
      </c>
      <c r="H1965" s="27">
        <f>IF(OR($B1965="",$C1965=""),"",$C1965*IFERROR(INDEX(PecCusto,MATCH($B1965,PecCod,0)),0))</f>
        <v>0</v>
      </c>
      <c r="I1965" s="32">
        <f>IF($A1965="","",IFERROR(INDEX(OSStatus,MATCH($A1965,OSNum,0)),"OS inexistente"))</f>
        <v>0</v>
      </c>
      <c r="J1965" s="32">
        <f>IF($A1965="","",IF($I1965="OS inexistente","OS inexistente",IF($E1965="Peça não cadastrada","Peça não cadastrada","OK")))</f>
        <v>0</v>
      </c>
    </row>
    <row r="1966" spans="1:10">
      <c r="A1966" s="17"/>
      <c r="B1966" s="13"/>
      <c r="C1966" s="20"/>
      <c r="D1966" s="19"/>
      <c r="E1966" s="26">
        <f>IF($B1966="","",IFERROR(INDEX(PecDesc,MATCH($B1966,PecCod,0)),"Peça não cadastrada"))</f>
        <v>0</v>
      </c>
      <c r="F1966" s="27">
        <f>IF($B1966="","",IF($D1966&lt;&gt;"",$D1966,IFERROR(INDEX(PecPreco,MATCH($B1966,PecCod,0)),0)))</f>
        <v>0</v>
      </c>
      <c r="G1966" s="27">
        <f>IF(OR($B1966="",$C1966=""),"",$C1966*$F1966)</f>
        <v>0</v>
      </c>
      <c r="H1966" s="27">
        <f>IF(OR($B1966="",$C1966=""),"",$C1966*IFERROR(INDEX(PecCusto,MATCH($B1966,PecCod,0)),0))</f>
        <v>0</v>
      </c>
      <c r="I1966" s="32">
        <f>IF($A1966="","",IFERROR(INDEX(OSStatus,MATCH($A1966,OSNum,0)),"OS inexistente"))</f>
        <v>0</v>
      </c>
      <c r="J1966" s="32">
        <f>IF($A1966="","",IF($I1966="OS inexistente","OS inexistente",IF($E1966="Peça não cadastrada","Peça não cadastrada","OK")))</f>
        <v>0</v>
      </c>
    </row>
    <row r="1967" spans="1:10">
      <c r="A1967" s="17"/>
      <c r="B1967" s="13"/>
      <c r="C1967" s="20"/>
      <c r="D1967" s="19"/>
      <c r="E1967" s="26">
        <f>IF($B1967="","",IFERROR(INDEX(PecDesc,MATCH($B1967,PecCod,0)),"Peça não cadastrada"))</f>
        <v>0</v>
      </c>
      <c r="F1967" s="27">
        <f>IF($B1967="","",IF($D1967&lt;&gt;"",$D1967,IFERROR(INDEX(PecPreco,MATCH($B1967,PecCod,0)),0)))</f>
        <v>0</v>
      </c>
      <c r="G1967" s="27">
        <f>IF(OR($B1967="",$C1967=""),"",$C1967*$F1967)</f>
        <v>0</v>
      </c>
      <c r="H1967" s="27">
        <f>IF(OR($B1967="",$C1967=""),"",$C1967*IFERROR(INDEX(PecCusto,MATCH($B1967,PecCod,0)),0))</f>
        <v>0</v>
      </c>
      <c r="I1967" s="32">
        <f>IF($A1967="","",IFERROR(INDEX(OSStatus,MATCH($A1967,OSNum,0)),"OS inexistente"))</f>
        <v>0</v>
      </c>
      <c r="J1967" s="32">
        <f>IF($A1967="","",IF($I1967="OS inexistente","OS inexistente",IF($E1967="Peça não cadastrada","Peça não cadastrada","OK")))</f>
        <v>0</v>
      </c>
    </row>
    <row r="1968" spans="1:10">
      <c r="A1968" s="17"/>
      <c r="B1968" s="13"/>
      <c r="C1968" s="20"/>
      <c r="D1968" s="19"/>
      <c r="E1968" s="26">
        <f>IF($B1968="","",IFERROR(INDEX(PecDesc,MATCH($B1968,PecCod,0)),"Peça não cadastrada"))</f>
        <v>0</v>
      </c>
      <c r="F1968" s="27">
        <f>IF($B1968="","",IF($D1968&lt;&gt;"",$D1968,IFERROR(INDEX(PecPreco,MATCH($B1968,PecCod,0)),0)))</f>
        <v>0</v>
      </c>
      <c r="G1968" s="27">
        <f>IF(OR($B1968="",$C1968=""),"",$C1968*$F1968)</f>
        <v>0</v>
      </c>
      <c r="H1968" s="27">
        <f>IF(OR($B1968="",$C1968=""),"",$C1968*IFERROR(INDEX(PecCusto,MATCH($B1968,PecCod,0)),0))</f>
        <v>0</v>
      </c>
      <c r="I1968" s="32">
        <f>IF($A1968="","",IFERROR(INDEX(OSStatus,MATCH($A1968,OSNum,0)),"OS inexistente"))</f>
        <v>0</v>
      </c>
      <c r="J1968" s="32">
        <f>IF($A1968="","",IF($I1968="OS inexistente","OS inexistente",IF($E1968="Peça não cadastrada","Peça não cadastrada","OK")))</f>
        <v>0</v>
      </c>
    </row>
    <row r="1969" spans="1:10">
      <c r="A1969" s="17"/>
      <c r="B1969" s="13"/>
      <c r="C1969" s="20"/>
      <c r="D1969" s="19"/>
      <c r="E1969" s="26">
        <f>IF($B1969="","",IFERROR(INDEX(PecDesc,MATCH($B1969,PecCod,0)),"Peça não cadastrada"))</f>
        <v>0</v>
      </c>
      <c r="F1969" s="27">
        <f>IF($B1969="","",IF($D1969&lt;&gt;"",$D1969,IFERROR(INDEX(PecPreco,MATCH($B1969,PecCod,0)),0)))</f>
        <v>0</v>
      </c>
      <c r="G1969" s="27">
        <f>IF(OR($B1969="",$C1969=""),"",$C1969*$F1969)</f>
        <v>0</v>
      </c>
      <c r="H1969" s="27">
        <f>IF(OR($B1969="",$C1969=""),"",$C1969*IFERROR(INDEX(PecCusto,MATCH($B1969,PecCod,0)),0))</f>
        <v>0</v>
      </c>
      <c r="I1969" s="32">
        <f>IF($A1969="","",IFERROR(INDEX(OSStatus,MATCH($A1969,OSNum,0)),"OS inexistente"))</f>
        <v>0</v>
      </c>
      <c r="J1969" s="32">
        <f>IF($A1969="","",IF($I1969="OS inexistente","OS inexistente",IF($E1969="Peça não cadastrada","Peça não cadastrada","OK")))</f>
        <v>0</v>
      </c>
    </row>
    <row r="1970" spans="1:10">
      <c r="A1970" s="17"/>
      <c r="B1970" s="13"/>
      <c r="C1970" s="20"/>
      <c r="D1970" s="19"/>
      <c r="E1970" s="26">
        <f>IF($B1970="","",IFERROR(INDEX(PecDesc,MATCH($B1970,PecCod,0)),"Peça não cadastrada"))</f>
        <v>0</v>
      </c>
      <c r="F1970" s="27">
        <f>IF($B1970="","",IF($D1970&lt;&gt;"",$D1970,IFERROR(INDEX(PecPreco,MATCH($B1970,PecCod,0)),0)))</f>
        <v>0</v>
      </c>
      <c r="G1970" s="27">
        <f>IF(OR($B1970="",$C1970=""),"",$C1970*$F1970)</f>
        <v>0</v>
      </c>
      <c r="H1970" s="27">
        <f>IF(OR($B1970="",$C1970=""),"",$C1970*IFERROR(INDEX(PecCusto,MATCH($B1970,PecCod,0)),0))</f>
        <v>0</v>
      </c>
      <c r="I1970" s="32">
        <f>IF($A1970="","",IFERROR(INDEX(OSStatus,MATCH($A1970,OSNum,0)),"OS inexistente"))</f>
        <v>0</v>
      </c>
      <c r="J1970" s="32">
        <f>IF($A1970="","",IF($I1970="OS inexistente","OS inexistente",IF($E1970="Peça não cadastrada","Peça não cadastrada","OK")))</f>
        <v>0</v>
      </c>
    </row>
    <row r="1971" spans="1:10">
      <c r="A1971" s="17"/>
      <c r="B1971" s="13"/>
      <c r="C1971" s="20"/>
      <c r="D1971" s="19"/>
      <c r="E1971" s="26">
        <f>IF($B1971="","",IFERROR(INDEX(PecDesc,MATCH($B1971,PecCod,0)),"Peça não cadastrada"))</f>
        <v>0</v>
      </c>
      <c r="F1971" s="27">
        <f>IF($B1971="","",IF($D1971&lt;&gt;"",$D1971,IFERROR(INDEX(PecPreco,MATCH($B1971,PecCod,0)),0)))</f>
        <v>0</v>
      </c>
      <c r="G1971" s="27">
        <f>IF(OR($B1971="",$C1971=""),"",$C1971*$F1971)</f>
        <v>0</v>
      </c>
      <c r="H1971" s="27">
        <f>IF(OR($B1971="",$C1971=""),"",$C1971*IFERROR(INDEX(PecCusto,MATCH($B1971,PecCod,0)),0))</f>
        <v>0</v>
      </c>
      <c r="I1971" s="32">
        <f>IF($A1971="","",IFERROR(INDEX(OSStatus,MATCH($A1971,OSNum,0)),"OS inexistente"))</f>
        <v>0</v>
      </c>
      <c r="J1971" s="32">
        <f>IF($A1971="","",IF($I1971="OS inexistente","OS inexistente",IF($E1971="Peça não cadastrada","Peça não cadastrada","OK")))</f>
        <v>0</v>
      </c>
    </row>
    <row r="1972" spans="1:10">
      <c r="A1972" s="17"/>
      <c r="B1972" s="13"/>
      <c r="C1972" s="20"/>
      <c r="D1972" s="19"/>
      <c r="E1972" s="26">
        <f>IF($B1972="","",IFERROR(INDEX(PecDesc,MATCH($B1972,PecCod,0)),"Peça não cadastrada"))</f>
        <v>0</v>
      </c>
      <c r="F1972" s="27">
        <f>IF($B1972="","",IF($D1972&lt;&gt;"",$D1972,IFERROR(INDEX(PecPreco,MATCH($B1972,PecCod,0)),0)))</f>
        <v>0</v>
      </c>
      <c r="G1972" s="27">
        <f>IF(OR($B1972="",$C1972=""),"",$C1972*$F1972)</f>
        <v>0</v>
      </c>
      <c r="H1972" s="27">
        <f>IF(OR($B1972="",$C1972=""),"",$C1972*IFERROR(INDEX(PecCusto,MATCH($B1972,PecCod,0)),0))</f>
        <v>0</v>
      </c>
      <c r="I1972" s="32">
        <f>IF($A1972="","",IFERROR(INDEX(OSStatus,MATCH($A1972,OSNum,0)),"OS inexistente"))</f>
        <v>0</v>
      </c>
      <c r="J1972" s="32">
        <f>IF($A1972="","",IF($I1972="OS inexistente","OS inexistente",IF($E1972="Peça não cadastrada","Peça não cadastrada","OK")))</f>
        <v>0</v>
      </c>
    </row>
    <row r="1973" spans="1:10">
      <c r="A1973" s="17"/>
      <c r="B1973" s="13"/>
      <c r="C1973" s="20"/>
      <c r="D1973" s="19"/>
      <c r="E1973" s="26">
        <f>IF($B1973="","",IFERROR(INDEX(PecDesc,MATCH($B1973,PecCod,0)),"Peça não cadastrada"))</f>
        <v>0</v>
      </c>
      <c r="F1973" s="27">
        <f>IF($B1973="","",IF($D1973&lt;&gt;"",$D1973,IFERROR(INDEX(PecPreco,MATCH($B1973,PecCod,0)),0)))</f>
        <v>0</v>
      </c>
      <c r="G1973" s="27">
        <f>IF(OR($B1973="",$C1973=""),"",$C1973*$F1973)</f>
        <v>0</v>
      </c>
      <c r="H1973" s="27">
        <f>IF(OR($B1973="",$C1973=""),"",$C1973*IFERROR(INDEX(PecCusto,MATCH($B1973,PecCod,0)),0))</f>
        <v>0</v>
      </c>
      <c r="I1973" s="32">
        <f>IF($A1973="","",IFERROR(INDEX(OSStatus,MATCH($A1973,OSNum,0)),"OS inexistente"))</f>
        <v>0</v>
      </c>
      <c r="J1973" s="32">
        <f>IF($A1973="","",IF($I1973="OS inexistente","OS inexistente",IF($E1973="Peça não cadastrada","Peça não cadastrada","OK")))</f>
        <v>0</v>
      </c>
    </row>
    <row r="1974" spans="1:10">
      <c r="A1974" s="17"/>
      <c r="B1974" s="13"/>
      <c r="C1974" s="20"/>
      <c r="D1974" s="19"/>
      <c r="E1974" s="26">
        <f>IF($B1974="","",IFERROR(INDEX(PecDesc,MATCH($B1974,PecCod,0)),"Peça não cadastrada"))</f>
        <v>0</v>
      </c>
      <c r="F1974" s="27">
        <f>IF($B1974="","",IF($D1974&lt;&gt;"",$D1974,IFERROR(INDEX(PecPreco,MATCH($B1974,PecCod,0)),0)))</f>
        <v>0</v>
      </c>
      <c r="G1974" s="27">
        <f>IF(OR($B1974="",$C1974=""),"",$C1974*$F1974)</f>
        <v>0</v>
      </c>
      <c r="H1974" s="27">
        <f>IF(OR($B1974="",$C1974=""),"",$C1974*IFERROR(INDEX(PecCusto,MATCH($B1974,PecCod,0)),0))</f>
        <v>0</v>
      </c>
      <c r="I1974" s="32">
        <f>IF($A1974="","",IFERROR(INDEX(OSStatus,MATCH($A1974,OSNum,0)),"OS inexistente"))</f>
        <v>0</v>
      </c>
      <c r="J1974" s="32">
        <f>IF($A1974="","",IF($I1974="OS inexistente","OS inexistente",IF($E1974="Peça não cadastrada","Peça não cadastrada","OK")))</f>
        <v>0</v>
      </c>
    </row>
    <row r="1975" spans="1:10">
      <c r="A1975" s="17"/>
      <c r="B1975" s="13"/>
      <c r="C1975" s="20"/>
      <c r="D1975" s="19"/>
      <c r="E1975" s="26">
        <f>IF($B1975="","",IFERROR(INDEX(PecDesc,MATCH($B1975,PecCod,0)),"Peça não cadastrada"))</f>
        <v>0</v>
      </c>
      <c r="F1975" s="27">
        <f>IF($B1975="","",IF($D1975&lt;&gt;"",$D1975,IFERROR(INDEX(PecPreco,MATCH($B1975,PecCod,0)),0)))</f>
        <v>0</v>
      </c>
      <c r="G1975" s="27">
        <f>IF(OR($B1975="",$C1975=""),"",$C1975*$F1975)</f>
        <v>0</v>
      </c>
      <c r="H1975" s="27">
        <f>IF(OR($B1975="",$C1975=""),"",$C1975*IFERROR(INDEX(PecCusto,MATCH($B1975,PecCod,0)),0))</f>
        <v>0</v>
      </c>
      <c r="I1975" s="32">
        <f>IF($A1975="","",IFERROR(INDEX(OSStatus,MATCH($A1975,OSNum,0)),"OS inexistente"))</f>
        <v>0</v>
      </c>
      <c r="J1975" s="32">
        <f>IF($A1975="","",IF($I1975="OS inexistente","OS inexistente",IF($E1975="Peça não cadastrada","Peça não cadastrada","OK")))</f>
        <v>0</v>
      </c>
    </row>
    <row r="1976" spans="1:10">
      <c r="A1976" s="17"/>
      <c r="B1976" s="13"/>
      <c r="C1976" s="20"/>
      <c r="D1976" s="19"/>
      <c r="E1976" s="26">
        <f>IF($B1976="","",IFERROR(INDEX(PecDesc,MATCH($B1976,PecCod,0)),"Peça não cadastrada"))</f>
        <v>0</v>
      </c>
      <c r="F1976" s="27">
        <f>IF($B1976="","",IF($D1976&lt;&gt;"",$D1976,IFERROR(INDEX(PecPreco,MATCH($B1976,PecCod,0)),0)))</f>
        <v>0</v>
      </c>
      <c r="G1976" s="27">
        <f>IF(OR($B1976="",$C1976=""),"",$C1976*$F1976)</f>
        <v>0</v>
      </c>
      <c r="H1976" s="27">
        <f>IF(OR($B1976="",$C1976=""),"",$C1976*IFERROR(INDEX(PecCusto,MATCH($B1976,PecCod,0)),0))</f>
        <v>0</v>
      </c>
      <c r="I1976" s="32">
        <f>IF($A1976="","",IFERROR(INDEX(OSStatus,MATCH($A1976,OSNum,0)),"OS inexistente"))</f>
        <v>0</v>
      </c>
      <c r="J1976" s="32">
        <f>IF($A1976="","",IF($I1976="OS inexistente","OS inexistente",IF($E1976="Peça não cadastrada","Peça não cadastrada","OK")))</f>
        <v>0</v>
      </c>
    </row>
    <row r="1977" spans="1:10">
      <c r="A1977" s="17"/>
      <c r="B1977" s="13"/>
      <c r="C1977" s="20"/>
      <c r="D1977" s="19"/>
      <c r="E1977" s="26">
        <f>IF($B1977="","",IFERROR(INDEX(PecDesc,MATCH($B1977,PecCod,0)),"Peça não cadastrada"))</f>
        <v>0</v>
      </c>
      <c r="F1977" s="27">
        <f>IF($B1977="","",IF($D1977&lt;&gt;"",$D1977,IFERROR(INDEX(PecPreco,MATCH($B1977,PecCod,0)),0)))</f>
        <v>0</v>
      </c>
      <c r="G1977" s="27">
        <f>IF(OR($B1977="",$C1977=""),"",$C1977*$F1977)</f>
        <v>0</v>
      </c>
      <c r="H1977" s="27">
        <f>IF(OR($B1977="",$C1977=""),"",$C1977*IFERROR(INDEX(PecCusto,MATCH($B1977,PecCod,0)),0))</f>
        <v>0</v>
      </c>
      <c r="I1977" s="32">
        <f>IF($A1977="","",IFERROR(INDEX(OSStatus,MATCH($A1977,OSNum,0)),"OS inexistente"))</f>
        <v>0</v>
      </c>
      <c r="J1977" s="32">
        <f>IF($A1977="","",IF($I1977="OS inexistente","OS inexistente",IF($E1977="Peça não cadastrada","Peça não cadastrada","OK")))</f>
        <v>0</v>
      </c>
    </row>
    <row r="1978" spans="1:10">
      <c r="A1978" s="17"/>
      <c r="B1978" s="13"/>
      <c r="C1978" s="20"/>
      <c r="D1978" s="19"/>
      <c r="E1978" s="26">
        <f>IF($B1978="","",IFERROR(INDEX(PecDesc,MATCH($B1978,PecCod,0)),"Peça não cadastrada"))</f>
        <v>0</v>
      </c>
      <c r="F1978" s="27">
        <f>IF($B1978="","",IF($D1978&lt;&gt;"",$D1978,IFERROR(INDEX(PecPreco,MATCH($B1978,PecCod,0)),0)))</f>
        <v>0</v>
      </c>
      <c r="G1978" s="27">
        <f>IF(OR($B1978="",$C1978=""),"",$C1978*$F1978)</f>
        <v>0</v>
      </c>
      <c r="H1978" s="27">
        <f>IF(OR($B1978="",$C1978=""),"",$C1978*IFERROR(INDEX(PecCusto,MATCH($B1978,PecCod,0)),0))</f>
        <v>0</v>
      </c>
      <c r="I1978" s="32">
        <f>IF($A1978="","",IFERROR(INDEX(OSStatus,MATCH($A1978,OSNum,0)),"OS inexistente"))</f>
        <v>0</v>
      </c>
      <c r="J1978" s="32">
        <f>IF($A1978="","",IF($I1978="OS inexistente","OS inexistente",IF($E1978="Peça não cadastrada","Peça não cadastrada","OK")))</f>
        <v>0</v>
      </c>
    </row>
    <row r="1979" spans="1:10">
      <c r="A1979" s="17"/>
      <c r="B1979" s="13"/>
      <c r="C1979" s="20"/>
      <c r="D1979" s="19"/>
      <c r="E1979" s="26">
        <f>IF($B1979="","",IFERROR(INDEX(PecDesc,MATCH($B1979,PecCod,0)),"Peça não cadastrada"))</f>
        <v>0</v>
      </c>
      <c r="F1979" s="27">
        <f>IF($B1979="","",IF($D1979&lt;&gt;"",$D1979,IFERROR(INDEX(PecPreco,MATCH($B1979,PecCod,0)),0)))</f>
        <v>0</v>
      </c>
      <c r="G1979" s="27">
        <f>IF(OR($B1979="",$C1979=""),"",$C1979*$F1979)</f>
        <v>0</v>
      </c>
      <c r="H1979" s="27">
        <f>IF(OR($B1979="",$C1979=""),"",$C1979*IFERROR(INDEX(PecCusto,MATCH($B1979,PecCod,0)),0))</f>
        <v>0</v>
      </c>
      <c r="I1979" s="32">
        <f>IF($A1979="","",IFERROR(INDEX(OSStatus,MATCH($A1979,OSNum,0)),"OS inexistente"))</f>
        <v>0</v>
      </c>
      <c r="J1979" s="32">
        <f>IF($A1979="","",IF($I1979="OS inexistente","OS inexistente",IF($E1979="Peça não cadastrada","Peça não cadastrada","OK")))</f>
        <v>0</v>
      </c>
    </row>
    <row r="1980" spans="1:10">
      <c r="A1980" s="17"/>
      <c r="B1980" s="13"/>
      <c r="C1980" s="20"/>
      <c r="D1980" s="19"/>
      <c r="E1980" s="26">
        <f>IF($B1980="","",IFERROR(INDEX(PecDesc,MATCH($B1980,PecCod,0)),"Peça não cadastrada"))</f>
        <v>0</v>
      </c>
      <c r="F1980" s="27">
        <f>IF($B1980="","",IF($D1980&lt;&gt;"",$D1980,IFERROR(INDEX(PecPreco,MATCH($B1980,PecCod,0)),0)))</f>
        <v>0</v>
      </c>
      <c r="G1980" s="27">
        <f>IF(OR($B1980="",$C1980=""),"",$C1980*$F1980)</f>
        <v>0</v>
      </c>
      <c r="H1980" s="27">
        <f>IF(OR($B1980="",$C1980=""),"",$C1980*IFERROR(INDEX(PecCusto,MATCH($B1980,PecCod,0)),0))</f>
        <v>0</v>
      </c>
      <c r="I1980" s="32">
        <f>IF($A1980="","",IFERROR(INDEX(OSStatus,MATCH($A1980,OSNum,0)),"OS inexistente"))</f>
        <v>0</v>
      </c>
      <c r="J1980" s="32">
        <f>IF($A1980="","",IF($I1980="OS inexistente","OS inexistente",IF($E1980="Peça não cadastrada","Peça não cadastrada","OK")))</f>
        <v>0</v>
      </c>
    </row>
    <row r="1981" spans="1:10">
      <c r="A1981" s="17"/>
      <c r="B1981" s="13"/>
      <c r="C1981" s="20"/>
      <c r="D1981" s="19"/>
      <c r="E1981" s="26">
        <f>IF($B1981="","",IFERROR(INDEX(PecDesc,MATCH($B1981,PecCod,0)),"Peça não cadastrada"))</f>
        <v>0</v>
      </c>
      <c r="F1981" s="27">
        <f>IF($B1981="","",IF($D1981&lt;&gt;"",$D1981,IFERROR(INDEX(PecPreco,MATCH($B1981,PecCod,0)),0)))</f>
        <v>0</v>
      </c>
      <c r="G1981" s="27">
        <f>IF(OR($B1981="",$C1981=""),"",$C1981*$F1981)</f>
        <v>0</v>
      </c>
      <c r="H1981" s="27">
        <f>IF(OR($B1981="",$C1981=""),"",$C1981*IFERROR(INDEX(PecCusto,MATCH($B1981,PecCod,0)),0))</f>
        <v>0</v>
      </c>
      <c r="I1981" s="32">
        <f>IF($A1981="","",IFERROR(INDEX(OSStatus,MATCH($A1981,OSNum,0)),"OS inexistente"))</f>
        <v>0</v>
      </c>
      <c r="J1981" s="32">
        <f>IF($A1981="","",IF($I1981="OS inexistente","OS inexistente",IF($E1981="Peça não cadastrada","Peça não cadastrada","OK")))</f>
        <v>0</v>
      </c>
    </row>
    <row r="1982" spans="1:10">
      <c r="A1982" s="17"/>
      <c r="B1982" s="13"/>
      <c r="C1982" s="20"/>
      <c r="D1982" s="19"/>
      <c r="E1982" s="26">
        <f>IF($B1982="","",IFERROR(INDEX(PecDesc,MATCH($B1982,PecCod,0)),"Peça não cadastrada"))</f>
        <v>0</v>
      </c>
      <c r="F1982" s="27">
        <f>IF($B1982="","",IF($D1982&lt;&gt;"",$D1982,IFERROR(INDEX(PecPreco,MATCH($B1982,PecCod,0)),0)))</f>
        <v>0</v>
      </c>
      <c r="G1982" s="27">
        <f>IF(OR($B1982="",$C1982=""),"",$C1982*$F1982)</f>
        <v>0</v>
      </c>
      <c r="H1982" s="27">
        <f>IF(OR($B1982="",$C1982=""),"",$C1982*IFERROR(INDEX(PecCusto,MATCH($B1982,PecCod,0)),0))</f>
        <v>0</v>
      </c>
      <c r="I1982" s="32">
        <f>IF($A1982="","",IFERROR(INDEX(OSStatus,MATCH($A1982,OSNum,0)),"OS inexistente"))</f>
        <v>0</v>
      </c>
      <c r="J1982" s="32">
        <f>IF($A1982="","",IF($I1982="OS inexistente","OS inexistente",IF($E1982="Peça não cadastrada","Peça não cadastrada","OK")))</f>
        <v>0</v>
      </c>
    </row>
    <row r="1983" spans="1:10">
      <c r="A1983" s="17"/>
      <c r="B1983" s="13"/>
      <c r="C1983" s="20"/>
      <c r="D1983" s="19"/>
      <c r="E1983" s="26">
        <f>IF($B1983="","",IFERROR(INDEX(PecDesc,MATCH($B1983,PecCod,0)),"Peça não cadastrada"))</f>
        <v>0</v>
      </c>
      <c r="F1983" s="27">
        <f>IF($B1983="","",IF($D1983&lt;&gt;"",$D1983,IFERROR(INDEX(PecPreco,MATCH($B1983,PecCod,0)),0)))</f>
        <v>0</v>
      </c>
      <c r="G1983" s="27">
        <f>IF(OR($B1983="",$C1983=""),"",$C1983*$F1983)</f>
        <v>0</v>
      </c>
      <c r="H1983" s="27">
        <f>IF(OR($B1983="",$C1983=""),"",$C1983*IFERROR(INDEX(PecCusto,MATCH($B1983,PecCod,0)),0))</f>
        <v>0</v>
      </c>
      <c r="I1983" s="32">
        <f>IF($A1983="","",IFERROR(INDEX(OSStatus,MATCH($A1983,OSNum,0)),"OS inexistente"))</f>
        <v>0</v>
      </c>
      <c r="J1983" s="32">
        <f>IF($A1983="","",IF($I1983="OS inexistente","OS inexistente",IF($E1983="Peça não cadastrada","Peça não cadastrada","OK")))</f>
        <v>0</v>
      </c>
    </row>
    <row r="1984" spans="1:10">
      <c r="A1984" s="17"/>
      <c r="B1984" s="13"/>
      <c r="C1984" s="20"/>
      <c r="D1984" s="19"/>
      <c r="E1984" s="26">
        <f>IF($B1984="","",IFERROR(INDEX(PecDesc,MATCH($B1984,PecCod,0)),"Peça não cadastrada"))</f>
        <v>0</v>
      </c>
      <c r="F1984" s="27">
        <f>IF($B1984="","",IF($D1984&lt;&gt;"",$D1984,IFERROR(INDEX(PecPreco,MATCH($B1984,PecCod,0)),0)))</f>
        <v>0</v>
      </c>
      <c r="G1984" s="27">
        <f>IF(OR($B1984="",$C1984=""),"",$C1984*$F1984)</f>
        <v>0</v>
      </c>
      <c r="H1984" s="27">
        <f>IF(OR($B1984="",$C1984=""),"",$C1984*IFERROR(INDEX(PecCusto,MATCH($B1984,PecCod,0)),0))</f>
        <v>0</v>
      </c>
      <c r="I1984" s="32">
        <f>IF($A1984="","",IFERROR(INDEX(OSStatus,MATCH($A1984,OSNum,0)),"OS inexistente"))</f>
        <v>0</v>
      </c>
      <c r="J1984" s="32">
        <f>IF($A1984="","",IF($I1984="OS inexistente","OS inexistente",IF($E1984="Peça não cadastrada","Peça não cadastrada","OK")))</f>
        <v>0</v>
      </c>
    </row>
    <row r="1985" spans="1:10">
      <c r="A1985" s="17"/>
      <c r="B1985" s="13"/>
      <c r="C1985" s="20"/>
      <c r="D1985" s="19"/>
      <c r="E1985" s="26">
        <f>IF($B1985="","",IFERROR(INDEX(PecDesc,MATCH($B1985,PecCod,0)),"Peça não cadastrada"))</f>
        <v>0</v>
      </c>
      <c r="F1985" s="27">
        <f>IF($B1985="","",IF($D1985&lt;&gt;"",$D1985,IFERROR(INDEX(PecPreco,MATCH($B1985,PecCod,0)),0)))</f>
        <v>0</v>
      </c>
      <c r="G1985" s="27">
        <f>IF(OR($B1985="",$C1985=""),"",$C1985*$F1985)</f>
        <v>0</v>
      </c>
      <c r="H1985" s="27">
        <f>IF(OR($B1985="",$C1985=""),"",$C1985*IFERROR(INDEX(PecCusto,MATCH($B1985,PecCod,0)),0))</f>
        <v>0</v>
      </c>
      <c r="I1985" s="32">
        <f>IF($A1985="","",IFERROR(INDEX(OSStatus,MATCH($A1985,OSNum,0)),"OS inexistente"))</f>
        <v>0</v>
      </c>
      <c r="J1985" s="32">
        <f>IF($A1985="","",IF($I1985="OS inexistente","OS inexistente",IF($E1985="Peça não cadastrada","Peça não cadastrada","OK")))</f>
        <v>0</v>
      </c>
    </row>
    <row r="1986" spans="1:10">
      <c r="A1986" s="17"/>
      <c r="B1986" s="13"/>
      <c r="C1986" s="20"/>
      <c r="D1986" s="19"/>
      <c r="E1986" s="26">
        <f>IF($B1986="","",IFERROR(INDEX(PecDesc,MATCH($B1986,PecCod,0)),"Peça não cadastrada"))</f>
        <v>0</v>
      </c>
      <c r="F1986" s="27">
        <f>IF($B1986="","",IF($D1986&lt;&gt;"",$D1986,IFERROR(INDEX(PecPreco,MATCH($B1986,PecCod,0)),0)))</f>
        <v>0</v>
      </c>
      <c r="G1986" s="27">
        <f>IF(OR($B1986="",$C1986=""),"",$C1986*$F1986)</f>
        <v>0</v>
      </c>
      <c r="H1986" s="27">
        <f>IF(OR($B1986="",$C1986=""),"",$C1986*IFERROR(INDEX(PecCusto,MATCH($B1986,PecCod,0)),0))</f>
        <v>0</v>
      </c>
      <c r="I1986" s="32">
        <f>IF($A1986="","",IFERROR(INDEX(OSStatus,MATCH($A1986,OSNum,0)),"OS inexistente"))</f>
        <v>0</v>
      </c>
      <c r="J1986" s="32">
        <f>IF($A1986="","",IF($I1986="OS inexistente","OS inexistente",IF($E1986="Peça não cadastrada","Peça não cadastrada","OK")))</f>
        <v>0</v>
      </c>
    </row>
    <row r="1987" spans="1:10">
      <c r="A1987" s="17"/>
      <c r="B1987" s="13"/>
      <c r="C1987" s="20"/>
      <c r="D1987" s="19"/>
      <c r="E1987" s="26">
        <f>IF($B1987="","",IFERROR(INDEX(PecDesc,MATCH($B1987,PecCod,0)),"Peça não cadastrada"))</f>
        <v>0</v>
      </c>
      <c r="F1987" s="27">
        <f>IF($B1987="","",IF($D1987&lt;&gt;"",$D1987,IFERROR(INDEX(PecPreco,MATCH($B1987,PecCod,0)),0)))</f>
        <v>0</v>
      </c>
      <c r="G1987" s="27">
        <f>IF(OR($B1987="",$C1987=""),"",$C1987*$F1987)</f>
        <v>0</v>
      </c>
      <c r="H1987" s="27">
        <f>IF(OR($B1987="",$C1987=""),"",$C1987*IFERROR(INDEX(PecCusto,MATCH($B1987,PecCod,0)),0))</f>
        <v>0</v>
      </c>
      <c r="I1987" s="32">
        <f>IF($A1987="","",IFERROR(INDEX(OSStatus,MATCH($A1987,OSNum,0)),"OS inexistente"))</f>
        <v>0</v>
      </c>
      <c r="J1987" s="32">
        <f>IF($A1987="","",IF($I1987="OS inexistente","OS inexistente",IF($E1987="Peça não cadastrada","Peça não cadastrada","OK")))</f>
        <v>0</v>
      </c>
    </row>
    <row r="1988" spans="1:10">
      <c r="A1988" s="17"/>
      <c r="B1988" s="13"/>
      <c r="C1988" s="20"/>
      <c r="D1988" s="19"/>
      <c r="E1988" s="26">
        <f>IF($B1988="","",IFERROR(INDEX(PecDesc,MATCH($B1988,PecCod,0)),"Peça não cadastrada"))</f>
        <v>0</v>
      </c>
      <c r="F1988" s="27">
        <f>IF($B1988="","",IF($D1988&lt;&gt;"",$D1988,IFERROR(INDEX(PecPreco,MATCH($B1988,PecCod,0)),0)))</f>
        <v>0</v>
      </c>
      <c r="G1988" s="27">
        <f>IF(OR($B1988="",$C1988=""),"",$C1988*$F1988)</f>
        <v>0</v>
      </c>
      <c r="H1988" s="27">
        <f>IF(OR($B1988="",$C1988=""),"",$C1988*IFERROR(INDEX(PecCusto,MATCH($B1988,PecCod,0)),0))</f>
        <v>0</v>
      </c>
      <c r="I1988" s="32">
        <f>IF($A1988="","",IFERROR(INDEX(OSStatus,MATCH($A1988,OSNum,0)),"OS inexistente"))</f>
        <v>0</v>
      </c>
      <c r="J1988" s="32">
        <f>IF($A1988="","",IF($I1988="OS inexistente","OS inexistente",IF($E1988="Peça não cadastrada","Peça não cadastrada","OK")))</f>
        <v>0</v>
      </c>
    </row>
    <row r="1989" spans="1:10">
      <c r="A1989" s="17"/>
      <c r="B1989" s="13"/>
      <c r="C1989" s="20"/>
      <c r="D1989" s="19"/>
      <c r="E1989" s="26">
        <f>IF($B1989="","",IFERROR(INDEX(PecDesc,MATCH($B1989,PecCod,0)),"Peça não cadastrada"))</f>
        <v>0</v>
      </c>
      <c r="F1989" s="27">
        <f>IF($B1989="","",IF($D1989&lt;&gt;"",$D1989,IFERROR(INDEX(PecPreco,MATCH($B1989,PecCod,0)),0)))</f>
        <v>0</v>
      </c>
      <c r="G1989" s="27">
        <f>IF(OR($B1989="",$C1989=""),"",$C1989*$F1989)</f>
        <v>0</v>
      </c>
      <c r="H1989" s="27">
        <f>IF(OR($B1989="",$C1989=""),"",$C1989*IFERROR(INDEX(PecCusto,MATCH($B1989,PecCod,0)),0))</f>
        <v>0</v>
      </c>
      <c r="I1989" s="32">
        <f>IF($A1989="","",IFERROR(INDEX(OSStatus,MATCH($A1989,OSNum,0)),"OS inexistente"))</f>
        <v>0</v>
      </c>
      <c r="J1989" s="32">
        <f>IF($A1989="","",IF($I1989="OS inexistente","OS inexistente",IF($E1989="Peça não cadastrada","Peça não cadastrada","OK")))</f>
        <v>0</v>
      </c>
    </row>
    <row r="1990" spans="1:10">
      <c r="A1990" s="17"/>
      <c r="B1990" s="13"/>
      <c r="C1990" s="20"/>
      <c r="D1990" s="19"/>
      <c r="E1990" s="26">
        <f>IF($B1990="","",IFERROR(INDEX(PecDesc,MATCH($B1990,PecCod,0)),"Peça não cadastrada"))</f>
        <v>0</v>
      </c>
      <c r="F1990" s="27">
        <f>IF($B1990="","",IF($D1990&lt;&gt;"",$D1990,IFERROR(INDEX(PecPreco,MATCH($B1990,PecCod,0)),0)))</f>
        <v>0</v>
      </c>
      <c r="G1990" s="27">
        <f>IF(OR($B1990="",$C1990=""),"",$C1990*$F1990)</f>
        <v>0</v>
      </c>
      <c r="H1990" s="27">
        <f>IF(OR($B1990="",$C1990=""),"",$C1990*IFERROR(INDEX(PecCusto,MATCH($B1990,PecCod,0)),0))</f>
        <v>0</v>
      </c>
      <c r="I1990" s="32">
        <f>IF($A1990="","",IFERROR(INDEX(OSStatus,MATCH($A1990,OSNum,0)),"OS inexistente"))</f>
        <v>0</v>
      </c>
      <c r="J1990" s="32">
        <f>IF($A1990="","",IF($I1990="OS inexistente","OS inexistente",IF($E1990="Peça não cadastrada","Peça não cadastrada","OK")))</f>
        <v>0</v>
      </c>
    </row>
    <row r="1991" spans="1:10">
      <c r="A1991" s="17"/>
      <c r="B1991" s="13"/>
      <c r="C1991" s="20"/>
      <c r="D1991" s="19"/>
      <c r="E1991" s="26">
        <f>IF($B1991="","",IFERROR(INDEX(PecDesc,MATCH($B1991,PecCod,0)),"Peça não cadastrada"))</f>
        <v>0</v>
      </c>
      <c r="F1991" s="27">
        <f>IF($B1991="","",IF($D1991&lt;&gt;"",$D1991,IFERROR(INDEX(PecPreco,MATCH($B1991,PecCod,0)),0)))</f>
        <v>0</v>
      </c>
      <c r="G1991" s="27">
        <f>IF(OR($B1991="",$C1991=""),"",$C1991*$F1991)</f>
        <v>0</v>
      </c>
      <c r="H1991" s="27">
        <f>IF(OR($B1991="",$C1991=""),"",$C1991*IFERROR(INDEX(PecCusto,MATCH($B1991,PecCod,0)),0))</f>
        <v>0</v>
      </c>
      <c r="I1991" s="32">
        <f>IF($A1991="","",IFERROR(INDEX(OSStatus,MATCH($A1991,OSNum,0)),"OS inexistente"))</f>
        <v>0</v>
      </c>
      <c r="J1991" s="32">
        <f>IF($A1991="","",IF($I1991="OS inexistente","OS inexistente",IF($E1991="Peça não cadastrada","Peça não cadastrada","OK")))</f>
        <v>0</v>
      </c>
    </row>
    <row r="1992" spans="1:10">
      <c r="A1992" s="17"/>
      <c r="B1992" s="13"/>
      <c r="C1992" s="20"/>
      <c r="D1992" s="19"/>
      <c r="E1992" s="26">
        <f>IF($B1992="","",IFERROR(INDEX(PecDesc,MATCH($B1992,PecCod,0)),"Peça não cadastrada"))</f>
        <v>0</v>
      </c>
      <c r="F1992" s="27">
        <f>IF($B1992="","",IF($D1992&lt;&gt;"",$D1992,IFERROR(INDEX(PecPreco,MATCH($B1992,PecCod,0)),0)))</f>
        <v>0</v>
      </c>
      <c r="G1992" s="27">
        <f>IF(OR($B1992="",$C1992=""),"",$C1992*$F1992)</f>
        <v>0</v>
      </c>
      <c r="H1992" s="27">
        <f>IF(OR($B1992="",$C1992=""),"",$C1992*IFERROR(INDEX(PecCusto,MATCH($B1992,PecCod,0)),0))</f>
        <v>0</v>
      </c>
      <c r="I1992" s="32">
        <f>IF($A1992="","",IFERROR(INDEX(OSStatus,MATCH($A1992,OSNum,0)),"OS inexistente"))</f>
        <v>0</v>
      </c>
      <c r="J1992" s="32">
        <f>IF($A1992="","",IF($I1992="OS inexistente","OS inexistente",IF($E1992="Peça não cadastrada","Peça não cadastrada","OK")))</f>
        <v>0</v>
      </c>
    </row>
    <row r="1993" spans="1:10">
      <c r="A1993" s="17"/>
      <c r="B1993" s="13"/>
      <c r="C1993" s="20"/>
      <c r="D1993" s="19"/>
      <c r="E1993" s="26">
        <f>IF($B1993="","",IFERROR(INDEX(PecDesc,MATCH($B1993,PecCod,0)),"Peça não cadastrada"))</f>
        <v>0</v>
      </c>
      <c r="F1993" s="27">
        <f>IF($B1993="","",IF($D1993&lt;&gt;"",$D1993,IFERROR(INDEX(PecPreco,MATCH($B1993,PecCod,0)),0)))</f>
        <v>0</v>
      </c>
      <c r="G1993" s="27">
        <f>IF(OR($B1993="",$C1993=""),"",$C1993*$F1993)</f>
        <v>0</v>
      </c>
      <c r="H1993" s="27">
        <f>IF(OR($B1993="",$C1993=""),"",$C1993*IFERROR(INDEX(PecCusto,MATCH($B1993,PecCod,0)),0))</f>
        <v>0</v>
      </c>
      <c r="I1993" s="32">
        <f>IF($A1993="","",IFERROR(INDEX(OSStatus,MATCH($A1993,OSNum,0)),"OS inexistente"))</f>
        <v>0</v>
      </c>
      <c r="J1993" s="32">
        <f>IF($A1993="","",IF($I1993="OS inexistente","OS inexistente",IF($E1993="Peça não cadastrada","Peça não cadastrada","OK")))</f>
        <v>0</v>
      </c>
    </row>
    <row r="1994" spans="1:10">
      <c r="A1994" s="17"/>
      <c r="B1994" s="13"/>
      <c r="C1994" s="20"/>
      <c r="D1994" s="19"/>
      <c r="E1994" s="26">
        <f>IF($B1994="","",IFERROR(INDEX(PecDesc,MATCH($B1994,PecCod,0)),"Peça não cadastrada"))</f>
        <v>0</v>
      </c>
      <c r="F1994" s="27">
        <f>IF($B1994="","",IF($D1994&lt;&gt;"",$D1994,IFERROR(INDEX(PecPreco,MATCH($B1994,PecCod,0)),0)))</f>
        <v>0</v>
      </c>
      <c r="G1994" s="27">
        <f>IF(OR($B1994="",$C1994=""),"",$C1994*$F1994)</f>
        <v>0</v>
      </c>
      <c r="H1994" s="27">
        <f>IF(OR($B1994="",$C1994=""),"",$C1994*IFERROR(INDEX(PecCusto,MATCH($B1994,PecCod,0)),0))</f>
        <v>0</v>
      </c>
      <c r="I1994" s="32">
        <f>IF($A1994="","",IFERROR(INDEX(OSStatus,MATCH($A1994,OSNum,0)),"OS inexistente"))</f>
        <v>0</v>
      </c>
      <c r="J1994" s="32">
        <f>IF($A1994="","",IF($I1994="OS inexistente","OS inexistente",IF($E1994="Peça não cadastrada","Peça não cadastrada","OK")))</f>
        <v>0</v>
      </c>
    </row>
    <row r="1995" spans="1:10">
      <c r="A1995" s="17"/>
      <c r="B1995" s="13"/>
      <c r="C1995" s="20"/>
      <c r="D1995" s="19"/>
      <c r="E1995" s="26">
        <f>IF($B1995="","",IFERROR(INDEX(PecDesc,MATCH($B1995,PecCod,0)),"Peça não cadastrada"))</f>
        <v>0</v>
      </c>
      <c r="F1995" s="27">
        <f>IF($B1995="","",IF($D1995&lt;&gt;"",$D1995,IFERROR(INDEX(PecPreco,MATCH($B1995,PecCod,0)),0)))</f>
        <v>0</v>
      </c>
      <c r="G1995" s="27">
        <f>IF(OR($B1995="",$C1995=""),"",$C1995*$F1995)</f>
        <v>0</v>
      </c>
      <c r="H1995" s="27">
        <f>IF(OR($B1995="",$C1995=""),"",$C1995*IFERROR(INDEX(PecCusto,MATCH($B1995,PecCod,0)),0))</f>
        <v>0</v>
      </c>
      <c r="I1995" s="32">
        <f>IF($A1995="","",IFERROR(INDEX(OSStatus,MATCH($A1995,OSNum,0)),"OS inexistente"))</f>
        <v>0</v>
      </c>
      <c r="J1995" s="32">
        <f>IF($A1995="","",IF($I1995="OS inexistente","OS inexistente",IF($E1995="Peça não cadastrada","Peça não cadastrada","OK")))</f>
        <v>0</v>
      </c>
    </row>
    <row r="1996" spans="1:10">
      <c r="A1996" s="17"/>
      <c r="B1996" s="13"/>
      <c r="C1996" s="20"/>
      <c r="D1996" s="19"/>
      <c r="E1996" s="26">
        <f>IF($B1996="","",IFERROR(INDEX(PecDesc,MATCH($B1996,PecCod,0)),"Peça não cadastrada"))</f>
        <v>0</v>
      </c>
      <c r="F1996" s="27">
        <f>IF($B1996="","",IF($D1996&lt;&gt;"",$D1996,IFERROR(INDEX(PecPreco,MATCH($B1996,PecCod,0)),0)))</f>
        <v>0</v>
      </c>
      <c r="G1996" s="27">
        <f>IF(OR($B1996="",$C1996=""),"",$C1996*$F1996)</f>
        <v>0</v>
      </c>
      <c r="H1996" s="27">
        <f>IF(OR($B1996="",$C1996=""),"",$C1996*IFERROR(INDEX(PecCusto,MATCH($B1996,PecCod,0)),0))</f>
        <v>0</v>
      </c>
      <c r="I1996" s="32">
        <f>IF($A1996="","",IFERROR(INDEX(OSStatus,MATCH($A1996,OSNum,0)),"OS inexistente"))</f>
        <v>0</v>
      </c>
      <c r="J1996" s="32">
        <f>IF($A1996="","",IF($I1996="OS inexistente","OS inexistente",IF($E1996="Peça não cadastrada","Peça não cadastrada","OK")))</f>
        <v>0</v>
      </c>
    </row>
    <row r="1997" spans="1:10">
      <c r="A1997" s="17"/>
      <c r="B1997" s="13"/>
      <c r="C1997" s="20"/>
      <c r="D1997" s="19"/>
      <c r="E1997" s="26">
        <f>IF($B1997="","",IFERROR(INDEX(PecDesc,MATCH($B1997,PecCod,0)),"Peça não cadastrada"))</f>
        <v>0</v>
      </c>
      <c r="F1997" s="27">
        <f>IF($B1997="","",IF($D1997&lt;&gt;"",$D1997,IFERROR(INDEX(PecPreco,MATCH($B1997,PecCod,0)),0)))</f>
        <v>0</v>
      </c>
      <c r="G1997" s="27">
        <f>IF(OR($B1997="",$C1997=""),"",$C1997*$F1997)</f>
        <v>0</v>
      </c>
      <c r="H1997" s="27">
        <f>IF(OR($B1997="",$C1997=""),"",$C1997*IFERROR(INDEX(PecCusto,MATCH($B1997,PecCod,0)),0))</f>
        <v>0</v>
      </c>
      <c r="I1997" s="32">
        <f>IF($A1997="","",IFERROR(INDEX(OSStatus,MATCH($A1997,OSNum,0)),"OS inexistente"))</f>
        <v>0</v>
      </c>
      <c r="J1997" s="32">
        <f>IF($A1997="","",IF($I1997="OS inexistente","OS inexistente",IF($E1997="Peça não cadastrada","Peça não cadastrada","OK")))</f>
        <v>0</v>
      </c>
    </row>
    <row r="1998" spans="1:10">
      <c r="A1998" s="17"/>
      <c r="B1998" s="13"/>
      <c r="C1998" s="20"/>
      <c r="D1998" s="19"/>
      <c r="E1998" s="26">
        <f>IF($B1998="","",IFERROR(INDEX(PecDesc,MATCH($B1998,PecCod,0)),"Peça não cadastrada"))</f>
        <v>0</v>
      </c>
      <c r="F1998" s="27">
        <f>IF($B1998="","",IF($D1998&lt;&gt;"",$D1998,IFERROR(INDEX(PecPreco,MATCH($B1998,PecCod,0)),0)))</f>
        <v>0</v>
      </c>
      <c r="G1998" s="27">
        <f>IF(OR($B1998="",$C1998=""),"",$C1998*$F1998)</f>
        <v>0</v>
      </c>
      <c r="H1998" s="27">
        <f>IF(OR($B1998="",$C1998=""),"",$C1998*IFERROR(INDEX(PecCusto,MATCH($B1998,PecCod,0)),0))</f>
        <v>0</v>
      </c>
      <c r="I1998" s="32">
        <f>IF($A1998="","",IFERROR(INDEX(OSStatus,MATCH($A1998,OSNum,0)),"OS inexistente"))</f>
        <v>0</v>
      </c>
      <c r="J1998" s="32">
        <f>IF($A1998="","",IF($I1998="OS inexistente","OS inexistente",IF($E1998="Peça não cadastrada","Peça não cadastrada","OK")))</f>
        <v>0</v>
      </c>
    </row>
    <row r="1999" spans="1:10">
      <c r="A1999" s="17"/>
      <c r="B1999" s="13"/>
      <c r="C1999" s="20"/>
      <c r="D1999" s="19"/>
      <c r="E1999" s="26">
        <f>IF($B1999="","",IFERROR(INDEX(PecDesc,MATCH($B1999,PecCod,0)),"Peça não cadastrada"))</f>
        <v>0</v>
      </c>
      <c r="F1999" s="27">
        <f>IF($B1999="","",IF($D1999&lt;&gt;"",$D1999,IFERROR(INDEX(PecPreco,MATCH($B1999,PecCod,0)),0)))</f>
        <v>0</v>
      </c>
      <c r="G1999" s="27">
        <f>IF(OR($B1999="",$C1999=""),"",$C1999*$F1999)</f>
        <v>0</v>
      </c>
      <c r="H1999" s="27">
        <f>IF(OR($B1999="",$C1999=""),"",$C1999*IFERROR(INDEX(PecCusto,MATCH($B1999,PecCod,0)),0))</f>
        <v>0</v>
      </c>
      <c r="I1999" s="32">
        <f>IF($A1999="","",IFERROR(INDEX(OSStatus,MATCH($A1999,OSNum,0)),"OS inexistente"))</f>
        <v>0</v>
      </c>
      <c r="J1999" s="32">
        <f>IF($A1999="","",IF($I1999="OS inexistente","OS inexistente",IF($E1999="Peça não cadastrada","Peça não cadastrada","OK")))</f>
        <v>0</v>
      </c>
    </row>
    <row r="2000" spans="1:10">
      <c r="A2000" s="17"/>
      <c r="B2000" s="13"/>
      <c r="C2000" s="20"/>
      <c r="D2000" s="19"/>
      <c r="E2000" s="26">
        <f>IF($B2000="","",IFERROR(INDEX(PecDesc,MATCH($B2000,PecCod,0)),"Peça não cadastrada"))</f>
        <v>0</v>
      </c>
      <c r="F2000" s="27">
        <f>IF($B2000="","",IF($D2000&lt;&gt;"",$D2000,IFERROR(INDEX(PecPreco,MATCH($B2000,PecCod,0)),0)))</f>
        <v>0</v>
      </c>
      <c r="G2000" s="27">
        <f>IF(OR($B2000="",$C2000=""),"",$C2000*$F2000)</f>
        <v>0</v>
      </c>
      <c r="H2000" s="27">
        <f>IF(OR($B2000="",$C2000=""),"",$C2000*IFERROR(INDEX(PecCusto,MATCH($B2000,PecCod,0)),0))</f>
        <v>0</v>
      </c>
      <c r="I2000" s="32">
        <f>IF($A2000="","",IFERROR(INDEX(OSStatus,MATCH($A2000,OSNum,0)),"OS inexistente"))</f>
        <v>0</v>
      </c>
      <c r="J2000" s="32">
        <f>IF($A2000="","",IF($I2000="OS inexistente","OS inexistente",IF($E2000="Peça não cadastrada","Peça não cadastrada","OK")))</f>
        <v>0</v>
      </c>
    </row>
    <row r="2001" spans="1:10">
      <c r="A2001" s="17"/>
      <c r="B2001" s="13"/>
      <c r="C2001" s="20"/>
      <c r="D2001" s="19"/>
      <c r="E2001" s="26">
        <f>IF($B2001="","",IFERROR(INDEX(PecDesc,MATCH($B2001,PecCod,0)),"Peça não cadastrada"))</f>
        <v>0</v>
      </c>
      <c r="F2001" s="27">
        <f>IF($B2001="","",IF($D2001&lt;&gt;"",$D2001,IFERROR(INDEX(PecPreco,MATCH($B2001,PecCod,0)),0)))</f>
        <v>0</v>
      </c>
      <c r="G2001" s="27">
        <f>IF(OR($B2001="",$C2001=""),"",$C2001*$F2001)</f>
        <v>0</v>
      </c>
      <c r="H2001" s="27">
        <f>IF(OR($B2001="",$C2001=""),"",$C2001*IFERROR(INDEX(PecCusto,MATCH($B2001,PecCod,0)),0))</f>
        <v>0</v>
      </c>
      <c r="I2001" s="32">
        <f>IF($A2001="","",IFERROR(INDEX(OSStatus,MATCH($A2001,OSNum,0)),"OS inexistente"))</f>
        <v>0</v>
      </c>
      <c r="J2001" s="32">
        <f>IF($A2001="","",IF($I2001="OS inexistente","OS inexistente",IF($E2001="Peça não cadastrada","Peça não cadastrada","OK")))</f>
        <v>0</v>
      </c>
    </row>
    <row r="2002" spans="1:10">
      <c r="A2002" s="17"/>
      <c r="B2002" s="13"/>
      <c r="C2002" s="20"/>
      <c r="D2002" s="19"/>
      <c r="E2002" s="26">
        <f>IF($B2002="","",IFERROR(INDEX(PecDesc,MATCH($B2002,PecCod,0)),"Peça não cadastrada"))</f>
        <v>0</v>
      </c>
      <c r="F2002" s="27">
        <f>IF($B2002="","",IF($D2002&lt;&gt;"",$D2002,IFERROR(INDEX(PecPreco,MATCH($B2002,PecCod,0)),0)))</f>
        <v>0</v>
      </c>
      <c r="G2002" s="27">
        <f>IF(OR($B2002="",$C2002=""),"",$C2002*$F2002)</f>
        <v>0</v>
      </c>
      <c r="H2002" s="27">
        <f>IF(OR($B2002="",$C2002=""),"",$C2002*IFERROR(INDEX(PecCusto,MATCH($B2002,PecCod,0)),0))</f>
        <v>0</v>
      </c>
      <c r="I2002" s="32">
        <f>IF($A2002="","",IFERROR(INDEX(OSStatus,MATCH($A2002,OSNum,0)),"OS inexistente"))</f>
        <v>0</v>
      </c>
      <c r="J2002" s="32">
        <f>IF($A2002="","",IF($I2002="OS inexistente","OS inexistente",IF($E2002="Peça não cadastrada","Peça não cadastrada","OK")))</f>
        <v>0</v>
      </c>
    </row>
    <row r="2003" spans="1:10">
      <c r="A2003" s="17"/>
      <c r="B2003" s="13"/>
      <c r="C2003" s="20"/>
      <c r="D2003" s="19"/>
      <c r="E2003" s="26">
        <f>IF($B2003="","",IFERROR(INDEX(PecDesc,MATCH($B2003,PecCod,0)),"Peça não cadastrada"))</f>
        <v>0</v>
      </c>
      <c r="F2003" s="27">
        <f>IF($B2003="","",IF($D2003&lt;&gt;"",$D2003,IFERROR(INDEX(PecPreco,MATCH($B2003,PecCod,0)),0)))</f>
        <v>0</v>
      </c>
      <c r="G2003" s="27">
        <f>IF(OR($B2003="",$C2003=""),"",$C2003*$F2003)</f>
        <v>0</v>
      </c>
      <c r="H2003" s="27">
        <f>IF(OR($B2003="",$C2003=""),"",$C2003*IFERROR(INDEX(PecCusto,MATCH($B2003,PecCod,0)),0))</f>
        <v>0</v>
      </c>
      <c r="I2003" s="32">
        <f>IF($A2003="","",IFERROR(INDEX(OSStatus,MATCH($A2003,OSNum,0)),"OS inexistente"))</f>
        <v>0</v>
      </c>
      <c r="J2003" s="32">
        <f>IF($A2003="","",IF($I2003="OS inexistente","OS inexistente",IF($E2003="Peça não cadastrada","Peça não cadastrada","OK")))</f>
        <v>0</v>
      </c>
    </row>
    <row r="2004" spans="1:10">
      <c r="A2004" s="17"/>
      <c r="B2004" s="13"/>
      <c r="C2004" s="20"/>
      <c r="D2004" s="19"/>
      <c r="E2004" s="26">
        <f>IF($B2004="","",IFERROR(INDEX(PecDesc,MATCH($B2004,PecCod,0)),"Peça não cadastrada"))</f>
        <v>0</v>
      </c>
      <c r="F2004" s="27">
        <f>IF($B2004="","",IF($D2004&lt;&gt;"",$D2004,IFERROR(INDEX(PecPreco,MATCH($B2004,PecCod,0)),0)))</f>
        <v>0</v>
      </c>
      <c r="G2004" s="27">
        <f>IF(OR($B2004="",$C2004=""),"",$C2004*$F2004)</f>
        <v>0</v>
      </c>
      <c r="H2004" s="27">
        <f>IF(OR($B2004="",$C2004=""),"",$C2004*IFERROR(INDEX(PecCusto,MATCH($B2004,PecCod,0)),0))</f>
        <v>0</v>
      </c>
      <c r="I2004" s="32">
        <f>IF($A2004="","",IFERROR(INDEX(OSStatus,MATCH($A2004,OSNum,0)),"OS inexistente"))</f>
        <v>0</v>
      </c>
      <c r="J2004" s="32">
        <f>IF($A2004="","",IF($I2004="OS inexistente","OS inexistente",IF($E2004="Peça não cadastrada","Peça não cadastrada","OK")))</f>
        <v>0</v>
      </c>
    </row>
    <row r="2005" spans="1:10">
      <c r="A2005" s="17"/>
      <c r="B2005" s="13"/>
      <c r="C2005" s="20"/>
      <c r="D2005" s="19"/>
      <c r="E2005" s="26">
        <f>IF($B2005="","",IFERROR(INDEX(PecDesc,MATCH($B2005,PecCod,0)),"Peça não cadastrada"))</f>
        <v>0</v>
      </c>
      <c r="F2005" s="27">
        <f>IF($B2005="","",IF($D2005&lt;&gt;"",$D2005,IFERROR(INDEX(PecPreco,MATCH($B2005,PecCod,0)),0)))</f>
        <v>0</v>
      </c>
      <c r="G2005" s="27">
        <f>IF(OR($B2005="",$C2005=""),"",$C2005*$F2005)</f>
        <v>0</v>
      </c>
      <c r="H2005" s="27">
        <f>IF(OR($B2005="",$C2005=""),"",$C2005*IFERROR(INDEX(PecCusto,MATCH($B2005,PecCod,0)),0))</f>
        <v>0</v>
      </c>
      <c r="I2005" s="32">
        <f>IF($A2005="","",IFERROR(INDEX(OSStatus,MATCH($A2005,OSNum,0)),"OS inexistente"))</f>
        <v>0</v>
      </c>
      <c r="J2005" s="32">
        <f>IF($A2005="","",IF($I2005="OS inexistente","OS inexistente",IF($E2005="Peça não cadastrada","Peça não cadastrada","OK")))</f>
        <v>0</v>
      </c>
    </row>
    <row r="2006" spans="1:10">
      <c r="A2006" s="17"/>
      <c r="B2006" s="13"/>
      <c r="C2006" s="20"/>
      <c r="D2006" s="19"/>
      <c r="E2006" s="26">
        <f>IF($B2006="","",IFERROR(INDEX(PecDesc,MATCH($B2006,PecCod,0)),"Peça não cadastrada"))</f>
        <v>0</v>
      </c>
      <c r="F2006" s="27">
        <f>IF($B2006="","",IF($D2006&lt;&gt;"",$D2006,IFERROR(INDEX(PecPreco,MATCH($B2006,PecCod,0)),0)))</f>
        <v>0</v>
      </c>
      <c r="G2006" s="27">
        <f>IF(OR($B2006="",$C2006=""),"",$C2006*$F2006)</f>
        <v>0</v>
      </c>
      <c r="H2006" s="27">
        <f>IF(OR($B2006="",$C2006=""),"",$C2006*IFERROR(INDEX(PecCusto,MATCH($B2006,PecCod,0)),0))</f>
        <v>0</v>
      </c>
      <c r="I2006" s="32">
        <f>IF($A2006="","",IFERROR(INDEX(OSStatus,MATCH($A2006,OSNum,0)),"OS inexistente"))</f>
        <v>0</v>
      </c>
      <c r="J2006" s="32">
        <f>IF($A2006="","",IF($I2006="OS inexistente","OS inexistente",IF($E2006="Peça não cadastrada","Peça não cadastrada","OK")))</f>
        <v>0</v>
      </c>
    </row>
    <row r="2007" spans="1:10">
      <c r="A2007" s="17"/>
      <c r="B2007" s="13"/>
      <c r="C2007" s="20"/>
      <c r="D2007" s="19"/>
      <c r="E2007" s="26">
        <f>IF($B2007="","",IFERROR(INDEX(PecDesc,MATCH($B2007,PecCod,0)),"Peça não cadastrada"))</f>
        <v>0</v>
      </c>
      <c r="F2007" s="27">
        <f>IF($B2007="","",IF($D2007&lt;&gt;"",$D2007,IFERROR(INDEX(PecPreco,MATCH($B2007,PecCod,0)),0)))</f>
        <v>0</v>
      </c>
      <c r="G2007" s="27">
        <f>IF(OR($B2007="",$C2007=""),"",$C2007*$F2007)</f>
        <v>0</v>
      </c>
      <c r="H2007" s="27">
        <f>IF(OR($B2007="",$C2007=""),"",$C2007*IFERROR(INDEX(PecCusto,MATCH($B2007,PecCod,0)),0))</f>
        <v>0</v>
      </c>
      <c r="I2007" s="32">
        <f>IF($A2007="","",IFERROR(INDEX(OSStatus,MATCH($A2007,OSNum,0)),"OS inexistente"))</f>
        <v>0</v>
      </c>
      <c r="J2007" s="32">
        <f>IF($A2007="","",IF($I2007="OS inexistente","OS inexistente",IF($E2007="Peça não cadastrada","Peça não cadastrada","OK")))</f>
        <v>0</v>
      </c>
    </row>
    <row r="2008" spans="1:10">
      <c r="A2008" s="17"/>
      <c r="B2008" s="13"/>
      <c r="C2008" s="20"/>
      <c r="D2008" s="19"/>
      <c r="E2008" s="26">
        <f>IF($B2008="","",IFERROR(INDEX(PecDesc,MATCH($B2008,PecCod,0)),"Peça não cadastrada"))</f>
        <v>0</v>
      </c>
      <c r="F2008" s="27">
        <f>IF($B2008="","",IF($D2008&lt;&gt;"",$D2008,IFERROR(INDEX(PecPreco,MATCH($B2008,PecCod,0)),0)))</f>
        <v>0</v>
      </c>
      <c r="G2008" s="27">
        <f>IF(OR($B2008="",$C2008=""),"",$C2008*$F2008)</f>
        <v>0</v>
      </c>
      <c r="H2008" s="27">
        <f>IF(OR($B2008="",$C2008=""),"",$C2008*IFERROR(INDEX(PecCusto,MATCH($B2008,PecCod,0)),0))</f>
        <v>0</v>
      </c>
      <c r="I2008" s="32">
        <f>IF($A2008="","",IFERROR(INDEX(OSStatus,MATCH($A2008,OSNum,0)),"OS inexistente"))</f>
        <v>0</v>
      </c>
      <c r="J2008" s="32">
        <f>IF($A2008="","",IF($I2008="OS inexistente","OS inexistente",IF($E2008="Peça não cadastrada","Peça não cadastrada","OK")))</f>
        <v>0</v>
      </c>
    </row>
    <row r="2009" spans="1:10">
      <c r="A2009" s="17"/>
      <c r="B2009" s="13"/>
      <c r="C2009" s="20"/>
      <c r="D2009" s="19"/>
      <c r="E2009" s="26">
        <f>IF($B2009="","",IFERROR(INDEX(PecDesc,MATCH($B2009,PecCod,0)),"Peça não cadastrada"))</f>
        <v>0</v>
      </c>
      <c r="F2009" s="27">
        <f>IF($B2009="","",IF($D2009&lt;&gt;"",$D2009,IFERROR(INDEX(PecPreco,MATCH($B2009,PecCod,0)),0)))</f>
        <v>0</v>
      </c>
      <c r="G2009" s="27">
        <f>IF(OR($B2009="",$C2009=""),"",$C2009*$F2009)</f>
        <v>0</v>
      </c>
      <c r="H2009" s="27">
        <f>IF(OR($B2009="",$C2009=""),"",$C2009*IFERROR(INDEX(PecCusto,MATCH($B2009,PecCod,0)),0))</f>
        <v>0</v>
      </c>
      <c r="I2009" s="32">
        <f>IF($A2009="","",IFERROR(INDEX(OSStatus,MATCH($A2009,OSNum,0)),"OS inexistente"))</f>
        <v>0</v>
      </c>
      <c r="J2009" s="32">
        <f>IF($A2009="","",IF($I2009="OS inexistente","OS inexistente",IF($E2009="Peça não cadastrada","Peça não cadastrada","OK")))</f>
        <v>0</v>
      </c>
    </row>
    <row r="2010" spans="1:10">
      <c r="A2010" s="17"/>
      <c r="B2010" s="13"/>
      <c r="C2010" s="20"/>
      <c r="D2010" s="19"/>
      <c r="E2010" s="26">
        <f>IF($B2010="","",IFERROR(INDEX(PecDesc,MATCH($B2010,PecCod,0)),"Peça não cadastrada"))</f>
        <v>0</v>
      </c>
      <c r="F2010" s="27">
        <f>IF($B2010="","",IF($D2010&lt;&gt;"",$D2010,IFERROR(INDEX(PecPreco,MATCH($B2010,PecCod,0)),0)))</f>
        <v>0</v>
      </c>
      <c r="G2010" s="27">
        <f>IF(OR($B2010="",$C2010=""),"",$C2010*$F2010)</f>
        <v>0</v>
      </c>
      <c r="H2010" s="27">
        <f>IF(OR($B2010="",$C2010=""),"",$C2010*IFERROR(INDEX(PecCusto,MATCH($B2010,PecCod,0)),0))</f>
        <v>0</v>
      </c>
      <c r="I2010" s="32">
        <f>IF($A2010="","",IFERROR(INDEX(OSStatus,MATCH($A2010,OSNum,0)),"OS inexistente"))</f>
        <v>0</v>
      </c>
      <c r="J2010" s="32">
        <f>IF($A2010="","",IF($I2010="OS inexistente","OS inexistente",IF($E2010="Peça não cadastrada","Peça não cadastrada","OK")))</f>
        <v>0</v>
      </c>
    </row>
    <row r="2011" spans="1:10">
      <c r="A2011" s="17"/>
      <c r="B2011" s="13"/>
      <c r="C2011" s="20"/>
      <c r="D2011" s="19"/>
      <c r="E2011" s="26">
        <f>IF($B2011="","",IFERROR(INDEX(PecDesc,MATCH($B2011,PecCod,0)),"Peça não cadastrada"))</f>
        <v>0</v>
      </c>
      <c r="F2011" s="27">
        <f>IF($B2011="","",IF($D2011&lt;&gt;"",$D2011,IFERROR(INDEX(PecPreco,MATCH($B2011,PecCod,0)),0)))</f>
        <v>0</v>
      </c>
      <c r="G2011" s="27">
        <f>IF(OR($B2011="",$C2011=""),"",$C2011*$F2011)</f>
        <v>0</v>
      </c>
      <c r="H2011" s="27">
        <f>IF(OR($B2011="",$C2011=""),"",$C2011*IFERROR(INDEX(PecCusto,MATCH($B2011,PecCod,0)),0))</f>
        <v>0</v>
      </c>
      <c r="I2011" s="32">
        <f>IF($A2011="","",IFERROR(INDEX(OSStatus,MATCH($A2011,OSNum,0)),"OS inexistente"))</f>
        <v>0</v>
      </c>
      <c r="J2011" s="32">
        <f>IF($A2011="","",IF($I2011="OS inexistente","OS inexistente",IF($E2011="Peça não cadastrada","Peça não cadastrada","OK")))</f>
        <v>0</v>
      </c>
    </row>
    <row r="2012" spans="1:10">
      <c r="A2012" s="17"/>
      <c r="B2012" s="13"/>
      <c r="C2012" s="20"/>
      <c r="D2012" s="19"/>
      <c r="E2012" s="26">
        <f>IF($B2012="","",IFERROR(INDEX(PecDesc,MATCH($B2012,PecCod,0)),"Peça não cadastrada"))</f>
        <v>0</v>
      </c>
      <c r="F2012" s="27">
        <f>IF($B2012="","",IF($D2012&lt;&gt;"",$D2012,IFERROR(INDEX(PecPreco,MATCH($B2012,PecCod,0)),0)))</f>
        <v>0</v>
      </c>
      <c r="G2012" s="27">
        <f>IF(OR($B2012="",$C2012=""),"",$C2012*$F2012)</f>
        <v>0</v>
      </c>
      <c r="H2012" s="27">
        <f>IF(OR($B2012="",$C2012=""),"",$C2012*IFERROR(INDEX(PecCusto,MATCH($B2012,PecCod,0)),0))</f>
        <v>0</v>
      </c>
      <c r="I2012" s="32">
        <f>IF($A2012="","",IFERROR(INDEX(OSStatus,MATCH($A2012,OSNum,0)),"OS inexistente"))</f>
        <v>0</v>
      </c>
      <c r="J2012" s="32">
        <f>IF($A2012="","",IF($I2012="OS inexistente","OS inexistente",IF($E2012="Peça não cadastrada","Peça não cadastrada","OK")))</f>
        <v>0</v>
      </c>
    </row>
    <row r="2013" spans="1:10">
      <c r="A2013" s="17"/>
      <c r="B2013" s="13"/>
      <c r="C2013" s="20"/>
      <c r="D2013" s="19"/>
      <c r="E2013" s="26">
        <f>IF($B2013="","",IFERROR(INDEX(PecDesc,MATCH($B2013,PecCod,0)),"Peça não cadastrada"))</f>
        <v>0</v>
      </c>
      <c r="F2013" s="27">
        <f>IF($B2013="","",IF($D2013&lt;&gt;"",$D2013,IFERROR(INDEX(PecPreco,MATCH($B2013,PecCod,0)),0)))</f>
        <v>0</v>
      </c>
      <c r="G2013" s="27">
        <f>IF(OR($B2013="",$C2013=""),"",$C2013*$F2013)</f>
        <v>0</v>
      </c>
      <c r="H2013" s="27">
        <f>IF(OR($B2013="",$C2013=""),"",$C2013*IFERROR(INDEX(PecCusto,MATCH($B2013,PecCod,0)),0))</f>
        <v>0</v>
      </c>
      <c r="I2013" s="32">
        <f>IF($A2013="","",IFERROR(INDEX(OSStatus,MATCH($A2013,OSNum,0)),"OS inexistente"))</f>
        <v>0</v>
      </c>
      <c r="J2013" s="32">
        <f>IF($A2013="","",IF($I2013="OS inexistente","OS inexistente",IF($E2013="Peça não cadastrada","Peça não cadastrada","OK")))</f>
        <v>0</v>
      </c>
    </row>
    <row r="2014" spans="1:10">
      <c r="A2014" s="17"/>
      <c r="B2014" s="13"/>
      <c r="C2014" s="20"/>
      <c r="D2014" s="19"/>
      <c r="E2014" s="26">
        <f>IF($B2014="","",IFERROR(INDEX(PecDesc,MATCH($B2014,PecCod,0)),"Peça não cadastrada"))</f>
        <v>0</v>
      </c>
      <c r="F2014" s="27">
        <f>IF($B2014="","",IF($D2014&lt;&gt;"",$D2014,IFERROR(INDEX(PecPreco,MATCH($B2014,PecCod,0)),0)))</f>
        <v>0</v>
      </c>
      <c r="G2014" s="27">
        <f>IF(OR($B2014="",$C2014=""),"",$C2014*$F2014)</f>
        <v>0</v>
      </c>
      <c r="H2014" s="27">
        <f>IF(OR($B2014="",$C2014=""),"",$C2014*IFERROR(INDEX(PecCusto,MATCH($B2014,PecCod,0)),0))</f>
        <v>0</v>
      </c>
      <c r="I2014" s="32">
        <f>IF($A2014="","",IFERROR(INDEX(OSStatus,MATCH($A2014,OSNum,0)),"OS inexistente"))</f>
        <v>0</v>
      </c>
      <c r="J2014" s="32">
        <f>IF($A2014="","",IF($I2014="OS inexistente","OS inexistente",IF($E2014="Peça não cadastrada","Peça não cadastrada","OK")))</f>
        <v>0</v>
      </c>
    </row>
    <row r="2015" spans="1:10">
      <c r="A2015" s="17"/>
      <c r="B2015" s="13"/>
      <c r="C2015" s="20"/>
      <c r="D2015" s="19"/>
      <c r="E2015" s="26">
        <f>IF($B2015="","",IFERROR(INDEX(PecDesc,MATCH($B2015,PecCod,0)),"Peça não cadastrada"))</f>
        <v>0</v>
      </c>
      <c r="F2015" s="27">
        <f>IF($B2015="","",IF($D2015&lt;&gt;"",$D2015,IFERROR(INDEX(PecPreco,MATCH($B2015,PecCod,0)),0)))</f>
        <v>0</v>
      </c>
      <c r="G2015" s="27">
        <f>IF(OR($B2015="",$C2015=""),"",$C2015*$F2015)</f>
        <v>0</v>
      </c>
      <c r="H2015" s="27">
        <f>IF(OR($B2015="",$C2015=""),"",$C2015*IFERROR(INDEX(PecCusto,MATCH($B2015,PecCod,0)),0))</f>
        <v>0</v>
      </c>
      <c r="I2015" s="32">
        <f>IF($A2015="","",IFERROR(INDEX(OSStatus,MATCH($A2015,OSNum,0)),"OS inexistente"))</f>
        <v>0</v>
      </c>
      <c r="J2015" s="32">
        <f>IF($A2015="","",IF($I2015="OS inexistente","OS inexistente",IF($E2015="Peça não cadastrada","Peça não cadastrada","OK")))</f>
        <v>0</v>
      </c>
    </row>
    <row r="2016" spans="1:10">
      <c r="A2016" s="17"/>
      <c r="B2016" s="13"/>
      <c r="C2016" s="20"/>
      <c r="D2016" s="19"/>
      <c r="E2016" s="26">
        <f>IF($B2016="","",IFERROR(INDEX(PecDesc,MATCH($B2016,PecCod,0)),"Peça não cadastrada"))</f>
        <v>0</v>
      </c>
      <c r="F2016" s="27">
        <f>IF($B2016="","",IF($D2016&lt;&gt;"",$D2016,IFERROR(INDEX(PecPreco,MATCH($B2016,PecCod,0)),0)))</f>
        <v>0</v>
      </c>
      <c r="G2016" s="27">
        <f>IF(OR($B2016="",$C2016=""),"",$C2016*$F2016)</f>
        <v>0</v>
      </c>
      <c r="H2016" s="27">
        <f>IF(OR($B2016="",$C2016=""),"",$C2016*IFERROR(INDEX(PecCusto,MATCH($B2016,PecCod,0)),0))</f>
        <v>0</v>
      </c>
      <c r="I2016" s="32">
        <f>IF($A2016="","",IFERROR(INDEX(OSStatus,MATCH($A2016,OSNum,0)),"OS inexistente"))</f>
        <v>0</v>
      </c>
      <c r="J2016" s="32">
        <f>IF($A2016="","",IF($I2016="OS inexistente","OS inexistente",IF($E2016="Peça não cadastrada","Peça não cadastrada","OK")))</f>
        <v>0</v>
      </c>
    </row>
    <row r="2017" spans="1:10">
      <c r="A2017" s="17"/>
      <c r="B2017" s="13"/>
      <c r="C2017" s="20"/>
      <c r="D2017" s="19"/>
      <c r="E2017" s="26">
        <f>IF($B2017="","",IFERROR(INDEX(PecDesc,MATCH($B2017,PecCod,0)),"Peça não cadastrada"))</f>
        <v>0</v>
      </c>
      <c r="F2017" s="27">
        <f>IF($B2017="","",IF($D2017&lt;&gt;"",$D2017,IFERROR(INDEX(PecPreco,MATCH($B2017,PecCod,0)),0)))</f>
        <v>0</v>
      </c>
      <c r="G2017" s="27">
        <f>IF(OR($B2017="",$C2017=""),"",$C2017*$F2017)</f>
        <v>0</v>
      </c>
      <c r="H2017" s="27">
        <f>IF(OR($B2017="",$C2017=""),"",$C2017*IFERROR(INDEX(PecCusto,MATCH($B2017,PecCod,0)),0))</f>
        <v>0</v>
      </c>
      <c r="I2017" s="32">
        <f>IF($A2017="","",IFERROR(INDEX(OSStatus,MATCH($A2017,OSNum,0)),"OS inexistente"))</f>
        <v>0</v>
      </c>
      <c r="J2017" s="32">
        <f>IF($A2017="","",IF($I2017="OS inexistente","OS inexistente",IF($E2017="Peça não cadastrada","Peça não cadastrada","OK")))</f>
        <v>0</v>
      </c>
    </row>
    <row r="2018" spans="1:10">
      <c r="A2018" s="17"/>
      <c r="B2018" s="13"/>
      <c r="C2018" s="20"/>
      <c r="D2018" s="19"/>
      <c r="E2018" s="26">
        <f>IF($B2018="","",IFERROR(INDEX(PecDesc,MATCH($B2018,PecCod,0)),"Peça não cadastrada"))</f>
        <v>0</v>
      </c>
      <c r="F2018" s="27">
        <f>IF($B2018="","",IF($D2018&lt;&gt;"",$D2018,IFERROR(INDEX(PecPreco,MATCH($B2018,PecCod,0)),0)))</f>
        <v>0</v>
      </c>
      <c r="G2018" s="27">
        <f>IF(OR($B2018="",$C2018=""),"",$C2018*$F2018)</f>
        <v>0</v>
      </c>
      <c r="H2018" s="27">
        <f>IF(OR($B2018="",$C2018=""),"",$C2018*IFERROR(INDEX(PecCusto,MATCH($B2018,PecCod,0)),0))</f>
        <v>0</v>
      </c>
      <c r="I2018" s="32">
        <f>IF($A2018="","",IFERROR(INDEX(OSStatus,MATCH($A2018,OSNum,0)),"OS inexistente"))</f>
        <v>0</v>
      </c>
      <c r="J2018" s="32">
        <f>IF($A2018="","",IF($I2018="OS inexistente","OS inexistente",IF($E2018="Peça não cadastrada","Peça não cadastrada","OK")))</f>
        <v>0</v>
      </c>
    </row>
    <row r="2019" spans="1:10">
      <c r="A2019" s="17"/>
      <c r="B2019" s="13"/>
      <c r="C2019" s="20"/>
      <c r="D2019" s="19"/>
      <c r="E2019" s="26">
        <f>IF($B2019="","",IFERROR(INDEX(PecDesc,MATCH($B2019,PecCod,0)),"Peça não cadastrada"))</f>
        <v>0</v>
      </c>
      <c r="F2019" s="27">
        <f>IF($B2019="","",IF($D2019&lt;&gt;"",$D2019,IFERROR(INDEX(PecPreco,MATCH($B2019,PecCod,0)),0)))</f>
        <v>0</v>
      </c>
      <c r="G2019" s="27">
        <f>IF(OR($B2019="",$C2019=""),"",$C2019*$F2019)</f>
        <v>0</v>
      </c>
      <c r="H2019" s="27">
        <f>IF(OR($B2019="",$C2019=""),"",$C2019*IFERROR(INDEX(PecCusto,MATCH($B2019,PecCod,0)),0))</f>
        <v>0</v>
      </c>
      <c r="I2019" s="32">
        <f>IF($A2019="","",IFERROR(INDEX(OSStatus,MATCH($A2019,OSNum,0)),"OS inexistente"))</f>
        <v>0</v>
      </c>
      <c r="J2019" s="32">
        <f>IF($A2019="","",IF($I2019="OS inexistente","OS inexistente",IF($E2019="Peça não cadastrada","Peça não cadastrada","OK")))</f>
        <v>0</v>
      </c>
    </row>
    <row r="2020" spans="1:10">
      <c r="A2020" s="17"/>
      <c r="B2020" s="13"/>
      <c r="C2020" s="20"/>
      <c r="D2020" s="19"/>
      <c r="E2020" s="26">
        <f>IF($B2020="","",IFERROR(INDEX(PecDesc,MATCH($B2020,PecCod,0)),"Peça não cadastrada"))</f>
        <v>0</v>
      </c>
      <c r="F2020" s="27">
        <f>IF($B2020="","",IF($D2020&lt;&gt;"",$D2020,IFERROR(INDEX(PecPreco,MATCH($B2020,PecCod,0)),0)))</f>
        <v>0</v>
      </c>
      <c r="G2020" s="27">
        <f>IF(OR($B2020="",$C2020=""),"",$C2020*$F2020)</f>
        <v>0</v>
      </c>
      <c r="H2020" s="27">
        <f>IF(OR($B2020="",$C2020=""),"",$C2020*IFERROR(INDEX(PecCusto,MATCH($B2020,PecCod,0)),0))</f>
        <v>0</v>
      </c>
      <c r="I2020" s="32">
        <f>IF($A2020="","",IFERROR(INDEX(OSStatus,MATCH($A2020,OSNum,0)),"OS inexistente"))</f>
        <v>0</v>
      </c>
      <c r="J2020" s="32">
        <f>IF($A2020="","",IF($I2020="OS inexistente","OS inexistente",IF($E2020="Peça não cadastrada","Peça não cadastrada","OK")))</f>
        <v>0</v>
      </c>
    </row>
    <row r="2021" spans="1:10">
      <c r="A2021" s="17"/>
      <c r="B2021" s="13"/>
      <c r="C2021" s="20"/>
      <c r="D2021" s="19"/>
      <c r="E2021" s="26">
        <f>IF($B2021="","",IFERROR(INDEX(PecDesc,MATCH($B2021,PecCod,0)),"Peça não cadastrada"))</f>
        <v>0</v>
      </c>
      <c r="F2021" s="27">
        <f>IF($B2021="","",IF($D2021&lt;&gt;"",$D2021,IFERROR(INDEX(PecPreco,MATCH($B2021,PecCod,0)),0)))</f>
        <v>0</v>
      </c>
      <c r="G2021" s="27">
        <f>IF(OR($B2021="",$C2021=""),"",$C2021*$F2021)</f>
        <v>0</v>
      </c>
      <c r="H2021" s="27">
        <f>IF(OR($B2021="",$C2021=""),"",$C2021*IFERROR(INDEX(PecCusto,MATCH($B2021,PecCod,0)),0))</f>
        <v>0</v>
      </c>
      <c r="I2021" s="32">
        <f>IF($A2021="","",IFERROR(INDEX(OSStatus,MATCH($A2021,OSNum,0)),"OS inexistente"))</f>
        <v>0</v>
      </c>
      <c r="J2021" s="32">
        <f>IF($A2021="","",IF($I2021="OS inexistente","OS inexistente",IF($E2021="Peça não cadastrada","Peça não cadastrada","OK")))</f>
        <v>0</v>
      </c>
    </row>
    <row r="2022" spans="1:10">
      <c r="A2022" s="17"/>
      <c r="B2022" s="13"/>
      <c r="C2022" s="20"/>
      <c r="D2022" s="19"/>
      <c r="E2022" s="26">
        <f>IF($B2022="","",IFERROR(INDEX(PecDesc,MATCH($B2022,PecCod,0)),"Peça não cadastrada"))</f>
        <v>0</v>
      </c>
      <c r="F2022" s="27">
        <f>IF($B2022="","",IF($D2022&lt;&gt;"",$D2022,IFERROR(INDEX(PecPreco,MATCH($B2022,PecCod,0)),0)))</f>
        <v>0</v>
      </c>
      <c r="G2022" s="27">
        <f>IF(OR($B2022="",$C2022=""),"",$C2022*$F2022)</f>
        <v>0</v>
      </c>
      <c r="H2022" s="27">
        <f>IF(OR($B2022="",$C2022=""),"",$C2022*IFERROR(INDEX(PecCusto,MATCH($B2022,PecCod,0)),0))</f>
        <v>0</v>
      </c>
      <c r="I2022" s="32">
        <f>IF($A2022="","",IFERROR(INDEX(OSStatus,MATCH($A2022,OSNum,0)),"OS inexistente"))</f>
        <v>0</v>
      </c>
      <c r="J2022" s="32">
        <f>IF($A2022="","",IF($I2022="OS inexistente","OS inexistente",IF($E2022="Peça não cadastrada","Peça não cadastrada","OK")))</f>
        <v>0</v>
      </c>
    </row>
    <row r="2023" spans="1:10">
      <c r="A2023" s="17"/>
      <c r="B2023" s="13"/>
      <c r="C2023" s="20"/>
      <c r="D2023" s="19"/>
      <c r="E2023" s="26">
        <f>IF($B2023="","",IFERROR(INDEX(PecDesc,MATCH($B2023,PecCod,0)),"Peça não cadastrada"))</f>
        <v>0</v>
      </c>
      <c r="F2023" s="27">
        <f>IF($B2023="","",IF($D2023&lt;&gt;"",$D2023,IFERROR(INDEX(PecPreco,MATCH($B2023,PecCod,0)),0)))</f>
        <v>0</v>
      </c>
      <c r="G2023" s="27">
        <f>IF(OR($B2023="",$C2023=""),"",$C2023*$F2023)</f>
        <v>0</v>
      </c>
      <c r="H2023" s="27">
        <f>IF(OR($B2023="",$C2023=""),"",$C2023*IFERROR(INDEX(PecCusto,MATCH($B2023,PecCod,0)),0))</f>
        <v>0</v>
      </c>
      <c r="I2023" s="32">
        <f>IF($A2023="","",IFERROR(INDEX(OSStatus,MATCH($A2023,OSNum,0)),"OS inexistente"))</f>
        <v>0</v>
      </c>
      <c r="J2023" s="32">
        <f>IF($A2023="","",IF($I2023="OS inexistente","OS inexistente",IF($E2023="Peça não cadastrada","Peça não cadastrada","OK")))</f>
        <v>0</v>
      </c>
    </row>
    <row r="2024" spans="1:10">
      <c r="A2024" s="17"/>
      <c r="B2024" s="13"/>
      <c r="C2024" s="20"/>
      <c r="D2024" s="19"/>
      <c r="E2024" s="26">
        <f>IF($B2024="","",IFERROR(INDEX(PecDesc,MATCH($B2024,PecCod,0)),"Peça não cadastrada"))</f>
        <v>0</v>
      </c>
      <c r="F2024" s="27">
        <f>IF($B2024="","",IF($D2024&lt;&gt;"",$D2024,IFERROR(INDEX(PecPreco,MATCH($B2024,PecCod,0)),0)))</f>
        <v>0</v>
      </c>
      <c r="G2024" s="27">
        <f>IF(OR($B2024="",$C2024=""),"",$C2024*$F2024)</f>
        <v>0</v>
      </c>
      <c r="H2024" s="27">
        <f>IF(OR($B2024="",$C2024=""),"",$C2024*IFERROR(INDEX(PecCusto,MATCH($B2024,PecCod,0)),0))</f>
        <v>0</v>
      </c>
      <c r="I2024" s="32">
        <f>IF($A2024="","",IFERROR(INDEX(OSStatus,MATCH($A2024,OSNum,0)),"OS inexistente"))</f>
        <v>0</v>
      </c>
      <c r="J2024" s="32">
        <f>IF($A2024="","",IF($I2024="OS inexistente","OS inexistente",IF($E2024="Peça não cadastrada","Peça não cadastrada","OK")))</f>
        <v>0</v>
      </c>
    </row>
    <row r="2025" spans="1:10">
      <c r="A2025" s="17"/>
      <c r="B2025" s="13"/>
      <c r="C2025" s="20"/>
      <c r="D2025" s="19"/>
      <c r="E2025" s="26">
        <f>IF($B2025="","",IFERROR(INDEX(PecDesc,MATCH($B2025,PecCod,0)),"Peça não cadastrada"))</f>
        <v>0</v>
      </c>
      <c r="F2025" s="27">
        <f>IF($B2025="","",IF($D2025&lt;&gt;"",$D2025,IFERROR(INDEX(PecPreco,MATCH($B2025,PecCod,0)),0)))</f>
        <v>0</v>
      </c>
      <c r="G2025" s="27">
        <f>IF(OR($B2025="",$C2025=""),"",$C2025*$F2025)</f>
        <v>0</v>
      </c>
      <c r="H2025" s="27">
        <f>IF(OR($B2025="",$C2025=""),"",$C2025*IFERROR(INDEX(PecCusto,MATCH($B2025,PecCod,0)),0))</f>
        <v>0</v>
      </c>
      <c r="I2025" s="32">
        <f>IF($A2025="","",IFERROR(INDEX(OSStatus,MATCH($A2025,OSNum,0)),"OS inexistente"))</f>
        <v>0</v>
      </c>
      <c r="J2025" s="32">
        <f>IF($A2025="","",IF($I2025="OS inexistente","OS inexistente",IF($E2025="Peça não cadastrada","Peça não cadastrada","OK")))</f>
        <v>0</v>
      </c>
    </row>
    <row r="2026" spans="1:10">
      <c r="A2026" s="17"/>
      <c r="B2026" s="13"/>
      <c r="C2026" s="20"/>
      <c r="D2026" s="19"/>
      <c r="E2026" s="26">
        <f>IF($B2026="","",IFERROR(INDEX(PecDesc,MATCH($B2026,PecCod,0)),"Peça não cadastrada"))</f>
        <v>0</v>
      </c>
      <c r="F2026" s="27">
        <f>IF($B2026="","",IF($D2026&lt;&gt;"",$D2026,IFERROR(INDEX(PecPreco,MATCH($B2026,PecCod,0)),0)))</f>
        <v>0</v>
      </c>
      <c r="G2026" s="27">
        <f>IF(OR($B2026="",$C2026=""),"",$C2026*$F2026)</f>
        <v>0</v>
      </c>
      <c r="H2026" s="27">
        <f>IF(OR($B2026="",$C2026=""),"",$C2026*IFERROR(INDEX(PecCusto,MATCH($B2026,PecCod,0)),0))</f>
        <v>0</v>
      </c>
      <c r="I2026" s="32">
        <f>IF($A2026="","",IFERROR(INDEX(OSStatus,MATCH($A2026,OSNum,0)),"OS inexistente"))</f>
        <v>0</v>
      </c>
      <c r="J2026" s="32">
        <f>IF($A2026="","",IF($I2026="OS inexistente","OS inexistente",IF($E2026="Peça não cadastrada","Peça não cadastrada","OK")))</f>
        <v>0</v>
      </c>
    </row>
    <row r="2027" spans="1:10">
      <c r="A2027" s="17"/>
      <c r="B2027" s="13"/>
      <c r="C2027" s="20"/>
      <c r="D2027" s="19"/>
      <c r="E2027" s="26">
        <f>IF($B2027="","",IFERROR(INDEX(PecDesc,MATCH($B2027,PecCod,0)),"Peça não cadastrada"))</f>
        <v>0</v>
      </c>
      <c r="F2027" s="27">
        <f>IF($B2027="","",IF($D2027&lt;&gt;"",$D2027,IFERROR(INDEX(PecPreco,MATCH($B2027,PecCod,0)),0)))</f>
        <v>0</v>
      </c>
      <c r="G2027" s="27">
        <f>IF(OR($B2027="",$C2027=""),"",$C2027*$F2027)</f>
        <v>0</v>
      </c>
      <c r="H2027" s="27">
        <f>IF(OR($B2027="",$C2027=""),"",$C2027*IFERROR(INDEX(PecCusto,MATCH($B2027,PecCod,0)),0))</f>
        <v>0</v>
      </c>
      <c r="I2027" s="32">
        <f>IF($A2027="","",IFERROR(INDEX(OSStatus,MATCH($A2027,OSNum,0)),"OS inexistente"))</f>
        <v>0</v>
      </c>
      <c r="J2027" s="32">
        <f>IF($A2027="","",IF($I2027="OS inexistente","OS inexistente",IF($E2027="Peça não cadastrada","Peça não cadastrada","OK")))</f>
        <v>0</v>
      </c>
    </row>
    <row r="2028" spans="1:10">
      <c r="A2028" s="17"/>
      <c r="B2028" s="13"/>
      <c r="C2028" s="20"/>
      <c r="D2028" s="19"/>
      <c r="E2028" s="26">
        <f>IF($B2028="","",IFERROR(INDEX(PecDesc,MATCH($B2028,PecCod,0)),"Peça não cadastrada"))</f>
        <v>0</v>
      </c>
      <c r="F2028" s="27">
        <f>IF($B2028="","",IF($D2028&lt;&gt;"",$D2028,IFERROR(INDEX(PecPreco,MATCH($B2028,PecCod,0)),0)))</f>
        <v>0</v>
      </c>
      <c r="G2028" s="27">
        <f>IF(OR($B2028="",$C2028=""),"",$C2028*$F2028)</f>
        <v>0</v>
      </c>
      <c r="H2028" s="27">
        <f>IF(OR($B2028="",$C2028=""),"",$C2028*IFERROR(INDEX(PecCusto,MATCH($B2028,PecCod,0)),0))</f>
        <v>0</v>
      </c>
      <c r="I2028" s="32">
        <f>IF($A2028="","",IFERROR(INDEX(OSStatus,MATCH($A2028,OSNum,0)),"OS inexistente"))</f>
        <v>0</v>
      </c>
      <c r="J2028" s="32">
        <f>IF($A2028="","",IF($I2028="OS inexistente","OS inexistente",IF($E2028="Peça não cadastrada","Peça não cadastrada","OK")))</f>
        <v>0</v>
      </c>
    </row>
    <row r="2029" spans="1:10">
      <c r="A2029" s="17"/>
      <c r="B2029" s="13"/>
      <c r="C2029" s="20"/>
      <c r="D2029" s="19"/>
      <c r="E2029" s="26">
        <f>IF($B2029="","",IFERROR(INDEX(PecDesc,MATCH($B2029,PecCod,0)),"Peça não cadastrada"))</f>
        <v>0</v>
      </c>
      <c r="F2029" s="27">
        <f>IF($B2029="","",IF($D2029&lt;&gt;"",$D2029,IFERROR(INDEX(PecPreco,MATCH($B2029,PecCod,0)),0)))</f>
        <v>0</v>
      </c>
      <c r="G2029" s="27">
        <f>IF(OR($B2029="",$C2029=""),"",$C2029*$F2029)</f>
        <v>0</v>
      </c>
      <c r="H2029" s="27">
        <f>IF(OR($B2029="",$C2029=""),"",$C2029*IFERROR(INDEX(PecCusto,MATCH($B2029,PecCod,0)),0))</f>
        <v>0</v>
      </c>
      <c r="I2029" s="32">
        <f>IF($A2029="","",IFERROR(INDEX(OSStatus,MATCH($A2029,OSNum,0)),"OS inexistente"))</f>
        <v>0</v>
      </c>
      <c r="J2029" s="32">
        <f>IF($A2029="","",IF($I2029="OS inexistente","OS inexistente",IF($E2029="Peça não cadastrada","Peça não cadastrada","OK")))</f>
        <v>0</v>
      </c>
    </row>
    <row r="2030" spans="1:10">
      <c r="A2030" s="17"/>
      <c r="B2030" s="13"/>
      <c r="C2030" s="20"/>
      <c r="D2030" s="19"/>
      <c r="E2030" s="26">
        <f>IF($B2030="","",IFERROR(INDEX(PecDesc,MATCH($B2030,PecCod,0)),"Peça não cadastrada"))</f>
        <v>0</v>
      </c>
      <c r="F2030" s="27">
        <f>IF($B2030="","",IF($D2030&lt;&gt;"",$D2030,IFERROR(INDEX(PecPreco,MATCH($B2030,PecCod,0)),0)))</f>
        <v>0</v>
      </c>
      <c r="G2030" s="27">
        <f>IF(OR($B2030="",$C2030=""),"",$C2030*$F2030)</f>
        <v>0</v>
      </c>
      <c r="H2030" s="27">
        <f>IF(OR($B2030="",$C2030=""),"",$C2030*IFERROR(INDEX(PecCusto,MATCH($B2030,PecCod,0)),0))</f>
        <v>0</v>
      </c>
      <c r="I2030" s="32">
        <f>IF($A2030="","",IFERROR(INDEX(OSStatus,MATCH($A2030,OSNum,0)),"OS inexistente"))</f>
        <v>0</v>
      </c>
      <c r="J2030" s="32">
        <f>IF($A2030="","",IF($I2030="OS inexistente","OS inexistente",IF($E2030="Peça não cadastrada","Peça não cadastrada","OK")))</f>
        <v>0</v>
      </c>
    </row>
    <row r="2031" spans="1:10">
      <c r="A2031" s="17"/>
      <c r="B2031" s="13"/>
      <c r="C2031" s="20"/>
      <c r="D2031" s="19"/>
      <c r="E2031" s="26">
        <f>IF($B2031="","",IFERROR(INDEX(PecDesc,MATCH($B2031,PecCod,0)),"Peça não cadastrada"))</f>
        <v>0</v>
      </c>
      <c r="F2031" s="27">
        <f>IF($B2031="","",IF($D2031&lt;&gt;"",$D2031,IFERROR(INDEX(PecPreco,MATCH($B2031,PecCod,0)),0)))</f>
        <v>0</v>
      </c>
      <c r="G2031" s="27">
        <f>IF(OR($B2031="",$C2031=""),"",$C2031*$F2031)</f>
        <v>0</v>
      </c>
      <c r="H2031" s="27">
        <f>IF(OR($B2031="",$C2031=""),"",$C2031*IFERROR(INDEX(PecCusto,MATCH($B2031,PecCod,0)),0))</f>
        <v>0</v>
      </c>
      <c r="I2031" s="32">
        <f>IF($A2031="","",IFERROR(INDEX(OSStatus,MATCH($A2031,OSNum,0)),"OS inexistente"))</f>
        <v>0</v>
      </c>
      <c r="J2031" s="32">
        <f>IF($A2031="","",IF($I2031="OS inexistente","OS inexistente",IF($E2031="Peça não cadastrada","Peça não cadastrada","OK")))</f>
        <v>0</v>
      </c>
    </row>
    <row r="2032" spans="1:10">
      <c r="A2032" s="17"/>
      <c r="B2032" s="13"/>
      <c r="C2032" s="20"/>
      <c r="D2032" s="19"/>
      <c r="E2032" s="26">
        <f>IF($B2032="","",IFERROR(INDEX(PecDesc,MATCH($B2032,PecCod,0)),"Peça não cadastrada"))</f>
        <v>0</v>
      </c>
      <c r="F2032" s="27">
        <f>IF($B2032="","",IF($D2032&lt;&gt;"",$D2032,IFERROR(INDEX(PecPreco,MATCH($B2032,PecCod,0)),0)))</f>
        <v>0</v>
      </c>
      <c r="G2032" s="27">
        <f>IF(OR($B2032="",$C2032=""),"",$C2032*$F2032)</f>
        <v>0</v>
      </c>
      <c r="H2032" s="27">
        <f>IF(OR($B2032="",$C2032=""),"",$C2032*IFERROR(INDEX(PecCusto,MATCH($B2032,PecCod,0)),0))</f>
        <v>0</v>
      </c>
      <c r="I2032" s="32">
        <f>IF($A2032="","",IFERROR(INDEX(OSStatus,MATCH($A2032,OSNum,0)),"OS inexistente"))</f>
        <v>0</v>
      </c>
      <c r="J2032" s="32">
        <f>IF($A2032="","",IF($I2032="OS inexistente","OS inexistente",IF($E2032="Peça não cadastrada","Peça não cadastrada","OK")))</f>
        <v>0</v>
      </c>
    </row>
    <row r="2033" spans="1:10">
      <c r="A2033" s="17"/>
      <c r="B2033" s="13"/>
      <c r="C2033" s="20"/>
      <c r="D2033" s="19"/>
      <c r="E2033" s="26">
        <f>IF($B2033="","",IFERROR(INDEX(PecDesc,MATCH($B2033,PecCod,0)),"Peça não cadastrada"))</f>
        <v>0</v>
      </c>
      <c r="F2033" s="27">
        <f>IF($B2033="","",IF($D2033&lt;&gt;"",$D2033,IFERROR(INDEX(PecPreco,MATCH($B2033,PecCod,0)),0)))</f>
        <v>0</v>
      </c>
      <c r="G2033" s="27">
        <f>IF(OR($B2033="",$C2033=""),"",$C2033*$F2033)</f>
        <v>0</v>
      </c>
      <c r="H2033" s="27">
        <f>IF(OR($B2033="",$C2033=""),"",$C2033*IFERROR(INDEX(PecCusto,MATCH($B2033,PecCod,0)),0))</f>
        <v>0</v>
      </c>
      <c r="I2033" s="32">
        <f>IF($A2033="","",IFERROR(INDEX(OSStatus,MATCH($A2033,OSNum,0)),"OS inexistente"))</f>
        <v>0</v>
      </c>
      <c r="J2033" s="32">
        <f>IF($A2033="","",IF($I2033="OS inexistente","OS inexistente",IF($E2033="Peça não cadastrada","Peça não cadastrada","OK")))</f>
        <v>0</v>
      </c>
    </row>
    <row r="2034" spans="1:10">
      <c r="A2034" s="17"/>
      <c r="B2034" s="13"/>
      <c r="C2034" s="20"/>
      <c r="D2034" s="19"/>
      <c r="E2034" s="26">
        <f>IF($B2034="","",IFERROR(INDEX(PecDesc,MATCH($B2034,PecCod,0)),"Peça não cadastrada"))</f>
        <v>0</v>
      </c>
      <c r="F2034" s="27">
        <f>IF($B2034="","",IF($D2034&lt;&gt;"",$D2034,IFERROR(INDEX(PecPreco,MATCH($B2034,PecCod,0)),0)))</f>
        <v>0</v>
      </c>
      <c r="G2034" s="27">
        <f>IF(OR($B2034="",$C2034=""),"",$C2034*$F2034)</f>
        <v>0</v>
      </c>
      <c r="H2034" s="27">
        <f>IF(OR($B2034="",$C2034=""),"",$C2034*IFERROR(INDEX(PecCusto,MATCH($B2034,PecCod,0)),0))</f>
        <v>0</v>
      </c>
      <c r="I2034" s="32">
        <f>IF($A2034="","",IFERROR(INDEX(OSStatus,MATCH($A2034,OSNum,0)),"OS inexistente"))</f>
        <v>0</v>
      </c>
      <c r="J2034" s="32">
        <f>IF($A2034="","",IF($I2034="OS inexistente","OS inexistente",IF($E2034="Peça não cadastrada","Peça não cadastrada","OK")))</f>
        <v>0</v>
      </c>
    </row>
    <row r="2035" spans="1:10">
      <c r="A2035" s="17"/>
      <c r="B2035" s="13"/>
      <c r="C2035" s="20"/>
      <c r="D2035" s="19"/>
      <c r="E2035" s="26">
        <f>IF($B2035="","",IFERROR(INDEX(PecDesc,MATCH($B2035,PecCod,0)),"Peça não cadastrada"))</f>
        <v>0</v>
      </c>
      <c r="F2035" s="27">
        <f>IF($B2035="","",IF($D2035&lt;&gt;"",$D2035,IFERROR(INDEX(PecPreco,MATCH($B2035,PecCod,0)),0)))</f>
        <v>0</v>
      </c>
      <c r="G2035" s="27">
        <f>IF(OR($B2035="",$C2035=""),"",$C2035*$F2035)</f>
        <v>0</v>
      </c>
      <c r="H2035" s="27">
        <f>IF(OR($B2035="",$C2035=""),"",$C2035*IFERROR(INDEX(PecCusto,MATCH($B2035,PecCod,0)),0))</f>
        <v>0</v>
      </c>
      <c r="I2035" s="32">
        <f>IF($A2035="","",IFERROR(INDEX(OSStatus,MATCH($A2035,OSNum,0)),"OS inexistente"))</f>
        <v>0</v>
      </c>
      <c r="J2035" s="32">
        <f>IF($A2035="","",IF($I2035="OS inexistente","OS inexistente",IF($E2035="Peça não cadastrada","Peça não cadastrada","OK")))</f>
        <v>0</v>
      </c>
    </row>
    <row r="2036" spans="1:10">
      <c r="A2036" s="17"/>
      <c r="B2036" s="13"/>
      <c r="C2036" s="20"/>
      <c r="D2036" s="19"/>
      <c r="E2036" s="26">
        <f>IF($B2036="","",IFERROR(INDEX(PecDesc,MATCH($B2036,PecCod,0)),"Peça não cadastrada"))</f>
        <v>0</v>
      </c>
      <c r="F2036" s="27">
        <f>IF($B2036="","",IF($D2036&lt;&gt;"",$D2036,IFERROR(INDEX(PecPreco,MATCH($B2036,PecCod,0)),0)))</f>
        <v>0</v>
      </c>
      <c r="G2036" s="27">
        <f>IF(OR($B2036="",$C2036=""),"",$C2036*$F2036)</f>
        <v>0</v>
      </c>
      <c r="H2036" s="27">
        <f>IF(OR($B2036="",$C2036=""),"",$C2036*IFERROR(INDEX(PecCusto,MATCH($B2036,PecCod,0)),0))</f>
        <v>0</v>
      </c>
      <c r="I2036" s="32">
        <f>IF($A2036="","",IFERROR(INDEX(OSStatus,MATCH($A2036,OSNum,0)),"OS inexistente"))</f>
        <v>0</v>
      </c>
      <c r="J2036" s="32">
        <f>IF($A2036="","",IF($I2036="OS inexistente","OS inexistente",IF($E2036="Peça não cadastrada","Peça não cadastrada","OK")))</f>
        <v>0</v>
      </c>
    </row>
    <row r="2037" spans="1:10">
      <c r="A2037" s="17"/>
      <c r="B2037" s="13"/>
      <c r="C2037" s="20"/>
      <c r="D2037" s="19"/>
      <c r="E2037" s="26">
        <f>IF($B2037="","",IFERROR(INDEX(PecDesc,MATCH($B2037,PecCod,0)),"Peça não cadastrada"))</f>
        <v>0</v>
      </c>
      <c r="F2037" s="27">
        <f>IF($B2037="","",IF($D2037&lt;&gt;"",$D2037,IFERROR(INDEX(PecPreco,MATCH($B2037,PecCod,0)),0)))</f>
        <v>0</v>
      </c>
      <c r="G2037" s="27">
        <f>IF(OR($B2037="",$C2037=""),"",$C2037*$F2037)</f>
        <v>0</v>
      </c>
      <c r="H2037" s="27">
        <f>IF(OR($B2037="",$C2037=""),"",$C2037*IFERROR(INDEX(PecCusto,MATCH($B2037,PecCod,0)),0))</f>
        <v>0</v>
      </c>
      <c r="I2037" s="32">
        <f>IF($A2037="","",IFERROR(INDEX(OSStatus,MATCH($A2037,OSNum,0)),"OS inexistente"))</f>
        <v>0</v>
      </c>
      <c r="J2037" s="32">
        <f>IF($A2037="","",IF($I2037="OS inexistente","OS inexistente",IF($E2037="Peça não cadastrada","Peça não cadastrada","OK")))</f>
        <v>0</v>
      </c>
    </row>
    <row r="2038" spans="1:10">
      <c r="A2038" s="17"/>
      <c r="B2038" s="13"/>
      <c r="C2038" s="20"/>
      <c r="D2038" s="19"/>
      <c r="E2038" s="26">
        <f>IF($B2038="","",IFERROR(INDEX(PecDesc,MATCH($B2038,PecCod,0)),"Peça não cadastrada"))</f>
        <v>0</v>
      </c>
      <c r="F2038" s="27">
        <f>IF($B2038="","",IF($D2038&lt;&gt;"",$D2038,IFERROR(INDEX(PecPreco,MATCH($B2038,PecCod,0)),0)))</f>
        <v>0</v>
      </c>
      <c r="G2038" s="27">
        <f>IF(OR($B2038="",$C2038=""),"",$C2038*$F2038)</f>
        <v>0</v>
      </c>
      <c r="H2038" s="27">
        <f>IF(OR($B2038="",$C2038=""),"",$C2038*IFERROR(INDEX(PecCusto,MATCH($B2038,PecCod,0)),0))</f>
        <v>0</v>
      </c>
      <c r="I2038" s="32">
        <f>IF($A2038="","",IFERROR(INDEX(OSStatus,MATCH($A2038,OSNum,0)),"OS inexistente"))</f>
        <v>0</v>
      </c>
      <c r="J2038" s="32">
        <f>IF($A2038="","",IF($I2038="OS inexistente","OS inexistente",IF($E2038="Peça não cadastrada","Peça não cadastrada","OK")))</f>
        <v>0</v>
      </c>
    </row>
    <row r="2039" spans="1:10">
      <c r="A2039" s="17"/>
      <c r="B2039" s="13"/>
      <c r="C2039" s="20"/>
      <c r="D2039" s="19"/>
      <c r="E2039" s="26">
        <f>IF($B2039="","",IFERROR(INDEX(PecDesc,MATCH($B2039,PecCod,0)),"Peça não cadastrada"))</f>
        <v>0</v>
      </c>
      <c r="F2039" s="27">
        <f>IF($B2039="","",IF($D2039&lt;&gt;"",$D2039,IFERROR(INDEX(PecPreco,MATCH($B2039,PecCod,0)),0)))</f>
        <v>0</v>
      </c>
      <c r="G2039" s="27">
        <f>IF(OR($B2039="",$C2039=""),"",$C2039*$F2039)</f>
        <v>0</v>
      </c>
      <c r="H2039" s="27">
        <f>IF(OR($B2039="",$C2039=""),"",$C2039*IFERROR(INDEX(PecCusto,MATCH($B2039,PecCod,0)),0))</f>
        <v>0</v>
      </c>
      <c r="I2039" s="32">
        <f>IF($A2039="","",IFERROR(INDEX(OSStatus,MATCH($A2039,OSNum,0)),"OS inexistente"))</f>
        <v>0</v>
      </c>
      <c r="J2039" s="32">
        <f>IF($A2039="","",IF($I2039="OS inexistente","OS inexistente",IF($E2039="Peça não cadastrada","Peça não cadastrada","OK")))</f>
        <v>0</v>
      </c>
    </row>
    <row r="2040" spans="1:10">
      <c r="A2040" s="17"/>
      <c r="B2040" s="13"/>
      <c r="C2040" s="20"/>
      <c r="D2040" s="19"/>
      <c r="E2040" s="26">
        <f>IF($B2040="","",IFERROR(INDEX(PecDesc,MATCH($B2040,PecCod,0)),"Peça não cadastrada"))</f>
        <v>0</v>
      </c>
      <c r="F2040" s="27">
        <f>IF($B2040="","",IF($D2040&lt;&gt;"",$D2040,IFERROR(INDEX(PecPreco,MATCH($B2040,PecCod,0)),0)))</f>
        <v>0</v>
      </c>
      <c r="G2040" s="27">
        <f>IF(OR($B2040="",$C2040=""),"",$C2040*$F2040)</f>
        <v>0</v>
      </c>
      <c r="H2040" s="27">
        <f>IF(OR($B2040="",$C2040=""),"",$C2040*IFERROR(INDEX(PecCusto,MATCH($B2040,PecCod,0)),0))</f>
        <v>0</v>
      </c>
      <c r="I2040" s="32">
        <f>IF($A2040="","",IFERROR(INDEX(OSStatus,MATCH($A2040,OSNum,0)),"OS inexistente"))</f>
        <v>0</v>
      </c>
      <c r="J2040" s="32">
        <f>IF($A2040="","",IF($I2040="OS inexistente","OS inexistente",IF($E2040="Peça não cadastrada","Peça não cadastrada","OK")))</f>
        <v>0</v>
      </c>
    </row>
    <row r="2041" spans="1:10">
      <c r="A2041" s="17"/>
      <c r="B2041" s="13"/>
      <c r="C2041" s="20"/>
      <c r="D2041" s="19"/>
      <c r="E2041" s="26">
        <f>IF($B2041="","",IFERROR(INDEX(PecDesc,MATCH($B2041,PecCod,0)),"Peça não cadastrada"))</f>
        <v>0</v>
      </c>
      <c r="F2041" s="27">
        <f>IF($B2041="","",IF($D2041&lt;&gt;"",$D2041,IFERROR(INDEX(PecPreco,MATCH($B2041,PecCod,0)),0)))</f>
        <v>0</v>
      </c>
      <c r="G2041" s="27">
        <f>IF(OR($B2041="",$C2041=""),"",$C2041*$F2041)</f>
        <v>0</v>
      </c>
      <c r="H2041" s="27">
        <f>IF(OR($B2041="",$C2041=""),"",$C2041*IFERROR(INDEX(PecCusto,MATCH($B2041,PecCod,0)),0))</f>
        <v>0</v>
      </c>
      <c r="I2041" s="32">
        <f>IF($A2041="","",IFERROR(INDEX(OSStatus,MATCH($A2041,OSNum,0)),"OS inexistente"))</f>
        <v>0</v>
      </c>
      <c r="J2041" s="32">
        <f>IF($A2041="","",IF($I2041="OS inexistente","OS inexistente",IF($E2041="Peça não cadastrada","Peça não cadastrada","OK")))</f>
        <v>0</v>
      </c>
    </row>
    <row r="2042" spans="1:10">
      <c r="A2042" s="17"/>
      <c r="B2042" s="13"/>
      <c r="C2042" s="20"/>
      <c r="D2042" s="19"/>
      <c r="E2042" s="26">
        <f>IF($B2042="","",IFERROR(INDEX(PecDesc,MATCH($B2042,PecCod,0)),"Peça não cadastrada"))</f>
        <v>0</v>
      </c>
      <c r="F2042" s="27">
        <f>IF($B2042="","",IF($D2042&lt;&gt;"",$D2042,IFERROR(INDEX(PecPreco,MATCH($B2042,PecCod,0)),0)))</f>
        <v>0</v>
      </c>
      <c r="G2042" s="27">
        <f>IF(OR($B2042="",$C2042=""),"",$C2042*$F2042)</f>
        <v>0</v>
      </c>
      <c r="H2042" s="27">
        <f>IF(OR($B2042="",$C2042=""),"",$C2042*IFERROR(INDEX(PecCusto,MATCH($B2042,PecCod,0)),0))</f>
        <v>0</v>
      </c>
      <c r="I2042" s="32">
        <f>IF($A2042="","",IFERROR(INDEX(OSStatus,MATCH($A2042,OSNum,0)),"OS inexistente"))</f>
        <v>0</v>
      </c>
      <c r="J2042" s="32">
        <f>IF($A2042="","",IF($I2042="OS inexistente","OS inexistente",IF($E2042="Peça não cadastrada","Peça não cadastrada","OK")))</f>
        <v>0</v>
      </c>
    </row>
    <row r="2043" spans="1:10">
      <c r="A2043" s="17"/>
      <c r="B2043" s="13"/>
      <c r="C2043" s="20"/>
      <c r="D2043" s="19"/>
      <c r="E2043" s="26">
        <f>IF($B2043="","",IFERROR(INDEX(PecDesc,MATCH($B2043,PecCod,0)),"Peça não cadastrada"))</f>
        <v>0</v>
      </c>
      <c r="F2043" s="27">
        <f>IF($B2043="","",IF($D2043&lt;&gt;"",$D2043,IFERROR(INDEX(PecPreco,MATCH($B2043,PecCod,0)),0)))</f>
        <v>0</v>
      </c>
      <c r="G2043" s="27">
        <f>IF(OR($B2043="",$C2043=""),"",$C2043*$F2043)</f>
        <v>0</v>
      </c>
      <c r="H2043" s="27">
        <f>IF(OR($B2043="",$C2043=""),"",$C2043*IFERROR(INDEX(PecCusto,MATCH($B2043,PecCod,0)),0))</f>
        <v>0</v>
      </c>
      <c r="I2043" s="32">
        <f>IF($A2043="","",IFERROR(INDEX(OSStatus,MATCH($A2043,OSNum,0)),"OS inexistente"))</f>
        <v>0</v>
      </c>
      <c r="J2043" s="32">
        <f>IF($A2043="","",IF($I2043="OS inexistente","OS inexistente",IF($E2043="Peça não cadastrada","Peça não cadastrada","OK")))</f>
        <v>0</v>
      </c>
    </row>
    <row r="2044" spans="1:10">
      <c r="A2044" s="17"/>
      <c r="B2044" s="13"/>
      <c r="C2044" s="20"/>
      <c r="D2044" s="19"/>
      <c r="E2044" s="26">
        <f>IF($B2044="","",IFERROR(INDEX(PecDesc,MATCH($B2044,PecCod,0)),"Peça não cadastrada"))</f>
        <v>0</v>
      </c>
      <c r="F2044" s="27">
        <f>IF($B2044="","",IF($D2044&lt;&gt;"",$D2044,IFERROR(INDEX(PecPreco,MATCH($B2044,PecCod,0)),0)))</f>
        <v>0</v>
      </c>
      <c r="G2044" s="27">
        <f>IF(OR($B2044="",$C2044=""),"",$C2044*$F2044)</f>
        <v>0</v>
      </c>
      <c r="H2044" s="27">
        <f>IF(OR($B2044="",$C2044=""),"",$C2044*IFERROR(INDEX(PecCusto,MATCH($B2044,PecCod,0)),0))</f>
        <v>0</v>
      </c>
      <c r="I2044" s="32">
        <f>IF($A2044="","",IFERROR(INDEX(OSStatus,MATCH($A2044,OSNum,0)),"OS inexistente"))</f>
        <v>0</v>
      </c>
      <c r="J2044" s="32">
        <f>IF($A2044="","",IF($I2044="OS inexistente","OS inexistente",IF($E2044="Peça não cadastrada","Peça não cadastrada","OK")))</f>
        <v>0</v>
      </c>
    </row>
    <row r="2045" spans="1:10">
      <c r="A2045" s="17"/>
      <c r="B2045" s="13"/>
      <c r="C2045" s="20"/>
      <c r="D2045" s="19"/>
      <c r="E2045" s="26">
        <f>IF($B2045="","",IFERROR(INDEX(PecDesc,MATCH($B2045,PecCod,0)),"Peça não cadastrada"))</f>
        <v>0</v>
      </c>
      <c r="F2045" s="27">
        <f>IF($B2045="","",IF($D2045&lt;&gt;"",$D2045,IFERROR(INDEX(PecPreco,MATCH($B2045,PecCod,0)),0)))</f>
        <v>0</v>
      </c>
      <c r="G2045" s="27">
        <f>IF(OR($B2045="",$C2045=""),"",$C2045*$F2045)</f>
        <v>0</v>
      </c>
      <c r="H2045" s="27">
        <f>IF(OR($B2045="",$C2045=""),"",$C2045*IFERROR(INDEX(PecCusto,MATCH($B2045,PecCod,0)),0))</f>
        <v>0</v>
      </c>
      <c r="I2045" s="32">
        <f>IF($A2045="","",IFERROR(INDEX(OSStatus,MATCH($A2045,OSNum,0)),"OS inexistente"))</f>
        <v>0</v>
      </c>
      <c r="J2045" s="32">
        <f>IF($A2045="","",IF($I2045="OS inexistente","OS inexistente",IF($E2045="Peça não cadastrada","Peça não cadastrada","OK")))</f>
        <v>0</v>
      </c>
    </row>
    <row r="2046" spans="1:10">
      <c r="A2046" s="17"/>
      <c r="B2046" s="13"/>
      <c r="C2046" s="20"/>
      <c r="D2046" s="19"/>
      <c r="E2046" s="26">
        <f>IF($B2046="","",IFERROR(INDEX(PecDesc,MATCH($B2046,PecCod,0)),"Peça não cadastrada"))</f>
        <v>0</v>
      </c>
      <c r="F2046" s="27">
        <f>IF($B2046="","",IF($D2046&lt;&gt;"",$D2046,IFERROR(INDEX(PecPreco,MATCH($B2046,PecCod,0)),0)))</f>
        <v>0</v>
      </c>
      <c r="G2046" s="27">
        <f>IF(OR($B2046="",$C2046=""),"",$C2046*$F2046)</f>
        <v>0</v>
      </c>
      <c r="H2046" s="27">
        <f>IF(OR($B2046="",$C2046=""),"",$C2046*IFERROR(INDEX(PecCusto,MATCH($B2046,PecCod,0)),0))</f>
        <v>0</v>
      </c>
      <c r="I2046" s="32">
        <f>IF($A2046="","",IFERROR(INDEX(OSStatus,MATCH($A2046,OSNum,0)),"OS inexistente"))</f>
        <v>0</v>
      </c>
      <c r="J2046" s="32">
        <f>IF($A2046="","",IF($I2046="OS inexistente","OS inexistente",IF($E2046="Peça não cadastrada","Peça não cadastrada","OK")))</f>
        <v>0</v>
      </c>
    </row>
    <row r="2047" spans="1:10">
      <c r="A2047" s="17"/>
      <c r="B2047" s="13"/>
      <c r="C2047" s="20"/>
      <c r="D2047" s="19"/>
      <c r="E2047" s="26">
        <f>IF($B2047="","",IFERROR(INDEX(PecDesc,MATCH($B2047,PecCod,0)),"Peça não cadastrada"))</f>
        <v>0</v>
      </c>
      <c r="F2047" s="27">
        <f>IF($B2047="","",IF($D2047&lt;&gt;"",$D2047,IFERROR(INDEX(PecPreco,MATCH($B2047,PecCod,0)),0)))</f>
        <v>0</v>
      </c>
      <c r="G2047" s="27">
        <f>IF(OR($B2047="",$C2047=""),"",$C2047*$F2047)</f>
        <v>0</v>
      </c>
      <c r="H2047" s="27">
        <f>IF(OR($B2047="",$C2047=""),"",$C2047*IFERROR(INDEX(PecCusto,MATCH($B2047,PecCod,0)),0))</f>
        <v>0</v>
      </c>
      <c r="I2047" s="32">
        <f>IF($A2047="","",IFERROR(INDEX(OSStatus,MATCH($A2047,OSNum,0)),"OS inexistente"))</f>
        <v>0</v>
      </c>
      <c r="J2047" s="32">
        <f>IF($A2047="","",IF($I2047="OS inexistente","OS inexistente",IF($E2047="Peça não cadastrada","Peça não cadastrada","OK")))</f>
        <v>0</v>
      </c>
    </row>
    <row r="2048" spans="1:10">
      <c r="A2048" s="17"/>
      <c r="B2048" s="13"/>
      <c r="C2048" s="20"/>
      <c r="D2048" s="19"/>
      <c r="E2048" s="26">
        <f>IF($B2048="","",IFERROR(INDEX(PecDesc,MATCH($B2048,PecCod,0)),"Peça não cadastrada"))</f>
        <v>0</v>
      </c>
      <c r="F2048" s="27">
        <f>IF($B2048="","",IF($D2048&lt;&gt;"",$D2048,IFERROR(INDEX(PecPreco,MATCH($B2048,PecCod,0)),0)))</f>
        <v>0</v>
      </c>
      <c r="G2048" s="27">
        <f>IF(OR($B2048="",$C2048=""),"",$C2048*$F2048)</f>
        <v>0</v>
      </c>
      <c r="H2048" s="27">
        <f>IF(OR($B2048="",$C2048=""),"",$C2048*IFERROR(INDEX(PecCusto,MATCH($B2048,PecCod,0)),0))</f>
        <v>0</v>
      </c>
      <c r="I2048" s="32">
        <f>IF($A2048="","",IFERROR(INDEX(OSStatus,MATCH($A2048,OSNum,0)),"OS inexistente"))</f>
        <v>0</v>
      </c>
      <c r="J2048" s="32">
        <f>IF($A2048="","",IF($I2048="OS inexistente","OS inexistente",IF($E2048="Peça não cadastrada","Peça não cadastrada","OK")))</f>
        <v>0</v>
      </c>
    </row>
    <row r="2049" spans="1:10">
      <c r="A2049" s="17"/>
      <c r="B2049" s="13"/>
      <c r="C2049" s="20"/>
      <c r="D2049" s="19"/>
      <c r="E2049" s="26">
        <f>IF($B2049="","",IFERROR(INDEX(PecDesc,MATCH($B2049,PecCod,0)),"Peça não cadastrada"))</f>
        <v>0</v>
      </c>
      <c r="F2049" s="27">
        <f>IF($B2049="","",IF($D2049&lt;&gt;"",$D2049,IFERROR(INDEX(PecPreco,MATCH($B2049,PecCod,0)),0)))</f>
        <v>0</v>
      </c>
      <c r="G2049" s="27">
        <f>IF(OR($B2049="",$C2049=""),"",$C2049*$F2049)</f>
        <v>0</v>
      </c>
      <c r="H2049" s="27">
        <f>IF(OR($B2049="",$C2049=""),"",$C2049*IFERROR(INDEX(PecCusto,MATCH($B2049,PecCod,0)),0))</f>
        <v>0</v>
      </c>
      <c r="I2049" s="32">
        <f>IF($A2049="","",IFERROR(INDEX(OSStatus,MATCH($A2049,OSNum,0)),"OS inexistente"))</f>
        <v>0</v>
      </c>
      <c r="J2049" s="32">
        <f>IF($A2049="","",IF($I2049="OS inexistente","OS inexistente",IF($E2049="Peça não cadastrada","Peça não cadastrada","OK")))</f>
        <v>0</v>
      </c>
    </row>
    <row r="2050" spans="1:10">
      <c r="A2050" s="17"/>
      <c r="B2050" s="13"/>
      <c r="C2050" s="20"/>
      <c r="D2050" s="19"/>
      <c r="E2050" s="26">
        <f>IF($B2050="","",IFERROR(INDEX(PecDesc,MATCH($B2050,PecCod,0)),"Peça não cadastrada"))</f>
        <v>0</v>
      </c>
      <c r="F2050" s="27">
        <f>IF($B2050="","",IF($D2050&lt;&gt;"",$D2050,IFERROR(INDEX(PecPreco,MATCH($B2050,PecCod,0)),0)))</f>
        <v>0</v>
      </c>
      <c r="G2050" s="27">
        <f>IF(OR($B2050="",$C2050=""),"",$C2050*$F2050)</f>
        <v>0</v>
      </c>
      <c r="H2050" s="27">
        <f>IF(OR($B2050="",$C2050=""),"",$C2050*IFERROR(INDEX(PecCusto,MATCH($B2050,PecCod,0)),0))</f>
        <v>0</v>
      </c>
      <c r="I2050" s="32">
        <f>IF($A2050="","",IFERROR(INDEX(OSStatus,MATCH($A2050,OSNum,0)),"OS inexistente"))</f>
        <v>0</v>
      </c>
      <c r="J2050" s="32">
        <f>IF($A2050="","",IF($I2050="OS inexistente","OS inexistente",IF($E2050="Peça não cadastrada","Peça não cadastrada","OK")))</f>
        <v>0</v>
      </c>
    </row>
    <row r="2051" spans="1:10">
      <c r="A2051" s="17"/>
      <c r="B2051" s="13"/>
      <c r="C2051" s="20"/>
      <c r="D2051" s="19"/>
      <c r="E2051" s="26">
        <f>IF($B2051="","",IFERROR(INDEX(PecDesc,MATCH($B2051,PecCod,0)),"Peça não cadastrada"))</f>
        <v>0</v>
      </c>
      <c r="F2051" s="27">
        <f>IF($B2051="","",IF($D2051&lt;&gt;"",$D2051,IFERROR(INDEX(PecPreco,MATCH($B2051,PecCod,0)),0)))</f>
        <v>0</v>
      </c>
      <c r="G2051" s="27">
        <f>IF(OR($B2051="",$C2051=""),"",$C2051*$F2051)</f>
        <v>0</v>
      </c>
      <c r="H2051" s="27">
        <f>IF(OR($B2051="",$C2051=""),"",$C2051*IFERROR(INDEX(PecCusto,MATCH($B2051,PecCod,0)),0))</f>
        <v>0</v>
      </c>
      <c r="I2051" s="32">
        <f>IF($A2051="","",IFERROR(INDEX(OSStatus,MATCH($A2051,OSNum,0)),"OS inexistente"))</f>
        <v>0</v>
      </c>
      <c r="J2051" s="32">
        <f>IF($A2051="","",IF($I2051="OS inexistente","OS inexistente",IF($E2051="Peça não cadastrada","Peça não cadastrada","OK")))</f>
        <v>0</v>
      </c>
    </row>
    <row r="2052" spans="1:10">
      <c r="A2052" s="17"/>
      <c r="B2052" s="13"/>
      <c r="C2052" s="20"/>
      <c r="D2052" s="19"/>
      <c r="E2052" s="26">
        <f>IF($B2052="","",IFERROR(INDEX(PecDesc,MATCH($B2052,PecCod,0)),"Peça não cadastrada"))</f>
        <v>0</v>
      </c>
      <c r="F2052" s="27">
        <f>IF($B2052="","",IF($D2052&lt;&gt;"",$D2052,IFERROR(INDEX(PecPreco,MATCH($B2052,PecCod,0)),0)))</f>
        <v>0</v>
      </c>
      <c r="G2052" s="27">
        <f>IF(OR($B2052="",$C2052=""),"",$C2052*$F2052)</f>
        <v>0</v>
      </c>
      <c r="H2052" s="27">
        <f>IF(OR($B2052="",$C2052=""),"",$C2052*IFERROR(INDEX(PecCusto,MATCH($B2052,PecCod,0)),0))</f>
        <v>0</v>
      </c>
      <c r="I2052" s="32">
        <f>IF($A2052="","",IFERROR(INDEX(OSStatus,MATCH($A2052,OSNum,0)),"OS inexistente"))</f>
        <v>0</v>
      </c>
      <c r="J2052" s="32">
        <f>IF($A2052="","",IF($I2052="OS inexistente","OS inexistente",IF($E2052="Peça não cadastrada","Peça não cadastrada","OK")))</f>
        <v>0</v>
      </c>
    </row>
    <row r="2053" spans="1:10">
      <c r="A2053" s="17"/>
      <c r="B2053" s="13"/>
      <c r="C2053" s="20"/>
      <c r="D2053" s="19"/>
      <c r="E2053" s="26">
        <f>IF($B2053="","",IFERROR(INDEX(PecDesc,MATCH($B2053,PecCod,0)),"Peça não cadastrada"))</f>
        <v>0</v>
      </c>
      <c r="F2053" s="27">
        <f>IF($B2053="","",IF($D2053&lt;&gt;"",$D2053,IFERROR(INDEX(PecPreco,MATCH($B2053,PecCod,0)),0)))</f>
        <v>0</v>
      </c>
      <c r="G2053" s="27">
        <f>IF(OR($B2053="",$C2053=""),"",$C2053*$F2053)</f>
        <v>0</v>
      </c>
      <c r="H2053" s="27">
        <f>IF(OR($B2053="",$C2053=""),"",$C2053*IFERROR(INDEX(PecCusto,MATCH($B2053,PecCod,0)),0))</f>
        <v>0</v>
      </c>
      <c r="I2053" s="32">
        <f>IF($A2053="","",IFERROR(INDEX(OSStatus,MATCH($A2053,OSNum,0)),"OS inexistente"))</f>
        <v>0</v>
      </c>
      <c r="J2053" s="32">
        <f>IF($A2053="","",IF($I2053="OS inexistente","OS inexistente",IF($E2053="Peça não cadastrada","Peça não cadastrada","OK")))</f>
        <v>0</v>
      </c>
    </row>
    <row r="2054" spans="1:10">
      <c r="A2054" s="17"/>
      <c r="B2054" s="13"/>
      <c r="C2054" s="20"/>
      <c r="D2054" s="19"/>
      <c r="E2054" s="26">
        <f>IF($B2054="","",IFERROR(INDEX(PecDesc,MATCH($B2054,PecCod,0)),"Peça não cadastrada"))</f>
        <v>0</v>
      </c>
      <c r="F2054" s="27">
        <f>IF($B2054="","",IF($D2054&lt;&gt;"",$D2054,IFERROR(INDEX(PecPreco,MATCH($B2054,PecCod,0)),0)))</f>
        <v>0</v>
      </c>
      <c r="G2054" s="27">
        <f>IF(OR($B2054="",$C2054=""),"",$C2054*$F2054)</f>
        <v>0</v>
      </c>
      <c r="H2054" s="27">
        <f>IF(OR($B2054="",$C2054=""),"",$C2054*IFERROR(INDEX(PecCusto,MATCH($B2054,PecCod,0)),0))</f>
        <v>0</v>
      </c>
      <c r="I2054" s="32">
        <f>IF($A2054="","",IFERROR(INDEX(OSStatus,MATCH($A2054,OSNum,0)),"OS inexistente"))</f>
        <v>0</v>
      </c>
      <c r="J2054" s="32">
        <f>IF($A2054="","",IF($I2054="OS inexistente","OS inexistente",IF($E2054="Peça não cadastrada","Peça não cadastrada","OK")))</f>
        <v>0</v>
      </c>
    </row>
    <row r="2055" spans="1:10">
      <c r="A2055" s="17"/>
      <c r="B2055" s="13"/>
      <c r="C2055" s="20"/>
      <c r="D2055" s="19"/>
      <c r="E2055" s="26">
        <f>IF($B2055="","",IFERROR(INDEX(PecDesc,MATCH($B2055,PecCod,0)),"Peça não cadastrada"))</f>
        <v>0</v>
      </c>
      <c r="F2055" s="27">
        <f>IF($B2055="","",IF($D2055&lt;&gt;"",$D2055,IFERROR(INDEX(PecPreco,MATCH($B2055,PecCod,0)),0)))</f>
        <v>0</v>
      </c>
      <c r="G2055" s="27">
        <f>IF(OR($B2055="",$C2055=""),"",$C2055*$F2055)</f>
        <v>0</v>
      </c>
      <c r="H2055" s="27">
        <f>IF(OR($B2055="",$C2055=""),"",$C2055*IFERROR(INDEX(PecCusto,MATCH($B2055,PecCod,0)),0))</f>
        <v>0</v>
      </c>
      <c r="I2055" s="32">
        <f>IF($A2055="","",IFERROR(INDEX(OSStatus,MATCH($A2055,OSNum,0)),"OS inexistente"))</f>
        <v>0</v>
      </c>
      <c r="J2055" s="32">
        <f>IF($A2055="","",IF($I2055="OS inexistente","OS inexistente",IF($E2055="Peça não cadastrada","Peça não cadastrada","OK")))</f>
        <v>0</v>
      </c>
    </row>
    <row r="2056" spans="1:10">
      <c r="A2056" s="17"/>
      <c r="B2056" s="13"/>
      <c r="C2056" s="20"/>
      <c r="D2056" s="19"/>
      <c r="E2056" s="26">
        <f>IF($B2056="","",IFERROR(INDEX(PecDesc,MATCH($B2056,PecCod,0)),"Peça não cadastrada"))</f>
        <v>0</v>
      </c>
      <c r="F2056" s="27">
        <f>IF($B2056="","",IF($D2056&lt;&gt;"",$D2056,IFERROR(INDEX(PecPreco,MATCH($B2056,PecCod,0)),0)))</f>
        <v>0</v>
      </c>
      <c r="G2056" s="27">
        <f>IF(OR($B2056="",$C2056=""),"",$C2056*$F2056)</f>
        <v>0</v>
      </c>
      <c r="H2056" s="27">
        <f>IF(OR($B2056="",$C2056=""),"",$C2056*IFERROR(INDEX(PecCusto,MATCH($B2056,PecCod,0)),0))</f>
        <v>0</v>
      </c>
      <c r="I2056" s="32">
        <f>IF($A2056="","",IFERROR(INDEX(OSStatus,MATCH($A2056,OSNum,0)),"OS inexistente"))</f>
        <v>0</v>
      </c>
      <c r="J2056" s="32">
        <f>IF($A2056="","",IF($I2056="OS inexistente","OS inexistente",IF($E2056="Peça não cadastrada","Peça não cadastrada","OK")))</f>
        <v>0</v>
      </c>
    </row>
    <row r="2057" spans="1:10">
      <c r="A2057" s="17"/>
      <c r="B2057" s="13"/>
      <c r="C2057" s="20"/>
      <c r="D2057" s="19"/>
      <c r="E2057" s="26">
        <f>IF($B2057="","",IFERROR(INDEX(PecDesc,MATCH($B2057,PecCod,0)),"Peça não cadastrada"))</f>
        <v>0</v>
      </c>
      <c r="F2057" s="27">
        <f>IF($B2057="","",IF($D2057&lt;&gt;"",$D2057,IFERROR(INDEX(PecPreco,MATCH($B2057,PecCod,0)),0)))</f>
        <v>0</v>
      </c>
      <c r="G2057" s="27">
        <f>IF(OR($B2057="",$C2057=""),"",$C2057*$F2057)</f>
        <v>0</v>
      </c>
      <c r="H2057" s="27">
        <f>IF(OR($B2057="",$C2057=""),"",$C2057*IFERROR(INDEX(PecCusto,MATCH($B2057,PecCod,0)),0))</f>
        <v>0</v>
      </c>
      <c r="I2057" s="32">
        <f>IF($A2057="","",IFERROR(INDEX(OSStatus,MATCH($A2057,OSNum,0)),"OS inexistente"))</f>
        <v>0</v>
      </c>
      <c r="J2057" s="32">
        <f>IF($A2057="","",IF($I2057="OS inexistente","OS inexistente",IF($E2057="Peça não cadastrada","Peça não cadastrada","OK")))</f>
        <v>0</v>
      </c>
    </row>
    <row r="2058" spans="1:10">
      <c r="A2058" s="17"/>
      <c r="B2058" s="13"/>
      <c r="C2058" s="20"/>
      <c r="D2058" s="19"/>
      <c r="E2058" s="26">
        <f>IF($B2058="","",IFERROR(INDEX(PecDesc,MATCH($B2058,PecCod,0)),"Peça não cadastrada"))</f>
        <v>0</v>
      </c>
      <c r="F2058" s="27">
        <f>IF($B2058="","",IF($D2058&lt;&gt;"",$D2058,IFERROR(INDEX(PecPreco,MATCH($B2058,PecCod,0)),0)))</f>
        <v>0</v>
      </c>
      <c r="G2058" s="27">
        <f>IF(OR($B2058="",$C2058=""),"",$C2058*$F2058)</f>
        <v>0</v>
      </c>
      <c r="H2058" s="27">
        <f>IF(OR($B2058="",$C2058=""),"",$C2058*IFERROR(INDEX(PecCusto,MATCH($B2058,PecCod,0)),0))</f>
        <v>0</v>
      </c>
      <c r="I2058" s="32">
        <f>IF($A2058="","",IFERROR(INDEX(OSStatus,MATCH($A2058,OSNum,0)),"OS inexistente"))</f>
        <v>0</v>
      </c>
      <c r="J2058" s="32">
        <f>IF($A2058="","",IF($I2058="OS inexistente","OS inexistente",IF($E2058="Peça não cadastrada","Peça não cadastrada","OK")))</f>
        <v>0</v>
      </c>
    </row>
    <row r="2059" spans="1:10">
      <c r="A2059" s="17"/>
      <c r="B2059" s="13"/>
      <c r="C2059" s="20"/>
      <c r="D2059" s="19"/>
      <c r="E2059" s="26">
        <f>IF($B2059="","",IFERROR(INDEX(PecDesc,MATCH($B2059,PecCod,0)),"Peça não cadastrada"))</f>
        <v>0</v>
      </c>
      <c r="F2059" s="27">
        <f>IF($B2059="","",IF($D2059&lt;&gt;"",$D2059,IFERROR(INDEX(PecPreco,MATCH($B2059,PecCod,0)),0)))</f>
        <v>0</v>
      </c>
      <c r="G2059" s="27">
        <f>IF(OR($B2059="",$C2059=""),"",$C2059*$F2059)</f>
        <v>0</v>
      </c>
      <c r="H2059" s="27">
        <f>IF(OR($B2059="",$C2059=""),"",$C2059*IFERROR(INDEX(PecCusto,MATCH($B2059,PecCod,0)),0))</f>
        <v>0</v>
      </c>
      <c r="I2059" s="32">
        <f>IF($A2059="","",IFERROR(INDEX(OSStatus,MATCH($A2059,OSNum,0)),"OS inexistente"))</f>
        <v>0</v>
      </c>
      <c r="J2059" s="32">
        <f>IF($A2059="","",IF($I2059="OS inexistente","OS inexistente",IF($E2059="Peça não cadastrada","Peça não cadastrada","OK")))</f>
        <v>0</v>
      </c>
    </row>
    <row r="2060" spans="1:10">
      <c r="A2060" s="17"/>
      <c r="B2060" s="13"/>
      <c r="C2060" s="20"/>
      <c r="D2060" s="19"/>
      <c r="E2060" s="26">
        <f>IF($B2060="","",IFERROR(INDEX(PecDesc,MATCH($B2060,PecCod,0)),"Peça não cadastrada"))</f>
        <v>0</v>
      </c>
      <c r="F2060" s="27">
        <f>IF($B2060="","",IF($D2060&lt;&gt;"",$D2060,IFERROR(INDEX(PecPreco,MATCH($B2060,PecCod,0)),0)))</f>
        <v>0</v>
      </c>
      <c r="G2060" s="27">
        <f>IF(OR($B2060="",$C2060=""),"",$C2060*$F2060)</f>
        <v>0</v>
      </c>
      <c r="H2060" s="27">
        <f>IF(OR($B2060="",$C2060=""),"",$C2060*IFERROR(INDEX(PecCusto,MATCH($B2060,PecCod,0)),0))</f>
        <v>0</v>
      </c>
      <c r="I2060" s="32">
        <f>IF($A2060="","",IFERROR(INDEX(OSStatus,MATCH($A2060,OSNum,0)),"OS inexistente"))</f>
        <v>0</v>
      </c>
      <c r="J2060" s="32">
        <f>IF($A2060="","",IF($I2060="OS inexistente","OS inexistente",IF($E2060="Peça não cadastrada","Peça não cadastrada","OK")))</f>
        <v>0</v>
      </c>
    </row>
    <row r="2061" spans="1:10">
      <c r="A2061" s="17"/>
      <c r="B2061" s="13"/>
      <c r="C2061" s="20"/>
      <c r="D2061" s="19"/>
      <c r="E2061" s="26">
        <f>IF($B2061="","",IFERROR(INDEX(PecDesc,MATCH($B2061,PecCod,0)),"Peça não cadastrada"))</f>
        <v>0</v>
      </c>
      <c r="F2061" s="27">
        <f>IF($B2061="","",IF($D2061&lt;&gt;"",$D2061,IFERROR(INDEX(PecPreco,MATCH($B2061,PecCod,0)),0)))</f>
        <v>0</v>
      </c>
      <c r="G2061" s="27">
        <f>IF(OR($B2061="",$C2061=""),"",$C2061*$F2061)</f>
        <v>0</v>
      </c>
      <c r="H2061" s="27">
        <f>IF(OR($B2061="",$C2061=""),"",$C2061*IFERROR(INDEX(PecCusto,MATCH($B2061,PecCod,0)),0))</f>
        <v>0</v>
      </c>
      <c r="I2061" s="32">
        <f>IF($A2061="","",IFERROR(INDEX(OSStatus,MATCH($A2061,OSNum,0)),"OS inexistente"))</f>
        <v>0</v>
      </c>
      <c r="J2061" s="32">
        <f>IF($A2061="","",IF($I2061="OS inexistente","OS inexistente",IF($E2061="Peça não cadastrada","Peça não cadastrada","OK")))</f>
        <v>0</v>
      </c>
    </row>
    <row r="2062" spans="1:10">
      <c r="A2062" s="17"/>
      <c r="B2062" s="13"/>
      <c r="C2062" s="20"/>
      <c r="D2062" s="19"/>
      <c r="E2062" s="26">
        <f>IF($B2062="","",IFERROR(INDEX(PecDesc,MATCH($B2062,PecCod,0)),"Peça não cadastrada"))</f>
        <v>0</v>
      </c>
      <c r="F2062" s="27">
        <f>IF($B2062="","",IF($D2062&lt;&gt;"",$D2062,IFERROR(INDEX(PecPreco,MATCH($B2062,PecCod,0)),0)))</f>
        <v>0</v>
      </c>
      <c r="G2062" s="27">
        <f>IF(OR($B2062="",$C2062=""),"",$C2062*$F2062)</f>
        <v>0</v>
      </c>
      <c r="H2062" s="27">
        <f>IF(OR($B2062="",$C2062=""),"",$C2062*IFERROR(INDEX(PecCusto,MATCH($B2062,PecCod,0)),0))</f>
        <v>0</v>
      </c>
      <c r="I2062" s="32">
        <f>IF($A2062="","",IFERROR(INDEX(OSStatus,MATCH($A2062,OSNum,0)),"OS inexistente"))</f>
        <v>0</v>
      </c>
      <c r="J2062" s="32">
        <f>IF($A2062="","",IF($I2062="OS inexistente","OS inexistente",IF($E2062="Peça não cadastrada","Peça não cadastrada","OK")))</f>
        <v>0</v>
      </c>
    </row>
    <row r="2063" spans="1:10">
      <c r="A2063" s="17"/>
      <c r="B2063" s="13"/>
      <c r="C2063" s="20"/>
      <c r="D2063" s="19"/>
      <c r="E2063" s="26">
        <f>IF($B2063="","",IFERROR(INDEX(PecDesc,MATCH($B2063,PecCod,0)),"Peça não cadastrada"))</f>
        <v>0</v>
      </c>
      <c r="F2063" s="27">
        <f>IF($B2063="","",IF($D2063&lt;&gt;"",$D2063,IFERROR(INDEX(PecPreco,MATCH($B2063,PecCod,0)),0)))</f>
        <v>0</v>
      </c>
      <c r="G2063" s="27">
        <f>IF(OR($B2063="",$C2063=""),"",$C2063*$F2063)</f>
        <v>0</v>
      </c>
      <c r="H2063" s="27">
        <f>IF(OR($B2063="",$C2063=""),"",$C2063*IFERROR(INDEX(PecCusto,MATCH($B2063,PecCod,0)),0))</f>
        <v>0</v>
      </c>
      <c r="I2063" s="32">
        <f>IF($A2063="","",IFERROR(INDEX(OSStatus,MATCH($A2063,OSNum,0)),"OS inexistente"))</f>
        <v>0</v>
      </c>
      <c r="J2063" s="32">
        <f>IF($A2063="","",IF($I2063="OS inexistente","OS inexistente",IF($E2063="Peça não cadastrada","Peça não cadastrada","OK")))</f>
        <v>0</v>
      </c>
    </row>
    <row r="2064" spans="1:10">
      <c r="A2064" s="17"/>
      <c r="B2064" s="13"/>
      <c r="C2064" s="20"/>
      <c r="D2064" s="19"/>
      <c r="E2064" s="26">
        <f>IF($B2064="","",IFERROR(INDEX(PecDesc,MATCH($B2064,PecCod,0)),"Peça não cadastrada"))</f>
        <v>0</v>
      </c>
      <c r="F2064" s="27">
        <f>IF($B2064="","",IF($D2064&lt;&gt;"",$D2064,IFERROR(INDEX(PecPreco,MATCH($B2064,PecCod,0)),0)))</f>
        <v>0</v>
      </c>
      <c r="G2064" s="27">
        <f>IF(OR($B2064="",$C2064=""),"",$C2064*$F2064)</f>
        <v>0</v>
      </c>
      <c r="H2064" s="27">
        <f>IF(OR($B2064="",$C2064=""),"",$C2064*IFERROR(INDEX(PecCusto,MATCH($B2064,PecCod,0)),0))</f>
        <v>0</v>
      </c>
      <c r="I2064" s="32">
        <f>IF($A2064="","",IFERROR(INDEX(OSStatus,MATCH($A2064,OSNum,0)),"OS inexistente"))</f>
        <v>0</v>
      </c>
      <c r="J2064" s="32">
        <f>IF($A2064="","",IF($I2064="OS inexistente","OS inexistente",IF($E2064="Peça não cadastrada","Peça não cadastrada","OK")))</f>
        <v>0</v>
      </c>
    </row>
    <row r="2065" spans="1:10">
      <c r="A2065" s="17"/>
      <c r="B2065" s="13"/>
      <c r="C2065" s="20"/>
      <c r="D2065" s="19"/>
      <c r="E2065" s="26">
        <f>IF($B2065="","",IFERROR(INDEX(PecDesc,MATCH($B2065,PecCod,0)),"Peça não cadastrada"))</f>
        <v>0</v>
      </c>
      <c r="F2065" s="27">
        <f>IF($B2065="","",IF($D2065&lt;&gt;"",$D2065,IFERROR(INDEX(PecPreco,MATCH($B2065,PecCod,0)),0)))</f>
        <v>0</v>
      </c>
      <c r="G2065" s="27">
        <f>IF(OR($B2065="",$C2065=""),"",$C2065*$F2065)</f>
        <v>0</v>
      </c>
      <c r="H2065" s="27">
        <f>IF(OR($B2065="",$C2065=""),"",$C2065*IFERROR(INDEX(PecCusto,MATCH($B2065,PecCod,0)),0))</f>
        <v>0</v>
      </c>
      <c r="I2065" s="32">
        <f>IF($A2065="","",IFERROR(INDEX(OSStatus,MATCH($A2065,OSNum,0)),"OS inexistente"))</f>
        <v>0</v>
      </c>
      <c r="J2065" s="32">
        <f>IF($A2065="","",IF($I2065="OS inexistente","OS inexistente",IF($E2065="Peça não cadastrada","Peça não cadastrada","OK")))</f>
        <v>0</v>
      </c>
    </row>
    <row r="2066" spans="1:10">
      <c r="A2066" s="17"/>
      <c r="B2066" s="13"/>
      <c r="C2066" s="20"/>
      <c r="D2066" s="19"/>
      <c r="E2066" s="26">
        <f>IF($B2066="","",IFERROR(INDEX(PecDesc,MATCH($B2066,PecCod,0)),"Peça não cadastrada"))</f>
        <v>0</v>
      </c>
      <c r="F2066" s="27">
        <f>IF($B2066="","",IF($D2066&lt;&gt;"",$D2066,IFERROR(INDEX(PecPreco,MATCH($B2066,PecCod,0)),0)))</f>
        <v>0</v>
      </c>
      <c r="G2066" s="27">
        <f>IF(OR($B2066="",$C2066=""),"",$C2066*$F2066)</f>
        <v>0</v>
      </c>
      <c r="H2066" s="27">
        <f>IF(OR($B2066="",$C2066=""),"",$C2066*IFERROR(INDEX(PecCusto,MATCH($B2066,PecCod,0)),0))</f>
        <v>0</v>
      </c>
      <c r="I2066" s="32">
        <f>IF($A2066="","",IFERROR(INDEX(OSStatus,MATCH($A2066,OSNum,0)),"OS inexistente"))</f>
        <v>0</v>
      </c>
      <c r="J2066" s="32">
        <f>IF($A2066="","",IF($I2066="OS inexistente","OS inexistente",IF($E2066="Peça não cadastrada","Peça não cadastrada","OK")))</f>
        <v>0</v>
      </c>
    </row>
    <row r="2067" spans="1:10">
      <c r="A2067" s="17"/>
      <c r="B2067" s="13"/>
      <c r="C2067" s="20"/>
      <c r="D2067" s="19"/>
      <c r="E2067" s="26">
        <f>IF($B2067="","",IFERROR(INDEX(PecDesc,MATCH($B2067,PecCod,0)),"Peça não cadastrada"))</f>
        <v>0</v>
      </c>
      <c r="F2067" s="27">
        <f>IF($B2067="","",IF($D2067&lt;&gt;"",$D2067,IFERROR(INDEX(PecPreco,MATCH($B2067,PecCod,0)),0)))</f>
        <v>0</v>
      </c>
      <c r="G2067" s="27">
        <f>IF(OR($B2067="",$C2067=""),"",$C2067*$F2067)</f>
        <v>0</v>
      </c>
      <c r="H2067" s="27">
        <f>IF(OR($B2067="",$C2067=""),"",$C2067*IFERROR(INDEX(PecCusto,MATCH($B2067,PecCod,0)),0))</f>
        <v>0</v>
      </c>
      <c r="I2067" s="32">
        <f>IF($A2067="","",IFERROR(INDEX(OSStatus,MATCH($A2067,OSNum,0)),"OS inexistente"))</f>
        <v>0</v>
      </c>
      <c r="J2067" s="32">
        <f>IF($A2067="","",IF($I2067="OS inexistente","OS inexistente",IF($E2067="Peça não cadastrada","Peça não cadastrada","OK")))</f>
        <v>0</v>
      </c>
    </row>
    <row r="2068" spans="1:10">
      <c r="A2068" s="17"/>
      <c r="B2068" s="13"/>
      <c r="C2068" s="20"/>
      <c r="D2068" s="19"/>
      <c r="E2068" s="26">
        <f>IF($B2068="","",IFERROR(INDEX(PecDesc,MATCH($B2068,PecCod,0)),"Peça não cadastrada"))</f>
        <v>0</v>
      </c>
      <c r="F2068" s="27">
        <f>IF($B2068="","",IF($D2068&lt;&gt;"",$D2068,IFERROR(INDEX(PecPreco,MATCH($B2068,PecCod,0)),0)))</f>
        <v>0</v>
      </c>
      <c r="G2068" s="27">
        <f>IF(OR($B2068="",$C2068=""),"",$C2068*$F2068)</f>
        <v>0</v>
      </c>
      <c r="H2068" s="27">
        <f>IF(OR($B2068="",$C2068=""),"",$C2068*IFERROR(INDEX(PecCusto,MATCH($B2068,PecCod,0)),0))</f>
        <v>0</v>
      </c>
      <c r="I2068" s="32">
        <f>IF($A2068="","",IFERROR(INDEX(OSStatus,MATCH($A2068,OSNum,0)),"OS inexistente"))</f>
        <v>0</v>
      </c>
      <c r="J2068" s="32">
        <f>IF($A2068="","",IF($I2068="OS inexistente","OS inexistente",IF($E2068="Peça não cadastrada","Peça não cadastrada","OK")))</f>
        <v>0</v>
      </c>
    </row>
    <row r="2069" spans="1:10">
      <c r="A2069" s="17"/>
      <c r="B2069" s="13"/>
      <c r="C2069" s="20"/>
      <c r="D2069" s="19"/>
      <c r="E2069" s="26">
        <f>IF($B2069="","",IFERROR(INDEX(PecDesc,MATCH($B2069,PecCod,0)),"Peça não cadastrada"))</f>
        <v>0</v>
      </c>
      <c r="F2069" s="27">
        <f>IF($B2069="","",IF($D2069&lt;&gt;"",$D2069,IFERROR(INDEX(PecPreco,MATCH($B2069,PecCod,0)),0)))</f>
        <v>0</v>
      </c>
      <c r="G2069" s="27">
        <f>IF(OR($B2069="",$C2069=""),"",$C2069*$F2069)</f>
        <v>0</v>
      </c>
      <c r="H2069" s="27">
        <f>IF(OR($B2069="",$C2069=""),"",$C2069*IFERROR(INDEX(PecCusto,MATCH($B2069,PecCod,0)),0))</f>
        <v>0</v>
      </c>
      <c r="I2069" s="32">
        <f>IF($A2069="","",IFERROR(INDEX(OSStatus,MATCH($A2069,OSNum,0)),"OS inexistente"))</f>
        <v>0</v>
      </c>
      <c r="J2069" s="32">
        <f>IF($A2069="","",IF($I2069="OS inexistente","OS inexistente",IF($E2069="Peça não cadastrada","Peça não cadastrada","OK")))</f>
        <v>0</v>
      </c>
    </row>
    <row r="2070" spans="1:10">
      <c r="A2070" s="17"/>
      <c r="B2070" s="13"/>
      <c r="C2070" s="20"/>
      <c r="D2070" s="19"/>
      <c r="E2070" s="26">
        <f>IF($B2070="","",IFERROR(INDEX(PecDesc,MATCH($B2070,PecCod,0)),"Peça não cadastrada"))</f>
        <v>0</v>
      </c>
      <c r="F2070" s="27">
        <f>IF($B2070="","",IF($D2070&lt;&gt;"",$D2070,IFERROR(INDEX(PecPreco,MATCH($B2070,PecCod,0)),0)))</f>
        <v>0</v>
      </c>
      <c r="G2070" s="27">
        <f>IF(OR($B2070="",$C2070=""),"",$C2070*$F2070)</f>
        <v>0</v>
      </c>
      <c r="H2070" s="27">
        <f>IF(OR($B2070="",$C2070=""),"",$C2070*IFERROR(INDEX(PecCusto,MATCH($B2070,PecCod,0)),0))</f>
        <v>0</v>
      </c>
      <c r="I2070" s="32">
        <f>IF($A2070="","",IFERROR(INDEX(OSStatus,MATCH($A2070,OSNum,0)),"OS inexistente"))</f>
        <v>0</v>
      </c>
      <c r="J2070" s="32">
        <f>IF($A2070="","",IF($I2070="OS inexistente","OS inexistente",IF($E2070="Peça não cadastrada","Peça não cadastrada","OK")))</f>
        <v>0</v>
      </c>
    </row>
    <row r="2071" spans="1:10">
      <c r="A2071" s="17"/>
      <c r="B2071" s="13"/>
      <c r="C2071" s="20"/>
      <c r="D2071" s="19"/>
      <c r="E2071" s="26">
        <f>IF($B2071="","",IFERROR(INDEX(PecDesc,MATCH($B2071,PecCod,0)),"Peça não cadastrada"))</f>
        <v>0</v>
      </c>
      <c r="F2071" s="27">
        <f>IF($B2071="","",IF($D2071&lt;&gt;"",$D2071,IFERROR(INDEX(PecPreco,MATCH($B2071,PecCod,0)),0)))</f>
        <v>0</v>
      </c>
      <c r="G2071" s="27">
        <f>IF(OR($B2071="",$C2071=""),"",$C2071*$F2071)</f>
        <v>0</v>
      </c>
      <c r="H2071" s="27">
        <f>IF(OR($B2071="",$C2071=""),"",$C2071*IFERROR(INDEX(PecCusto,MATCH($B2071,PecCod,0)),0))</f>
        <v>0</v>
      </c>
      <c r="I2071" s="32">
        <f>IF($A2071="","",IFERROR(INDEX(OSStatus,MATCH($A2071,OSNum,0)),"OS inexistente"))</f>
        <v>0</v>
      </c>
      <c r="J2071" s="32">
        <f>IF($A2071="","",IF($I2071="OS inexistente","OS inexistente",IF($E2071="Peça não cadastrada","Peça não cadastrada","OK")))</f>
        <v>0</v>
      </c>
    </row>
    <row r="2072" spans="1:10">
      <c r="A2072" s="17"/>
      <c r="B2072" s="13"/>
      <c r="C2072" s="20"/>
      <c r="D2072" s="19"/>
      <c r="E2072" s="26">
        <f>IF($B2072="","",IFERROR(INDEX(PecDesc,MATCH($B2072,PecCod,0)),"Peça não cadastrada"))</f>
        <v>0</v>
      </c>
      <c r="F2072" s="27">
        <f>IF($B2072="","",IF($D2072&lt;&gt;"",$D2072,IFERROR(INDEX(PecPreco,MATCH($B2072,PecCod,0)),0)))</f>
        <v>0</v>
      </c>
      <c r="G2072" s="27">
        <f>IF(OR($B2072="",$C2072=""),"",$C2072*$F2072)</f>
        <v>0</v>
      </c>
      <c r="H2072" s="27">
        <f>IF(OR($B2072="",$C2072=""),"",$C2072*IFERROR(INDEX(PecCusto,MATCH($B2072,PecCod,0)),0))</f>
        <v>0</v>
      </c>
      <c r="I2072" s="32">
        <f>IF($A2072="","",IFERROR(INDEX(OSStatus,MATCH($A2072,OSNum,0)),"OS inexistente"))</f>
        <v>0</v>
      </c>
      <c r="J2072" s="32">
        <f>IF($A2072="","",IF($I2072="OS inexistente","OS inexistente",IF($E2072="Peça não cadastrada","Peça não cadastrada","OK")))</f>
        <v>0</v>
      </c>
    </row>
    <row r="2073" spans="1:10">
      <c r="A2073" s="17"/>
      <c r="B2073" s="13"/>
      <c r="C2073" s="20"/>
      <c r="D2073" s="19"/>
      <c r="E2073" s="26">
        <f>IF($B2073="","",IFERROR(INDEX(PecDesc,MATCH($B2073,PecCod,0)),"Peça não cadastrada"))</f>
        <v>0</v>
      </c>
      <c r="F2073" s="27">
        <f>IF($B2073="","",IF($D2073&lt;&gt;"",$D2073,IFERROR(INDEX(PecPreco,MATCH($B2073,PecCod,0)),0)))</f>
        <v>0</v>
      </c>
      <c r="G2073" s="27">
        <f>IF(OR($B2073="",$C2073=""),"",$C2073*$F2073)</f>
        <v>0</v>
      </c>
      <c r="H2073" s="27">
        <f>IF(OR($B2073="",$C2073=""),"",$C2073*IFERROR(INDEX(PecCusto,MATCH($B2073,PecCod,0)),0))</f>
        <v>0</v>
      </c>
      <c r="I2073" s="32">
        <f>IF($A2073="","",IFERROR(INDEX(OSStatus,MATCH($A2073,OSNum,0)),"OS inexistente"))</f>
        <v>0</v>
      </c>
      <c r="J2073" s="32">
        <f>IF($A2073="","",IF($I2073="OS inexistente","OS inexistente",IF($E2073="Peça não cadastrada","Peça não cadastrada","OK")))</f>
        <v>0</v>
      </c>
    </row>
    <row r="2074" spans="1:10">
      <c r="A2074" s="17"/>
      <c r="B2074" s="13"/>
      <c r="C2074" s="20"/>
      <c r="D2074" s="19"/>
      <c r="E2074" s="26">
        <f>IF($B2074="","",IFERROR(INDEX(PecDesc,MATCH($B2074,PecCod,0)),"Peça não cadastrada"))</f>
        <v>0</v>
      </c>
      <c r="F2074" s="27">
        <f>IF($B2074="","",IF($D2074&lt;&gt;"",$D2074,IFERROR(INDEX(PecPreco,MATCH($B2074,PecCod,0)),0)))</f>
        <v>0</v>
      </c>
      <c r="G2074" s="27">
        <f>IF(OR($B2074="",$C2074=""),"",$C2074*$F2074)</f>
        <v>0</v>
      </c>
      <c r="H2074" s="27">
        <f>IF(OR($B2074="",$C2074=""),"",$C2074*IFERROR(INDEX(PecCusto,MATCH($B2074,PecCod,0)),0))</f>
        <v>0</v>
      </c>
      <c r="I2074" s="32">
        <f>IF($A2074="","",IFERROR(INDEX(OSStatus,MATCH($A2074,OSNum,0)),"OS inexistente"))</f>
        <v>0</v>
      </c>
      <c r="J2074" s="32">
        <f>IF($A2074="","",IF($I2074="OS inexistente","OS inexistente",IF($E2074="Peça não cadastrada","Peça não cadastrada","OK")))</f>
        <v>0</v>
      </c>
    </row>
    <row r="2075" spans="1:10">
      <c r="A2075" s="17"/>
      <c r="B2075" s="13"/>
      <c r="C2075" s="20"/>
      <c r="D2075" s="19"/>
      <c r="E2075" s="26">
        <f>IF($B2075="","",IFERROR(INDEX(PecDesc,MATCH($B2075,PecCod,0)),"Peça não cadastrada"))</f>
        <v>0</v>
      </c>
      <c r="F2075" s="27">
        <f>IF($B2075="","",IF($D2075&lt;&gt;"",$D2075,IFERROR(INDEX(PecPreco,MATCH($B2075,PecCod,0)),0)))</f>
        <v>0</v>
      </c>
      <c r="G2075" s="27">
        <f>IF(OR($B2075="",$C2075=""),"",$C2075*$F2075)</f>
        <v>0</v>
      </c>
      <c r="H2075" s="27">
        <f>IF(OR($B2075="",$C2075=""),"",$C2075*IFERROR(INDEX(PecCusto,MATCH($B2075,PecCod,0)),0))</f>
        <v>0</v>
      </c>
      <c r="I2075" s="32">
        <f>IF($A2075="","",IFERROR(INDEX(OSStatus,MATCH($A2075,OSNum,0)),"OS inexistente"))</f>
        <v>0</v>
      </c>
      <c r="J2075" s="32">
        <f>IF($A2075="","",IF($I2075="OS inexistente","OS inexistente",IF($E2075="Peça não cadastrada","Peça não cadastrada","OK")))</f>
        <v>0</v>
      </c>
    </row>
    <row r="2076" spans="1:10">
      <c r="A2076" s="17"/>
      <c r="B2076" s="13"/>
      <c r="C2076" s="20"/>
      <c r="D2076" s="19"/>
      <c r="E2076" s="26">
        <f>IF($B2076="","",IFERROR(INDEX(PecDesc,MATCH($B2076,PecCod,0)),"Peça não cadastrada"))</f>
        <v>0</v>
      </c>
      <c r="F2076" s="27">
        <f>IF($B2076="","",IF($D2076&lt;&gt;"",$D2076,IFERROR(INDEX(PecPreco,MATCH($B2076,PecCod,0)),0)))</f>
        <v>0</v>
      </c>
      <c r="G2076" s="27">
        <f>IF(OR($B2076="",$C2076=""),"",$C2076*$F2076)</f>
        <v>0</v>
      </c>
      <c r="H2076" s="27">
        <f>IF(OR($B2076="",$C2076=""),"",$C2076*IFERROR(INDEX(PecCusto,MATCH($B2076,PecCod,0)),0))</f>
        <v>0</v>
      </c>
      <c r="I2076" s="32">
        <f>IF($A2076="","",IFERROR(INDEX(OSStatus,MATCH($A2076,OSNum,0)),"OS inexistente"))</f>
        <v>0</v>
      </c>
      <c r="J2076" s="32">
        <f>IF($A2076="","",IF($I2076="OS inexistente","OS inexistente",IF($E2076="Peça não cadastrada","Peça não cadastrada","OK")))</f>
        <v>0</v>
      </c>
    </row>
    <row r="2077" spans="1:10">
      <c r="A2077" s="17"/>
      <c r="B2077" s="13"/>
      <c r="C2077" s="20"/>
      <c r="D2077" s="19"/>
      <c r="E2077" s="26">
        <f>IF($B2077="","",IFERROR(INDEX(PecDesc,MATCH($B2077,PecCod,0)),"Peça não cadastrada"))</f>
        <v>0</v>
      </c>
      <c r="F2077" s="27">
        <f>IF($B2077="","",IF($D2077&lt;&gt;"",$D2077,IFERROR(INDEX(PecPreco,MATCH($B2077,PecCod,0)),0)))</f>
        <v>0</v>
      </c>
      <c r="G2077" s="27">
        <f>IF(OR($B2077="",$C2077=""),"",$C2077*$F2077)</f>
        <v>0</v>
      </c>
      <c r="H2077" s="27">
        <f>IF(OR($B2077="",$C2077=""),"",$C2077*IFERROR(INDEX(PecCusto,MATCH($B2077,PecCod,0)),0))</f>
        <v>0</v>
      </c>
      <c r="I2077" s="32">
        <f>IF($A2077="","",IFERROR(INDEX(OSStatus,MATCH($A2077,OSNum,0)),"OS inexistente"))</f>
        <v>0</v>
      </c>
      <c r="J2077" s="32">
        <f>IF($A2077="","",IF($I2077="OS inexistente","OS inexistente",IF($E2077="Peça não cadastrada","Peça não cadastrada","OK")))</f>
        <v>0</v>
      </c>
    </row>
    <row r="2078" spans="1:10">
      <c r="A2078" s="17"/>
      <c r="B2078" s="13"/>
      <c r="C2078" s="20"/>
      <c r="D2078" s="19"/>
      <c r="E2078" s="26">
        <f>IF($B2078="","",IFERROR(INDEX(PecDesc,MATCH($B2078,PecCod,0)),"Peça não cadastrada"))</f>
        <v>0</v>
      </c>
      <c r="F2078" s="27">
        <f>IF($B2078="","",IF($D2078&lt;&gt;"",$D2078,IFERROR(INDEX(PecPreco,MATCH($B2078,PecCod,0)),0)))</f>
        <v>0</v>
      </c>
      <c r="G2078" s="27">
        <f>IF(OR($B2078="",$C2078=""),"",$C2078*$F2078)</f>
        <v>0</v>
      </c>
      <c r="H2078" s="27">
        <f>IF(OR($B2078="",$C2078=""),"",$C2078*IFERROR(INDEX(PecCusto,MATCH($B2078,PecCod,0)),0))</f>
        <v>0</v>
      </c>
      <c r="I2078" s="32">
        <f>IF($A2078="","",IFERROR(INDEX(OSStatus,MATCH($A2078,OSNum,0)),"OS inexistente"))</f>
        <v>0</v>
      </c>
      <c r="J2078" s="32">
        <f>IF($A2078="","",IF($I2078="OS inexistente","OS inexistente",IF($E2078="Peça não cadastrada","Peça não cadastrada","OK")))</f>
        <v>0</v>
      </c>
    </row>
    <row r="2079" spans="1:10">
      <c r="A2079" s="17"/>
      <c r="B2079" s="13"/>
      <c r="C2079" s="20"/>
      <c r="D2079" s="19"/>
      <c r="E2079" s="26">
        <f>IF($B2079="","",IFERROR(INDEX(PecDesc,MATCH($B2079,PecCod,0)),"Peça não cadastrada"))</f>
        <v>0</v>
      </c>
      <c r="F2079" s="27">
        <f>IF($B2079="","",IF($D2079&lt;&gt;"",$D2079,IFERROR(INDEX(PecPreco,MATCH($B2079,PecCod,0)),0)))</f>
        <v>0</v>
      </c>
      <c r="G2079" s="27">
        <f>IF(OR($B2079="",$C2079=""),"",$C2079*$F2079)</f>
        <v>0</v>
      </c>
      <c r="H2079" s="27">
        <f>IF(OR($B2079="",$C2079=""),"",$C2079*IFERROR(INDEX(PecCusto,MATCH($B2079,PecCod,0)),0))</f>
        <v>0</v>
      </c>
      <c r="I2079" s="32">
        <f>IF($A2079="","",IFERROR(INDEX(OSStatus,MATCH($A2079,OSNum,0)),"OS inexistente"))</f>
        <v>0</v>
      </c>
      <c r="J2079" s="32">
        <f>IF($A2079="","",IF($I2079="OS inexistente","OS inexistente",IF($E2079="Peça não cadastrada","Peça não cadastrada","OK")))</f>
        <v>0</v>
      </c>
    </row>
    <row r="2080" spans="1:10">
      <c r="A2080" s="17"/>
      <c r="B2080" s="13"/>
      <c r="C2080" s="20"/>
      <c r="D2080" s="19"/>
      <c r="E2080" s="26">
        <f>IF($B2080="","",IFERROR(INDEX(PecDesc,MATCH($B2080,PecCod,0)),"Peça não cadastrada"))</f>
        <v>0</v>
      </c>
      <c r="F2080" s="27">
        <f>IF($B2080="","",IF($D2080&lt;&gt;"",$D2080,IFERROR(INDEX(PecPreco,MATCH($B2080,PecCod,0)),0)))</f>
        <v>0</v>
      </c>
      <c r="G2080" s="27">
        <f>IF(OR($B2080="",$C2080=""),"",$C2080*$F2080)</f>
        <v>0</v>
      </c>
      <c r="H2080" s="27">
        <f>IF(OR($B2080="",$C2080=""),"",$C2080*IFERROR(INDEX(PecCusto,MATCH($B2080,PecCod,0)),0))</f>
        <v>0</v>
      </c>
      <c r="I2080" s="32">
        <f>IF($A2080="","",IFERROR(INDEX(OSStatus,MATCH($A2080,OSNum,0)),"OS inexistente"))</f>
        <v>0</v>
      </c>
      <c r="J2080" s="32">
        <f>IF($A2080="","",IF($I2080="OS inexistente","OS inexistente",IF($E2080="Peça não cadastrada","Peça não cadastrada","OK")))</f>
        <v>0</v>
      </c>
    </row>
    <row r="2081" spans="1:10">
      <c r="A2081" s="17"/>
      <c r="B2081" s="13"/>
      <c r="C2081" s="20"/>
      <c r="D2081" s="19"/>
      <c r="E2081" s="26">
        <f>IF($B2081="","",IFERROR(INDEX(PecDesc,MATCH($B2081,PecCod,0)),"Peça não cadastrada"))</f>
        <v>0</v>
      </c>
      <c r="F2081" s="27">
        <f>IF($B2081="","",IF($D2081&lt;&gt;"",$D2081,IFERROR(INDEX(PecPreco,MATCH($B2081,PecCod,0)),0)))</f>
        <v>0</v>
      </c>
      <c r="G2081" s="27">
        <f>IF(OR($B2081="",$C2081=""),"",$C2081*$F2081)</f>
        <v>0</v>
      </c>
      <c r="H2081" s="27">
        <f>IF(OR($B2081="",$C2081=""),"",$C2081*IFERROR(INDEX(PecCusto,MATCH($B2081,PecCod,0)),0))</f>
        <v>0</v>
      </c>
      <c r="I2081" s="32">
        <f>IF($A2081="","",IFERROR(INDEX(OSStatus,MATCH($A2081,OSNum,0)),"OS inexistente"))</f>
        <v>0</v>
      </c>
      <c r="J2081" s="32">
        <f>IF($A2081="","",IF($I2081="OS inexistente","OS inexistente",IF($E2081="Peça não cadastrada","Peça não cadastrada","OK")))</f>
        <v>0</v>
      </c>
    </row>
    <row r="2082" spans="1:10">
      <c r="A2082" s="17"/>
      <c r="B2082" s="13"/>
      <c r="C2082" s="20"/>
      <c r="D2082" s="19"/>
      <c r="E2082" s="26">
        <f>IF($B2082="","",IFERROR(INDEX(PecDesc,MATCH($B2082,PecCod,0)),"Peça não cadastrada"))</f>
        <v>0</v>
      </c>
      <c r="F2082" s="27">
        <f>IF($B2082="","",IF($D2082&lt;&gt;"",$D2082,IFERROR(INDEX(PecPreco,MATCH($B2082,PecCod,0)),0)))</f>
        <v>0</v>
      </c>
      <c r="G2082" s="27">
        <f>IF(OR($B2082="",$C2082=""),"",$C2082*$F2082)</f>
        <v>0</v>
      </c>
      <c r="H2082" s="27">
        <f>IF(OR($B2082="",$C2082=""),"",$C2082*IFERROR(INDEX(PecCusto,MATCH($B2082,PecCod,0)),0))</f>
        <v>0</v>
      </c>
      <c r="I2082" s="32">
        <f>IF($A2082="","",IFERROR(INDEX(OSStatus,MATCH($A2082,OSNum,0)),"OS inexistente"))</f>
        <v>0</v>
      </c>
      <c r="J2082" s="32">
        <f>IF($A2082="","",IF($I2082="OS inexistente","OS inexistente",IF($E2082="Peça não cadastrada","Peça não cadastrada","OK")))</f>
        <v>0</v>
      </c>
    </row>
    <row r="2083" spans="1:10">
      <c r="A2083" s="17"/>
      <c r="B2083" s="13"/>
      <c r="C2083" s="20"/>
      <c r="D2083" s="19"/>
      <c r="E2083" s="26">
        <f>IF($B2083="","",IFERROR(INDEX(PecDesc,MATCH($B2083,PecCod,0)),"Peça não cadastrada"))</f>
        <v>0</v>
      </c>
      <c r="F2083" s="27">
        <f>IF($B2083="","",IF($D2083&lt;&gt;"",$D2083,IFERROR(INDEX(PecPreco,MATCH($B2083,PecCod,0)),0)))</f>
        <v>0</v>
      </c>
      <c r="G2083" s="27">
        <f>IF(OR($B2083="",$C2083=""),"",$C2083*$F2083)</f>
        <v>0</v>
      </c>
      <c r="H2083" s="27">
        <f>IF(OR($B2083="",$C2083=""),"",$C2083*IFERROR(INDEX(PecCusto,MATCH($B2083,PecCod,0)),0))</f>
        <v>0</v>
      </c>
      <c r="I2083" s="32">
        <f>IF($A2083="","",IFERROR(INDEX(OSStatus,MATCH($A2083,OSNum,0)),"OS inexistente"))</f>
        <v>0</v>
      </c>
      <c r="J2083" s="32">
        <f>IF($A2083="","",IF($I2083="OS inexistente","OS inexistente",IF($E2083="Peça não cadastrada","Peça não cadastrada","OK")))</f>
        <v>0</v>
      </c>
    </row>
    <row r="2084" spans="1:10">
      <c r="A2084" s="17"/>
      <c r="B2084" s="13"/>
      <c r="C2084" s="20"/>
      <c r="D2084" s="19"/>
      <c r="E2084" s="26">
        <f>IF($B2084="","",IFERROR(INDEX(PecDesc,MATCH($B2084,PecCod,0)),"Peça não cadastrada"))</f>
        <v>0</v>
      </c>
      <c r="F2084" s="27">
        <f>IF($B2084="","",IF($D2084&lt;&gt;"",$D2084,IFERROR(INDEX(PecPreco,MATCH($B2084,PecCod,0)),0)))</f>
        <v>0</v>
      </c>
      <c r="G2084" s="27">
        <f>IF(OR($B2084="",$C2084=""),"",$C2084*$F2084)</f>
        <v>0</v>
      </c>
      <c r="H2084" s="27">
        <f>IF(OR($B2084="",$C2084=""),"",$C2084*IFERROR(INDEX(PecCusto,MATCH($B2084,PecCod,0)),0))</f>
        <v>0</v>
      </c>
      <c r="I2084" s="32">
        <f>IF($A2084="","",IFERROR(INDEX(OSStatus,MATCH($A2084,OSNum,0)),"OS inexistente"))</f>
        <v>0</v>
      </c>
      <c r="J2084" s="32">
        <f>IF($A2084="","",IF($I2084="OS inexistente","OS inexistente",IF($E2084="Peça não cadastrada","Peça não cadastrada","OK")))</f>
        <v>0</v>
      </c>
    </row>
    <row r="2085" spans="1:10">
      <c r="A2085" s="17"/>
      <c r="B2085" s="13"/>
      <c r="C2085" s="20"/>
      <c r="D2085" s="19"/>
      <c r="E2085" s="26">
        <f>IF($B2085="","",IFERROR(INDEX(PecDesc,MATCH($B2085,PecCod,0)),"Peça não cadastrada"))</f>
        <v>0</v>
      </c>
      <c r="F2085" s="27">
        <f>IF($B2085="","",IF($D2085&lt;&gt;"",$D2085,IFERROR(INDEX(PecPreco,MATCH($B2085,PecCod,0)),0)))</f>
        <v>0</v>
      </c>
      <c r="G2085" s="27">
        <f>IF(OR($B2085="",$C2085=""),"",$C2085*$F2085)</f>
        <v>0</v>
      </c>
      <c r="H2085" s="27">
        <f>IF(OR($B2085="",$C2085=""),"",$C2085*IFERROR(INDEX(PecCusto,MATCH($B2085,PecCod,0)),0))</f>
        <v>0</v>
      </c>
      <c r="I2085" s="32">
        <f>IF($A2085="","",IFERROR(INDEX(OSStatus,MATCH($A2085,OSNum,0)),"OS inexistente"))</f>
        <v>0</v>
      </c>
      <c r="J2085" s="32">
        <f>IF($A2085="","",IF($I2085="OS inexistente","OS inexistente",IF($E2085="Peça não cadastrada","Peça não cadastrada","OK")))</f>
        <v>0</v>
      </c>
    </row>
    <row r="2086" spans="1:10">
      <c r="A2086" s="17"/>
      <c r="B2086" s="13"/>
      <c r="C2086" s="20"/>
      <c r="D2086" s="19"/>
      <c r="E2086" s="26">
        <f>IF($B2086="","",IFERROR(INDEX(PecDesc,MATCH($B2086,PecCod,0)),"Peça não cadastrada"))</f>
        <v>0</v>
      </c>
      <c r="F2086" s="27">
        <f>IF($B2086="","",IF($D2086&lt;&gt;"",$D2086,IFERROR(INDEX(PecPreco,MATCH($B2086,PecCod,0)),0)))</f>
        <v>0</v>
      </c>
      <c r="G2086" s="27">
        <f>IF(OR($B2086="",$C2086=""),"",$C2086*$F2086)</f>
        <v>0</v>
      </c>
      <c r="H2086" s="27">
        <f>IF(OR($B2086="",$C2086=""),"",$C2086*IFERROR(INDEX(PecCusto,MATCH($B2086,PecCod,0)),0))</f>
        <v>0</v>
      </c>
      <c r="I2086" s="32">
        <f>IF($A2086="","",IFERROR(INDEX(OSStatus,MATCH($A2086,OSNum,0)),"OS inexistente"))</f>
        <v>0</v>
      </c>
      <c r="J2086" s="32">
        <f>IF($A2086="","",IF($I2086="OS inexistente","OS inexistente",IF($E2086="Peça não cadastrada","Peça não cadastrada","OK")))</f>
        <v>0</v>
      </c>
    </row>
    <row r="2087" spans="1:10">
      <c r="A2087" s="17"/>
      <c r="B2087" s="13"/>
      <c r="C2087" s="20"/>
      <c r="D2087" s="19"/>
      <c r="E2087" s="26">
        <f>IF($B2087="","",IFERROR(INDEX(PecDesc,MATCH($B2087,PecCod,0)),"Peça não cadastrada"))</f>
        <v>0</v>
      </c>
      <c r="F2087" s="27">
        <f>IF($B2087="","",IF($D2087&lt;&gt;"",$D2087,IFERROR(INDEX(PecPreco,MATCH($B2087,PecCod,0)),0)))</f>
        <v>0</v>
      </c>
      <c r="G2087" s="27">
        <f>IF(OR($B2087="",$C2087=""),"",$C2087*$F2087)</f>
        <v>0</v>
      </c>
      <c r="H2087" s="27">
        <f>IF(OR($B2087="",$C2087=""),"",$C2087*IFERROR(INDEX(PecCusto,MATCH($B2087,PecCod,0)),0))</f>
        <v>0</v>
      </c>
      <c r="I2087" s="32">
        <f>IF($A2087="","",IFERROR(INDEX(OSStatus,MATCH($A2087,OSNum,0)),"OS inexistente"))</f>
        <v>0</v>
      </c>
      <c r="J2087" s="32">
        <f>IF($A2087="","",IF($I2087="OS inexistente","OS inexistente",IF($E2087="Peça não cadastrada","Peça não cadastrada","OK")))</f>
        <v>0</v>
      </c>
    </row>
    <row r="2088" spans="1:10">
      <c r="A2088" s="17"/>
      <c r="B2088" s="13"/>
      <c r="C2088" s="20"/>
      <c r="D2088" s="19"/>
      <c r="E2088" s="26">
        <f>IF($B2088="","",IFERROR(INDEX(PecDesc,MATCH($B2088,PecCod,0)),"Peça não cadastrada"))</f>
        <v>0</v>
      </c>
      <c r="F2088" s="27">
        <f>IF($B2088="","",IF($D2088&lt;&gt;"",$D2088,IFERROR(INDEX(PecPreco,MATCH($B2088,PecCod,0)),0)))</f>
        <v>0</v>
      </c>
      <c r="G2088" s="27">
        <f>IF(OR($B2088="",$C2088=""),"",$C2088*$F2088)</f>
        <v>0</v>
      </c>
      <c r="H2088" s="27">
        <f>IF(OR($B2088="",$C2088=""),"",$C2088*IFERROR(INDEX(PecCusto,MATCH($B2088,PecCod,0)),0))</f>
        <v>0</v>
      </c>
      <c r="I2088" s="32">
        <f>IF($A2088="","",IFERROR(INDEX(OSStatus,MATCH($A2088,OSNum,0)),"OS inexistente"))</f>
        <v>0</v>
      </c>
      <c r="J2088" s="32">
        <f>IF($A2088="","",IF($I2088="OS inexistente","OS inexistente",IF($E2088="Peça não cadastrada","Peça não cadastrada","OK")))</f>
        <v>0</v>
      </c>
    </row>
    <row r="2089" spans="1:10">
      <c r="A2089" s="17"/>
      <c r="B2089" s="13"/>
      <c r="C2089" s="20"/>
      <c r="D2089" s="19"/>
      <c r="E2089" s="26">
        <f>IF($B2089="","",IFERROR(INDEX(PecDesc,MATCH($B2089,PecCod,0)),"Peça não cadastrada"))</f>
        <v>0</v>
      </c>
      <c r="F2089" s="27">
        <f>IF($B2089="","",IF($D2089&lt;&gt;"",$D2089,IFERROR(INDEX(PecPreco,MATCH($B2089,PecCod,0)),0)))</f>
        <v>0</v>
      </c>
      <c r="G2089" s="27">
        <f>IF(OR($B2089="",$C2089=""),"",$C2089*$F2089)</f>
        <v>0</v>
      </c>
      <c r="H2089" s="27">
        <f>IF(OR($B2089="",$C2089=""),"",$C2089*IFERROR(INDEX(PecCusto,MATCH($B2089,PecCod,0)),0))</f>
        <v>0</v>
      </c>
      <c r="I2089" s="32">
        <f>IF($A2089="","",IFERROR(INDEX(OSStatus,MATCH($A2089,OSNum,0)),"OS inexistente"))</f>
        <v>0</v>
      </c>
      <c r="J2089" s="32">
        <f>IF($A2089="","",IF($I2089="OS inexistente","OS inexistente",IF($E2089="Peça não cadastrada","Peça não cadastrada","OK")))</f>
        <v>0</v>
      </c>
    </row>
    <row r="2090" spans="1:10">
      <c r="A2090" s="17"/>
      <c r="B2090" s="13"/>
      <c r="C2090" s="20"/>
      <c r="D2090" s="19"/>
      <c r="E2090" s="26">
        <f>IF($B2090="","",IFERROR(INDEX(PecDesc,MATCH($B2090,PecCod,0)),"Peça não cadastrada"))</f>
        <v>0</v>
      </c>
      <c r="F2090" s="27">
        <f>IF($B2090="","",IF($D2090&lt;&gt;"",$D2090,IFERROR(INDEX(PecPreco,MATCH($B2090,PecCod,0)),0)))</f>
        <v>0</v>
      </c>
      <c r="G2090" s="27">
        <f>IF(OR($B2090="",$C2090=""),"",$C2090*$F2090)</f>
        <v>0</v>
      </c>
      <c r="H2090" s="27">
        <f>IF(OR($B2090="",$C2090=""),"",$C2090*IFERROR(INDEX(PecCusto,MATCH($B2090,PecCod,0)),0))</f>
        <v>0</v>
      </c>
      <c r="I2090" s="32">
        <f>IF($A2090="","",IFERROR(INDEX(OSStatus,MATCH($A2090,OSNum,0)),"OS inexistente"))</f>
        <v>0</v>
      </c>
      <c r="J2090" s="32">
        <f>IF($A2090="","",IF($I2090="OS inexistente","OS inexistente",IF($E2090="Peça não cadastrada","Peça não cadastrada","OK")))</f>
        <v>0</v>
      </c>
    </row>
    <row r="2091" spans="1:10">
      <c r="A2091" s="17"/>
      <c r="B2091" s="13"/>
      <c r="C2091" s="20"/>
      <c r="D2091" s="19"/>
      <c r="E2091" s="26">
        <f>IF($B2091="","",IFERROR(INDEX(PecDesc,MATCH($B2091,PecCod,0)),"Peça não cadastrada"))</f>
        <v>0</v>
      </c>
      <c r="F2091" s="27">
        <f>IF($B2091="","",IF($D2091&lt;&gt;"",$D2091,IFERROR(INDEX(PecPreco,MATCH($B2091,PecCod,0)),0)))</f>
        <v>0</v>
      </c>
      <c r="G2091" s="27">
        <f>IF(OR($B2091="",$C2091=""),"",$C2091*$F2091)</f>
        <v>0</v>
      </c>
      <c r="H2091" s="27">
        <f>IF(OR($B2091="",$C2091=""),"",$C2091*IFERROR(INDEX(PecCusto,MATCH($B2091,PecCod,0)),0))</f>
        <v>0</v>
      </c>
      <c r="I2091" s="32">
        <f>IF($A2091="","",IFERROR(INDEX(OSStatus,MATCH($A2091,OSNum,0)),"OS inexistente"))</f>
        <v>0</v>
      </c>
      <c r="J2091" s="32">
        <f>IF($A2091="","",IF($I2091="OS inexistente","OS inexistente",IF($E2091="Peça não cadastrada","Peça não cadastrada","OK")))</f>
        <v>0</v>
      </c>
    </row>
    <row r="2092" spans="1:10">
      <c r="A2092" s="17"/>
      <c r="B2092" s="13"/>
      <c r="C2092" s="20"/>
      <c r="D2092" s="19"/>
      <c r="E2092" s="26">
        <f>IF($B2092="","",IFERROR(INDEX(PecDesc,MATCH($B2092,PecCod,0)),"Peça não cadastrada"))</f>
        <v>0</v>
      </c>
      <c r="F2092" s="27">
        <f>IF($B2092="","",IF($D2092&lt;&gt;"",$D2092,IFERROR(INDEX(PecPreco,MATCH($B2092,PecCod,0)),0)))</f>
        <v>0</v>
      </c>
      <c r="G2092" s="27">
        <f>IF(OR($B2092="",$C2092=""),"",$C2092*$F2092)</f>
        <v>0</v>
      </c>
      <c r="H2092" s="27">
        <f>IF(OR($B2092="",$C2092=""),"",$C2092*IFERROR(INDEX(PecCusto,MATCH($B2092,PecCod,0)),0))</f>
        <v>0</v>
      </c>
      <c r="I2092" s="32">
        <f>IF($A2092="","",IFERROR(INDEX(OSStatus,MATCH($A2092,OSNum,0)),"OS inexistente"))</f>
        <v>0</v>
      </c>
      <c r="J2092" s="32">
        <f>IF($A2092="","",IF($I2092="OS inexistente","OS inexistente",IF($E2092="Peça não cadastrada","Peça não cadastrada","OK")))</f>
        <v>0</v>
      </c>
    </row>
    <row r="2093" spans="1:10">
      <c r="A2093" s="17"/>
      <c r="B2093" s="13"/>
      <c r="C2093" s="20"/>
      <c r="D2093" s="19"/>
      <c r="E2093" s="26">
        <f>IF($B2093="","",IFERROR(INDEX(PecDesc,MATCH($B2093,PecCod,0)),"Peça não cadastrada"))</f>
        <v>0</v>
      </c>
      <c r="F2093" s="27">
        <f>IF($B2093="","",IF($D2093&lt;&gt;"",$D2093,IFERROR(INDEX(PecPreco,MATCH($B2093,PecCod,0)),0)))</f>
        <v>0</v>
      </c>
      <c r="G2093" s="27">
        <f>IF(OR($B2093="",$C2093=""),"",$C2093*$F2093)</f>
        <v>0</v>
      </c>
      <c r="H2093" s="27">
        <f>IF(OR($B2093="",$C2093=""),"",$C2093*IFERROR(INDEX(PecCusto,MATCH($B2093,PecCod,0)),0))</f>
        <v>0</v>
      </c>
      <c r="I2093" s="32">
        <f>IF($A2093="","",IFERROR(INDEX(OSStatus,MATCH($A2093,OSNum,0)),"OS inexistente"))</f>
        <v>0</v>
      </c>
      <c r="J2093" s="32">
        <f>IF($A2093="","",IF($I2093="OS inexistente","OS inexistente",IF($E2093="Peça não cadastrada","Peça não cadastrada","OK")))</f>
        <v>0</v>
      </c>
    </row>
    <row r="2094" spans="1:10">
      <c r="A2094" s="17"/>
      <c r="B2094" s="13"/>
      <c r="C2094" s="20"/>
      <c r="D2094" s="19"/>
      <c r="E2094" s="26">
        <f>IF($B2094="","",IFERROR(INDEX(PecDesc,MATCH($B2094,PecCod,0)),"Peça não cadastrada"))</f>
        <v>0</v>
      </c>
      <c r="F2094" s="27">
        <f>IF($B2094="","",IF($D2094&lt;&gt;"",$D2094,IFERROR(INDEX(PecPreco,MATCH($B2094,PecCod,0)),0)))</f>
        <v>0</v>
      </c>
      <c r="G2094" s="27">
        <f>IF(OR($B2094="",$C2094=""),"",$C2094*$F2094)</f>
        <v>0</v>
      </c>
      <c r="H2094" s="27">
        <f>IF(OR($B2094="",$C2094=""),"",$C2094*IFERROR(INDEX(PecCusto,MATCH($B2094,PecCod,0)),0))</f>
        <v>0</v>
      </c>
      <c r="I2094" s="32">
        <f>IF($A2094="","",IFERROR(INDEX(OSStatus,MATCH($A2094,OSNum,0)),"OS inexistente"))</f>
        <v>0</v>
      </c>
      <c r="J2094" s="32">
        <f>IF($A2094="","",IF($I2094="OS inexistente","OS inexistente",IF($E2094="Peça não cadastrada","Peça não cadastrada","OK")))</f>
        <v>0</v>
      </c>
    </row>
    <row r="2095" spans="1:10">
      <c r="A2095" s="17"/>
      <c r="B2095" s="13"/>
      <c r="C2095" s="20"/>
      <c r="D2095" s="19"/>
      <c r="E2095" s="26">
        <f>IF($B2095="","",IFERROR(INDEX(PecDesc,MATCH($B2095,PecCod,0)),"Peça não cadastrada"))</f>
        <v>0</v>
      </c>
      <c r="F2095" s="27">
        <f>IF($B2095="","",IF($D2095&lt;&gt;"",$D2095,IFERROR(INDEX(PecPreco,MATCH($B2095,PecCod,0)),0)))</f>
        <v>0</v>
      </c>
      <c r="G2095" s="27">
        <f>IF(OR($B2095="",$C2095=""),"",$C2095*$F2095)</f>
        <v>0</v>
      </c>
      <c r="H2095" s="27">
        <f>IF(OR($B2095="",$C2095=""),"",$C2095*IFERROR(INDEX(PecCusto,MATCH($B2095,PecCod,0)),0))</f>
        <v>0</v>
      </c>
      <c r="I2095" s="32">
        <f>IF($A2095="","",IFERROR(INDEX(OSStatus,MATCH($A2095,OSNum,0)),"OS inexistente"))</f>
        <v>0</v>
      </c>
      <c r="J2095" s="32">
        <f>IF($A2095="","",IF($I2095="OS inexistente","OS inexistente",IF($E2095="Peça não cadastrada","Peça não cadastrada","OK")))</f>
        <v>0</v>
      </c>
    </row>
    <row r="2096" spans="1:10">
      <c r="A2096" s="17"/>
      <c r="B2096" s="13"/>
      <c r="C2096" s="20"/>
      <c r="D2096" s="19"/>
      <c r="E2096" s="26">
        <f>IF($B2096="","",IFERROR(INDEX(PecDesc,MATCH($B2096,PecCod,0)),"Peça não cadastrada"))</f>
        <v>0</v>
      </c>
      <c r="F2096" s="27">
        <f>IF($B2096="","",IF($D2096&lt;&gt;"",$D2096,IFERROR(INDEX(PecPreco,MATCH($B2096,PecCod,0)),0)))</f>
        <v>0</v>
      </c>
      <c r="G2096" s="27">
        <f>IF(OR($B2096="",$C2096=""),"",$C2096*$F2096)</f>
        <v>0</v>
      </c>
      <c r="H2096" s="27">
        <f>IF(OR($B2096="",$C2096=""),"",$C2096*IFERROR(INDEX(PecCusto,MATCH($B2096,PecCod,0)),0))</f>
        <v>0</v>
      </c>
      <c r="I2096" s="32">
        <f>IF($A2096="","",IFERROR(INDEX(OSStatus,MATCH($A2096,OSNum,0)),"OS inexistente"))</f>
        <v>0</v>
      </c>
      <c r="J2096" s="32">
        <f>IF($A2096="","",IF($I2096="OS inexistente","OS inexistente",IF($E2096="Peça não cadastrada","Peça não cadastrada","OK")))</f>
        <v>0</v>
      </c>
    </row>
    <row r="2097" spans="1:10">
      <c r="A2097" s="17"/>
      <c r="B2097" s="13"/>
      <c r="C2097" s="20"/>
      <c r="D2097" s="19"/>
      <c r="E2097" s="26">
        <f>IF($B2097="","",IFERROR(INDEX(PecDesc,MATCH($B2097,PecCod,0)),"Peça não cadastrada"))</f>
        <v>0</v>
      </c>
      <c r="F2097" s="27">
        <f>IF($B2097="","",IF($D2097&lt;&gt;"",$D2097,IFERROR(INDEX(PecPreco,MATCH($B2097,PecCod,0)),0)))</f>
        <v>0</v>
      </c>
      <c r="G2097" s="27">
        <f>IF(OR($B2097="",$C2097=""),"",$C2097*$F2097)</f>
        <v>0</v>
      </c>
      <c r="H2097" s="27">
        <f>IF(OR($B2097="",$C2097=""),"",$C2097*IFERROR(INDEX(PecCusto,MATCH($B2097,PecCod,0)),0))</f>
        <v>0</v>
      </c>
      <c r="I2097" s="32">
        <f>IF($A2097="","",IFERROR(INDEX(OSStatus,MATCH($A2097,OSNum,0)),"OS inexistente"))</f>
        <v>0</v>
      </c>
      <c r="J2097" s="32">
        <f>IF($A2097="","",IF($I2097="OS inexistente","OS inexistente",IF($E2097="Peça não cadastrada","Peça não cadastrada","OK")))</f>
        <v>0</v>
      </c>
    </row>
    <row r="2098" spans="1:10">
      <c r="A2098" s="17"/>
      <c r="B2098" s="13"/>
      <c r="C2098" s="20"/>
      <c r="D2098" s="19"/>
      <c r="E2098" s="26">
        <f>IF($B2098="","",IFERROR(INDEX(PecDesc,MATCH($B2098,PecCod,0)),"Peça não cadastrada"))</f>
        <v>0</v>
      </c>
      <c r="F2098" s="27">
        <f>IF($B2098="","",IF($D2098&lt;&gt;"",$D2098,IFERROR(INDEX(PecPreco,MATCH($B2098,PecCod,0)),0)))</f>
        <v>0</v>
      </c>
      <c r="G2098" s="27">
        <f>IF(OR($B2098="",$C2098=""),"",$C2098*$F2098)</f>
        <v>0</v>
      </c>
      <c r="H2098" s="27">
        <f>IF(OR($B2098="",$C2098=""),"",$C2098*IFERROR(INDEX(PecCusto,MATCH($B2098,PecCod,0)),0))</f>
        <v>0</v>
      </c>
      <c r="I2098" s="32">
        <f>IF($A2098="","",IFERROR(INDEX(OSStatus,MATCH($A2098,OSNum,0)),"OS inexistente"))</f>
        <v>0</v>
      </c>
      <c r="J2098" s="32">
        <f>IF($A2098="","",IF($I2098="OS inexistente","OS inexistente",IF($E2098="Peça não cadastrada","Peça não cadastrada","OK")))</f>
        <v>0</v>
      </c>
    </row>
    <row r="2099" spans="1:10">
      <c r="A2099" s="17"/>
      <c r="B2099" s="13"/>
      <c r="C2099" s="20"/>
      <c r="D2099" s="19"/>
      <c r="E2099" s="26">
        <f>IF($B2099="","",IFERROR(INDEX(PecDesc,MATCH($B2099,PecCod,0)),"Peça não cadastrada"))</f>
        <v>0</v>
      </c>
      <c r="F2099" s="27">
        <f>IF($B2099="","",IF($D2099&lt;&gt;"",$D2099,IFERROR(INDEX(PecPreco,MATCH($B2099,PecCod,0)),0)))</f>
        <v>0</v>
      </c>
      <c r="G2099" s="27">
        <f>IF(OR($B2099="",$C2099=""),"",$C2099*$F2099)</f>
        <v>0</v>
      </c>
      <c r="H2099" s="27">
        <f>IF(OR($B2099="",$C2099=""),"",$C2099*IFERROR(INDEX(PecCusto,MATCH($B2099,PecCod,0)),0))</f>
        <v>0</v>
      </c>
      <c r="I2099" s="32">
        <f>IF($A2099="","",IFERROR(INDEX(OSStatus,MATCH($A2099,OSNum,0)),"OS inexistente"))</f>
        <v>0</v>
      </c>
      <c r="J2099" s="32">
        <f>IF($A2099="","",IF($I2099="OS inexistente","OS inexistente",IF($E2099="Peça não cadastrada","Peça não cadastrada","OK")))</f>
        <v>0</v>
      </c>
    </row>
    <row r="2100" spans="1:10">
      <c r="A2100" s="17"/>
      <c r="B2100" s="13"/>
      <c r="C2100" s="20"/>
      <c r="D2100" s="19"/>
      <c r="E2100" s="26">
        <f>IF($B2100="","",IFERROR(INDEX(PecDesc,MATCH($B2100,PecCod,0)),"Peça não cadastrada"))</f>
        <v>0</v>
      </c>
      <c r="F2100" s="27">
        <f>IF($B2100="","",IF($D2100&lt;&gt;"",$D2100,IFERROR(INDEX(PecPreco,MATCH($B2100,PecCod,0)),0)))</f>
        <v>0</v>
      </c>
      <c r="G2100" s="27">
        <f>IF(OR($B2100="",$C2100=""),"",$C2100*$F2100)</f>
        <v>0</v>
      </c>
      <c r="H2100" s="27">
        <f>IF(OR($B2100="",$C2100=""),"",$C2100*IFERROR(INDEX(PecCusto,MATCH($B2100,PecCod,0)),0))</f>
        <v>0</v>
      </c>
      <c r="I2100" s="32">
        <f>IF($A2100="","",IFERROR(INDEX(OSStatus,MATCH($A2100,OSNum,0)),"OS inexistente"))</f>
        <v>0</v>
      </c>
      <c r="J2100" s="32">
        <f>IF($A2100="","",IF($I2100="OS inexistente","OS inexistente",IF($E2100="Peça não cadastrada","Peça não cadastrada","OK")))</f>
        <v>0</v>
      </c>
    </row>
    <row r="2101" spans="1:10">
      <c r="A2101" s="17"/>
      <c r="B2101" s="13"/>
      <c r="C2101" s="20"/>
      <c r="D2101" s="19"/>
      <c r="E2101" s="26">
        <f>IF($B2101="","",IFERROR(INDEX(PecDesc,MATCH($B2101,PecCod,0)),"Peça não cadastrada"))</f>
        <v>0</v>
      </c>
      <c r="F2101" s="27">
        <f>IF($B2101="","",IF($D2101&lt;&gt;"",$D2101,IFERROR(INDEX(PecPreco,MATCH($B2101,PecCod,0)),0)))</f>
        <v>0</v>
      </c>
      <c r="G2101" s="27">
        <f>IF(OR($B2101="",$C2101=""),"",$C2101*$F2101)</f>
        <v>0</v>
      </c>
      <c r="H2101" s="27">
        <f>IF(OR($B2101="",$C2101=""),"",$C2101*IFERROR(INDEX(PecCusto,MATCH($B2101,PecCod,0)),0))</f>
        <v>0</v>
      </c>
      <c r="I2101" s="32">
        <f>IF($A2101="","",IFERROR(INDEX(OSStatus,MATCH($A2101,OSNum,0)),"OS inexistente"))</f>
        <v>0</v>
      </c>
      <c r="J2101" s="32">
        <f>IF($A2101="","",IF($I2101="OS inexistente","OS inexistente",IF($E2101="Peça não cadastrada","Peça não cadastrada","OK")))</f>
        <v>0</v>
      </c>
    </row>
    <row r="2102" spans="1:10">
      <c r="A2102" s="17"/>
      <c r="B2102" s="13"/>
      <c r="C2102" s="20"/>
      <c r="D2102" s="19"/>
      <c r="E2102" s="26">
        <f>IF($B2102="","",IFERROR(INDEX(PecDesc,MATCH($B2102,PecCod,0)),"Peça não cadastrada"))</f>
        <v>0</v>
      </c>
      <c r="F2102" s="27">
        <f>IF($B2102="","",IF($D2102&lt;&gt;"",$D2102,IFERROR(INDEX(PecPreco,MATCH($B2102,PecCod,0)),0)))</f>
        <v>0</v>
      </c>
      <c r="G2102" s="27">
        <f>IF(OR($B2102="",$C2102=""),"",$C2102*$F2102)</f>
        <v>0</v>
      </c>
      <c r="H2102" s="27">
        <f>IF(OR($B2102="",$C2102=""),"",$C2102*IFERROR(INDEX(PecCusto,MATCH($B2102,PecCod,0)),0))</f>
        <v>0</v>
      </c>
      <c r="I2102" s="32">
        <f>IF($A2102="","",IFERROR(INDEX(OSStatus,MATCH($A2102,OSNum,0)),"OS inexistente"))</f>
        <v>0</v>
      </c>
      <c r="J2102" s="32">
        <f>IF($A2102="","",IF($I2102="OS inexistente","OS inexistente",IF($E2102="Peça não cadastrada","Peça não cadastrada","OK")))</f>
        <v>0</v>
      </c>
    </row>
    <row r="2103" spans="1:10">
      <c r="A2103" s="17"/>
      <c r="B2103" s="13"/>
      <c r="C2103" s="20"/>
      <c r="D2103" s="19"/>
      <c r="E2103" s="26">
        <f>IF($B2103="","",IFERROR(INDEX(PecDesc,MATCH($B2103,PecCod,0)),"Peça não cadastrada"))</f>
        <v>0</v>
      </c>
      <c r="F2103" s="27">
        <f>IF($B2103="","",IF($D2103&lt;&gt;"",$D2103,IFERROR(INDEX(PecPreco,MATCH($B2103,PecCod,0)),0)))</f>
        <v>0</v>
      </c>
      <c r="G2103" s="27">
        <f>IF(OR($B2103="",$C2103=""),"",$C2103*$F2103)</f>
        <v>0</v>
      </c>
      <c r="H2103" s="27">
        <f>IF(OR($B2103="",$C2103=""),"",$C2103*IFERROR(INDEX(PecCusto,MATCH($B2103,PecCod,0)),0))</f>
        <v>0</v>
      </c>
      <c r="I2103" s="32">
        <f>IF($A2103="","",IFERROR(INDEX(OSStatus,MATCH($A2103,OSNum,0)),"OS inexistente"))</f>
        <v>0</v>
      </c>
      <c r="J2103" s="32">
        <f>IF($A2103="","",IF($I2103="OS inexistente","OS inexistente",IF($E2103="Peça não cadastrada","Peça não cadastrada","OK")))</f>
        <v>0</v>
      </c>
    </row>
    <row r="2104" spans="1:10">
      <c r="A2104" s="17"/>
      <c r="B2104" s="13"/>
      <c r="C2104" s="20"/>
      <c r="D2104" s="19"/>
      <c r="E2104" s="26">
        <f>IF($B2104="","",IFERROR(INDEX(PecDesc,MATCH($B2104,PecCod,0)),"Peça não cadastrada"))</f>
        <v>0</v>
      </c>
      <c r="F2104" s="27">
        <f>IF($B2104="","",IF($D2104&lt;&gt;"",$D2104,IFERROR(INDEX(PecPreco,MATCH($B2104,PecCod,0)),0)))</f>
        <v>0</v>
      </c>
      <c r="G2104" s="27">
        <f>IF(OR($B2104="",$C2104=""),"",$C2104*$F2104)</f>
        <v>0</v>
      </c>
      <c r="H2104" s="27">
        <f>IF(OR($B2104="",$C2104=""),"",$C2104*IFERROR(INDEX(PecCusto,MATCH($B2104,PecCod,0)),0))</f>
        <v>0</v>
      </c>
      <c r="I2104" s="32">
        <f>IF($A2104="","",IFERROR(INDEX(OSStatus,MATCH($A2104,OSNum,0)),"OS inexistente"))</f>
        <v>0</v>
      </c>
      <c r="J2104" s="32">
        <f>IF($A2104="","",IF($I2104="OS inexistente","OS inexistente",IF($E2104="Peça não cadastrada","Peça não cadastrada","OK")))</f>
        <v>0</v>
      </c>
    </row>
    <row r="2105" spans="1:10">
      <c r="A2105" s="17"/>
      <c r="B2105" s="13"/>
      <c r="C2105" s="20"/>
      <c r="D2105" s="19"/>
      <c r="E2105" s="26">
        <f>IF($B2105="","",IFERROR(INDEX(PecDesc,MATCH($B2105,PecCod,0)),"Peça não cadastrada"))</f>
        <v>0</v>
      </c>
      <c r="F2105" s="27">
        <f>IF($B2105="","",IF($D2105&lt;&gt;"",$D2105,IFERROR(INDEX(PecPreco,MATCH($B2105,PecCod,0)),0)))</f>
        <v>0</v>
      </c>
      <c r="G2105" s="27">
        <f>IF(OR($B2105="",$C2105=""),"",$C2105*$F2105)</f>
        <v>0</v>
      </c>
      <c r="H2105" s="27">
        <f>IF(OR($B2105="",$C2105=""),"",$C2105*IFERROR(INDEX(PecCusto,MATCH($B2105,PecCod,0)),0))</f>
        <v>0</v>
      </c>
      <c r="I2105" s="32">
        <f>IF($A2105="","",IFERROR(INDEX(OSStatus,MATCH($A2105,OSNum,0)),"OS inexistente"))</f>
        <v>0</v>
      </c>
      <c r="J2105" s="32">
        <f>IF($A2105="","",IF($I2105="OS inexistente","OS inexistente",IF($E2105="Peça não cadastrada","Peça não cadastrada","OK")))</f>
        <v>0</v>
      </c>
    </row>
    <row r="2106" spans="1:10">
      <c r="A2106" s="17"/>
      <c r="B2106" s="13"/>
      <c r="C2106" s="20"/>
      <c r="D2106" s="19"/>
      <c r="E2106" s="26">
        <f>IF($B2106="","",IFERROR(INDEX(PecDesc,MATCH($B2106,PecCod,0)),"Peça não cadastrada"))</f>
        <v>0</v>
      </c>
      <c r="F2106" s="27">
        <f>IF($B2106="","",IF($D2106&lt;&gt;"",$D2106,IFERROR(INDEX(PecPreco,MATCH($B2106,PecCod,0)),0)))</f>
        <v>0</v>
      </c>
      <c r="G2106" s="27">
        <f>IF(OR($B2106="",$C2106=""),"",$C2106*$F2106)</f>
        <v>0</v>
      </c>
      <c r="H2106" s="27">
        <f>IF(OR($B2106="",$C2106=""),"",$C2106*IFERROR(INDEX(PecCusto,MATCH($B2106,PecCod,0)),0))</f>
        <v>0</v>
      </c>
      <c r="I2106" s="32">
        <f>IF($A2106="","",IFERROR(INDEX(OSStatus,MATCH($A2106,OSNum,0)),"OS inexistente"))</f>
        <v>0</v>
      </c>
      <c r="J2106" s="32">
        <f>IF($A2106="","",IF($I2106="OS inexistente","OS inexistente",IF($E2106="Peça não cadastrada","Peça não cadastrada","OK")))</f>
        <v>0</v>
      </c>
    </row>
    <row r="2107" spans="1:10">
      <c r="A2107" s="17"/>
      <c r="B2107" s="13"/>
      <c r="C2107" s="20"/>
      <c r="D2107" s="19"/>
      <c r="E2107" s="26">
        <f>IF($B2107="","",IFERROR(INDEX(PecDesc,MATCH($B2107,PecCod,0)),"Peça não cadastrada"))</f>
        <v>0</v>
      </c>
      <c r="F2107" s="27">
        <f>IF($B2107="","",IF($D2107&lt;&gt;"",$D2107,IFERROR(INDEX(PecPreco,MATCH($B2107,PecCod,0)),0)))</f>
        <v>0</v>
      </c>
      <c r="G2107" s="27">
        <f>IF(OR($B2107="",$C2107=""),"",$C2107*$F2107)</f>
        <v>0</v>
      </c>
      <c r="H2107" s="27">
        <f>IF(OR($B2107="",$C2107=""),"",$C2107*IFERROR(INDEX(PecCusto,MATCH($B2107,PecCod,0)),0))</f>
        <v>0</v>
      </c>
      <c r="I2107" s="32">
        <f>IF($A2107="","",IFERROR(INDEX(OSStatus,MATCH($A2107,OSNum,0)),"OS inexistente"))</f>
        <v>0</v>
      </c>
      <c r="J2107" s="32">
        <f>IF($A2107="","",IF($I2107="OS inexistente","OS inexistente",IF($E2107="Peça não cadastrada","Peça não cadastrada","OK")))</f>
        <v>0</v>
      </c>
    </row>
    <row r="2108" spans="1:10">
      <c r="A2108" s="17"/>
      <c r="B2108" s="13"/>
      <c r="C2108" s="20"/>
      <c r="D2108" s="19"/>
      <c r="E2108" s="26">
        <f>IF($B2108="","",IFERROR(INDEX(PecDesc,MATCH($B2108,PecCod,0)),"Peça não cadastrada"))</f>
        <v>0</v>
      </c>
      <c r="F2108" s="27">
        <f>IF($B2108="","",IF($D2108&lt;&gt;"",$D2108,IFERROR(INDEX(PecPreco,MATCH($B2108,PecCod,0)),0)))</f>
        <v>0</v>
      </c>
      <c r="G2108" s="27">
        <f>IF(OR($B2108="",$C2108=""),"",$C2108*$F2108)</f>
        <v>0</v>
      </c>
      <c r="H2108" s="27">
        <f>IF(OR($B2108="",$C2108=""),"",$C2108*IFERROR(INDEX(PecCusto,MATCH($B2108,PecCod,0)),0))</f>
        <v>0</v>
      </c>
      <c r="I2108" s="32">
        <f>IF($A2108="","",IFERROR(INDEX(OSStatus,MATCH($A2108,OSNum,0)),"OS inexistente"))</f>
        <v>0</v>
      </c>
      <c r="J2108" s="32">
        <f>IF($A2108="","",IF($I2108="OS inexistente","OS inexistente",IF($E2108="Peça não cadastrada","Peça não cadastrada","OK")))</f>
        <v>0</v>
      </c>
    </row>
    <row r="2109" spans="1:10">
      <c r="A2109" s="17"/>
      <c r="B2109" s="13"/>
      <c r="C2109" s="20"/>
      <c r="D2109" s="19"/>
      <c r="E2109" s="26">
        <f>IF($B2109="","",IFERROR(INDEX(PecDesc,MATCH($B2109,PecCod,0)),"Peça não cadastrada"))</f>
        <v>0</v>
      </c>
      <c r="F2109" s="27">
        <f>IF($B2109="","",IF($D2109&lt;&gt;"",$D2109,IFERROR(INDEX(PecPreco,MATCH($B2109,PecCod,0)),0)))</f>
        <v>0</v>
      </c>
      <c r="G2109" s="27">
        <f>IF(OR($B2109="",$C2109=""),"",$C2109*$F2109)</f>
        <v>0</v>
      </c>
      <c r="H2109" s="27">
        <f>IF(OR($B2109="",$C2109=""),"",$C2109*IFERROR(INDEX(PecCusto,MATCH($B2109,PecCod,0)),0))</f>
        <v>0</v>
      </c>
      <c r="I2109" s="32">
        <f>IF($A2109="","",IFERROR(INDEX(OSStatus,MATCH($A2109,OSNum,0)),"OS inexistente"))</f>
        <v>0</v>
      </c>
      <c r="J2109" s="32">
        <f>IF($A2109="","",IF($I2109="OS inexistente","OS inexistente",IF($E2109="Peça não cadastrada","Peça não cadastrada","OK")))</f>
        <v>0</v>
      </c>
    </row>
    <row r="2110" spans="1:10">
      <c r="A2110" s="17"/>
      <c r="B2110" s="13"/>
      <c r="C2110" s="20"/>
      <c r="D2110" s="19"/>
      <c r="E2110" s="26">
        <f>IF($B2110="","",IFERROR(INDEX(PecDesc,MATCH($B2110,PecCod,0)),"Peça não cadastrada"))</f>
        <v>0</v>
      </c>
      <c r="F2110" s="27">
        <f>IF($B2110="","",IF($D2110&lt;&gt;"",$D2110,IFERROR(INDEX(PecPreco,MATCH($B2110,PecCod,0)),0)))</f>
        <v>0</v>
      </c>
      <c r="G2110" s="27">
        <f>IF(OR($B2110="",$C2110=""),"",$C2110*$F2110)</f>
        <v>0</v>
      </c>
      <c r="H2110" s="27">
        <f>IF(OR($B2110="",$C2110=""),"",$C2110*IFERROR(INDEX(PecCusto,MATCH($B2110,PecCod,0)),0))</f>
        <v>0</v>
      </c>
      <c r="I2110" s="32">
        <f>IF($A2110="","",IFERROR(INDEX(OSStatus,MATCH($A2110,OSNum,0)),"OS inexistente"))</f>
        <v>0</v>
      </c>
      <c r="J2110" s="32">
        <f>IF($A2110="","",IF($I2110="OS inexistente","OS inexistente",IF($E2110="Peça não cadastrada","Peça não cadastrada","OK")))</f>
        <v>0</v>
      </c>
    </row>
    <row r="2111" spans="1:10">
      <c r="A2111" s="17"/>
      <c r="B2111" s="13"/>
      <c r="C2111" s="20"/>
      <c r="D2111" s="19"/>
      <c r="E2111" s="26">
        <f>IF($B2111="","",IFERROR(INDEX(PecDesc,MATCH($B2111,PecCod,0)),"Peça não cadastrada"))</f>
        <v>0</v>
      </c>
      <c r="F2111" s="27">
        <f>IF($B2111="","",IF($D2111&lt;&gt;"",$D2111,IFERROR(INDEX(PecPreco,MATCH($B2111,PecCod,0)),0)))</f>
        <v>0</v>
      </c>
      <c r="G2111" s="27">
        <f>IF(OR($B2111="",$C2111=""),"",$C2111*$F2111)</f>
        <v>0</v>
      </c>
      <c r="H2111" s="27">
        <f>IF(OR($B2111="",$C2111=""),"",$C2111*IFERROR(INDEX(PecCusto,MATCH($B2111,PecCod,0)),0))</f>
        <v>0</v>
      </c>
      <c r="I2111" s="32">
        <f>IF($A2111="","",IFERROR(INDEX(OSStatus,MATCH($A2111,OSNum,0)),"OS inexistente"))</f>
        <v>0</v>
      </c>
      <c r="J2111" s="32">
        <f>IF($A2111="","",IF($I2111="OS inexistente","OS inexistente",IF($E2111="Peça não cadastrada","Peça não cadastrada","OK")))</f>
        <v>0</v>
      </c>
    </row>
    <row r="2112" spans="1:10">
      <c r="A2112" s="17"/>
      <c r="B2112" s="13"/>
      <c r="C2112" s="20"/>
      <c r="D2112" s="19"/>
      <c r="E2112" s="26">
        <f>IF($B2112="","",IFERROR(INDEX(PecDesc,MATCH($B2112,PecCod,0)),"Peça não cadastrada"))</f>
        <v>0</v>
      </c>
      <c r="F2112" s="27">
        <f>IF($B2112="","",IF($D2112&lt;&gt;"",$D2112,IFERROR(INDEX(PecPreco,MATCH($B2112,PecCod,0)),0)))</f>
        <v>0</v>
      </c>
      <c r="G2112" s="27">
        <f>IF(OR($B2112="",$C2112=""),"",$C2112*$F2112)</f>
        <v>0</v>
      </c>
      <c r="H2112" s="27">
        <f>IF(OR($B2112="",$C2112=""),"",$C2112*IFERROR(INDEX(PecCusto,MATCH($B2112,PecCod,0)),0))</f>
        <v>0</v>
      </c>
      <c r="I2112" s="32">
        <f>IF($A2112="","",IFERROR(INDEX(OSStatus,MATCH($A2112,OSNum,0)),"OS inexistente"))</f>
        <v>0</v>
      </c>
      <c r="J2112" s="32">
        <f>IF($A2112="","",IF($I2112="OS inexistente","OS inexistente",IF($E2112="Peça não cadastrada","Peça não cadastrada","OK")))</f>
        <v>0</v>
      </c>
    </row>
    <row r="2113" spans="1:10">
      <c r="A2113" s="17"/>
      <c r="B2113" s="13"/>
      <c r="C2113" s="20"/>
      <c r="D2113" s="19"/>
      <c r="E2113" s="26">
        <f>IF($B2113="","",IFERROR(INDEX(PecDesc,MATCH($B2113,PecCod,0)),"Peça não cadastrada"))</f>
        <v>0</v>
      </c>
      <c r="F2113" s="27">
        <f>IF($B2113="","",IF($D2113&lt;&gt;"",$D2113,IFERROR(INDEX(PecPreco,MATCH($B2113,PecCod,0)),0)))</f>
        <v>0</v>
      </c>
      <c r="G2113" s="27">
        <f>IF(OR($B2113="",$C2113=""),"",$C2113*$F2113)</f>
        <v>0</v>
      </c>
      <c r="H2113" s="27">
        <f>IF(OR($B2113="",$C2113=""),"",$C2113*IFERROR(INDEX(PecCusto,MATCH($B2113,PecCod,0)),0))</f>
        <v>0</v>
      </c>
      <c r="I2113" s="32">
        <f>IF($A2113="","",IFERROR(INDEX(OSStatus,MATCH($A2113,OSNum,0)),"OS inexistente"))</f>
        <v>0</v>
      </c>
      <c r="J2113" s="32">
        <f>IF($A2113="","",IF($I2113="OS inexistente","OS inexistente",IF($E2113="Peça não cadastrada","Peça não cadastrada","OK")))</f>
        <v>0</v>
      </c>
    </row>
    <row r="2114" spans="1:10">
      <c r="A2114" s="17"/>
      <c r="B2114" s="13"/>
      <c r="C2114" s="20"/>
      <c r="D2114" s="19"/>
      <c r="E2114" s="26">
        <f>IF($B2114="","",IFERROR(INDEX(PecDesc,MATCH($B2114,PecCod,0)),"Peça não cadastrada"))</f>
        <v>0</v>
      </c>
      <c r="F2114" s="27">
        <f>IF($B2114="","",IF($D2114&lt;&gt;"",$D2114,IFERROR(INDEX(PecPreco,MATCH($B2114,PecCod,0)),0)))</f>
        <v>0</v>
      </c>
      <c r="G2114" s="27">
        <f>IF(OR($B2114="",$C2114=""),"",$C2114*$F2114)</f>
        <v>0</v>
      </c>
      <c r="H2114" s="27">
        <f>IF(OR($B2114="",$C2114=""),"",$C2114*IFERROR(INDEX(PecCusto,MATCH($B2114,PecCod,0)),0))</f>
        <v>0</v>
      </c>
      <c r="I2114" s="32">
        <f>IF($A2114="","",IFERROR(INDEX(OSStatus,MATCH($A2114,OSNum,0)),"OS inexistente"))</f>
        <v>0</v>
      </c>
      <c r="J2114" s="32">
        <f>IF($A2114="","",IF($I2114="OS inexistente","OS inexistente",IF($E2114="Peça não cadastrada","Peça não cadastrada","OK")))</f>
        <v>0</v>
      </c>
    </row>
    <row r="2115" spans="1:10">
      <c r="A2115" s="17"/>
      <c r="B2115" s="13"/>
      <c r="C2115" s="20"/>
      <c r="D2115" s="19"/>
      <c r="E2115" s="26">
        <f>IF($B2115="","",IFERROR(INDEX(PecDesc,MATCH($B2115,PecCod,0)),"Peça não cadastrada"))</f>
        <v>0</v>
      </c>
      <c r="F2115" s="27">
        <f>IF($B2115="","",IF($D2115&lt;&gt;"",$D2115,IFERROR(INDEX(PecPreco,MATCH($B2115,PecCod,0)),0)))</f>
        <v>0</v>
      </c>
      <c r="G2115" s="27">
        <f>IF(OR($B2115="",$C2115=""),"",$C2115*$F2115)</f>
        <v>0</v>
      </c>
      <c r="H2115" s="27">
        <f>IF(OR($B2115="",$C2115=""),"",$C2115*IFERROR(INDEX(PecCusto,MATCH($B2115,PecCod,0)),0))</f>
        <v>0</v>
      </c>
      <c r="I2115" s="32">
        <f>IF($A2115="","",IFERROR(INDEX(OSStatus,MATCH($A2115,OSNum,0)),"OS inexistente"))</f>
        <v>0</v>
      </c>
      <c r="J2115" s="32">
        <f>IF($A2115="","",IF($I2115="OS inexistente","OS inexistente",IF($E2115="Peça não cadastrada","Peça não cadastrada","OK")))</f>
        <v>0</v>
      </c>
    </row>
    <row r="2116" spans="1:10">
      <c r="A2116" s="17"/>
      <c r="B2116" s="13"/>
      <c r="C2116" s="20"/>
      <c r="D2116" s="19"/>
      <c r="E2116" s="26">
        <f>IF($B2116="","",IFERROR(INDEX(PecDesc,MATCH($B2116,PecCod,0)),"Peça não cadastrada"))</f>
        <v>0</v>
      </c>
      <c r="F2116" s="27">
        <f>IF($B2116="","",IF($D2116&lt;&gt;"",$D2116,IFERROR(INDEX(PecPreco,MATCH($B2116,PecCod,0)),0)))</f>
        <v>0</v>
      </c>
      <c r="G2116" s="27">
        <f>IF(OR($B2116="",$C2116=""),"",$C2116*$F2116)</f>
        <v>0</v>
      </c>
      <c r="H2116" s="27">
        <f>IF(OR($B2116="",$C2116=""),"",$C2116*IFERROR(INDEX(PecCusto,MATCH($B2116,PecCod,0)),0))</f>
        <v>0</v>
      </c>
      <c r="I2116" s="32">
        <f>IF($A2116="","",IFERROR(INDEX(OSStatus,MATCH($A2116,OSNum,0)),"OS inexistente"))</f>
        <v>0</v>
      </c>
      <c r="J2116" s="32">
        <f>IF($A2116="","",IF($I2116="OS inexistente","OS inexistente",IF($E2116="Peça não cadastrada","Peça não cadastrada","OK")))</f>
        <v>0</v>
      </c>
    </row>
    <row r="2117" spans="1:10">
      <c r="A2117" s="17"/>
      <c r="B2117" s="13"/>
      <c r="C2117" s="20"/>
      <c r="D2117" s="19"/>
      <c r="E2117" s="26">
        <f>IF($B2117="","",IFERROR(INDEX(PecDesc,MATCH($B2117,PecCod,0)),"Peça não cadastrada"))</f>
        <v>0</v>
      </c>
      <c r="F2117" s="27">
        <f>IF($B2117="","",IF($D2117&lt;&gt;"",$D2117,IFERROR(INDEX(PecPreco,MATCH($B2117,PecCod,0)),0)))</f>
        <v>0</v>
      </c>
      <c r="G2117" s="27">
        <f>IF(OR($B2117="",$C2117=""),"",$C2117*$F2117)</f>
        <v>0</v>
      </c>
      <c r="H2117" s="27">
        <f>IF(OR($B2117="",$C2117=""),"",$C2117*IFERROR(INDEX(PecCusto,MATCH($B2117,PecCod,0)),0))</f>
        <v>0</v>
      </c>
      <c r="I2117" s="32">
        <f>IF($A2117="","",IFERROR(INDEX(OSStatus,MATCH($A2117,OSNum,0)),"OS inexistente"))</f>
        <v>0</v>
      </c>
      <c r="J2117" s="32">
        <f>IF($A2117="","",IF($I2117="OS inexistente","OS inexistente",IF($E2117="Peça não cadastrada","Peça não cadastrada","OK")))</f>
        <v>0</v>
      </c>
    </row>
    <row r="2118" spans="1:10">
      <c r="A2118" s="17"/>
      <c r="B2118" s="13"/>
      <c r="C2118" s="20"/>
      <c r="D2118" s="19"/>
      <c r="E2118" s="26">
        <f>IF($B2118="","",IFERROR(INDEX(PecDesc,MATCH($B2118,PecCod,0)),"Peça não cadastrada"))</f>
        <v>0</v>
      </c>
      <c r="F2118" s="27">
        <f>IF($B2118="","",IF($D2118&lt;&gt;"",$D2118,IFERROR(INDEX(PecPreco,MATCH($B2118,PecCod,0)),0)))</f>
        <v>0</v>
      </c>
      <c r="G2118" s="27">
        <f>IF(OR($B2118="",$C2118=""),"",$C2118*$F2118)</f>
        <v>0</v>
      </c>
      <c r="H2118" s="27">
        <f>IF(OR($B2118="",$C2118=""),"",$C2118*IFERROR(INDEX(PecCusto,MATCH($B2118,PecCod,0)),0))</f>
        <v>0</v>
      </c>
      <c r="I2118" s="32">
        <f>IF($A2118="","",IFERROR(INDEX(OSStatus,MATCH($A2118,OSNum,0)),"OS inexistente"))</f>
        <v>0</v>
      </c>
      <c r="J2118" s="32">
        <f>IF($A2118="","",IF($I2118="OS inexistente","OS inexistente",IF($E2118="Peça não cadastrada","Peça não cadastrada","OK")))</f>
        <v>0</v>
      </c>
    </row>
    <row r="2119" spans="1:10">
      <c r="A2119" s="17"/>
      <c r="B2119" s="13"/>
      <c r="C2119" s="20"/>
      <c r="D2119" s="19"/>
      <c r="E2119" s="26">
        <f>IF($B2119="","",IFERROR(INDEX(PecDesc,MATCH($B2119,PecCod,0)),"Peça não cadastrada"))</f>
        <v>0</v>
      </c>
      <c r="F2119" s="27">
        <f>IF($B2119="","",IF($D2119&lt;&gt;"",$D2119,IFERROR(INDEX(PecPreco,MATCH($B2119,PecCod,0)),0)))</f>
        <v>0</v>
      </c>
      <c r="G2119" s="27">
        <f>IF(OR($B2119="",$C2119=""),"",$C2119*$F2119)</f>
        <v>0</v>
      </c>
      <c r="H2119" s="27">
        <f>IF(OR($B2119="",$C2119=""),"",$C2119*IFERROR(INDEX(PecCusto,MATCH($B2119,PecCod,0)),0))</f>
        <v>0</v>
      </c>
      <c r="I2119" s="32">
        <f>IF($A2119="","",IFERROR(INDEX(OSStatus,MATCH($A2119,OSNum,0)),"OS inexistente"))</f>
        <v>0</v>
      </c>
      <c r="J2119" s="32">
        <f>IF($A2119="","",IF($I2119="OS inexistente","OS inexistente",IF($E2119="Peça não cadastrada","Peça não cadastrada","OK")))</f>
        <v>0</v>
      </c>
    </row>
    <row r="2120" spans="1:10">
      <c r="A2120" s="17"/>
      <c r="B2120" s="13"/>
      <c r="C2120" s="20"/>
      <c r="D2120" s="19"/>
      <c r="E2120" s="26">
        <f>IF($B2120="","",IFERROR(INDEX(PecDesc,MATCH($B2120,PecCod,0)),"Peça não cadastrada"))</f>
        <v>0</v>
      </c>
      <c r="F2120" s="27">
        <f>IF($B2120="","",IF($D2120&lt;&gt;"",$D2120,IFERROR(INDEX(PecPreco,MATCH($B2120,PecCod,0)),0)))</f>
        <v>0</v>
      </c>
      <c r="G2120" s="27">
        <f>IF(OR($B2120="",$C2120=""),"",$C2120*$F2120)</f>
        <v>0</v>
      </c>
      <c r="H2120" s="27">
        <f>IF(OR($B2120="",$C2120=""),"",$C2120*IFERROR(INDEX(PecCusto,MATCH($B2120,PecCod,0)),0))</f>
        <v>0</v>
      </c>
      <c r="I2120" s="32">
        <f>IF($A2120="","",IFERROR(INDEX(OSStatus,MATCH($A2120,OSNum,0)),"OS inexistente"))</f>
        <v>0</v>
      </c>
      <c r="J2120" s="32">
        <f>IF($A2120="","",IF($I2120="OS inexistente","OS inexistente",IF($E2120="Peça não cadastrada","Peça não cadastrada","OK")))</f>
        <v>0</v>
      </c>
    </row>
    <row r="2121" spans="1:10">
      <c r="A2121" s="17"/>
      <c r="B2121" s="13"/>
      <c r="C2121" s="20"/>
      <c r="D2121" s="19"/>
      <c r="E2121" s="26">
        <f>IF($B2121="","",IFERROR(INDEX(PecDesc,MATCH($B2121,PecCod,0)),"Peça não cadastrada"))</f>
        <v>0</v>
      </c>
      <c r="F2121" s="27">
        <f>IF($B2121="","",IF($D2121&lt;&gt;"",$D2121,IFERROR(INDEX(PecPreco,MATCH($B2121,PecCod,0)),0)))</f>
        <v>0</v>
      </c>
      <c r="G2121" s="27">
        <f>IF(OR($B2121="",$C2121=""),"",$C2121*$F2121)</f>
        <v>0</v>
      </c>
      <c r="H2121" s="27">
        <f>IF(OR($B2121="",$C2121=""),"",$C2121*IFERROR(INDEX(PecCusto,MATCH($B2121,PecCod,0)),0))</f>
        <v>0</v>
      </c>
      <c r="I2121" s="32">
        <f>IF($A2121="","",IFERROR(INDEX(OSStatus,MATCH($A2121,OSNum,0)),"OS inexistente"))</f>
        <v>0</v>
      </c>
      <c r="J2121" s="32">
        <f>IF($A2121="","",IF($I2121="OS inexistente","OS inexistente",IF($E2121="Peça não cadastrada","Peça não cadastrada","OK")))</f>
        <v>0</v>
      </c>
    </row>
    <row r="2122" spans="1:10">
      <c r="A2122" s="17"/>
      <c r="B2122" s="13"/>
      <c r="C2122" s="20"/>
      <c r="D2122" s="19"/>
      <c r="E2122" s="26">
        <f>IF($B2122="","",IFERROR(INDEX(PecDesc,MATCH($B2122,PecCod,0)),"Peça não cadastrada"))</f>
        <v>0</v>
      </c>
      <c r="F2122" s="27">
        <f>IF($B2122="","",IF($D2122&lt;&gt;"",$D2122,IFERROR(INDEX(PecPreco,MATCH($B2122,PecCod,0)),0)))</f>
        <v>0</v>
      </c>
      <c r="G2122" s="27">
        <f>IF(OR($B2122="",$C2122=""),"",$C2122*$F2122)</f>
        <v>0</v>
      </c>
      <c r="H2122" s="27">
        <f>IF(OR($B2122="",$C2122=""),"",$C2122*IFERROR(INDEX(PecCusto,MATCH($B2122,PecCod,0)),0))</f>
        <v>0</v>
      </c>
      <c r="I2122" s="32">
        <f>IF($A2122="","",IFERROR(INDEX(OSStatus,MATCH($A2122,OSNum,0)),"OS inexistente"))</f>
        <v>0</v>
      </c>
      <c r="J2122" s="32">
        <f>IF($A2122="","",IF($I2122="OS inexistente","OS inexistente",IF($E2122="Peça não cadastrada","Peça não cadastrada","OK")))</f>
        <v>0</v>
      </c>
    </row>
    <row r="2123" spans="1:10">
      <c r="A2123" s="17"/>
      <c r="B2123" s="13"/>
      <c r="C2123" s="20"/>
      <c r="D2123" s="19"/>
      <c r="E2123" s="26">
        <f>IF($B2123="","",IFERROR(INDEX(PecDesc,MATCH($B2123,PecCod,0)),"Peça não cadastrada"))</f>
        <v>0</v>
      </c>
      <c r="F2123" s="27">
        <f>IF($B2123="","",IF($D2123&lt;&gt;"",$D2123,IFERROR(INDEX(PecPreco,MATCH($B2123,PecCod,0)),0)))</f>
        <v>0</v>
      </c>
      <c r="G2123" s="27">
        <f>IF(OR($B2123="",$C2123=""),"",$C2123*$F2123)</f>
        <v>0</v>
      </c>
      <c r="H2123" s="27">
        <f>IF(OR($B2123="",$C2123=""),"",$C2123*IFERROR(INDEX(PecCusto,MATCH($B2123,PecCod,0)),0))</f>
        <v>0</v>
      </c>
      <c r="I2123" s="32">
        <f>IF($A2123="","",IFERROR(INDEX(OSStatus,MATCH($A2123,OSNum,0)),"OS inexistente"))</f>
        <v>0</v>
      </c>
      <c r="J2123" s="32">
        <f>IF($A2123="","",IF($I2123="OS inexistente","OS inexistente",IF($E2123="Peça não cadastrada","Peça não cadastrada","OK")))</f>
        <v>0</v>
      </c>
    </row>
    <row r="2124" spans="1:10">
      <c r="A2124" s="17"/>
      <c r="B2124" s="13"/>
      <c r="C2124" s="20"/>
      <c r="D2124" s="19"/>
      <c r="E2124" s="26">
        <f>IF($B2124="","",IFERROR(INDEX(PecDesc,MATCH($B2124,PecCod,0)),"Peça não cadastrada"))</f>
        <v>0</v>
      </c>
      <c r="F2124" s="27">
        <f>IF($B2124="","",IF($D2124&lt;&gt;"",$D2124,IFERROR(INDEX(PecPreco,MATCH($B2124,PecCod,0)),0)))</f>
        <v>0</v>
      </c>
      <c r="G2124" s="27">
        <f>IF(OR($B2124="",$C2124=""),"",$C2124*$F2124)</f>
        <v>0</v>
      </c>
      <c r="H2124" s="27">
        <f>IF(OR($B2124="",$C2124=""),"",$C2124*IFERROR(INDEX(PecCusto,MATCH($B2124,PecCod,0)),0))</f>
        <v>0</v>
      </c>
      <c r="I2124" s="32">
        <f>IF($A2124="","",IFERROR(INDEX(OSStatus,MATCH($A2124,OSNum,0)),"OS inexistente"))</f>
        <v>0</v>
      </c>
      <c r="J2124" s="32">
        <f>IF($A2124="","",IF($I2124="OS inexistente","OS inexistente",IF($E2124="Peça não cadastrada","Peça não cadastrada","OK")))</f>
        <v>0</v>
      </c>
    </row>
    <row r="2125" spans="1:10">
      <c r="A2125" s="17"/>
      <c r="B2125" s="13"/>
      <c r="C2125" s="20"/>
      <c r="D2125" s="19"/>
      <c r="E2125" s="26">
        <f>IF($B2125="","",IFERROR(INDEX(PecDesc,MATCH($B2125,PecCod,0)),"Peça não cadastrada"))</f>
        <v>0</v>
      </c>
      <c r="F2125" s="27">
        <f>IF($B2125="","",IF($D2125&lt;&gt;"",$D2125,IFERROR(INDEX(PecPreco,MATCH($B2125,PecCod,0)),0)))</f>
        <v>0</v>
      </c>
      <c r="G2125" s="27">
        <f>IF(OR($B2125="",$C2125=""),"",$C2125*$F2125)</f>
        <v>0</v>
      </c>
      <c r="H2125" s="27">
        <f>IF(OR($B2125="",$C2125=""),"",$C2125*IFERROR(INDEX(PecCusto,MATCH($B2125,PecCod,0)),0))</f>
        <v>0</v>
      </c>
      <c r="I2125" s="32">
        <f>IF($A2125="","",IFERROR(INDEX(OSStatus,MATCH($A2125,OSNum,0)),"OS inexistente"))</f>
        <v>0</v>
      </c>
      <c r="J2125" s="32">
        <f>IF($A2125="","",IF($I2125="OS inexistente","OS inexistente",IF($E2125="Peça não cadastrada","Peça não cadastrada","OK")))</f>
        <v>0</v>
      </c>
    </row>
    <row r="2126" spans="1:10">
      <c r="A2126" s="17"/>
      <c r="B2126" s="13"/>
      <c r="C2126" s="20"/>
      <c r="D2126" s="19"/>
      <c r="E2126" s="26">
        <f>IF($B2126="","",IFERROR(INDEX(PecDesc,MATCH($B2126,PecCod,0)),"Peça não cadastrada"))</f>
        <v>0</v>
      </c>
      <c r="F2126" s="27">
        <f>IF($B2126="","",IF($D2126&lt;&gt;"",$D2126,IFERROR(INDEX(PecPreco,MATCH($B2126,PecCod,0)),0)))</f>
        <v>0</v>
      </c>
      <c r="G2126" s="27">
        <f>IF(OR($B2126="",$C2126=""),"",$C2126*$F2126)</f>
        <v>0</v>
      </c>
      <c r="H2126" s="27">
        <f>IF(OR($B2126="",$C2126=""),"",$C2126*IFERROR(INDEX(PecCusto,MATCH($B2126,PecCod,0)),0))</f>
        <v>0</v>
      </c>
      <c r="I2126" s="32">
        <f>IF($A2126="","",IFERROR(INDEX(OSStatus,MATCH($A2126,OSNum,0)),"OS inexistente"))</f>
        <v>0</v>
      </c>
      <c r="J2126" s="32">
        <f>IF($A2126="","",IF($I2126="OS inexistente","OS inexistente",IF($E2126="Peça não cadastrada","Peça não cadastrada","OK")))</f>
        <v>0</v>
      </c>
    </row>
    <row r="2127" spans="1:10">
      <c r="A2127" s="17"/>
      <c r="B2127" s="13"/>
      <c r="C2127" s="20"/>
      <c r="D2127" s="19"/>
      <c r="E2127" s="26">
        <f>IF($B2127="","",IFERROR(INDEX(PecDesc,MATCH($B2127,PecCod,0)),"Peça não cadastrada"))</f>
        <v>0</v>
      </c>
      <c r="F2127" s="27">
        <f>IF($B2127="","",IF($D2127&lt;&gt;"",$D2127,IFERROR(INDEX(PecPreco,MATCH($B2127,PecCod,0)),0)))</f>
        <v>0</v>
      </c>
      <c r="G2127" s="27">
        <f>IF(OR($B2127="",$C2127=""),"",$C2127*$F2127)</f>
        <v>0</v>
      </c>
      <c r="H2127" s="27">
        <f>IF(OR($B2127="",$C2127=""),"",$C2127*IFERROR(INDEX(PecCusto,MATCH($B2127,PecCod,0)),0))</f>
        <v>0</v>
      </c>
      <c r="I2127" s="32">
        <f>IF($A2127="","",IFERROR(INDEX(OSStatus,MATCH($A2127,OSNum,0)),"OS inexistente"))</f>
        <v>0</v>
      </c>
      <c r="J2127" s="32">
        <f>IF($A2127="","",IF($I2127="OS inexistente","OS inexistente",IF($E2127="Peça não cadastrada","Peça não cadastrada","OK")))</f>
        <v>0</v>
      </c>
    </row>
    <row r="2128" spans="1:10">
      <c r="A2128" s="17"/>
      <c r="B2128" s="13"/>
      <c r="C2128" s="20"/>
      <c r="D2128" s="19"/>
      <c r="E2128" s="26">
        <f>IF($B2128="","",IFERROR(INDEX(PecDesc,MATCH($B2128,PecCod,0)),"Peça não cadastrada"))</f>
        <v>0</v>
      </c>
      <c r="F2128" s="27">
        <f>IF($B2128="","",IF($D2128&lt;&gt;"",$D2128,IFERROR(INDEX(PecPreco,MATCH($B2128,PecCod,0)),0)))</f>
        <v>0</v>
      </c>
      <c r="G2128" s="27">
        <f>IF(OR($B2128="",$C2128=""),"",$C2128*$F2128)</f>
        <v>0</v>
      </c>
      <c r="H2128" s="27">
        <f>IF(OR($B2128="",$C2128=""),"",$C2128*IFERROR(INDEX(PecCusto,MATCH($B2128,PecCod,0)),0))</f>
        <v>0</v>
      </c>
      <c r="I2128" s="32">
        <f>IF($A2128="","",IFERROR(INDEX(OSStatus,MATCH($A2128,OSNum,0)),"OS inexistente"))</f>
        <v>0</v>
      </c>
      <c r="J2128" s="32">
        <f>IF($A2128="","",IF($I2128="OS inexistente","OS inexistente",IF($E2128="Peça não cadastrada","Peça não cadastrada","OK")))</f>
        <v>0</v>
      </c>
    </row>
    <row r="2129" spans="1:10">
      <c r="A2129" s="17"/>
      <c r="B2129" s="13"/>
      <c r="C2129" s="20"/>
      <c r="D2129" s="19"/>
      <c r="E2129" s="26">
        <f>IF($B2129="","",IFERROR(INDEX(PecDesc,MATCH($B2129,PecCod,0)),"Peça não cadastrada"))</f>
        <v>0</v>
      </c>
      <c r="F2129" s="27">
        <f>IF($B2129="","",IF($D2129&lt;&gt;"",$D2129,IFERROR(INDEX(PecPreco,MATCH($B2129,PecCod,0)),0)))</f>
        <v>0</v>
      </c>
      <c r="G2129" s="27">
        <f>IF(OR($B2129="",$C2129=""),"",$C2129*$F2129)</f>
        <v>0</v>
      </c>
      <c r="H2129" s="27">
        <f>IF(OR($B2129="",$C2129=""),"",$C2129*IFERROR(INDEX(PecCusto,MATCH($B2129,PecCod,0)),0))</f>
        <v>0</v>
      </c>
      <c r="I2129" s="32">
        <f>IF($A2129="","",IFERROR(INDEX(OSStatus,MATCH($A2129,OSNum,0)),"OS inexistente"))</f>
        <v>0</v>
      </c>
      <c r="J2129" s="32">
        <f>IF($A2129="","",IF($I2129="OS inexistente","OS inexistente",IF($E2129="Peça não cadastrada","Peça não cadastrada","OK")))</f>
        <v>0</v>
      </c>
    </row>
    <row r="2130" spans="1:10">
      <c r="A2130" s="17"/>
      <c r="B2130" s="13"/>
      <c r="C2130" s="20"/>
      <c r="D2130" s="19"/>
      <c r="E2130" s="26">
        <f>IF($B2130="","",IFERROR(INDEX(PecDesc,MATCH($B2130,PecCod,0)),"Peça não cadastrada"))</f>
        <v>0</v>
      </c>
      <c r="F2130" s="27">
        <f>IF($B2130="","",IF($D2130&lt;&gt;"",$D2130,IFERROR(INDEX(PecPreco,MATCH($B2130,PecCod,0)),0)))</f>
        <v>0</v>
      </c>
      <c r="G2130" s="27">
        <f>IF(OR($B2130="",$C2130=""),"",$C2130*$F2130)</f>
        <v>0</v>
      </c>
      <c r="H2130" s="27">
        <f>IF(OR($B2130="",$C2130=""),"",$C2130*IFERROR(INDEX(PecCusto,MATCH($B2130,PecCod,0)),0))</f>
        <v>0</v>
      </c>
      <c r="I2130" s="32">
        <f>IF($A2130="","",IFERROR(INDEX(OSStatus,MATCH($A2130,OSNum,0)),"OS inexistente"))</f>
        <v>0</v>
      </c>
      <c r="J2130" s="32">
        <f>IF($A2130="","",IF($I2130="OS inexistente","OS inexistente",IF($E2130="Peça não cadastrada","Peça não cadastrada","OK")))</f>
        <v>0</v>
      </c>
    </row>
    <row r="2131" spans="1:10">
      <c r="A2131" s="17"/>
      <c r="B2131" s="13"/>
      <c r="C2131" s="20"/>
      <c r="D2131" s="19"/>
      <c r="E2131" s="26">
        <f>IF($B2131="","",IFERROR(INDEX(PecDesc,MATCH($B2131,PecCod,0)),"Peça não cadastrada"))</f>
        <v>0</v>
      </c>
      <c r="F2131" s="27">
        <f>IF($B2131="","",IF($D2131&lt;&gt;"",$D2131,IFERROR(INDEX(PecPreco,MATCH($B2131,PecCod,0)),0)))</f>
        <v>0</v>
      </c>
      <c r="G2131" s="27">
        <f>IF(OR($B2131="",$C2131=""),"",$C2131*$F2131)</f>
        <v>0</v>
      </c>
      <c r="H2131" s="27">
        <f>IF(OR($B2131="",$C2131=""),"",$C2131*IFERROR(INDEX(PecCusto,MATCH($B2131,PecCod,0)),0))</f>
        <v>0</v>
      </c>
      <c r="I2131" s="32">
        <f>IF($A2131="","",IFERROR(INDEX(OSStatus,MATCH($A2131,OSNum,0)),"OS inexistente"))</f>
        <v>0</v>
      </c>
      <c r="J2131" s="32">
        <f>IF($A2131="","",IF($I2131="OS inexistente","OS inexistente",IF($E2131="Peça não cadastrada","Peça não cadastrada","OK")))</f>
        <v>0</v>
      </c>
    </row>
    <row r="2132" spans="1:10">
      <c r="A2132" s="17"/>
      <c r="B2132" s="13"/>
      <c r="C2132" s="20"/>
      <c r="D2132" s="19"/>
      <c r="E2132" s="26">
        <f>IF($B2132="","",IFERROR(INDEX(PecDesc,MATCH($B2132,PecCod,0)),"Peça não cadastrada"))</f>
        <v>0</v>
      </c>
      <c r="F2132" s="27">
        <f>IF($B2132="","",IF($D2132&lt;&gt;"",$D2132,IFERROR(INDEX(PecPreco,MATCH($B2132,PecCod,0)),0)))</f>
        <v>0</v>
      </c>
      <c r="G2132" s="27">
        <f>IF(OR($B2132="",$C2132=""),"",$C2132*$F2132)</f>
        <v>0</v>
      </c>
      <c r="H2132" s="27">
        <f>IF(OR($B2132="",$C2132=""),"",$C2132*IFERROR(INDEX(PecCusto,MATCH($B2132,PecCod,0)),0))</f>
        <v>0</v>
      </c>
      <c r="I2132" s="32">
        <f>IF($A2132="","",IFERROR(INDEX(OSStatus,MATCH($A2132,OSNum,0)),"OS inexistente"))</f>
        <v>0</v>
      </c>
      <c r="J2132" s="32">
        <f>IF($A2132="","",IF($I2132="OS inexistente","OS inexistente",IF($E2132="Peça não cadastrada","Peça não cadastrada","OK")))</f>
        <v>0</v>
      </c>
    </row>
    <row r="2133" spans="1:10">
      <c r="A2133" s="17"/>
      <c r="B2133" s="13"/>
      <c r="C2133" s="20"/>
      <c r="D2133" s="19"/>
      <c r="E2133" s="26">
        <f>IF($B2133="","",IFERROR(INDEX(PecDesc,MATCH($B2133,PecCod,0)),"Peça não cadastrada"))</f>
        <v>0</v>
      </c>
      <c r="F2133" s="27">
        <f>IF($B2133="","",IF($D2133&lt;&gt;"",$D2133,IFERROR(INDEX(PecPreco,MATCH($B2133,PecCod,0)),0)))</f>
        <v>0</v>
      </c>
      <c r="G2133" s="27">
        <f>IF(OR($B2133="",$C2133=""),"",$C2133*$F2133)</f>
        <v>0</v>
      </c>
      <c r="H2133" s="27">
        <f>IF(OR($B2133="",$C2133=""),"",$C2133*IFERROR(INDEX(PecCusto,MATCH($B2133,PecCod,0)),0))</f>
        <v>0</v>
      </c>
      <c r="I2133" s="32">
        <f>IF($A2133="","",IFERROR(INDEX(OSStatus,MATCH($A2133,OSNum,0)),"OS inexistente"))</f>
        <v>0</v>
      </c>
      <c r="J2133" s="32">
        <f>IF($A2133="","",IF($I2133="OS inexistente","OS inexistente",IF($E2133="Peça não cadastrada","Peça não cadastrada","OK")))</f>
        <v>0</v>
      </c>
    </row>
    <row r="2134" spans="1:10">
      <c r="A2134" s="17"/>
      <c r="B2134" s="13"/>
      <c r="C2134" s="20"/>
      <c r="D2134" s="19"/>
      <c r="E2134" s="26">
        <f>IF($B2134="","",IFERROR(INDEX(PecDesc,MATCH($B2134,PecCod,0)),"Peça não cadastrada"))</f>
        <v>0</v>
      </c>
      <c r="F2134" s="27">
        <f>IF($B2134="","",IF($D2134&lt;&gt;"",$D2134,IFERROR(INDEX(PecPreco,MATCH($B2134,PecCod,0)),0)))</f>
        <v>0</v>
      </c>
      <c r="G2134" s="27">
        <f>IF(OR($B2134="",$C2134=""),"",$C2134*$F2134)</f>
        <v>0</v>
      </c>
      <c r="H2134" s="27">
        <f>IF(OR($B2134="",$C2134=""),"",$C2134*IFERROR(INDEX(PecCusto,MATCH($B2134,PecCod,0)),0))</f>
        <v>0</v>
      </c>
      <c r="I2134" s="32">
        <f>IF($A2134="","",IFERROR(INDEX(OSStatus,MATCH($A2134,OSNum,0)),"OS inexistente"))</f>
        <v>0</v>
      </c>
      <c r="J2134" s="32">
        <f>IF($A2134="","",IF($I2134="OS inexistente","OS inexistente",IF($E2134="Peça não cadastrada","Peça não cadastrada","OK")))</f>
        <v>0</v>
      </c>
    </row>
    <row r="2135" spans="1:10">
      <c r="A2135" s="17"/>
      <c r="B2135" s="13"/>
      <c r="C2135" s="20"/>
      <c r="D2135" s="19"/>
      <c r="E2135" s="26">
        <f>IF($B2135="","",IFERROR(INDEX(PecDesc,MATCH($B2135,PecCod,0)),"Peça não cadastrada"))</f>
        <v>0</v>
      </c>
      <c r="F2135" s="27">
        <f>IF($B2135="","",IF($D2135&lt;&gt;"",$D2135,IFERROR(INDEX(PecPreco,MATCH($B2135,PecCod,0)),0)))</f>
        <v>0</v>
      </c>
      <c r="G2135" s="27">
        <f>IF(OR($B2135="",$C2135=""),"",$C2135*$F2135)</f>
        <v>0</v>
      </c>
      <c r="H2135" s="27">
        <f>IF(OR($B2135="",$C2135=""),"",$C2135*IFERROR(INDEX(PecCusto,MATCH($B2135,PecCod,0)),0))</f>
        <v>0</v>
      </c>
      <c r="I2135" s="32">
        <f>IF($A2135="","",IFERROR(INDEX(OSStatus,MATCH($A2135,OSNum,0)),"OS inexistente"))</f>
        <v>0</v>
      </c>
      <c r="J2135" s="32">
        <f>IF($A2135="","",IF($I2135="OS inexistente","OS inexistente",IF($E2135="Peça não cadastrada","Peça não cadastrada","OK")))</f>
        <v>0</v>
      </c>
    </row>
    <row r="2136" spans="1:10">
      <c r="A2136" s="17"/>
      <c r="B2136" s="13"/>
      <c r="C2136" s="20"/>
      <c r="D2136" s="19"/>
      <c r="E2136" s="26">
        <f>IF($B2136="","",IFERROR(INDEX(PecDesc,MATCH($B2136,PecCod,0)),"Peça não cadastrada"))</f>
        <v>0</v>
      </c>
      <c r="F2136" s="27">
        <f>IF($B2136="","",IF($D2136&lt;&gt;"",$D2136,IFERROR(INDEX(PecPreco,MATCH($B2136,PecCod,0)),0)))</f>
        <v>0</v>
      </c>
      <c r="G2136" s="27">
        <f>IF(OR($B2136="",$C2136=""),"",$C2136*$F2136)</f>
        <v>0</v>
      </c>
      <c r="H2136" s="27">
        <f>IF(OR($B2136="",$C2136=""),"",$C2136*IFERROR(INDEX(PecCusto,MATCH($B2136,PecCod,0)),0))</f>
        <v>0</v>
      </c>
      <c r="I2136" s="32">
        <f>IF($A2136="","",IFERROR(INDEX(OSStatus,MATCH($A2136,OSNum,0)),"OS inexistente"))</f>
        <v>0</v>
      </c>
      <c r="J2136" s="32">
        <f>IF($A2136="","",IF($I2136="OS inexistente","OS inexistente",IF($E2136="Peça não cadastrada","Peça não cadastrada","OK")))</f>
        <v>0</v>
      </c>
    </row>
    <row r="2137" spans="1:10">
      <c r="A2137" s="17"/>
      <c r="B2137" s="13"/>
      <c r="C2137" s="20"/>
      <c r="D2137" s="19"/>
      <c r="E2137" s="26">
        <f>IF($B2137="","",IFERROR(INDEX(PecDesc,MATCH($B2137,PecCod,0)),"Peça não cadastrada"))</f>
        <v>0</v>
      </c>
      <c r="F2137" s="27">
        <f>IF($B2137="","",IF($D2137&lt;&gt;"",$D2137,IFERROR(INDEX(PecPreco,MATCH($B2137,PecCod,0)),0)))</f>
        <v>0</v>
      </c>
      <c r="G2137" s="27">
        <f>IF(OR($B2137="",$C2137=""),"",$C2137*$F2137)</f>
        <v>0</v>
      </c>
      <c r="H2137" s="27">
        <f>IF(OR($B2137="",$C2137=""),"",$C2137*IFERROR(INDEX(PecCusto,MATCH($B2137,PecCod,0)),0))</f>
        <v>0</v>
      </c>
      <c r="I2137" s="32">
        <f>IF($A2137="","",IFERROR(INDEX(OSStatus,MATCH($A2137,OSNum,0)),"OS inexistente"))</f>
        <v>0</v>
      </c>
      <c r="J2137" s="32">
        <f>IF($A2137="","",IF($I2137="OS inexistente","OS inexistente",IF($E2137="Peça não cadastrada","Peça não cadastrada","OK")))</f>
        <v>0</v>
      </c>
    </row>
    <row r="2138" spans="1:10">
      <c r="A2138" s="17"/>
      <c r="B2138" s="13"/>
      <c r="C2138" s="20"/>
      <c r="D2138" s="19"/>
      <c r="E2138" s="26">
        <f>IF($B2138="","",IFERROR(INDEX(PecDesc,MATCH($B2138,PecCod,0)),"Peça não cadastrada"))</f>
        <v>0</v>
      </c>
      <c r="F2138" s="27">
        <f>IF($B2138="","",IF($D2138&lt;&gt;"",$D2138,IFERROR(INDEX(PecPreco,MATCH($B2138,PecCod,0)),0)))</f>
        <v>0</v>
      </c>
      <c r="G2138" s="27">
        <f>IF(OR($B2138="",$C2138=""),"",$C2138*$F2138)</f>
        <v>0</v>
      </c>
      <c r="H2138" s="27">
        <f>IF(OR($B2138="",$C2138=""),"",$C2138*IFERROR(INDEX(PecCusto,MATCH($B2138,PecCod,0)),0))</f>
        <v>0</v>
      </c>
      <c r="I2138" s="32">
        <f>IF($A2138="","",IFERROR(INDEX(OSStatus,MATCH($A2138,OSNum,0)),"OS inexistente"))</f>
        <v>0</v>
      </c>
      <c r="J2138" s="32">
        <f>IF($A2138="","",IF($I2138="OS inexistente","OS inexistente",IF($E2138="Peça não cadastrada","Peça não cadastrada","OK")))</f>
        <v>0</v>
      </c>
    </row>
    <row r="2139" spans="1:10">
      <c r="A2139" s="17"/>
      <c r="B2139" s="13"/>
      <c r="C2139" s="20"/>
      <c r="D2139" s="19"/>
      <c r="E2139" s="26">
        <f>IF($B2139="","",IFERROR(INDEX(PecDesc,MATCH($B2139,PecCod,0)),"Peça não cadastrada"))</f>
        <v>0</v>
      </c>
      <c r="F2139" s="27">
        <f>IF($B2139="","",IF($D2139&lt;&gt;"",$D2139,IFERROR(INDEX(PecPreco,MATCH($B2139,PecCod,0)),0)))</f>
        <v>0</v>
      </c>
      <c r="G2139" s="27">
        <f>IF(OR($B2139="",$C2139=""),"",$C2139*$F2139)</f>
        <v>0</v>
      </c>
      <c r="H2139" s="27">
        <f>IF(OR($B2139="",$C2139=""),"",$C2139*IFERROR(INDEX(PecCusto,MATCH($B2139,PecCod,0)),0))</f>
        <v>0</v>
      </c>
      <c r="I2139" s="32">
        <f>IF($A2139="","",IFERROR(INDEX(OSStatus,MATCH($A2139,OSNum,0)),"OS inexistente"))</f>
        <v>0</v>
      </c>
      <c r="J2139" s="32">
        <f>IF($A2139="","",IF($I2139="OS inexistente","OS inexistente",IF($E2139="Peça não cadastrada","Peça não cadastrada","OK")))</f>
        <v>0</v>
      </c>
    </row>
    <row r="2140" spans="1:10">
      <c r="A2140" s="17"/>
      <c r="B2140" s="13"/>
      <c r="C2140" s="20"/>
      <c r="D2140" s="19"/>
      <c r="E2140" s="26">
        <f>IF($B2140="","",IFERROR(INDEX(PecDesc,MATCH($B2140,PecCod,0)),"Peça não cadastrada"))</f>
        <v>0</v>
      </c>
      <c r="F2140" s="27">
        <f>IF($B2140="","",IF($D2140&lt;&gt;"",$D2140,IFERROR(INDEX(PecPreco,MATCH($B2140,PecCod,0)),0)))</f>
        <v>0</v>
      </c>
      <c r="G2140" s="27">
        <f>IF(OR($B2140="",$C2140=""),"",$C2140*$F2140)</f>
        <v>0</v>
      </c>
      <c r="H2140" s="27">
        <f>IF(OR($B2140="",$C2140=""),"",$C2140*IFERROR(INDEX(PecCusto,MATCH($B2140,PecCod,0)),0))</f>
        <v>0</v>
      </c>
      <c r="I2140" s="32">
        <f>IF($A2140="","",IFERROR(INDEX(OSStatus,MATCH($A2140,OSNum,0)),"OS inexistente"))</f>
        <v>0</v>
      </c>
      <c r="J2140" s="32">
        <f>IF($A2140="","",IF($I2140="OS inexistente","OS inexistente",IF($E2140="Peça não cadastrada","Peça não cadastrada","OK")))</f>
        <v>0</v>
      </c>
    </row>
    <row r="2141" spans="1:10">
      <c r="A2141" s="17"/>
      <c r="B2141" s="13"/>
      <c r="C2141" s="20"/>
      <c r="D2141" s="19"/>
      <c r="E2141" s="26">
        <f>IF($B2141="","",IFERROR(INDEX(PecDesc,MATCH($B2141,PecCod,0)),"Peça não cadastrada"))</f>
        <v>0</v>
      </c>
      <c r="F2141" s="27">
        <f>IF($B2141="","",IF($D2141&lt;&gt;"",$D2141,IFERROR(INDEX(PecPreco,MATCH($B2141,PecCod,0)),0)))</f>
        <v>0</v>
      </c>
      <c r="G2141" s="27">
        <f>IF(OR($B2141="",$C2141=""),"",$C2141*$F2141)</f>
        <v>0</v>
      </c>
      <c r="H2141" s="27">
        <f>IF(OR($B2141="",$C2141=""),"",$C2141*IFERROR(INDEX(PecCusto,MATCH($B2141,PecCod,0)),0))</f>
        <v>0</v>
      </c>
      <c r="I2141" s="32">
        <f>IF($A2141="","",IFERROR(INDEX(OSStatus,MATCH($A2141,OSNum,0)),"OS inexistente"))</f>
        <v>0</v>
      </c>
      <c r="J2141" s="32">
        <f>IF($A2141="","",IF($I2141="OS inexistente","OS inexistente",IF($E2141="Peça não cadastrada","Peça não cadastrada","OK")))</f>
        <v>0</v>
      </c>
    </row>
    <row r="2142" spans="1:10">
      <c r="A2142" s="17"/>
      <c r="B2142" s="13"/>
      <c r="C2142" s="20"/>
      <c r="D2142" s="19"/>
      <c r="E2142" s="26">
        <f>IF($B2142="","",IFERROR(INDEX(PecDesc,MATCH($B2142,PecCod,0)),"Peça não cadastrada"))</f>
        <v>0</v>
      </c>
      <c r="F2142" s="27">
        <f>IF($B2142="","",IF($D2142&lt;&gt;"",$D2142,IFERROR(INDEX(PecPreco,MATCH($B2142,PecCod,0)),0)))</f>
        <v>0</v>
      </c>
      <c r="G2142" s="27">
        <f>IF(OR($B2142="",$C2142=""),"",$C2142*$F2142)</f>
        <v>0</v>
      </c>
      <c r="H2142" s="27">
        <f>IF(OR($B2142="",$C2142=""),"",$C2142*IFERROR(INDEX(PecCusto,MATCH($B2142,PecCod,0)),0))</f>
        <v>0</v>
      </c>
      <c r="I2142" s="32">
        <f>IF($A2142="","",IFERROR(INDEX(OSStatus,MATCH($A2142,OSNum,0)),"OS inexistente"))</f>
        <v>0</v>
      </c>
      <c r="J2142" s="32">
        <f>IF($A2142="","",IF($I2142="OS inexistente","OS inexistente",IF($E2142="Peça não cadastrada","Peça não cadastrada","OK")))</f>
        <v>0</v>
      </c>
    </row>
    <row r="2143" spans="1:10">
      <c r="A2143" s="17"/>
      <c r="B2143" s="13"/>
      <c r="C2143" s="20"/>
      <c r="D2143" s="19"/>
      <c r="E2143" s="26">
        <f>IF($B2143="","",IFERROR(INDEX(PecDesc,MATCH($B2143,PecCod,0)),"Peça não cadastrada"))</f>
        <v>0</v>
      </c>
      <c r="F2143" s="27">
        <f>IF($B2143="","",IF($D2143&lt;&gt;"",$D2143,IFERROR(INDEX(PecPreco,MATCH($B2143,PecCod,0)),0)))</f>
        <v>0</v>
      </c>
      <c r="G2143" s="27">
        <f>IF(OR($B2143="",$C2143=""),"",$C2143*$F2143)</f>
        <v>0</v>
      </c>
      <c r="H2143" s="27">
        <f>IF(OR($B2143="",$C2143=""),"",$C2143*IFERROR(INDEX(PecCusto,MATCH($B2143,PecCod,0)),0))</f>
        <v>0</v>
      </c>
      <c r="I2143" s="32">
        <f>IF($A2143="","",IFERROR(INDEX(OSStatus,MATCH($A2143,OSNum,0)),"OS inexistente"))</f>
        <v>0</v>
      </c>
      <c r="J2143" s="32">
        <f>IF($A2143="","",IF($I2143="OS inexistente","OS inexistente",IF($E2143="Peça não cadastrada","Peça não cadastrada","OK")))</f>
        <v>0</v>
      </c>
    </row>
    <row r="2144" spans="1:10">
      <c r="A2144" s="17"/>
      <c r="B2144" s="13"/>
      <c r="C2144" s="20"/>
      <c r="D2144" s="19"/>
      <c r="E2144" s="26">
        <f>IF($B2144="","",IFERROR(INDEX(PecDesc,MATCH($B2144,PecCod,0)),"Peça não cadastrada"))</f>
        <v>0</v>
      </c>
      <c r="F2144" s="27">
        <f>IF($B2144="","",IF($D2144&lt;&gt;"",$D2144,IFERROR(INDEX(PecPreco,MATCH($B2144,PecCod,0)),0)))</f>
        <v>0</v>
      </c>
      <c r="G2144" s="27">
        <f>IF(OR($B2144="",$C2144=""),"",$C2144*$F2144)</f>
        <v>0</v>
      </c>
      <c r="H2144" s="27">
        <f>IF(OR($B2144="",$C2144=""),"",$C2144*IFERROR(INDEX(PecCusto,MATCH($B2144,PecCod,0)),0))</f>
        <v>0</v>
      </c>
      <c r="I2144" s="32">
        <f>IF($A2144="","",IFERROR(INDEX(OSStatus,MATCH($A2144,OSNum,0)),"OS inexistente"))</f>
        <v>0</v>
      </c>
      <c r="J2144" s="32">
        <f>IF($A2144="","",IF($I2144="OS inexistente","OS inexistente",IF($E2144="Peça não cadastrada","Peça não cadastrada","OK")))</f>
        <v>0</v>
      </c>
    </row>
    <row r="2145" spans="1:10">
      <c r="A2145" s="17"/>
      <c r="B2145" s="13"/>
      <c r="C2145" s="20"/>
      <c r="D2145" s="19"/>
      <c r="E2145" s="26">
        <f>IF($B2145="","",IFERROR(INDEX(PecDesc,MATCH($B2145,PecCod,0)),"Peça não cadastrada"))</f>
        <v>0</v>
      </c>
      <c r="F2145" s="27">
        <f>IF($B2145="","",IF($D2145&lt;&gt;"",$D2145,IFERROR(INDEX(PecPreco,MATCH($B2145,PecCod,0)),0)))</f>
        <v>0</v>
      </c>
      <c r="G2145" s="27">
        <f>IF(OR($B2145="",$C2145=""),"",$C2145*$F2145)</f>
        <v>0</v>
      </c>
      <c r="H2145" s="27">
        <f>IF(OR($B2145="",$C2145=""),"",$C2145*IFERROR(INDEX(PecCusto,MATCH($B2145,PecCod,0)),0))</f>
        <v>0</v>
      </c>
      <c r="I2145" s="32">
        <f>IF($A2145="","",IFERROR(INDEX(OSStatus,MATCH($A2145,OSNum,0)),"OS inexistente"))</f>
        <v>0</v>
      </c>
      <c r="J2145" s="32">
        <f>IF($A2145="","",IF($I2145="OS inexistente","OS inexistente",IF($E2145="Peça não cadastrada","Peça não cadastrada","OK")))</f>
        <v>0</v>
      </c>
    </row>
    <row r="2146" spans="1:10">
      <c r="A2146" s="17"/>
      <c r="B2146" s="13"/>
      <c r="C2146" s="20"/>
      <c r="D2146" s="19"/>
      <c r="E2146" s="26">
        <f>IF($B2146="","",IFERROR(INDEX(PecDesc,MATCH($B2146,PecCod,0)),"Peça não cadastrada"))</f>
        <v>0</v>
      </c>
      <c r="F2146" s="27">
        <f>IF($B2146="","",IF($D2146&lt;&gt;"",$D2146,IFERROR(INDEX(PecPreco,MATCH($B2146,PecCod,0)),0)))</f>
        <v>0</v>
      </c>
      <c r="G2146" s="27">
        <f>IF(OR($B2146="",$C2146=""),"",$C2146*$F2146)</f>
        <v>0</v>
      </c>
      <c r="H2146" s="27">
        <f>IF(OR($B2146="",$C2146=""),"",$C2146*IFERROR(INDEX(PecCusto,MATCH($B2146,PecCod,0)),0))</f>
        <v>0</v>
      </c>
      <c r="I2146" s="32">
        <f>IF($A2146="","",IFERROR(INDEX(OSStatus,MATCH($A2146,OSNum,0)),"OS inexistente"))</f>
        <v>0</v>
      </c>
      <c r="J2146" s="32">
        <f>IF($A2146="","",IF($I2146="OS inexistente","OS inexistente",IF($E2146="Peça não cadastrada","Peça não cadastrada","OK")))</f>
        <v>0</v>
      </c>
    </row>
    <row r="2147" spans="1:10">
      <c r="A2147" s="17"/>
      <c r="B2147" s="13"/>
      <c r="C2147" s="20"/>
      <c r="D2147" s="19"/>
      <c r="E2147" s="26">
        <f>IF($B2147="","",IFERROR(INDEX(PecDesc,MATCH($B2147,PecCod,0)),"Peça não cadastrada"))</f>
        <v>0</v>
      </c>
      <c r="F2147" s="27">
        <f>IF($B2147="","",IF($D2147&lt;&gt;"",$D2147,IFERROR(INDEX(PecPreco,MATCH($B2147,PecCod,0)),0)))</f>
        <v>0</v>
      </c>
      <c r="G2147" s="27">
        <f>IF(OR($B2147="",$C2147=""),"",$C2147*$F2147)</f>
        <v>0</v>
      </c>
      <c r="H2147" s="27">
        <f>IF(OR($B2147="",$C2147=""),"",$C2147*IFERROR(INDEX(PecCusto,MATCH($B2147,PecCod,0)),0))</f>
        <v>0</v>
      </c>
      <c r="I2147" s="32">
        <f>IF($A2147="","",IFERROR(INDEX(OSStatus,MATCH($A2147,OSNum,0)),"OS inexistente"))</f>
        <v>0</v>
      </c>
      <c r="J2147" s="32">
        <f>IF($A2147="","",IF($I2147="OS inexistente","OS inexistente",IF($E2147="Peça não cadastrada","Peça não cadastrada","OK")))</f>
        <v>0</v>
      </c>
    </row>
    <row r="2148" spans="1:10">
      <c r="A2148" s="17"/>
      <c r="B2148" s="13"/>
      <c r="C2148" s="20"/>
      <c r="D2148" s="19"/>
      <c r="E2148" s="26">
        <f>IF($B2148="","",IFERROR(INDEX(PecDesc,MATCH($B2148,PecCod,0)),"Peça não cadastrada"))</f>
        <v>0</v>
      </c>
      <c r="F2148" s="27">
        <f>IF($B2148="","",IF($D2148&lt;&gt;"",$D2148,IFERROR(INDEX(PecPreco,MATCH($B2148,PecCod,0)),0)))</f>
        <v>0</v>
      </c>
      <c r="G2148" s="27">
        <f>IF(OR($B2148="",$C2148=""),"",$C2148*$F2148)</f>
        <v>0</v>
      </c>
      <c r="H2148" s="27">
        <f>IF(OR($B2148="",$C2148=""),"",$C2148*IFERROR(INDEX(PecCusto,MATCH($B2148,PecCod,0)),0))</f>
        <v>0</v>
      </c>
      <c r="I2148" s="32">
        <f>IF($A2148="","",IFERROR(INDEX(OSStatus,MATCH($A2148,OSNum,0)),"OS inexistente"))</f>
        <v>0</v>
      </c>
      <c r="J2148" s="32">
        <f>IF($A2148="","",IF($I2148="OS inexistente","OS inexistente",IF($E2148="Peça não cadastrada","Peça não cadastrada","OK")))</f>
        <v>0</v>
      </c>
    </row>
    <row r="2149" spans="1:10">
      <c r="A2149" s="17"/>
      <c r="B2149" s="13"/>
      <c r="C2149" s="20"/>
      <c r="D2149" s="19"/>
      <c r="E2149" s="26">
        <f>IF($B2149="","",IFERROR(INDEX(PecDesc,MATCH($B2149,PecCod,0)),"Peça não cadastrada"))</f>
        <v>0</v>
      </c>
      <c r="F2149" s="27">
        <f>IF($B2149="","",IF($D2149&lt;&gt;"",$D2149,IFERROR(INDEX(PecPreco,MATCH($B2149,PecCod,0)),0)))</f>
        <v>0</v>
      </c>
      <c r="G2149" s="27">
        <f>IF(OR($B2149="",$C2149=""),"",$C2149*$F2149)</f>
        <v>0</v>
      </c>
      <c r="H2149" s="27">
        <f>IF(OR($B2149="",$C2149=""),"",$C2149*IFERROR(INDEX(PecCusto,MATCH($B2149,PecCod,0)),0))</f>
        <v>0</v>
      </c>
      <c r="I2149" s="32">
        <f>IF($A2149="","",IFERROR(INDEX(OSStatus,MATCH($A2149,OSNum,0)),"OS inexistente"))</f>
        <v>0</v>
      </c>
      <c r="J2149" s="32">
        <f>IF($A2149="","",IF($I2149="OS inexistente","OS inexistente",IF($E2149="Peça não cadastrada","Peça não cadastrada","OK")))</f>
        <v>0</v>
      </c>
    </row>
    <row r="2150" spans="1:10">
      <c r="A2150" s="17"/>
      <c r="B2150" s="13"/>
      <c r="C2150" s="20"/>
      <c r="D2150" s="19"/>
      <c r="E2150" s="26">
        <f>IF($B2150="","",IFERROR(INDEX(PecDesc,MATCH($B2150,PecCod,0)),"Peça não cadastrada"))</f>
        <v>0</v>
      </c>
      <c r="F2150" s="27">
        <f>IF($B2150="","",IF($D2150&lt;&gt;"",$D2150,IFERROR(INDEX(PecPreco,MATCH($B2150,PecCod,0)),0)))</f>
        <v>0</v>
      </c>
      <c r="G2150" s="27">
        <f>IF(OR($B2150="",$C2150=""),"",$C2150*$F2150)</f>
        <v>0</v>
      </c>
      <c r="H2150" s="27">
        <f>IF(OR($B2150="",$C2150=""),"",$C2150*IFERROR(INDEX(PecCusto,MATCH($B2150,PecCod,0)),0))</f>
        <v>0</v>
      </c>
      <c r="I2150" s="32">
        <f>IF($A2150="","",IFERROR(INDEX(OSStatus,MATCH($A2150,OSNum,0)),"OS inexistente"))</f>
        <v>0</v>
      </c>
      <c r="J2150" s="32">
        <f>IF($A2150="","",IF($I2150="OS inexistente","OS inexistente",IF($E2150="Peça não cadastrada","Peça não cadastrada","OK")))</f>
        <v>0</v>
      </c>
    </row>
    <row r="2151" spans="1:10">
      <c r="A2151" s="17"/>
      <c r="B2151" s="13"/>
      <c r="C2151" s="20"/>
      <c r="D2151" s="19"/>
      <c r="E2151" s="26">
        <f>IF($B2151="","",IFERROR(INDEX(PecDesc,MATCH($B2151,PecCod,0)),"Peça não cadastrada"))</f>
        <v>0</v>
      </c>
      <c r="F2151" s="27">
        <f>IF($B2151="","",IF($D2151&lt;&gt;"",$D2151,IFERROR(INDEX(PecPreco,MATCH($B2151,PecCod,0)),0)))</f>
        <v>0</v>
      </c>
      <c r="G2151" s="27">
        <f>IF(OR($B2151="",$C2151=""),"",$C2151*$F2151)</f>
        <v>0</v>
      </c>
      <c r="H2151" s="27">
        <f>IF(OR($B2151="",$C2151=""),"",$C2151*IFERROR(INDEX(PecCusto,MATCH($B2151,PecCod,0)),0))</f>
        <v>0</v>
      </c>
      <c r="I2151" s="32">
        <f>IF($A2151="","",IFERROR(INDEX(OSStatus,MATCH($A2151,OSNum,0)),"OS inexistente"))</f>
        <v>0</v>
      </c>
      <c r="J2151" s="32">
        <f>IF($A2151="","",IF($I2151="OS inexistente","OS inexistente",IF($E2151="Peça não cadastrada","Peça não cadastrada","OK")))</f>
        <v>0</v>
      </c>
    </row>
    <row r="2152" spans="1:10">
      <c r="A2152" s="17"/>
      <c r="B2152" s="13"/>
      <c r="C2152" s="20"/>
      <c r="D2152" s="19"/>
      <c r="E2152" s="26">
        <f>IF($B2152="","",IFERROR(INDEX(PecDesc,MATCH($B2152,PecCod,0)),"Peça não cadastrada"))</f>
        <v>0</v>
      </c>
      <c r="F2152" s="27">
        <f>IF($B2152="","",IF($D2152&lt;&gt;"",$D2152,IFERROR(INDEX(PecPreco,MATCH($B2152,PecCod,0)),0)))</f>
        <v>0</v>
      </c>
      <c r="G2152" s="27">
        <f>IF(OR($B2152="",$C2152=""),"",$C2152*$F2152)</f>
        <v>0</v>
      </c>
      <c r="H2152" s="27">
        <f>IF(OR($B2152="",$C2152=""),"",$C2152*IFERROR(INDEX(PecCusto,MATCH($B2152,PecCod,0)),0))</f>
        <v>0</v>
      </c>
      <c r="I2152" s="32">
        <f>IF($A2152="","",IFERROR(INDEX(OSStatus,MATCH($A2152,OSNum,0)),"OS inexistente"))</f>
        <v>0</v>
      </c>
      <c r="J2152" s="32">
        <f>IF($A2152="","",IF($I2152="OS inexistente","OS inexistente",IF($E2152="Peça não cadastrada","Peça não cadastrada","OK")))</f>
        <v>0</v>
      </c>
    </row>
    <row r="2153" spans="1:10">
      <c r="A2153" s="17"/>
      <c r="B2153" s="13"/>
      <c r="C2153" s="20"/>
      <c r="D2153" s="19"/>
      <c r="E2153" s="26">
        <f>IF($B2153="","",IFERROR(INDEX(PecDesc,MATCH($B2153,PecCod,0)),"Peça não cadastrada"))</f>
        <v>0</v>
      </c>
      <c r="F2153" s="27">
        <f>IF($B2153="","",IF($D2153&lt;&gt;"",$D2153,IFERROR(INDEX(PecPreco,MATCH($B2153,PecCod,0)),0)))</f>
        <v>0</v>
      </c>
      <c r="G2153" s="27">
        <f>IF(OR($B2153="",$C2153=""),"",$C2153*$F2153)</f>
        <v>0</v>
      </c>
      <c r="H2153" s="27">
        <f>IF(OR($B2153="",$C2153=""),"",$C2153*IFERROR(INDEX(PecCusto,MATCH($B2153,PecCod,0)),0))</f>
        <v>0</v>
      </c>
      <c r="I2153" s="32">
        <f>IF($A2153="","",IFERROR(INDEX(OSStatus,MATCH($A2153,OSNum,0)),"OS inexistente"))</f>
        <v>0</v>
      </c>
      <c r="J2153" s="32">
        <f>IF($A2153="","",IF($I2153="OS inexistente","OS inexistente",IF($E2153="Peça não cadastrada","Peça não cadastrada","OK")))</f>
        <v>0</v>
      </c>
    </row>
    <row r="2154" spans="1:10">
      <c r="A2154" s="17"/>
      <c r="B2154" s="13"/>
      <c r="C2154" s="20"/>
      <c r="D2154" s="19"/>
      <c r="E2154" s="26">
        <f>IF($B2154="","",IFERROR(INDEX(PecDesc,MATCH($B2154,PecCod,0)),"Peça não cadastrada"))</f>
        <v>0</v>
      </c>
      <c r="F2154" s="27">
        <f>IF($B2154="","",IF($D2154&lt;&gt;"",$D2154,IFERROR(INDEX(PecPreco,MATCH($B2154,PecCod,0)),0)))</f>
        <v>0</v>
      </c>
      <c r="G2154" s="27">
        <f>IF(OR($B2154="",$C2154=""),"",$C2154*$F2154)</f>
        <v>0</v>
      </c>
      <c r="H2154" s="27">
        <f>IF(OR($B2154="",$C2154=""),"",$C2154*IFERROR(INDEX(PecCusto,MATCH($B2154,PecCod,0)),0))</f>
        <v>0</v>
      </c>
      <c r="I2154" s="32">
        <f>IF($A2154="","",IFERROR(INDEX(OSStatus,MATCH($A2154,OSNum,0)),"OS inexistente"))</f>
        <v>0</v>
      </c>
      <c r="J2154" s="32">
        <f>IF($A2154="","",IF($I2154="OS inexistente","OS inexistente",IF($E2154="Peça não cadastrada","Peça não cadastrada","OK")))</f>
        <v>0</v>
      </c>
    </row>
    <row r="2155" spans="1:10">
      <c r="A2155" s="17"/>
      <c r="B2155" s="13"/>
      <c r="C2155" s="20"/>
      <c r="D2155" s="19"/>
      <c r="E2155" s="26">
        <f>IF($B2155="","",IFERROR(INDEX(PecDesc,MATCH($B2155,PecCod,0)),"Peça não cadastrada"))</f>
        <v>0</v>
      </c>
      <c r="F2155" s="27">
        <f>IF($B2155="","",IF($D2155&lt;&gt;"",$D2155,IFERROR(INDEX(PecPreco,MATCH($B2155,PecCod,0)),0)))</f>
        <v>0</v>
      </c>
      <c r="G2155" s="27">
        <f>IF(OR($B2155="",$C2155=""),"",$C2155*$F2155)</f>
        <v>0</v>
      </c>
      <c r="H2155" s="27">
        <f>IF(OR($B2155="",$C2155=""),"",$C2155*IFERROR(INDEX(PecCusto,MATCH($B2155,PecCod,0)),0))</f>
        <v>0</v>
      </c>
      <c r="I2155" s="32">
        <f>IF($A2155="","",IFERROR(INDEX(OSStatus,MATCH($A2155,OSNum,0)),"OS inexistente"))</f>
        <v>0</v>
      </c>
      <c r="J2155" s="32">
        <f>IF($A2155="","",IF($I2155="OS inexistente","OS inexistente",IF($E2155="Peça não cadastrada","Peça não cadastrada","OK")))</f>
        <v>0</v>
      </c>
    </row>
    <row r="2156" spans="1:10">
      <c r="A2156" s="17"/>
      <c r="B2156" s="13"/>
      <c r="C2156" s="20"/>
      <c r="D2156" s="19"/>
      <c r="E2156" s="26">
        <f>IF($B2156="","",IFERROR(INDEX(PecDesc,MATCH($B2156,PecCod,0)),"Peça não cadastrada"))</f>
        <v>0</v>
      </c>
      <c r="F2156" s="27">
        <f>IF($B2156="","",IF($D2156&lt;&gt;"",$D2156,IFERROR(INDEX(PecPreco,MATCH($B2156,PecCod,0)),0)))</f>
        <v>0</v>
      </c>
      <c r="G2156" s="27">
        <f>IF(OR($B2156="",$C2156=""),"",$C2156*$F2156)</f>
        <v>0</v>
      </c>
      <c r="H2156" s="27">
        <f>IF(OR($B2156="",$C2156=""),"",$C2156*IFERROR(INDEX(PecCusto,MATCH($B2156,PecCod,0)),0))</f>
        <v>0</v>
      </c>
      <c r="I2156" s="32">
        <f>IF($A2156="","",IFERROR(INDEX(OSStatus,MATCH($A2156,OSNum,0)),"OS inexistente"))</f>
        <v>0</v>
      </c>
      <c r="J2156" s="32">
        <f>IF($A2156="","",IF($I2156="OS inexistente","OS inexistente",IF($E2156="Peça não cadastrada","Peça não cadastrada","OK")))</f>
        <v>0</v>
      </c>
    </row>
    <row r="2157" spans="1:10">
      <c r="A2157" s="17"/>
      <c r="B2157" s="13"/>
      <c r="C2157" s="20"/>
      <c r="D2157" s="19"/>
      <c r="E2157" s="26">
        <f>IF($B2157="","",IFERROR(INDEX(PecDesc,MATCH($B2157,PecCod,0)),"Peça não cadastrada"))</f>
        <v>0</v>
      </c>
      <c r="F2157" s="27">
        <f>IF($B2157="","",IF($D2157&lt;&gt;"",$D2157,IFERROR(INDEX(PecPreco,MATCH($B2157,PecCod,0)),0)))</f>
        <v>0</v>
      </c>
      <c r="G2157" s="27">
        <f>IF(OR($B2157="",$C2157=""),"",$C2157*$F2157)</f>
        <v>0</v>
      </c>
      <c r="H2157" s="27">
        <f>IF(OR($B2157="",$C2157=""),"",$C2157*IFERROR(INDEX(PecCusto,MATCH($B2157,PecCod,0)),0))</f>
        <v>0</v>
      </c>
      <c r="I2157" s="32">
        <f>IF($A2157="","",IFERROR(INDEX(OSStatus,MATCH($A2157,OSNum,0)),"OS inexistente"))</f>
        <v>0</v>
      </c>
      <c r="J2157" s="32">
        <f>IF($A2157="","",IF($I2157="OS inexistente","OS inexistente",IF($E2157="Peça não cadastrada","Peça não cadastrada","OK")))</f>
        <v>0</v>
      </c>
    </row>
    <row r="2158" spans="1:10">
      <c r="A2158" s="17"/>
      <c r="B2158" s="13"/>
      <c r="C2158" s="20"/>
      <c r="D2158" s="19"/>
      <c r="E2158" s="26">
        <f>IF($B2158="","",IFERROR(INDEX(PecDesc,MATCH($B2158,PecCod,0)),"Peça não cadastrada"))</f>
        <v>0</v>
      </c>
      <c r="F2158" s="27">
        <f>IF($B2158="","",IF($D2158&lt;&gt;"",$D2158,IFERROR(INDEX(PecPreco,MATCH($B2158,PecCod,0)),0)))</f>
        <v>0</v>
      </c>
      <c r="G2158" s="27">
        <f>IF(OR($B2158="",$C2158=""),"",$C2158*$F2158)</f>
        <v>0</v>
      </c>
      <c r="H2158" s="27">
        <f>IF(OR($B2158="",$C2158=""),"",$C2158*IFERROR(INDEX(PecCusto,MATCH($B2158,PecCod,0)),0))</f>
        <v>0</v>
      </c>
      <c r="I2158" s="32">
        <f>IF($A2158="","",IFERROR(INDEX(OSStatus,MATCH($A2158,OSNum,0)),"OS inexistente"))</f>
        <v>0</v>
      </c>
      <c r="J2158" s="32">
        <f>IF($A2158="","",IF($I2158="OS inexistente","OS inexistente",IF($E2158="Peça não cadastrada","Peça não cadastrada","OK")))</f>
        <v>0</v>
      </c>
    </row>
    <row r="2159" spans="1:10">
      <c r="A2159" s="17"/>
      <c r="B2159" s="13"/>
      <c r="C2159" s="20"/>
      <c r="D2159" s="19"/>
      <c r="E2159" s="26">
        <f>IF($B2159="","",IFERROR(INDEX(PecDesc,MATCH($B2159,PecCod,0)),"Peça não cadastrada"))</f>
        <v>0</v>
      </c>
      <c r="F2159" s="27">
        <f>IF($B2159="","",IF($D2159&lt;&gt;"",$D2159,IFERROR(INDEX(PecPreco,MATCH($B2159,PecCod,0)),0)))</f>
        <v>0</v>
      </c>
      <c r="G2159" s="27">
        <f>IF(OR($B2159="",$C2159=""),"",$C2159*$F2159)</f>
        <v>0</v>
      </c>
      <c r="H2159" s="27">
        <f>IF(OR($B2159="",$C2159=""),"",$C2159*IFERROR(INDEX(PecCusto,MATCH($B2159,PecCod,0)),0))</f>
        <v>0</v>
      </c>
      <c r="I2159" s="32">
        <f>IF($A2159="","",IFERROR(INDEX(OSStatus,MATCH($A2159,OSNum,0)),"OS inexistente"))</f>
        <v>0</v>
      </c>
      <c r="J2159" s="32">
        <f>IF($A2159="","",IF($I2159="OS inexistente","OS inexistente",IF($E2159="Peça não cadastrada","Peça não cadastrada","OK")))</f>
        <v>0</v>
      </c>
    </row>
    <row r="2160" spans="1:10">
      <c r="A2160" s="17"/>
      <c r="B2160" s="13"/>
      <c r="C2160" s="20"/>
      <c r="D2160" s="19"/>
      <c r="E2160" s="26">
        <f>IF($B2160="","",IFERROR(INDEX(PecDesc,MATCH($B2160,PecCod,0)),"Peça não cadastrada"))</f>
        <v>0</v>
      </c>
      <c r="F2160" s="27">
        <f>IF($B2160="","",IF($D2160&lt;&gt;"",$D2160,IFERROR(INDEX(PecPreco,MATCH($B2160,PecCod,0)),0)))</f>
        <v>0</v>
      </c>
      <c r="G2160" s="27">
        <f>IF(OR($B2160="",$C2160=""),"",$C2160*$F2160)</f>
        <v>0</v>
      </c>
      <c r="H2160" s="27">
        <f>IF(OR($B2160="",$C2160=""),"",$C2160*IFERROR(INDEX(PecCusto,MATCH($B2160,PecCod,0)),0))</f>
        <v>0</v>
      </c>
      <c r="I2160" s="32">
        <f>IF($A2160="","",IFERROR(INDEX(OSStatus,MATCH($A2160,OSNum,0)),"OS inexistente"))</f>
        <v>0</v>
      </c>
      <c r="J2160" s="32">
        <f>IF($A2160="","",IF($I2160="OS inexistente","OS inexistente",IF($E2160="Peça não cadastrada","Peça não cadastrada","OK")))</f>
        <v>0</v>
      </c>
    </row>
    <row r="2161" spans="1:10">
      <c r="A2161" s="17"/>
      <c r="B2161" s="13"/>
      <c r="C2161" s="20"/>
      <c r="D2161" s="19"/>
      <c r="E2161" s="26">
        <f>IF($B2161="","",IFERROR(INDEX(PecDesc,MATCH($B2161,PecCod,0)),"Peça não cadastrada"))</f>
        <v>0</v>
      </c>
      <c r="F2161" s="27">
        <f>IF($B2161="","",IF($D2161&lt;&gt;"",$D2161,IFERROR(INDEX(PecPreco,MATCH($B2161,PecCod,0)),0)))</f>
        <v>0</v>
      </c>
      <c r="G2161" s="27">
        <f>IF(OR($B2161="",$C2161=""),"",$C2161*$F2161)</f>
        <v>0</v>
      </c>
      <c r="H2161" s="27">
        <f>IF(OR($B2161="",$C2161=""),"",$C2161*IFERROR(INDEX(PecCusto,MATCH($B2161,PecCod,0)),0))</f>
        <v>0</v>
      </c>
      <c r="I2161" s="32">
        <f>IF($A2161="","",IFERROR(INDEX(OSStatus,MATCH($A2161,OSNum,0)),"OS inexistente"))</f>
        <v>0</v>
      </c>
      <c r="J2161" s="32">
        <f>IF($A2161="","",IF($I2161="OS inexistente","OS inexistente",IF($E2161="Peça não cadastrada","Peça não cadastrada","OK")))</f>
        <v>0</v>
      </c>
    </row>
    <row r="2162" spans="1:10">
      <c r="A2162" s="17"/>
      <c r="B2162" s="13"/>
      <c r="C2162" s="20"/>
      <c r="D2162" s="19"/>
      <c r="E2162" s="26">
        <f>IF($B2162="","",IFERROR(INDEX(PecDesc,MATCH($B2162,PecCod,0)),"Peça não cadastrada"))</f>
        <v>0</v>
      </c>
      <c r="F2162" s="27">
        <f>IF($B2162="","",IF($D2162&lt;&gt;"",$D2162,IFERROR(INDEX(PecPreco,MATCH($B2162,PecCod,0)),0)))</f>
        <v>0</v>
      </c>
      <c r="G2162" s="27">
        <f>IF(OR($B2162="",$C2162=""),"",$C2162*$F2162)</f>
        <v>0</v>
      </c>
      <c r="H2162" s="27">
        <f>IF(OR($B2162="",$C2162=""),"",$C2162*IFERROR(INDEX(PecCusto,MATCH($B2162,PecCod,0)),0))</f>
        <v>0</v>
      </c>
      <c r="I2162" s="32">
        <f>IF($A2162="","",IFERROR(INDEX(OSStatus,MATCH($A2162,OSNum,0)),"OS inexistente"))</f>
        <v>0</v>
      </c>
      <c r="J2162" s="32">
        <f>IF($A2162="","",IF($I2162="OS inexistente","OS inexistente",IF($E2162="Peça não cadastrada","Peça não cadastrada","OK")))</f>
        <v>0</v>
      </c>
    </row>
    <row r="2163" spans="1:10">
      <c r="A2163" s="17"/>
      <c r="B2163" s="13"/>
      <c r="C2163" s="20"/>
      <c r="D2163" s="19"/>
      <c r="E2163" s="26">
        <f>IF($B2163="","",IFERROR(INDEX(PecDesc,MATCH($B2163,PecCod,0)),"Peça não cadastrada"))</f>
        <v>0</v>
      </c>
      <c r="F2163" s="27">
        <f>IF($B2163="","",IF($D2163&lt;&gt;"",$D2163,IFERROR(INDEX(PecPreco,MATCH($B2163,PecCod,0)),0)))</f>
        <v>0</v>
      </c>
      <c r="G2163" s="27">
        <f>IF(OR($B2163="",$C2163=""),"",$C2163*$F2163)</f>
        <v>0</v>
      </c>
      <c r="H2163" s="27">
        <f>IF(OR($B2163="",$C2163=""),"",$C2163*IFERROR(INDEX(PecCusto,MATCH($B2163,PecCod,0)),0))</f>
        <v>0</v>
      </c>
      <c r="I2163" s="32">
        <f>IF($A2163="","",IFERROR(INDEX(OSStatus,MATCH($A2163,OSNum,0)),"OS inexistente"))</f>
        <v>0</v>
      </c>
      <c r="J2163" s="32">
        <f>IF($A2163="","",IF($I2163="OS inexistente","OS inexistente",IF($E2163="Peça não cadastrada","Peça não cadastrada","OK")))</f>
        <v>0</v>
      </c>
    </row>
    <row r="2164" spans="1:10">
      <c r="A2164" s="17"/>
      <c r="B2164" s="13"/>
      <c r="C2164" s="20"/>
      <c r="D2164" s="19"/>
      <c r="E2164" s="26">
        <f>IF($B2164="","",IFERROR(INDEX(PecDesc,MATCH($B2164,PecCod,0)),"Peça não cadastrada"))</f>
        <v>0</v>
      </c>
      <c r="F2164" s="27">
        <f>IF($B2164="","",IF($D2164&lt;&gt;"",$D2164,IFERROR(INDEX(PecPreco,MATCH($B2164,PecCod,0)),0)))</f>
        <v>0</v>
      </c>
      <c r="G2164" s="27">
        <f>IF(OR($B2164="",$C2164=""),"",$C2164*$F2164)</f>
        <v>0</v>
      </c>
      <c r="H2164" s="27">
        <f>IF(OR($B2164="",$C2164=""),"",$C2164*IFERROR(INDEX(PecCusto,MATCH($B2164,PecCod,0)),0))</f>
        <v>0</v>
      </c>
      <c r="I2164" s="32">
        <f>IF($A2164="","",IFERROR(INDEX(OSStatus,MATCH($A2164,OSNum,0)),"OS inexistente"))</f>
        <v>0</v>
      </c>
      <c r="J2164" s="32">
        <f>IF($A2164="","",IF($I2164="OS inexistente","OS inexistente",IF($E2164="Peça não cadastrada","Peça não cadastrada","OK")))</f>
        <v>0</v>
      </c>
    </row>
    <row r="2165" spans="1:10">
      <c r="A2165" s="17"/>
      <c r="B2165" s="13"/>
      <c r="C2165" s="20"/>
      <c r="D2165" s="19"/>
      <c r="E2165" s="26">
        <f>IF($B2165="","",IFERROR(INDEX(PecDesc,MATCH($B2165,PecCod,0)),"Peça não cadastrada"))</f>
        <v>0</v>
      </c>
      <c r="F2165" s="27">
        <f>IF($B2165="","",IF($D2165&lt;&gt;"",$D2165,IFERROR(INDEX(PecPreco,MATCH($B2165,PecCod,0)),0)))</f>
        <v>0</v>
      </c>
      <c r="G2165" s="27">
        <f>IF(OR($B2165="",$C2165=""),"",$C2165*$F2165)</f>
        <v>0</v>
      </c>
      <c r="H2165" s="27">
        <f>IF(OR($B2165="",$C2165=""),"",$C2165*IFERROR(INDEX(PecCusto,MATCH($B2165,PecCod,0)),0))</f>
        <v>0</v>
      </c>
      <c r="I2165" s="32">
        <f>IF($A2165="","",IFERROR(INDEX(OSStatus,MATCH($A2165,OSNum,0)),"OS inexistente"))</f>
        <v>0</v>
      </c>
      <c r="J2165" s="32">
        <f>IF($A2165="","",IF($I2165="OS inexistente","OS inexistente",IF($E2165="Peça não cadastrada","Peça não cadastrada","OK")))</f>
        <v>0</v>
      </c>
    </row>
    <row r="2166" spans="1:10">
      <c r="A2166" s="17"/>
      <c r="B2166" s="13"/>
      <c r="C2166" s="20"/>
      <c r="D2166" s="19"/>
      <c r="E2166" s="26">
        <f>IF($B2166="","",IFERROR(INDEX(PecDesc,MATCH($B2166,PecCod,0)),"Peça não cadastrada"))</f>
        <v>0</v>
      </c>
      <c r="F2166" s="27">
        <f>IF($B2166="","",IF($D2166&lt;&gt;"",$D2166,IFERROR(INDEX(PecPreco,MATCH($B2166,PecCod,0)),0)))</f>
        <v>0</v>
      </c>
      <c r="G2166" s="27">
        <f>IF(OR($B2166="",$C2166=""),"",$C2166*$F2166)</f>
        <v>0</v>
      </c>
      <c r="H2166" s="27">
        <f>IF(OR($B2166="",$C2166=""),"",$C2166*IFERROR(INDEX(PecCusto,MATCH($B2166,PecCod,0)),0))</f>
        <v>0</v>
      </c>
      <c r="I2166" s="32">
        <f>IF($A2166="","",IFERROR(INDEX(OSStatus,MATCH($A2166,OSNum,0)),"OS inexistente"))</f>
        <v>0</v>
      </c>
      <c r="J2166" s="32">
        <f>IF($A2166="","",IF($I2166="OS inexistente","OS inexistente",IF($E2166="Peça não cadastrada","Peça não cadastrada","OK")))</f>
        <v>0</v>
      </c>
    </row>
    <row r="2167" spans="1:10">
      <c r="A2167" s="17"/>
      <c r="B2167" s="13"/>
      <c r="C2167" s="20"/>
      <c r="D2167" s="19"/>
      <c r="E2167" s="26">
        <f>IF($B2167="","",IFERROR(INDEX(PecDesc,MATCH($B2167,PecCod,0)),"Peça não cadastrada"))</f>
        <v>0</v>
      </c>
      <c r="F2167" s="27">
        <f>IF($B2167="","",IF($D2167&lt;&gt;"",$D2167,IFERROR(INDEX(PecPreco,MATCH($B2167,PecCod,0)),0)))</f>
        <v>0</v>
      </c>
      <c r="G2167" s="27">
        <f>IF(OR($B2167="",$C2167=""),"",$C2167*$F2167)</f>
        <v>0</v>
      </c>
      <c r="H2167" s="27">
        <f>IF(OR($B2167="",$C2167=""),"",$C2167*IFERROR(INDEX(PecCusto,MATCH($B2167,PecCod,0)),0))</f>
        <v>0</v>
      </c>
      <c r="I2167" s="32">
        <f>IF($A2167="","",IFERROR(INDEX(OSStatus,MATCH($A2167,OSNum,0)),"OS inexistente"))</f>
        <v>0</v>
      </c>
      <c r="J2167" s="32">
        <f>IF($A2167="","",IF($I2167="OS inexistente","OS inexistente",IF($E2167="Peça não cadastrada","Peça não cadastrada","OK")))</f>
        <v>0</v>
      </c>
    </row>
    <row r="2168" spans="1:10">
      <c r="A2168" s="17"/>
      <c r="B2168" s="13"/>
      <c r="C2168" s="20"/>
      <c r="D2168" s="19"/>
      <c r="E2168" s="26">
        <f>IF($B2168="","",IFERROR(INDEX(PecDesc,MATCH($B2168,PecCod,0)),"Peça não cadastrada"))</f>
        <v>0</v>
      </c>
      <c r="F2168" s="27">
        <f>IF($B2168="","",IF($D2168&lt;&gt;"",$D2168,IFERROR(INDEX(PecPreco,MATCH($B2168,PecCod,0)),0)))</f>
        <v>0</v>
      </c>
      <c r="G2168" s="27">
        <f>IF(OR($B2168="",$C2168=""),"",$C2168*$F2168)</f>
        <v>0</v>
      </c>
      <c r="H2168" s="27">
        <f>IF(OR($B2168="",$C2168=""),"",$C2168*IFERROR(INDEX(PecCusto,MATCH($B2168,PecCod,0)),0))</f>
        <v>0</v>
      </c>
      <c r="I2168" s="32">
        <f>IF($A2168="","",IFERROR(INDEX(OSStatus,MATCH($A2168,OSNum,0)),"OS inexistente"))</f>
        <v>0</v>
      </c>
      <c r="J2168" s="32">
        <f>IF($A2168="","",IF($I2168="OS inexistente","OS inexistente",IF($E2168="Peça não cadastrada","Peça não cadastrada","OK")))</f>
        <v>0</v>
      </c>
    </row>
    <row r="2169" spans="1:10">
      <c r="A2169" s="17"/>
      <c r="B2169" s="13"/>
      <c r="C2169" s="20"/>
      <c r="D2169" s="19"/>
      <c r="E2169" s="26">
        <f>IF($B2169="","",IFERROR(INDEX(PecDesc,MATCH($B2169,PecCod,0)),"Peça não cadastrada"))</f>
        <v>0</v>
      </c>
      <c r="F2169" s="27">
        <f>IF($B2169="","",IF($D2169&lt;&gt;"",$D2169,IFERROR(INDEX(PecPreco,MATCH($B2169,PecCod,0)),0)))</f>
        <v>0</v>
      </c>
      <c r="G2169" s="27">
        <f>IF(OR($B2169="",$C2169=""),"",$C2169*$F2169)</f>
        <v>0</v>
      </c>
      <c r="H2169" s="27">
        <f>IF(OR($B2169="",$C2169=""),"",$C2169*IFERROR(INDEX(PecCusto,MATCH($B2169,PecCod,0)),0))</f>
        <v>0</v>
      </c>
      <c r="I2169" s="32">
        <f>IF($A2169="","",IFERROR(INDEX(OSStatus,MATCH($A2169,OSNum,0)),"OS inexistente"))</f>
        <v>0</v>
      </c>
      <c r="J2169" s="32">
        <f>IF($A2169="","",IF($I2169="OS inexistente","OS inexistente",IF($E2169="Peça não cadastrada","Peça não cadastrada","OK")))</f>
        <v>0</v>
      </c>
    </row>
    <row r="2170" spans="1:10">
      <c r="A2170" s="17"/>
      <c r="B2170" s="13"/>
      <c r="C2170" s="20"/>
      <c r="D2170" s="19"/>
      <c r="E2170" s="26">
        <f>IF($B2170="","",IFERROR(INDEX(PecDesc,MATCH($B2170,PecCod,0)),"Peça não cadastrada"))</f>
        <v>0</v>
      </c>
      <c r="F2170" s="27">
        <f>IF($B2170="","",IF($D2170&lt;&gt;"",$D2170,IFERROR(INDEX(PecPreco,MATCH($B2170,PecCod,0)),0)))</f>
        <v>0</v>
      </c>
      <c r="G2170" s="27">
        <f>IF(OR($B2170="",$C2170=""),"",$C2170*$F2170)</f>
        <v>0</v>
      </c>
      <c r="H2170" s="27">
        <f>IF(OR($B2170="",$C2170=""),"",$C2170*IFERROR(INDEX(PecCusto,MATCH($B2170,PecCod,0)),0))</f>
        <v>0</v>
      </c>
      <c r="I2170" s="32">
        <f>IF($A2170="","",IFERROR(INDEX(OSStatus,MATCH($A2170,OSNum,0)),"OS inexistente"))</f>
        <v>0</v>
      </c>
      <c r="J2170" s="32">
        <f>IF($A2170="","",IF($I2170="OS inexistente","OS inexistente",IF($E2170="Peça não cadastrada","Peça não cadastrada","OK")))</f>
        <v>0</v>
      </c>
    </row>
    <row r="2171" spans="1:10">
      <c r="A2171" s="17"/>
      <c r="B2171" s="13"/>
      <c r="C2171" s="20"/>
      <c r="D2171" s="19"/>
      <c r="E2171" s="26">
        <f>IF($B2171="","",IFERROR(INDEX(PecDesc,MATCH($B2171,PecCod,0)),"Peça não cadastrada"))</f>
        <v>0</v>
      </c>
      <c r="F2171" s="27">
        <f>IF($B2171="","",IF($D2171&lt;&gt;"",$D2171,IFERROR(INDEX(PecPreco,MATCH($B2171,PecCod,0)),0)))</f>
        <v>0</v>
      </c>
      <c r="G2171" s="27">
        <f>IF(OR($B2171="",$C2171=""),"",$C2171*$F2171)</f>
        <v>0</v>
      </c>
      <c r="H2171" s="27">
        <f>IF(OR($B2171="",$C2171=""),"",$C2171*IFERROR(INDEX(PecCusto,MATCH($B2171,PecCod,0)),0))</f>
        <v>0</v>
      </c>
      <c r="I2171" s="32">
        <f>IF($A2171="","",IFERROR(INDEX(OSStatus,MATCH($A2171,OSNum,0)),"OS inexistente"))</f>
        <v>0</v>
      </c>
      <c r="J2171" s="32">
        <f>IF($A2171="","",IF($I2171="OS inexistente","OS inexistente",IF($E2171="Peça não cadastrada","Peça não cadastrada","OK")))</f>
        <v>0</v>
      </c>
    </row>
    <row r="2172" spans="1:10">
      <c r="A2172" s="17"/>
      <c r="B2172" s="13"/>
      <c r="C2172" s="20"/>
      <c r="D2172" s="19"/>
      <c r="E2172" s="26">
        <f>IF($B2172="","",IFERROR(INDEX(PecDesc,MATCH($B2172,PecCod,0)),"Peça não cadastrada"))</f>
        <v>0</v>
      </c>
      <c r="F2172" s="27">
        <f>IF($B2172="","",IF($D2172&lt;&gt;"",$D2172,IFERROR(INDEX(PecPreco,MATCH($B2172,PecCod,0)),0)))</f>
        <v>0</v>
      </c>
      <c r="G2172" s="27">
        <f>IF(OR($B2172="",$C2172=""),"",$C2172*$F2172)</f>
        <v>0</v>
      </c>
      <c r="H2172" s="27">
        <f>IF(OR($B2172="",$C2172=""),"",$C2172*IFERROR(INDEX(PecCusto,MATCH($B2172,PecCod,0)),0))</f>
        <v>0</v>
      </c>
      <c r="I2172" s="32">
        <f>IF($A2172="","",IFERROR(INDEX(OSStatus,MATCH($A2172,OSNum,0)),"OS inexistente"))</f>
        <v>0</v>
      </c>
      <c r="J2172" s="32">
        <f>IF($A2172="","",IF($I2172="OS inexistente","OS inexistente",IF($E2172="Peça não cadastrada","Peça não cadastrada","OK")))</f>
        <v>0</v>
      </c>
    </row>
    <row r="2173" spans="1:10">
      <c r="A2173" s="17"/>
      <c r="B2173" s="13"/>
      <c r="C2173" s="20"/>
      <c r="D2173" s="19"/>
      <c r="E2173" s="26">
        <f>IF($B2173="","",IFERROR(INDEX(PecDesc,MATCH($B2173,PecCod,0)),"Peça não cadastrada"))</f>
        <v>0</v>
      </c>
      <c r="F2173" s="27">
        <f>IF($B2173="","",IF($D2173&lt;&gt;"",$D2173,IFERROR(INDEX(PecPreco,MATCH($B2173,PecCod,0)),0)))</f>
        <v>0</v>
      </c>
      <c r="G2173" s="27">
        <f>IF(OR($B2173="",$C2173=""),"",$C2173*$F2173)</f>
        <v>0</v>
      </c>
      <c r="H2173" s="27">
        <f>IF(OR($B2173="",$C2173=""),"",$C2173*IFERROR(INDEX(PecCusto,MATCH($B2173,PecCod,0)),0))</f>
        <v>0</v>
      </c>
      <c r="I2173" s="32">
        <f>IF($A2173="","",IFERROR(INDEX(OSStatus,MATCH($A2173,OSNum,0)),"OS inexistente"))</f>
        <v>0</v>
      </c>
      <c r="J2173" s="32">
        <f>IF($A2173="","",IF($I2173="OS inexistente","OS inexistente",IF($E2173="Peça não cadastrada","Peça não cadastrada","OK")))</f>
        <v>0</v>
      </c>
    </row>
    <row r="2174" spans="1:10">
      <c r="A2174" s="17"/>
      <c r="B2174" s="13"/>
      <c r="C2174" s="20"/>
      <c r="D2174" s="19"/>
      <c r="E2174" s="26">
        <f>IF($B2174="","",IFERROR(INDEX(PecDesc,MATCH($B2174,PecCod,0)),"Peça não cadastrada"))</f>
        <v>0</v>
      </c>
      <c r="F2174" s="27">
        <f>IF($B2174="","",IF($D2174&lt;&gt;"",$D2174,IFERROR(INDEX(PecPreco,MATCH($B2174,PecCod,0)),0)))</f>
        <v>0</v>
      </c>
      <c r="G2174" s="27">
        <f>IF(OR($B2174="",$C2174=""),"",$C2174*$F2174)</f>
        <v>0</v>
      </c>
      <c r="H2174" s="27">
        <f>IF(OR($B2174="",$C2174=""),"",$C2174*IFERROR(INDEX(PecCusto,MATCH($B2174,PecCod,0)),0))</f>
        <v>0</v>
      </c>
      <c r="I2174" s="32">
        <f>IF($A2174="","",IFERROR(INDEX(OSStatus,MATCH($A2174,OSNum,0)),"OS inexistente"))</f>
        <v>0</v>
      </c>
      <c r="J2174" s="32">
        <f>IF($A2174="","",IF($I2174="OS inexistente","OS inexistente",IF($E2174="Peça não cadastrada","Peça não cadastrada","OK")))</f>
        <v>0</v>
      </c>
    </row>
    <row r="2175" spans="1:10">
      <c r="A2175" s="17"/>
      <c r="B2175" s="13"/>
      <c r="C2175" s="20"/>
      <c r="D2175" s="19"/>
      <c r="E2175" s="26">
        <f>IF($B2175="","",IFERROR(INDEX(PecDesc,MATCH($B2175,PecCod,0)),"Peça não cadastrada"))</f>
        <v>0</v>
      </c>
      <c r="F2175" s="27">
        <f>IF($B2175="","",IF($D2175&lt;&gt;"",$D2175,IFERROR(INDEX(PecPreco,MATCH($B2175,PecCod,0)),0)))</f>
        <v>0</v>
      </c>
      <c r="G2175" s="27">
        <f>IF(OR($B2175="",$C2175=""),"",$C2175*$F2175)</f>
        <v>0</v>
      </c>
      <c r="H2175" s="27">
        <f>IF(OR($B2175="",$C2175=""),"",$C2175*IFERROR(INDEX(PecCusto,MATCH($B2175,PecCod,0)),0))</f>
        <v>0</v>
      </c>
      <c r="I2175" s="32">
        <f>IF($A2175="","",IFERROR(INDEX(OSStatus,MATCH($A2175,OSNum,0)),"OS inexistente"))</f>
        <v>0</v>
      </c>
      <c r="J2175" s="32">
        <f>IF($A2175="","",IF($I2175="OS inexistente","OS inexistente",IF($E2175="Peça não cadastrada","Peça não cadastrada","OK")))</f>
        <v>0</v>
      </c>
    </row>
    <row r="2176" spans="1:10">
      <c r="A2176" s="17"/>
      <c r="B2176" s="13"/>
      <c r="C2176" s="20"/>
      <c r="D2176" s="19"/>
      <c r="E2176" s="26">
        <f>IF($B2176="","",IFERROR(INDEX(PecDesc,MATCH($B2176,PecCod,0)),"Peça não cadastrada"))</f>
        <v>0</v>
      </c>
      <c r="F2176" s="27">
        <f>IF($B2176="","",IF($D2176&lt;&gt;"",$D2176,IFERROR(INDEX(PecPreco,MATCH($B2176,PecCod,0)),0)))</f>
        <v>0</v>
      </c>
      <c r="G2176" s="27">
        <f>IF(OR($B2176="",$C2176=""),"",$C2176*$F2176)</f>
        <v>0</v>
      </c>
      <c r="H2176" s="27">
        <f>IF(OR($B2176="",$C2176=""),"",$C2176*IFERROR(INDEX(PecCusto,MATCH($B2176,PecCod,0)),0))</f>
        <v>0</v>
      </c>
      <c r="I2176" s="32">
        <f>IF($A2176="","",IFERROR(INDEX(OSStatus,MATCH($A2176,OSNum,0)),"OS inexistente"))</f>
        <v>0</v>
      </c>
      <c r="J2176" s="32">
        <f>IF($A2176="","",IF($I2176="OS inexistente","OS inexistente",IF($E2176="Peça não cadastrada","Peça não cadastrada","OK")))</f>
        <v>0</v>
      </c>
    </row>
    <row r="2177" spans="1:10">
      <c r="A2177" s="17"/>
      <c r="B2177" s="13"/>
      <c r="C2177" s="20"/>
      <c r="D2177" s="19"/>
      <c r="E2177" s="26">
        <f>IF($B2177="","",IFERROR(INDEX(PecDesc,MATCH($B2177,PecCod,0)),"Peça não cadastrada"))</f>
        <v>0</v>
      </c>
      <c r="F2177" s="27">
        <f>IF($B2177="","",IF($D2177&lt;&gt;"",$D2177,IFERROR(INDEX(PecPreco,MATCH($B2177,PecCod,0)),0)))</f>
        <v>0</v>
      </c>
      <c r="G2177" s="27">
        <f>IF(OR($B2177="",$C2177=""),"",$C2177*$F2177)</f>
        <v>0</v>
      </c>
      <c r="H2177" s="27">
        <f>IF(OR($B2177="",$C2177=""),"",$C2177*IFERROR(INDEX(PecCusto,MATCH($B2177,PecCod,0)),0))</f>
        <v>0</v>
      </c>
      <c r="I2177" s="32">
        <f>IF($A2177="","",IFERROR(INDEX(OSStatus,MATCH($A2177,OSNum,0)),"OS inexistente"))</f>
        <v>0</v>
      </c>
      <c r="J2177" s="32">
        <f>IF($A2177="","",IF($I2177="OS inexistente","OS inexistente",IF($E2177="Peça não cadastrada","Peça não cadastrada","OK")))</f>
        <v>0</v>
      </c>
    </row>
    <row r="2178" spans="1:10">
      <c r="A2178" s="17"/>
      <c r="B2178" s="13"/>
      <c r="C2178" s="20"/>
      <c r="D2178" s="19"/>
      <c r="E2178" s="26">
        <f>IF($B2178="","",IFERROR(INDEX(PecDesc,MATCH($B2178,PecCod,0)),"Peça não cadastrada"))</f>
        <v>0</v>
      </c>
      <c r="F2178" s="27">
        <f>IF($B2178="","",IF($D2178&lt;&gt;"",$D2178,IFERROR(INDEX(PecPreco,MATCH($B2178,PecCod,0)),0)))</f>
        <v>0</v>
      </c>
      <c r="G2178" s="27">
        <f>IF(OR($B2178="",$C2178=""),"",$C2178*$F2178)</f>
        <v>0</v>
      </c>
      <c r="H2178" s="27">
        <f>IF(OR($B2178="",$C2178=""),"",$C2178*IFERROR(INDEX(PecCusto,MATCH($B2178,PecCod,0)),0))</f>
        <v>0</v>
      </c>
      <c r="I2178" s="32">
        <f>IF($A2178="","",IFERROR(INDEX(OSStatus,MATCH($A2178,OSNum,0)),"OS inexistente"))</f>
        <v>0</v>
      </c>
      <c r="J2178" s="32">
        <f>IF($A2178="","",IF($I2178="OS inexistente","OS inexistente",IF($E2178="Peça não cadastrada","Peça não cadastrada","OK")))</f>
        <v>0</v>
      </c>
    </row>
    <row r="2179" spans="1:10">
      <c r="A2179" s="17"/>
      <c r="B2179" s="13"/>
      <c r="C2179" s="20"/>
      <c r="D2179" s="19"/>
      <c r="E2179" s="26">
        <f>IF($B2179="","",IFERROR(INDEX(PecDesc,MATCH($B2179,PecCod,0)),"Peça não cadastrada"))</f>
        <v>0</v>
      </c>
      <c r="F2179" s="27">
        <f>IF($B2179="","",IF($D2179&lt;&gt;"",$D2179,IFERROR(INDEX(PecPreco,MATCH($B2179,PecCod,0)),0)))</f>
        <v>0</v>
      </c>
      <c r="G2179" s="27">
        <f>IF(OR($B2179="",$C2179=""),"",$C2179*$F2179)</f>
        <v>0</v>
      </c>
      <c r="H2179" s="27">
        <f>IF(OR($B2179="",$C2179=""),"",$C2179*IFERROR(INDEX(PecCusto,MATCH($B2179,PecCod,0)),0))</f>
        <v>0</v>
      </c>
      <c r="I2179" s="32">
        <f>IF($A2179="","",IFERROR(INDEX(OSStatus,MATCH($A2179,OSNum,0)),"OS inexistente"))</f>
        <v>0</v>
      </c>
      <c r="J2179" s="32">
        <f>IF($A2179="","",IF($I2179="OS inexistente","OS inexistente",IF($E2179="Peça não cadastrada","Peça não cadastrada","OK")))</f>
        <v>0</v>
      </c>
    </row>
    <row r="2180" spans="1:10">
      <c r="A2180" s="17"/>
      <c r="B2180" s="13"/>
      <c r="C2180" s="20"/>
      <c r="D2180" s="19"/>
      <c r="E2180" s="26">
        <f>IF($B2180="","",IFERROR(INDEX(PecDesc,MATCH($B2180,PecCod,0)),"Peça não cadastrada"))</f>
        <v>0</v>
      </c>
      <c r="F2180" s="27">
        <f>IF($B2180="","",IF($D2180&lt;&gt;"",$D2180,IFERROR(INDEX(PecPreco,MATCH($B2180,PecCod,0)),0)))</f>
        <v>0</v>
      </c>
      <c r="G2180" s="27">
        <f>IF(OR($B2180="",$C2180=""),"",$C2180*$F2180)</f>
        <v>0</v>
      </c>
      <c r="H2180" s="27">
        <f>IF(OR($B2180="",$C2180=""),"",$C2180*IFERROR(INDEX(PecCusto,MATCH($B2180,PecCod,0)),0))</f>
        <v>0</v>
      </c>
      <c r="I2180" s="32">
        <f>IF($A2180="","",IFERROR(INDEX(OSStatus,MATCH($A2180,OSNum,0)),"OS inexistente"))</f>
        <v>0</v>
      </c>
      <c r="J2180" s="32">
        <f>IF($A2180="","",IF($I2180="OS inexistente","OS inexistente",IF($E2180="Peça não cadastrada","Peça não cadastrada","OK")))</f>
        <v>0</v>
      </c>
    </row>
    <row r="2181" spans="1:10">
      <c r="A2181" s="17"/>
      <c r="B2181" s="13"/>
      <c r="C2181" s="20"/>
      <c r="D2181" s="19"/>
      <c r="E2181" s="26">
        <f>IF($B2181="","",IFERROR(INDEX(PecDesc,MATCH($B2181,PecCod,0)),"Peça não cadastrada"))</f>
        <v>0</v>
      </c>
      <c r="F2181" s="27">
        <f>IF($B2181="","",IF($D2181&lt;&gt;"",$D2181,IFERROR(INDEX(PecPreco,MATCH($B2181,PecCod,0)),0)))</f>
        <v>0</v>
      </c>
      <c r="G2181" s="27">
        <f>IF(OR($B2181="",$C2181=""),"",$C2181*$F2181)</f>
        <v>0</v>
      </c>
      <c r="H2181" s="27">
        <f>IF(OR($B2181="",$C2181=""),"",$C2181*IFERROR(INDEX(PecCusto,MATCH($B2181,PecCod,0)),0))</f>
        <v>0</v>
      </c>
      <c r="I2181" s="32">
        <f>IF($A2181="","",IFERROR(INDEX(OSStatus,MATCH($A2181,OSNum,0)),"OS inexistente"))</f>
        <v>0</v>
      </c>
      <c r="J2181" s="32">
        <f>IF($A2181="","",IF($I2181="OS inexistente","OS inexistente",IF($E2181="Peça não cadastrada","Peça não cadastrada","OK")))</f>
        <v>0</v>
      </c>
    </row>
    <row r="2182" spans="1:10">
      <c r="A2182" s="17"/>
      <c r="B2182" s="13"/>
      <c r="C2182" s="20"/>
      <c r="D2182" s="19"/>
      <c r="E2182" s="26">
        <f>IF($B2182="","",IFERROR(INDEX(PecDesc,MATCH($B2182,PecCod,0)),"Peça não cadastrada"))</f>
        <v>0</v>
      </c>
      <c r="F2182" s="27">
        <f>IF($B2182="","",IF($D2182&lt;&gt;"",$D2182,IFERROR(INDEX(PecPreco,MATCH($B2182,PecCod,0)),0)))</f>
        <v>0</v>
      </c>
      <c r="G2182" s="27">
        <f>IF(OR($B2182="",$C2182=""),"",$C2182*$F2182)</f>
        <v>0</v>
      </c>
      <c r="H2182" s="27">
        <f>IF(OR($B2182="",$C2182=""),"",$C2182*IFERROR(INDEX(PecCusto,MATCH($B2182,PecCod,0)),0))</f>
        <v>0</v>
      </c>
      <c r="I2182" s="32">
        <f>IF($A2182="","",IFERROR(INDEX(OSStatus,MATCH($A2182,OSNum,0)),"OS inexistente"))</f>
        <v>0</v>
      </c>
      <c r="J2182" s="32">
        <f>IF($A2182="","",IF($I2182="OS inexistente","OS inexistente",IF($E2182="Peça não cadastrada","Peça não cadastrada","OK")))</f>
        <v>0</v>
      </c>
    </row>
    <row r="2183" spans="1:10">
      <c r="A2183" s="17"/>
      <c r="B2183" s="13"/>
      <c r="C2183" s="20"/>
      <c r="D2183" s="19"/>
      <c r="E2183" s="26">
        <f>IF($B2183="","",IFERROR(INDEX(PecDesc,MATCH($B2183,PecCod,0)),"Peça não cadastrada"))</f>
        <v>0</v>
      </c>
      <c r="F2183" s="27">
        <f>IF($B2183="","",IF($D2183&lt;&gt;"",$D2183,IFERROR(INDEX(PecPreco,MATCH($B2183,PecCod,0)),0)))</f>
        <v>0</v>
      </c>
      <c r="G2183" s="27">
        <f>IF(OR($B2183="",$C2183=""),"",$C2183*$F2183)</f>
        <v>0</v>
      </c>
      <c r="H2183" s="27">
        <f>IF(OR($B2183="",$C2183=""),"",$C2183*IFERROR(INDEX(PecCusto,MATCH($B2183,PecCod,0)),0))</f>
        <v>0</v>
      </c>
      <c r="I2183" s="32">
        <f>IF($A2183="","",IFERROR(INDEX(OSStatus,MATCH($A2183,OSNum,0)),"OS inexistente"))</f>
        <v>0</v>
      </c>
      <c r="J2183" s="32">
        <f>IF($A2183="","",IF($I2183="OS inexistente","OS inexistente",IF($E2183="Peça não cadastrada","Peça não cadastrada","OK")))</f>
        <v>0</v>
      </c>
    </row>
    <row r="2184" spans="1:10">
      <c r="A2184" s="17"/>
      <c r="B2184" s="13"/>
      <c r="C2184" s="20"/>
      <c r="D2184" s="19"/>
      <c r="E2184" s="26">
        <f>IF($B2184="","",IFERROR(INDEX(PecDesc,MATCH($B2184,PecCod,0)),"Peça não cadastrada"))</f>
        <v>0</v>
      </c>
      <c r="F2184" s="27">
        <f>IF($B2184="","",IF($D2184&lt;&gt;"",$D2184,IFERROR(INDEX(PecPreco,MATCH($B2184,PecCod,0)),0)))</f>
        <v>0</v>
      </c>
      <c r="G2184" s="27">
        <f>IF(OR($B2184="",$C2184=""),"",$C2184*$F2184)</f>
        <v>0</v>
      </c>
      <c r="H2184" s="27">
        <f>IF(OR($B2184="",$C2184=""),"",$C2184*IFERROR(INDEX(PecCusto,MATCH($B2184,PecCod,0)),0))</f>
        <v>0</v>
      </c>
      <c r="I2184" s="32">
        <f>IF($A2184="","",IFERROR(INDEX(OSStatus,MATCH($A2184,OSNum,0)),"OS inexistente"))</f>
        <v>0</v>
      </c>
      <c r="J2184" s="32">
        <f>IF($A2184="","",IF($I2184="OS inexistente","OS inexistente",IF($E2184="Peça não cadastrada","Peça não cadastrada","OK")))</f>
        <v>0</v>
      </c>
    </row>
    <row r="2185" spans="1:10">
      <c r="A2185" s="17"/>
      <c r="B2185" s="13"/>
      <c r="C2185" s="20"/>
      <c r="D2185" s="19"/>
      <c r="E2185" s="26">
        <f>IF($B2185="","",IFERROR(INDEX(PecDesc,MATCH($B2185,PecCod,0)),"Peça não cadastrada"))</f>
        <v>0</v>
      </c>
      <c r="F2185" s="27">
        <f>IF($B2185="","",IF($D2185&lt;&gt;"",$D2185,IFERROR(INDEX(PecPreco,MATCH($B2185,PecCod,0)),0)))</f>
        <v>0</v>
      </c>
      <c r="G2185" s="27">
        <f>IF(OR($B2185="",$C2185=""),"",$C2185*$F2185)</f>
        <v>0</v>
      </c>
      <c r="H2185" s="27">
        <f>IF(OR($B2185="",$C2185=""),"",$C2185*IFERROR(INDEX(PecCusto,MATCH($B2185,PecCod,0)),0))</f>
        <v>0</v>
      </c>
      <c r="I2185" s="32">
        <f>IF($A2185="","",IFERROR(INDEX(OSStatus,MATCH($A2185,OSNum,0)),"OS inexistente"))</f>
        <v>0</v>
      </c>
      <c r="J2185" s="32">
        <f>IF($A2185="","",IF($I2185="OS inexistente","OS inexistente",IF($E2185="Peça não cadastrada","Peça não cadastrada","OK")))</f>
        <v>0</v>
      </c>
    </row>
    <row r="2186" spans="1:10">
      <c r="A2186" s="17"/>
      <c r="B2186" s="13"/>
      <c r="C2186" s="20"/>
      <c r="D2186" s="19"/>
      <c r="E2186" s="26">
        <f>IF($B2186="","",IFERROR(INDEX(PecDesc,MATCH($B2186,PecCod,0)),"Peça não cadastrada"))</f>
        <v>0</v>
      </c>
      <c r="F2186" s="27">
        <f>IF($B2186="","",IF($D2186&lt;&gt;"",$D2186,IFERROR(INDEX(PecPreco,MATCH($B2186,PecCod,0)),0)))</f>
        <v>0</v>
      </c>
      <c r="G2186" s="27">
        <f>IF(OR($B2186="",$C2186=""),"",$C2186*$F2186)</f>
        <v>0</v>
      </c>
      <c r="H2186" s="27">
        <f>IF(OR($B2186="",$C2186=""),"",$C2186*IFERROR(INDEX(PecCusto,MATCH($B2186,PecCod,0)),0))</f>
        <v>0</v>
      </c>
      <c r="I2186" s="32">
        <f>IF($A2186="","",IFERROR(INDEX(OSStatus,MATCH($A2186,OSNum,0)),"OS inexistente"))</f>
        <v>0</v>
      </c>
      <c r="J2186" s="32">
        <f>IF($A2186="","",IF($I2186="OS inexistente","OS inexistente",IF($E2186="Peça não cadastrada","Peça não cadastrada","OK")))</f>
        <v>0</v>
      </c>
    </row>
    <row r="2187" spans="1:10">
      <c r="A2187" s="17"/>
      <c r="B2187" s="13"/>
      <c r="C2187" s="20"/>
      <c r="D2187" s="19"/>
      <c r="E2187" s="26">
        <f>IF($B2187="","",IFERROR(INDEX(PecDesc,MATCH($B2187,PecCod,0)),"Peça não cadastrada"))</f>
        <v>0</v>
      </c>
      <c r="F2187" s="27">
        <f>IF($B2187="","",IF($D2187&lt;&gt;"",$D2187,IFERROR(INDEX(PecPreco,MATCH($B2187,PecCod,0)),0)))</f>
        <v>0</v>
      </c>
      <c r="G2187" s="27">
        <f>IF(OR($B2187="",$C2187=""),"",$C2187*$F2187)</f>
        <v>0</v>
      </c>
      <c r="H2187" s="27">
        <f>IF(OR($B2187="",$C2187=""),"",$C2187*IFERROR(INDEX(PecCusto,MATCH($B2187,PecCod,0)),0))</f>
        <v>0</v>
      </c>
      <c r="I2187" s="32">
        <f>IF($A2187="","",IFERROR(INDEX(OSStatus,MATCH($A2187,OSNum,0)),"OS inexistente"))</f>
        <v>0</v>
      </c>
      <c r="J2187" s="32">
        <f>IF($A2187="","",IF($I2187="OS inexistente","OS inexistente",IF($E2187="Peça não cadastrada","Peça não cadastrada","OK")))</f>
        <v>0</v>
      </c>
    </row>
    <row r="2188" spans="1:10">
      <c r="A2188" s="17"/>
      <c r="B2188" s="13"/>
      <c r="C2188" s="20"/>
      <c r="D2188" s="19"/>
      <c r="E2188" s="26">
        <f>IF($B2188="","",IFERROR(INDEX(PecDesc,MATCH($B2188,PecCod,0)),"Peça não cadastrada"))</f>
        <v>0</v>
      </c>
      <c r="F2188" s="27">
        <f>IF($B2188="","",IF($D2188&lt;&gt;"",$D2188,IFERROR(INDEX(PecPreco,MATCH($B2188,PecCod,0)),0)))</f>
        <v>0</v>
      </c>
      <c r="G2188" s="27">
        <f>IF(OR($B2188="",$C2188=""),"",$C2188*$F2188)</f>
        <v>0</v>
      </c>
      <c r="H2188" s="27">
        <f>IF(OR($B2188="",$C2188=""),"",$C2188*IFERROR(INDEX(PecCusto,MATCH($B2188,PecCod,0)),0))</f>
        <v>0</v>
      </c>
      <c r="I2188" s="32">
        <f>IF($A2188="","",IFERROR(INDEX(OSStatus,MATCH($A2188,OSNum,0)),"OS inexistente"))</f>
        <v>0</v>
      </c>
      <c r="J2188" s="32">
        <f>IF($A2188="","",IF($I2188="OS inexistente","OS inexistente",IF($E2188="Peça não cadastrada","Peça não cadastrada","OK")))</f>
        <v>0</v>
      </c>
    </row>
    <row r="2189" spans="1:10">
      <c r="A2189" s="17"/>
      <c r="B2189" s="13"/>
      <c r="C2189" s="20"/>
      <c r="D2189" s="19"/>
      <c r="E2189" s="26">
        <f>IF($B2189="","",IFERROR(INDEX(PecDesc,MATCH($B2189,PecCod,0)),"Peça não cadastrada"))</f>
        <v>0</v>
      </c>
      <c r="F2189" s="27">
        <f>IF($B2189="","",IF($D2189&lt;&gt;"",$D2189,IFERROR(INDEX(PecPreco,MATCH($B2189,PecCod,0)),0)))</f>
        <v>0</v>
      </c>
      <c r="G2189" s="27">
        <f>IF(OR($B2189="",$C2189=""),"",$C2189*$F2189)</f>
        <v>0</v>
      </c>
      <c r="H2189" s="27">
        <f>IF(OR($B2189="",$C2189=""),"",$C2189*IFERROR(INDEX(PecCusto,MATCH($B2189,PecCod,0)),0))</f>
        <v>0</v>
      </c>
      <c r="I2189" s="32">
        <f>IF($A2189="","",IFERROR(INDEX(OSStatus,MATCH($A2189,OSNum,0)),"OS inexistente"))</f>
        <v>0</v>
      </c>
      <c r="J2189" s="32">
        <f>IF($A2189="","",IF($I2189="OS inexistente","OS inexistente",IF($E2189="Peça não cadastrada","Peça não cadastrada","OK")))</f>
        <v>0</v>
      </c>
    </row>
    <row r="2190" spans="1:10">
      <c r="A2190" s="17"/>
      <c r="B2190" s="13"/>
      <c r="C2190" s="20"/>
      <c r="D2190" s="19"/>
      <c r="E2190" s="26">
        <f>IF($B2190="","",IFERROR(INDEX(PecDesc,MATCH($B2190,PecCod,0)),"Peça não cadastrada"))</f>
        <v>0</v>
      </c>
      <c r="F2190" s="27">
        <f>IF($B2190="","",IF($D2190&lt;&gt;"",$D2190,IFERROR(INDEX(PecPreco,MATCH($B2190,PecCod,0)),0)))</f>
        <v>0</v>
      </c>
      <c r="G2190" s="27">
        <f>IF(OR($B2190="",$C2190=""),"",$C2190*$F2190)</f>
        <v>0</v>
      </c>
      <c r="H2190" s="27">
        <f>IF(OR($B2190="",$C2190=""),"",$C2190*IFERROR(INDEX(PecCusto,MATCH($B2190,PecCod,0)),0))</f>
        <v>0</v>
      </c>
      <c r="I2190" s="32">
        <f>IF($A2190="","",IFERROR(INDEX(OSStatus,MATCH($A2190,OSNum,0)),"OS inexistente"))</f>
        <v>0</v>
      </c>
      <c r="J2190" s="32">
        <f>IF($A2190="","",IF($I2190="OS inexistente","OS inexistente",IF($E2190="Peça não cadastrada","Peça não cadastrada","OK")))</f>
        <v>0</v>
      </c>
    </row>
    <row r="2191" spans="1:10">
      <c r="A2191" s="17"/>
      <c r="B2191" s="13"/>
      <c r="C2191" s="20"/>
      <c r="D2191" s="19"/>
      <c r="E2191" s="26">
        <f>IF($B2191="","",IFERROR(INDEX(PecDesc,MATCH($B2191,PecCod,0)),"Peça não cadastrada"))</f>
        <v>0</v>
      </c>
      <c r="F2191" s="27">
        <f>IF($B2191="","",IF($D2191&lt;&gt;"",$D2191,IFERROR(INDEX(PecPreco,MATCH($B2191,PecCod,0)),0)))</f>
        <v>0</v>
      </c>
      <c r="G2191" s="27">
        <f>IF(OR($B2191="",$C2191=""),"",$C2191*$F2191)</f>
        <v>0</v>
      </c>
      <c r="H2191" s="27">
        <f>IF(OR($B2191="",$C2191=""),"",$C2191*IFERROR(INDEX(PecCusto,MATCH($B2191,PecCod,0)),0))</f>
        <v>0</v>
      </c>
      <c r="I2191" s="32">
        <f>IF($A2191="","",IFERROR(INDEX(OSStatus,MATCH($A2191,OSNum,0)),"OS inexistente"))</f>
        <v>0</v>
      </c>
      <c r="J2191" s="32">
        <f>IF($A2191="","",IF($I2191="OS inexistente","OS inexistente",IF($E2191="Peça não cadastrada","Peça não cadastrada","OK")))</f>
        <v>0</v>
      </c>
    </row>
    <row r="2192" spans="1:10">
      <c r="A2192" s="17"/>
      <c r="B2192" s="13"/>
      <c r="C2192" s="20"/>
      <c r="D2192" s="19"/>
      <c r="E2192" s="26">
        <f>IF($B2192="","",IFERROR(INDEX(PecDesc,MATCH($B2192,PecCod,0)),"Peça não cadastrada"))</f>
        <v>0</v>
      </c>
      <c r="F2192" s="27">
        <f>IF($B2192="","",IF($D2192&lt;&gt;"",$D2192,IFERROR(INDEX(PecPreco,MATCH($B2192,PecCod,0)),0)))</f>
        <v>0</v>
      </c>
      <c r="G2192" s="27">
        <f>IF(OR($B2192="",$C2192=""),"",$C2192*$F2192)</f>
        <v>0</v>
      </c>
      <c r="H2192" s="27">
        <f>IF(OR($B2192="",$C2192=""),"",$C2192*IFERROR(INDEX(PecCusto,MATCH($B2192,PecCod,0)),0))</f>
        <v>0</v>
      </c>
      <c r="I2192" s="32">
        <f>IF($A2192="","",IFERROR(INDEX(OSStatus,MATCH($A2192,OSNum,0)),"OS inexistente"))</f>
        <v>0</v>
      </c>
      <c r="J2192" s="32">
        <f>IF($A2192="","",IF($I2192="OS inexistente","OS inexistente",IF($E2192="Peça não cadastrada","Peça não cadastrada","OK")))</f>
        <v>0</v>
      </c>
    </row>
    <row r="2193" spans="1:10">
      <c r="A2193" s="17"/>
      <c r="B2193" s="13"/>
      <c r="C2193" s="20"/>
      <c r="D2193" s="19"/>
      <c r="E2193" s="26">
        <f>IF($B2193="","",IFERROR(INDEX(PecDesc,MATCH($B2193,PecCod,0)),"Peça não cadastrada"))</f>
        <v>0</v>
      </c>
      <c r="F2193" s="27">
        <f>IF($B2193="","",IF($D2193&lt;&gt;"",$D2193,IFERROR(INDEX(PecPreco,MATCH($B2193,PecCod,0)),0)))</f>
        <v>0</v>
      </c>
      <c r="G2193" s="27">
        <f>IF(OR($B2193="",$C2193=""),"",$C2193*$F2193)</f>
        <v>0</v>
      </c>
      <c r="H2193" s="27">
        <f>IF(OR($B2193="",$C2193=""),"",$C2193*IFERROR(INDEX(PecCusto,MATCH($B2193,PecCod,0)),0))</f>
        <v>0</v>
      </c>
      <c r="I2193" s="32">
        <f>IF($A2193="","",IFERROR(INDEX(OSStatus,MATCH($A2193,OSNum,0)),"OS inexistente"))</f>
        <v>0</v>
      </c>
      <c r="J2193" s="32">
        <f>IF($A2193="","",IF($I2193="OS inexistente","OS inexistente",IF($E2193="Peça não cadastrada","Peça não cadastrada","OK")))</f>
        <v>0</v>
      </c>
    </row>
    <row r="2194" spans="1:10">
      <c r="A2194" s="17"/>
      <c r="B2194" s="13"/>
      <c r="C2194" s="20"/>
      <c r="D2194" s="19"/>
      <c r="E2194" s="26">
        <f>IF($B2194="","",IFERROR(INDEX(PecDesc,MATCH($B2194,PecCod,0)),"Peça não cadastrada"))</f>
        <v>0</v>
      </c>
      <c r="F2194" s="27">
        <f>IF($B2194="","",IF($D2194&lt;&gt;"",$D2194,IFERROR(INDEX(PecPreco,MATCH($B2194,PecCod,0)),0)))</f>
        <v>0</v>
      </c>
      <c r="G2194" s="27">
        <f>IF(OR($B2194="",$C2194=""),"",$C2194*$F2194)</f>
        <v>0</v>
      </c>
      <c r="H2194" s="27">
        <f>IF(OR($B2194="",$C2194=""),"",$C2194*IFERROR(INDEX(PecCusto,MATCH($B2194,PecCod,0)),0))</f>
        <v>0</v>
      </c>
      <c r="I2194" s="32">
        <f>IF($A2194="","",IFERROR(INDEX(OSStatus,MATCH($A2194,OSNum,0)),"OS inexistente"))</f>
        <v>0</v>
      </c>
      <c r="J2194" s="32">
        <f>IF($A2194="","",IF($I2194="OS inexistente","OS inexistente",IF($E2194="Peça não cadastrada","Peça não cadastrada","OK")))</f>
        <v>0</v>
      </c>
    </row>
    <row r="2195" spans="1:10">
      <c r="A2195" s="17"/>
      <c r="B2195" s="13"/>
      <c r="C2195" s="20"/>
      <c r="D2195" s="19"/>
      <c r="E2195" s="26">
        <f>IF($B2195="","",IFERROR(INDEX(PecDesc,MATCH($B2195,PecCod,0)),"Peça não cadastrada"))</f>
        <v>0</v>
      </c>
      <c r="F2195" s="27">
        <f>IF($B2195="","",IF($D2195&lt;&gt;"",$D2195,IFERROR(INDEX(PecPreco,MATCH($B2195,PecCod,0)),0)))</f>
        <v>0</v>
      </c>
      <c r="G2195" s="27">
        <f>IF(OR($B2195="",$C2195=""),"",$C2195*$F2195)</f>
        <v>0</v>
      </c>
      <c r="H2195" s="27">
        <f>IF(OR($B2195="",$C2195=""),"",$C2195*IFERROR(INDEX(PecCusto,MATCH($B2195,PecCod,0)),0))</f>
        <v>0</v>
      </c>
      <c r="I2195" s="32">
        <f>IF($A2195="","",IFERROR(INDEX(OSStatus,MATCH($A2195,OSNum,0)),"OS inexistente"))</f>
        <v>0</v>
      </c>
      <c r="J2195" s="32">
        <f>IF($A2195="","",IF($I2195="OS inexistente","OS inexistente",IF($E2195="Peça não cadastrada","Peça não cadastrada","OK")))</f>
        <v>0</v>
      </c>
    </row>
    <row r="2196" spans="1:10">
      <c r="A2196" s="17"/>
      <c r="B2196" s="13"/>
      <c r="C2196" s="20"/>
      <c r="D2196" s="19"/>
      <c r="E2196" s="26">
        <f>IF($B2196="","",IFERROR(INDEX(PecDesc,MATCH($B2196,PecCod,0)),"Peça não cadastrada"))</f>
        <v>0</v>
      </c>
      <c r="F2196" s="27">
        <f>IF($B2196="","",IF($D2196&lt;&gt;"",$D2196,IFERROR(INDEX(PecPreco,MATCH($B2196,PecCod,0)),0)))</f>
        <v>0</v>
      </c>
      <c r="G2196" s="27">
        <f>IF(OR($B2196="",$C2196=""),"",$C2196*$F2196)</f>
        <v>0</v>
      </c>
      <c r="H2196" s="27">
        <f>IF(OR($B2196="",$C2196=""),"",$C2196*IFERROR(INDEX(PecCusto,MATCH($B2196,PecCod,0)),0))</f>
        <v>0</v>
      </c>
      <c r="I2196" s="32">
        <f>IF($A2196="","",IFERROR(INDEX(OSStatus,MATCH($A2196,OSNum,0)),"OS inexistente"))</f>
        <v>0</v>
      </c>
      <c r="J2196" s="32">
        <f>IF($A2196="","",IF($I2196="OS inexistente","OS inexistente",IF($E2196="Peça não cadastrada","Peça não cadastrada","OK")))</f>
        <v>0</v>
      </c>
    </row>
    <row r="2197" spans="1:10">
      <c r="A2197" s="17"/>
      <c r="B2197" s="13"/>
      <c r="C2197" s="20"/>
      <c r="D2197" s="19"/>
      <c r="E2197" s="26">
        <f>IF($B2197="","",IFERROR(INDEX(PecDesc,MATCH($B2197,PecCod,0)),"Peça não cadastrada"))</f>
        <v>0</v>
      </c>
      <c r="F2197" s="27">
        <f>IF($B2197="","",IF($D2197&lt;&gt;"",$D2197,IFERROR(INDEX(PecPreco,MATCH($B2197,PecCod,0)),0)))</f>
        <v>0</v>
      </c>
      <c r="G2197" s="27">
        <f>IF(OR($B2197="",$C2197=""),"",$C2197*$F2197)</f>
        <v>0</v>
      </c>
      <c r="H2197" s="27">
        <f>IF(OR($B2197="",$C2197=""),"",$C2197*IFERROR(INDEX(PecCusto,MATCH($B2197,PecCod,0)),0))</f>
        <v>0</v>
      </c>
      <c r="I2197" s="32">
        <f>IF($A2197="","",IFERROR(INDEX(OSStatus,MATCH($A2197,OSNum,0)),"OS inexistente"))</f>
        <v>0</v>
      </c>
      <c r="J2197" s="32">
        <f>IF($A2197="","",IF($I2197="OS inexistente","OS inexistente",IF($E2197="Peça não cadastrada","Peça não cadastrada","OK")))</f>
        <v>0</v>
      </c>
    </row>
    <row r="2198" spans="1:10">
      <c r="A2198" s="17"/>
      <c r="B2198" s="13"/>
      <c r="C2198" s="20"/>
      <c r="D2198" s="19"/>
      <c r="E2198" s="26">
        <f>IF($B2198="","",IFERROR(INDEX(PecDesc,MATCH($B2198,PecCod,0)),"Peça não cadastrada"))</f>
        <v>0</v>
      </c>
      <c r="F2198" s="27">
        <f>IF($B2198="","",IF($D2198&lt;&gt;"",$D2198,IFERROR(INDEX(PecPreco,MATCH($B2198,PecCod,0)),0)))</f>
        <v>0</v>
      </c>
      <c r="G2198" s="27">
        <f>IF(OR($B2198="",$C2198=""),"",$C2198*$F2198)</f>
        <v>0</v>
      </c>
      <c r="H2198" s="27">
        <f>IF(OR($B2198="",$C2198=""),"",$C2198*IFERROR(INDEX(PecCusto,MATCH($B2198,PecCod,0)),0))</f>
        <v>0</v>
      </c>
      <c r="I2198" s="32">
        <f>IF($A2198="","",IFERROR(INDEX(OSStatus,MATCH($A2198,OSNum,0)),"OS inexistente"))</f>
        <v>0</v>
      </c>
      <c r="J2198" s="32">
        <f>IF($A2198="","",IF($I2198="OS inexistente","OS inexistente",IF($E2198="Peça não cadastrada","Peça não cadastrada","OK")))</f>
        <v>0</v>
      </c>
    </row>
    <row r="2199" spans="1:10">
      <c r="A2199" s="17"/>
      <c r="B2199" s="13"/>
      <c r="C2199" s="20"/>
      <c r="D2199" s="19"/>
      <c r="E2199" s="26">
        <f>IF($B2199="","",IFERROR(INDEX(PecDesc,MATCH($B2199,PecCod,0)),"Peça não cadastrada"))</f>
        <v>0</v>
      </c>
      <c r="F2199" s="27">
        <f>IF($B2199="","",IF($D2199&lt;&gt;"",$D2199,IFERROR(INDEX(PecPreco,MATCH($B2199,PecCod,0)),0)))</f>
        <v>0</v>
      </c>
      <c r="G2199" s="27">
        <f>IF(OR($B2199="",$C2199=""),"",$C2199*$F2199)</f>
        <v>0</v>
      </c>
      <c r="H2199" s="27">
        <f>IF(OR($B2199="",$C2199=""),"",$C2199*IFERROR(INDEX(PecCusto,MATCH($B2199,PecCod,0)),0))</f>
        <v>0</v>
      </c>
      <c r="I2199" s="32">
        <f>IF($A2199="","",IFERROR(INDEX(OSStatus,MATCH($A2199,OSNum,0)),"OS inexistente"))</f>
        <v>0</v>
      </c>
      <c r="J2199" s="32">
        <f>IF($A2199="","",IF($I2199="OS inexistente","OS inexistente",IF($E2199="Peça não cadastrada","Peça não cadastrada","OK")))</f>
        <v>0</v>
      </c>
    </row>
    <row r="2200" spans="1:10">
      <c r="A2200" s="17"/>
      <c r="B2200" s="13"/>
      <c r="C2200" s="20"/>
      <c r="D2200" s="19"/>
      <c r="E2200" s="26">
        <f>IF($B2200="","",IFERROR(INDEX(PecDesc,MATCH($B2200,PecCod,0)),"Peça não cadastrada"))</f>
        <v>0</v>
      </c>
      <c r="F2200" s="27">
        <f>IF($B2200="","",IF($D2200&lt;&gt;"",$D2200,IFERROR(INDEX(PecPreco,MATCH($B2200,PecCod,0)),0)))</f>
        <v>0</v>
      </c>
      <c r="G2200" s="27">
        <f>IF(OR($B2200="",$C2200=""),"",$C2200*$F2200)</f>
        <v>0</v>
      </c>
      <c r="H2200" s="27">
        <f>IF(OR($B2200="",$C2200=""),"",$C2200*IFERROR(INDEX(PecCusto,MATCH($B2200,PecCod,0)),0))</f>
        <v>0</v>
      </c>
      <c r="I2200" s="32">
        <f>IF($A2200="","",IFERROR(INDEX(OSStatus,MATCH($A2200,OSNum,0)),"OS inexistente"))</f>
        <v>0</v>
      </c>
      <c r="J2200" s="32">
        <f>IF($A2200="","",IF($I2200="OS inexistente","OS inexistente",IF($E2200="Peça não cadastrada","Peça não cadastrada","OK")))</f>
        <v>0</v>
      </c>
    </row>
    <row r="2201" spans="1:10">
      <c r="A2201" s="17"/>
      <c r="B2201" s="13"/>
      <c r="C2201" s="20"/>
      <c r="D2201" s="19"/>
      <c r="E2201" s="26">
        <f>IF($B2201="","",IFERROR(INDEX(PecDesc,MATCH($B2201,PecCod,0)),"Peça não cadastrada"))</f>
        <v>0</v>
      </c>
      <c r="F2201" s="27">
        <f>IF($B2201="","",IF($D2201&lt;&gt;"",$D2201,IFERROR(INDEX(PecPreco,MATCH($B2201,PecCod,0)),0)))</f>
        <v>0</v>
      </c>
      <c r="G2201" s="27">
        <f>IF(OR($B2201="",$C2201=""),"",$C2201*$F2201)</f>
        <v>0</v>
      </c>
      <c r="H2201" s="27">
        <f>IF(OR($B2201="",$C2201=""),"",$C2201*IFERROR(INDEX(PecCusto,MATCH($B2201,PecCod,0)),0))</f>
        <v>0</v>
      </c>
      <c r="I2201" s="32">
        <f>IF($A2201="","",IFERROR(INDEX(OSStatus,MATCH($A2201,OSNum,0)),"OS inexistente"))</f>
        <v>0</v>
      </c>
      <c r="J2201" s="32">
        <f>IF($A2201="","",IF($I2201="OS inexistente","OS inexistente",IF($E2201="Peça não cadastrada","Peça não cadastrada","OK")))</f>
        <v>0</v>
      </c>
    </row>
    <row r="2202" spans="1:10">
      <c r="A2202" s="17"/>
      <c r="B2202" s="13"/>
      <c r="C2202" s="20"/>
      <c r="D2202" s="19"/>
      <c r="E2202" s="26">
        <f>IF($B2202="","",IFERROR(INDEX(PecDesc,MATCH($B2202,PecCod,0)),"Peça não cadastrada"))</f>
        <v>0</v>
      </c>
      <c r="F2202" s="27">
        <f>IF($B2202="","",IF($D2202&lt;&gt;"",$D2202,IFERROR(INDEX(PecPreco,MATCH($B2202,PecCod,0)),0)))</f>
        <v>0</v>
      </c>
      <c r="G2202" s="27">
        <f>IF(OR($B2202="",$C2202=""),"",$C2202*$F2202)</f>
        <v>0</v>
      </c>
      <c r="H2202" s="27">
        <f>IF(OR($B2202="",$C2202=""),"",$C2202*IFERROR(INDEX(PecCusto,MATCH($B2202,PecCod,0)),0))</f>
        <v>0</v>
      </c>
      <c r="I2202" s="32">
        <f>IF($A2202="","",IFERROR(INDEX(OSStatus,MATCH($A2202,OSNum,0)),"OS inexistente"))</f>
        <v>0</v>
      </c>
      <c r="J2202" s="32">
        <f>IF($A2202="","",IF($I2202="OS inexistente","OS inexistente",IF($E2202="Peça não cadastrada","Peça não cadastrada","OK")))</f>
        <v>0</v>
      </c>
    </row>
    <row r="2203" spans="1:10">
      <c r="A2203" s="17"/>
      <c r="B2203" s="13"/>
      <c r="C2203" s="20"/>
      <c r="D2203" s="19"/>
      <c r="E2203" s="26">
        <f>IF($B2203="","",IFERROR(INDEX(PecDesc,MATCH($B2203,PecCod,0)),"Peça não cadastrada"))</f>
        <v>0</v>
      </c>
      <c r="F2203" s="27">
        <f>IF($B2203="","",IF($D2203&lt;&gt;"",$D2203,IFERROR(INDEX(PecPreco,MATCH($B2203,PecCod,0)),0)))</f>
        <v>0</v>
      </c>
      <c r="G2203" s="27">
        <f>IF(OR($B2203="",$C2203=""),"",$C2203*$F2203)</f>
        <v>0</v>
      </c>
      <c r="H2203" s="27">
        <f>IF(OR($B2203="",$C2203=""),"",$C2203*IFERROR(INDEX(PecCusto,MATCH($B2203,PecCod,0)),0))</f>
        <v>0</v>
      </c>
      <c r="I2203" s="32">
        <f>IF($A2203="","",IFERROR(INDEX(OSStatus,MATCH($A2203,OSNum,0)),"OS inexistente"))</f>
        <v>0</v>
      </c>
      <c r="J2203" s="32">
        <f>IF($A2203="","",IF($I2203="OS inexistente","OS inexistente",IF($E2203="Peça não cadastrada","Peça não cadastrada","OK")))</f>
        <v>0</v>
      </c>
    </row>
    <row r="2204" spans="1:10">
      <c r="A2204" s="17"/>
      <c r="B2204" s="13"/>
      <c r="C2204" s="20"/>
      <c r="D2204" s="19"/>
      <c r="E2204" s="26">
        <f>IF($B2204="","",IFERROR(INDEX(PecDesc,MATCH($B2204,PecCod,0)),"Peça não cadastrada"))</f>
        <v>0</v>
      </c>
      <c r="F2204" s="27">
        <f>IF($B2204="","",IF($D2204&lt;&gt;"",$D2204,IFERROR(INDEX(PecPreco,MATCH($B2204,PecCod,0)),0)))</f>
        <v>0</v>
      </c>
      <c r="G2204" s="27">
        <f>IF(OR($B2204="",$C2204=""),"",$C2204*$F2204)</f>
        <v>0</v>
      </c>
      <c r="H2204" s="27">
        <f>IF(OR($B2204="",$C2204=""),"",$C2204*IFERROR(INDEX(PecCusto,MATCH($B2204,PecCod,0)),0))</f>
        <v>0</v>
      </c>
      <c r="I2204" s="32">
        <f>IF($A2204="","",IFERROR(INDEX(OSStatus,MATCH($A2204,OSNum,0)),"OS inexistente"))</f>
        <v>0</v>
      </c>
      <c r="J2204" s="32">
        <f>IF($A2204="","",IF($I2204="OS inexistente","OS inexistente",IF($E2204="Peça não cadastrada","Peça não cadastrada","OK")))</f>
        <v>0</v>
      </c>
    </row>
    <row r="2205" spans="1:10">
      <c r="A2205" s="17"/>
      <c r="B2205" s="13"/>
      <c r="C2205" s="20"/>
      <c r="D2205" s="19"/>
      <c r="E2205" s="26">
        <f>IF($B2205="","",IFERROR(INDEX(PecDesc,MATCH($B2205,PecCod,0)),"Peça não cadastrada"))</f>
        <v>0</v>
      </c>
      <c r="F2205" s="27">
        <f>IF($B2205="","",IF($D2205&lt;&gt;"",$D2205,IFERROR(INDEX(PecPreco,MATCH($B2205,PecCod,0)),0)))</f>
        <v>0</v>
      </c>
      <c r="G2205" s="27">
        <f>IF(OR($B2205="",$C2205=""),"",$C2205*$F2205)</f>
        <v>0</v>
      </c>
      <c r="H2205" s="27">
        <f>IF(OR($B2205="",$C2205=""),"",$C2205*IFERROR(INDEX(PecCusto,MATCH($B2205,PecCod,0)),0))</f>
        <v>0</v>
      </c>
      <c r="I2205" s="32">
        <f>IF($A2205="","",IFERROR(INDEX(OSStatus,MATCH($A2205,OSNum,0)),"OS inexistente"))</f>
        <v>0</v>
      </c>
      <c r="J2205" s="32">
        <f>IF($A2205="","",IF($I2205="OS inexistente","OS inexistente",IF($E2205="Peça não cadastrada","Peça não cadastrada","OK")))</f>
        <v>0</v>
      </c>
    </row>
    <row r="2206" spans="1:10">
      <c r="A2206" s="17"/>
      <c r="B2206" s="13"/>
      <c r="C2206" s="20"/>
      <c r="D2206" s="19"/>
      <c r="E2206" s="26">
        <f>IF($B2206="","",IFERROR(INDEX(PecDesc,MATCH($B2206,PecCod,0)),"Peça não cadastrada"))</f>
        <v>0</v>
      </c>
      <c r="F2206" s="27">
        <f>IF($B2206="","",IF($D2206&lt;&gt;"",$D2206,IFERROR(INDEX(PecPreco,MATCH($B2206,PecCod,0)),0)))</f>
        <v>0</v>
      </c>
      <c r="G2206" s="27">
        <f>IF(OR($B2206="",$C2206=""),"",$C2206*$F2206)</f>
        <v>0</v>
      </c>
      <c r="H2206" s="27">
        <f>IF(OR($B2206="",$C2206=""),"",$C2206*IFERROR(INDEX(PecCusto,MATCH($B2206,PecCod,0)),0))</f>
        <v>0</v>
      </c>
      <c r="I2206" s="32">
        <f>IF($A2206="","",IFERROR(INDEX(OSStatus,MATCH($A2206,OSNum,0)),"OS inexistente"))</f>
        <v>0</v>
      </c>
      <c r="J2206" s="32">
        <f>IF($A2206="","",IF($I2206="OS inexistente","OS inexistente",IF($E2206="Peça não cadastrada","Peça não cadastrada","OK")))</f>
        <v>0</v>
      </c>
    </row>
    <row r="2207" spans="1:10">
      <c r="A2207" s="17"/>
      <c r="B2207" s="13"/>
      <c r="C2207" s="20"/>
      <c r="D2207" s="19"/>
      <c r="E2207" s="26">
        <f>IF($B2207="","",IFERROR(INDEX(PecDesc,MATCH($B2207,PecCod,0)),"Peça não cadastrada"))</f>
        <v>0</v>
      </c>
      <c r="F2207" s="27">
        <f>IF($B2207="","",IF($D2207&lt;&gt;"",$D2207,IFERROR(INDEX(PecPreco,MATCH($B2207,PecCod,0)),0)))</f>
        <v>0</v>
      </c>
      <c r="G2207" s="27">
        <f>IF(OR($B2207="",$C2207=""),"",$C2207*$F2207)</f>
        <v>0</v>
      </c>
      <c r="H2207" s="27">
        <f>IF(OR($B2207="",$C2207=""),"",$C2207*IFERROR(INDEX(PecCusto,MATCH($B2207,PecCod,0)),0))</f>
        <v>0</v>
      </c>
      <c r="I2207" s="32">
        <f>IF($A2207="","",IFERROR(INDEX(OSStatus,MATCH($A2207,OSNum,0)),"OS inexistente"))</f>
        <v>0</v>
      </c>
      <c r="J2207" s="32">
        <f>IF($A2207="","",IF($I2207="OS inexistente","OS inexistente",IF($E2207="Peça não cadastrada","Peça não cadastrada","OK")))</f>
        <v>0</v>
      </c>
    </row>
    <row r="2208" spans="1:10">
      <c r="A2208" s="17"/>
      <c r="B2208" s="13"/>
      <c r="C2208" s="20"/>
      <c r="D2208" s="19"/>
      <c r="E2208" s="26">
        <f>IF($B2208="","",IFERROR(INDEX(PecDesc,MATCH($B2208,PecCod,0)),"Peça não cadastrada"))</f>
        <v>0</v>
      </c>
      <c r="F2208" s="27">
        <f>IF($B2208="","",IF($D2208&lt;&gt;"",$D2208,IFERROR(INDEX(PecPreco,MATCH($B2208,PecCod,0)),0)))</f>
        <v>0</v>
      </c>
      <c r="G2208" s="27">
        <f>IF(OR($B2208="",$C2208=""),"",$C2208*$F2208)</f>
        <v>0</v>
      </c>
      <c r="H2208" s="27">
        <f>IF(OR($B2208="",$C2208=""),"",$C2208*IFERROR(INDEX(PecCusto,MATCH($B2208,PecCod,0)),0))</f>
        <v>0</v>
      </c>
      <c r="I2208" s="32">
        <f>IF($A2208="","",IFERROR(INDEX(OSStatus,MATCH($A2208,OSNum,0)),"OS inexistente"))</f>
        <v>0</v>
      </c>
      <c r="J2208" s="32">
        <f>IF($A2208="","",IF($I2208="OS inexistente","OS inexistente",IF($E2208="Peça não cadastrada","Peça não cadastrada","OK")))</f>
        <v>0</v>
      </c>
    </row>
    <row r="2209" spans="1:10">
      <c r="A2209" s="17"/>
      <c r="B2209" s="13"/>
      <c r="C2209" s="20"/>
      <c r="D2209" s="19"/>
      <c r="E2209" s="26">
        <f>IF($B2209="","",IFERROR(INDEX(PecDesc,MATCH($B2209,PecCod,0)),"Peça não cadastrada"))</f>
        <v>0</v>
      </c>
      <c r="F2209" s="27">
        <f>IF($B2209="","",IF($D2209&lt;&gt;"",$D2209,IFERROR(INDEX(PecPreco,MATCH($B2209,PecCod,0)),0)))</f>
        <v>0</v>
      </c>
      <c r="G2209" s="27">
        <f>IF(OR($B2209="",$C2209=""),"",$C2209*$F2209)</f>
        <v>0</v>
      </c>
      <c r="H2209" s="27">
        <f>IF(OR($B2209="",$C2209=""),"",$C2209*IFERROR(INDEX(PecCusto,MATCH($B2209,PecCod,0)),0))</f>
        <v>0</v>
      </c>
      <c r="I2209" s="32">
        <f>IF($A2209="","",IFERROR(INDEX(OSStatus,MATCH($A2209,OSNum,0)),"OS inexistente"))</f>
        <v>0</v>
      </c>
      <c r="J2209" s="32">
        <f>IF($A2209="","",IF($I2209="OS inexistente","OS inexistente",IF($E2209="Peça não cadastrada","Peça não cadastrada","OK")))</f>
        <v>0</v>
      </c>
    </row>
    <row r="2210" spans="1:10">
      <c r="A2210" s="17"/>
      <c r="B2210" s="13"/>
      <c r="C2210" s="20"/>
      <c r="D2210" s="19"/>
      <c r="E2210" s="26">
        <f>IF($B2210="","",IFERROR(INDEX(PecDesc,MATCH($B2210,PecCod,0)),"Peça não cadastrada"))</f>
        <v>0</v>
      </c>
      <c r="F2210" s="27">
        <f>IF($B2210="","",IF($D2210&lt;&gt;"",$D2210,IFERROR(INDEX(PecPreco,MATCH($B2210,PecCod,0)),0)))</f>
        <v>0</v>
      </c>
      <c r="G2210" s="27">
        <f>IF(OR($B2210="",$C2210=""),"",$C2210*$F2210)</f>
        <v>0</v>
      </c>
      <c r="H2210" s="27">
        <f>IF(OR($B2210="",$C2210=""),"",$C2210*IFERROR(INDEX(PecCusto,MATCH($B2210,PecCod,0)),0))</f>
        <v>0</v>
      </c>
      <c r="I2210" s="32">
        <f>IF($A2210="","",IFERROR(INDEX(OSStatus,MATCH($A2210,OSNum,0)),"OS inexistente"))</f>
        <v>0</v>
      </c>
      <c r="J2210" s="32">
        <f>IF($A2210="","",IF($I2210="OS inexistente","OS inexistente",IF($E2210="Peça não cadastrada","Peça não cadastrada","OK")))</f>
        <v>0</v>
      </c>
    </row>
    <row r="2211" spans="1:10">
      <c r="A2211" s="17"/>
      <c r="B2211" s="13"/>
      <c r="C2211" s="20"/>
      <c r="D2211" s="19"/>
      <c r="E2211" s="26">
        <f>IF($B2211="","",IFERROR(INDEX(PecDesc,MATCH($B2211,PecCod,0)),"Peça não cadastrada"))</f>
        <v>0</v>
      </c>
      <c r="F2211" s="27">
        <f>IF($B2211="","",IF($D2211&lt;&gt;"",$D2211,IFERROR(INDEX(PecPreco,MATCH($B2211,PecCod,0)),0)))</f>
        <v>0</v>
      </c>
      <c r="G2211" s="27">
        <f>IF(OR($B2211="",$C2211=""),"",$C2211*$F2211)</f>
        <v>0</v>
      </c>
      <c r="H2211" s="27">
        <f>IF(OR($B2211="",$C2211=""),"",$C2211*IFERROR(INDEX(PecCusto,MATCH($B2211,PecCod,0)),0))</f>
        <v>0</v>
      </c>
      <c r="I2211" s="32">
        <f>IF($A2211="","",IFERROR(INDEX(OSStatus,MATCH($A2211,OSNum,0)),"OS inexistente"))</f>
        <v>0</v>
      </c>
      <c r="J2211" s="32">
        <f>IF($A2211="","",IF($I2211="OS inexistente","OS inexistente",IF($E2211="Peça não cadastrada","Peça não cadastrada","OK")))</f>
        <v>0</v>
      </c>
    </row>
    <row r="2212" spans="1:10">
      <c r="A2212" s="17"/>
      <c r="B2212" s="13"/>
      <c r="C2212" s="20"/>
      <c r="D2212" s="19"/>
      <c r="E2212" s="26">
        <f>IF($B2212="","",IFERROR(INDEX(PecDesc,MATCH($B2212,PecCod,0)),"Peça não cadastrada"))</f>
        <v>0</v>
      </c>
      <c r="F2212" s="27">
        <f>IF($B2212="","",IF($D2212&lt;&gt;"",$D2212,IFERROR(INDEX(PecPreco,MATCH($B2212,PecCod,0)),0)))</f>
        <v>0</v>
      </c>
      <c r="G2212" s="27">
        <f>IF(OR($B2212="",$C2212=""),"",$C2212*$F2212)</f>
        <v>0</v>
      </c>
      <c r="H2212" s="27">
        <f>IF(OR($B2212="",$C2212=""),"",$C2212*IFERROR(INDEX(PecCusto,MATCH($B2212,PecCod,0)),0))</f>
        <v>0</v>
      </c>
      <c r="I2212" s="32">
        <f>IF($A2212="","",IFERROR(INDEX(OSStatus,MATCH($A2212,OSNum,0)),"OS inexistente"))</f>
        <v>0</v>
      </c>
      <c r="J2212" s="32">
        <f>IF($A2212="","",IF($I2212="OS inexistente","OS inexistente",IF($E2212="Peça não cadastrada","Peça não cadastrada","OK")))</f>
        <v>0</v>
      </c>
    </row>
    <row r="2213" spans="1:10">
      <c r="A2213" s="17"/>
      <c r="B2213" s="13"/>
      <c r="C2213" s="20"/>
      <c r="D2213" s="19"/>
      <c r="E2213" s="26">
        <f>IF($B2213="","",IFERROR(INDEX(PecDesc,MATCH($B2213,PecCod,0)),"Peça não cadastrada"))</f>
        <v>0</v>
      </c>
      <c r="F2213" s="27">
        <f>IF($B2213="","",IF($D2213&lt;&gt;"",$D2213,IFERROR(INDEX(PecPreco,MATCH($B2213,PecCod,0)),0)))</f>
        <v>0</v>
      </c>
      <c r="G2213" s="27">
        <f>IF(OR($B2213="",$C2213=""),"",$C2213*$F2213)</f>
        <v>0</v>
      </c>
      <c r="H2213" s="27">
        <f>IF(OR($B2213="",$C2213=""),"",$C2213*IFERROR(INDEX(PecCusto,MATCH($B2213,PecCod,0)),0))</f>
        <v>0</v>
      </c>
      <c r="I2213" s="32">
        <f>IF($A2213="","",IFERROR(INDEX(OSStatus,MATCH($A2213,OSNum,0)),"OS inexistente"))</f>
        <v>0</v>
      </c>
      <c r="J2213" s="32">
        <f>IF($A2213="","",IF($I2213="OS inexistente","OS inexistente",IF($E2213="Peça não cadastrada","Peça não cadastrada","OK")))</f>
        <v>0</v>
      </c>
    </row>
    <row r="2214" spans="1:10">
      <c r="A2214" s="17"/>
      <c r="B2214" s="13"/>
      <c r="C2214" s="20"/>
      <c r="D2214" s="19"/>
      <c r="E2214" s="26">
        <f>IF($B2214="","",IFERROR(INDEX(PecDesc,MATCH($B2214,PecCod,0)),"Peça não cadastrada"))</f>
        <v>0</v>
      </c>
      <c r="F2214" s="27">
        <f>IF($B2214="","",IF($D2214&lt;&gt;"",$D2214,IFERROR(INDEX(PecPreco,MATCH($B2214,PecCod,0)),0)))</f>
        <v>0</v>
      </c>
      <c r="G2214" s="27">
        <f>IF(OR($B2214="",$C2214=""),"",$C2214*$F2214)</f>
        <v>0</v>
      </c>
      <c r="H2214" s="27">
        <f>IF(OR($B2214="",$C2214=""),"",$C2214*IFERROR(INDEX(PecCusto,MATCH($B2214,PecCod,0)),0))</f>
        <v>0</v>
      </c>
      <c r="I2214" s="32">
        <f>IF($A2214="","",IFERROR(INDEX(OSStatus,MATCH($A2214,OSNum,0)),"OS inexistente"))</f>
        <v>0</v>
      </c>
      <c r="J2214" s="32">
        <f>IF($A2214="","",IF($I2214="OS inexistente","OS inexistente",IF($E2214="Peça não cadastrada","Peça não cadastrada","OK")))</f>
        <v>0</v>
      </c>
    </row>
    <row r="2215" spans="1:10">
      <c r="A2215" s="17"/>
      <c r="B2215" s="13"/>
      <c r="C2215" s="20"/>
      <c r="D2215" s="19"/>
      <c r="E2215" s="26">
        <f>IF($B2215="","",IFERROR(INDEX(PecDesc,MATCH($B2215,PecCod,0)),"Peça não cadastrada"))</f>
        <v>0</v>
      </c>
      <c r="F2215" s="27">
        <f>IF($B2215="","",IF($D2215&lt;&gt;"",$D2215,IFERROR(INDEX(PecPreco,MATCH($B2215,PecCod,0)),0)))</f>
        <v>0</v>
      </c>
      <c r="G2215" s="27">
        <f>IF(OR($B2215="",$C2215=""),"",$C2215*$F2215)</f>
        <v>0</v>
      </c>
      <c r="H2215" s="27">
        <f>IF(OR($B2215="",$C2215=""),"",$C2215*IFERROR(INDEX(PecCusto,MATCH($B2215,PecCod,0)),0))</f>
        <v>0</v>
      </c>
      <c r="I2215" s="32">
        <f>IF($A2215="","",IFERROR(INDEX(OSStatus,MATCH($A2215,OSNum,0)),"OS inexistente"))</f>
        <v>0</v>
      </c>
      <c r="J2215" s="32">
        <f>IF($A2215="","",IF($I2215="OS inexistente","OS inexistente",IF($E2215="Peça não cadastrada","Peça não cadastrada","OK")))</f>
        <v>0</v>
      </c>
    </row>
    <row r="2216" spans="1:10">
      <c r="A2216" s="17"/>
      <c r="B2216" s="13"/>
      <c r="C2216" s="20"/>
      <c r="D2216" s="19"/>
      <c r="E2216" s="26">
        <f>IF($B2216="","",IFERROR(INDEX(PecDesc,MATCH($B2216,PecCod,0)),"Peça não cadastrada"))</f>
        <v>0</v>
      </c>
      <c r="F2216" s="27">
        <f>IF($B2216="","",IF($D2216&lt;&gt;"",$D2216,IFERROR(INDEX(PecPreco,MATCH($B2216,PecCod,0)),0)))</f>
        <v>0</v>
      </c>
      <c r="G2216" s="27">
        <f>IF(OR($B2216="",$C2216=""),"",$C2216*$F2216)</f>
        <v>0</v>
      </c>
      <c r="H2216" s="27">
        <f>IF(OR($B2216="",$C2216=""),"",$C2216*IFERROR(INDEX(PecCusto,MATCH($B2216,PecCod,0)),0))</f>
        <v>0</v>
      </c>
      <c r="I2216" s="32">
        <f>IF($A2216="","",IFERROR(INDEX(OSStatus,MATCH($A2216,OSNum,0)),"OS inexistente"))</f>
        <v>0</v>
      </c>
      <c r="J2216" s="32">
        <f>IF($A2216="","",IF($I2216="OS inexistente","OS inexistente",IF($E2216="Peça não cadastrada","Peça não cadastrada","OK")))</f>
        <v>0</v>
      </c>
    </row>
    <row r="2217" spans="1:10">
      <c r="A2217" s="17"/>
      <c r="B2217" s="13"/>
      <c r="C2217" s="20"/>
      <c r="D2217" s="19"/>
      <c r="E2217" s="26">
        <f>IF($B2217="","",IFERROR(INDEX(PecDesc,MATCH($B2217,PecCod,0)),"Peça não cadastrada"))</f>
        <v>0</v>
      </c>
      <c r="F2217" s="27">
        <f>IF($B2217="","",IF($D2217&lt;&gt;"",$D2217,IFERROR(INDEX(PecPreco,MATCH($B2217,PecCod,0)),0)))</f>
        <v>0</v>
      </c>
      <c r="G2217" s="27">
        <f>IF(OR($B2217="",$C2217=""),"",$C2217*$F2217)</f>
        <v>0</v>
      </c>
      <c r="H2217" s="27">
        <f>IF(OR($B2217="",$C2217=""),"",$C2217*IFERROR(INDEX(PecCusto,MATCH($B2217,PecCod,0)),0))</f>
        <v>0</v>
      </c>
      <c r="I2217" s="32">
        <f>IF($A2217="","",IFERROR(INDEX(OSStatus,MATCH($A2217,OSNum,0)),"OS inexistente"))</f>
        <v>0</v>
      </c>
      <c r="J2217" s="32">
        <f>IF($A2217="","",IF($I2217="OS inexistente","OS inexistente",IF($E2217="Peça não cadastrada","Peça não cadastrada","OK")))</f>
        <v>0</v>
      </c>
    </row>
    <row r="2218" spans="1:10">
      <c r="A2218" s="17"/>
      <c r="B2218" s="13"/>
      <c r="C2218" s="20"/>
      <c r="D2218" s="19"/>
      <c r="E2218" s="26">
        <f>IF($B2218="","",IFERROR(INDEX(PecDesc,MATCH($B2218,PecCod,0)),"Peça não cadastrada"))</f>
        <v>0</v>
      </c>
      <c r="F2218" s="27">
        <f>IF($B2218="","",IF($D2218&lt;&gt;"",$D2218,IFERROR(INDEX(PecPreco,MATCH($B2218,PecCod,0)),0)))</f>
        <v>0</v>
      </c>
      <c r="G2218" s="27">
        <f>IF(OR($B2218="",$C2218=""),"",$C2218*$F2218)</f>
        <v>0</v>
      </c>
      <c r="H2218" s="27">
        <f>IF(OR($B2218="",$C2218=""),"",$C2218*IFERROR(INDEX(PecCusto,MATCH($B2218,PecCod,0)),0))</f>
        <v>0</v>
      </c>
      <c r="I2218" s="32">
        <f>IF($A2218="","",IFERROR(INDEX(OSStatus,MATCH($A2218,OSNum,0)),"OS inexistente"))</f>
        <v>0</v>
      </c>
      <c r="J2218" s="32">
        <f>IF($A2218="","",IF($I2218="OS inexistente","OS inexistente",IF($E2218="Peça não cadastrada","Peça não cadastrada","OK")))</f>
        <v>0</v>
      </c>
    </row>
    <row r="2219" spans="1:10">
      <c r="A2219" s="17"/>
      <c r="B2219" s="13"/>
      <c r="C2219" s="20"/>
      <c r="D2219" s="19"/>
      <c r="E2219" s="26">
        <f>IF($B2219="","",IFERROR(INDEX(PecDesc,MATCH($B2219,PecCod,0)),"Peça não cadastrada"))</f>
        <v>0</v>
      </c>
      <c r="F2219" s="27">
        <f>IF($B2219="","",IF($D2219&lt;&gt;"",$D2219,IFERROR(INDEX(PecPreco,MATCH($B2219,PecCod,0)),0)))</f>
        <v>0</v>
      </c>
      <c r="G2219" s="27">
        <f>IF(OR($B2219="",$C2219=""),"",$C2219*$F2219)</f>
        <v>0</v>
      </c>
      <c r="H2219" s="27">
        <f>IF(OR($B2219="",$C2219=""),"",$C2219*IFERROR(INDEX(PecCusto,MATCH($B2219,PecCod,0)),0))</f>
        <v>0</v>
      </c>
      <c r="I2219" s="32">
        <f>IF($A2219="","",IFERROR(INDEX(OSStatus,MATCH($A2219,OSNum,0)),"OS inexistente"))</f>
        <v>0</v>
      </c>
      <c r="J2219" s="32">
        <f>IF($A2219="","",IF($I2219="OS inexistente","OS inexistente",IF($E2219="Peça não cadastrada","Peça não cadastrada","OK")))</f>
        <v>0</v>
      </c>
    </row>
    <row r="2220" spans="1:10">
      <c r="A2220" s="17"/>
      <c r="B2220" s="13"/>
      <c r="C2220" s="20"/>
      <c r="D2220" s="19"/>
      <c r="E2220" s="26">
        <f>IF($B2220="","",IFERROR(INDEX(PecDesc,MATCH($B2220,PecCod,0)),"Peça não cadastrada"))</f>
        <v>0</v>
      </c>
      <c r="F2220" s="27">
        <f>IF($B2220="","",IF($D2220&lt;&gt;"",$D2220,IFERROR(INDEX(PecPreco,MATCH($B2220,PecCod,0)),0)))</f>
        <v>0</v>
      </c>
      <c r="G2220" s="27">
        <f>IF(OR($B2220="",$C2220=""),"",$C2220*$F2220)</f>
        <v>0</v>
      </c>
      <c r="H2220" s="27">
        <f>IF(OR($B2220="",$C2220=""),"",$C2220*IFERROR(INDEX(PecCusto,MATCH($B2220,PecCod,0)),0))</f>
        <v>0</v>
      </c>
      <c r="I2220" s="32">
        <f>IF($A2220="","",IFERROR(INDEX(OSStatus,MATCH($A2220,OSNum,0)),"OS inexistente"))</f>
        <v>0</v>
      </c>
      <c r="J2220" s="32">
        <f>IF($A2220="","",IF($I2220="OS inexistente","OS inexistente",IF($E2220="Peça não cadastrada","Peça não cadastrada","OK")))</f>
        <v>0</v>
      </c>
    </row>
    <row r="2221" spans="1:10">
      <c r="A2221" s="17"/>
      <c r="B2221" s="13"/>
      <c r="C2221" s="20"/>
      <c r="D2221" s="19"/>
      <c r="E2221" s="26">
        <f>IF($B2221="","",IFERROR(INDEX(PecDesc,MATCH($B2221,PecCod,0)),"Peça não cadastrada"))</f>
        <v>0</v>
      </c>
      <c r="F2221" s="27">
        <f>IF($B2221="","",IF($D2221&lt;&gt;"",$D2221,IFERROR(INDEX(PecPreco,MATCH($B2221,PecCod,0)),0)))</f>
        <v>0</v>
      </c>
      <c r="G2221" s="27">
        <f>IF(OR($B2221="",$C2221=""),"",$C2221*$F2221)</f>
        <v>0</v>
      </c>
      <c r="H2221" s="27">
        <f>IF(OR($B2221="",$C2221=""),"",$C2221*IFERROR(INDEX(PecCusto,MATCH($B2221,PecCod,0)),0))</f>
        <v>0</v>
      </c>
      <c r="I2221" s="32">
        <f>IF($A2221="","",IFERROR(INDEX(OSStatus,MATCH($A2221,OSNum,0)),"OS inexistente"))</f>
        <v>0</v>
      </c>
      <c r="J2221" s="32">
        <f>IF($A2221="","",IF($I2221="OS inexistente","OS inexistente",IF($E2221="Peça não cadastrada","Peça não cadastrada","OK")))</f>
        <v>0</v>
      </c>
    </row>
    <row r="2222" spans="1:10">
      <c r="A2222" s="17"/>
      <c r="B2222" s="13"/>
      <c r="C2222" s="20"/>
      <c r="D2222" s="19"/>
      <c r="E2222" s="26">
        <f>IF($B2222="","",IFERROR(INDEX(PecDesc,MATCH($B2222,PecCod,0)),"Peça não cadastrada"))</f>
        <v>0</v>
      </c>
      <c r="F2222" s="27">
        <f>IF($B2222="","",IF($D2222&lt;&gt;"",$D2222,IFERROR(INDEX(PecPreco,MATCH($B2222,PecCod,0)),0)))</f>
        <v>0</v>
      </c>
      <c r="G2222" s="27">
        <f>IF(OR($B2222="",$C2222=""),"",$C2222*$F2222)</f>
        <v>0</v>
      </c>
      <c r="H2222" s="27">
        <f>IF(OR($B2222="",$C2222=""),"",$C2222*IFERROR(INDEX(PecCusto,MATCH($B2222,PecCod,0)),0))</f>
        <v>0</v>
      </c>
      <c r="I2222" s="32">
        <f>IF($A2222="","",IFERROR(INDEX(OSStatus,MATCH($A2222,OSNum,0)),"OS inexistente"))</f>
        <v>0</v>
      </c>
      <c r="J2222" s="32">
        <f>IF($A2222="","",IF($I2222="OS inexistente","OS inexistente",IF($E2222="Peça não cadastrada","Peça não cadastrada","OK")))</f>
        <v>0</v>
      </c>
    </row>
    <row r="2223" spans="1:10">
      <c r="A2223" s="17"/>
      <c r="B2223" s="13"/>
      <c r="C2223" s="20"/>
      <c r="D2223" s="19"/>
      <c r="E2223" s="26">
        <f>IF($B2223="","",IFERROR(INDEX(PecDesc,MATCH($B2223,PecCod,0)),"Peça não cadastrada"))</f>
        <v>0</v>
      </c>
      <c r="F2223" s="27">
        <f>IF($B2223="","",IF($D2223&lt;&gt;"",$D2223,IFERROR(INDEX(PecPreco,MATCH($B2223,PecCod,0)),0)))</f>
        <v>0</v>
      </c>
      <c r="G2223" s="27">
        <f>IF(OR($B2223="",$C2223=""),"",$C2223*$F2223)</f>
        <v>0</v>
      </c>
      <c r="H2223" s="27">
        <f>IF(OR($B2223="",$C2223=""),"",$C2223*IFERROR(INDEX(PecCusto,MATCH($B2223,PecCod,0)),0))</f>
        <v>0</v>
      </c>
      <c r="I2223" s="32">
        <f>IF($A2223="","",IFERROR(INDEX(OSStatus,MATCH($A2223,OSNum,0)),"OS inexistente"))</f>
        <v>0</v>
      </c>
      <c r="J2223" s="32">
        <f>IF($A2223="","",IF($I2223="OS inexistente","OS inexistente",IF($E2223="Peça não cadastrada","Peça não cadastrada","OK")))</f>
        <v>0</v>
      </c>
    </row>
    <row r="2224" spans="1:10">
      <c r="A2224" s="17"/>
      <c r="B2224" s="13"/>
      <c r="C2224" s="20"/>
      <c r="D2224" s="19"/>
      <c r="E2224" s="26">
        <f>IF($B2224="","",IFERROR(INDEX(PecDesc,MATCH($B2224,PecCod,0)),"Peça não cadastrada"))</f>
        <v>0</v>
      </c>
      <c r="F2224" s="27">
        <f>IF($B2224="","",IF($D2224&lt;&gt;"",$D2224,IFERROR(INDEX(PecPreco,MATCH($B2224,PecCod,0)),0)))</f>
        <v>0</v>
      </c>
      <c r="G2224" s="27">
        <f>IF(OR($B2224="",$C2224=""),"",$C2224*$F2224)</f>
        <v>0</v>
      </c>
      <c r="H2224" s="27">
        <f>IF(OR($B2224="",$C2224=""),"",$C2224*IFERROR(INDEX(PecCusto,MATCH($B2224,PecCod,0)),0))</f>
        <v>0</v>
      </c>
      <c r="I2224" s="32">
        <f>IF($A2224="","",IFERROR(INDEX(OSStatus,MATCH($A2224,OSNum,0)),"OS inexistente"))</f>
        <v>0</v>
      </c>
      <c r="J2224" s="32">
        <f>IF($A2224="","",IF($I2224="OS inexistente","OS inexistente",IF($E2224="Peça não cadastrada","Peça não cadastrada","OK")))</f>
        <v>0</v>
      </c>
    </row>
    <row r="2225" spans="1:10">
      <c r="A2225" s="17"/>
      <c r="B2225" s="13"/>
      <c r="C2225" s="20"/>
      <c r="D2225" s="19"/>
      <c r="E2225" s="26">
        <f>IF($B2225="","",IFERROR(INDEX(PecDesc,MATCH($B2225,PecCod,0)),"Peça não cadastrada"))</f>
        <v>0</v>
      </c>
      <c r="F2225" s="27">
        <f>IF($B2225="","",IF($D2225&lt;&gt;"",$D2225,IFERROR(INDEX(PecPreco,MATCH($B2225,PecCod,0)),0)))</f>
        <v>0</v>
      </c>
      <c r="G2225" s="27">
        <f>IF(OR($B2225="",$C2225=""),"",$C2225*$F2225)</f>
        <v>0</v>
      </c>
      <c r="H2225" s="27">
        <f>IF(OR($B2225="",$C2225=""),"",$C2225*IFERROR(INDEX(PecCusto,MATCH($B2225,PecCod,0)),0))</f>
        <v>0</v>
      </c>
      <c r="I2225" s="32">
        <f>IF($A2225="","",IFERROR(INDEX(OSStatus,MATCH($A2225,OSNum,0)),"OS inexistente"))</f>
        <v>0</v>
      </c>
      <c r="J2225" s="32">
        <f>IF($A2225="","",IF($I2225="OS inexistente","OS inexistente",IF($E2225="Peça não cadastrada","Peça não cadastrada","OK")))</f>
        <v>0</v>
      </c>
    </row>
    <row r="2226" spans="1:10">
      <c r="A2226" s="17"/>
      <c r="B2226" s="13"/>
      <c r="C2226" s="20"/>
      <c r="D2226" s="19"/>
      <c r="E2226" s="26">
        <f>IF($B2226="","",IFERROR(INDEX(PecDesc,MATCH($B2226,PecCod,0)),"Peça não cadastrada"))</f>
        <v>0</v>
      </c>
      <c r="F2226" s="27">
        <f>IF($B2226="","",IF($D2226&lt;&gt;"",$D2226,IFERROR(INDEX(PecPreco,MATCH($B2226,PecCod,0)),0)))</f>
        <v>0</v>
      </c>
      <c r="G2226" s="27">
        <f>IF(OR($B2226="",$C2226=""),"",$C2226*$F2226)</f>
        <v>0</v>
      </c>
      <c r="H2226" s="27">
        <f>IF(OR($B2226="",$C2226=""),"",$C2226*IFERROR(INDEX(PecCusto,MATCH($B2226,PecCod,0)),0))</f>
        <v>0</v>
      </c>
      <c r="I2226" s="32">
        <f>IF($A2226="","",IFERROR(INDEX(OSStatus,MATCH($A2226,OSNum,0)),"OS inexistente"))</f>
        <v>0</v>
      </c>
      <c r="J2226" s="32">
        <f>IF($A2226="","",IF($I2226="OS inexistente","OS inexistente",IF($E2226="Peça não cadastrada","Peça não cadastrada","OK")))</f>
        <v>0</v>
      </c>
    </row>
    <row r="2227" spans="1:10">
      <c r="A2227" s="17"/>
      <c r="B2227" s="13"/>
      <c r="C2227" s="20"/>
      <c r="D2227" s="19"/>
      <c r="E2227" s="26">
        <f>IF($B2227="","",IFERROR(INDEX(PecDesc,MATCH($B2227,PecCod,0)),"Peça não cadastrada"))</f>
        <v>0</v>
      </c>
      <c r="F2227" s="27">
        <f>IF($B2227="","",IF($D2227&lt;&gt;"",$D2227,IFERROR(INDEX(PecPreco,MATCH($B2227,PecCod,0)),0)))</f>
        <v>0</v>
      </c>
      <c r="G2227" s="27">
        <f>IF(OR($B2227="",$C2227=""),"",$C2227*$F2227)</f>
        <v>0</v>
      </c>
      <c r="H2227" s="27">
        <f>IF(OR($B2227="",$C2227=""),"",$C2227*IFERROR(INDEX(PecCusto,MATCH($B2227,PecCod,0)),0))</f>
        <v>0</v>
      </c>
      <c r="I2227" s="32">
        <f>IF($A2227="","",IFERROR(INDEX(OSStatus,MATCH($A2227,OSNum,0)),"OS inexistente"))</f>
        <v>0</v>
      </c>
      <c r="J2227" s="32">
        <f>IF($A2227="","",IF($I2227="OS inexistente","OS inexistente",IF($E2227="Peça não cadastrada","Peça não cadastrada","OK")))</f>
        <v>0</v>
      </c>
    </row>
    <row r="2228" spans="1:10">
      <c r="A2228" s="17"/>
      <c r="B2228" s="13"/>
      <c r="C2228" s="20"/>
      <c r="D2228" s="19"/>
      <c r="E2228" s="26">
        <f>IF($B2228="","",IFERROR(INDEX(PecDesc,MATCH($B2228,PecCod,0)),"Peça não cadastrada"))</f>
        <v>0</v>
      </c>
      <c r="F2228" s="27">
        <f>IF($B2228="","",IF($D2228&lt;&gt;"",$D2228,IFERROR(INDEX(PecPreco,MATCH($B2228,PecCod,0)),0)))</f>
        <v>0</v>
      </c>
      <c r="G2228" s="27">
        <f>IF(OR($B2228="",$C2228=""),"",$C2228*$F2228)</f>
        <v>0</v>
      </c>
      <c r="H2228" s="27">
        <f>IF(OR($B2228="",$C2228=""),"",$C2228*IFERROR(INDEX(PecCusto,MATCH($B2228,PecCod,0)),0))</f>
        <v>0</v>
      </c>
      <c r="I2228" s="32">
        <f>IF($A2228="","",IFERROR(INDEX(OSStatus,MATCH($A2228,OSNum,0)),"OS inexistente"))</f>
        <v>0</v>
      </c>
      <c r="J2228" s="32">
        <f>IF($A2228="","",IF($I2228="OS inexistente","OS inexistente",IF($E2228="Peça não cadastrada","Peça não cadastrada","OK")))</f>
        <v>0</v>
      </c>
    </row>
    <row r="2229" spans="1:10">
      <c r="A2229" s="17"/>
      <c r="B2229" s="13"/>
      <c r="C2229" s="20"/>
      <c r="D2229" s="19"/>
      <c r="E2229" s="26">
        <f>IF($B2229="","",IFERROR(INDEX(PecDesc,MATCH($B2229,PecCod,0)),"Peça não cadastrada"))</f>
        <v>0</v>
      </c>
      <c r="F2229" s="27">
        <f>IF($B2229="","",IF($D2229&lt;&gt;"",$D2229,IFERROR(INDEX(PecPreco,MATCH($B2229,PecCod,0)),0)))</f>
        <v>0</v>
      </c>
      <c r="G2229" s="27">
        <f>IF(OR($B2229="",$C2229=""),"",$C2229*$F2229)</f>
        <v>0</v>
      </c>
      <c r="H2229" s="27">
        <f>IF(OR($B2229="",$C2229=""),"",$C2229*IFERROR(INDEX(PecCusto,MATCH($B2229,PecCod,0)),0))</f>
        <v>0</v>
      </c>
      <c r="I2229" s="32">
        <f>IF($A2229="","",IFERROR(INDEX(OSStatus,MATCH($A2229,OSNum,0)),"OS inexistente"))</f>
        <v>0</v>
      </c>
      <c r="J2229" s="32">
        <f>IF($A2229="","",IF($I2229="OS inexistente","OS inexistente",IF($E2229="Peça não cadastrada","Peça não cadastrada","OK")))</f>
        <v>0</v>
      </c>
    </row>
    <row r="2230" spans="1:10">
      <c r="A2230" s="17"/>
      <c r="B2230" s="13"/>
      <c r="C2230" s="20"/>
      <c r="D2230" s="19"/>
      <c r="E2230" s="26">
        <f>IF($B2230="","",IFERROR(INDEX(PecDesc,MATCH($B2230,PecCod,0)),"Peça não cadastrada"))</f>
        <v>0</v>
      </c>
      <c r="F2230" s="27">
        <f>IF($B2230="","",IF($D2230&lt;&gt;"",$D2230,IFERROR(INDEX(PecPreco,MATCH($B2230,PecCod,0)),0)))</f>
        <v>0</v>
      </c>
      <c r="G2230" s="27">
        <f>IF(OR($B2230="",$C2230=""),"",$C2230*$F2230)</f>
        <v>0</v>
      </c>
      <c r="H2230" s="27">
        <f>IF(OR($B2230="",$C2230=""),"",$C2230*IFERROR(INDEX(PecCusto,MATCH($B2230,PecCod,0)),0))</f>
        <v>0</v>
      </c>
      <c r="I2230" s="32">
        <f>IF($A2230="","",IFERROR(INDEX(OSStatus,MATCH($A2230,OSNum,0)),"OS inexistente"))</f>
        <v>0</v>
      </c>
      <c r="J2230" s="32">
        <f>IF($A2230="","",IF($I2230="OS inexistente","OS inexistente",IF($E2230="Peça não cadastrada","Peça não cadastrada","OK")))</f>
        <v>0</v>
      </c>
    </row>
    <row r="2231" spans="1:10">
      <c r="A2231" s="17"/>
      <c r="B2231" s="13"/>
      <c r="C2231" s="20"/>
      <c r="D2231" s="19"/>
      <c r="E2231" s="26">
        <f>IF($B2231="","",IFERROR(INDEX(PecDesc,MATCH($B2231,PecCod,0)),"Peça não cadastrada"))</f>
        <v>0</v>
      </c>
      <c r="F2231" s="27">
        <f>IF($B2231="","",IF($D2231&lt;&gt;"",$D2231,IFERROR(INDEX(PecPreco,MATCH($B2231,PecCod,0)),0)))</f>
        <v>0</v>
      </c>
      <c r="G2231" s="27">
        <f>IF(OR($B2231="",$C2231=""),"",$C2231*$F2231)</f>
        <v>0</v>
      </c>
      <c r="H2231" s="27">
        <f>IF(OR($B2231="",$C2231=""),"",$C2231*IFERROR(INDEX(PecCusto,MATCH($B2231,PecCod,0)),0))</f>
        <v>0</v>
      </c>
      <c r="I2231" s="32">
        <f>IF($A2231="","",IFERROR(INDEX(OSStatus,MATCH($A2231,OSNum,0)),"OS inexistente"))</f>
        <v>0</v>
      </c>
      <c r="J2231" s="32">
        <f>IF($A2231="","",IF($I2231="OS inexistente","OS inexistente",IF($E2231="Peça não cadastrada","Peça não cadastrada","OK")))</f>
        <v>0</v>
      </c>
    </row>
    <row r="2232" spans="1:10">
      <c r="A2232" s="17"/>
      <c r="B2232" s="13"/>
      <c r="C2232" s="20"/>
      <c r="D2232" s="19"/>
      <c r="E2232" s="26">
        <f>IF($B2232="","",IFERROR(INDEX(PecDesc,MATCH($B2232,PecCod,0)),"Peça não cadastrada"))</f>
        <v>0</v>
      </c>
      <c r="F2232" s="27">
        <f>IF($B2232="","",IF($D2232&lt;&gt;"",$D2232,IFERROR(INDEX(PecPreco,MATCH($B2232,PecCod,0)),0)))</f>
        <v>0</v>
      </c>
      <c r="G2232" s="27">
        <f>IF(OR($B2232="",$C2232=""),"",$C2232*$F2232)</f>
        <v>0</v>
      </c>
      <c r="H2232" s="27">
        <f>IF(OR($B2232="",$C2232=""),"",$C2232*IFERROR(INDEX(PecCusto,MATCH($B2232,PecCod,0)),0))</f>
        <v>0</v>
      </c>
      <c r="I2232" s="32">
        <f>IF($A2232="","",IFERROR(INDEX(OSStatus,MATCH($A2232,OSNum,0)),"OS inexistente"))</f>
        <v>0</v>
      </c>
      <c r="J2232" s="32">
        <f>IF($A2232="","",IF($I2232="OS inexistente","OS inexistente",IF($E2232="Peça não cadastrada","Peça não cadastrada","OK")))</f>
        <v>0</v>
      </c>
    </row>
    <row r="2233" spans="1:10">
      <c r="A2233" s="17"/>
      <c r="B2233" s="13"/>
      <c r="C2233" s="20"/>
      <c r="D2233" s="19"/>
      <c r="E2233" s="26">
        <f>IF($B2233="","",IFERROR(INDEX(PecDesc,MATCH($B2233,PecCod,0)),"Peça não cadastrada"))</f>
        <v>0</v>
      </c>
      <c r="F2233" s="27">
        <f>IF($B2233="","",IF($D2233&lt;&gt;"",$D2233,IFERROR(INDEX(PecPreco,MATCH($B2233,PecCod,0)),0)))</f>
        <v>0</v>
      </c>
      <c r="G2233" s="27">
        <f>IF(OR($B2233="",$C2233=""),"",$C2233*$F2233)</f>
        <v>0</v>
      </c>
      <c r="H2233" s="27">
        <f>IF(OR($B2233="",$C2233=""),"",$C2233*IFERROR(INDEX(PecCusto,MATCH($B2233,PecCod,0)),0))</f>
        <v>0</v>
      </c>
      <c r="I2233" s="32">
        <f>IF($A2233="","",IFERROR(INDEX(OSStatus,MATCH($A2233,OSNum,0)),"OS inexistente"))</f>
        <v>0</v>
      </c>
      <c r="J2233" s="32">
        <f>IF($A2233="","",IF($I2233="OS inexistente","OS inexistente",IF($E2233="Peça não cadastrada","Peça não cadastrada","OK")))</f>
        <v>0</v>
      </c>
    </row>
    <row r="2234" spans="1:10">
      <c r="A2234" s="17"/>
      <c r="B2234" s="13"/>
      <c r="C2234" s="20"/>
      <c r="D2234" s="19"/>
      <c r="E2234" s="26">
        <f>IF($B2234="","",IFERROR(INDEX(PecDesc,MATCH($B2234,PecCod,0)),"Peça não cadastrada"))</f>
        <v>0</v>
      </c>
      <c r="F2234" s="27">
        <f>IF($B2234="","",IF($D2234&lt;&gt;"",$D2234,IFERROR(INDEX(PecPreco,MATCH($B2234,PecCod,0)),0)))</f>
        <v>0</v>
      </c>
      <c r="G2234" s="27">
        <f>IF(OR($B2234="",$C2234=""),"",$C2234*$F2234)</f>
        <v>0</v>
      </c>
      <c r="H2234" s="27">
        <f>IF(OR($B2234="",$C2234=""),"",$C2234*IFERROR(INDEX(PecCusto,MATCH($B2234,PecCod,0)),0))</f>
        <v>0</v>
      </c>
      <c r="I2234" s="32">
        <f>IF($A2234="","",IFERROR(INDEX(OSStatus,MATCH($A2234,OSNum,0)),"OS inexistente"))</f>
        <v>0</v>
      </c>
      <c r="J2234" s="32">
        <f>IF($A2234="","",IF($I2234="OS inexistente","OS inexistente",IF($E2234="Peça não cadastrada","Peça não cadastrada","OK")))</f>
        <v>0</v>
      </c>
    </row>
    <row r="2235" spans="1:10">
      <c r="A2235" s="17"/>
      <c r="B2235" s="13"/>
      <c r="C2235" s="20"/>
      <c r="D2235" s="19"/>
      <c r="E2235" s="26">
        <f>IF($B2235="","",IFERROR(INDEX(PecDesc,MATCH($B2235,PecCod,0)),"Peça não cadastrada"))</f>
        <v>0</v>
      </c>
      <c r="F2235" s="27">
        <f>IF($B2235="","",IF($D2235&lt;&gt;"",$D2235,IFERROR(INDEX(PecPreco,MATCH($B2235,PecCod,0)),0)))</f>
        <v>0</v>
      </c>
      <c r="G2235" s="27">
        <f>IF(OR($B2235="",$C2235=""),"",$C2235*$F2235)</f>
        <v>0</v>
      </c>
      <c r="H2235" s="27">
        <f>IF(OR($B2235="",$C2235=""),"",$C2235*IFERROR(INDEX(PecCusto,MATCH($B2235,PecCod,0)),0))</f>
        <v>0</v>
      </c>
      <c r="I2235" s="32">
        <f>IF($A2235="","",IFERROR(INDEX(OSStatus,MATCH($A2235,OSNum,0)),"OS inexistente"))</f>
        <v>0</v>
      </c>
      <c r="J2235" s="32">
        <f>IF($A2235="","",IF($I2235="OS inexistente","OS inexistente",IF($E2235="Peça não cadastrada","Peça não cadastrada","OK")))</f>
        <v>0</v>
      </c>
    </row>
    <row r="2236" spans="1:10">
      <c r="A2236" s="17"/>
      <c r="B2236" s="13"/>
      <c r="C2236" s="20"/>
      <c r="D2236" s="19"/>
      <c r="E2236" s="26">
        <f>IF($B2236="","",IFERROR(INDEX(PecDesc,MATCH($B2236,PecCod,0)),"Peça não cadastrada"))</f>
        <v>0</v>
      </c>
      <c r="F2236" s="27">
        <f>IF($B2236="","",IF($D2236&lt;&gt;"",$D2236,IFERROR(INDEX(PecPreco,MATCH($B2236,PecCod,0)),0)))</f>
        <v>0</v>
      </c>
      <c r="G2236" s="27">
        <f>IF(OR($B2236="",$C2236=""),"",$C2236*$F2236)</f>
        <v>0</v>
      </c>
      <c r="H2236" s="27">
        <f>IF(OR($B2236="",$C2236=""),"",$C2236*IFERROR(INDEX(PecCusto,MATCH($B2236,PecCod,0)),0))</f>
        <v>0</v>
      </c>
      <c r="I2236" s="32">
        <f>IF($A2236="","",IFERROR(INDEX(OSStatus,MATCH($A2236,OSNum,0)),"OS inexistente"))</f>
        <v>0</v>
      </c>
      <c r="J2236" s="32">
        <f>IF($A2236="","",IF($I2236="OS inexistente","OS inexistente",IF($E2236="Peça não cadastrada","Peça não cadastrada","OK")))</f>
        <v>0</v>
      </c>
    </row>
    <row r="2237" spans="1:10">
      <c r="A2237" s="17"/>
      <c r="B2237" s="13"/>
      <c r="C2237" s="20"/>
      <c r="D2237" s="19"/>
      <c r="E2237" s="26">
        <f>IF($B2237="","",IFERROR(INDEX(PecDesc,MATCH($B2237,PecCod,0)),"Peça não cadastrada"))</f>
        <v>0</v>
      </c>
      <c r="F2237" s="27">
        <f>IF($B2237="","",IF($D2237&lt;&gt;"",$D2237,IFERROR(INDEX(PecPreco,MATCH($B2237,PecCod,0)),0)))</f>
        <v>0</v>
      </c>
      <c r="G2237" s="27">
        <f>IF(OR($B2237="",$C2237=""),"",$C2237*$F2237)</f>
        <v>0</v>
      </c>
      <c r="H2237" s="27">
        <f>IF(OR($B2237="",$C2237=""),"",$C2237*IFERROR(INDEX(PecCusto,MATCH($B2237,PecCod,0)),0))</f>
        <v>0</v>
      </c>
      <c r="I2237" s="32">
        <f>IF($A2237="","",IFERROR(INDEX(OSStatus,MATCH($A2237,OSNum,0)),"OS inexistente"))</f>
        <v>0</v>
      </c>
      <c r="J2237" s="32">
        <f>IF($A2237="","",IF($I2237="OS inexistente","OS inexistente",IF($E2237="Peça não cadastrada","Peça não cadastrada","OK")))</f>
        <v>0</v>
      </c>
    </row>
    <row r="2238" spans="1:10">
      <c r="A2238" s="17"/>
      <c r="B2238" s="13"/>
      <c r="C2238" s="20"/>
      <c r="D2238" s="19"/>
      <c r="E2238" s="26">
        <f>IF($B2238="","",IFERROR(INDEX(PecDesc,MATCH($B2238,PecCod,0)),"Peça não cadastrada"))</f>
        <v>0</v>
      </c>
      <c r="F2238" s="27">
        <f>IF($B2238="","",IF($D2238&lt;&gt;"",$D2238,IFERROR(INDEX(PecPreco,MATCH($B2238,PecCod,0)),0)))</f>
        <v>0</v>
      </c>
      <c r="G2238" s="27">
        <f>IF(OR($B2238="",$C2238=""),"",$C2238*$F2238)</f>
        <v>0</v>
      </c>
      <c r="H2238" s="27">
        <f>IF(OR($B2238="",$C2238=""),"",$C2238*IFERROR(INDEX(PecCusto,MATCH($B2238,PecCod,0)),0))</f>
        <v>0</v>
      </c>
      <c r="I2238" s="32">
        <f>IF($A2238="","",IFERROR(INDEX(OSStatus,MATCH($A2238,OSNum,0)),"OS inexistente"))</f>
        <v>0</v>
      </c>
      <c r="J2238" s="32">
        <f>IF($A2238="","",IF($I2238="OS inexistente","OS inexistente",IF($E2238="Peça não cadastrada","Peça não cadastrada","OK")))</f>
        <v>0</v>
      </c>
    </row>
    <row r="2239" spans="1:10">
      <c r="A2239" s="17"/>
      <c r="B2239" s="13"/>
      <c r="C2239" s="20"/>
      <c r="D2239" s="19"/>
      <c r="E2239" s="26">
        <f>IF($B2239="","",IFERROR(INDEX(PecDesc,MATCH($B2239,PecCod,0)),"Peça não cadastrada"))</f>
        <v>0</v>
      </c>
      <c r="F2239" s="27">
        <f>IF($B2239="","",IF($D2239&lt;&gt;"",$D2239,IFERROR(INDEX(PecPreco,MATCH($B2239,PecCod,0)),0)))</f>
        <v>0</v>
      </c>
      <c r="G2239" s="27">
        <f>IF(OR($B2239="",$C2239=""),"",$C2239*$F2239)</f>
        <v>0</v>
      </c>
      <c r="H2239" s="27">
        <f>IF(OR($B2239="",$C2239=""),"",$C2239*IFERROR(INDEX(PecCusto,MATCH($B2239,PecCod,0)),0))</f>
        <v>0</v>
      </c>
      <c r="I2239" s="32">
        <f>IF($A2239="","",IFERROR(INDEX(OSStatus,MATCH($A2239,OSNum,0)),"OS inexistente"))</f>
        <v>0</v>
      </c>
      <c r="J2239" s="32">
        <f>IF($A2239="","",IF($I2239="OS inexistente","OS inexistente",IF($E2239="Peça não cadastrada","Peça não cadastrada","OK")))</f>
        <v>0</v>
      </c>
    </row>
    <row r="2240" spans="1:10">
      <c r="A2240" s="17"/>
      <c r="B2240" s="13"/>
      <c r="C2240" s="20"/>
      <c r="D2240" s="19"/>
      <c r="E2240" s="26">
        <f>IF($B2240="","",IFERROR(INDEX(PecDesc,MATCH($B2240,PecCod,0)),"Peça não cadastrada"))</f>
        <v>0</v>
      </c>
      <c r="F2240" s="27">
        <f>IF($B2240="","",IF($D2240&lt;&gt;"",$D2240,IFERROR(INDEX(PecPreco,MATCH($B2240,PecCod,0)),0)))</f>
        <v>0</v>
      </c>
      <c r="G2240" s="27">
        <f>IF(OR($B2240="",$C2240=""),"",$C2240*$F2240)</f>
        <v>0</v>
      </c>
      <c r="H2240" s="27">
        <f>IF(OR($B2240="",$C2240=""),"",$C2240*IFERROR(INDEX(PecCusto,MATCH($B2240,PecCod,0)),0))</f>
        <v>0</v>
      </c>
      <c r="I2240" s="32">
        <f>IF($A2240="","",IFERROR(INDEX(OSStatus,MATCH($A2240,OSNum,0)),"OS inexistente"))</f>
        <v>0</v>
      </c>
      <c r="J2240" s="32">
        <f>IF($A2240="","",IF($I2240="OS inexistente","OS inexistente",IF($E2240="Peça não cadastrada","Peça não cadastrada","OK")))</f>
        <v>0</v>
      </c>
    </row>
    <row r="2241" spans="1:10">
      <c r="A2241" s="17"/>
      <c r="B2241" s="13"/>
      <c r="C2241" s="20"/>
      <c r="D2241" s="19"/>
      <c r="E2241" s="26">
        <f>IF($B2241="","",IFERROR(INDEX(PecDesc,MATCH($B2241,PecCod,0)),"Peça não cadastrada"))</f>
        <v>0</v>
      </c>
      <c r="F2241" s="27">
        <f>IF($B2241="","",IF($D2241&lt;&gt;"",$D2241,IFERROR(INDEX(PecPreco,MATCH($B2241,PecCod,0)),0)))</f>
        <v>0</v>
      </c>
      <c r="G2241" s="27">
        <f>IF(OR($B2241="",$C2241=""),"",$C2241*$F2241)</f>
        <v>0</v>
      </c>
      <c r="H2241" s="27">
        <f>IF(OR($B2241="",$C2241=""),"",$C2241*IFERROR(INDEX(PecCusto,MATCH($B2241,PecCod,0)),0))</f>
        <v>0</v>
      </c>
      <c r="I2241" s="32">
        <f>IF($A2241="","",IFERROR(INDEX(OSStatus,MATCH($A2241,OSNum,0)),"OS inexistente"))</f>
        <v>0</v>
      </c>
      <c r="J2241" s="32">
        <f>IF($A2241="","",IF($I2241="OS inexistente","OS inexistente",IF($E2241="Peça não cadastrada","Peça não cadastrada","OK")))</f>
        <v>0</v>
      </c>
    </row>
    <row r="2242" spans="1:10">
      <c r="A2242" s="17"/>
      <c r="B2242" s="13"/>
      <c r="C2242" s="20"/>
      <c r="D2242" s="19"/>
      <c r="E2242" s="26">
        <f>IF($B2242="","",IFERROR(INDEX(PecDesc,MATCH($B2242,PecCod,0)),"Peça não cadastrada"))</f>
        <v>0</v>
      </c>
      <c r="F2242" s="27">
        <f>IF($B2242="","",IF($D2242&lt;&gt;"",$D2242,IFERROR(INDEX(PecPreco,MATCH($B2242,PecCod,0)),0)))</f>
        <v>0</v>
      </c>
      <c r="G2242" s="27">
        <f>IF(OR($B2242="",$C2242=""),"",$C2242*$F2242)</f>
        <v>0</v>
      </c>
      <c r="H2242" s="27">
        <f>IF(OR($B2242="",$C2242=""),"",$C2242*IFERROR(INDEX(PecCusto,MATCH($B2242,PecCod,0)),0))</f>
        <v>0</v>
      </c>
      <c r="I2242" s="32">
        <f>IF($A2242="","",IFERROR(INDEX(OSStatus,MATCH($A2242,OSNum,0)),"OS inexistente"))</f>
        <v>0</v>
      </c>
      <c r="J2242" s="32">
        <f>IF($A2242="","",IF($I2242="OS inexistente","OS inexistente",IF($E2242="Peça não cadastrada","Peça não cadastrada","OK")))</f>
        <v>0</v>
      </c>
    </row>
    <row r="2243" spans="1:10">
      <c r="A2243" s="17"/>
      <c r="B2243" s="13"/>
      <c r="C2243" s="20"/>
      <c r="D2243" s="19"/>
      <c r="E2243" s="26">
        <f>IF($B2243="","",IFERROR(INDEX(PecDesc,MATCH($B2243,PecCod,0)),"Peça não cadastrada"))</f>
        <v>0</v>
      </c>
      <c r="F2243" s="27">
        <f>IF($B2243="","",IF($D2243&lt;&gt;"",$D2243,IFERROR(INDEX(PecPreco,MATCH($B2243,PecCod,0)),0)))</f>
        <v>0</v>
      </c>
      <c r="G2243" s="27">
        <f>IF(OR($B2243="",$C2243=""),"",$C2243*$F2243)</f>
        <v>0</v>
      </c>
      <c r="H2243" s="27">
        <f>IF(OR($B2243="",$C2243=""),"",$C2243*IFERROR(INDEX(PecCusto,MATCH($B2243,PecCod,0)),0))</f>
        <v>0</v>
      </c>
      <c r="I2243" s="32">
        <f>IF($A2243="","",IFERROR(INDEX(OSStatus,MATCH($A2243,OSNum,0)),"OS inexistente"))</f>
        <v>0</v>
      </c>
      <c r="J2243" s="32">
        <f>IF($A2243="","",IF($I2243="OS inexistente","OS inexistente",IF($E2243="Peça não cadastrada","Peça não cadastrada","OK")))</f>
        <v>0</v>
      </c>
    </row>
    <row r="2244" spans="1:10">
      <c r="A2244" s="17"/>
      <c r="B2244" s="13"/>
      <c r="C2244" s="20"/>
      <c r="D2244" s="19"/>
      <c r="E2244" s="26">
        <f>IF($B2244="","",IFERROR(INDEX(PecDesc,MATCH($B2244,PecCod,0)),"Peça não cadastrada"))</f>
        <v>0</v>
      </c>
      <c r="F2244" s="27">
        <f>IF($B2244="","",IF($D2244&lt;&gt;"",$D2244,IFERROR(INDEX(PecPreco,MATCH($B2244,PecCod,0)),0)))</f>
        <v>0</v>
      </c>
      <c r="G2244" s="27">
        <f>IF(OR($B2244="",$C2244=""),"",$C2244*$F2244)</f>
        <v>0</v>
      </c>
      <c r="H2244" s="27">
        <f>IF(OR($B2244="",$C2244=""),"",$C2244*IFERROR(INDEX(PecCusto,MATCH($B2244,PecCod,0)),0))</f>
        <v>0</v>
      </c>
      <c r="I2244" s="32">
        <f>IF($A2244="","",IFERROR(INDEX(OSStatus,MATCH($A2244,OSNum,0)),"OS inexistente"))</f>
        <v>0</v>
      </c>
      <c r="J2244" s="32">
        <f>IF($A2244="","",IF($I2244="OS inexistente","OS inexistente",IF($E2244="Peça não cadastrada","Peça não cadastrada","OK")))</f>
        <v>0</v>
      </c>
    </row>
    <row r="2245" spans="1:10">
      <c r="A2245" s="17"/>
      <c r="B2245" s="13"/>
      <c r="C2245" s="20"/>
      <c r="D2245" s="19"/>
      <c r="E2245" s="26">
        <f>IF($B2245="","",IFERROR(INDEX(PecDesc,MATCH($B2245,PecCod,0)),"Peça não cadastrada"))</f>
        <v>0</v>
      </c>
      <c r="F2245" s="27">
        <f>IF($B2245="","",IF($D2245&lt;&gt;"",$D2245,IFERROR(INDEX(PecPreco,MATCH($B2245,PecCod,0)),0)))</f>
        <v>0</v>
      </c>
      <c r="G2245" s="27">
        <f>IF(OR($B2245="",$C2245=""),"",$C2245*$F2245)</f>
        <v>0</v>
      </c>
      <c r="H2245" s="27">
        <f>IF(OR($B2245="",$C2245=""),"",$C2245*IFERROR(INDEX(PecCusto,MATCH($B2245,PecCod,0)),0))</f>
        <v>0</v>
      </c>
      <c r="I2245" s="32">
        <f>IF($A2245="","",IFERROR(INDEX(OSStatus,MATCH($A2245,OSNum,0)),"OS inexistente"))</f>
        <v>0</v>
      </c>
      <c r="J2245" s="32">
        <f>IF($A2245="","",IF($I2245="OS inexistente","OS inexistente",IF($E2245="Peça não cadastrada","Peça não cadastrada","OK")))</f>
        <v>0</v>
      </c>
    </row>
    <row r="2246" spans="1:10">
      <c r="A2246" s="17"/>
      <c r="B2246" s="13"/>
      <c r="C2246" s="20"/>
      <c r="D2246" s="19"/>
      <c r="E2246" s="26">
        <f>IF($B2246="","",IFERROR(INDEX(PecDesc,MATCH($B2246,PecCod,0)),"Peça não cadastrada"))</f>
        <v>0</v>
      </c>
      <c r="F2246" s="27">
        <f>IF($B2246="","",IF($D2246&lt;&gt;"",$D2246,IFERROR(INDEX(PecPreco,MATCH($B2246,PecCod,0)),0)))</f>
        <v>0</v>
      </c>
      <c r="G2246" s="27">
        <f>IF(OR($B2246="",$C2246=""),"",$C2246*$F2246)</f>
        <v>0</v>
      </c>
      <c r="H2246" s="27">
        <f>IF(OR($B2246="",$C2246=""),"",$C2246*IFERROR(INDEX(PecCusto,MATCH($B2246,PecCod,0)),0))</f>
        <v>0</v>
      </c>
      <c r="I2246" s="32">
        <f>IF($A2246="","",IFERROR(INDEX(OSStatus,MATCH($A2246,OSNum,0)),"OS inexistente"))</f>
        <v>0</v>
      </c>
      <c r="J2246" s="32">
        <f>IF($A2246="","",IF($I2246="OS inexistente","OS inexistente",IF($E2246="Peça não cadastrada","Peça não cadastrada","OK")))</f>
        <v>0</v>
      </c>
    </row>
    <row r="2247" spans="1:10">
      <c r="A2247" s="17"/>
      <c r="B2247" s="13"/>
      <c r="C2247" s="20"/>
      <c r="D2247" s="19"/>
      <c r="E2247" s="26">
        <f>IF($B2247="","",IFERROR(INDEX(PecDesc,MATCH($B2247,PecCod,0)),"Peça não cadastrada"))</f>
        <v>0</v>
      </c>
      <c r="F2247" s="27">
        <f>IF($B2247="","",IF($D2247&lt;&gt;"",$D2247,IFERROR(INDEX(PecPreco,MATCH($B2247,PecCod,0)),0)))</f>
        <v>0</v>
      </c>
      <c r="G2247" s="27">
        <f>IF(OR($B2247="",$C2247=""),"",$C2247*$F2247)</f>
        <v>0</v>
      </c>
      <c r="H2247" s="27">
        <f>IF(OR($B2247="",$C2247=""),"",$C2247*IFERROR(INDEX(PecCusto,MATCH($B2247,PecCod,0)),0))</f>
        <v>0</v>
      </c>
      <c r="I2247" s="32">
        <f>IF($A2247="","",IFERROR(INDEX(OSStatus,MATCH($A2247,OSNum,0)),"OS inexistente"))</f>
        <v>0</v>
      </c>
      <c r="J2247" s="32">
        <f>IF($A2247="","",IF($I2247="OS inexistente","OS inexistente",IF($E2247="Peça não cadastrada","Peça não cadastrada","OK")))</f>
        <v>0</v>
      </c>
    </row>
    <row r="2248" spans="1:10">
      <c r="A2248" s="17"/>
      <c r="B2248" s="13"/>
      <c r="C2248" s="20"/>
      <c r="D2248" s="19"/>
      <c r="E2248" s="26">
        <f>IF($B2248="","",IFERROR(INDEX(PecDesc,MATCH($B2248,PecCod,0)),"Peça não cadastrada"))</f>
        <v>0</v>
      </c>
      <c r="F2248" s="27">
        <f>IF($B2248="","",IF($D2248&lt;&gt;"",$D2248,IFERROR(INDEX(PecPreco,MATCH($B2248,PecCod,0)),0)))</f>
        <v>0</v>
      </c>
      <c r="G2248" s="27">
        <f>IF(OR($B2248="",$C2248=""),"",$C2248*$F2248)</f>
        <v>0</v>
      </c>
      <c r="H2248" s="27">
        <f>IF(OR($B2248="",$C2248=""),"",$C2248*IFERROR(INDEX(PecCusto,MATCH($B2248,PecCod,0)),0))</f>
        <v>0</v>
      </c>
      <c r="I2248" s="32">
        <f>IF($A2248="","",IFERROR(INDEX(OSStatus,MATCH($A2248,OSNum,0)),"OS inexistente"))</f>
        <v>0</v>
      </c>
      <c r="J2248" s="32">
        <f>IF($A2248="","",IF($I2248="OS inexistente","OS inexistente",IF($E2248="Peça não cadastrada","Peça não cadastrada","OK")))</f>
        <v>0</v>
      </c>
    </row>
    <row r="2249" spans="1:10">
      <c r="A2249" s="17"/>
      <c r="B2249" s="13"/>
      <c r="C2249" s="20"/>
      <c r="D2249" s="19"/>
      <c r="E2249" s="26">
        <f>IF($B2249="","",IFERROR(INDEX(PecDesc,MATCH($B2249,PecCod,0)),"Peça não cadastrada"))</f>
        <v>0</v>
      </c>
      <c r="F2249" s="27">
        <f>IF($B2249="","",IF($D2249&lt;&gt;"",$D2249,IFERROR(INDEX(PecPreco,MATCH($B2249,PecCod,0)),0)))</f>
        <v>0</v>
      </c>
      <c r="G2249" s="27">
        <f>IF(OR($B2249="",$C2249=""),"",$C2249*$F2249)</f>
        <v>0</v>
      </c>
      <c r="H2249" s="27">
        <f>IF(OR($B2249="",$C2249=""),"",$C2249*IFERROR(INDEX(PecCusto,MATCH($B2249,PecCod,0)),0))</f>
        <v>0</v>
      </c>
      <c r="I2249" s="32">
        <f>IF($A2249="","",IFERROR(INDEX(OSStatus,MATCH($A2249,OSNum,0)),"OS inexistente"))</f>
        <v>0</v>
      </c>
      <c r="J2249" s="32">
        <f>IF($A2249="","",IF($I2249="OS inexistente","OS inexistente",IF($E2249="Peça não cadastrada","Peça não cadastrada","OK")))</f>
        <v>0</v>
      </c>
    </row>
    <row r="2250" spans="1:10">
      <c r="A2250" s="17"/>
      <c r="B2250" s="13"/>
      <c r="C2250" s="20"/>
      <c r="D2250" s="19"/>
      <c r="E2250" s="26">
        <f>IF($B2250="","",IFERROR(INDEX(PecDesc,MATCH($B2250,PecCod,0)),"Peça não cadastrada"))</f>
        <v>0</v>
      </c>
      <c r="F2250" s="27">
        <f>IF($B2250="","",IF($D2250&lt;&gt;"",$D2250,IFERROR(INDEX(PecPreco,MATCH($B2250,PecCod,0)),0)))</f>
        <v>0</v>
      </c>
      <c r="G2250" s="27">
        <f>IF(OR($B2250="",$C2250=""),"",$C2250*$F2250)</f>
        <v>0</v>
      </c>
      <c r="H2250" s="27">
        <f>IF(OR($B2250="",$C2250=""),"",$C2250*IFERROR(INDEX(PecCusto,MATCH($B2250,PecCod,0)),0))</f>
        <v>0</v>
      </c>
      <c r="I2250" s="32">
        <f>IF($A2250="","",IFERROR(INDEX(OSStatus,MATCH($A2250,OSNum,0)),"OS inexistente"))</f>
        <v>0</v>
      </c>
      <c r="J2250" s="32">
        <f>IF($A2250="","",IF($I2250="OS inexistente","OS inexistente",IF($E2250="Peça não cadastrada","Peça não cadastrada","OK")))</f>
        <v>0</v>
      </c>
    </row>
    <row r="2251" spans="1:10">
      <c r="A2251" s="17"/>
      <c r="B2251" s="13"/>
      <c r="C2251" s="20"/>
      <c r="D2251" s="19"/>
      <c r="E2251" s="26">
        <f>IF($B2251="","",IFERROR(INDEX(PecDesc,MATCH($B2251,PecCod,0)),"Peça não cadastrada"))</f>
        <v>0</v>
      </c>
      <c r="F2251" s="27">
        <f>IF($B2251="","",IF($D2251&lt;&gt;"",$D2251,IFERROR(INDEX(PecPreco,MATCH($B2251,PecCod,0)),0)))</f>
        <v>0</v>
      </c>
      <c r="G2251" s="27">
        <f>IF(OR($B2251="",$C2251=""),"",$C2251*$F2251)</f>
        <v>0</v>
      </c>
      <c r="H2251" s="27">
        <f>IF(OR($B2251="",$C2251=""),"",$C2251*IFERROR(INDEX(PecCusto,MATCH($B2251,PecCod,0)),0))</f>
        <v>0</v>
      </c>
      <c r="I2251" s="32">
        <f>IF($A2251="","",IFERROR(INDEX(OSStatus,MATCH($A2251,OSNum,0)),"OS inexistente"))</f>
        <v>0</v>
      </c>
      <c r="J2251" s="32">
        <f>IF($A2251="","",IF($I2251="OS inexistente","OS inexistente",IF($E2251="Peça não cadastrada","Peça não cadastrada","OK")))</f>
        <v>0</v>
      </c>
    </row>
    <row r="2252" spans="1:10">
      <c r="A2252" s="17"/>
      <c r="B2252" s="13"/>
      <c r="C2252" s="20"/>
      <c r="D2252" s="19"/>
      <c r="E2252" s="26">
        <f>IF($B2252="","",IFERROR(INDEX(PecDesc,MATCH($B2252,PecCod,0)),"Peça não cadastrada"))</f>
        <v>0</v>
      </c>
      <c r="F2252" s="27">
        <f>IF($B2252="","",IF($D2252&lt;&gt;"",$D2252,IFERROR(INDEX(PecPreco,MATCH($B2252,PecCod,0)),0)))</f>
        <v>0</v>
      </c>
      <c r="G2252" s="27">
        <f>IF(OR($B2252="",$C2252=""),"",$C2252*$F2252)</f>
        <v>0</v>
      </c>
      <c r="H2252" s="27">
        <f>IF(OR($B2252="",$C2252=""),"",$C2252*IFERROR(INDEX(PecCusto,MATCH($B2252,PecCod,0)),0))</f>
        <v>0</v>
      </c>
      <c r="I2252" s="32">
        <f>IF($A2252="","",IFERROR(INDEX(OSStatus,MATCH($A2252,OSNum,0)),"OS inexistente"))</f>
        <v>0</v>
      </c>
      <c r="J2252" s="32">
        <f>IF($A2252="","",IF($I2252="OS inexistente","OS inexistente",IF($E2252="Peça não cadastrada","Peça não cadastrada","OK")))</f>
        <v>0</v>
      </c>
    </row>
    <row r="2253" spans="1:10">
      <c r="A2253" s="17"/>
      <c r="B2253" s="13"/>
      <c r="C2253" s="20"/>
      <c r="D2253" s="19"/>
      <c r="E2253" s="26">
        <f>IF($B2253="","",IFERROR(INDEX(PecDesc,MATCH($B2253,PecCod,0)),"Peça não cadastrada"))</f>
        <v>0</v>
      </c>
      <c r="F2253" s="27">
        <f>IF($B2253="","",IF($D2253&lt;&gt;"",$D2253,IFERROR(INDEX(PecPreco,MATCH($B2253,PecCod,0)),0)))</f>
        <v>0</v>
      </c>
      <c r="G2253" s="27">
        <f>IF(OR($B2253="",$C2253=""),"",$C2253*$F2253)</f>
        <v>0</v>
      </c>
      <c r="H2253" s="27">
        <f>IF(OR($B2253="",$C2253=""),"",$C2253*IFERROR(INDEX(PecCusto,MATCH($B2253,PecCod,0)),0))</f>
        <v>0</v>
      </c>
      <c r="I2253" s="32">
        <f>IF($A2253="","",IFERROR(INDEX(OSStatus,MATCH($A2253,OSNum,0)),"OS inexistente"))</f>
        <v>0</v>
      </c>
      <c r="J2253" s="32">
        <f>IF($A2253="","",IF($I2253="OS inexistente","OS inexistente",IF($E2253="Peça não cadastrada","Peça não cadastrada","OK")))</f>
        <v>0</v>
      </c>
    </row>
    <row r="2254" spans="1:10">
      <c r="A2254" s="17"/>
      <c r="B2254" s="13"/>
      <c r="C2254" s="20"/>
      <c r="D2254" s="19"/>
      <c r="E2254" s="26">
        <f>IF($B2254="","",IFERROR(INDEX(PecDesc,MATCH($B2254,PecCod,0)),"Peça não cadastrada"))</f>
        <v>0</v>
      </c>
      <c r="F2254" s="27">
        <f>IF($B2254="","",IF($D2254&lt;&gt;"",$D2254,IFERROR(INDEX(PecPreco,MATCH($B2254,PecCod,0)),0)))</f>
        <v>0</v>
      </c>
      <c r="G2254" s="27">
        <f>IF(OR($B2254="",$C2254=""),"",$C2254*$F2254)</f>
        <v>0</v>
      </c>
      <c r="H2254" s="27">
        <f>IF(OR($B2254="",$C2254=""),"",$C2254*IFERROR(INDEX(PecCusto,MATCH($B2254,PecCod,0)),0))</f>
        <v>0</v>
      </c>
      <c r="I2254" s="32">
        <f>IF($A2254="","",IFERROR(INDEX(OSStatus,MATCH($A2254,OSNum,0)),"OS inexistente"))</f>
        <v>0</v>
      </c>
      <c r="J2254" s="32">
        <f>IF($A2254="","",IF($I2254="OS inexistente","OS inexistente",IF($E2254="Peça não cadastrada","Peça não cadastrada","OK")))</f>
        <v>0</v>
      </c>
    </row>
    <row r="2255" spans="1:10">
      <c r="A2255" s="17"/>
      <c r="B2255" s="13"/>
      <c r="C2255" s="20"/>
      <c r="D2255" s="19"/>
      <c r="E2255" s="26">
        <f>IF($B2255="","",IFERROR(INDEX(PecDesc,MATCH($B2255,PecCod,0)),"Peça não cadastrada"))</f>
        <v>0</v>
      </c>
      <c r="F2255" s="27">
        <f>IF($B2255="","",IF($D2255&lt;&gt;"",$D2255,IFERROR(INDEX(PecPreco,MATCH($B2255,PecCod,0)),0)))</f>
        <v>0</v>
      </c>
      <c r="G2255" s="27">
        <f>IF(OR($B2255="",$C2255=""),"",$C2255*$F2255)</f>
        <v>0</v>
      </c>
      <c r="H2255" s="27">
        <f>IF(OR($B2255="",$C2255=""),"",$C2255*IFERROR(INDEX(PecCusto,MATCH($B2255,PecCod,0)),0))</f>
        <v>0</v>
      </c>
      <c r="I2255" s="32">
        <f>IF($A2255="","",IFERROR(INDEX(OSStatus,MATCH($A2255,OSNum,0)),"OS inexistente"))</f>
        <v>0</v>
      </c>
      <c r="J2255" s="32">
        <f>IF($A2255="","",IF($I2255="OS inexistente","OS inexistente",IF($E2255="Peça não cadastrada","Peça não cadastrada","OK")))</f>
        <v>0</v>
      </c>
    </row>
    <row r="2256" spans="1:10">
      <c r="A2256" s="17"/>
      <c r="B2256" s="13"/>
      <c r="C2256" s="20"/>
      <c r="D2256" s="19"/>
      <c r="E2256" s="26">
        <f>IF($B2256="","",IFERROR(INDEX(PecDesc,MATCH($B2256,PecCod,0)),"Peça não cadastrada"))</f>
        <v>0</v>
      </c>
      <c r="F2256" s="27">
        <f>IF($B2256="","",IF($D2256&lt;&gt;"",$D2256,IFERROR(INDEX(PecPreco,MATCH($B2256,PecCod,0)),0)))</f>
        <v>0</v>
      </c>
      <c r="G2256" s="27">
        <f>IF(OR($B2256="",$C2256=""),"",$C2256*$F2256)</f>
        <v>0</v>
      </c>
      <c r="H2256" s="27">
        <f>IF(OR($B2256="",$C2256=""),"",$C2256*IFERROR(INDEX(PecCusto,MATCH($B2256,PecCod,0)),0))</f>
        <v>0</v>
      </c>
      <c r="I2256" s="32">
        <f>IF($A2256="","",IFERROR(INDEX(OSStatus,MATCH($A2256,OSNum,0)),"OS inexistente"))</f>
        <v>0</v>
      </c>
      <c r="J2256" s="32">
        <f>IF($A2256="","",IF($I2256="OS inexistente","OS inexistente",IF($E2256="Peça não cadastrada","Peça não cadastrada","OK")))</f>
        <v>0</v>
      </c>
    </row>
    <row r="2257" spans="1:10">
      <c r="A2257" s="17"/>
      <c r="B2257" s="13"/>
      <c r="C2257" s="20"/>
      <c r="D2257" s="19"/>
      <c r="E2257" s="26">
        <f>IF($B2257="","",IFERROR(INDEX(PecDesc,MATCH($B2257,PecCod,0)),"Peça não cadastrada"))</f>
        <v>0</v>
      </c>
      <c r="F2257" s="27">
        <f>IF($B2257="","",IF($D2257&lt;&gt;"",$D2257,IFERROR(INDEX(PecPreco,MATCH($B2257,PecCod,0)),0)))</f>
        <v>0</v>
      </c>
      <c r="G2257" s="27">
        <f>IF(OR($B2257="",$C2257=""),"",$C2257*$F2257)</f>
        <v>0</v>
      </c>
      <c r="H2257" s="27">
        <f>IF(OR($B2257="",$C2257=""),"",$C2257*IFERROR(INDEX(PecCusto,MATCH($B2257,PecCod,0)),0))</f>
        <v>0</v>
      </c>
      <c r="I2257" s="32">
        <f>IF($A2257="","",IFERROR(INDEX(OSStatus,MATCH($A2257,OSNum,0)),"OS inexistente"))</f>
        <v>0</v>
      </c>
      <c r="J2257" s="32">
        <f>IF($A2257="","",IF($I2257="OS inexistente","OS inexistente",IF($E2257="Peça não cadastrada","Peça não cadastrada","OK")))</f>
        <v>0</v>
      </c>
    </row>
    <row r="2258" spans="1:10">
      <c r="A2258" s="17"/>
      <c r="B2258" s="13"/>
      <c r="C2258" s="20"/>
      <c r="D2258" s="19"/>
      <c r="E2258" s="26">
        <f>IF($B2258="","",IFERROR(INDEX(PecDesc,MATCH($B2258,PecCod,0)),"Peça não cadastrada"))</f>
        <v>0</v>
      </c>
      <c r="F2258" s="27">
        <f>IF($B2258="","",IF($D2258&lt;&gt;"",$D2258,IFERROR(INDEX(PecPreco,MATCH($B2258,PecCod,0)),0)))</f>
        <v>0</v>
      </c>
      <c r="G2258" s="27">
        <f>IF(OR($B2258="",$C2258=""),"",$C2258*$F2258)</f>
        <v>0</v>
      </c>
      <c r="H2258" s="27">
        <f>IF(OR($B2258="",$C2258=""),"",$C2258*IFERROR(INDEX(PecCusto,MATCH($B2258,PecCod,0)),0))</f>
        <v>0</v>
      </c>
      <c r="I2258" s="32">
        <f>IF($A2258="","",IFERROR(INDEX(OSStatus,MATCH($A2258,OSNum,0)),"OS inexistente"))</f>
        <v>0</v>
      </c>
      <c r="J2258" s="32">
        <f>IF($A2258="","",IF($I2258="OS inexistente","OS inexistente",IF($E2258="Peça não cadastrada","Peça não cadastrada","OK")))</f>
        <v>0</v>
      </c>
    </row>
    <row r="2259" spans="1:10">
      <c r="A2259" s="17"/>
      <c r="B2259" s="13"/>
      <c r="C2259" s="20"/>
      <c r="D2259" s="19"/>
      <c r="E2259" s="26">
        <f>IF($B2259="","",IFERROR(INDEX(PecDesc,MATCH($B2259,PecCod,0)),"Peça não cadastrada"))</f>
        <v>0</v>
      </c>
      <c r="F2259" s="27">
        <f>IF($B2259="","",IF($D2259&lt;&gt;"",$D2259,IFERROR(INDEX(PecPreco,MATCH($B2259,PecCod,0)),0)))</f>
        <v>0</v>
      </c>
      <c r="G2259" s="27">
        <f>IF(OR($B2259="",$C2259=""),"",$C2259*$F2259)</f>
        <v>0</v>
      </c>
      <c r="H2259" s="27">
        <f>IF(OR($B2259="",$C2259=""),"",$C2259*IFERROR(INDEX(PecCusto,MATCH($B2259,PecCod,0)),0))</f>
        <v>0</v>
      </c>
      <c r="I2259" s="32">
        <f>IF($A2259="","",IFERROR(INDEX(OSStatus,MATCH($A2259,OSNum,0)),"OS inexistente"))</f>
        <v>0</v>
      </c>
      <c r="J2259" s="32">
        <f>IF($A2259="","",IF($I2259="OS inexistente","OS inexistente",IF($E2259="Peça não cadastrada","Peça não cadastrada","OK")))</f>
        <v>0</v>
      </c>
    </row>
    <row r="2260" spans="1:10">
      <c r="A2260" s="17"/>
      <c r="B2260" s="13"/>
      <c r="C2260" s="20"/>
      <c r="D2260" s="19"/>
      <c r="E2260" s="26">
        <f>IF($B2260="","",IFERROR(INDEX(PecDesc,MATCH($B2260,PecCod,0)),"Peça não cadastrada"))</f>
        <v>0</v>
      </c>
      <c r="F2260" s="27">
        <f>IF($B2260="","",IF($D2260&lt;&gt;"",$D2260,IFERROR(INDEX(PecPreco,MATCH($B2260,PecCod,0)),0)))</f>
        <v>0</v>
      </c>
      <c r="G2260" s="27">
        <f>IF(OR($B2260="",$C2260=""),"",$C2260*$F2260)</f>
        <v>0</v>
      </c>
      <c r="H2260" s="27">
        <f>IF(OR($B2260="",$C2260=""),"",$C2260*IFERROR(INDEX(PecCusto,MATCH($B2260,PecCod,0)),0))</f>
        <v>0</v>
      </c>
      <c r="I2260" s="32">
        <f>IF($A2260="","",IFERROR(INDEX(OSStatus,MATCH($A2260,OSNum,0)),"OS inexistente"))</f>
        <v>0</v>
      </c>
      <c r="J2260" s="32">
        <f>IF($A2260="","",IF($I2260="OS inexistente","OS inexistente",IF($E2260="Peça não cadastrada","Peça não cadastrada","OK")))</f>
        <v>0</v>
      </c>
    </row>
    <row r="2261" spans="1:10">
      <c r="A2261" s="17"/>
      <c r="B2261" s="13"/>
      <c r="C2261" s="20"/>
      <c r="D2261" s="19"/>
      <c r="E2261" s="26">
        <f>IF($B2261="","",IFERROR(INDEX(PecDesc,MATCH($B2261,PecCod,0)),"Peça não cadastrada"))</f>
        <v>0</v>
      </c>
      <c r="F2261" s="27">
        <f>IF($B2261="","",IF($D2261&lt;&gt;"",$D2261,IFERROR(INDEX(PecPreco,MATCH($B2261,PecCod,0)),0)))</f>
        <v>0</v>
      </c>
      <c r="G2261" s="27">
        <f>IF(OR($B2261="",$C2261=""),"",$C2261*$F2261)</f>
        <v>0</v>
      </c>
      <c r="H2261" s="27">
        <f>IF(OR($B2261="",$C2261=""),"",$C2261*IFERROR(INDEX(PecCusto,MATCH($B2261,PecCod,0)),0))</f>
        <v>0</v>
      </c>
      <c r="I2261" s="32">
        <f>IF($A2261="","",IFERROR(INDEX(OSStatus,MATCH($A2261,OSNum,0)),"OS inexistente"))</f>
        <v>0</v>
      </c>
      <c r="J2261" s="32">
        <f>IF($A2261="","",IF($I2261="OS inexistente","OS inexistente",IF($E2261="Peça não cadastrada","Peça não cadastrada","OK")))</f>
        <v>0</v>
      </c>
    </row>
    <row r="2262" spans="1:10">
      <c r="A2262" s="17"/>
      <c r="B2262" s="13"/>
      <c r="C2262" s="20"/>
      <c r="D2262" s="19"/>
      <c r="E2262" s="26">
        <f>IF($B2262="","",IFERROR(INDEX(PecDesc,MATCH($B2262,PecCod,0)),"Peça não cadastrada"))</f>
        <v>0</v>
      </c>
      <c r="F2262" s="27">
        <f>IF($B2262="","",IF($D2262&lt;&gt;"",$D2262,IFERROR(INDEX(PecPreco,MATCH($B2262,PecCod,0)),0)))</f>
        <v>0</v>
      </c>
      <c r="G2262" s="27">
        <f>IF(OR($B2262="",$C2262=""),"",$C2262*$F2262)</f>
        <v>0</v>
      </c>
      <c r="H2262" s="27">
        <f>IF(OR($B2262="",$C2262=""),"",$C2262*IFERROR(INDEX(PecCusto,MATCH($B2262,PecCod,0)),0))</f>
        <v>0</v>
      </c>
      <c r="I2262" s="32">
        <f>IF($A2262="","",IFERROR(INDEX(OSStatus,MATCH($A2262,OSNum,0)),"OS inexistente"))</f>
        <v>0</v>
      </c>
      <c r="J2262" s="32">
        <f>IF($A2262="","",IF($I2262="OS inexistente","OS inexistente",IF($E2262="Peça não cadastrada","Peça não cadastrada","OK")))</f>
        <v>0</v>
      </c>
    </row>
    <row r="2263" spans="1:10">
      <c r="A2263" s="17"/>
      <c r="B2263" s="13"/>
      <c r="C2263" s="20"/>
      <c r="D2263" s="19"/>
      <c r="E2263" s="26">
        <f>IF($B2263="","",IFERROR(INDEX(PecDesc,MATCH($B2263,PecCod,0)),"Peça não cadastrada"))</f>
        <v>0</v>
      </c>
      <c r="F2263" s="27">
        <f>IF($B2263="","",IF($D2263&lt;&gt;"",$D2263,IFERROR(INDEX(PecPreco,MATCH($B2263,PecCod,0)),0)))</f>
        <v>0</v>
      </c>
      <c r="G2263" s="27">
        <f>IF(OR($B2263="",$C2263=""),"",$C2263*$F2263)</f>
        <v>0</v>
      </c>
      <c r="H2263" s="27">
        <f>IF(OR($B2263="",$C2263=""),"",$C2263*IFERROR(INDEX(PecCusto,MATCH($B2263,PecCod,0)),0))</f>
        <v>0</v>
      </c>
      <c r="I2263" s="32">
        <f>IF($A2263="","",IFERROR(INDEX(OSStatus,MATCH($A2263,OSNum,0)),"OS inexistente"))</f>
        <v>0</v>
      </c>
      <c r="J2263" s="32">
        <f>IF($A2263="","",IF($I2263="OS inexistente","OS inexistente",IF($E2263="Peça não cadastrada","Peça não cadastrada","OK")))</f>
        <v>0</v>
      </c>
    </row>
    <row r="2264" spans="1:10">
      <c r="A2264" s="17"/>
      <c r="B2264" s="13"/>
      <c r="C2264" s="20"/>
      <c r="D2264" s="19"/>
      <c r="E2264" s="26">
        <f>IF($B2264="","",IFERROR(INDEX(PecDesc,MATCH($B2264,PecCod,0)),"Peça não cadastrada"))</f>
        <v>0</v>
      </c>
      <c r="F2264" s="27">
        <f>IF($B2264="","",IF($D2264&lt;&gt;"",$D2264,IFERROR(INDEX(PecPreco,MATCH($B2264,PecCod,0)),0)))</f>
        <v>0</v>
      </c>
      <c r="G2264" s="27">
        <f>IF(OR($B2264="",$C2264=""),"",$C2264*$F2264)</f>
        <v>0</v>
      </c>
      <c r="H2264" s="27">
        <f>IF(OR($B2264="",$C2264=""),"",$C2264*IFERROR(INDEX(PecCusto,MATCH($B2264,PecCod,0)),0))</f>
        <v>0</v>
      </c>
      <c r="I2264" s="32">
        <f>IF($A2264="","",IFERROR(INDEX(OSStatus,MATCH($A2264,OSNum,0)),"OS inexistente"))</f>
        <v>0</v>
      </c>
      <c r="J2264" s="32">
        <f>IF($A2264="","",IF($I2264="OS inexistente","OS inexistente",IF($E2264="Peça não cadastrada","Peça não cadastrada","OK")))</f>
        <v>0</v>
      </c>
    </row>
    <row r="2265" spans="1:10">
      <c r="A2265" s="17"/>
      <c r="B2265" s="13"/>
      <c r="C2265" s="20"/>
      <c r="D2265" s="19"/>
      <c r="E2265" s="26">
        <f>IF($B2265="","",IFERROR(INDEX(PecDesc,MATCH($B2265,PecCod,0)),"Peça não cadastrada"))</f>
        <v>0</v>
      </c>
      <c r="F2265" s="27">
        <f>IF($B2265="","",IF($D2265&lt;&gt;"",$D2265,IFERROR(INDEX(PecPreco,MATCH($B2265,PecCod,0)),0)))</f>
        <v>0</v>
      </c>
      <c r="G2265" s="27">
        <f>IF(OR($B2265="",$C2265=""),"",$C2265*$F2265)</f>
        <v>0</v>
      </c>
      <c r="H2265" s="27">
        <f>IF(OR($B2265="",$C2265=""),"",$C2265*IFERROR(INDEX(PecCusto,MATCH($B2265,PecCod,0)),0))</f>
        <v>0</v>
      </c>
      <c r="I2265" s="32">
        <f>IF($A2265="","",IFERROR(INDEX(OSStatus,MATCH($A2265,OSNum,0)),"OS inexistente"))</f>
        <v>0</v>
      </c>
      <c r="J2265" s="32">
        <f>IF($A2265="","",IF($I2265="OS inexistente","OS inexistente",IF($E2265="Peça não cadastrada","Peça não cadastrada","OK")))</f>
        <v>0</v>
      </c>
    </row>
    <row r="2266" spans="1:10">
      <c r="A2266" s="17"/>
      <c r="B2266" s="13"/>
      <c r="C2266" s="20"/>
      <c r="D2266" s="19"/>
      <c r="E2266" s="26">
        <f>IF($B2266="","",IFERROR(INDEX(PecDesc,MATCH($B2266,PecCod,0)),"Peça não cadastrada"))</f>
        <v>0</v>
      </c>
      <c r="F2266" s="27">
        <f>IF($B2266="","",IF($D2266&lt;&gt;"",$D2266,IFERROR(INDEX(PecPreco,MATCH($B2266,PecCod,0)),0)))</f>
        <v>0</v>
      </c>
      <c r="G2266" s="27">
        <f>IF(OR($B2266="",$C2266=""),"",$C2266*$F2266)</f>
        <v>0</v>
      </c>
      <c r="H2266" s="27">
        <f>IF(OR($B2266="",$C2266=""),"",$C2266*IFERROR(INDEX(PecCusto,MATCH($B2266,PecCod,0)),0))</f>
        <v>0</v>
      </c>
      <c r="I2266" s="32">
        <f>IF($A2266="","",IFERROR(INDEX(OSStatus,MATCH($A2266,OSNum,0)),"OS inexistente"))</f>
        <v>0</v>
      </c>
      <c r="J2266" s="32">
        <f>IF($A2266="","",IF($I2266="OS inexistente","OS inexistente",IF($E2266="Peça não cadastrada","Peça não cadastrada","OK")))</f>
        <v>0</v>
      </c>
    </row>
    <row r="2267" spans="1:10">
      <c r="A2267" s="17"/>
      <c r="B2267" s="13"/>
      <c r="C2267" s="20"/>
      <c r="D2267" s="19"/>
      <c r="E2267" s="26">
        <f>IF($B2267="","",IFERROR(INDEX(PecDesc,MATCH($B2267,PecCod,0)),"Peça não cadastrada"))</f>
        <v>0</v>
      </c>
      <c r="F2267" s="27">
        <f>IF($B2267="","",IF($D2267&lt;&gt;"",$D2267,IFERROR(INDEX(PecPreco,MATCH($B2267,PecCod,0)),0)))</f>
        <v>0</v>
      </c>
      <c r="G2267" s="27">
        <f>IF(OR($B2267="",$C2267=""),"",$C2267*$F2267)</f>
        <v>0</v>
      </c>
      <c r="H2267" s="27">
        <f>IF(OR($B2267="",$C2267=""),"",$C2267*IFERROR(INDEX(PecCusto,MATCH($B2267,PecCod,0)),0))</f>
        <v>0</v>
      </c>
      <c r="I2267" s="32">
        <f>IF($A2267="","",IFERROR(INDEX(OSStatus,MATCH($A2267,OSNum,0)),"OS inexistente"))</f>
        <v>0</v>
      </c>
      <c r="J2267" s="32">
        <f>IF($A2267="","",IF($I2267="OS inexistente","OS inexistente",IF($E2267="Peça não cadastrada","Peça não cadastrada","OK")))</f>
        <v>0</v>
      </c>
    </row>
    <row r="2268" spans="1:10">
      <c r="A2268" s="17"/>
      <c r="B2268" s="13"/>
      <c r="C2268" s="20"/>
      <c r="D2268" s="19"/>
      <c r="E2268" s="26">
        <f>IF($B2268="","",IFERROR(INDEX(PecDesc,MATCH($B2268,PecCod,0)),"Peça não cadastrada"))</f>
        <v>0</v>
      </c>
      <c r="F2268" s="27">
        <f>IF($B2268="","",IF($D2268&lt;&gt;"",$D2268,IFERROR(INDEX(PecPreco,MATCH($B2268,PecCod,0)),0)))</f>
        <v>0</v>
      </c>
      <c r="G2268" s="27">
        <f>IF(OR($B2268="",$C2268=""),"",$C2268*$F2268)</f>
        <v>0</v>
      </c>
      <c r="H2268" s="27">
        <f>IF(OR($B2268="",$C2268=""),"",$C2268*IFERROR(INDEX(PecCusto,MATCH($B2268,PecCod,0)),0))</f>
        <v>0</v>
      </c>
      <c r="I2268" s="32">
        <f>IF($A2268="","",IFERROR(INDEX(OSStatus,MATCH($A2268,OSNum,0)),"OS inexistente"))</f>
        <v>0</v>
      </c>
      <c r="J2268" s="32">
        <f>IF($A2268="","",IF($I2268="OS inexistente","OS inexistente",IF($E2268="Peça não cadastrada","Peça não cadastrada","OK")))</f>
        <v>0</v>
      </c>
    </row>
    <row r="2269" spans="1:10">
      <c r="A2269" s="17"/>
      <c r="B2269" s="13"/>
      <c r="C2269" s="20"/>
      <c r="D2269" s="19"/>
      <c r="E2269" s="26">
        <f>IF($B2269="","",IFERROR(INDEX(PecDesc,MATCH($B2269,PecCod,0)),"Peça não cadastrada"))</f>
        <v>0</v>
      </c>
      <c r="F2269" s="27">
        <f>IF($B2269="","",IF($D2269&lt;&gt;"",$D2269,IFERROR(INDEX(PecPreco,MATCH($B2269,PecCod,0)),0)))</f>
        <v>0</v>
      </c>
      <c r="G2269" s="27">
        <f>IF(OR($B2269="",$C2269=""),"",$C2269*$F2269)</f>
        <v>0</v>
      </c>
      <c r="H2269" s="27">
        <f>IF(OR($B2269="",$C2269=""),"",$C2269*IFERROR(INDEX(PecCusto,MATCH($B2269,PecCod,0)),0))</f>
        <v>0</v>
      </c>
      <c r="I2269" s="32">
        <f>IF($A2269="","",IFERROR(INDEX(OSStatus,MATCH($A2269,OSNum,0)),"OS inexistente"))</f>
        <v>0</v>
      </c>
      <c r="J2269" s="32">
        <f>IF($A2269="","",IF($I2269="OS inexistente","OS inexistente",IF($E2269="Peça não cadastrada","Peça não cadastrada","OK")))</f>
        <v>0</v>
      </c>
    </row>
    <row r="2270" spans="1:10">
      <c r="A2270" s="17"/>
      <c r="B2270" s="13"/>
      <c r="C2270" s="20"/>
      <c r="D2270" s="19"/>
      <c r="E2270" s="26">
        <f>IF($B2270="","",IFERROR(INDEX(PecDesc,MATCH($B2270,PecCod,0)),"Peça não cadastrada"))</f>
        <v>0</v>
      </c>
      <c r="F2270" s="27">
        <f>IF($B2270="","",IF($D2270&lt;&gt;"",$D2270,IFERROR(INDEX(PecPreco,MATCH($B2270,PecCod,0)),0)))</f>
        <v>0</v>
      </c>
      <c r="G2270" s="27">
        <f>IF(OR($B2270="",$C2270=""),"",$C2270*$F2270)</f>
        <v>0</v>
      </c>
      <c r="H2270" s="27">
        <f>IF(OR($B2270="",$C2270=""),"",$C2270*IFERROR(INDEX(PecCusto,MATCH($B2270,PecCod,0)),0))</f>
        <v>0</v>
      </c>
      <c r="I2270" s="32">
        <f>IF($A2270="","",IFERROR(INDEX(OSStatus,MATCH($A2270,OSNum,0)),"OS inexistente"))</f>
        <v>0</v>
      </c>
      <c r="J2270" s="32">
        <f>IF($A2270="","",IF($I2270="OS inexistente","OS inexistente",IF($E2270="Peça não cadastrada","Peça não cadastrada","OK")))</f>
        <v>0</v>
      </c>
    </row>
    <row r="2271" spans="1:10">
      <c r="A2271" s="17"/>
      <c r="B2271" s="13"/>
      <c r="C2271" s="20"/>
      <c r="D2271" s="19"/>
      <c r="E2271" s="26">
        <f>IF($B2271="","",IFERROR(INDEX(PecDesc,MATCH($B2271,PecCod,0)),"Peça não cadastrada"))</f>
        <v>0</v>
      </c>
      <c r="F2271" s="27">
        <f>IF($B2271="","",IF($D2271&lt;&gt;"",$D2271,IFERROR(INDEX(PecPreco,MATCH($B2271,PecCod,0)),0)))</f>
        <v>0</v>
      </c>
      <c r="G2271" s="27">
        <f>IF(OR($B2271="",$C2271=""),"",$C2271*$F2271)</f>
        <v>0</v>
      </c>
      <c r="H2271" s="27">
        <f>IF(OR($B2271="",$C2271=""),"",$C2271*IFERROR(INDEX(PecCusto,MATCH($B2271,PecCod,0)),0))</f>
        <v>0</v>
      </c>
      <c r="I2271" s="32">
        <f>IF($A2271="","",IFERROR(INDEX(OSStatus,MATCH($A2271,OSNum,0)),"OS inexistente"))</f>
        <v>0</v>
      </c>
      <c r="J2271" s="32">
        <f>IF($A2271="","",IF($I2271="OS inexistente","OS inexistente",IF($E2271="Peça não cadastrada","Peça não cadastrada","OK")))</f>
        <v>0</v>
      </c>
    </row>
    <row r="2272" spans="1:10">
      <c r="A2272" s="17"/>
      <c r="B2272" s="13"/>
      <c r="C2272" s="20"/>
      <c r="D2272" s="19"/>
      <c r="E2272" s="26">
        <f>IF($B2272="","",IFERROR(INDEX(PecDesc,MATCH($B2272,PecCod,0)),"Peça não cadastrada"))</f>
        <v>0</v>
      </c>
      <c r="F2272" s="27">
        <f>IF($B2272="","",IF($D2272&lt;&gt;"",$D2272,IFERROR(INDEX(PecPreco,MATCH($B2272,PecCod,0)),0)))</f>
        <v>0</v>
      </c>
      <c r="G2272" s="27">
        <f>IF(OR($B2272="",$C2272=""),"",$C2272*$F2272)</f>
        <v>0</v>
      </c>
      <c r="H2272" s="27">
        <f>IF(OR($B2272="",$C2272=""),"",$C2272*IFERROR(INDEX(PecCusto,MATCH($B2272,PecCod,0)),0))</f>
        <v>0</v>
      </c>
      <c r="I2272" s="32">
        <f>IF($A2272="","",IFERROR(INDEX(OSStatus,MATCH($A2272,OSNum,0)),"OS inexistente"))</f>
        <v>0</v>
      </c>
      <c r="J2272" s="32">
        <f>IF($A2272="","",IF($I2272="OS inexistente","OS inexistente",IF($E2272="Peça não cadastrada","Peça não cadastrada","OK")))</f>
        <v>0</v>
      </c>
    </row>
    <row r="2273" spans="1:10">
      <c r="A2273" s="17"/>
      <c r="B2273" s="13"/>
      <c r="C2273" s="20"/>
      <c r="D2273" s="19"/>
      <c r="E2273" s="26">
        <f>IF($B2273="","",IFERROR(INDEX(PecDesc,MATCH($B2273,PecCod,0)),"Peça não cadastrada"))</f>
        <v>0</v>
      </c>
      <c r="F2273" s="27">
        <f>IF($B2273="","",IF($D2273&lt;&gt;"",$D2273,IFERROR(INDEX(PecPreco,MATCH($B2273,PecCod,0)),0)))</f>
        <v>0</v>
      </c>
      <c r="G2273" s="27">
        <f>IF(OR($B2273="",$C2273=""),"",$C2273*$F2273)</f>
        <v>0</v>
      </c>
      <c r="H2273" s="27">
        <f>IF(OR($B2273="",$C2273=""),"",$C2273*IFERROR(INDEX(PecCusto,MATCH($B2273,PecCod,0)),0))</f>
        <v>0</v>
      </c>
      <c r="I2273" s="32">
        <f>IF($A2273="","",IFERROR(INDEX(OSStatus,MATCH($A2273,OSNum,0)),"OS inexistente"))</f>
        <v>0</v>
      </c>
      <c r="J2273" s="32">
        <f>IF($A2273="","",IF($I2273="OS inexistente","OS inexistente",IF($E2273="Peça não cadastrada","Peça não cadastrada","OK")))</f>
        <v>0</v>
      </c>
    </row>
    <row r="2274" spans="1:10">
      <c r="A2274" s="17"/>
      <c r="B2274" s="13"/>
      <c r="C2274" s="20"/>
      <c r="D2274" s="19"/>
      <c r="E2274" s="26">
        <f>IF($B2274="","",IFERROR(INDEX(PecDesc,MATCH($B2274,PecCod,0)),"Peça não cadastrada"))</f>
        <v>0</v>
      </c>
      <c r="F2274" s="27">
        <f>IF($B2274="","",IF($D2274&lt;&gt;"",$D2274,IFERROR(INDEX(PecPreco,MATCH($B2274,PecCod,0)),0)))</f>
        <v>0</v>
      </c>
      <c r="G2274" s="27">
        <f>IF(OR($B2274="",$C2274=""),"",$C2274*$F2274)</f>
        <v>0</v>
      </c>
      <c r="H2274" s="27">
        <f>IF(OR($B2274="",$C2274=""),"",$C2274*IFERROR(INDEX(PecCusto,MATCH($B2274,PecCod,0)),0))</f>
        <v>0</v>
      </c>
      <c r="I2274" s="32">
        <f>IF($A2274="","",IFERROR(INDEX(OSStatus,MATCH($A2274,OSNum,0)),"OS inexistente"))</f>
        <v>0</v>
      </c>
      <c r="J2274" s="32">
        <f>IF($A2274="","",IF($I2274="OS inexistente","OS inexistente",IF($E2274="Peça não cadastrada","Peça não cadastrada","OK")))</f>
        <v>0</v>
      </c>
    </row>
    <row r="2275" spans="1:10">
      <c r="A2275" s="17"/>
      <c r="B2275" s="13"/>
      <c r="C2275" s="20"/>
      <c r="D2275" s="19"/>
      <c r="E2275" s="26">
        <f>IF($B2275="","",IFERROR(INDEX(PecDesc,MATCH($B2275,PecCod,0)),"Peça não cadastrada"))</f>
        <v>0</v>
      </c>
      <c r="F2275" s="27">
        <f>IF($B2275="","",IF($D2275&lt;&gt;"",$D2275,IFERROR(INDEX(PecPreco,MATCH($B2275,PecCod,0)),0)))</f>
        <v>0</v>
      </c>
      <c r="G2275" s="27">
        <f>IF(OR($B2275="",$C2275=""),"",$C2275*$F2275)</f>
        <v>0</v>
      </c>
      <c r="H2275" s="27">
        <f>IF(OR($B2275="",$C2275=""),"",$C2275*IFERROR(INDEX(PecCusto,MATCH($B2275,PecCod,0)),0))</f>
        <v>0</v>
      </c>
      <c r="I2275" s="32">
        <f>IF($A2275="","",IFERROR(INDEX(OSStatus,MATCH($A2275,OSNum,0)),"OS inexistente"))</f>
        <v>0</v>
      </c>
      <c r="J2275" s="32">
        <f>IF($A2275="","",IF($I2275="OS inexistente","OS inexistente",IF($E2275="Peça não cadastrada","Peça não cadastrada","OK")))</f>
        <v>0</v>
      </c>
    </row>
    <row r="2276" spans="1:10">
      <c r="A2276" s="17"/>
      <c r="B2276" s="13"/>
      <c r="C2276" s="20"/>
      <c r="D2276" s="19"/>
      <c r="E2276" s="26">
        <f>IF($B2276="","",IFERROR(INDEX(PecDesc,MATCH($B2276,PecCod,0)),"Peça não cadastrada"))</f>
        <v>0</v>
      </c>
      <c r="F2276" s="27">
        <f>IF($B2276="","",IF($D2276&lt;&gt;"",$D2276,IFERROR(INDEX(PecPreco,MATCH($B2276,PecCod,0)),0)))</f>
        <v>0</v>
      </c>
      <c r="G2276" s="27">
        <f>IF(OR($B2276="",$C2276=""),"",$C2276*$F2276)</f>
        <v>0</v>
      </c>
      <c r="H2276" s="27">
        <f>IF(OR($B2276="",$C2276=""),"",$C2276*IFERROR(INDEX(PecCusto,MATCH($B2276,PecCod,0)),0))</f>
        <v>0</v>
      </c>
      <c r="I2276" s="32">
        <f>IF($A2276="","",IFERROR(INDEX(OSStatus,MATCH($A2276,OSNum,0)),"OS inexistente"))</f>
        <v>0</v>
      </c>
      <c r="J2276" s="32">
        <f>IF($A2276="","",IF($I2276="OS inexistente","OS inexistente",IF($E2276="Peça não cadastrada","Peça não cadastrada","OK")))</f>
        <v>0</v>
      </c>
    </row>
    <row r="2277" spans="1:10">
      <c r="A2277" s="17"/>
      <c r="B2277" s="13"/>
      <c r="C2277" s="20"/>
      <c r="D2277" s="19"/>
      <c r="E2277" s="26">
        <f>IF($B2277="","",IFERROR(INDEX(PecDesc,MATCH($B2277,PecCod,0)),"Peça não cadastrada"))</f>
        <v>0</v>
      </c>
      <c r="F2277" s="27">
        <f>IF($B2277="","",IF($D2277&lt;&gt;"",$D2277,IFERROR(INDEX(PecPreco,MATCH($B2277,PecCod,0)),0)))</f>
        <v>0</v>
      </c>
      <c r="G2277" s="27">
        <f>IF(OR($B2277="",$C2277=""),"",$C2277*$F2277)</f>
        <v>0</v>
      </c>
      <c r="H2277" s="27">
        <f>IF(OR($B2277="",$C2277=""),"",$C2277*IFERROR(INDEX(PecCusto,MATCH($B2277,PecCod,0)),0))</f>
        <v>0</v>
      </c>
      <c r="I2277" s="32">
        <f>IF($A2277="","",IFERROR(INDEX(OSStatus,MATCH($A2277,OSNum,0)),"OS inexistente"))</f>
        <v>0</v>
      </c>
      <c r="J2277" s="32">
        <f>IF($A2277="","",IF($I2277="OS inexistente","OS inexistente",IF($E2277="Peça não cadastrada","Peça não cadastrada","OK")))</f>
        <v>0</v>
      </c>
    </row>
    <row r="2278" spans="1:10">
      <c r="A2278" s="17"/>
      <c r="B2278" s="13"/>
      <c r="C2278" s="20"/>
      <c r="D2278" s="19"/>
      <c r="E2278" s="26">
        <f>IF($B2278="","",IFERROR(INDEX(PecDesc,MATCH($B2278,PecCod,0)),"Peça não cadastrada"))</f>
        <v>0</v>
      </c>
      <c r="F2278" s="27">
        <f>IF($B2278="","",IF($D2278&lt;&gt;"",$D2278,IFERROR(INDEX(PecPreco,MATCH($B2278,PecCod,0)),0)))</f>
        <v>0</v>
      </c>
      <c r="G2278" s="27">
        <f>IF(OR($B2278="",$C2278=""),"",$C2278*$F2278)</f>
        <v>0</v>
      </c>
      <c r="H2278" s="27">
        <f>IF(OR($B2278="",$C2278=""),"",$C2278*IFERROR(INDEX(PecCusto,MATCH($B2278,PecCod,0)),0))</f>
        <v>0</v>
      </c>
      <c r="I2278" s="32">
        <f>IF($A2278="","",IFERROR(INDEX(OSStatus,MATCH($A2278,OSNum,0)),"OS inexistente"))</f>
        <v>0</v>
      </c>
      <c r="J2278" s="32">
        <f>IF($A2278="","",IF($I2278="OS inexistente","OS inexistente",IF($E2278="Peça não cadastrada","Peça não cadastrada","OK")))</f>
        <v>0</v>
      </c>
    </row>
    <row r="2279" spans="1:10">
      <c r="A2279" s="17"/>
      <c r="B2279" s="13"/>
      <c r="C2279" s="20"/>
      <c r="D2279" s="19"/>
      <c r="E2279" s="26">
        <f>IF($B2279="","",IFERROR(INDEX(PecDesc,MATCH($B2279,PecCod,0)),"Peça não cadastrada"))</f>
        <v>0</v>
      </c>
      <c r="F2279" s="27">
        <f>IF($B2279="","",IF($D2279&lt;&gt;"",$D2279,IFERROR(INDEX(PecPreco,MATCH($B2279,PecCod,0)),0)))</f>
        <v>0</v>
      </c>
      <c r="G2279" s="27">
        <f>IF(OR($B2279="",$C2279=""),"",$C2279*$F2279)</f>
        <v>0</v>
      </c>
      <c r="H2279" s="27">
        <f>IF(OR($B2279="",$C2279=""),"",$C2279*IFERROR(INDEX(PecCusto,MATCH($B2279,PecCod,0)),0))</f>
        <v>0</v>
      </c>
      <c r="I2279" s="32">
        <f>IF($A2279="","",IFERROR(INDEX(OSStatus,MATCH($A2279,OSNum,0)),"OS inexistente"))</f>
        <v>0</v>
      </c>
      <c r="J2279" s="32">
        <f>IF($A2279="","",IF($I2279="OS inexistente","OS inexistente",IF($E2279="Peça não cadastrada","Peça não cadastrada","OK")))</f>
        <v>0</v>
      </c>
    </row>
    <row r="2280" spans="1:10">
      <c r="A2280" s="17"/>
      <c r="B2280" s="13"/>
      <c r="C2280" s="20"/>
      <c r="D2280" s="19"/>
      <c r="E2280" s="26">
        <f>IF($B2280="","",IFERROR(INDEX(PecDesc,MATCH($B2280,PecCod,0)),"Peça não cadastrada"))</f>
        <v>0</v>
      </c>
      <c r="F2280" s="27">
        <f>IF($B2280="","",IF($D2280&lt;&gt;"",$D2280,IFERROR(INDEX(PecPreco,MATCH($B2280,PecCod,0)),0)))</f>
        <v>0</v>
      </c>
      <c r="G2280" s="27">
        <f>IF(OR($B2280="",$C2280=""),"",$C2280*$F2280)</f>
        <v>0</v>
      </c>
      <c r="H2280" s="27">
        <f>IF(OR($B2280="",$C2280=""),"",$C2280*IFERROR(INDEX(PecCusto,MATCH($B2280,PecCod,0)),0))</f>
        <v>0</v>
      </c>
      <c r="I2280" s="32">
        <f>IF($A2280="","",IFERROR(INDEX(OSStatus,MATCH($A2280,OSNum,0)),"OS inexistente"))</f>
        <v>0</v>
      </c>
      <c r="J2280" s="32">
        <f>IF($A2280="","",IF($I2280="OS inexistente","OS inexistente",IF($E2280="Peça não cadastrada","Peça não cadastrada","OK")))</f>
        <v>0</v>
      </c>
    </row>
    <row r="2281" spans="1:10">
      <c r="A2281" s="17"/>
      <c r="B2281" s="13"/>
      <c r="C2281" s="20"/>
      <c r="D2281" s="19"/>
      <c r="E2281" s="26">
        <f>IF($B2281="","",IFERROR(INDEX(PecDesc,MATCH($B2281,PecCod,0)),"Peça não cadastrada"))</f>
        <v>0</v>
      </c>
      <c r="F2281" s="27">
        <f>IF($B2281="","",IF($D2281&lt;&gt;"",$D2281,IFERROR(INDEX(PecPreco,MATCH($B2281,PecCod,0)),0)))</f>
        <v>0</v>
      </c>
      <c r="G2281" s="27">
        <f>IF(OR($B2281="",$C2281=""),"",$C2281*$F2281)</f>
        <v>0</v>
      </c>
      <c r="H2281" s="27">
        <f>IF(OR($B2281="",$C2281=""),"",$C2281*IFERROR(INDEX(PecCusto,MATCH($B2281,PecCod,0)),0))</f>
        <v>0</v>
      </c>
      <c r="I2281" s="32">
        <f>IF($A2281="","",IFERROR(INDEX(OSStatus,MATCH($A2281,OSNum,0)),"OS inexistente"))</f>
        <v>0</v>
      </c>
      <c r="J2281" s="32">
        <f>IF($A2281="","",IF($I2281="OS inexistente","OS inexistente",IF($E2281="Peça não cadastrada","Peça não cadastrada","OK")))</f>
        <v>0</v>
      </c>
    </row>
    <row r="2282" spans="1:10">
      <c r="A2282" s="17"/>
      <c r="B2282" s="13"/>
      <c r="C2282" s="20"/>
      <c r="D2282" s="19"/>
      <c r="E2282" s="26">
        <f>IF($B2282="","",IFERROR(INDEX(PecDesc,MATCH($B2282,PecCod,0)),"Peça não cadastrada"))</f>
        <v>0</v>
      </c>
      <c r="F2282" s="27">
        <f>IF($B2282="","",IF($D2282&lt;&gt;"",$D2282,IFERROR(INDEX(PecPreco,MATCH($B2282,PecCod,0)),0)))</f>
        <v>0</v>
      </c>
      <c r="G2282" s="27">
        <f>IF(OR($B2282="",$C2282=""),"",$C2282*$F2282)</f>
        <v>0</v>
      </c>
      <c r="H2282" s="27">
        <f>IF(OR($B2282="",$C2282=""),"",$C2282*IFERROR(INDEX(PecCusto,MATCH($B2282,PecCod,0)),0))</f>
        <v>0</v>
      </c>
      <c r="I2282" s="32">
        <f>IF($A2282="","",IFERROR(INDEX(OSStatus,MATCH($A2282,OSNum,0)),"OS inexistente"))</f>
        <v>0</v>
      </c>
      <c r="J2282" s="32">
        <f>IF($A2282="","",IF($I2282="OS inexistente","OS inexistente",IF($E2282="Peça não cadastrada","Peça não cadastrada","OK")))</f>
        <v>0</v>
      </c>
    </row>
    <row r="2283" spans="1:10">
      <c r="A2283" s="17"/>
      <c r="B2283" s="13"/>
      <c r="C2283" s="20"/>
      <c r="D2283" s="19"/>
      <c r="E2283" s="26">
        <f>IF($B2283="","",IFERROR(INDEX(PecDesc,MATCH($B2283,PecCod,0)),"Peça não cadastrada"))</f>
        <v>0</v>
      </c>
      <c r="F2283" s="27">
        <f>IF($B2283="","",IF($D2283&lt;&gt;"",$D2283,IFERROR(INDEX(PecPreco,MATCH($B2283,PecCod,0)),0)))</f>
        <v>0</v>
      </c>
      <c r="G2283" s="27">
        <f>IF(OR($B2283="",$C2283=""),"",$C2283*$F2283)</f>
        <v>0</v>
      </c>
      <c r="H2283" s="27">
        <f>IF(OR($B2283="",$C2283=""),"",$C2283*IFERROR(INDEX(PecCusto,MATCH($B2283,PecCod,0)),0))</f>
        <v>0</v>
      </c>
      <c r="I2283" s="32">
        <f>IF($A2283="","",IFERROR(INDEX(OSStatus,MATCH($A2283,OSNum,0)),"OS inexistente"))</f>
        <v>0</v>
      </c>
      <c r="J2283" s="32">
        <f>IF($A2283="","",IF($I2283="OS inexistente","OS inexistente",IF($E2283="Peça não cadastrada","Peça não cadastrada","OK")))</f>
        <v>0</v>
      </c>
    </row>
    <row r="2284" spans="1:10">
      <c r="A2284" s="17"/>
      <c r="B2284" s="13"/>
      <c r="C2284" s="20"/>
      <c r="D2284" s="19"/>
      <c r="E2284" s="26">
        <f>IF($B2284="","",IFERROR(INDEX(PecDesc,MATCH($B2284,PecCod,0)),"Peça não cadastrada"))</f>
        <v>0</v>
      </c>
      <c r="F2284" s="27">
        <f>IF($B2284="","",IF($D2284&lt;&gt;"",$D2284,IFERROR(INDEX(PecPreco,MATCH($B2284,PecCod,0)),0)))</f>
        <v>0</v>
      </c>
      <c r="G2284" s="27">
        <f>IF(OR($B2284="",$C2284=""),"",$C2284*$F2284)</f>
        <v>0</v>
      </c>
      <c r="H2284" s="27">
        <f>IF(OR($B2284="",$C2284=""),"",$C2284*IFERROR(INDEX(PecCusto,MATCH($B2284,PecCod,0)),0))</f>
        <v>0</v>
      </c>
      <c r="I2284" s="32">
        <f>IF($A2284="","",IFERROR(INDEX(OSStatus,MATCH($A2284,OSNum,0)),"OS inexistente"))</f>
        <v>0</v>
      </c>
      <c r="J2284" s="32">
        <f>IF($A2284="","",IF($I2284="OS inexistente","OS inexistente",IF($E2284="Peça não cadastrada","Peça não cadastrada","OK")))</f>
        <v>0</v>
      </c>
    </row>
    <row r="2285" spans="1:10">
      <c r="A2285" s="17"/>
      <c r="B2285" s="13"/>
      <c r="C2285" s="20"/>
      <c r="D2285" s="19"/>
      <c r="E2285" s="26">
        <f>IF($B2285="","",IFERROR(INDEX(PecDesc,MATCH($B2285,PecCod,0)),"Peça não cadastrada"))</f>
        <v>0</v>
      </c>
      <c r="F2285" s="27">
        <f>IF($B2285="","",IF($D2285&lt;&gt;"",$D2285,IFERROR(INDEX(PecPreco,MATCH($B2285,PecCod,0)),0)))</f>
        <v>0</v>
      </c>
      <c r="G2285" s="27">
        <f>IF(OR($B2285="",$C2285=""),"",$C2285*$F2285)</f>
        <v>0</v>
      </c>
      <c r="H2285" s="27">
        <f>IF(OR($B2285="",$C2285=""),"",$C2285*IFERROR(INDEX(PecCusto,MATCH($B2285,PecCod,0)),0))</f>
        <v>0</v>
      </c>
      <c r="I2285" s="32">
        <f>IF($A2285="","",IFERROR(INDEX(OSStatus,MATCH($A2285,OSNum,0)),"OS inexistente"))</f>
        <v>0</v>
      </c>
      <c r="J2285" s="32">
        <f>IF($A2285="","",IF($I2285="OS inexistente","OS inexistente",IF($E2285="Peça não cadastrada","Peça não cadastrada","OK")))</f>
        <v>0</v>
      </c>
    </row>
    <row r="2286" spans="1:10">
      <c r="A2286" s="17"/>
      <c r="B2286" s="13"/>
      <c r="C2286" s="20"/>
      <c r="D2286" s="19"/>
      <c r="E2286" s="26">
        <f>IF($B2286="","",IFERROR(INDEX(PecDesc,MATCH($B2286,PecCod,0)),"Peça não cadastrada"))</f>
        <v>0</v>
      </c>
      <c r="F2286" s="27">
        <f>IF($B2286="","",IF($D2286&lt;&gt;"",$D2286,IFERROR(INDEX(PecPreco,MATCH($B2286,PecCod,0)),0)))</f>
        <v>0</v>
      </c>
      <c r="G2286" s="27">
        <f>IF(OR($B2286="",$C2286=""),"",$C2286*$F2286)</f>
        <v>0</v>
      </c>
      <c r="H2286" s="27">
        <f>IF(OR($B2286="",$C2286=""),"",$C2286*IFERROR(INDEX(PecCusto,MATCH($B2286,PecCod,0)),0))</f>
        <v>0</v>
      </c>
      <c r="I2286" s="32">
        <f>IF($A2286="","",IFERROR(INDEX(OSStatus,MATCH($A2286,OSNum,0)),"OS inexistente"))</f>
        <v>0</v>
      </c>
      <c r="J2286" s="32">
        <f>IF($A2286="","",IF($I2286="OS inexistente","OS inexistente",IF($E2286="Peça não cadastrada","Peça não cadastrada","OK")))</f>
        <v>0</v>
      </c>
    </row>
    <row r="2287" spans="1:10">
      <c r="A2287" s="17"/>
      <c r="B2287" s="13"/>
      <c r="C2287" s="20"/>
      <c r="D2287" s="19"/>
      <c r="E2287" s="26">
        <f>IF($B2287="","",IFERROR(INDEX(PecDesc,MATCH($B2287,PecCod,0)),"Peça não cadastrada"))</f>
        <v>0</v>
      </c>
      <c r="F2287" s="27">
        <f>IF($B2287="","",IF($D2287&lt;&gt;"",$D2287,IFERROR(INDEX(PecPreco,MATCH($B2287,PecCod,0)),0)))</f>
        <v>0</v>
      </c>
      <c r="G2287" s="27">
        <f>IF(OR($B2287="",$C2287=""),"",$C2287*$F2287)</f>
        <v>0</v>
      </c>
      <c r="H2287" s="27">
        <f>IF(OR($B2287="",$C2287=""),"",$C2287*IFERROR(INDEX(PecCusto,MATCH($B2287,PecCod,0)),0))</f>
        <v>0</v>
      </c>
      <c r="I2287" s="32">
        <f>IF($A2287="","",IFERROR(INDEX(OSStatus,MATCH($A2287,OSNum,0)),"OS inexistente"))</f>
        <v>0</v>
      </c>
      <c r="J2287" s="32">
        <f>IF($A2287="","",IF($I2287="OS inexistente","OS inexistente",IF($E2287="Peça não cadastrada","Peça não cadastrada","OK")))</f>
        <v>0</v>
      </c>
    </row>
    <row r="2288" spans="1:10">
      <c r="A2288" s="17"/>
      <c r="B2288" s="13"/>
      <c r="C2288" s="20"/>
      <c r="D2288" s="19"/>
      <c r="E2288" s="26">
        <f>IF($B2288="","",IFERROR(INDEX(PecDesc,MATCH($B2288,PecCod,0)),"Peça não cadastrada"))</f>
        <v>0</v>
      </c>
      <c r="F2288" s="27">
        <f>IF($B2288="","",IF($D2288&lt;&gt;"",$D2288,IFERROR(INDEX(PecPreco,MATCH($B2288,PecCod,0)),0)))</f>
        <v>0</v>
      </c>
      <c r="G2288" s="27">
        <f>IF(OR($B2288="",$C2288=""),"",$C2288*$F2288)</f>
        <v>0</v>
      </c>
      <c r="H2288" s="27">
        <f>IF(OR($B2288="",$C2288=""),"",$C2288*IFERROR(INDEX(PecCusto,MATCH($B2288,PecCod,0)),0))</f>
        <v>0</v>
      </c>
      <c r="I2288" s="32">
        <f>IF($A2288="","",IFERROR(INDEX(OSStatus,MATCH($A2288,OSNum,0)),"OS inexistente"))</f>
        <v>0</v>
      </c>
      <c r="J2288" s="32">
        <f>IF($A2288="","",IF($I2288="OS inexistente","OS inexistente",IF($E2288="Peça não cadastrada","Peça não cadastrada","OK")))</f>
        <v>0</v>
      </c>
    </row>
    <row r="2289" spans="1:10">
      <c r="A2289" s="17"/>
      <c r="B2289" s="13"/>
      <c r="C2289" s="20"/>
      <c r="D2289" s="19"/>
      <c r="E2289" s="26">
        <f>IF($B2289="","",IFERROR(INDEX(PecDesc,MATCH($B2289,PecCod,0)),"Peça não cadastrada"))</f>
        <v>0</v>
      </c>
      <c r="F2289" s="27">
        <f>IF($B2289="","",IF($D2289&lt;&gt;"",$D2289,IFERROR(INDEX(PecPreco,MATCH($B2289,PecCod,0)),0)))</f>
        <v>0</v>
      </c>
      <c r="G2289" s="27">
        <f>IF(OR($B2289="",$C2289=""),"",$C2289*$F2289)</f>
        <v>0</v>
      </c>
      <c r="H2289" s="27">
        <f>IF(OR($B2289="",$C2289=""),"",$C2289*IFERROR(INDEX(PecCusto,MATCH($B2289,PecCod,0)),0))</f>
        <v>0</v>
      </c>
      <c r="I2289" s="32">
        <f>IF($A2289="","",IFERROR(INDEX(OSStatus,MATCH($A2289,OSNum,0)),"OS inexistente"))</f>
        <v>0</v>
      </c>
      <c r="J2289" s="32">
        <f>IF($A2289="","",IF($I2289="OS inexistente","OS inexistente",IF($E2289="Peça não cadastrada","Peça não cadastrada","OK")))</f>
        <v>0</v>
      </c>
    </row>
    <row r="2290" spans="1:10">
      <c r="A2290" s="17"/>
      <c r="B2290" s="13"/>
      <c r="C2290" s="20"/>
      <c r="D2290" s="19"/>
      <c r="E2290" s="26">
        <f>IF($B2290="","",IFERROR(INDEX(PecDesc,MATCH($B2290,PecCod,0)),"Peça não cadastrada"))</f>
        <v>0</v>
      </c>
      <c r="F2290" s="27">
        <f>IF($B2290="","",IF($D2290&lt;&gt;"",$D2290,IFERROR(INDEX(PecPreco,MATCH($B2290,PecCod,0)),0)))</f>
        <v>0</v>
      </c>
      <c r="G2290" s="27">
        <f>IF(OR($B2290="",$C2290=""),"",$C2290*$F2290)</f>
        <v>0</v>
      </c>
      <c r="H2290" s="27">
        <f>IF(OR($B2290="",$C2290=""),"",$C2290*IFERROR(INDEX(PecCusto,MATCH($B2290,PecCod,0)),0))</f>
        <v>0</v>
      </c>
      <c r="I2290" s="32">
        <f>IF($A2290="","",IFERROR(INDEX(OSStatus,MATCH($A2290,OSNum,0)),"OS inexistente"))</f>
        <v>0</v>
      </c>
      <c r="J2290" s="32">
        <f>IF($A2290="","",IF($I2290="OS inexistente","OS inexistente",IF($E2290="Peça não cadastrada","Peça não cadastrada","OK")))</f>
        <v>0</v>
      </c>
    </row>
    <row r="2291" spans="1:10">
      <c r="A2291" s="17"/>
      <c r="B2291" s="13"/>
      <c r="C2291" s="20"/>
      <c r="D2291" s="19"/>
      <c r="E2291" s="26">
        <f>IF($B2291="","",IFERROR(INDEX(PecDesc,MATCH($B2291,PecCod,0)),"Peça não cadastrada"))</f>
        <v>0</v>
      </c>
      <c r="F2291" s="27">
        <f>IF($B2291="","",IF($D2291&lt;&gt;"",$D2291,IFERROR(INDEX(PecPreco,MATCH($B2291,PecCod,0)),0)))</f>
        <v>0</v>
      </c>
      <c r="G2291" s="27">
        <f>IF(OR($B2291="",$C2291=""),"",$C2291*$F2291)</f>
        <v>0</v>
      </c>
      <c r="H2291" s="27">
        <f>IF(OR($B2291="",$C2291=""),"",$C2291*IFERROR(INDEX(PecCusto,MATCH($B2291,PecCod,0)),0))</f>
        <v>0</v>
      </c>
      <c r="I2291" s="32">
        <f>IF($A2291="","",IFERROR(INDEX(OSStatus,MATCH($A2291,OSNum,0)),"OS inexistente"))</f>
        <v>0</v>
      </c>
      <c r="J2291" s="32">
        <f>IF($A2291="","",IF($I2291="OS inexistente","OS inexistente",IF($E2291="Peça não cadastrada","Peça não cadastrada","OK")))</f>
        <v>0</v>
      </c>
    </row>
    <row r="2292" spans="1:10">
      <c r="A2292" s="17"/>
      <c r="B2292" s="13"/>
      <c r="C2292" s="20"/>
      <c r="D2292" s="19"/>
      <c r="E2292" s="26">
        <f>IF($B2292="","",IFERROR(INDEX(PecDesc,MATCH($B2292,PecCod,0)),"Peça não cadastrada"))</f>
        <v>0</v>
      </c>
      <c r="F2292" s="27">
        <f>IF($B2292="","",IF($D2292&lt;&gt;"",$D2292,IFERROR(INDEX(PecPreco,MATCH($B2292,PecCod,0)),0)))</f>
        <v>0</v>
      </c>
      <c r="G2292" s="27">
        <f>IF(OR($B2292="",$C2292=""),"",$C2292*$F2292)</f>
        <v>0</v>
      </c>
      <c r="H2292" s="27">
        <f>IF(OR($B2292="",$C2292=""),"",$C2292*IFERROR(INDEX(PecCusto,MATCH($B2292,PecCod,0)),0))</f>
        <v>0</v>
      </c>
      <c r="I2292" s="32">
        <f>IF($A2292="","",IFERROR(INDEX(OSStatus,MATCH($A2292,OSNum,0)),"OS inexistente"))</f>
        <v>0</v>
      </c>
      <c r="J2292" s="32">
        <f>IF($A2292="","",IF($I2292="OS inexistente","OS inexistente",IF($E2292="Peça não cadastrada","Peça não cadastrada","OK")))</f>
        <v>0</v>
      </c>
    </row>
    <row r="2293" spans="1:10">
      <c r="A2293" s="17"/>
      <c r="B2293" s="13"/>
      <c r="C2293" s="20"/>
      <c r="D2293" s="19"/>
      <c r="E2293" s="26">
        <f>IF($B2293="","",IFERROR(INDEX(PecDesc,MATCH($B2293,PecCod,0)),"Peça não cadastrada"))</f>
        <v>0</v>
      </c>
      <c r="F2293" s="27">
        <f>IF($B2293="","",IF($D2293&lt;&gt;"",$D2293,IFERROR(INDEX(PecPreco,MATCH($B2293,PecCod,0)),0)))</f>
        <v>0</v>
      </c>
      <c r="G2293" s="27">
        <f>IF(OR($B2293="",$C2293=""),"",$C2293*$F2293)</f>
        <v>0</v>
      </c>
      <c r="H2293" s="27">
        <f>IF(OR($B2293="",$C2293=""),"",$C2293*IFERROR(INDEX(PecCusto,MATCH($B2293,PecCod,0)),0))</f>
        <v>0</v>
      </c>
      <c r="I2293" s="32">
        <f>IF($A2293="","",IFERROR(INDEX(OSStatus,MATCH($A2293,OSNum,0)),"OS inexistente"))</f>
        <v>0</v>
      </c>
      <c r="J2293" s="32">
        <f>IF($A2293="","",IF($I2293="OS inexistente","OS inexistente",IF($E2293="Peça não cadastrada","Peça não cadastrada","OK")))</f>
        <v>0</v>
      </c>
    </row>
    <row r="2294" spans="1:10">
      <c r="A2294" s="17"/>
      <c r="B2294" s="13"/>
      <c r="C2294" s="20"/>
      <c r="D2294" s="19"/>
      <c r="E2294" s="26">
        <f>IF($B2294="","",IFERROR(INDEX(PecDesc,MATCH($B2294,PecCod,0)),"Peça não cadastrada"))</f>
        <v>0</v>
      </c>
      <c r="F2294" s="27">
        <f>IF($B2294="","",IF($D2294&lt;&gt;"",$D2294,IFERROR(INDEX(PecPreco,MATCH($B2294,PecCod,0)),0)))</f>
        <v>0</v>
      </c>
      <c r="G2294" s="27">
        <f>IF(OR($B2294="",$C2294=""),"",$C2294*$F2294)</f>
        <v>0</v>
      </c>
      <c r="H2294" s="27">
        <f>IF(OR($B2294="",$C2294=""),"",$C2294*IFERROR(INDEX(PecCusto,MATCH($B2294,PecCod,0)),0))</f>
        <v>0</v>
      </c>
      <c r="I2294" s="32">
        <f>IF($A2294="","",IFERROR(INDEX(OSStatus,MATCH($A2294,OSNum,0)),"OS inexistente"))</f>
        <v>0</v>
      </c>
      <c r="J2294" s="32">
        <f>IF($A2294="","",IF($I2294="OS inexistente","OS inexistente",IF($E2294="Peça não cadastrada","Peça não cadastrada","OK")))</f>
        <v>0</v>
      </c>
    </row>
    <row r="2295" spans="1:10">
      <c r="A2295" s="17"/>
      <c r="B2295" s="13"/>
      <c r="C2295" s="20"/>
      <c r="D2295" s="19"/>
      <c r="E2295" s="26">
        <f>IF($B2295="","",IFERROR(INDEX(PecDesc,MATCH($B2295,PecCod,0)),"Peça não cadastrada"))</f>
        <v>0</v>
      </c>
      <c r="F2295" s="27">
        <f>IF($B2295="","",IF($D2295&lt;&gt;"",$D2295,IFERROR(INDEX(PecPreco,MATCH($B2295,PecCod,0)),0)))</f>
        <v>0</v>
      </c>
      <c r="G2295" s="27">
        <f>IF(OR($B2295="",$C2295=""),"",$C2295*$F2295)</f>
        <v>0</v>
      </c>
      <c r="H2295" s="27">
        <f>IF(OR($B2295="",$C2295=""),"",$C2295*IFERROR(INDEX(PecCusto,MATCH($B2295,PecCod,0)),0))</f>
        <v>0</v>
      </c>
      <c r="I2295" s="32">
        <f>IF($A2295="","",IFERROR(INDEX(OSStatus,MATCH($A2295,OSNum,0)),"OS inexistente"))</f>
        <v>0</v>
      </c>
      <c r="J2295" s="32">
        <f>IF($A2295="","",IF($I2295="OS inexistente","OS inexistente",IF($E2295="Peça não cadastrada","Peça não cadastrada","OK")))</f>
        <v>0</v>
      </c>
    </row>
    <row r="2296" spans="1:10">
      <c r="A2296" s="17"/>
      <c r="B2296" s="13"/>
      <c r="C2296" s="20"/>
      <c r="D2296" s="19"/>
      <c r="E2296" s="26">
        <f>IF($B2296="","",IFERROR(INDEX(PecDesc,MATCH($B2296,PecCod,0)),"Peça não cadastrada"))</f>
        <v>0</v>
      </c>
      <c r="F2296" s="27">
        <f>IF($B2296="","",IF($D2296&lt;&gt;"",$D2296,IFERROR(INDEX(PecPreco,MATCH($B2296,PecCod,0)),0)))</f>
        <v>0</v>
      </c>
      <c r="G2296" s="27">
        <f>IF(OR($B2296="",$C2296=""),"",$C2296*$F2296)</f>
        <v>0</v>
      </c>
      <c r="H2296" s="27">
        <f>IF(OR($B2296="",$C2296=""),"",$C2296*IFERROR(INDEX(PecCusto,MATCH($B2296,PecCod,0)),0))</f>
        <v>0</v>
      </c>
      <c r="I2296" s="32">
        <f>IF($A2296="","",IFERROR(INDEX(OSStatus,MATCH($A2296,OSNum,0)),"OS inexistente"))</f>
        <v>0</v>
      </c>
      <c r="J2296" s="32">
        <f>IF($A2296="","",IF($I2296="OS inexistente","OS inexistente",IF($E2296="Peça não cadastrada","Peça não cadastrada","OK")))</f>
        <v>0</v>
      </c>
    </row>
    <row r="2297" spans="1:10">
      <c r="A2297" s="17"/>
      <c r="B2297" s="13"/>
      <c r="C2297" s="20"/>
      <c r="D2297" s="19"/>
      <c r="E2297" s="26">
        <f>IF($B2297="","",IFERROR(INDEX(PecDesc,MATCH($B2297,PecCod,0)),"Peça não cadastrada"))</f>
        <v>0</v>
      </c>
      <c r="F2297" s="27">
        <f>IF($B2297="","",IF($D2297&lt;&gt;"",$D2297,IFERROR(INDEX(PecPreco,MATCH($B2297,PecCod,0)),0)))</f>
        <v>0</v>
      </c>
      <c r="G2297" s="27">
        <f>IF(OR($B2297="",$C2297=""),"",$C2297*$F2297)</f>
        <v>0</v>
      </c>
      <c r="H2297" s="27">
        <f>IF(OR($B2297="",$C2297=""),"",$C2297*IFERROR(INDEX(PecCusto,MATCH($B2297,PecCod,0)),0))</f>
        <v>0</v>
      </c>
      <c r="I2297" s="32">
        <f>IF($A2297="","",IFERROR(INDEX(OSStatus,MATCH($A2297,OSNum,0)),"OS inexistente"))</f>
        <v>0</v>
      </c>
      <c r="J2297" s="32">
        <f>IF($A2297="","",IF($I2297="OS inexistente","OS inexistente",IF($E2297="Peça não cadastrada","Peça não cadastrada","OK")))</f>
        <v>0</v>
      </c>
    </row>
    <row r="2298" spans="1:10">
      <c r="A2298" s="17"/>
      <c r="B2298" s="13"/>
      <c r="C2298" s="20"/>
      <c r="D2298" s="19"/>
      <c r="E2298" s="26">
        <f>IF($B2298="","",IFERROR(INDEX(PecDesc,MATCH($B2298,PecCod,0)),"Peça não cadastrada"))</f>
        <v>0</v>
      </c>
      <c r="F2298" s="27">
        <f>IF($B2298="","",IF($D2298&lt;&gt;"",$D2298,IFERROR(INDEX(PecPreco,MATCH($B2298,PecCod,0)),0)))</f>
        <v>0</v>
      </c>
      <c r="G2298" s="27">
        <f>IF(OR($B2298="",$C2298=""),"",$C2298*$F2298)</f>
        <v>0</v>
      </c>
      <c r="H2298" s="27">
        <f>IF(OR($B2298="",$C2298=""),"",$C2298*IFERROR(INDEX(PecCusto,MATCH($B2298,PecCod,0)),0))</f>
        <v>0</v>
      </c>
      <c r="I2298" s="32">
        <f>IF($A2298="","",IFERROR(INDEX(OSStatus,MATCH($A2298,OSNum,0)),"OS inexistente"))</f>
        <v>0</v>
      </c>
      <c r="J2298" s="32">
        <f>IF($A2298="","",IF($I2298="OS inexistente","OS inexistente",IF($E2298="Peça não cadastrada","Peça não cadastrada","OK")))</f>
        <v>0</v>
      </c>
    </row>
    <row r="2299" spans="1:10">
      <c r="A2299" s="17"/>
      <c r="B2299" s="13"/>
      <c r="C2299" s="20"/>
      <c r="D2299" s="19"/>
      <c r="E2299" s="26">
        <f>IF($B2299="","",IFERROR(INDEX(PecDesc,MATCH($B2299,PecCod,0)),"Peça não cadastrada"))</f>
        <v>0</v>
      </c>
      <c r="F2299" s="27">
        <f>IF($B2299="","",IF($D2299&lt;&gt;"",$D2299,IFERROR(INDEX(PecPreco,MATCH($B2299,PecCod,0)),0)))</f>
        <v>0</v>
      </c>
      <c r="G2299" s="27">
        <f>IF(OR($B2299="",$C2299=""),"",$C2299*$F2299)</f>
        <v>0</v>
      </c>
      <c r="H2299" s="27">
        <f>IF(OR($B2299="",$C2299=""),"",$C2299*IFERROR(INDEX(PecCusto,MATCH($B2299,PecCod,0)),0))</f>
        <v>0</v>
      </c>
      <c r="I2299" s="32">
        <f>IF($A2299="","",IFERROR(INDEX(OSStatus,MATCH($A2299,OSNum,0)),"OS inexistente"))</f>
        <v>0</v>
      </c>
      <c r="J2299" s="32">
        <f>IF($A2299="","",IF($I2299="OS inexistente","OS inexistente",IF($E2299="Peça não cadastrada","Peça não cadastrada","OK")))</f>
        <v>0</v>
      </c>
    </row>
    <row r="2300" spans="1:10">
      <c r="A2300" s="17"/>
      <c r="B2300" s="13"/>
      <c r="C2300" s="20"/>
      <c r="D2300" s="19"/>
      <c r="E2300" s="26">
        <f>IF($B2300="","",IFERROR(INDEX(PecDesc,MATCH($B2300,PecCod,0)),"Peça não cadastrada"))</f>
        <v>0</v>
      </c>
      <c r="F2300" s="27">
        <f>IF($B2300="","",IF($D2300&lt;&gt;"",$D2300,IFERROR(INDEX(PecPreco,MATCH($B2300,PecCod,0)),0)))</f>
        <v>0</v>
      </c>
      <c r="G2300" s="27">
        <f>IF(OR($B2300="",$C2300=""),"",$C2300*$F2300)</f>
        <v>0</v>
      </c>
      <c r="H2300" s="27">
        <f>IF(OR($B2300="",$C2300=""),"",$C2300*IFERROR(INDEX(PecCusto,MATCH($B2300,PecCod,0)),0))</f>
        <v>0</v>
      </c>
      <c r="I2300" s="32">
        <f>IF($A2300="","",IFERROR(INDEX(OSStatus,MATCH($A2300,OSNum,0)),"OS inexistente"))</f>
        <v>0</v>
      </c>
      <c r="J2300" s="32">
        <f>IF($A2300="","",IF($I2300="OS inexistente","OS inexistente",IF($E2300="Peça não cadastrada","Peça não cadastrada","OK")))</f>
        <v>0</v>
      </c>
    </row>
    <row r="2301" spans="1:10">
      <c r="A2301" s="17"/>
      <c r="B2301" s="13"/>
      <c r="C2301" s="20"/>
      <c r="D2301" s="19"/>
      <c r="E2301" s="26">
        <f>IF($B2301="","",IFERROR(INDEX(PecDesc,MATCH($B2301,PecCod,0)),"Peça não cadastrada"))</f>
        <v>0</v>
      </c>
      <c r="F2301" s="27">
        <f>IF($B2301="","",IF($D2301&lt;&gt;"",$D2301,IFERROR(INDEX(PecPreco,MATCH($B2301,PecCod,0)),0)))</f>
        <v>0</v>
      </c>
      <c r="G2301" s="27">
        <f>IF(OR($B2301="",$C2301=""),"",$C2301*$F2301)</f>
        <v>0</v>
      </c>
      <c r="H2301" s="27">
        <f>IF(OR($B2301="",$C2301=""),"",$C2301*IFERROR(INDEX(PecCusto,MATCH($B2301,PecCod,0)),0))</f>
        <v>0</v>
      </c>
      <c r="I2301" s="32">
        <f>IF($A2301="","",IFERROR(INDEX(OSStatus,MATCH($A2301,OSNum,0)),"OS inexistente"))</f>
        <v>0</v>
      </c>
      <c r="J2301" s="32">
        <f>IF($A2301="","",IF($I2301="OS inexistente","OS inexistente",IF($E2301="Peça não cadastrada","Peça não cadastrada","OK")))</f>
        <v>0</v>
      </c>
    </row>
    <row r="2302" spans="1:10">
      <c r="A2302" s="17"/>
      <c r="B2302" s="13"/>
      <c r="C2302" s="20"/>
      <c r="D2302" s="19"/>
      <c r="E2302" s="26">
        <f>IF($B2302="","",IFERROR(INDEX(PecDesc,MATCH($B2302,PecCod,0)),"Peça não cadastrada"))</f>
        <v>0</v>
      </c>
      <c r="F2302" s="27">
        <f>IF($B2302="","",IF($D2302&lt;&gt;"",$D2302,IFERROR(INDEX(PecPreco,MATCH($B2302,PecCod,0)),0)))</f>
        <v>0</v>
      </c>
      <c r="G2302" s="27">
        <f>IF(OR($B2302="",$C2302=""),"",$C2302*$F2302)</f>
        <v>0</v>
      </c>
      <c r="H2302" s="27">
        <f>IF(OR($B2302="",$C2302=""),"",$C2302*IFERROR(INDEX(PecCusto,MATCH($B2302,PecCod,0)),0))</f>
        <v>0</v>
      </c>
      <c r="I2302" s="32">
        <f>IF($A2302="","",IFERROR(INDEX(OSStatus,MATCH($A2302,OSNum,0)),"OS inexistente"))</f>
        <v>0</v>
      </c>
      <c r="J2302" s="32">
        <f>IF($A2302="","",IF($I2302="OS inexistente","OS inexistente",IF($E2302="Peça não cadastrada","Peça não cadastrada","OK")))</f>
        <v>0</v>
      </c>
    </row>
    <row r="2303" spans="1:10">
      <c r="A2303" s="17"/>
      <c r="B2303" s="13"/>
      <c r="C2303" s="20"/>
      <c r="D2303" s="19"/>
      <c r="E2303" s="26">
        <f>IF($B2303="","",IFERROR(INDEX(PecDesc,MATCH($B2303,PecCod,0)),"Peça não cadastrada"))</f>
        <v>0</v>
      </c>
      <c r="F2303" s="27">
        <f>IF($B2303="","",IF($D2303&lt;&gt;"",$D2303,IFERROR(INDEX(PecPreco,MATCH($B2303,PecCod,0)),0)))</f>
        <v>0</v>
      </c>
      <c r="G2303" s="27">
        <f>IF(OR($B2303="",$C2303=""),"",$C2303*$F2303)</f>
        <v>0</v>
      </c>
      <c r="H2303" s="27">
        <f>IF(OR($B2303="",$C2303=""),"",$C2303*IFERROR(INDEX(PecCusto,MATCH($B2303,PecCod,0)),0))</f>
        <v>0</v>
      </c>
      <c r="I2303" s="32">
        <f>IF($A2303="","",IFERROR(INDEX(OSStatus,MATCH($A2303,OSNum,0)),"OS inexistente"))</f>
        <v>0</v>
      </c>
      <c r="J2303" s="32">
        <f>IF($A2303="","",IF($I2303="OS inexistente","OS inexistente",IF($E2303="Peça não cadastrada","Peça não cadastrada","OK")))</f>
        <v>0</v>
      </c>
    </row>
    <row r="2304" spans="1:10">
      <c r="A2304" s="17"/>
      <c r="B2304" s="13"/>
      <c r="C2304" s="20"/>
      <c r="D2304" s="19"/>
      <c r="E2304" s="26">
        <f>IF($B2304="","",IFERROR(INDEX(PecDesc,MATCH($B2304,PecCod,0)),"Peça não cadastrada"))</f>
        <v>0</v>
      </c>
      <c r="F2304" s="27">
        <f>IF($B2304="","",IF($D2304&lt;&gt;"",$D2304,IFERROR(INDEX(PecPreco,MATCH($B2304,PecCod,0)),0)))</f>
        <v>0</v>
      </c>
      <c r="G2304" s="27">
        <f>IF(OR($B2304="",$C2304=""),"",$C2304*$F2304)</f>
        <v>0</v>
      </c>
      <c r="H2304" s="27">
        <f>IF(OR($B2304="",$C2304=""),"",$C2304*IFERROR(INDEX(PecCusto,MATCH($B2304,PecCod,0)),0))</f>
        <v>0</v>
      </c>
      <c r="I2304" s="32">
        <f>IF($A2304="","",IFERROR(INDEX(OSStatus,MATCH($A2304,OSNum,0)),"OS inexistente"))</f>
        <v>0</v>
      </c>
      <c r="J2304" s="32">
        <f>IF($A2304="","",IF($I2304="OS inexistente","OS inexistente",IF($E2304="Peça não cadastrada","Peça não cadastrada","OK")))</f>
        <v>0</v>
      </c>
    </row>
    <row r="2305" spans="1:10">
      <c r="A2305" s="17"/>
      <c r="B2305" s="13"/>
      <c r="C2305" s="20"/>
      <c r="D2305" s="19"/>
      <c r="E2305" s="26">
        <f>IF($B2305="","",IFERROR(INDEX(PecDesc,MATCH($B2305,PecCod,0)),"Peça não cadastrada"))</f>
        <v>0</v>
      </c>
      <c r="F2305" s="27">
        <f>IF($B2305="","",IF($D2305&lt;&gt;"",$D2305,IFERROR(INDEX(PecPreco,MATCH($B2305,PecCod,0)),0)))</f>
        <v>0</v>
      </c>
      <c r="G2305" s="27">
        <f>IF(OR($B2305="",$C2305=""),"",$C2305*$F2305)</f>
        <v>0</v>
      </c>
      <c r="H2305" s="27">
        <f>IF(OR($B2305="",$C2305=""),"",$C2305*IFERROR(INDEX(PecCusto,MATCH($B2305,PecCod,0)),0))</f>
        <v>0</v>
      </c>
      <c r="I2305" s="32">
        <f>IF($A2305="","",IFERROR(INDEX(OSStatus,MATCH($A2305,OSNum,0)),"OS inexistente"))</f>
        <v>0</v>
      </c>
      <c r="J2305" s="32">
        <f>IF($A2305="","",IF($I2305="OS inexistente","OS inexistente",IF($E2305="Peça não cadastrada","Peça não cadastrada","OK")))</f>
        <v>0</v>
      </c>
    </row>
    <row r="2306" spans="1:10">
      <c r="A2306" s="17"/>
      <c r="B2306" s="13"/>
      <c r="C2306" s="20"/>
      <c r="D2306" s="19"/>
      <c r="E2306" s="26">
        <f>IF($B2306="","",IFERROR(INDEX(PecDesc,MATCH($B2306,PecCod,0)),"Peça não cadastrada"))</f>
        <v>0</v>
      </c>
      <c r="F2306" s="27">
        <f>IF($B2306="","",IF($D2306&lt;&gt;"",$D2306,IFERROR(INDEX(PecPreco,MATCH($B2306,PecCod,0)),0)))</f>
        <v>0</v>
      </c>
      <c r="G2306" s="27">
        <f>IF(OR($B2306="",$C2306=""),"",$C2306*$F2306)</f>
        <v>0</v>
      </c>
      <c r="H2306" s="27">
        <f>IF(OR($B2306="",$C2306=""),"",$C2306*IFERROR(INDEX(PecCusto,MATCH($B2306,PecCod,0)),0))</f>
        <v>0</v>
      </c>
      <c r="I2306" s="32">
        <f>IF($A2306="","",IFERROR(INDEX(OSStatus,MATCH($A2306,OSNum,0)),"OS inexistente"))</f>
        <v>0</v>
      </c>
      <c r="J2306" s="32">
        <f>IF($A2306="","",IF($I2306="OS inexistente","OS inexistente",IF($E2306="Peça não cadastrada","Peça não cadastrada","OK")))</f>
        <v>0</v>
      </c>
    </row>
    <row r="2307" spans="1:10">
      <c r="A2307" s="17"/>
      <c r="B2307" s="13"/>
      <c r="C2307" s="20"/>
      <c r="D2307" s="19"/>
      <c r="E2307" s="26">
        <f>IF($B2307="","",IFERROR(INDEX(PecDesc,MATCH($B2307,PecCod,0)),"Peça não cadastrada"))</f>
        <v>0</v>
      </c>
      <c r="F2307" s="27">
        <f>IF($B2307="","",IF($D2307&lt;&gt;"",$D2307,IFERROR(INDEX(PecPreco,MATCH($B2307,PecCod,0)),0)))</f>
        <v>0</v>
      </c>
      <c r="G2307" s="27">
        <f>IF(OR($B2307="",$C2307=""),"",$C2307*$F2307)</f>
        <v>0</v>
      </c>
      <c r="H2307" s="27">
        <f>IF(OR($B2307="",$C2307=""),"",$C2307*IFERROR(INDEX(PecCusto,MATCH($B2307,PecCod,0)),0))</f>
        <v>0</v>
      </c>
      <c r="I2307" s="32">
        <f>IF($A2307="","",IFERROR(INDEX(OSStatus,MATCH($A2307,OSNum,0)),"OS inexistente"))</f>
        <v>0</v>
      </c>
      <c r="J2307" s="32">
        <f>IF($A2307="","",IF($I2307="OS inexistente","OS inexistente",IF($E2307="Peça não cadastrada","Peça não cadastrada","OK")))</f>
        <v>0</v>
      </c>
    </row>
    <row r="2308" spans="1:10">
      <c r="A2308" s="17"/>
      <c r="B2308" s="13"/>
      <c r="C2308" s="20"/>
      <c r="D2308" s="19"/>
      <c r="E2308" s="26">
        <f>IF($B2308="","",IFERROR(INDEX(PecDesc,MATCH($B2308,PecCod,0)),"Peça não cadastrada"))</f>
        <v>0</v>
      </c>
      <c r="F2308" s="27">
        <f>IF($B2308="","",IF($D2308&lt;&gt;"",$D2308,IFERROR(INDEX(PecPreco,MATCH($B2308,PecCod,0)),0)))</f>
        <v>0</v>
      </c>
      <c r="G2308" s="27">
        <f>IF(OR($B2308="",$C2308=""),"",$C2308*$F2308)</f>
        <v>0</v>
      </c>
      <c r="H2308" s="27">
        <f>IF(OR($B2308="",$C2308=""),"",$C2308*IFERROR(INDEX(PecCusto,MATCH($B2308,PecCod,0)),0))</f>
        <v>0</v>
      </c>
      <c r="I2308" s="32">
        <f>IF($A2308="","",IFERROR(INDEX(OSStatus,MATCH($A2308,OSNum,0)),"OS inexistente"))</f>
        <v>0</v>
      </c>
      <c r="J2308" s="32">
        <f>IF($A2308="","",IF($I2308="OS inexistente","OS inexistente",IF($E2308="Peça não cadastrada","Peça não cadastrada","OK")))</f>
        <v>0</v>
      </c>
    </row>
    <row r="2309" spans="1:10">
      <c r="A2309" s="17"/>
      <c r="B2309" s="13"/>
      <c r="C2309" s="20"/>
      <c r="D2309" s="19"/>
      <c r="E2309" s="26">
        <f>IF($B2309="","",IFERROR(INDEX(PecDesc,MATCH($B2309,PecCod,0)),"Peça não cadastrada"))</f>
        <v>0</v>
      </c>
      <c r="F2309" s="27">
        <f>IF($B2309="","",IF($D2309&lt;&gt;"",$D2309,IFERROR(INDEX(PecPreco,MATCH($B2309,PecCod,0)),0)))</f>
        <v>0</v>
      </c>
      <c r="G2309" s="27">
        <f>IF(OR($B2309="",$C2309=""),"",$C2309*$F2309)</f>
        <v>0</v>
      </c>
      <c r="H2309" s="27">
        <f>IF(OR($B2309="",$C2309=""),"",$C2309*IFERROR(INDEX(PecCusto,MATCH($B2309,PecCod,0)),0))</f>
        <v>0</v>
      </c>
      <c r="I2309" s="32">
        <f>IF($A2309="","",IFERROR(INDEX(OSStatus,MATCH($A2309,OSNum,0)),"OS inexistente"))</f>
        <v>0</v>
      </c>
      <c r="J2309" s="32">
        <f>IF($A2309="","",IF($I2309="OS inexistente","OS inexistente",IF($E2309="Peça não cadastrada","Peça não cadastrada","OK")))</f>
        <v>0</v>
      </c>
    </row>
    <row r="2310" spans="1:10">
      <c r="A2310" s="17"/>
      <c r="B2310" s="13"/>
      <c r="C2310" s="20"/>
      <c r="D2310" s="19"/>
      <c r="E2310" s="26">
        <f>IF($B2310="","",IFERROR(INDEX(PecDesc,MATCH($B2310,PecCod,0)),"Peça não cadastrada"))</f>
        <v>0</v>
      </c>
      <c r="F2310" s="27">
        <f>IF($B2310="","",IF($D2310&lt;&gt;"",$D2310,IFERROR(INDEX(PecPreco,MATCH($B2310,PecCod,0)),0)))</f>
        <v>0</v>
      </c>
      <c r="G2310" s="27">
        <f>IF(OR($B2310="",$C2310=""),"",$C2310*$F2310)</f>
        <v>0</v>
      </c>
      <c r="H2310" s="27">
        <f>IF(OR($B2310="",$C2310=""),"",$C2310*IFERROR(INDEX(PecCusto,MATCH($B2310,PecCod,0)),0))</f>
        <v>0</v>
      </c>
      <c r="I2310" s="32">
        <f>IF($A2310="","",IFERROR(INDEX(OSStatus,MATCH($A2310,OSNum,0)),"OS inexistente"))</f>
        <v>0</v>
      </c>
      <c r="J2310" s="32">
        <f>IF($A2310="","",IF($I2310="OS inexistente","OS inexistente",IF($E2310="Peça não cadastrada","Peça não cadastrada","OK")))</f>
        <v>0</v>
      </c>
    </row>
    <row r="2311" spans="1:10">
      <c r="A2311" s="17"/>
      <c r="B2311" s="13"/>
      <c r="C2311" s="20"/>
      <c r="D2311" s="19"/>
      <c r="E2311" s="26">
        <f>IF($B2311="","",IFERROR(INDEX(PecDesc,MATCH($B2311,PecCod,0)),"Peça não cadastrada"))</f>
        <v>0</v>
      </c>
      <c r="F2311" s="27">
        <f>IF($B2311="","",IF($D2311&lt;&gt;"",$D2311,IFERROR(INDEX(PecPreco,MATCH($B2311,PecCod,0)),0)))</f>
        <v>0</v>
      </c>
      <c r="G2311" s="27">
        <f>IF(OR($B2311="",$C2311=""),"",$C2311*$F2311)</f>
        <v>0</v>
      </c>
      <c r="H2311" s="27">
        <f>IF(OR($B2311="",$C2311=""),"",$C2311*IFERROR(INDEX(PecCusto,MATCH($B2311,PecCod,0)),0))</f>
        <v>0</v>
      </c>
      <c r="I2311" s="32">
        <f>IF($A2311="","",IFERROR(INDEX(OSStatus,MATCH($A2311,OSNum,0)),"OS inexistente"))</f>
        <v>0</v>
      </c>
      <c r="J2311" s="32">
        <f>IF($A2311="","",IF($I2311="OS inexistente","OS inexistente",IF($E2311="Peça não cadastrada","Peça não cadastrada","OK")))</f>
        <v>0</v>
      </c>
    </row>
    <row r="2312" spans="1:10">
      <c r="A2312" s="17"/>
      <c r="B2312" s="13"/>
      <c r="C2312" s="20"/>
      <c r="D2312" s="19"/>
      <c r="E2312" s="26">
        <f>IF($B2312="","",IFERROR(INDEX(PecDesc,MATCH($B2312,PecCod,0)),"Peça não cadastrada"))</f>
        <v>0</v>
      </c>
      <c r="F2312" s="27">
        <f>IF($B2312="","",IF($D2312&lt;&gt;"",$D2312,IFERROR(INDEX(PecPreco,MATCH($B2312,PecCod,0)),0)))</f>
        <v>0</v>
      </c>
      <c r="G2312" s="27">
        <f>IF(OR($B2312="",$C2312=""),"",$C2312*$F2312)</f>
        <v>0</v>
      </c>
      <c r="H2312" s="27">
        <f>IF(OR($B2312="",$C2312=""),"",$C2312*IFERROR(INDEX(PecCusto,MATCH($B2312,PecCod,0)),0))</f>
        <v>0</v>
      </c>
      <c r="I2312" s="32">
        <f>IF($A2312="","",IFERROR(INDEX(OSStatus,MATCH($A2312,OSNum,0)),"OS inexistente"))</f>
        <v>0</v>
      </c>
      <c r="J2312" s="32">
        <f>IF($A2312="","",IF($I2312="OS inexistente","OS inexistente",IF($E2312="Peça não cadastrada","Peça não cadastrada","OK")))</f>
        <v>0</v>
      </c>
    </row>
    <row r="2313" spans="1:10">
      <c r="A2313" s="17"/>
      <c r="B2313" s="13"/>
      <c r="C2313" s="20"/>
      <c r="D2313" s="19"/>
      <c r="E2313" s="26">
        <f>IF($B2313="","",IFERROR(INDEX(PecDesc,MATCH($B2313,PecCod,0)),"Peça não cadastrada"))</f>
        <v>0</v>
      </c>
      <c r="F2313" s="27">
        <f>IF($B2313="","",IF($D2313&lt;&gt;"",$D2313,IFERROR(INDEX(PecPreco,MATCH($B2313,PecCod,0)),0)))</f>
        <v>0</v>
      </c>
      <c r="G2313" s="27">
        <f>IF(OR($B2313="",$C2313=""),"",$C2313*$F2313)</f>
        <v>0</v>
      </c>
      <c r="H2313" s="27">
        <f>IF(OR($B2313="",$C2313=""),"",$C2313*IFERROR(INDEX(PecCusto,MATCH($B2313,PecCod,0)),0))</f>
        <v>0</v>
      </c>
      <c r="I2313" s="32">
        <f>IF($A2313="","",IFERROR(INDEX(OSStatus,MATCH($A2313,OSNum,0)),"OS inexistente"))</f>
        <v>0</v>
      </c>
      <c r="J2313" s="32">
        <f>IF($A2313="","",IF($I2313="OS inexistente","OS inexistente",IF($E2313="Peça não cadastrada","Peça não cadastrada","OK")))</f>
        <v>0</v>
      </c>
    </row>
    <row r="2314" spans="1:10">
      <c r="A2314" s="17"/>
      <c r="B2314" s="13"/>
      <c r="C2314" s="20"/>
      <c r="D2314" s="19"/>
      <c r="E2314" s="26">
        <f>IF($B2314="","",IFERROR(INDEX(PecDesc,MATCH($B2314,PecCod,0)),"Peça não cadastrada"))</f>
        <v>0</v>
      </c>
      <c r="F2314" s="27">
        <f>IF($B2314="","",IF($D2314&lt;&gt;"",$D2314,IFERROR(INDEX(PecPreco,MATCH($B2314,PecCod,0)),0)))</f>
        <v>0</v>
      </c>
      <c r="G2314" s="27">
        <f>IF(OR($B2314="",$C2314=""),"",$C2314*$F2314)</f>
        <v>0</v>
      </c>
      <c r="H2314" s="27">
        <f>IF(OR($B2314="",$C2314=""),"",$C2314*IFERROR(INDEX(PecCusto,MATCH($B2314,PecCod,0)),0))</f>
        <v>0</v>
      </c>
      <c r="I2314" s="32">
        <f>IF($A2314="","",IFERROR(INDEX(OSStatus,MATCH($A2314,OSNum,0)),"OS inexistente"))</f>
        <v>0</v>
      </c>
      <c r="J2314" s="32">
        <f>IF($A2314="","",IF($I2314="OS inexistente","OS inexistente",IF($E2314="Peça não cadastrada","Peça não cadastrada","OK")))</f>
        <v>0</v>
      </c>
    </row>
    <row r="2315" spans="1:10">
      <c r="A2315" s="17"/>
      <c r="B2315" s="13"/>
      <c r="C2315" s="20"/>
      <c r="D2315" s="19"/>
      <c r="E2315" s="26">
        <f>IF($B2315="","",IFERROR(INDEX(PecDesc,MATCH($B2315,PecCod,0)),"Peça não cadastrada"))</f>
        <v>0</v>
      </c>
      <c r="F2315" s="27">
        <f>IF($B2315="","",IF($D2315&lt;&gt;"",$D2315,IFERROR(INDEX(PecPreco,MATCH($B2315,PecCod,0)),0)))</f>
        <v>0</v>
      </c>
      <c r="G2315" s="27">
        <f>IF(OR($B2315="",$C2315=""),"",$C2315*$F2315)</f>
        <v>0</v>
      </c>
      <c r="H2315" s="27">
        <f>IF(OR($B2315="",$C2315=""),"",$C2315*IFERROR(INDEX(PecCusto,MATCH($B2315,PecCod,0)),0))</f>
        <v>0</v>
      </c>
      <c r="I2315" s="32">
        <f>IF($A2315="","",IFERROR(INDEX(OSStatus,MATCH($A2315,OSNum,0)),"OS inexistente"))</f>
        <v>0</v>
      </c>
      <c r="J2315" s="32">
        <f>IF($A2315="","",IF($I2315="OS inexistente","OS inexistente",IF($E2315="Peça não cadastrada","Peça não cadastrada","OK")))</f>
        <v>0</v>
      </c>
    </row>
    <row r="2316" spans="1:10">
      <c r="A2316" s="17"/>
      <c r="B2316" s="13"/>
      <c r="C2316" s="20"/>
      <c r="D2316" s="19"/>
      <c r="E2316" s="26">
        <f>IF($B2316="","",IFERROR(INDEX(PecDesc,MATCH($B2316,PecCod,0)),"Peça não cadastrada"))</f>
        <v>0</v>
      </c>
      <c r="F2316" s="27">
        <f>IF($B2316="","",IF($D2316&lt;&gt;"",$D2316,IFERROR(INDEX(PecPreco,MATCH($B2316,PecCod,0)),0)))</f>
        <v>0</v>
      </c>
      <c r="G2316" s="27">
        <f>IF(OR($B2316="",$C2316=""),"",$C2316*$F2316)</f>
        <v>0</v>
      </c>
      <c r="H2316" s="27">
        <f>IF(OR($B2316="",$C2316=""),"",$C2316*IFERROR(INDEX(PecCusto,MATCH($B2316,PecCod,0)),0))</f>
        <v>0</v>
      </c>
      <c r="I2316" s="32">
        <f>IF($A2316="","",IFERROR(INDEX(OSStatus,MATCH($A2316,OSNum,0)),"OS inexistente"))</f>
        <v>0</v>
      </c>
      <c r="J2316" s="32">
        <f>IF($A2316="","",IF($I2316="OS inexistente","OS inexistente",IF($E2316="Peça não cadastrada","Peça não cadastrada","OK")))</f>
        <v>0</v>
      </c>
    </row>
    <row r="2317" spans="1:10">
      <c r="A2317" s="17"/>
      <c r="B2317" s="13"/>
      <c r="C2317" s="20"/>
      <c r="D2317" s="19"/>
      <c r="E2317" s="26">
        <f>IF($B2317="","",IFERROR(INDEX(PecDesc,MATCH($B2317,PecCod,0)),"Peça não cadastrada"))</f>
        <v>0</v>
      </c>
      <c r="F2317" s="27">
        <f>IF($B2317="","",IF($D2317&lt;&gt;"",$D2317,IFERROR(INDEX(PecPreco,MATCH($B2317,PecCod,0)),0)))</f>
        <v>0</v>
      </c>
      <c r="G2317" s="27">
        <f>IF(OR($B2317="",$C2317=""),"",$C2317*$F2317)</f>
        <v>0</v>
      </c>
      <c r="H2317" s="27">
        <f>IF(OR($B2317="",$C2317=""),"",$C2317*IFERROR(INDEX(PecCusto,MATCH($B2317,PecCod,0)),0))</f>
        <v>0</v>
      </c>
      <c r="I2317" s="32">
        <f>IF($A2317="","",IFERROR(INDEX(OSStatus,MATCH($A2317,OSNum,0)),"OS inexistente"))</f>
        <v>0</v>
      </c>
      <c r="J2317" s="32">
        <f>IF($A2317="","",IF($I2317="OS inexistente","OS inexistente",IF($E2317="Peça não cadastrada","Peça não cadastrada","OK")))</f>
        <v>0</v>
      </c>
    </row>
    <row r="2318" spans="1:10">
      <c r="A2318" s="17"/>
      <c r="B2318" s="13"/>
      <c r="C2318" s="20"/>
      <c r="D2318" s="19"/>
      <c r="E2318" s="26">
        <f>IF($B2318="","",IFERROR(INDEX(PecDesc,MATCH($B2318,PecCod,0)),"Peça não cadastrada"))</f>
        <v>0</v>
      </c>
      <c r="F2318" s="27">
        <f>IF($B2318="","",IF($D2318&lt;&gt;"",$D2318,IFERROR(INDEX(PecPreco,MATCH($B2318,PecCod,0)),0)))</f>
        <v>0</v>
      </c>
      <c r="G2318" s="27">
        <f>IF(OR($B2318="",$C2318=""),"",$C2318*$F2318)</f>
        <v>0</v>
      </c>
      <c r="H2318" s="27">
        <f>IF(OR($B2318="",$C2318=""),"",$C2318*IFERROR(INDEX(PecCusto,MATCH($B2318,PecCod,0)),0))</f>
        <v>0</v>
      </c>
      <c r="I2318" s="32">
        <f>IF($A2318="","",IFERROR(INDEX(OSStatus,MATCH($A2318,OSNum,0)),"OS inexistente"))</f>
        <v>0</v>
      </c>
      <c r="J2318" s="32">
        <f>IF($A2318="","",IF($I2318="OS inexistente","OS inexistente",IF($E2318="Peça não cadastrada","Peça não cadastrada","OK")))</f>
        <v>0</v>
      </c>
    </row>
    <row r="2319" spans="1:10">
      <c r="A2319" s="17"/>
      <c r="B2319" s="13"/>
      <c r="C2319" s="20"/>
      <c r="D2319" s="19"/>
      <c r="E2319" s="26">
        <f>IF($B2319="","",IFERROR(INDEX(PecDesc,MATCH($B2319,PecCod,0)),"Peça não cadastrada"))</f>
        <v>0</v>
      </c>
      <c r="F2319" s="27">
        <f>IF($B2319="","",IF($D2319&lt;&gt;"",$D2319,IFERROR(INDEX(PecPreco,MATCH($B2319,PecCod,0)),0)))</f>
        <v>0</v>
      </c>
      <c r="G2319" s="27">
        <f>IF(OR($B2319="",$C2319=""),"",$C2319*$F2319)</f>
        <v>0</v>
      </c>
      <c r="H2319" s="27">
        <f>IF(OR($B2319="",$C2319=""),"",$C2319*IFERROR(INDEX(PecCusto,MATCH($B2319,PecCod,0)),0))</f>
        <v>0</v>
      </c>
      <c r="I2319" s="32">
        <f>IF($A2319="","",IFERROR(INDEX(OSStatus,MATCH($A2319,OSNum,0)),"OS inexistente"))</f>
        <v>0</v>
      </c>
      <c r="J2319" s="32">
        <f>IF($A2319="","",IF($I2319="OS inexistente","OS inexistente",IF($E2319="Peça não cadastrada","Peça não cadastrada","OK")))</f>
        <v>0</v>
      </c>
    </row>
    <row r="2320" spans="1:10">
      <c r="A2320" s="17"/>
      <c r="B2320" s="13"/>
      <c r="C2320" s="20"/>
      <c r="D2320" s="19"/>
      <c r="E2320" s="26">
        <f>IF($B2320="","",IFERROR(INDEX(PecDesc,MATCH($B2320,PecCod,0)),"Peça não cadastrada"))</f>
        <v>0</v>
      </c>
      <c r="F2320" s="27">
        <f>IF($B2320="","",IF($D2320&lt;&gt;"",$D2320,IFERROR(INDEX(PecPreco,MATCH($B2320,PecCod,0)),0)))</f>
        <v>0</v>
      </c>
      <c r="G2320" s="27">
        <f>IF(OR($B2320="",$C2320=""),"",$C2320*$F2320)</f>
        <v>0</v>
      </c>
      <c r="H2320" s="27">
        <f>IF(OR($B2320="",$C2320=""),"",$C2320*IFERROR(INDEX(PecCusto,MATCH($B2320,PecCod,0)),0))</f>
        <v>0</v>
      </c>
      <c r="I2320" s="32">
        <f>IF($A2320="","",IFERROR(INDEX(OSStatus,MATCH($A2320,OSNum,0)),"OS inexistente"))</f>
        <v>0</v>
      </c>
      <c r="J2320" s="32">
        <f>IF($A2320="","",IF($I2320="OS inexistente","OS inexistente",IF($E2320="Peça não cadastrada","Peça não cadastrada","OK")))</f>
        <v>0</v>
      </c>
    </row>
    <row r="2321" spans="1:10">
      <c r="A2321" s="17"/>
      <c r="B2321" s="13"/>
      <c r="C2321" s="20"/>
      <c r="D2321" s="19"/>
      <c r="E2321" s="26">
        <f>IF($B2321="","",IFERROR(INDEX(PecDesc,MATCH($B2321,PecCod,0)),"Peça não cadastrada"))</f>
        <v>0</v>
      </c>
      <c r="F2321" s="27">
        <f>IF($B2321="","",IF($D2321&lt;&gt;"",$D2321,IFERROR(INDEX(PecPreco,MATCH($B2321,PecCod,0)),0)))</f>
        <v>0</v>
      </c>
      <c r="G2321" s="27">
        <f>IF(OR($B2321="",$C2321=""),"",$C2321*$F2321)</f>
        <v>0</v>
      </c>
      <c r="H2321" s="27">
        <f>IF(OR($B2321="",$C2321=""),"",$C2321*IFERROR(INDEX(PecCusto,MATCH($B2321,PecCod,0)),0))</f>
        <v>0</v>
      </c>
      <c r="I2321" s="32">
        <f>IF($A2321="","",IFERROR(INDEX(OSStatus,MATCH($A2321,OSNum,0)),"OS inexistente"))</f>
        <v>0</v>
      </c>
      <c r="J2321" s="32">
        <f>IF($A2321="","",IF($I2321="OS inexistente","OS inexistente",IF($E2321="Peça não cadastrada","Peça não cadastrada","OK")))</f>
        <v>0</v>
      </c>
    </row>
    <row r="2322" spans="1:10">
      <c r="A2322" s="17"/>
      <c r="B2322" s="13"/>
      <c r="C2322" s="20"/>
      <c r="D2322" s="19"/>
      <c r="E2322" s="26">
        <f>IF($B2322="","",IFERROR(INDEX(PecDesc,MATCH($B2322,PecCod,0)),"Peça não cadastrada"))</f>
        <v>0</v>
      </c>
      <c r="F2322" s="27">
        <f>IF($B2322="","",IF($D2322&lt;&gt;"",$D2322,IFERROR(INDEX(PecPreco,MATCH($B2322,PecCod,0)),0)))</f>
        <v>0</v>
      </c>
      <c r="G2322" s="27">
        <f>IF(OR($B2322="",$C2322=""),"",$C2322*$F2322)</f>
        <v>0</v>
      </c>
      <c r="H2322" s="27">
        <f>IF(OR($B2322="",$C2322=""),"",$C2322*IFERROR(INDEX(PecCusto,MATCH($B2322,PecCod,0)),0))</f>
        <v>0</v>
      </c>
      <c r="I2322" s="32">
        <f>IF($A2322="","",IFERROR(INDEX(OSStatus,MATCH($A2322,OSNum,0)),"OS inexistente"))</f>
        <v>0</v>
      </c>
      <c r="J2322" s="32">
        <f>IF($A2322="","",IF($I2322="OS inexistente","OS inexistente",IF($E2322="Peça não cadastrada","Peça não cadastrada","OK")))</f>
        <v>0</v>
      </c>
    </row>
    <row r="2323" spans="1:10">
      <c r="A2323" s="17"/>
      <c r="B2323" s="13"/>
      <c r="C2323" s="20"/>
      <c r="D2323" s="19"/>
      <c r="E2323" s="26">
        <f>IF($B2323="","",IFERROR(INDEX(PecDesc,MATCH($B2323,PecCod,0)),"Peça não cadastrada"))</f>
        <v>0</v>
      </c>
      <c r="F2323" s="27">
        <f>IF($B2323="","",IF($D2323&lt;&gt;"",$D2323,IFERROR(INDEX(PecPreco,MATCH($B2323,PecCod,0)),0)))</f>
        <v>0</v>
      </c>
      <c r="G2323" s="27">
        <f>IF(OR($B2323="",$C2323=""),"",$C2323*$F2323)</f>
        <v>0</v>
      </c>
      <c r="H2323" s="27">
        <f>IF(OR($B2323="",$C2323=""),"",$C2323*IFERROR(INDEX(PecCusto,MATCH($B2323,PecCod,0)),0))</f>
        <v>0</v>
      </c>
      <c r="I2323" s="32">
        <f>IF($A2323="","",IFERROR(INDEX(OSStatus,MATCH($A2323,OSNum,0)),"OS inexistente"))</f>
        <v>0</v>
      </c>
      <c r="J2323" s="32">
        <f>IF($A2323="","",IF($I2323="OS inexistente","OS inexistente",IF($E2323="Peça não cadastrada","Peça não cadastrada","OK")))</f>
        <v>0</v>
      </c>
    </row>
    <row r="2324" spans="1:10">
      <c r="A2324" s="17"/>
      <c r="B2324" s="13"/>
      <c r="C2324" s="20"/>
      <c r="D2324" s="19"/>
      <c r="E2324" s="26">
        <f>IF($B2324="","",IFERROR(INDEX(PecDesc,MATCH($B2324,PecCod,0)),"Peça não cadastrada"))</f>
        <v>0</v>
      </c>
      <c r="F2324" s="27">
        <f>IF($B2324="","",IF($D2324&lt;&gt;"",$D2324,IFERROR(INDEX(PecPreco,MATCH($B2324,PecCod,0)),0)))</f>
        <v>0</v>
      </c>
      <c r="G2324" s="27">
        <f>IF(OR($B2324="",$C2324=""),"",$C2324*$F2324)</f>
        <v>0</v>
      </c>
      <c r="H2324" s="27">
        <f>IF(OR($B2324="",$C2324=""),"",$C2324*IFERROR(INDEX(PecCusto,MATCH($B2324,PecCod,0)),0))</f>
        <v>0</v>
      </c>
      <c r="I2324" s="32">
        <f>IF($A2324="","",IFERROR(INDEX(OSStatus,MATCH($A2324,OSNum,0)),"OS inexistente"))</f>
        <v>0</v>
      </c>
      <c r="J2324" s="32">
        <f>IF($A2324="","",IF($I2324="OS inexistente","OS inexistente",IF($E2324="Peça não cadastrada","Peça não cadastrada","OK")))</f>
        <v>0</v>
      </c>
    </row>
    <row r="2325" spans="1:10">
      <c r="A2325" s="17"/>
      <c r="B2325" s="13"/>
      <c r="C2325" s="20"/>
      <c r="D2325" s="19"/>
      <c r="E2325" s="26">
        <f>IF($B2325="","",IFERROR(INDEX(PecDesc,MATCH($B2325,PecCod,0)),"Peça não cadastrada"))</f>
        <v>0</v>
      </c>
      <c r="F2325" s="27">
        <f>IF($B2325="","",IF($D2325&lt;&gt;"",$D2325,IFERROR(INDEX(PecPreco,MATCH($B2325,PecCod,0)),0)))</f>
        <v>0</v>
      </c>
      <c r="G2325" s="27">
        <f>IF(OR($B2325="",$C2325=""),"",$C2325*$F2325)</f>
        <v>0</v>
      </c>
      <c r="H2325" s="27">
        <f>IF(OR($B2325="",$C2325=""),"",$C2325*IFERROR(INDEX(PecCusto,MATCH($B2325,PecCod,0)),0))</f>
        <v>0</v>
      </c>
      <c r="I2325" s="32">
        <f>IF($A2325="","",IFERROR(INDEX(OSStatus,MATCH($A2325,OSNum,0)),"OS inexistente"))</f>
        <v>0</v>
      </c>
      <c r="J2325" s="32">
        <f>IF($A2325="","",IF($I2325="OS inexistente","OS inexistente",IF($E2325="Peça não cadastrada","Peça não cadastrada","OK")))</f>
        <v>0</v>
      </c>
    </row>
    <row r="2326" spans="1:10">
      <c r="A2326" s="17"/>
      <c r="B2326" s="13"/>
      <c r="C2326" s="20"/>
      <c r="D2326" s="19"/>
      <c r="E2326" s="26">
        <f>IF($B2326="","",IFERROR(INDEX(PecDesc,MATCH($B2326,PecCod,0)),"Peça não cadastrada"))</f>
        <v>0</v>
      </c>
      <c r="F2326" s="27">
        <f>IF($B2326="","",IF($D2326&lt;&gt;"",$D2326,IFERROR(INDEX(PecPreco,MATCH($B2326,PecCod,0)),0)))</f>
        <v>0</v>
      </c>
      <c r="G2326" s="27">
        <f>IF(OR($B2326="",$C2326=""),"",$C2326*$F2326)</f>
        <v>0</v>
      </c>
      <c r="H2326" s="27">
        <f>IF(OR($B2326="",$C2326=""),"",$C2326*IFERROR(INDEX(PecCusto,MATCH($B2326,PecCod,0)),0))</f>
        <v>0</v>
      </c>
      <c r="I2326" s="32">
        <f>IF($A2326="","",IFERROR(INDEX(OSStatus,MATCH($A2326,OSNum,0)),"OS inexistente"))</f>
        <v>0</v>
      </c>
      <c r="J2326" s="32">
        <f>IF($A2326="","",IF($I2326="OS inexistente","OS inexistente",IF($E2326="Peça não cadastrada","Peça não cadastrada","OK")))</f>
        <v>0</v>
      </c>
    </row>
    <row r="2327" spans="1:10">
      <c r="A2327" s="17"/>
      <c r="B2327" s="13"/>
      <c r="C2327" s="20"/>
      <c r="D2327" s="19"/>
      <c r="E2327" s="26">
        <f>IF($B2327="","",IFERROR(INDEX(PecDesc,MATCH($B2327,PecCod,0)),"Peça não cadastrada"))</f>
        <v>0</v>
      </c>
      <c r="F2327" s="27">
        <f>IF($B2327="","",IF($D2327&lt;&gt;"",$D2327,IFERROR(INDEX(PecPreco,MATCH($B2327,PecCod,0)),0)))</f>
        <v>0</v>
      </c>
      <c r="G2327" s="27">
        <f>IF(OR($B2327="",$C2327=""),"",$C2327*$F2327)</f>
        <v>0</v>
      </c>
      <c r="H2327" s="27">
        <f>IF(OR($B2327="",$C2327=""),"",$C2327*IFERROR(INDEX(PecCusto,MATCH($B2327,PecCod,0)),0))</f>
        <v>0</v>
      </c>
      <c r="I2327" s="32">
        <f>IF($A2327="","",IFERROR(INDEX(OSStatus,MATCH($A2327,OSNum,0)),"OS inexistente"))</f>
        <v>0</v>
      </c>
      <c r="J2327" s="32">
        <f>IF($A2327="","",IF($I2327="OS inexistente","OS inexistente",IF($E2327="Peça não cadastrada","Peça não cadastrada","OK")))</f>
        <v>0</v>
      </c>
    </row>
    <row r="2328" spans="1:10">
      <c r="A2328" s="17"/>
      <c r="B2328" s="13"/>
      <c r="C2328" s="20"/>
      <c r="D2328" s="19"/>
      <c r="E2328" s="26">
        <f>IF($B2328="","",IFERROR(INDEX(PecDesc,MATCH($B2328,PecCod,0)),"Peça não cadastrada"))</f>
        <v>0</v>
      </c>
      <c r="F2328" s="27">
        <f>IF($B2328="","",IF($D2328&lt;&gt;"",$D2328,IFERROR(INDEX(PecPreco,MATCH($B2328,PecCod,0)),0)))</f>
        <v>0</v>
      </c>
      <c r="G2328" s="27">
        <f>IF(OR($B2328="",$C2328=""),"",$C2328*$F2328)</f>
        <v>0</v>
      </c>
      <c r="H2328" s="27">
        <f>IF(OR($B2328="",$C2328=""),"",$C2328*IFERROR(INDEX(PecCusto,MATCH($B2328,PecCod,0)),0))</f>
        <v>0</v>
      </c>
      <c r="I2328" s="32">
        <f>IF($A2328="","",IFERROR(INDEX(OSStatus,MATCH($A2328,OSNum,0)),"OS inexistente"))</f>
        <v>0</v>
      </c>
      <c r="J2328" s="32">
        <f>IF($A2328="","",IF($I2328="OS inexistente","OS inexistente",IF($E2328="Peça não cadastrada","Peça não cadastrada","OK")))</f>
        <v>0</v>
      </c>
    </row>
    <row r="2329" spans="1:10">
      <c r="A2329" s="17"/>
      <c r="B2329" s="13"/>
      <c r="C2329" s="20"/>
      <c r="D2329" s="19"/>
      <c r="E2329" s="26">
        <f>IF($B2329="","",IFERROR(INDEX(PecDesc,MATCH($B2329,PecCod,0)),"Peça não cadastrada"))</f>
        <v>0</v>
      </c>
      <c r="F2329" s="27">
        <f>IF($B2329="","",IF($D2329&lt;&gt;"",$D2329,IFERROR(INDEX(PecPreco,MATCH($B2329,PecCod,0)),0)))</f>
        <v>0</v>
      </c>
      <c r="G2329" s="27">
        <f>IF(OR($B2329="",$C2329=""),"",$C2329*$F2329)</f>
        <v>0</v>
      </c>
      <c r="H2329" s="27">
        <f>IF(OR($B2329="",$C2329=""),"",$C2329*IFERROR(INDEX(PecCusto,MATCH($B2329,PecCod,0)),0))</f>
        <v>0</v>
      </c>
      <c r="I2329" s="32">
        <f>IF($A2329="","",IFERROR(INDEX(OSStatus,MATCH($A2329,OSNum,0)),"OS inexistente"))</f>
        <v>0</v>
      </c>
      <c r="J2329" s="32">
        <f>IF($A2329="","",IF($I2329="OS inexistente","OS inexistente",IF($E2329="Peça não cadastrada","Peça não cadastrada","OK")))</f>
        <v>0</v>
      </c>
    </row>
    <row r="2330" spans="1:10">
      <c r="A2330" s="17"/>
      <c r="B2330" s="13"/>
      <c r="C2330" s="20"/>
      <c r="D2330" s="19"/>
      <c r="E2330" s="26">
        <f>IF($B2330="","",IFERROR(INDEX(PecDesc,MATCH($B2330,PecCod,0)),"Peça não cadastrada"))</f>
        <v>0</v>
      </c>
      <c r="F2330" s="27">
        <f>IF($B2330="","",IF($D2330&lt;&gt;"",$D2330,IFERROR(INDEX(PecPreco,MATCH($B2330,PecCod,0)),0)))</f>
        <v>0</v>
      </c>
      <c r="G2330" s="27">
        <f>IF(OR($B2330="",$C2330=""),"",$C2330*$F2330)</f>
        <v>0</v>
      </c>
      <c r="H2330" s="27">
        <f>IF(OR($B2330="",$C2330=""),"",$C2330*IFERROR(INDEX(PecCusto,MATCH($B2330,PecCod,0)),0))</f>
        <v>0</v>
      </c>
      <c r="I2330" s="32">
        <f>IF($A2330="","",IFERROR(INDEX(OSStatus,MATCH($A2330,OSNum,0)),"OS inexistente"))</f>
        <v>0</v>
      </c>
      <c r="J2330" s="32">
        <f>IF($A2330="","",IF($I2330="OS inexistente","OS inexistente",IF($E2330="Peça não cadastrada","Peça não cadastrada","OK")))</f>
        <v>0</v>
      </c>
    </row>
    <row r="2331" spans="1:10">
      <c r="A2331" s="17"/>
      <c r="B2331" s="13"/>
      <c r="C2331" s="20"/>
      <c r="D2331" s="19"/>
      <c r="E2331" s="26">
        <f>IF($B2331="","",IFERROR(INDEX(PecDesc,MATCH($B2331,PecCod,0)),"Peça não cadastrada"))</f>
        <v>0</v>
      </c>
      <c r="F2331" s="27">
        <f>IF($B2331="","",IF($D2331&lt;&gt;"",$D2331,IFERROR(INDEX(PecPreco,MATCH($B2331,PecCod,0)),0)))</f>
        <v>0</v>
      </c>
      <c r="G2331" s="27">
        <f>IF(OR($B2331="",$C2331=""),"",$C2331*$F2331)</f>
        <v>0</v>
      </c>
      <c r="H2331" s="27">
        <f>IF(OR($B2331="",$C2331=""),"",$C2331*IFERROR(INDEX(PecCusto,MATCH($B2331,PecCod,0)),0))</f>
        <v>0</v>
      </c>
      <c r="I2331" s="32">
        <f>IF($A2331="","",IFERROR(INDEX(OSStatus,MATCH($A2331,OSNum,0)),"OS inexistente"))</f>
        <v>0</v>
      </c>
      <c r="J2331" s="32">
        <f>IF($A2331="","",IF($I2331="OS inexistente","OS inexistente",IF($E2331="Peça não cadastrada","Peça não cadastrada","OK")))</f>
        <v>0</v>
      </c>
    </row>
    <row r="2332" spans="1:10">
      <c r="A2332" s="17"/>
      <c r="B2332" s="13"/>
      <c r="C2332" s="20"/>
      <c r="D2332" s="19"/>
      <c r="E2332" s="26">
        <f>IF($B2332="","",IFERROR(INDEX(PecDesc,MATCH($B2332,PecCod,0)),"Peça não cadastrada"))</f>
        <v>0</v>
      </c>
      <c r="F2332" s="27">
        <f>IF($B2332="","",IF($D2332&lt;&gt;"",$D2332,IFERROR(INDEX(PecPreco,MATCH($B2332,PecCod,0)),0)))</f>
        <v>0</v>
      </c>
      <c r="G2332" s="27">
        <f>IF(OR($B2332="",$C2332=""),"",$C2332*$F2332)</f>
        <v>0</v>
      </c>
      <c r="H2332" s="27">
        <f>IF(OR($B2332="",$C2332=""),"",$C2332*IFERROR(INDEX(PecCusto,MATCH($B2332,PecCod,0)),0))</f>
        <v>0</v>
      </c>
      <c r="I2332" s="32">
        <f>IF($A2332="","",IFERROR(INDEX(OSStatus,MATCH($A2332,OSNum,0)),"OS inexistente"))</f>
        <v>0</v>
      </c>
      <c r="J2332" s="32">
        <f>IF($A2332="","",IF($I2332="OS inexistente","OS inexistente",IF($E2332="Peça não cadastrada","Peça não cadastrada","OK")))</f>
        <v>0</v>
      </c>
    </row>
    <row r="2333" spans="1:10">
      <c r="A2333" s="17"/>
      <c r="B2333" s="13"/>
      <c r="C2333" s="20"/>
      <c r="D2333" s="19"/>
      <c r="E2333" s="26">
        <f>IF($B2333="","",IFERROR(INDEX(PecDesc,MATCH($B2333,PecCod,0)),"Peça não cadastrada"))</f>
        <v>0</v>
      </c>
      <c r="F2333" s="27">
        <f>IF($B2333="","",IF($D2333&lt;&gt;"",$D2333,IFERROR(INDEX(PecPreco,MATCH($B2333,PecCod,0)),0)))</f>
        <v>0</v>
      </c>
      <c r="G2333" s="27">
        <f>IF(OR($B2333="",$C2333=""),"",$C2333*$F2333)</f>
        <v>0</v>
      </c>
      <c r="H2333" s="27">
        <f>IF(OR($B2333="",$C2333=""),"",$C2333*IFERROR(INDEX(PecCusto,MATCH($B2333,PecCod,0)),0))</f>
        <v>0</v>
      </c>
      <c r="I2333" s="32">
        <f>IF($A2333="","",IFERROR(INDEX(OSStatus,MATCH($A2333,OSNum,0)),"OS inexistente"))</f>
        <v>0</v>
      </c>
      <c r="J2333" s="32">
        <f>IF($A2333="","",IF($I2333="OS inexistente","OS inexistente",IF($E2333="Peça não cadastrada","Peça não cadastrada","OK")))</f>
        <v>0</v>
      </c>
    </row>
    <row r="2334" spans="1:10">
      <c r="A2334" s="17"/>
      <c r="B2334" s="13"/>
      <c r="C2334" s="20"/>
      <c r="D2334" s="19"/>
      <c r="E2334" s="26">
        <f>IF($B2334="","",IFERROR(INDEX(PecDesc,MATCH($B2334,PecCod,0)),"Peça não cadastrada"))</f>
        <v>0</v>
      </c>
      <c r="F2334" s="27">
        <f>IF($B2334="","",IF($D2334&lt;&gt;"",$D2334,IFERROR(INDEX(PecPreco,MATCH($B2334,PecCod,0)),0)))</f>
        <v>0</v>
      </c>
      <c r="G2334" s="27">
        <f>IF(OR($B2334="",$C2334=""),"",$C2334*$F2334)</f>
        <v>0</v>
      </c>
      <c r="H2334" s="27">
        <f>IF(OR($B2334="",$C2334=""),"",$C2334*IFERROR(INDEX(PecCusto,MATCH($B2334,PecCod,0)),0))</f>
        <v>0</v>
      </c>
      <c r="I2334" s="32">
        <f>IF($A2334="","",IFERROR(INDEX(OSStatus,MATCH($A2334,OSNum,0)),"OS inexistente"))</f>
        <v>0</v>
      </c>
      <c r="J2334" s="32">
        <f>IF($A2334="","",IF($I2334="OS inexistente","OS inexistente",IF($E2334="Peça não cadastrada","Peça não cadastrada","OK")))</f>
        <v>0</v>
      </c>
    </row>
    <row r="2335" spans="1:10">
      <c r="A2335" s="17"/>
      <c r="B2335" s="13"/>
      <c r="C2335" s="20"/>
      <c r="D2335" s="19"/>
      <c r="E2335" s="26">
        <f>IF($B2335="","",IFERROR(INDEX(PecDesc,MATCH($B2335,PecCod,0)),"Peça não cadastrada"))</f>
        <v>0</v>
      </c>
      <c r="F2335" s="27">
        <f>IF($B2335="","",IF($D2335&lt;&gt;"",$D2335,IFERROR(INDEX(PecPreco,MATCH($B2335,PecCod,0)),0)))</f>
        <v>0</v>
      </c>
      <c r="G2335" s="27">
        <f>IF(OR($B2335="",$C2335=""),"",$C2335*$F2335)</f>
        <v>0</v>
      </c>
      <c r="H2335" s="27">
        <f>IF(OR($B2335="",$C2335=""),"",$C2335*IFERROR(INDEX(PecCusto,MATCH($B2335,PecCod,0)),0))</f>
        <v>0</v>
      </c>
      <c r="I2335" s="32">
        <f>IF($A2335="","",IFERROR(INDEX(OSStatus,MATCH($A2335,OSNum,0)),"OS inexistente"))</f>
        <v>0</v>
      </c>
      <c r="J2335" s="32">
        <f>IF($A2335="","",IF($I2335="OS inexistente","OS inexistente",IF($E2335="Peça não cadastrada","Peça não cadastrada","OK")))</f>
        <v>0</v>
      </c>
    </row>
    <row r="2336" spans="1:10">
      <c r="A2336" s="17"/>
      <c r="B2336" s="13"/>
      <c r="C2336" s="20"/>
      <c r="D2336" s="19"/>
      <c r="E2336" s="26">
        <f>IF($B2336="","",IFERROR(INDEX(PecDesc,MATCH($B2336,PecCod,0)),"Peça não cadastrada"))</f>
        <v>0</v>
      </c>
      <c r="F2336" s="27">
        <f>IF($B2336="","",IF($D2336&lt;&gt;"",$D2336,IFERROR(INDEX(PecPreco,MATCH($B2336,PecCod,0)),0)))</f>
        <v>0</v>
      </c>
      <c r="G2336" s="27">
        <f>IF(OR($B2336="",$C2336=""),"",$C2336*$F2336)</f>
        <v>0</v>
      </c>
      <c r="H2336" s="27">
        <f>IF(OR($B2336="",$C2336=""),"",$C2336*IFERROR(INDEX(PecCusto,MATCH($B2336,PecCod,0)),0))</f>
        <v>0</v>
      </c>
      <c r="I2336" s="32">
        <f>IF($A2336="","",IFERROR(INDEX(OSStatus,MATCH($A2336,OSNum,0)),"OS inexistente"))</f>
        <v>0</v>
      </c>
      <c r="J2336" s="32">
        <f>IF($A2336="","",IF($I2336="OS inexistente","OS inexistente",IF($E2336="Peça não cadastrada","Peça não cadastrada","OK")))</f>
        <v>0</v>
      </c>
    </row>
    <row r="2337" spans="1:10">
      <c r="A2337" s="17"/>
      <c r="B2337" s="13"/>
      <c r="C2337" s="20"/>
      <c r="D2337" s="19"/>
      <c r="E2337" s="26">
        <f>IF($B2337="","",IFERROR(INDEX(PecDesc,MATCH($B2337,PecCod,0)),"Peça não cadastrada"))</f>
        <v>0</v>
      </c>
      <c r="F2337" s="27">
        <f>IF($B2337="","",IF($D2337&lt;&gt;"",$D2337,IFERROR(INDEX(PecPreco,MATCH($B2337,PecCod,0)),0)))</f>
        <v>0</v>
      </c>
      <c r="G2337" s="27">
        <f>IF(OR($B2337="",$C2337=""),"",$C2337*$F2337)</f>
        <v>0</v>
      </c>
      <c r="H2337" s="27">
        <f>IF(OR($B2337="",$C2337=""),"",$C2337*IFERROR(INDEX(PecCusto,MATCH($B2337,PecCod,0)),0))</f>
        <v>0</v>
      </c>
      <c r="I2337" s="32">
        <f>IF($A2337="","",IFERROR(INDEX(OSStatus,MATCH($A2337,OSNum,0)),"OS inexistente"))</f>
        <v>0</v>
      </c>
      <c r="J2337" s="32">
        <f>IF($A2337="","",IF($I2337="OS inexistente","OS inexistente",IF($E2337="Peça não cadastrada","Peça não cadastrada","OK")))</f>
        <v>0</v>
      </c>
    </row>
    <row r="2338" spans="1:10">
      <c r="A2338" s="17"/>
      <c r="B2338" s="13"/>
      <c r="C2338" s="20"/>
      <c r="D2338" s="19"/>
      <c r="E2338" s="26">
        <f>IF($B2338="","",IFERROR(INDEX(PecDesc,MATCH($B2338,PecCod,0)),"Peça não cadastrada"))</f>
        <v>0</v>
      </c>
      <c r="F2338" s="27">
        <f>IF($B2338="","",IF($D2338&lt;&gt;"",$D2338,IFERROR(INDEX(PecPreco,MATCH($B2338,PecCod,0)),0)))</f>
        <v>0</v>
      </c>
      <c r="G2338" s="27">
        <f>IF(OR($B2338="",$C2338=""),"",$C2338*$F2338)</f>
        <v>0</v>
      </c>
      <c r="H2338" s="27">
        <f>IF(OR($B2338="",$C2338=""),"",$C2338*IFERROR(INDEX(PecCusto,MATCH($B2338,PecCod,0)),0))</f>
        <v>0</v>
      </c>
      <c r="I2338" s="32">
        <f>IF($A2338="","",IFERROR(INDEX(OSStatus,MATCH($A2338,OSNum,0)),"OS inexistente"))</f>
        <v>0</v>
      </c>
      <c r="J2338" s="32">
        <f>IF($A2338="","",IF($I2338="OS inexistente","OS inexistente",IF($E2338="Peça não cadastrada","Peça não cadastrada","OK")))</f>
        <v>0</v>
      </c>
    </row>
    <row r="2339" spans="1:10">
      <c r="A2339" s="17"/>
      <c r="B2339" s="13"/>
      <c r="C2339" s="20"/>
      <c r="D2339" s="19"/>
      <c r="E2339" s="26">
        <f>IF($B2339="","",IFERROR(INDEX(PecDesc,MATCH($B2339,PecCod,0)),"Peça não cadastrada"))</f>
        <v>0</v>
      </c>
      <c r="F2339" s="27">
        <f>IF($B2339="","",IF($D2339&lt;&gt;"",$D2339,IFERROR(INDEX(PecPreco,MATCH($B2339,PecCod,0)),0)))</f>
        <v>0</v>
      </c>
      <c r="G2339" s="27">
        <f>IF(OR($B2339="",$C2339=""),"",$C2339*$F2339)</f>
        <v>0</v>
      </c>
      <c r="H2339" s="27">
        <f>IF(OR($B2339="",$C2339=""),"",$C2339*IFERROR(INDEX(PecCusto,MATCH($B2339,PecCod,0)),0))</f>
        <v>0</v>
      </c>
      <c r="I2339" s="32">
        <f>IF($A2339="","",IFERROR(INDEX(OSStatus,MATCH($A2339,OSNum,0)),"OS inexistente"))</f>
        <v>0</v>
      </c>
      <c r="J2339" s="32">
        <f>IF($A2339="","",IF($I2339="OS inexistente","OS inexistente",IF($E2339="Peça não cadastrada","Peça não cadastrada","OK")))</f>
        <v>0</v>
      </c>
    </row>
    <row r="2340" spans="1:10">
      <c r="A2340" s="17"/>
      <c r="B2340" s="13"/>
      <c r="C2340" s="20"/>
      <c r="D2340" s="19"/>
      <c r="E2340" s="26">
        <f>IF($B2340="","",IFERROR(INDEX(PecDesc,MATCH($B2340,PecCod,0)),"Peça não cadastrada"))</f>
        <v>0</v>
      </c>
      <c r="F2340" s="27">
        <f>IF($B2340="","",IF($D2340&lt;&gt;"",$D2340,IFERROR(INDEX(PecPreco,MATCH($B2340,PecCod,0)),0)))</f>
        <v>0</v>
      </c>
      <c r="G2340" s="27">
        <f>IF(OR($B2340="",$C2340=""),"",$C2340*$F2340)</f>
        <v>0</v>
      </c>
      <c r="H2340" s="27">
        <f>IF(OR($B2340="",$C2340=""),"",$C2340*IFERROR(INDEX(PecCusto,MATCH($B2340,PecCod,0)),0))</f>
        <v>0</v>
      </c>
      <c r="I2340" s="32">
        <f>IF($A2340="","",IFERROR(INDEX(OSStatus,MATCH($A2340,OSNum,0)),"OS inexistente"))</f>
        <v>0</v>
      </c>
      <c r="J2340" s="32">
        <f>IF($A2340="","",IF($I2340="OS inexistente","OS inexistente",IF($E2340="Peça não cadastrada","Peça não cadastrada","OK")))</f>
        <v>0</v>
      </c>
    </row>
    <row r="2341" spans="1:10">
      <c r="A2341" s="17"/>
      <c r="B2341" s="13"/>
      <c r="C2341" s="20"/>
      <c r="D2341" s="19"/>
      <c r="E2341" s="26">
        <f>IF($B2341="","",IFERROR(INDEX(PecDesc,MATCH($B2341,PecCod,0)),"Peça não cadastrada"))</f>
        <v>0</v>
      </c>
      <c r="F2341" s="27">
        <f>IF($B2341="","",IF($D2341&lt;&gt;"",$D2341,IFERROR(INDEX(PecPreco,MATCH($B2341,PecCod,0)),0)))</f>
        <v>0</v>
      </c>
      <c r="G2341" s="27">
        <f>IF(OR($B2341="",$C2341=""),"",$C2341*$F2341)</f>
        <v>0</v>
      </c>
      <c r="H2341" s="27">
        <f>IF(OR($B2341="",$C2341=""),"",$C2341*IFERROR(INDEX(PecCusto,MATCH($B2341,PecCod,0)),0))</f>
        <v>0</v>
      </c>
      <c r="I2341" s="32">
        <f>IF($A2341="","",IFERROR(INDEX(OSStatus,MATCH($A2341,OSNum,0)),"OS inexistente"))</f>
        <v>0</v>
      </c>
      <c r="J2341" s="32">
        <f>IF($A2341="","",IF($I2341="OS inexistente","OS inexistente",IF($E2341="Peça não cadastrada","Peça não cadastrada","OK")))</f>
        <v>0</v>
      </c>
    </row>
    <row r="2342" spans="1:10">
      <c r="A2342" s="17"/>
      <c r="B2342" s="13"/>
      <c r="C2342" s="20"/>
      <c r="D2342" s="19"/>
      <c r="E2342" s="26">
        <f>IF($B2342="","",IFERROR(INDEX(PecDesc,MATCH($B2342,PecCod,0)),"Peça não cadastrada"))</f>
        <v>0</v>
      </c>
      <c r="F2342" s="27">
        <f>IF($B2342="","",IF($D2342&lt;&gt;"",$D2342,IFERROR(INDEX(PecPreco,MATCH($B2342,PecCod,0)),0)))</f>
        <v>0</v>
      </c>
      <c r="G2342" s="27">
        <f>IF(OR($B2342="",$C2342=""),"",$C2342*$F2342)</f>
        <v>0</v>
      </c>
      <c r="H2342" s="27">
        <f>IF(OR($B2342="",$C2342=""),"",$C2342*IFERROR(INDEX(PecCusto,MATCH($B2342,PecCod,0)),0))</f>
        <v>0</v>
      </c>
      <c r="I2342" s="32">
        <f>IF($A2342="","",IFERROR(INDEX(OSStatus,MATCH($A2342,OSNum,0)),"OS inexistente"))</f>
        <v>0</v>
      </c>
      <c r="J2342" s="32">
        <f>IF($A2342="","",IF($I2342="OS inexistente","OS inexistente",IF($E2342="Peça não cadastrada","Peça não cadastrada","OK")))</f>
        <v>0</v>
      </c>
    </row>
    <row r="2343" spans="1:10">
      <c r="A2343" s="17"/>
      <c r="B2343" s="13"/>
      <c r="C2343" s="20"/>
      <c r="D2343" s="19"/>
      <c r="E2343" s="26">
        <f>IF($B2343="","",IFERROR(INDEX(PecDesc,MATCH($B2343,PecCod,0)),"Peça não cadastrada"))</f>
        <v>0</v>
      </c>
      <c r="F2343" s="27">
        <f>IF($B2343="","",IF($D2343&lt;&gt;"",$D2343,IFERROR(INDEX(PecPreco,MATCH($B2343,PecCod,0)),0)))</f>
        <v>0</v>
      </c>
      <c r="G2343" s="27">
        <f>IF(OR($B2343="",$C2343=""),"",$C2343*$F2343)</f>
        <v>0</v>
      </c>
      <c r="H2343" s="27">
        <f>IF(OR($B2343="",$C2343=""),"",$C2343*IFERROR(INDEX(PecCusto,MATCH($B2343,PecCod,0)),0))</f>
        <v>0</v>
      </c>
      <c r="I2343" s="32">
        <f>IF($A2343="","",IFERROR(INDEX(OSStatus,MATCH($A2343,OSNum,0)),"OS inexistente"))</f>
        <v>0</v>
      </c>
      <c r="J2343" s="32">
        <f>IF($A2343="","",IF($I2343="OS inexistente","OS inexistente",IF($E2343="Peça não cadastrada","Peça não cadastrada","OK")))</f>
        <v>0</v>
      </c>
    </row>
    <row r="2344" spans="1:10">
      <c r="A2344" s="17"/>
      <c r="B2344" s="13"/>
      <c r="C2344" s="20"/>
      <c r="D2344" s="19"/>
      <c r="E2344" s="26">
        <f>IF($B2344="","",IFERROR(INDEX(PecDesc,MATCH($B2344,PecCod,0)),"Peça não cadastrada"))</f>
        <v>0</v>
      </c>
      <c r="F2344" s="27">
        <f>IF($B2344="","",IF($D2344&lt;&gt;"",$D2344,IFERROR(INDEX(PecPreco,MATCH($B2344,PecCod,0)),0)))</f>
        <v>0</v>
      </c>
      <c r="G2344" s="27">
        <f>IF(OR($B2344="",$C2344=""),"",$C2344*$F2344)</f>
        <v>0</v>
      </c>
      <c r="H2344" s="27">
        <f>IF(OR($B2344="",$C2344=""),"",$C2344*IFERROR(INDEX(PecCusto,MATCH($B2344,PecCod,0)),0))</f>
        <v>0</v>
      </c>
      <c r="I2344" s="32">
        <f>IF($A2344="","",IFERROR(INDEX(OSStatus,MATCH($A2344,OSNum,0)),"OS inexistente"))</f>
        <v>0</v>
      </c>
      <c r="J2344" s="32">
        <f>IF($A2344="","",IF($I2344="OS inexistente","OS inexistente",IF($E2344="Peça não cadastrada","Peça não cadastrada","OK")))</f>
        <v>0</v>
      </c>
    </row>
    <row r="2345" spans="1:10">
      <c r="A2345" s="17"/>
      <c r="B2345" s="13"/>
      <c r="C2345" s="20"/>
      <c r="D2345" s="19"/>
      <c r="E2345" s="26">
        <f>IF($B2345="","",IFERROR(INDEX(PecDesc,MATCH($B2345,PecCod,0)),"Peça não cadastrada"))</f>
        <v>0</v>
      </c>
      <c r="F2345" s="27">
        <f>IF($B2345="","",IF($D2345&lt;&gt;"",$D2345,IFERROR(INDEX(PecPreco,MATCH($B2345,PecCod,0)),0)))</f>
        <v>0</v>
      </c>
      <c r="G2345" s="27">
        <f>IF(OR($B2345="",$C2345=""),"",$C2345*$F2345)</f>
        <v>0</v>
      </c>
      <c r="H2345" s="27">
        <f>IF(OR($B2345="",$C2345=""),"",$C2345*IFERROR(INDEX(PecCusto,MATCH($B2345,PecCod,0)),0))</f>
        <v>0</v>
      </c>
      <c r="I2345" s="32">
        <f>IF($A2345="","",IFERROR(INDEX(OSStatus,MATCH($A2345,OSNum,0)),"OS inexistente"))</f>
        <v>0</v>
      </c>
      <c r="J2345" s="32">
        <f>IF($A2345="","",IF($I2345="OS inexistente","OS inexistente",IF($E2345="Peça não cadastrada","Peça não cadastrada","OK")))</f>
        <v>0</v>
      </c>
    </row>
    <row r="2346" spans="1:10">
      <c r="A2346" s="17"/>
      <c r="B2346" s="13"/>
      <c r="C2346" s="20"/>
      <c r="D2346" s="19"/>
      <c r="E2346" s="26">
        <f>IF($B2346="","",IFERROR(INDEX(PecDesc,MATCH($B2346,PecCod,0)),"Peça não cadastrada"))</f>
        <v>0</v>
      </c>
      <c r="F2346" s="27">
        <f>IF($B2346="","",IF($D2346&lt;&gt;"",$D2346,IFERROR(INDEX(PecPreco,MATCH($B2346,PecCod,0)),0)))</f>
        <v>0</v>
      </c>
      <c r="G2346" s="27">
        <f>IF(OR($B2346="",$C2346=""),"",$C2346*$F2346)</f>
        <v>0</v>
      </c>
      <c r="H2346" s="27">
        <f>IF(OR($B2346="",$C2346=""),"",$C2346*IFERROR(INDEX(PecCusto,MATCH($B2346,PecCod,0)),0))</f>
        <v>0</v>
      </c>
      <c r="I2346" s="32">
        <f>IF($A2346="","",IFERROR(INDEX(OSStatus,MATCH($A2346,OSNum,0)),"OS inexistente"))</f>
        <v>0</v>
      </c>
      <c r="J2346" s="32">
        <f>IF($A2346="","",IF($I2346="OS inexistente","OS inexistente",IF($E2346="Peça não cadastrada","Peça não cadastrada","OK")))</f>
        <v>0</v>
      </c>
    </row>
    <row r="2347" spans="1:10">
      <c r="A2347" s="17"/>
      <c r="B2347" s="13"/>
      <c r="C2347" s="20"/>
      <c r="D2347" s="19"/>
      <c r="E2347" s="26">
        <f>IF($B2347="","",IFERROR(INDEX(PecDesc,MATCH($B2347,PecCod,0)),"Peça não cadastrada"))</f>
        <v>0</v>
      </c>
      <c r="F2347" s="27">
        <f>IF($B2347="","",IF($D2347&lt;&gt;"",$D2347,IFERROR(INDEX(PecPreco,MATCH($B2347,PecCod,0)),0)))</f>
        <v>0</v>
      </c>
      <c r="G2347" s="27">
        <f>IF(OR($B2347="",$C2347=""),"",$C2347*$F2347)</f>
        <v>0</v>
      </c>
      <c r="H2347" s="27">
        <f>IF(OR($B2347="",$C2347=""),"",$C2347*IFERROR(INDEX(PecCusto,MATCH($B2347,PecCod,0)),0))</f>
        <v>0</v>
      </c>
      <c r="I2347" s="32">
        <f>IF($A2347="","",IFERROR(INDEX(OSStatus,MATCH($A2347,OSNum,0)),"OS inexistente"))</f>
        <v>0</v>
      </c>
      <c r="J2347" s="32">
        <f>IF($A2347="","",IF($I2347="OS inexistente","OS inexistente",IF($E2347="Peça não cadastrada","Peça não cadastrada","OK")))</f>
        <v>0</v>
      </c>
    </row>
    <row r="2348" spans="1:10">
      <c r="A2348" s="17"/>
      <c r="B2348" s="13"/>
      <c r="C2348" s="20"/>
      <c r="D2348" s="19"/>
      <c r="E2348" s="26">
        <f>IF($B2348="","",IFERROR(INDEX(PecDesc,MATCH($B2348,PecCod,0)),"Peça não cadastrada"))</f>
        <v>0</v>
      </c>
      <c r="F2348" s="27">
        <f>IF($B2348="","",IF($D2348&lt;&gt;"",$D2348,IFERROR(INDEX(PecPreco,MATCH($B2348,PecCod,0)),0)))</f>
        <v>0</v>
      </c>
      <c r="G2348" s="27">
        <f>IF(OR($B2348="",$C2348=""),"",$C2348*$F2348)</f>
        <v>0</v>
      </c>
      <c r="H2348" s="27">
        <f>IF(OR($B2348="",$C2348=""),"",$C2348*IFERROR(INDEX(PecCusto,MATCH($B2348,PecCod,0)),0))</f>
        <v>0</v>
      </c>
      <c r="I2348" s="32">
        <f>IF($A2348="","",IFERROR(INDEX(OSStatus,MATCH($A2348,OSNum,0)),"OS inexistente"))</f>
        <v>0</v>
      </c>
      <c r="J2348" s="32">
        <f>IF($A2348="","",IF($I2348="OS inexistente","OS inexistente",IF($E2348="Peça não cadastrada","Peça não cadastrada","OK")))</f>
        <v>0</v>
      </c>
    </row>
    <row r="2349" spans="1:10">
      <c r="A2349" s="17"/>
      <c r="B2349" s="13"/>
      <c r="C2349" s="20"/>
      <c r="D2349" s="19"/>
      <c r="E2349" s="26">
        <f>IF($B2349="","",IFERROR(INDEX(PecDesc,MATCH($B2349,PecCod,0)),"Peça não cadastrada"))</f>
        <v>0</v>
      </c>
      <c r="F2349" s="27">
        <f>IF($B2349="","",IF($D2349&lt;&gt;"",$D2349,IFERROR(INDEX(PecPreco,MATCH($B2349,PecCod,0)),0)))</f>
        <v>0</v>
      </c>
      <c r="G2349" s="27">
        <f>IF(OR($B2349="",$C2349=""),"",$C2349*$F2349)</f>
        <v>0</v>
      </c>
      <c r="H2349" s="27">
        <f>IF(OR($B2349="",$C2349=""),"",$C2349*IFERROR(INDEX(PecCusto,MATCH($B2349,PecCod,0)),0))</f>
        <v>0</v>
      </c>
      <c r="I2349" s="32">
        <f>IF($A2349="","",IFERROR(INDEX(OSStatus,MATCH($A2349,OSNum,0)),"OS inexistente"))</f>
        <v>0</v>
      </c>
      <c r="J2349" s="32">
        <f>IF($A2349="","",IF($I2349="OS inexistente","OS inexistente",IF($E2349="Peça não cadastrada","Peça não cadastrada","OK")))</f>
        <v>0</v>
      </c>
    </row>
    <row r="2350" spans="1:10">
      <c r="A2350" s="17"/>
      <c r="B2350" s="13"/>
      <c r="C2350" s="20"/>
      <c r="D2350" s="19"/>
      <c r="E2350" s="26">
        <f>IF($B2350="","",IFERROR(INDEX(PecDesc,MATCH($B2350,PecCod,0)),"Peça não cadastrada"))</f>
        <v>0</v>
      </c>
      <c r="F2350" s="27">
        <f>IF($B2350="","",IF($D2350&lt;&gt;"",$D2350,IFERROR(INDEX(PecPreco,MATCH($B2350,PecCod,0)),0)))</f>
        <v>0</v>
      </c>
      <c r="G2350" s="27">
        <f>IF(OR($B2350="",$C2350=""),"",$C2350*$F2350)</f>
        <v>0</v>
      </c>
      <c r="H2350" s="27">
        <f>IF(OR($B2350="",$C2350=""),"",$C2350*IFERROR(INDEX(PecCusto,MATCH($B2350,PecCod,0)),0))</f>
        <v>0</v>
      </c>
      <c r="I2350" s="32">
        <f>IF($A2350="","",IFERROR(INDEX(OSStatus,MATCH($A2350,OSNum,0)),"OS inexistente"))</f>
        <v>0</v>
      </c>
      <c r="J2350" s="32">
        <f>IF($A2350="","",IF($I2350="OS inexistente","OS inexistente",IF($E2350="Peça não cadastrada","Peça não cadastrada","OK")))</f>
        <v>0</v>
      </c>
    </row>
    <row r="2351" spans="1:10">
      <c r="A2351" s="17"/>
      <c r="B2351" s="13"/>
      <c r="C2351" s="20"/>
      <c r="D2351" s="19"/>
      <c r="E2351" s="26">
        <f>IF($B2351="","",IFERROR(INDEX(PecDesc,MATCH($B2351,PecCod,0)),"Peça não cadastrada"))</f>
        <v>0</v>
      </c>
      <c r="F2351" s="27">
        <f>IF($B2351="","",IF($D2351&lt;&gt;"",$D2351,IFERROR(INDEX(PecPreco,MATCH($B2351,PecCod,0)),0)))</f>
        <v>0</v>
      </c>
      <c r="G2351" s="27">
        <f>IF(OR($B2351="",$C2351=""),"",$C2351*$F2351)</f>
        <v>0</v>
      </c>
      <c r="H2351" s="27">
        <f>IF(OR($B2351="",$C2351=""),"",$C2351*IFERROR(INDEX(PecCusto,MATCH($B2351,PecCod,0)),0))</f>
        <v>0</v>
      </c>
      <c r="I2351" s="32">
        <f>IF($A2351="","",IFERROR(INDEX(OSStatus,MATCH($A2351,OSNum,0)),"OS inexistente"))</f>
        <v>0</v>
      </c>
      <c r="J2351" s="32">
        <f>IF($A2351="","",IF($I2351="OS inexistente","OS inexistente",IF($E2351="Peça não cadastrada","Peça não cadastrada","OK")))</f>
        <v>0</v>
      </c>
    </row>
    <row r="2352" spans="1:10">
      <c r="A2352" s="17"/>
      <c r="B2352" s="13"/>
      <c r="C2352" s="20"/>
      <c r="D2352" s="19"/>
      <c r="E2352" s="26">
        <f>IF($B2352="","",IFERROR(INDEX(PecDesc,MATCH($B2352,PecCod,0)),"Peça não cadastrada"))</f>
        <v>0</v>
      </c>
      <c r="F2352" s="27">
        <f>IF($B2352="","",IF($D2352&lt;&gt;"",$D2352,IFERROR(INDEX(PecPreco,MATCH($B2352,PecCod,0)),0)))</f>
        <v>0</v>
      </c>
      <c r="G2352" s="27">
        <f>IF(OR($B2352="",$C2352=""),"",$C2352*$F2352)</f>
        <v>0</v>
      </c>
      <c r="H2352" s="27">
        <f>IF(OR($B2352="",$C2352=""),"",$C2352*IFERROR(INDEX(PecCusto,MATCH($B2352,PecCod,0)),0))</f>
        <v>0</v>
      </c>
      <c r="I2352" s="32">
        <f>IF($A2352="","",IFERROR(INDEX(OSStatus,MATCH($A2352,OSNum,0)),"OS inexistente"))</f>
        <v>0</v>
      </c>
      <c r="J2352" s="32">
        <f>IF($A2352="","",IF($I2352="OS inexistente","OS inexistente",IF($E2352="Peça não cadastrada","Peça não cadastrada","OK")))</f>
        <v>0</v>
      </c>
    </row>
    <row r="2353" spans="1:10">
      <c r="A2353" s="17"/>
      <c r="B2353" s="13"/>
      <c r="C2353" s="20"/>
      <c r="D2353" s="19"/>
      <c r="E2353" s="26">
        <f>IF($B2353="","",IFERROR(INDEX(PecDesc,MATCH($B2353,PecCod,0)),"Peça não cadastrada"))</f>
        <v>0</v>
      </c>
      <c r="F2353" s="27">
        <f>IF($B2353="","",IF($D2353&lt;&gt;"",$D2353,IFERROR(INDEX(PecPreco,MATCH($B2353,PecCod,0)),0)))</f>
        <v>0</v>
      </c>
      <c r="G2353" s="27">
        <f>IF(OR($B2353="",$C2353=""),"",$C2353*$F2353)</f>
        <v>0</v>
      </c>
      <c r="H2353" s="27">
        <f>IF(OR($B2353="",$C2353=""),"",$C2353*IFERROR(INDEX(PecCusto,MATCH($B2353,PecCod,0)),0))</f>
        <v>0</v>
      </c>
      <c r="I2353" s="32">
        <f>IF($A2353="","",IFERROR(INDEX(OSStatus,MATCH($A2353,OSNum,0)),"OS inexistente"))</f>
        <v>0</v>
      </c>
      <c r="J2353" s="32">
        <f>IF($A2353="","",IF($I2353="OS inexistente","OS inexistente",IF($E2353="Peça não cadastrada","Peça não cadastrada","OK")))</f>
        <v>0</v>
      </c>
    </row>
    <row r="2354" spans="1:10">
      <c r="A2354" s="17"/>
      <c r="B2354" s="13"/>
      <c r="C2354" s="20"/>
      <c r="D2354" s="19"/>
      <c r="E2354" s="26">
        <f>IF($B2354="","",IFERROR(INDEX(PecDesc,MATCH($B2354,PecCod,0)),"Peça não cadastrada"))</f>
        <v>0</v>
      </c>
      <c r="F2354" s="27">
        <f>IF($B2354="","",IF($D2354&lt;&gt;"",$D2354,IFERROR(INDEX(PecPreco,MATCH($B2354,PecCod,0)),0)))</f>
        <v>0</v>
      </c>
      <c r="G2354" s="27">
        <f>IF(OR($B2354="",$C2354=""),"",$C2354*$F2354)</f>
        <v>0</v>
      </c>
      <c r="H2354" s="27">
        <f>IF(OR($B2354="",$C2354=""),"",$C2354*IFERROR(INDEX(PecCusto,MATCH($B2354,PecCod,0)),0))</f>
        <v>0</v>
      </c>
      <c r="I2354" s="32">
        <f>IF($A2354="","",IFERROR(INDEX(OSStatus,MATCH($A2354,OSNum,0)),"OS inexistente"))</f>
        <v>0</v>
      </c>
      <c r="J2354" s="32">
        <f>IF($A2354="","",IF($I2354="OS inexistente","OS inexistente",IF($E2354="Peça não cadastrada","Peça não cadastrada","OK")))</f>
        <v>0</v>
      </c>
    </row>
    <row r="2355" spans="1:10">
      <c r="A2355" s="17"/>
      <c r="B2355" s="13"/>
      <c r="C2355" s="20"/>
      <c r="D2355" s="19"/>
      <c r="E2355" s="26">
        <f>IF($B2355="","",IFERROR(INDEX(PecDesc,MATCH($B2355,PecCod,0)),"Peça não cadastrada"))</f>
        <v>0</v>
      </c>
      <c r="F2355" s="27">
        <f>IF($B2355="","",IF($D2355&lt;&gt;"",$D2355,IFERROR(INDEX(PecPreco,MATCH($B2355,PecCod,0)),0)))</f>
        <v>0</v>
      </c>
      <c r="G2355" s="27">
        <f>IF(OR($B2355="",$C2355=""),"",$C2355*$F2355)</f>
        <v>0</v>
      </c>
      <c r="H2355" s="27">
        <f>IF(OR($B2355="",$C2355=""),"",$C2355*IFERROR(INDEX(PecCusto,MATCH($B2355,PecCod,0)),0))</f>
        <v>0</v>
      </c>
      <c r="I2355" s="32">
        <f>IF($A2355="","",IFERROR(INDEX(OSStatus,MATCH($A2355,OSNum,0)),"OS inexistente"))</f>
        <v>0</v>
      </c>
      <c r="J2355" s="32">
        <f>IF($A2355="","",IF($I2355="OS inexistente","OS inexistente",IF($E2355="Peça não cadastrada","Peça não cadastrada","OK")))</f>
        <v>0</v>
      </c>
    </row>
    <row r="2356" spans="1:10">
      <c r="A2356" s="17"/>
      <c r="B2356" s="13"/>
      <c r="C2356" s="20"/>
      <c r="D2356" s="19"/>
      <c r="E2356" s="26">
        <f>IF($B2356="","",IFERROR(INDEX(PecDesc,MATCH($B2356,PecCod,0)),"Peça não cadastrada"))</f>
        <v>0</v>
      </c>
      <c r="F2356" s="27">
        <f>IF($B2356="","",IF($D2356&lt;&gt;"",$D2356,IFERROR(INDEX(PecPreco,MATCH($B2356,PecCod,0)),0)))</f>
        <v>0</v>
      </c>
      <c r="G2356" s="27">
        <f>IF(OR($B2356="",$C2356=""),"",$C2356*$F2356)</f>
        <v>0</v>
      </c>
      <c r="H2356" s="27">
        <f>IF(OR($B2356="",$C2356=""),"",$C2356*IFERROR(INDEX(PecCusto,MATCH($B2356,PecCod,0)),0))</f>
        <v>0</v>
      </c>
      <c r="I2356" s="32">
        <f>IF($A2356="","",IFERROR(INDEX(OSStatus,MATCH($A2356,OSNum,0)),"OS inexistente"))</f>
        <v>0</v>
      </c>
      <c r="J2356" s="32">
        <f>IF($A2356="","",IF($I2356="OS inexistente","OS inexistente",IF($E2356="Peça não cadastrada","Peça não cadastrada","OK")))</f>
        <v>0</v>
      </c>
    </row>
    <row r="2357" spans="1:10">
      <c r="A2357" s="17"/>
      <c r="B2357" s="13"/>
      <c r="C2357" s="20"/>
      <c r="D2357" s="19"/>
      <c r="E2357" s="26">
        <f>IF($B2357="","",IFERROR(INDEX(PecDesc,MATCH($B2357,PecCod,0)),"Peça não cadastrada"))</f>
        <v>0</v>
      </c>
      <c r="F2357" s="27">
        <f>IF($B2357="","",IF($D2357&lt;&gt;"",$D2357,IFERROR(INDEX(PecPreco,MATCH($B2357,PecCod,0)),0)))</f>
        <v>0</v>
      </c>
      <c r="G2357" s="27">
        <f>IF(OR($B2357="",$C2357=""),"",$C2357*$F2357)</f>
        <v>0</v>
      </c>
      <c r="H2357" s="27">
        <f>IF(OR($B2357="",$C2357=""),"",$C2357*IFERROR(INDEX(PecCusto,MATCH($B2357,PecCod,0)),0))</f>
        <v>0</v>
      </c>
      <c r="I2357" s="32">
        <f>IF($A2357="","",IFERROR(INDEX(OSStatus,MATCH($A2357,OSNum,0)),"OS inexistente"))</f>
        <v>0</v>
      </c>
      <c r="J2357" s="32">
        <f>IF($A2357="","",IF($I2357="OS inexistente","OS inexistente",IF($E2357="Peça não cadastrada","Peça não cadastrada","OK")))</f>
        <v>0</v>
      </c>
    </row>
    <row r="2358" spans="1:10">
      <c r="A2358" s="17"/>
      <c r="B2358" s="13"/>
      <c r="C2358" s="20"/>
      <c r="D2358" s="19"/>
      <c r="E2358" s="26">
        <f>IF($B2358="","",IFERROR(INDEX(PecDesc,MATCH($B2358,PecCod,0)),"Peça não cadastrada"))</f>
        <v>0</v>
      </c>
      <c r="F2358" s="27">
        <f>IF($B2358="","",IF($D2358&lt;&gt;"",$D2358,IFERROR(INDEX(PecPreco,MATCH($B2358,PecCod,0)),0)))</f>
        <v>0</v>
      </c>
      <c r="G2358" s="27">
        <f>IF(OR($B2358="",$C2358=""),"",$C2358*$F2358)</f>
        <v>0</v>
      </c>
      <c r="H2358" s="27">
        <f>IF(OR($B2358="",$C2358=""),"",$C2358*IFERROR(INDEX(PecCusto,MATCH($B2358,PecCod,0)),0))</f>
        <v>0</v>
      </c>
      <c r="I2358" s="32">
        <f>IF($A2358="","",IFERROR(INDEX(OSStatus,MATCH($A2358,OSNum,0)),"OS inexistente"))</f>
        <v>0</v>
      </c>
      <c r="J2358" s="32">
        <f>IF($A2358="","",IF($I2358="OS inexistente","OS inexistente",IF($E2358="Peça não cadastrada","Peça não cadastrada","OK")))</f>
        <v>0</v>
      </c>
    </row>
    <row r="2359" spans="1:10">
      <c r="A2359" s="17"/>
      <c r="B2359" s="13"/>
      <c r="C2359" s="20"/>
      <c r="D2359" s="19"/>
      <c r="E2359" s="26">
        <f>IF($B2359="","",IFERROR(INDEX(PecDesc,MATCH($B2359,PecCod,0)),"Peça não cadastrada"))</f>
        <v>0</v>
      </c>
      <c r="F2359" s="27">
        <f>IF($B2359="","",IF($D2359&lt;&gt;"",$D2359,IFERROR(INDEX(PecPreco,MATCH($B2359,PecCod,0)),0)))</f>
        <v>0</v>
      </c>
      <c r="G2359" s="27">
        <f>IF(OR($B2359="",$C2359=""),"",$C2359*$F2359)</f>
        <v>0</v>
      </c>
      <c r="H2359" s="27">
        <f>IF(OR($B2359="",$C2359=""),"",$C2359*IFERROR(INDEX(PecCusto,MATCH($B2359,PecCod,0)),0))</f>
        <v>0</v>
      </c>
      <c r="I2359" s="32">
        <f>IF($A2359="","",IFERROR(INDEX(OSStatus,MATCH($A2359,OSNum,0)),"OS inexistente"))</f>
        <v>0</v>
      </c>
      <c r="J2359" s="32">
        <f>IF($A2359="","",IF($I2359="OS inexistente","OS inexistente",IF($E2359="Peça não cadastrada","Peça não cadastrada","OK")))</f>
        <v>0</v>
      </c>
    </row>
    <row r="2360" spans="1:10">
      <c r="A2360" s="17"/>
      <c r="B2360" s="13"/>
      <c r="C2360" s="20"/>
      <c r="D2360" s="19"/>
      <c r="E2360" s="26">
        <f>IF($B2360="","",IFERROR(INDEX(PecDesc,MATCH($B2360,PecCod,0)),"Peça não cadastrada"))</f>
        <v>0</v>
      </c>
      <c r="F2360" s="27">
        <f>IF($B2360="","",IF($D2360&lt;&gt;"",$D2360,IFERROR(INDEX(PecPreco,MATCH($B2360,PecCod,0)),0)))</f>
        <v>0</v>
      </c>
      <c r="G2360" s="27">
        <f>IF(OR($B2360="",$C2360=""),"",$C2360*$F2360)</f>
        <v>0</v>
      </c>
      <c r="H2360" s="27">
        <f>IF(OR($B2360="",$C2360=""),"",$C2360*IFERROR(INDEX(PecCusto,MATCH($B2360,PecCod,0)),0))</f>
        <v>0</v>
      </c>
      <c r="I2360" s="32">
        <f>IF($A2360="","",IFERROR(INDEX(OSStatus,MATCH($A2360,OSNum,0)),"OS inexistente"))</f>
        <v>0</v>
      </c>
      <c r="J2360" s="32">
        <f>IF($A2360="","",IF($I2360="OS inexistente","OS inexistente",IF($E2360="Peça não cadastrada","Peça não cadastrada","OK")))</f>
        <v>0</v>
      </c>
    </row>
    <row r="2361" spans="1:10">
      <c r="A2361" s="17"/>
      <c r="B2361" s="13"/>
      <c r="C2361" s="20"/>
      <c r="D2361" s="19"/>
      <c r="E2361" s="26">
        <f>IF($B2361="","",IFERROR(INDEX(PecDesc,MATCH($B2361,PecCod,0)),"Peça não cadastrada"))</f>
        <v>0</v>
      </c>
      <c r="F2361" s="27">
        <f>IF($B2361="","",IF($D2361&lt;&gt;"",$D2361,IFERROR(INDEX(PecPreco,MATCH($B2361,PecCod,0)),0)))</f>
        <v>0</v>
      </c>
      <c r="G2361" s="27">
        <f>IF(OR($B2361="",$C2361=""),"",$C2361*$F2361)</f>
        <v>0</v>
      </c>
      <c r="H2361" s="27">
        <f>IF(OR($B2361="",$C2361=""),"",$C2361*IFERROR(INDEX(PecCusto,MATCH($B2361,PecCod,0)),0))</f>
        <v>0</v>
      </c>
      <c r="I2361" s="32">
        <f>IF($A2361="","",IFERROR(INDEX(OSStatus,MATCH($A2361,OSNum,0)),"OS inexistente"))</f>
        <v>0</v>
      </c>
      <c r="J2361" s="32">
        <f>IF($A2361="","",IF($I2361="OS inexistente","OS inexistente",IF($E2361="Peça não cadastrada","Peça não cadastrada","OK")))</f>
        <v>0</v>
      </c>
    </row>
    <row r="2362" spans="1:10">
      <c r="A2362" s="17"/>
      <c r="B2362" s="13"/>
      <c r="C2362" s="20"/>
      <c r="D2362" s="19"/>
      <c r="E2362" s="26">
        <f>IF($B2362="","",IFERROR(INDEX(PecDesc,MATCH($B2362,PecCod,0)),"Peça não cadastrada"))</f>
        <v>0</v>
      </c>
      <c r="F2362" s="27">
        <f>IF($B2362="","",IF($D2362&lt;&gt;"",$D2362,IFERROR(INDEX(PecPreco,MATCH($B2362,PecCod,0)),0)))</f>
        <v>0</v>
      </c>
      <c r="G2362" s="27">
        <f>IF(OR($B2362="",$C2362=""),"",$C2362*$F2362)</f>
        <v>0</v>
      </c>
      <c r="H2362" s="27">
        <f>IF(OR($B2362="",$C2362=""),"",$C2362*IFERROR(INDEX(PecCusto,MATCH($B2362,PecCod,0)),0))</f>
        <v>0</v>
      </c>
      <c r="I2362" s="32">
        <f>IF($A2362="","",IFERROR(INDEX(OSStatus,MATCH($A2362,OSNum,0)),"OS inexistente"))</f>
        <v>0</v>
      </c>
      <c r="J2362" s="32">
        <f>IF($A2362="","",IF($I2362="OS inexistente","OS inexistente",IF($E2362="Peça não cadastrada","Peça não cadastrada","OK")))</f>
        <v>0</v>
      </c>
    </row>
    <row r="2363" spans="1:10">
      <c r="A2363" s="17"/>
      <c r="B2363" s="13"/>
      <c r="C2363" s="20"/>
      <c r="D2363" s="19"/>
      <c r="E2363" s="26">
        <f>IF($B2363="","",IFERROR(INDEX(PecDesc,MATCH($B2363,PecCod,0)),"Peça não cadastrada"))</f>
        <v>0</v>
      </c>
      <c r="F2363" s="27">
        <f>IF($B2363="","",IF($D2363&lt;&gt;"",$D2363,IFERROR(INDEX(PecPreco,MATCH($B2363,PecCod,0)),0)))</f>
        <v>0</v>
      </c>
      <c r="G2363" s="27">
        <f>IF(OR($B2363="",$C2363=""),"",$C2363*$F2363)</f>
        <v>0</v>
      </c>
      <c r="H2363" s="27">
        <f>IF(OR($B2363="",$C2363=""),"",$C2363*IFERROR(INDEX(PecCusto,MATCH($B2363,PecCod,0)),0))</f>
        <v>0</v>
      </c>
      <c r="I2363" s="32">
        <f>IF($A2363="","",IFERROR(INDEX(OSStatus,MATCH($A2363,OSNum,0)),"OS inexistente"))</f>
        <v>0</v>
      </c>
      <c r="J2363" s="32">
        <f>IF($A2363="","",IF($I2363="OS inexistente","OS inexistente",IF($E2363="Peça não cadastrada","Peça não cadastrada","OK")))</f>
        <v>0</v>
      </c>
    </row>
    <row r="2364" spans="1:10">
      <c r="A2364" s="17"/>
      <c r="B2364" s="13"/>
      <c r="C2364" s="20"/>
      <c r="D2364" s="19"/>
      <c r="E2364" s="26">
        <f>IF($B2364="","",IFERROR(INDEX(PecDesc,MATCH($B2364,PecCod,0)),"Peça não cadastrada"))</f>
        <v>0</v>
      </c>
      <c r="F2364" s="27">
        <f>IF($B2364="","",IF($D2364&lt;&gt;"",$D2364,IFERROR(INDEX(PecPreco,MATCH($B2364,PecCod,0)),0)))</f>
        <v>0</v>
      </c>
      <c r="G2364" s="27">
        <f>IF(OR($B2364="",$C2364=""),"",$C2364*$F2364)</f>
        <v>0</v>
      </c>
      <c r="H2364" s="27">
        <f>IF(OR($B2364="",$C2364=""),"",$C2364*IFERROR(INDEX(PecCusto,MATCH($B2364,PecCod,0)),0))</f>
        <v>0</v>
      </c>
      <c r="I2364" s="32">
        <f>IF($A2364="","",IFERROR(INDEX(OSStatus,MATCH($A2364,OSNum,0)),"OS inexistente"))</f>
        <v>0</v>
      </c>
      <c r="J2364" s="32">
        <f>IF($A2364="","",IF($I2364="OS inexistente","OS inexistente",IF($E2364="Peça não cadastrada","Peça não cadastrada","OK")))</f>
        <v>0</v>
      </c>
    </row>
    <row r="2365" spans="1:10">
      <c r="A2365" s="17"/>
      <c r="B2365" s="13"/>
      <c r="C2365" s="20"/>
      <c r="D2365" s="19"/>
      <c r="E2365" s="26">
        <f>IF($B2365="","",IFERROR(INDEX(PecDesc,MATCH($B2365,PecCod,0)),"Peça não cadastrada"))</f>
        <v>0</v>
      </c>
      <c r="F2365" s="27">
        <f>IF($B2365="","",IF($D2365&lt;&gt;"",$D2365,IFERROR(INDEX(PecPreco,MATCH($B2365,PecCod,0)),0)))</f>
        <v>0</v>
      </c>
      <c r="G2365" s="27">
        <f>IF(OR($B2365="",$C2365=""),"",$C2365*$F2365)</f>
        <v>0</v>
      </c>
      <c r="H2365" s="27">
        <f>IF(OR($B2365="",$C2365=""),"",$C2365*IFERROR(INDEX(PecCusto,MATCH($B2365,PecCod,0)),0))</f>
        <v>0</v>
      </c>
      <c r="I2365" s="32">
        <f>IF($A2365="","",IFERROR(INDEX(OSStatus,MATCH($A2365,OSNum,0)),"OS inexistente"))</f>
        <v>0</v>
      </c>
      <c r="J2365" s="32">
        <f>IF($A2365="","",IF($I2365="OS inexistente","OS inexistente",IF($E2365="Peça não cadastrada","Peça não cadastrada","OK")))</f>
        <v>0</v>
      </c>
    </row>
    <row r="2366" spans="1:10">
      <c r="A2366" s="17"/>
      <c r="B2366" s="13"/>
      <c r="C2366" s="20"/>
      <c r="D2366" s="19"/>
      <c r="E2366" s="26">
        <f>IF($B2366="","",IFERROR(INDEX(PecDesc,MATCH($B2366,PecCod,0)),"Peça não cadastrada"))</f>
        <v>0</v>
      </c>
      <c r="F2366" s="27">
        <f>IF($B2366="","",IF($D2366&lt;&gt;"",$D2366,IFERROR(INDEX(PecPreco,MATCH($B2366,PecCod,0)),0)))</f>
        <v>0</v>
      </c>
      <c r="G2366" s="27">
        <f>IF(OR($B2366="",$C2366=""),"",$C2366*$F2366)</f>
        <v>0</v>
      </c>
      <c r="H2366" s="27">
        <f>IF(OR($B2366="",$C2366=""),"",$C2366*IFERROR(INDEX(PecCusto,MATCH($B2366,PecCod,0)),0))</f>
        <v>0</v>
      </c>
      <c r="I2366" s="32">
        <f>IF($A2366="","",IFERROR(INDEX(OSStatus,MATCH($A2366,OSNum,0)),"OS inexistente"))</f>
        <v>0</v>
      </c>
      <c r="J2366" s="32">
        <f>IF($A2366="","",IF($I2366="OS inexistente","OS inexistente",IF($E2366="Peça não cadastrada","Peça não cadastrada","OK")))</f>
        <v>0</v>
      </c>
    </row>
    <row r="2367" spans="1:10">
      <c r="A2367" s="17"/>
      <c r="B2367" s="13"/>
      <c r="C2367" s="20"/>
      <c r="D2367" s="19"/>
      <c r="E2367" s="26">
        <f>IF($B2367="","",IFERROR(INDEX(PecDesc,MATCH($B2367,PecCod,0)),"Peça não cadastrada"))</f>
        <v>0</v>
      </c>
      <c r="F2367" s="27">
        <f>IF($B2367="","",IF($D2367&lt;&gt;"",$D2367,IFERROR(INDEX(PecPreco,MATCH($B2367,PecCod,0)),0)))</f>
        <v>0</v>
      </c>
      <c r="G2367" s="27">
        <f>IF(OR($B2367="",$C2367=""),"",$C2367*$F2367)</f>
        <v>0</v>
      </c>
      <c r="H2367" s="27">
        <f>IF(OR($B2367="",$C2367=""),"",$C2367*IFERROR(INDEX(PecCusto,MATCH($B2367,PecCod,0)),0))</f>
        <v>0</v>
      </c>
      <c r="I2367" s="32">
        <f>IF($A2367="","",IFERROR(INDEX(OSStatus,MATCH($A2367,OSNum,0)),"OS inexistente"))</f>
        <v>0</v>
      </c>
      <c r="J2367" s="32">
        <f>IF($A2367="","",IF($I2367="OS inexistente","OS inexistente",IF($E2367="Peça não cadastrada","Peça não cadastrada","OK")))</f>
        <v>0</v>
      </c>
    </row>
    <row r="2368" spans="1:10">
      <c r="A2368" s="17"/>
      <c r="B2368" s="13"/>
      <c r="C2368" s="20"/>
      <c r="D2368" s="19"/>
      <c r="E2368" s="26">
        <f>IF($B2368="","",IFERROR(INDEX(PecDesc,MATCH($B2368,PecCod,0)),"Peça não cadastrada"))</f>
        <v>0</v>
      </c>
      <c r="F2368" s="27">
        <f>IF($B2368="","",IF($D2368&lt;&gt;"",$D2368,IFERROR(INDEX(PecPreco,MATCH($B2368,PecCod,0)),0)))</f>
        <v>0</v>
      </c>
      <c r="G2368" s="27">
        <f>IF(OR($B2368="",$C2368=""),"",$C2368*$F2368)</f>
        <v>0</v>
      </c>
      <c r="H2368" s="27">
        <f>IF(OR($B2368="",$C2368=""),"",$C2368*IFERROR(INDEX(PecCusto,MATCH($B2368,PecCod,0)),0))</f>
        <v>0</v>
      </c>
      <c r="I2368" s="32">
        <f>IF($A2368="","",IFERROR(INDEX(OSStatus,MATCH($A2368,OSNum,0)),"OS inexistente"))</f>
        <v>0</v>
      </c>
      <c r="J2368" s="32">
        <f>IF($A2368="","",IF($I2368="OS inexistente","OS inexistente",IF($E2368="Peça não cadastrada","Peça não cadastrada","OK")))</f>
        <v>0</v>
      </c>
    </row>
    <row r="2369" spans="1:10">
      <c r="A2369" s="17"/>
      <c r="B2369" s="13"/>
      <c r="C2369" s="20"/>
      <c r="D2369" s="19"/>
      <c r="E2369" s="26">
        <f>IF($B2369="","",IFERROR(INDEX(PecDesc,MATCH($B2369,PecCod,0)),"Peça não cadastrada"))</f>
        <v>0</v>
      </c>
      <c r="F2369" s="27">
        <f>IF($B2369="","",IF($D2369&lt;&gt;"",$D2369,IFERROR(INDEX(PecPreco,MATCH($B2369,PecCod,0)),0)))</f>
        <v>0</v>
      </c>
      <c r="G2369" s="27">
        <f>IF(OR($B2369="",$C2369=""),"",$C2369*$F2369)</f>
        <v>0</v>
      </c>
      <c r="H2369" s="27">
        <f>IF(OR($B2369="",$C2369=""),"",$C2369*IFERROR(INDEX(PecCusto,MATCH($B2369,PecCod,0)),0))</f>
        <v>0</v>
      </c>
      <c r="I2369" s="32">
        <f>IF($A2369="","",IFERROR(INDEX(OSStatus,MATCH($A2369,OSNum,0)),"OS inexistente"))</f>
        <v>0</v>
      </c>
      <c r="J2369" s="32">
        <f>IF($A2369="","",IF($I2369="OS inexistente","OS inexistente",IF($E2369="Peça não cadastrada","Peça não cadastrada","OK")))</f>
        <v>0</v>
      </c>
    </row>
    <row r="2370" spans="1:10">
      <c r="A2370" s="17"/>
      <c r="B2370" s="13"/>
      <c r="C2370" s="20"/>
      <c r="D2370" s="19"/>
      <c r="E2370" s="26">
        <f>IF($B2370="","",IFERROR(INDEX(PecDesc,MATCH($B2370,PecCod,0)),"Peça não cadastrada"))</f>
        <v>0</v>
      </c>
      <c r="F2370" s="27">
        <f>IF($B2370="","",IF($D2370&lt;&gt;"",$D2370,IFERROR(INDEX(PecPreco,MATCH($B2370,PecCod,0)),0)))</f>
        <v>0</v>
      </c>
      <c r="G2370" s="27">
        <f>IF(OR($B2370="",$C2370=""),"",$C2370*$F2370)</f>
        <v>0</v>
      </c>
      <c r="H2370" s="27">
        <f>IF(OR($B2370="",$C2370=""),"",$C2370*IFERROR(INDEX(PecCusto,MATCH($B2370,PecCod,0)),0))</f>
        <v>0</v>
      </c>
      <c r="I2370" s="32">
        <f>IF($A2370="","",IFERROR(INDEX(OSStatus,MATCH($A2370,OSNum,0)),"OS inexistente"))</f>
        <v>0</v>
      </c>
      <c r="J2370" s="32">
        <f>IF($A2370="","",IF($I2370="OS inexistente","OS inexistente",IF($E2370="Peça não cadastrada","Peça não cadastrada","OK")))</f>
        <v>0</v>
      </c>
    </row>
    <row r="2371" spans="1:10">
      <c r="A2371" s="17"/>
      <c r="B2371" s="13"/>
      <c r="C2371" s="20"/>
      <c r="D2371" s="19"/>
      <c r="E2371" s="26">
        <f>IF($B2371="","",IFERROR(INDEX(PecDesc,MATCH($B2371,PecCod,0)),"Peça não cadastrada"))</f>
        <v>0</v>
      </c>
      <c r="F2371" s="27">
        <f>IF($B2371="","",IF($D2371&lt;&gt;"",$D2371,IFERROR(INDEX(PecPreco,MATCH($B2371,PecCod,0)),0)))</f>
        <v>0</v>
      </c>
      <c r="G2371" s="27">
        <f>IF(OR($B2371="",$C2371=""),"",$C2371*$F2371)</f>
        <v>0</v>
      </c>
      <c r="H2371" s="27">
        <f>IF(OR($B2371="",$C2371=""),"",$C2371*IFERROR(INDEX(PecCusto,MATCH($B2371,PecCod,0)),0))</f>
        <v>0</v>
      </c>
      <c r="I2371" s="32">
        <f>IF($A2371="","",IFERROR(INDEX(OSStatus,MATCH($A2371,OSNum,0)),"OS inexistente"))</f>
        <v>0</v>
      </c>
      <c r="J2371" s="32">
        <f>IF($A2371="","",IF($I2371="OS inexistente","OS inexistente",IF($E2371="Peça não cadastrada","Peça não cadastrada","OK")))</f>
        <v>0</v>
      </c>
    </row>
    <row r="2372" spans="1:10">
      <c r="A2372" s="17"/>
      <c r="B2372" s="13"/>
      <c r="C2372" s="20"/>
      <c r="D2372" s="19"/>
      <c r="E2372" s="26">
        <f>IF($B2372="","",IFERROR(INDEX(PecDesc,MATCH($B2372,PecCod,0)),"Peça não cadastrada"))</f>
        <v>0</v>
      </c>
      <c r="F2372" s="27">
        <f>IF($B2372="","",IF($D2372&lt;&gt;"",$D2372,IFERROR(INDEX(PecPreco,MATCH($B2372,PecCod,0)),0)))</f>
        <v>0</v>
      </c>
      <c r="G2372" s="27">
        <f>IF(OR($B2372="",$C2372=""),"",$C2372*$F2372)</f>
        <v>0</v>
      </c>
      <c r="H2372" s="27">
        <f>IF(OR($B2372="",$C2372=""),"",$C2372*IFERROR(INDEX(PecCusto,MATCH($B2372,PecCod,0)),0))</f>
        <v>0</v>
      </c>
      <c r="I2372" s="32">
        <f>IF($A2372="","",IFERROR(INDEX(OSStatus,MATCH($A2372,OSNum,0)),"OS inexistente"))</f>
        <v>0</v>
      </c>
      <c r="J2372" s="32">
        <f>IF($A2372="","",IF($I2372="OS inexistente","OS inexistente",IF($E2372="Peça não cadastrada","Peça não cadastrada","OK")))</f>
        <v>0</v>
      </c>
    </row>
    <row r="2373" spans="1:10">
      <c r="A2373" s="17"/>
      <c r="B2373" s="13"/>
      <c r="C2373" s="20"/>
      <c r="D2373" s="19"/>
      <c r="E2373" s="26">
        <f>IF($B2373="","",IFERROR(INDEX(PecDesc,MATCH($B2373,PecCod,0)),"Peça não cadastrada"))</f>
        <v>0</v>
      </c>
      <c r="F2373" s="27">
        <f>IF($B2373="","",IF($D2373&lt;&gt;"",$D2373,IFERROR(INDEX(PecPreco,MATCH($B2373,PecCod,0)),0)))</f>
        <v>0</v>
      </c>
      <c r="G2373" s="27">
        <f>IF(OR($B2373="",$C2373=""),"",$C2373*$F2373)</f>
        <v>0</v>
      </c>
      <c r="H2373" s="27">
        <f>IF(OR($B2373="",$C2373=""),"",$C2373*IFERROR(INDEX(PecCusto,MATCH($B2373,PecCod,0)),0))</f>
        <v>0</v>
      </c>
      <c r="I2373" s="32">
        <f>IF($A2373="","",IFERROR(INDEX(OSStatus,MATCH($A2373,OSNum,0)),"OS inexistente"))</f>
        <v>0</v>
      </c>
      <c r="J2373" s="32">
        <f>IF($A2373="","",IF($I2373="OS inexistente","OS inexistente",IF($E2373="Peça não cadastrada","Peça não cadastrada","OK")))</f>
        <v>0</v>
      </c>
    </row>
    <row r="2374" spans="1:10">
      <c r="A2374" s="17"/>
      <c r="B2374" s="13"/>
      <c r="C2374" s="20"/>
      <c r="D2374" s="19"/>
      <c r="E2374" s="26">
        <f>IF($B2374="","",IFERROR(INDEX(PecDesc,MATCH($B2374,PecCod,0)),"Peça não cadastrada"))</f>
        <v>0</v>
      </c>
      <c r="F2374" s="27">
        <f>IF($B2374="","",IF($D2374&lt;&gt;"",$D2374,IFERROR(INDEX(PecPreco,MATCH($B2374,PecCod,0)),0)))</f>
        <v>0</v>
      </c>
      <c r="G2374" s="27">
        <f>IF(OR($B2374="",$C2374=""),"",$C2374*$F2374)</f>
        <v>0</v>
      </c>
      <c r="H2374" s="27">
        <f>IF(OR($B2374="",$C2374=""),"",$C2374*IFERROR(INDEX(PecCusto,MATCH($B2374,PecCod,0)),0))</f>
        <v>0</v>
      </c>
      <c r="I2374" s="32">
        <f>IF($A2374="","",IFERROR(INDEX(OSStatus,MATCH($A2374,OSNum,0)),"OS inexistente"))</f>
        <v>0</v>
      </c>
      <c r="J2374" s="32">
        <f>IF($A2374="","",IF($I2374="OS inexistente","OS inexistente",IF($E2374="Peça não cadastrada","Peça não cadastrada","OK")))</f>
        <v>0</v>
      </c>
    </row>
    <row r="2375" spans="1:10">
      <c r="A2375" s="17"/>
      <c r="B2375" s="13"/>
      <c r="C2375" s="20"/>
      <c r="D2375" s="19"/>
      <c r="E2375" s="26">
        <f>IF($B2375="","",IFERROR(INDEX(PecDesc,MATCH($B2375,PecCod,0)),"Peça não cadastrada"))</f>
        <v>0</v>
      </c>
      <c r="F2375" s="27">
        <f>IF($B2375="","",IF($D2375&lt;&gt;"",$D2375,IFERROR(INDEX(PecPreco,MATCH($B2375,PecCod,0)),0)))</f>
        <v>0</v>
      </c>
      <c r="G2375" s="27">
        <f>IF(OR($B2375="",$C2375=""),"",$C2375*$F2375)</f>
        <v>0</v>
      </c>
      <c r="H2375" s="27">
        <f>IF(OR($B2375="",$C2375=""),"",$C2375*IFERROR(INDEX(PecCusto,MATCH($B2375,PecCod,0)),0))</f>
        <v>0</v>
      </c>
      <c r="I2375" s="32">
        <f>IF($A2375="","",IFERROR(INDEX(OSStatus,MATCH($A2375,OSNum,0)),"OS inexistente"))</f>
        <v>0</v>
      </c>
      <c r="J2375" s="32">
        <f>IF($A2375="","",IF($I2375="OS inexistente","OS inexistente",IF($E2375="Peça não cadastrada","Peça não cadastrada","OK")))</f>
        <v>0</v>
      </c>
    </row>
    <row r="2376" spans="1:10">
      <c r="A2376" s="17"/>
      <c r="B2376" s="13"/>
      <c r="C2376" s="20"/>
      <c r="D2376" s="19"/>
      <c r="E2376" s="26">
        <f>IF($B2376="","",IFERROR(INDEX(PecDesc,MATCH($B2376,PecCod,0)),"Peça não cadastrada"))</f>
        <v>0</v>
      </c>
      <c r="F2376" s="27">
        <f>IF($B2376="","",IF($D2376&lt;&gt;"",$D2376,IFERROR(INDEX(PecPreco,MATCH($B2376,PecCod,0)),0)))</f>
        <v>0</v>
      </c>
      <c r="G2376" s="27">
        <f>IF(OR($B2376="",$C2376=""),"",$C2376*$F2376)</f>
        <v>0</v>
      </c>
      <c r="H2376" s="27">
        <f>IF(OR($B2376="",$C2376=""),"",$C2376*IFERROR(INDEX(PecCusto,MATCH($B2376,PecCod,0)),0))</f>
        <v>0</v>
      </c>
      <c r="I2376" s="32">
        <f>IF($A2376="","",IFERROR(INDEX(OSStatus,MATCH($A2376,OSNum,0)),"OS inexistente"))</f>
        <v>0</v>
      </c>
      <c r="J2376" s="32">
        <f>IF($A2376="","",IF($I2376="OS inexistente","OS inexistente",IF($E2376="Peça não cadastrada","Peça não cadastrada","OK")))</f>
        <v>0</v>
      </c>
    </row>
    <row r="2377" spans="1:10">
      <c r="A2377" s="17"/>
      <c r="B2377" s="13"/>
      <c r="C2377" s="20"/>
      <c r="D2377" s="19"/>
      <c r="E2377" s="26">
        <f>IF($B2377="","",IFERROR(INDEX(PecDesc,MATCH($B2377,PecCod,0)),"Peça não cadastrada"))</f>
        <v>0</v>
      </c>
      <c r="F2377" s="27">
        <f>IF($B2377="","",IF($D2377&lt;&gt;"",$D2377,IFERROR(INDEX(PecPreco,MATCH($B2377,PecCod,0)),0)))</f>
        <v>0</v>
      </c>
      <c r="G2377" s="27">
        <f>IF(OR($B2377="",$C2377=""),"",$C2377*$F2377)</f>
        <v>0</v>
      </c>
      <c r="H2377" s="27">
        <f>IF(OR($B2377="",$C2377=""),"",$C2377*IFERROR(INDEX(PecCusto,MATCH($B2377,PecCod,0)),0))</f>
        <v>0</v>
      </c>
      <c r="I2377" s="32">
        <f>IF($A2377="","",IFERROR(INDEX(OSStatus,MATCH($A2377,OSNum,0)),"OS inexistente"))</f>
        <v>0</v>
      </c>
      <c r="J2377" s="32">
        <f>IF($A2377="","",IF($I2377="OS inexistente","OS inexistente",IF($E2377="Peça não cadastrada","Peça não cadastrada","OK")))</f>
        <v>0</v>
      </c>
    </row>
    <row r="2378" spans="1:10">
      <c r="A2378" s="17"/>
      <c r="B2378" s="13"/>
      <c r="C2378" s="20"/>
      <c r="D2378" s="19"/>
      <c r="E2378" s="26">
        <f>IF($B2378="","",IFERROR(INDEX(PecDesc,MATCH($B2378,PecCod,0)),"Peça não cadastrada"))</f>
        <v>0</v>
      </c>
      <c r="F2378" s="27">
        <f>IF($B2378="","",IF($D2378&lt;&gt;"",$D2378,IFERROR(INDEX(PecPreco,MATCH($B2378,PecCod,0)),0)))</f>
        <v>0</v>
      </c>
      <c r="G2378" s="27">
        <f>IF(OR($B2378="",$C2378=""),"",$C2378*$F2378)</f>
        <v>0</v>
      </c>
      <c r="H2378" s="27">
        <f>IF(OR($B2378="",$C2378=""),"",$C2378*IFERROR(INDEX(PecCusto,MATCH($B2378,PecCod,0)),0))</f>
        <v>0</v>
      </c>
      <c r="I2378" s="32">
        <f>IF($A2378="","",IFERROR(INDEX(OSStatus,MATCH($A2378,OSNum,0)),"OS inexistente"))</f>
        <v>0</v>
      </c>
      <c r="J2378" s="32">
        <f>IF($A2378="","",IF($I2378="OS inexistente","OS inexistente",IF($E2378="Peça não cadastrada","Peça não cadastrada","OK")))</f>
        <v>0</v>
      </c>
    </row>
    <row r="2379" spans="1:10">
      <c r="A2379" s="17"/>
      <c r="B2379" s="13"/>
      <c r="C2379" s="20"/>
      <c r="D2379" s="19"/>
      <c r="E2379" s="26">
        <f>IF($B2379="","",IFERROR(INDEX(PecDesc,MATCH($B2379,PecCod,0)),"Peça não cadastrada"))</f>
        <v>0</v>
      </c>
      <c r="F2379" s="27">
        <f>IF($B2379="","",IF($D2379&lt;&gt;"",$D2379,IFERROR(INDEX(PecPreco,MATCH($B2379,PecCod,0)),0)))</f>
        <v>0</v>
      </c>
      <c r="G2379" s="27">
        <f>IF(OR($B2379="",$C2379=""),"",$C2379*$F2379)</f>
        <v>0</v>
      </c>
      <c r="H2379" s="27">
        <f>IF(OR($B2379="",$C2379=""),"",$C2379*IFERROR(INDEX(PecCusto,MATCH($B2379,PecCod,0)),0))</f>
        <v>0</v>
      </c>
      <c r="I2379" s="32">
        <f>IF($A2379="","",IFERROR(INDEX(OSStatus,MATCH($A2379,OSNum,0)),"OS inexistente"))</f>
        <v>0</v>
      </c>
      <c r="J2379" s="32">
        <f>IF($A2379="","",IF($I2379="OS inexistente","OS inexistente",IF($E2379="Peça não cadastrada","Peça não cadastrada","OK")))</f>
        <v>0</v>
      </c>
    </row>
    <row r="2380" spans="1:10">
      <c r="A2380" s="17"/>
      <c r="B2380" s="13"/>
      <c r="C2380" s="20"/>
      <c r="D2380" s="19"/>
      <c r="E2380" s="26">
        <f>IF($B2380="","",IFERROR(INDEX(PecDesc,MATCH($B2380,PecCod,0)),"Peça não cadastrada"))</f>
        <v>0</v>
      </c>
      <c r="F2380" s="27">
        <f>IF($B2380="","",IF($D2380&lt;&gt;"",$D2380,IFERROR(INDEX(PecPreco,MATCH($B2380,PecCod,0)),0)))</f>
        <v>0</v>
      </c>
      <c r="G2380" s="27">
        <f>IF(OR($B2380="",$C2380=""),"",$C2380*$F2380)</f>
        <v>0</v>
      </c>
      <c r="H2380" s="27">
        <f>IF(OR($B2380="",$C2380=""),"",$C2380*IFERROR(INDEX(PecCusto,MATCH($B2380,PecCod,0)),0))</f>
        <v>0</v>
      </c>
      <c r="I2380" s="32">
        <f>IF($A2380="","",IFERROR(INDEX(OSStatus,MATCH($A2380,OSNum,0)),"OS inexistente"))</f>
        <v>0</v>
      </c>
      <c r="J2380" s="32">
        <f>IF($A2380="","",IF($I2380="OS inexistente","OS inexistente",IF($E2380="Peça não cadastrada","Peça não cadastrada","OK")))</f>
        <v>0</v>
      </c>
    </row>
    <row r="2381" spans="1:10">
      <c r="A2381" s="17"/>
      <c r="B2381" s="13"/>
      <c r="C2381" s="20"/>
      <c r="D2381" s="19"/>
      <c r="E2381" s="26">
        <f>IF($B2381="","",IFERROR(INDEX(PecDesc,MATCH($B2381,PecCod,0)),"Peça não cadastrada"))</f>
        <v>0</v>
      </c>
      <c r="F2381" s="27">
        <f>IF($B2381="","",IF($D2381&lt;&gt;"",$D2381,IFERROR(INDEX(PecPreco,MATCH($B2381,PecCod,0)),0)))</f>
        <v>0</v>
      </c>
      <c r="G2381" s="27">
        <f>IF(OR($B2381="",$C2381=""),"",$C2381*$F2381)</f>
        <v>0</v>
      </c>
      <c r="H2381" s="27">
        <f>IF(OR($B2381="",$C2381=""),"",$C2381*IFERROR(INDEX(PecCusto,MATCH($B2381,PecCod,0)),0))</f>
        <v>0</v>
      </c>
      <c r="I2381" s="32">
        <f>IF($A2381="","",IFERROR(INDEX(OSStatus,MATCH($A2381,OSNum,0)),"OS inexistente"))</f>
        <v>0</v>
      </c>
      <c r="J2381" s="32">
        <f>IF($A2381="","",IF($I2381="OS inexistente","OS inexistente",IF($E2381="Peça não cadastrada","Peça não cadastrada","OK")))</f>
        <v>0</v>
      </c>
    </row>
    <row r="2382" spans="1:10">
      <c r="A2382" s="17"/>
      <c r="B2382" s="13"/>
      <c r="C2382" s="20"/>
      <c r="D2382" s="19"/>
      <c r="E2382" s="26">
        <f>IF($B2382="","",IFERROR(INDEX(PecDesc,MATCH($B2382,PecCod,0)),"Peça não cadastrada"))</f>
        <v>0</v>
      </c>
      <c r="F2382" s="27">
        <f>IF($B2382="","",IF($D2382&lt;&gt;"",$D2382,IFERROR(INDEX(PecPreco,MATCH($B2382,PecCod,0)),0)))</f>
        <v>0</v>
      </c>
      <c r="G2382" s="27">
        <f>IF(OR($B2382="",$C2382=""),"",$C2382*$F2382)</f>
        <v>0</v>
      </c>
      <c r="H2382" s="27">
        <f>IF(OR($B2382="",$C2382=""),"",$C2382*IFERROR(INDEX(PecCusto,MATCH($B2382,PecCod,0)),0))</f>
        <v>0</v>
      </c>
      <c r="I2382" s="32">
        <f>IF($A2382="","",IFERROR(INDEX(OSStatus,MATCH($A2382,OSNum,0)),"OS inexistente"))</f>
        <v>0</v>
      </c>
      <c r="J2382" s="32">
        <f>IF($A2382="","",IF($I2382="OS inexistente","OS inexistente",IF($E2382="Peça não cadastrada","Peça não cadastrada","OK")))</f>
        <v>0</v>
      </c>
    </row>
    <row r="2383" spans="1:10">
      <c r="A2383" s="17"/>
      <c r="B2383" s="13"/>
      <c r="C2383" s="20"/>
      <c r="D2383" s="19"/>
      <c r="E2383" s="26">
        <f>IF($B2383="","",IFERROR(INDEX(PecDesc,MATCH($B2383,PecCod,0)),"Peça não cadastrada"))</f>
        <v>0</v>
      </c>
      <c r="F2383" s="27">
        <f>IF($B2383="","",IF($D2383&lt;&gt;"",$D2383,IFERROR(INDEX(PecPreco,MATCH($B2383,PecCod,0)),0)))</f>
        <v>0</v>
      </c>
      <c r="G2383" s="27">
        <f>IF(OR($B2383="",$C2383=""),"",$C2383*$F2383)</f>
        <v>0</v>
      </c>
      <c r="H2383" s="27">
        <f>IF(OR($B2383="",$C2383=""),"",$C2383*IFERROR(INDEX(PecCusto,MATCH($B2383,PecCod,0)),0))</f>
        <v>0</v>
      </c>
      <c r="I2383" s="32">
        <f>IF($A2383="","",IFERROR(INDEX(OSStatus,MATCH($A2383,OSNum,0)),"OS inexistente"))</f>
        <v>0</v>
      </c>
      <c r="J2383" s="32">
        <f>IF($A2383="","",IF($I2383="OS inexistente","OS inexistente",IF($E2383="Peça não cadastrada","Peça não cadastrada","OK")))</f>
        <v>0</v>
      </c>
    </row>
    <row r="2384" spans="1:10">
      <c r="A2384" s="17"/>
      <c r="B2384" s="13"/>
      <c r="C2384" s="20"/>
      <c r="D2384" s="19"/>
      <c r="E2384" s="26">
        <f>IF($B2384="","",IFERROR(INDEX(PecDesc,MATCH($B2384,PecCod,0)),"Peça não cadastrada"))</f>
        <v>0</v>
      </c>
      <c r="F2384" s="27">
        <f>IF($B2384="","",IF($D2384&lt;&gt;"",$D2384,IFERROR(INDEX(PecPreco,MATCH($B2384,PecCod,0)),0)))</f>
        <v>0</v>
      </c>
      <c r="G2384" s="27">
        <f>IF(OR($B2384="",$C2384=""),"",$C2384*$F2384)</f>
        <v>0</v>
      </c>
      <c r="H2384" s="27">
        <f>IF(OR($B2384="",$C2384=""),"",$C2384*IFERROR(INDEX(PecCusto,MATCH($B2384,PecCod,0)),0))</f>
        <v>0</v>
      </c>
      <c r="I2384" s="32">
        <f>IF($A2384="","",IFERROR(INDEX(OSStatus,MATCH($A2384,OSNum,0)),"OS inexistente"))</f>
        <v>0</v>
      </c>
      <c r="J2384" s="32">
        <f>IF($A2384="","",IF($I2384="OS inexistente","OS inexistente",IF($E2384="Peça não cadastrada","Peça não cadastrada","OK")))</f>
        <v>0</v>
      </c>
    </row>
    <row r="2385" spans="1:10">
      <c r="A2385" s="17"/>
      <c r="B2385" s="13"/>
      <c r="C2385" s="20"/>
      <c r="D2385" s="19"/>
      <c r="E2385" s="26">
        <f>IF($B2385="","",IFERROR(INDEX(PecDesc,MATCH($B2385,PecCod,0)),"Peça não cadastrada"))</f>
        <v>0</v>
      </c>
      <c r="F2385" s="27">
        <f>IF($B2385="","",IF($D2385&lt;&gt;"",$D2385,IFERROR(INDEX(PecPreco,MATCH($B2385,PecCod,0)),0)))</f>
        <v>0</v>
      </c>
      <c r="G2385" s="27">
        <f>IF(OR($B2385="",$C2385=""),"",$C2385*$F2385)</f>
        <v>0</v>
      </c>
      <c r="H2385" s="27">
        <f>IF(OR($B2385="",$C2385=""),"",$C2385*IFERROR(INDEX(PecCusto,MATCH($B2385,PecCod,0)),0))</f>
        <v>0</v>
      </c>
      <c r="I2385" s="32">
        <f>IF($A2385="","",IFERROR(INDEX(OSStatus,MATCH($A2385,OSNum,0)),"OS inexistente"))</f>
        <v>0</v>
      </c>
      <c r="J2385" s="32">
        <f>IF($A2385="","",IF($I2385="OS inexistente","OS inexistente",IF($E2385="Peça não cadastrada","Peça não cadastrada","OK")))</f>
        <v>0</v>
      </c>
    </row>
    <row r="2386" spans="1:10">
      <c r="A2386" s="17"/>
      <c r="B2386" s="13"/>
      <c r="C2386" s="20"/>
      <c r="D2386" s="19"/>
      <c r="E2386" s="26">
        <f>IF($B2386="","",IFERROR(INDEX(PecDesc,MATCH($B2386,PecCod,0)),"Peça não cadastrada"))</f>
        <v>0</v>
      </c>
      <c r="F2386" s="27">
        <f>IF($B2386="","",IF($D2386&lt;&gt;"",$D2386,IFERROR(INDEX(PecPreco,MATCH($B2386,PecCod,0)),0)))</f>
        <v>0</v>
      </c>
      <c r="G2386" s="27">
        <f>IF(OR($B2386="",$C2386=""),"",$C2386*$F2386)</f>
        <v>0</v>
      </c>
      <c r="H2386" s="27">
        <f>IF(OR($B2386="",$C2386=""),"",$C2386*IFERROR(INDEX(PecCusto,MATCH($B2386,PecCod,0)),0))</f>
        <v>0</v>
      </c>
      <c r="I2386" s="32">
        <f>IF($A2386="","",IFERROR(INDEX(OSStatus,MATCH($A2386,OSNum,0)),"OS inexistente"))</f>
        <v>0</v>
      </c>
      <c r="J2386" s="32">
        <f>IF($A2386="","",IF($I2386="OS inexistente","OS inexistente",IF($E2386="Peça não cadastrada","Peça não cadastrada","OK")))</f>
        <v>0</v>
      </c>
    </row>
    <row r="2387" spans="1:10">
      <c r="A2387" s="17"/>
      <c r="B2387" s="13"/>
      <c r="C2387" s="20"/>
      <c r="D2387" s="19"/>
      <c r="E2387" s="26">
        <f>IF($B2387="","",IFERROR(INDEX(PecDesc,MATCH($B2387,PecCod,0)),"Peça não cadastrada"))</f>
        <v>0</v>
      </c>
      <c r="F2387" s="27">
        <f>IF($B2387="","",IF($D2387&lt;&gt;"",$D2387,IFERROR(INDEX(PecPreco,MATCH($B2387,PecCod,0)),0)))</f>
        <v>0</v>
      </c>
      <c r="G2387" s="27">
        <f>IF(OR($B2387="",$C2387=""),"",$C2387*$F2387)</f>
        <v>0</v>
      </c>
      <c r="H2387" s="27">
        <f>IF(OR($B2387="",$C2387=""),"",$C2387*IFERROR(INDEX(PecCusto,MATCH($B2387,PecCod,0)),0))</f>
        <v>0</v>
      </c>
      <c r="I2387" s="32">
        <f>IF($A2387="","",IFERROR(INDEX(OSStatus,MATCH($A2387,OSNum,0)),"OS inexistente"))</f>
        <v>0</v>
      </c>
      <c r="J2387" s="32">
        <f>IF($A2387="","",IF($I2387="OS inexistente","OS inexistente",IF($E2387="Peça não cadastrada","Peça não cadastrada","OK")))</f>
        <v>0</v>
      </c>
    </row>
    <row r="2388" spans="1:10">
      <c r="A2388" s="17"/>
      <c r="B2388" s="13"/>
      <c r="C2388" s="20"/>
      <c r="D2388" s="19"/>
      <c r="E2388" s="26">
        <f>IF($B2388="","",IFERROR(INDEX(PecDesc,MATCH($B2388,PecCod,0)),"Peça não cadastrada"))</f>
        <v>0</v>
      </c>
      <c r="F2388" s="27">
        <f>IF($B2388="","",IF($D2388&lt;&gt;"",$D2388,IFERROR(INDEX(PecPreco,MATCH($B2388,PecCod,0)),0)))</f>
        <v>0</v>
      </c>
      <c r="G2388" s="27">
        <f>IF(OR($B2388="",$C2388=""),"",$C2388*$F2388)</f>
        <v>0</v>
      </c>
      <c r="H2388" s="27">
        <f>IF(OR($B2388="",$C2388=""),"",$C2388*IFERROR(INDEX(PecCusto,MATCH($B2388,PecCod,0)),0))</f>
        <v>0</v>
      </c>
      <c r="I2388" s="32">
        <f>IF($A2388="","",IFERROR(INDEX(OSStatus,MATCH($A2388,OSNum,0)),"OS inexistente"))</f>
        <v>0</v>
      </c>
      <c r="J2388" s="32">
        <f>IF($A2388="","",IF($I2388="OS inexistente","OS inexistente",IF($E2388="Peça não cadastrada","Peça não cadastrada","OK")))</f>
        <v>0</v>
      </c>
    </row>
    <row r="2389" spans="1:10">
      <c r="A2389" s="17"/>
      <c r="B2389" s="13"/>
      <c r="C2389" s="20"/>
      <c r="D2389" s="19"/>
      <c r="E2389" s="26">
        <f>IF($B2389="","",IFERROR(INDEX(PecDesc,MATCH($B2389,PecCod,0)),"Peça não cadastrada"))</f>
        <v>0</v>
      </c>
      <c r="F2389" s="27">
        <f>IF($B2389="","",IF($D2389&lt;&gt;"",$D2389,IFERROR(INDEX(PecPreco,MATCH($B2389,PecCod,0)),0)))</f>
        <v>0</v>
      </c>
      <c r="G2389" s="27">
        <f>IF(OR($B2389="",$C2389=""),"",$C2389*$F2389)</f>
        <v>0</v>
      </c>
      <c r="H2389" s="27">
        <f>IF(OR($B2389="",$C2389=""),"",$C2389*IFERROR(INDEX(PecCusto,MATCH($B2389,PecCod,0)),0))</f>
        <v>0</v>
      </c>
      <c r="I2389" s="32">
        <f>IF($A2389="","",IFERROR(INDEX(OSStatus,MATCH($A2389,OSNum,0)),"OS inexistente"))</f>
        <v>0</v>
      </c>
      <c r="J2389" s="32">
        <f>IF($A2389="","",IF($I2389="OS inexistente","OS inexistente",IF($E2389="Peça não cadastrada","Peça não cadastrada","OK")))</f>
        <v>0</v>
      </c>
    </row>
    <row r="2390" spans="1:10">
      <c r="A2390" s="17"/>
      <c r="B2390" s="13"/>
      <c r="C2390" s="20"/>
      <c r="D2390" s="19"/>
      <c r="E2390" s="26">
        <f>IF($B2390="","",IFERROR(INDEX(PecDesc,MATCH($B2390,PecCod,0)),"Peça não cadastrada"))</f>
        <v>0</v>
      </c>
      <c r="F2390" s="27">
        <f>IF($B2390="","",IF($D2390&lt;&gt;"",$D2390,IFERROR(INDEX(PecPreco,MATCH($B2390,PecCod,0)),0)))</f>
        <v>0</v>
      </c>
      <c r="G2390" s="27">
        <f>IF(OR($B2390="",$C2390=""),"",$C2390*$F2390)</f>
        <v>0</v>
      </c>
      <c r="H2390" s="27">
        <f>IF(OR($B2390="",$C2390=""),"",$C2390*IFERROR(INDEX(PecCusto,MATCH($B2390,PecCod,0)),0))</f>
        <v>0</v>
      </c>
      <c r="I2390" s="32">
        <f>IF($A2390="","",IFERROR(INDEX(OSStatus,MATCH($A2390,OSNum,0)),"OS inexistente"))</f>
        <v>0</v>
      </c>
      <c r="J2390" s="32">
        <f>IF($A2390="","",IF($I2390="OS inexistente","OS inexistente",IF($E2390="Peça não cadastrada","Peça não cadastrada","OK")))</f>
        <v>0</v>
      </c>
    </row>
    <row r="2391" spans="1:10">
      <c r="A2391" s="17"/>
      <c r="B2391" s="13"/>
      <c r="C2391" s="20"/>
      <c r="D2391" s="19"/>
      <c r="E2391" s="26">
        <f>IF($B2391="","",IFERROR(INDEX(PecDesc,MATCH($B2391,PecCod,0)),"Peça não cadastrada"))</f>
        <v>0</v>
      </c>
      <c r="F2391" s="27">
        <f>IF($B2391="","",IF($D2391&lt;&gt;"",$D2391,IFERROR(INDEX(PecPreco,MATCH($B2391,PecCod,0)),0)))</f>
        <v>0</v>
      </c>
      <c r="G2391" s="27">
        <f>IF(OR($B2391="",$C2391=""),"",$C2391*$F2391)</f>
        <v>0</v>
      </c>
      <c r="H2391" s="27">
        <f>IF(OR($B2391="",$C2391=""),"",$C2391*IFERROR(INDEX(PecCusto,MATCH($B2391,PecCod,0)),0))</f>
        <v>0</v>
      </c>
      <c r="I2391" s="32">
        <f>IF($A2391="","",IFERROR(INDEX(OSStatus,MATCH($A2391,OSNum,0)),"OS inexistente"))</f>
        <v>0</v>
      </c>
      <c r="J2391" s="32">
        <f>IF($A2391="","",IF($I2391="OS inexistente","OS inexistente",IF($E2391="Peça não cadastrada","Peça não cadastrada","OK")))</f>
        <v>0</v>
      </c>
    </row>
    <row r="2392" spans="1:10">
      <c r="A2392" s="17"/>
      <c r="B2392" s="13"/>
      <c r="C2392" s="20"/>
      <c r="D2392" s="19"/>
      <c r="E2392" s="26">
        <f>IF($B2392="","",IFERROR(INDEX(PecDesc,MATCH($B2392,PecCod,0)),"Peça não cadastrada"))</f>
        <v>0</v>
      </c>
      <c r="F2392" s="27">
        <f>IF($B2392="","",IF($D2392&lt;&gt;"",$D2392,IFERROR(INDEX(PecPreco,MATCH($B2392,PecCod,0)),0)))</f>
        <v>0</v>
      </c>
      <c r="G2392" s="27">
        <f>IF(OR($B2392="",$C2392=""),"",$C2392*$F2392)</f>
        <v>0</v>
      </c>
      <c r="H2392" s="27">
        <f>IF(OR($B2392="",$C2392=""),"",$C2392*IFERROR(INDEX(PecCusto,MATCH($B2392,PecCod,0)),0))</f>
        <v>0</v>
      </c>
      <c r="I2392" s="32">
        <f>IF($A2392="","",IFERROR(INDEX(OSStatus,MATCH($A2392,OSNum,0)),"OS inexistente"))</f>
        <v>0</v>
      </c>
      <c r="J2392" s="32">
        <f>IF($A2392="","",IF($I2392="OS inexistente","OS inexistente",IF($E2392="Peça não cadastrada","Peça não cadastrada","OK")))</f>
        <v>0</v>
      </c>
    </row>
    <row r="2393" spans="1:10">
      <c r="A2393" s="17"/>
      <c r="B2393" s="13"/>
      <c r="C2393" s="20"/>
      <c r="D2393" s="19"/>
      <c r="E2393" s="26">
        <f>IF($B2393="","",IFERROR(INDEX(PecDesc,MATCH($B2393,PecCod,0)),"Peça não cadastrada"))</f>
        <v>0</v>
      </c>
      <c r="F2393" s="27">
        <f>IF($B2393="","",IF($D2393&lt;&gt;"",$D2393,IFERROR(INDEX(PecPreco,MATCH($B2393,PecCod,0)),0)))</f>
        <v>0</v>
      </c>
      <c r="G2393" s="27">
        <f>IF(OR($B2393="",$C2393=""),"",$C2393*$F2393)</f>
        <v>0</v>
      </c>
      <c r="H2393" s="27">
        <f>IF(OR($B2393="",$C2393=""),"",$C2393*IFERROR(INDEX(PecCusto,MATCH($B2393,PecCod,0)),0))</f>
        <v>0</v>
      </c>
      <c r="I2393" s="32">
        <f>IF($A2393="","",IFERROR(INDEX(OSStatus,MATCH($A2393,OSNum,0)),"OS inexistente"))</f>
        <v>0</v>
      </c>
      <c r="J2393" s="32">
        <f>IF($A2393="","",IF($I2393="OS inexistente","OS inexistente",IF($E2393="Peça não cadastrada","Peça não cadastrada","OK")))</f>
        <v>0</v>
      </c>
    </row>
    <row r="2394" spans="1:10">
      <c r="A2394" s="17"/>
      <c r="B2394" s="13"/>
      <c r="C2394" s="20"/>
      <c r="D2394" s="19"/>
      <c r="E2394" s="26">
        <f>IF($B2394="","",IFERROR(INDEX(PecDesc,MATCH($B2394,PecCod,0)),"Peça não cadastrada"))</f>
        <v>0</v>
      </c>
      <c r="F2394" s="27">
        <f>IF($B2394="","",IF($D2394&lt;&gt;"",$D2394,IFERROR(INDEX(PecPreco,MATCH($B2394,PecCod,0)),0)))</f>
        <v>0</v>
      </c>
      <c r="G2394" s="27">
        <f>IF(OR($B2394="",$C2394=""),"",$C2394*$F2394)</f>
        <v>0</v>
      </c>
      <c r="H2394" s="27">
        <f>IF(OR($B2394="",$C2394=""),"",$C2394*IFERROR(INDEX(PecCusto,MATCH($B2394,PecCod,0)),0))</f>
        <v>0</v>
      </c>
      <c r="I2394" s="32">
        <f>IF($A2394="","",IFERROR(INDEX(OSStatus,MATCH($A2394,OSNum,0)),"OS inexistente"))</f>
        <v>0</v>
      </c>
      <c r="J2394" s="32">
        <f>IF($A2394="","",IF($I2394="OS inexistente","OS inexistente",IF($E2394="Peça não cadastrada","Peça não cadastrada","OK")))</f>
        <v>0</v>
      </c>
    </row>
    <row r="2395" spans="1:10">
      <c r="A2395" s="17"/>
      <c r="B2395" s="13"/>
      <c r="C2395" s="20"/>
      <c r="D2395" s="19"/>
      <c r="E2395" s="26">
        <f>IF($B2395="","",IFERROR(INDEX(PecDesc,MATCH($B2395,PecCod,0)),"Peça não cadastrada"))</f>
        <v>0</v>
      </c>
      <c r="F2395" s="27">
        <f>IF($B2395="","",IF($D2395&lt;&gt;"",$D2395,IFERROR(INDEX(PecPreco,MATCH($B2395,PecCod,0)),0)))</f>
        <v>0</v>
      </c>
      <c r="G2395" s="27">
        <f>IF(OR($B2395="",$C2395=""),"",$C2395*$F2395)</f>
        <v>0</v>
      </c>
      <c r="H2395" s="27">
        <f>IF(OR($B2395="",$C2395=""),"",$C2395*IFERROR(INDEX(PecCusto,MATCH($B2395,PecCod,0)),0))</f>
        <v>0</v>
      </c>
      <c r="I2395" s="32">
        <f>IF($A2395="","",IFERROR(INDEX(OSStatus,MATCH($A2395,OSNum,0)),"OS inexistente"))</f>
        <v>0</v>
      </c>
      <c r="J2395" s="32">
        <f>IF($A2395="","",IF($I2395="OS inexistente","OS inexistente",IF($E2395="Peça não cadastrada","Peça não cadastrada","OK")))</f>
        <v>0</v>
      </c>
    </row>
    <row r="2396" spans="1:10">
      <c r="A2396" s="17"/>
      <c r="B2396" s="13"/>
      <c r="C2396" s="20"/>
      <c r="D2396" s="19"/>
      <c r="E2396" s="26">
        <f>IF($B2396="","",IFERROR(INDEX(PecDesc,MATCH($B2396,PecCod,0)),"Peça não cadastrada"))</f>
        <v>0</v>
      </c>
      <c r="F2396" s="27">
        <f>IF($B2396="","",IF($D2396&lt;&gt;"",$D2396,IFERROR(INDEX(PecPreco,MATCH($B2396,PecCod,0)),0)))</f>
        <v>0</v>
      </c>
      <c r="G2396" s="27">
        <f>IF(OR($B2396="",$C2396=""),"",$C2396*$F2396)</f>
        <v>0</v>
      </c>
      <c r="H2396" s="27">
        <f>IF(OR($B2396="",$C2396=""),"",$C2396*IFERROR(INDEX(PecCusto,MATCH($B2396,PecCod,0)),0))</f>
        <v>0</v>
      </c>
      <c r="I2396" s="32">
        <f>IF($A2396="","",IFERROR(INDEX(OSStatus,MATCH($A2396,OSNum,0)),"OS inexistente"))</f>
        <v>0</v>
      </c>
      <c r="J2396" s="32">
        <f>IF($A2396="","",IF($I2396="OS inexistente","OS inexistente",IF($E2396="Peça não cadastrada","Peça não cadastrada","OK")))</f>
        <v>0</v>
      </c>
    </row>
    <row r="2397" spans="1:10">
      <c r="A2397" s="17"/>
      <c r="B2397" s="13"/>
      <c r="C2397" s="20"/>
      <c r="D2397" s="19"/>
      <c r="E2397" s="26">
        <f>IF($B2397="","",IFERROR(INDEX(PecDesc,MATCH($B2397,PecCod,0)),"Peça não cadastrada"))</f>
        <v>0</v>
      </c>
      <c r="F2397" s="27">
        <f>IF($B2397="","",IF($D2397&lt;&gt;"",$D2397,IFERROR(INDEX(PecPreco,MATCH($B2397,PecCod,0)),0)))</f>
        <v>0</v>
      </c>
      <c r="G2397" s="27">
        <f>IF(OR($B2397="",$C2397=""),"",$C2397*$F2397)</f>
        <v>0</v>
      </c>
      <c r="H2397" s="27">
        <f>IF(OR($B2397="",$C2397=""),"",$C2397*IFERROR(INDEX(PecCusto,MATCH($B2397,PecCod,0)),0))</f>
        <v>0</v>
      </c>
      <c r="I2397" s="32">
        <f>IF($A2397="","",IFERROR(INDEX(OSStatus,MATCH($A2397,OSNum,0)),"OS inexistente"))</f>
        <v>0</v>
      </c>
      <c r="J2397" s="32">
        <f>IF($A2397="","",IF($I2397="OS inexistente","OS inexistente",IF($E2397="Peça não cadastrada","Peça não cadastrada","OK")))</f>
        <v>0</v>
      </c>
    </row>
    <row r="2398" spans="1:10">
      <c r="A2398" s="17"/>
      <c r="B2398" s="13"/>
      <c r="C2398" s="20"/>
      <c r="D2398" s="19"/>
      <c r="E2398" s="26">
        <f>IF($B2398="","",IFERROR(INDEX(PecDesc,MATCH($B2398,PecCod,0)),"Peça não cadastrada"))</f>
        <v>0</v>
      </c>
      <c r="F2398" s="27">
        <f>IF($B2398="","",IF($D2398&lt;&gt;"",$D2398,IFERROR(INDEX(PecPreco,MATCH($B2398,PecCod,0)),0)))</f>
        <v>0</v>
      </c>
      <c r="G2398" s="27">
        <f>IF(OR($B2398="",$C2398=""),"",$C2398*$F2398)</f>
        <v>0</v>
      </c>
      <c r="H2398" s="27">
        <f>IF(OR($B2398="",$C2398=""),"",$C2398*IFERROR(INDEX(PecCusto,MATCH($B2398,PecCod,0)),0))</f>
        <v>0</v>
      </c>
      <c r="I2398" s="32">
        <f>IF($A2398="","",IFERROR(INDEX(OSStatus,MATCH($A2398,OSNum,0)),"OS inexistente"))</f>
        <v>0</v>
      </c>
      <c r="J2398" s="32">
        <f>IF($A2398="","",IF($I2398="OS inexistente","OS inexistente",IF($E2398="Peça não cadastrada","Peça não cadastrada","OK")))</f>
        <v>0</v>
      </c>
    </row>
    <row r="2399" spans="1:10">
      <c r="A2399" s="17"/>
      <c r="B2399" s="13"/>
      <c r="C2399" s="20"/>
      <c r="D2399" s="19"/>
      <c r="E2399" s="26">
        <f>IF($B2399="","",IFERROR(INDEX(PecDesc,MATCH($B2399,PecCod,0)),"Peça não cadastrada"))</f>
        <v>0</v>
      </c>
      <c r="F2399" s="27">
        <f>IF($B2399="","",IF($D2399&lt;&gt;"",$D2399,IFERROR(INDEX(PecPreco,MATCH($B2399,PecCod,0)),0)))</f>
        <v>0</v>
      </c>
      <c r="G2399" s="27">
        <f>IF(OR($B2399="",$C2399=""),"",$C2399*$F2399)</f>
        <v>0</v>
      </c>
      <c r="H2399" s="27">
        <f>IF(OR($B2399="",$C2399=""),"",$C2399*IFERROR(INDEX(PecCusto,MATCH($B2399,PecCod,0)),0))</f>
        <v>0</v>
      </c>
      <c r="I2399" s="32">
        <f>IF($A2399="","",IFERROR(INDEX(OSStatus,MATCH($A2399,OSNum,0)),"OS inexistente"))</f>
        <v>0</v>
      </c>
      <c r="J2399" s="32">
        <f>IF($A2399="","",IF($I2399="OS inexistente","OS inexistente",IF($E2399="Peça não cadastrada","Peça não cadastrada","OK")))</f>
        <v>0</v>
      </c>
    </row>
    <row r="2400" spans="1:10">
      <c r="A2400" s="17"/>
      <c r="B2400" s="13"/>
      <c r="C2400" s="20"/>
      <c r="D2400" s="19"/>
      <c r="E2400" s="26">
        <f>IF($B2400="","",IFERROR(INDEX(PecDesc,MATCH($B2400,PecCod,0)),"Peça não cadastrada"))</f>
        <v>0</v>
      </c>
      <c r="F2400" s="27">
        <f>IF($B2400="","",IF($D2400&lt;&gt;"",$D2400,IFERROR(INDEX(PecPreco,MATCH($B2400,PecCod,0)),0)))</f>
        <v>0</v>
      </c>
      <c r="G2400" s="27">
        <f>IF(OR($B2400="",$C2400=""),"",$C2400*$F2400)</f>
        <v>0</v>
      </c>
      <c r="H2400" s="27">
        <f>IF(OR($B2400="",$C2400=""),"",$C2400*IFERROR(INDEX(PecCusto,MATCH($B2400,PecCod,0)),0))</f>
        <v>0</v>
      </c>
      <c r="I2400" s="32">
        <f>IF($A2400="","",IFERROR(INDEX(OSStatus,MATCH($A2400,OSNum,0)),"OS inexistente"))</f>
        <v>0</v>
      </c>
      <c r="J2400" s="32">
        <f>IF($A2400="","",IF($I2400="OS inexistente","OS inexistente",IF($E2400="Peça não cadastrada","Peça não cadastrada","OK")))</f>
        <v>0</v>
      </c>
    </row>
    <row r="2401" spans="1:10">
      <c r="A2401" s="17"/>
      <c r="B2401" s="13"/>
      <c r="C2401" s="20"/>
      <c r="D2401" s="19"/>
      <c r="E2401" s="26">
        <f>IF($B2401="","",IFERROR(INDEX(PecDesc,MATCH($B2401,PecCod,0)),"Peça não cadastrada"))</f>
        <v>0</v>
      </c>
      <c r="F2401" s="27">
        <f>IF($B2401="","",IF($D2401&lt;&gt;"",$D2401,IFERROR(INDEX(PecPreco,MATCH($B2401,PecCod,0)),0)))</f>
        <v>0</v>
      </c>
      <c r="G2401" s="27">
        <f>IF(OR($B2401="",$C2401=""),"",$C2401*$F2401)</f>
        <v>0</v>
      </c>
      <c r="H2401" s="27">
        <f>IF(OR($B2401="",$C2401=""),"",$C2401*IFERROR(INDEX(PecCusto,MATCH($B2401,PecCod,0)),0))</f>
        <v>0</v>
      </c>
      <c r="I2401" s="32">
        <f>IF($A2401="","",IFERROR(INDEX(OSStatus,MATCH($A2401,OSNum,0)),"OS inexistente"))</f>
        <v>0</v>
      </c>
      <c r="J2401" s="32">
        <f>IF($A2401="","",IF($I2401="OS inexistente","OS inexistente",IF($E2401="Peça não cadastrada","Peça não cadastrada","OK")))</f>
        <v>0</v>
      </c>
    </row>
    <row r="2402" spans="1:10">
      <c r="A2402" s="17"/>
      <c r="B2402" s="13"/>
      <c r="C2402" s="20"/>
      <c r="D2402" s="19"/>
      <c r="E2402" s="26">
        <f>IF($B2402="","",IFERROR(INDEX(PecDesc,MATCH($B2402,PecCod,0)),"Peça não cadastrada"))</f>
        <v>0</v>
      </c>
      <c r="F2402" s="27">
        <f>IF($B2402="","",IF($D2402&lt;&gt;"",$D2402,IFERROR(INDEX(PecPreco,MATCH($B2402,PecCod,0)),0)))</f>
        <v>0</v>
      </c>
      <c r="G2402" s="27">
        <f>IF(OR($B2402="",$C2402=""),"",$C2402*$F2402)</f>
        <v>0</v>
      </c>
      <c r="H2402" s="27">
        <f>IF(OR($B2402="",$C2402=""),"",$C2402*IFERROR(INDEX(PecCusto,MATCH($B2402,PecCod,0)),0))</f>
        <v>0</v>
      </c>
      <c r="I2402" s="32">
        <f>IF($A2402="","",IFERROR(INDEX(OSStatus,MATCH($A2402,OSNum,0)),"OS inexistente"))</f>
        <v>0</v>
      </c>
      <c r="J2402" s="32">
        <f>IF($A2402="","",IF($I2402="OS inexistente","OS inexistente",IF($E2402="Peça não cadastrada","Peça não cadastrada","OK")))</f>
        <v>0</v>
      </c>
    </row>
    <row r="2403" spans="1:10">
      <c r="A2403" s="17"/>
      <c r="B2403" s="13"/>
      <c r="C2403" s="20"/>
      <c r="D2403" s="19"/>
      <c r="E2403" s="26">
        <f>IF($B2403="","",IFERROR(INDEX(PecDesc,MATCH($B2403,PecCod,0)),"Peça não cadastrada"))</f>
        <v>0</v>
      </c>
      <c r="F2403" s="27">
        <f>IF($B2403="","",IF($D2403&lt;&gt;"",$D2403,IFERROR(INDEX(PecPreco,MATCH($B2403,PecCod,0)),0)))</f>
        <v>0</v>
      </c>
      <c r="G2403" s="27">
        <f>IF(OR($B2403="",$C2403=""),"",$C2403*$F2403)</f>
        <v>0</v>
      </c>
      <c r="H2403" s="27">
        <f>IF(OR($B2403="",$C2403=""),"",$C2403*IFERROR(INDEX(PecCusto,MATCH($B2403,PecCod,0)),0))</f>
        <v>0</v>
      </c>
      <c r="I2403" s="32">
        <f>IF($A2403="","",IFERROR(INDEX(OSStatus,MATCH($A2403,OSNum,0)),"OS inexistente"))</f>
        <v>0</v>
      </c>
      <c r="J2403" s="32">
        <f>IF($A2403="","",IF($I2403="OS inexistente","OS inexistente",IF($E2403="Peça não cadastrada","Peça não cadastrada","OK")))</f>
        <v>0</v>
      </c>
    </row>
    <row r="2404" spans="1:10">
      <c r="A2404" s="17"/>
      <c r="B2404" s="13"/>
      <c r="C2404" s="20"/>
      <c r="D2404" s="19"/>
      <c r="E2404" s="26">
        <f>IF($B2404="","",IFERROR(INDEX(PecDesc,MATCH($B2404,PecCod,0)),"Peça não cadastrada"))</f>
        <v>0</v>
      </c>
      <c r="F2404" s="27">
        <f>IF($B2404="","",IF($D2404&lt;&gt;"",$D2404,IFERROR(INDEX(PecPreco,MATCH($B2404,PecCod,0)),0)))</f>
        <v>0</v>
      </c>
      <c r="G2404" s="27">
        <f>IF(OR($B2404="",$C2404=""),"",$C2404*$F2404)</f>
        <v>0</v>
      </c>
      <c r="H2404" s="27">
        <f>IF(OR($B2404="",$C2404=""),"",$C2404*IFERROR(INDEX(PecCusto,MATCH($B2404,PecCod,0)),0))</f>
        <v>0</v>
      </c>
      <c r="I2404" s="32">
        <f>IF($A2404="","",IFERROR(INDEX(OSStatus,MATCH($A2404,OSNum,0)),"OS inexistente"))</f>
        <v>0</v>
      </c>
      <c r="J2404" s="32">
        <f>IF($A2404="","",IF($I2404="OS inexistente","OS inexistente",IF($E2404="Peça não cadastrada","Peça não cadastrada","OK")))</f>
        <v>0</v>
      </c>
    </row>
    <row r="2405" spans="1:10">
      <c r="A2405" s="17"/>
      <c r="B2405" s="13"/>
      <c r="C2405" s="20"/>
      <c r="D2405" s="19"/>
      <c r="E2405" s="26">
        <f>IF($B2405="","",IFERROR(INDEX(PecDesc,MATCH($B2405,PecCod,0)),"Peça não cadastrada"))</f>
        <v>0</v>
      </c>
      <c r="F2405" s="27">
        <f>IF($B2405="","",IF($D2405&lt;&gt;"",$D2405,IFERROR(INDEX(PecPreco,MATCH($B2405,PecCod,0)),0)))</f>
        <v>0</v>
      </c>
      <c r="G2405" s="27">
        <f>IF(OR($B2405="",$C2405=""),"",$C2405*$F2405)</f>
        <v>0</v>
      </c>
      <c r="H2405" s="27">
        <f>IF(OR($B2405="",$C2405=""),"",$C2405*IFERROR(INDEX(PecCusto,MATCH($B2405,PecCod,0)),0))</f>
        <v>0</v>
      </c>
      <c r="I2405" s="32">
        <f>IF($A2405="","",IFERROR(INDEX(OSStatus,MATCH($A2405,OSNum,0)),"OS inexistente"))</f>
        <v>0</v>
      </c>
      <c r="J2405" s="32">
        <f>IF($A2405="","",IF($I2405="OS inexistente","OS inexistente",IF($E2405="Peça não cadastrada","Peça não cadastrada","OK")))</f>
        <v>0</v>
      </c>
    </row>
    <row r="2406" spans="1:10">
      <c r="A2406" s="17"/>
      <c r="B2406" s="13"/>
      <c r="C2406" s="20"/>
      <c r="D2406" s="19"/>
      <c r="E2406" s="26">
        <f>IF($B2406="","",IFERROR(INDEX(PecDesc,MATCH($B2406,PecCod,0)),"Peça não cadastrada"))</f>
        <v>0</v>
      </c>
      <c r="F2406" s="27">
        <f>IF($B2406="","",IF($D2406&lt;&gt;"",$D2406,IFERROR(INDEX(PecPreco,MATCH($B2406,PecCod,0)),0)))</f>
        <v>0</v>
      </c>
      <c r="G2406" s="27">
        <f>IF(OR($B2406="",$C2406=""),"",$C2406*$F2406)</f>
        <v>0</v>
      </c>
      <c r="H2406" s="27">
        <f>IF(OR($B2406="",$C2406=""),"",$C2406*IFERROR(INDEX(PecCusto,MATCH($B2406,PecCod,0)),0))</f>
        <v>0</v>
      </c>
      <c r="I2406" s="32">
        <f>IF($A2406="","",IFERROR(INDEX(OSStatus,MATCH($A2406,OSNum,0)),"OS inexistente"))</f>
        <v>0</v>
      </c>
      <c r="J2406" s="32">
        <f>IF($A2406="","",IF($I2406="OS inexistente","OS inexistente",IF($E2406="Peça não cadastrada","Peça não cadastrada","OK")))</f>
        <v>0</v>
      </c>
    </row>
    <row r="2407" spans="1:10">
      <c r="A2407" s="17"/>
      <c r="B2407" s="13"/>
      <c r="C2407" s="20"/>
      <c r="D2407" s="19"/>
      <c r="E2407" s="26">
        <f>IF($B2407="","",IFERROR(INDEX(PecDesc,MATCH($B2407,PecCod,0)),"Peça não cadastrada"))</f>
        <v>0</v>
      </c>
      <c r="F2407" s="27">
        <f>IF($B2407="","",IF($D2407&lt;&gt;"",$D2407,IFERROR(INDEX(PecPreco,MATCH($B2407,PecCod,0)),0)))</f>
        <v>0</v>
      </c>
      <c r="G2407" s="27">
        <f>IF(OR($B2407="",$C2407=""),"",$C2407*$F2407)</f>
        <v>0</v>
      </c>
      <c r="H2407" s="27">
        <f>IF(OR($B2407="",$C2407=""),"",$C2407*IFERROR(INDEX(PecCusto,MATCH($B2407,PecCod,0)),0))</f>
        <v>0</v>
      </c>
      <c r="I2407" s="32">
        <f>IF($A2407="","",IFERROR(INDEX(OSStatus,MATCH($A2407,OSNum,0)),"OS inexistente"))</f>
        <v>0</v>
      </c>
      <c r="J2407" s="32">
        <f>IF($A2407="","",IF($I2407="OS inexistente","OS inexistente",IF($E2407="Peça não cadastrada","Peça não cadastrada","OK")))</f>
        <v>0</v>
      </c>
    </row>
    <row r="2408" spans="1:10">
      <c r="A2408" s="17"/>
      <c r="B2408" s="13"/>
      <c r="C2408" s="20"/>
      <c r="D2408" s="19"/>
      <c r="E2408" s="26">
        <f>IF($B2408="","",IFERROR(INDEX(PecDesc,MATCH($B2408,PecCod,0)),"Peça não cadastrada"))</f>
        <v>0</v>
      </c>
      <c r="F2408" s="27">
        <f>IF($B2408="","",IF($D2408&lt;&gt;"",$D2408,IFERROR(INDEX(PecPreco,MATCH($B2408,PecCod,0)),0)))</f>
        <v>0</v>
      </c>
      <c r="G2408" s="27">
        <f>IF(OR($B2408="",$C2408=""),"",$C2408*$F2408)</f>
        <v>0</v>
      </c>
      <c r="H2408" s="27">
        <f>IF(OR($B2408="",$C2408=""),"",$C2408*IFERROR(INDEX(PecCusto,MATCH($B2408,PecCod,0)),0))</f>
        <v>0</v>
      </c>
      <c r="I2408" s="32">
        <f>IF($A2408="","",IFERROR(INDEX(OSStatus,MATCH($A2408,OSNum,0)),"OS inexistente"))</f>
        <v>0</v>
      </c>
      <c r="J2408" s="32">
        <f>IF($A2408="","",IF($I2408="OS inexistente","OS inexistente",IF($E2408="Peça não cadastrada","Peça não cadastrada","OK")))</f>
        <v>0</v>
      </c>
    </row>
    <row r="2409" spans="1:10">
      <c r="A2409" s="17"/>
      <c r="B2409" s="13"/>
      <c r="C2409" s="20"/>
      <c r="D2409" s="19"/>
      <c r="E2409" s="26">
        <f>IF($B2409="","",IFERROR(INDEX(PecDesc,MATCH($B2409,PecCod,0)),"Peça não cadastrada"))</f>
        <v>0</v>
      </c>
      <c r="F2409" s="27">
        <f>IF($B2409="","",IF($D2409&lt;&gt;"",$D2409,IFERROR(INDEX(PecPreco,MATCH($B2409,PecCod,0)),0)))</f>
        <v>0</v>
      </c>
      <c r="G2409" s="27">
        <f>IF(OR($B2409="",$C2409=""),"",$C2409*$F2409)</f>
        <v>0</v>
      </c>
      <c r="H2409" s="27">
        <f>IF(OR($B2409="",$C2409=""),"",$C2409*IFERROR(INDEX(PecCusto,MATCH($B2409,PecCod,0)),0))</f>
        <v>0</v>
      </c>
      <c r="I2409" s="32">
        <f>IF($A2409="","",IFERROR(INDEX(OSStatus,MATCH($A2409,OSNum,0)),"OS inexistente"))</f>
        <v>0</v>
      </c>
      <c r="J2409" s="32">
        <f>IF($A2409="","",IF($I2409="OS inexistente","OS inexistente",IF($E2409="Peça não cadastrada","Peça não cadastrada","OK")))</f>
        <v>0</v>
      </c>
    </row>
    <row r="2410" spans="1:10">
      <c r="A2410" s="17"/>
      <c r="B2410" s="13"/>
      <c r="C2410" s="20"/>
      <c r="D2410" s="19"/>
      <c r="E2410" s="26">
        <f>IF($B2410="","",IFERROR(INDEX(PecDesc,MATCH($B2410,PecCod,0)),"Peça não cadastrada"))</f>
        <v>0</v>
      </c>
      <c r="F2410" s="27">
        <f>IF($B2410="","",IF($D2410&lt;&gt;"",$D2410,IFERROR(INDEX(PecPreco,MATCH($B2410,PecCod,0)),0)))</f>
        <v>0</v>
      </c>
      <c r="G2410" s="27">
        <f>IF(OR($B2410="",$C2410=""),"",$C2410*$F2410)</f>
        <v>0</v>
      </c>
      <c r="H2410" s="27">
        <f>IF(OR($B2410="",$C2410=""),"",$C2410*IFERROR(INDEX(PecCusto,MATCH($B2410,PecCod,0)),0))</f>
        <v>0</v>
      </c>
      <c r="I2410" s="32">
        <f>IF($A2410="","",IFERROR(INDEX(OSStatus,MATCH($A2410,OSNum,0)),"OS inexistente"))</f>
        <v>0</v>
      </c>
      <c r="J2410" s="32">
        <f>IF($A2410="","",IF($I2410="OS inexistente","OS inexistente",IF($E2410="Peça não cadastrada","Peça não cadastrada","OK")))</f>
        <v>0</v>
      </c>
    </row>
    <row r="2411" spans="1:10">
      <c r="A2411" s="17"/>
      <c r="B2411" s="13"/>
      <c r="C2411" s="20"/>
      <c r="D2411" s="19"/>
      <c r="E2411" s="26">
        <f>IF($B2411="","",IFERROR(INDEX(PecDesc,MATCH($B2411,PecCod,0)),"Peça não cadastrada"))</f>
        <v>0</v>
      </c>
      <c r="F2411" s="27">
        <f>IF($B2411="","",IF($D2411&lt;&gt;"",$D2411,IFERROR(INDEX(PecPreco,MATCH($B2411,PecCod,0)),0)))</f>
        <v>0</v>
      </c>
      <c r="G2411" s="27">
        <f>IF(OR($B2411="",$C2411=""),"",$C2411*$F2411)</f>
        <v>0</v>
      </c>
      <c r="H2411" s="27">
        <f>IF(OR($B2411="",$C2411=""),"",$C2411*IFERROR(INDEX(PecCusto,MATCH($B2411,PecCod,0)),0))</f>
        <v>0</v>
      </c>
      <c r="I2411" s="32">
        <f>IF($A2411="","",IFERROR(INDEX(OSStatus,MATCH($A2411,OSNum,0)),"OS inexistente"))</f>
        <v>0</v>
      </c>
      <c r="J2411" s="32">
        <f>IF($A2411="","",IF($I2411="OS inexistente","OS inexistente",IF($E2411="Peça não cadastrada","Peça não cadastrada","OK")))</f>
        <v>0</v>
      </c>
    </row>
    <row r="2412" spans="1:10">
      <c r="A2412" s="17"/>
      <c r="B2412" s="13"/>
      <c r="C2412" s="20"/>
      <c r="D2412" s="19"/>
      <c r="E2412" s="26">
        <f>IF($B2412="","",IFERROR(INDEX(PecDesc,MATCH($B2412,PecCod,0)),"Peça não cadastrada"))</f>
        <v>0</v>
      </c>
      <c r="F2412" s="27">
        <f>IF($B2412="","",IF($D2412&lt;&gt;"",$D2412,IFERROR(INDEX(PecPreco,MATCH($B2412,PecCod,0)),0)))</f>
        <v>0</v>
      </c>
      <c r="G2412" s="27">
        <f>IF(OR($B2412="",$C2412=""),"",$C2412*$F2412)</f>
        <v>0</v>
      </c>
      <c r="H2412" s="27">
        <f>IF(OR($B2412="",$C2412=""),"",$C2412*IFERROR(INDEX(PecCusto,MATCH($B2412,PecCod,0)),0))</f>
        <v>0</v>
      </c>
      <c r="I2412" s="32">
        <f>IF($A2412="","",IFERROR(INDEX(OSStatus,MATCH($A2412,OSNum,0)),"OS inexistente"))</f>
        <v>0</v>
      </c>
      <c r="J2412" s="32">
        <f>IF($A2412="","",IF($I2412="OS inexistente","OS inexistente",IF($E2412="Peça não cadastrada","Peça não cadastrada","OK")))</f>
        <v>0</v>
      </c>
    </row>
    <row r="2413" spans="1:10">
      <c r="A2413" s="17"/>
      <c r="B2413" s="13"/>
      <c r="C2413" s="20"/>
      <c r="D2413" s="19"/>
      <c r="E2413" s="26">
        <f>IF($B2413="","",IFERROR(INDEX(PecDesc,MATCH($B2413,PecCod,0)),"Peça não cadastrada"))</f>
        <v>0</v>
      </c>
      <c r="F2413" s="27">
        <f>IF($B2413="","",IF($D2413&lt;&gt;"",$D2413,IFERROR(INDEX(PecPreco,MATCH($B2413,PecCod,0)),0)))</f>
        <v>0</v>
      </c>
      <c r="G2413" s="27">
        <f>IF(OR($B2413="",$C2413=""),"",$C2413*$F2413)</f>
        <v>0</v>
      </c>
      <c r="H2413" s="27">
        <f>IF(OR($B2413="",$C2413=""),"",$C2413*IFERROR(INDEX(PecCusto,MATCH($B2413,PecCod,0)),0))</f>
        <v>0</v>
      </c>
      <c r="I2413" s="32">
        <f>IF($A2413="","",IFERROR(INDEX(OSStatus,MATCH($A2413,OSNum,0)),"OS inexistente"))</f>
        <v>0</v>
      </c>
      <c r="J2413" s="32">
        <f>IF($A2413="","",IF($I2413="OS inexistente","OS inexistente",IF($E2413="Peça não cadastrada","Peça não cadastrada","OK")))</f>
        <v>0</v>
      </c>
    </row>
    <row r="2414" spans="1:10">
      <c r="A2414" s="17"/>
      <c r="B2414" s="13"/>
      <c r="C2414" s="20"/>
      <c r="D2414" s="19"/>
      <c r="E2414" s="26">
        <f>IF($B2414="","",IFERROR(INDEX(PecDesc,MATCH($B2414,PecCod,0)),"Peça não cadastrada"))</f>
        <v>0</v>
      </c>
      <c r="F2414" s="27">
        <f>IF($B2414="","",IF($D2414&lt;&gt;"",$D2414,IFERROR(INDEX(PecPreco,MATCH($B2414,PecCod,0)),0)))</f>
        <v>0</v>
      </c>
      <c r="G2414" s="27">
        <f>IF(OR($B2414="",$C2414=""),"",$C2414*$F2414)</f>
        <v>0</v>
      </c>
      <c r="H2414" s="27">
        <f>IF(OR($B2414="",$C2414=""),"",$C2414*IFERROR(INDEX(PecCusto,MATCH($B2414,PecCod,0)),0))</f>
        <v>0</v>
      </c>
      <c r="I2414" s="32">
        <f>IF($A2414="","",IFERROR(INDEX(OSStatus,MATCH($A2414,OSNum,0)),"OS inexistente"))</f>
        <v>0</v>
      </c>
      <c r="J2414" s="32">
        <f>IF($A2414="","",IF($I2414="OS inexistente","OS inexistente",IF($E2414="Peça não cadastrada","Peça não cadastrada","OK")))</f>
        <v>0</v>
      </c>
    </row>
    <row r="2415" spans="1:10">
      <c r="A2415" s="17"/>
      <c r="B2415" s="13"/>
      <c r="C2415" s="20"/>
      <c r="D2415" s="19"/>
      <c r="E2415" s="26">
        <f>IF($B2415="","",IFERROR(INDEX(PecDesc,MATCH($B2415,PecCod,0)),"Peça não cadastrada"))</f>
        <v>0</v>
      </c>
      <c r="F2415" s="27">
        <f>IF($B2415="","",IF($D2415&lt;&gt;"",$D2415,IFERROR(INDEX(PecPreco,MATCH($B2415,PecCod,0)),0)))</f>
        <v>0</v>
      </c>
      <c r="G2415" s="27">
        <f>IF(OR($B2415="",$C2415=""),"",$C2415*$F2415)</f>
        <v>0</v>
      </c>
      <c r="H2415" s="27">
        <f>IF(OR($B2415="",$C2415=""),"",$C2415*IFERROR(INDEX(PecCusto,MATCH($B2415,PecCod,0)),0))</f>
        <v>0</v>
      </c>
      <c r="I2415" s="32">
        <f>IF($A2415="","",IFERROR(INDEX(OSStatus,MATCH($A2415,OSNum,0)),"OS inexistente"))</f>
        <v>0</v>
      </c>
      <c r="J2415" s="32">
        <f>IF($A2415="","",IF($I2415="OS inexistente","OS inexistente",IF($E2415="Peça não cadastrada","Peça não cadastrada","OK")))</f>
        <v>0</v>
      </c>
    </row>
    <row r="2416" spans="1:10">
      <c r="A2416" s="17"/>
      <c r="B2416" s="13"/>
      <c r="C2416" s="20"/>
      <c r="D2416" s="19"/>
      <c r="E2416" s="26">
        <f>IF($B2416="","",IFERROR(INDEX(PecDesc,MATCH($B2416,PecCod,0)),"Peça não cadastrada"))</f>
        <v>0</v>
      </c>
      <c r="F2416" s="27">
        <f>IF($B2416="","",IF($D2416&lt;&gt;"",$D2416,IFERROR(INDEX(PecPreco,MATCH($B2416,PecCod,0)),0)))</f>
        <v>0</v>
      </c>
      <c r="G2416" s="27">
        <f>IF(OR($B2416="",$C2416=""),"",$C2416*$F2416)</f>
        <v>0</v>
      </c>
      <c r="H2416" s="27">
        <f>IF(OR($B2416="",$C2416=""),"",$C2416*IFERROR(INDEX(PecCusto,MATCH($B2416,PecCod,0)),0))</f>
        <v>0</v>
      </c>
      <c r="I2416" s="32">
        <f>IF($A2416="","",IFERROR(INDEX(OSStatus,MATCH($A2416,OSNum,0)),"OS inexistente"))</f>
        <v>0</v>
      </c>
      <c r="J2416" s="32">
        <f>IF($A2416="","",IF($I2416="OS inexistente","OS inexistente",IF($E2416="Peça não cadastrada","Peça não cadastrada","OK")))</f>
        <v>0</v>
      </c>
    </row>
    <row r="2417" spans="1:10">
      <c r="A2417" s="17"/>
      <c r="B2417" s="13"/>
      <c r="C2417" s="20"/>
      <c r="D2417" s="19"/>
      <c r="E2417" s="26">
        <f>IF($B2417="","",IFERROR(INDEX(PecDesc,MATCH($B2417,PecCod,0)),"Peça não cadastrada"))</f>
        <v>0</v>
      </c>
      <c r="F2417" s="27">
        <f>IF($B2417="","",IF($D2417&lt;&gt;"",$D2417,IFERROR(INDEX(PecPreco,MATCH($B2417,PecCod,0)),0)))</f>
        <v>0</v>
      </c>
      <c r="G2417" s="27">
        <f>IF(OR($B2417="",$C2417=""),"",$C2417*$F2417)</f>
        <v>0</v>
      </c>
      <c r="H2417" s="27">
        <f>IF(OR($B2417="",$C2417=""),"",$C2417*IFERROR(INDEX(PecCusto,MATCH($B2417,PecCod,0)),0))</f>
        <v>0</v>
      </c>
      <c r="I2417" s="32">
        <f>IF($A2417="","",IFERROR(INDEX(OSStatus,MATCH($A2417,OSNum,0)),"OS inexistente"))</f>
        <v>0</v>
      </c>
      <c r="J2417" s="32">
        <f>IF($A2417="","",IF($I2417="OS inexistente","OS inexistente",IF($E2417="Peça não cadastrada","Peça não cadastrada","OK")))</f>
        <v>0</v>
      </c>
    </row>
    <row r="2418" spans="1:10">
      <c r="A2418" s="17"/>
      <c r="B2418" s="13"/>
      <c r="C2418" s="20"/>
      <c r="D2418" s="19"/>
      <c r="E2418" s="26">
        <f>IF($B2418="","",IFERROR(INDEX(PecDesc,MATCH($B2418,PecCod,0)),"Peça não cadastrada"))</f>
        <v>0</v>
      </c>
      <c r="F2418" s="27">
        <f>IF($B2418="","",IF($D2418&lt;&gt;"",$D2418,IFERROR(INDEX(PecPreco,MATCH($B2418,PecCod,0)),0)))</f>
        <v>0</v>
      </c>
      <c r="G2418" s="27">
        <f>IF(OR($B2418="",$C2418=""),"",$C2418*$F2418)</f>
        <v>0</v>
      </c>
      <c r="H2418" s="27">
        <f>IF(OR($B2418="",$C2418=""),"",$C2418*IFERROR(INDEX(PecCusto,MATCH($B2418,PecCod,0)),0))</f>
        <v>0</v>
      </c>
      <c r="I2418" s="32">
        <f>IF($A2418="","",IFERROR(INDEX(OSStatus,MATCH($A2418,OSNum,0)),"OS inexistente"))</f>
        <v>0</v>
      </c>
      <c r="J2418" s="32">
        <f>IF($A2418="","",IF($I2418="OS inexistente","OS inexistente",IF($E2418="Peça não cadastrada","Peça não cadastrada","OK")))</f>
        <v>0</v>
      </c>
    </row>
    <row r="2419" spans="1:10">
      <c r="A2419" s="17"/>
      <c r="B2419" s="13"/>
      <c r="C2419" s="20"/>
      <c r="D2419" s="19"/>
      <c r="E2419" s="26">
        <f>IF($B2419="","",IFERROR(INDEX(PecDesc,MATCH($B2419,PecCod,0)),"Peça não cadastrada"))</f>
        <v>0</v>
      </c>
      <c r="F2419" s="27">
        <f>IF($B2419="","",IF($D2419&lt;&gt;"",$D2419,IFERROR(INDEX(PecPreco,MATCH($B2419,PecCod,0)),0)))</f>
        <v>0</v>
      </c>
      <c r="G2419" s="27">
        <f>IF(OR($B2419="",$C2419=""),"",$C2419*$F2419)</f>
        <v>0</v>
      </c>
      <c r="H2419" s="27">
        <f>IF(OR($B2419="",$C2419=""),"",$C2419*IFERROR(INDEX(PecCusto,MATCH($B2419,PecCod,0)),0))</f>
        <v>0</v>
      </c>
      <c r="I2419" s="32">
        <f>IF($A2419="","",IFERROR(INDEX(OSStatus,MATCH($A2419,OSNum,0)),"OS inexistente"))</f>
        <v>0</v>
      </c>
      <c r="J2419" s="32">
        <f>IF($A2419="","",IF($I2419="OS inexistente","OS inexistente",IF($E2419="Peça não cadastrada","Peça não cadastrada","OK")))</f>
        <v>0</v>
      </c>
    </row>
    <row r="2420" spans="1:10">
      <c r="A2420" s="17"/>
      <c r="B2420" s="13"/>
      <c r="C2420" s="20"/>
      <c r="D2420" s="19"/>
      <c r="E2420" s="26">
        <f>IF($B2420="","",IFERROR(INDEX(PecDesc,MATCH($B2420,PecCod,0)),"Peça não cadastrada"))</f>
        <v>0</v>
      </c>
      <c r="F2420" s="27">
        <f>IF($B2420="","",IF($D2420&lt;&gt;"",$D2420,IFERROR(INDEX(PecPreco,MATCH($B2420,PecCod,0)),0)))</f>
        <v>0</v>
      </c>
      <c r="G2420" s="27">
        <f>IF(OR($B2420="",$C2420=""),"",$C2420*$F2420)</f>
        <v>0</v>
      </c>
      <c r="H2420" s="27">
        <f>IF(OR($B2420="",$C2420=""),"",$C2420*IFERROR(INDEX(PecCusto,MATCH($B2420,PecCod,0)),0))</f>
        <v>0</v>
      </c>
      <c r="I2420" s="32">
        <f>IF($A2420="","",IFERROR(INDEX(OSStatus,MATCH($A2420,OSNum,0)),"OS inexistente"))</f>
        <v>0</v>
      </c>
      <c r="J2420" s="32">
        <f>IF($A2420="","",IF($I2420="OS inexistente","OS inexistente",IF($E2420="Peça não cadastrada","Peça não cadastrada","OK")))</f>
        <v>0</v>
      </c>
    </row>
    <row r="2421" spans="1:10">
      <c r="A2421" s="17"/>
      <c r="B2421" s="13"/>
      <c r="C2421" s="20"/>
      <c r="D2421" s="19"/>
      <c r="E2421" s="26">
        <f>IF($B2421="","",IFERROR(INDEX(PecDesc,MATCH($B2421,PecCod,0)),"Peça não cadastrada"))</f>
        <v>0</v>
      </c>
      <c r="F2421" s="27">
        <f>IF($B2421="","",IF($D2421&lt;&gt;"",$D2421,IFERROR(INDEX(PecPreco,MATCH($B2421,PecCod,0)),0)))</f>
        <v>0</v>
      </c>
      <c r="G2421" s="27">
        <f>IF(OR($B2421="",$C2421=""),"",$C2421*$F2421)</f>
        <v>0</v>
      </c>
      <c r="H2421" s="27">
        <f>IF(OR($B2421="",$C2421=""),"",$C2421*IFERROR(INDEX(PecCusto,MATCH($B2421,PecCod,0)),0))</f>
        <v>0</v>
      </c>
      <c r="I2421" s="32">
        <f>IF($A2421="","",IFERROR(INDEX(OSStatus,MATCH($A2421,OSNum,0)),"OS inexistente"))</f>
        <v>0</v>
      </c>
      <c r="J2421" s="32">
        <f>IF($A2421="","",IF($I2421="OS inexistente","OS inexistente",IF($E2421="Peça não cadastrada","Peça não cadastrada","OK")))</f>
        <v>0</v>
      </c>
    </row>
    <row r="2422" spans="1:10">
      <c r="A2422" s="17"/>
      <c r="B2422" s="13"/>
      <c r="C2422" s="20"/>
      <c r="D2422" s="19"/>
      <c r="E2422" s="26">
        <f>IF($B2422="","",IFERROR(INDEX(PecDesc,MATCH($B2422,PecCod,0)),"Peça não cadastrada"))</f>
        <v>0</v>
      </c>
      <c r="F2422" s="27">
        <f>IF($B2422="","",IF($D2422&lt;&gt;"",$D2422,IFERROR(INDEX(PecPreco,MATCH($B2422,PecCod,0)),0)))</f>
        <v>0</v>
      </c>
      <c r="G2422" s="27">
        <f>IF(OR($B2422="",$C2422=""),"",$C2422*$F2422)</f>
        <v>0</v>
      </c>
      <c r="H2422" s="27">
        <f>IF(OR($B2422="",$C2422=""),"",$C2422*IFERROR(INDEX(PecCusto,MATCH($B2422,PecCod,0)),0))</f>
        <v>0</v>
      </c>
      <c r="I2422" s="32">
        <f>IF($A2422="","",IFERROR(INDEX(OSStatus,MATCH($A2422,OSNum,0)),"OS inexistente"))</f>
        <v>0</v>
      </c>
      <c r="J2422" s="32">
        <f>IF($A2422="","",IF($I2422="OS inexistente","OS inexistente",IF($E2422="Peça não cadastrada","Peça não cadastrada","OK")))</f>
        <v>0</v>
      </c>
    </row>
    <row r="2423" spans="1:10">
      <c r="A2423" s="17"/>
      <c r="B2423" s="13"/>
      <c r="C2423" s="20"/>
      <c r="D2423" s="19"/>
      <c r="E2423" s="26">
        <f>IF($B2423="","",IFERROR(INDEX(PecDesc,MATCH($B2423,PecCod,0)),"Peça não cadastrada"))</f>
        <v>0</v>
      </c>
      <c r="F2423" s="27">
        <f>IF($B2423="","",IF($D2423&lt;&gt;"",$D2423,IFERROR(INDEX(PecPreco,MATCH($B2423,PecCod,0)),0)))</f>
        <v>0</v>
      </c>
      <c r="G2423" s="27">
        <f>IF(OR($B2423="",$C2423=""),"",$C2423*$F2423)</f>
        <v>0</v>
      </c>
      <c r="H2423" s="27">
        <f>IF(OR($B2423="",$C2423=""),"",$C2423*IFERROR(INDEX(PecCusto,MATCH($B2423,PecCod,0)),0))</f>
        <v>0</v>
      </c>
      <c r="I2423" s="32">
        <f>IF($A2423="","",IFERROR(INDEX(OSStatus,MATCH($A2423,OSNum,0)),"OS inexistente"))</f>
        <v>0</v>
      </c>
      <c r="J2423" s="32">
        <f>IF($A2423="","",IF($I2423="OS inexistente","OS inexistente",IF($E2423="Peça não cadastrada","Peça não cadastrada","OK")))</f>
        <v>0</v>
      </c>
    </row>
    <row r="2424" spans="1:10">
      <c r="A2424" s="17"/>
      <c r="B2424" s="13"/>
      <c r="C2424" s="20"/>
      <c r="D2424" s="19"/>
      <c r="E2424" s="26">
        <f>IF($B2424="","",IFERROR(INDEX(PecDesc,MATCH($B2424,PecCod,0)),"Peça não cadastrada"))</f>
        <v>0</v>
      </c>
      <c r="F2424" s="27">
        <f>IF($B2424="","",IF($D2424&lt;&gt;"",$D2424,IFERROR(INDEX(PecPreco,MATCH($B2424,PecCod,0)),0)))</f>
        <v>0</v>
      </c>
      <c r="G2424" s="27">
        <f>IF(OR($B2424="",$C2424=""),"",$C2424*$F2424)</f>
        <v>0</v>
      </c>
      <c r="H2424" s="27">
        <f>IF(OR($B2424="",$C2424=""),"",$C2424*IFERROR(INDEX(PecCusto,MATCH($B2424,PecCod,0)),0))</f>
        <v>0</v>
      </c>
      <c r="I2424" s="32">
        <f>IF($A2424="","",IFERROR(INDEX(OSStatus,MATCH($A2424,OSNum,0)),"OS inexistente"))</f>
        <v>0</v>
      </c>
      <c r="J2424" s="32">
        <f>IF($A2424="","",IF($I2424="OS inexistente","OS inexistente",IF($E2424="Peça não cadastrada","Peça não cadastrada","OK")))</f>
        <v>0</v>
      </c>
    </row>
    <row r="2425" spans="1:10">
      <c r="A2425" s="17"/>
      <c r="B2425" s="13"/>
      <c r="C2425" s="20"/>
      <c r="D2425" s="19"/>
      <c r="E2425" s="26">
        <f>IF($B2425="","",IFERROR(INDEX(PecDesc,MATCH($B2425,PecCod,0)),"Peça não cadastrada"))</f>
        <v>0</v>
      </c>
      <c r="F2425" s="27">
        <f>IF($B2425="","",IF($D2425&lt;&gt;"",$D2425,IFERROR(INDEX(PecPreco,MATCH($B2425,PecCod,0)),0)))</f>
        <v>0</v>
      </c>
      <c r="G2425" s="27">
        <f>IF(OR($B2425="",$C2425=""),"",$C2425*$F2425)</f>
        <v>0</v>
      </c>
      <c r="H2425" s="27">
        <f>IF(OR($B2425="",$C2425=""),"",$C2425*IFERROR(INDEX(PecCusto,MATCH($B2425,PecCod,0)),0))</f>
        <v>0</v>
      </c>
      <c r="I2425" s="32">
        <f>IF($A2425="","",IFERROR(INDEX(OSStatus,MATCH($A2425,OSNum,0)),"OS inexistente"))</f>
        <v>0</v>
      </c>
      <c r="J2425" s="32">
        <f>IF($A2425="","",IF($I2425="OS inexistente","OS inexistente",IF($E2425="Peça não cadastrada","Peça não cadastrada","OK")))</f>
        <v>0</v>
      </c>
    </row>
    <row r="2426" spans="1:10">
      <c r="A2426" s="17"/>
      <c r="B2426" s="13"/>
      <c r="C2426" s="20"/>
      <c r="D2426" s="19"/>
      <c r="E2426" s="26">
        <f>IF($B2426="","",IFERROR(INDEX(PecDesc,MATCH($B2426,PecCod,0)),"Peça não cadastrada"))</f>
        <v>0</v>
      </c>
      <c r="F2426" s="27">
        <f>IF($B2426="","",IF($D2426&lt;&gt;"",$D2426,IFERROR(INDEX(PecPreco,MATCH($B2426,PecCod,0)),0)))</f>
        <v>0</v>
      </c>
      <c r="G2426" s="27">
        <f>IF(OR($B2426="",$C2426=""),"",$C2426*$F2426)</f>
        <v>0</v>
      </c>
      <c r="H2426" s="27">
        <f>IF(OR($B2426="",$C2426=""),"",$C2426*IFERROR(INDEX(PecCusto,MATCH($B2426,PecCod,0)),0))</f>
        <v>0</v>
      </c>
      <c r="I2426" s="32">
        <f>IF($A2426="","",IFERROR(INDEX(OSStatus,MATCH($A2426,OSNum,0)),"OS inexistente"))</f>
        <v>0</v>
      </c>
      <c r="J2426" s="32">
        <f>IF($A2426="","",IF($I2426="OS inexistente","OS inexistente",IF($E2426="Peça não cadastrada","Peça não cadastrada","OK")))</f>
        <v>0</v>
      </c>
    </row>
    <row r="2427" spans="1:10">
      <c r="A2427" s="17"/>
      <c r="B2427" s="13"/>
      <c r="C2427" s="20"/>
      <c r="D2427" s="19"/>
      <c r="E2427" s="26">
        <f>IF($B2427="","",IFERROR(INDEX(PecDesc,MATCH($B2427,PecCod,0)),"Peça não cadastrada"))</f>
        <v>0</v>
      </c>
      <c r="F2427" s="27">
        <f>IF($B2427="","",IF($D2427&lt;&gt;"",$D2427,IFERROR(INDEX(PecPreco,MATCH($B2427,PecCod,0)),0)))</f>
        <v>0</v>
      </c>
      <c r="G2427" s="27">
        <f>IF(OR($B2427="",$C2427=""),"",$C2427*$F2427)</f>
        <v>0</v>
      </c>
      <c r="H2427" s="27">
        <f>IF(OR($B2427="",$C2427=""),"",$C2427*IFERROR(INDEX(PecCusto,MATCH($B2427,PecCod,0)),0))</f>
        <v>0</v>
      </c>
      <c r="I2427" s="32">
        <f>IF($A2427="","",IFERROR(INDEX(OSStatus,MATCH($A2427,OSNum,0)),"OS inexistente"))</f>
        <v>0</v>
      </c>
      <c r="J2427" s="32">
        <f>IF($A2427="","",IF($I2427="OS inexistente","OS inexistente",IF($E2427="Peça não cadastrada","Peça não cadastrada","OK")))</f>
        <v>0</v>
      </c>
    </row>
    <row r="2428" spans="1:10">
      <c r="A2428" s="17"/>
      <c r="B2428" s="13"/>
      <c r="C2428" s="20"/>
      <c r="D2428" s="19"/>
      <c r="E2428" s="26">
        <f>IF($B2428="","",IFERROR(INDEX(PecDesc,MATCH($B2428,PecCod,0)),"Peça não cadastrada"))</f>
        <v>0</v>
      </c>
      <c r="F2428" s="27">
        <f>IF($B2428="","",IF($D2428&lt;&gt;"",$D2428,IFERROR(INDEX(PecPreco,MATCH($B2428,PecCod,0)),0)))</f>
        <v>0</v>
      </c>
      <c r="G2428" s="27">
        <f>IF(OR($B2428="",$C2428=""),"",$C2428*$F2428)</f>
        <v>0</v>
      </c>
      <c r="H2428" s="27">
        <f>IF(OR($B2428="",$C2428=""),"",$C2428*IFERROR(INDEX(PecCusto,MATCH($B2428,PecCod,0)),0))</f>
        <v>0</v>
      </c>
      <c r="I2428" s="32">
        <f>IF($A2428="","",IFERROR(INDEX(OSStatus,MATCH($A2428,OSNum,0)),"OS inexistente"))</f>
        <v>0</v>
      </c>
      <c r="J2428" s="32">
        <f>IF($A2428="","",IF($I2428="OS inexistente","OS inexistente",IF($E2428="Peça não cadastrada","Peça não cadastrada","OK")))</f>
        <v>0</v>
      </c>
    </row>
    <row r="2429" spans="1:10">
      <c r="A2429" s="17"/>
      <c r="B2429" s="13"/>
      <c r="C2429" s="20"/>
      <c r="D2429" s="19"/>
      <c r="E2429" s="26">
        <f>IF($B2429="","",IFERROR(INDEX(PecDesc,MATCH($B2429,PecCod,0)),"Peça não cadastrada"))</f>
        <v>0</v>
      </c>
      <c r="F2429" s="27">
        <f>IF($B2429="","",IF($D2429&lt;&gt;"",$D2429,IFERROR(INDEX(PecPreco,MATCH($B2429,PecCod,0)),0)))</f>
        <v>0</v>
      </c>
      <c r="G2429" s="27">
        <f>IF(OR($B2429="",$C2429=""),"",$C2429*$F2429)</f>
        <v>0</v>
      </c>
      <c r="H2429" s="27">
        <f>IF(OR($B2429="",$C2429=""),"",$C2429*IFERROR(INDEX(PecCusto,MATCH($B2429,PecCod,0)),0))</f>
        <v>0</v>
      </c>
      <c r="I2429" s="32">
        <f>IF($A2429="","",IFERROR(INDEX(OSStatus,MATCH($A2429,OSNum,0)),"OS inexistente"))</f>
        <v>0</v>
      </c>
      <c r="J2429" s="32">
        <f>IF($A2429="","",IF($I2429="OS inexistente","OS inexistente",IF($E2429="Peça não cadastrada","Peça não cadastrada","OK")))</f>
        <v>0</v>
      </c>
    </row>
    <row r="2430" spans="1:10">
      <c r="A2430" s="17"/>
      <c r="B2430" s="13"/>
      <c r="C2430" s="20"/>
      <c r="D2430" s="19"/>
      <c r="E2430" s="26">
        <f>IF($B2430="","",IFERROR(INDEX(PecDesc,MATCH($B2430,PecCod,0)),"Peça não cadastrada"))</f>
        <v>0</v>
      </c>
      <c r="F2430" s="27">
        <f>IF($B2430="","",IF($D2430&lt;&gt;"",$D2430,IFERROR(INDEX(PecPreco,MATCH($B2430,PecCod,0)),0)))</f>
        <v>0</v>
      </c>
      <c r="G2430" s="27">
        <f>IF(OR($B2430="",$C2430=""),"",$C2430*$F2430)</f>
        <v>0</v>
      </c>
      <c r="H2430" s="27">
        <f>IF(OR($B2430="",$C2430=""),"",$C2430*IFERROR(INDEX(PecCusto,MATCH($B2430,PecCod,0)),0))</f>
        <v>0</v>
      </c>
      <c r="I2430" s="32">
        <f>IF($A2430="","",IFERROR(INDEX(OSStatus,MATCH($A2430,OSNum,0)),"OS inexistente"))</f>
        <v>0</v>
      </c>
      <c r="J2430" s="32">
        <f>IF($A2430="","",IF($I2430="OS inexistente","OS inexistente",IF($E2430="Peça não cadastrada","Peça não cadastrada","OK")))</f>
        <v>0</v>
      </c>
    </row>
    <row r="2431" spans="1:10">
      <c r="A2431" s="17"/>
      <c r="B2431" s="13"/>
      <c r="C2431" s="20"/>
      <c r="D2431" s="19"/>
      <c r="E2431" s="26">
        <f>IF($B2431="","",IFERROR(INDEX(PecDesc,MATCH($B2431,PecCod,0)),"Peça não cadastrada"))</f>
        <v>0</v>
      </c>
      <c r="F2431" s="27">
        <f>IF($B2431="","",IF($D2431&lt;&gt;"",$D2431,IFERROR(INDEX(PecPreco,MATCH($B2431,PecCod,0)),0)))</f>
        <v>0</v>
      </c>
      <c r="G2431" s="27">
        <f>IF(OR($B2431="",$C2431=""),"",$C2431*$F2431)</f>
        <v>0</v>
      </c>
      <c r="H2431" s="27">
        <f>IF(OR($B2431="",$C2431=""),"",$C2431*IFERROR(INDEX(PecCusto,MATCH($B2431,PecCod,0)),0))</f>
        <v>0</v>
      </c>
      <c r="I2431" s="32">
        <f>IF($A2431="","",IFERROR(INDEX(OSStatus,MATCH($A2431,OSNum,0)),"OS inexistente"))</f>
        <v>0</v>
      </c>
      <c r="J2431" s="32">
        <f>IF($A2431="","",IF($I2431="OS inexistente","OS inexistente",IF($E2431="Peça não cadastrada","Peça não cadastrada","OK")))</f>
        <v>0</v>
      </c>
    </row>
    <row r="2432" spans="1:10">
      <c r="A2432" s="17"/>
      <c r="B2432" s="13"/>
      <c r="C2432" s="20"/>
      <c r="D2432" s="19"/>
      <c r="E2432" s="26">
        <f>IF($B2432="","",IFERROR(INDEX(PecDesc,MATCH($B2432,PecCod,0)),"Peça não cadastrada"))</f>
        <v>0</v>
      </c>
      <c r="F2432" s="27">
        <f>IF($B2432="","",IF($D2432&lt;&gt;"",$D2432,IFERROR(INDEX(PecPreco,MATCH($B2432,PecCod,0)),0)))</f>
        <v>0</v>
      </c>
      <c r="G2432" s="27">
        <f>IF(OR($B2432="",$C2432=""),"",$C2432*$F2432)</f>
        <v>0</v>
      </c>
      <c r="H2432" s="27">
        <f>IF(OR($B2432="",$C2432=""),"",$C2432*IFERROR(INDEX(PecCusto,MATCH($B2432,PecCod,0)),0))</f>
        <v>0</v>
      </c>
      <c r="I2432" s="32">
        <f>IF($A2432="","",IFERROR(INDEX(OSStatus,MATCH($A2432,OSNum,0)),"OS inexistente"))</f>
        <v>0</v>
      </c>
      <c r="J2432" s="32">
        <f>IF($A2432="","",IF($I2432="OS inexistente","OS inexistente",IF($E2432="Peça não cadastrada","Peça não cadastrada","OK")))</f>
        <v>0</v>
      </c>
    </row>
    <row r="2433" spans="1:10">
      <c r="A2433" s="17"/>
      <c r="B2433" s="13"/>
      <c r="C2433" s="20"/>
      <c r="D2433" s="19"/>
      <c r="E2433" s="26">
        <f>IF($B2433="","",IFERROR(INDEX(PecDesc,MATCH($B2433,PecCod,0)),"Peça não cadastrada"))</f>
        <v>0</v>
      </c>
      <c r="F2433" s="27">
        <f>IF($B2433="","",IF($D2433&lt;&gt;"",$D2433,IFERROR(INDEX(PecPreco,MATCH($B2433,PecCod,0)),0)))</f>
        <v>0</v>
      </c>
      <c r="G2433" s="27">
        <f>IF(OR($B2433="",$C2433=""),"",$C2433*$F2433)</f>
        <v>0</v>
      </c>
      <c r="H2433" s="27">
        <f>IF(OR($B2433="",$C2433=""),"",$C2433*IFERROR(INDEX(PecCusto,MATCH($B2433,PecCod,0)),0))</f>
        <v>0</v>
      </c>
      <c r="I2433" s="32">
        <f>IF($A2433="","",IFERROR(INDEX(OSStatus,MATCH($A2433,OSNum,0)),"OS inexistente"))</f>
        <v>0</v>
      </c>
      <c r="J2433" s="32">
        <f>IF($A2433="","",IF($I2433="OS inexistente","OS inexistente",IF($E2433="Peça não cadastrada","Peça não cadastrada","OK")))</f>
        <v>0</v>
      </c>
    </row>
    <row r="2434" spans="1:10">
      <c r="A2434" s="17"/>
      <c r="B2434" s="13"/>
      <c r="C2434" s="20"/>
      <c r="D2434" s="19"/>
      <c r="E2434" s="26">
        <f>IF($B2434="","",IFERROR(INDEX(PecDesc,MATCH($B2434,PecCod,0)),"Peça não cadastrada"))</f>
        <v>0</v>
      </c>
      <c r="F2434" s="27">
        <f>IF($B2434="","",IF($D2434&lt;&gt;"",$D2434,IFERROR(INDEX(PecPreco,MATCH($B2434,PecCod,0)),0)))</f>
        <v>0</v>
      </c>
      <c r="G2434" s="27">
        <f>IF(OR($B2434="",$C2434=""),"",$C2434*$F2434)</f>
        <v>0</v>
      </c>
      <c r="H2434" s="27">
        <f>IF(OR($B2434="",$C2434=""),"",$C2434*IFERROR(INDEX(PecCusto,MATCH($B2434,PecCod,0)),0))</f>
        <v>0</v>
      </c>
      <c r="I2434" s="32">
        <f>IF($A2434="","",IFERROR(INDEX(OSStatus,MATCH($A2434,OSNum,0)),"OS inexistente"))</f>
        <v>0</v>
      </c>
      <c r="J2434" s="32">
        <f>IF($A2434="","",IF($I2434="OS inexistente","OS inexistente",IF($E2434="Peça não cadastrada","Peça não cadastrada","OK")))</f>
        <v>0</v>
      </c>
    </row>
    <row r="2435" spans="1:10">
      <c r="A2435" s="17"/>
      <c r="B2435" s="13"/>
      <c r="C2435" s="20"/>
      <c r="D2435" s="19"/>
      <c r="E2435" s="26">
        <f>IF($B2435="","",IFERROR(INDEX(PecDesc,MATCH($B2435,PecCod,0)),"Peça não cadastrada"))</f>
        <v>0</v>
      </c>
      <c r="F2435" s="27">
        <f>IF($B2435="","",IF($D2435&lt;&gt;"",$D2435,IFERROR(INDEX(PecPreco,MATCH($B2435,PecCod,0)),0)))</f>
        <v>0</v>
      </c>
      <c r="G2435" s="27">
        <f>IF(OR($B2435="",$C2435=""),"",$C2435*$F2435)</f>
        <v>0</v>
      </c>
      <c r="H2435" s="27">
        <f>IF(OR($B2435="",$C2435=""),"",$C2435*IFERROR(INDEX(PecCusto,MATCH($B2435,PecCod,0)),0))</f>
        <v>0</v>
      </c>
      <c r="I2435" s="32">
        <f>IF($A2435="","",IFERROR(INDEX(OSStatus,MATCH($A2435,OSNum,0)),"OS inexistente"))</f>
        <v>0</v>
      </c>
      <c r="J2435" s="32">
        <f>IF($A2435="","",IF($I2435="OS inexistente","OS inexistente",IF($E2435="Peça não cadastrada","Peça não cadastrada","OK")))</f>
        <v>0</v>
      </c>
    </row>
    <row r="2436" spans="1:10">
      <c r="A2436" s="17"/>
      <c r="B2436" s="13"/>
      <c r="C2436" s="20"/>
      <c r="D2436" s="19"/>
      <c r="E2436" s="26">
        <f>IF($B2436="","",IFERROR(INDEX(PecDesc,MATCH($B2436,PecCod,0)),"Peça não cadastrada"))</f>
        <v>0</v>
      </c>
      <c r="F2436" s="27">
        <f>IF($B2436="","",IF($D2436&lt;&gt;"",$D2436,IFERROR(INDEX(PecPreco,MATCH($B2436,PecCod,0)),0)))</f>
        <v>0</v>
      </c>
      <c r="G2436" s="27">
        <f>IF(OR($B2436="",$C2436=""),"",$C2436*$F2436)</f>
        <v>0</v>
      </c>
      <c r="H2436" s="27">
        <f>IF(OR($B2436="",$C2436=""),"",$C2436*IFERROR(INDEX(PecCusto,MATCH($B2436,PecCod,0)),0))</f>
        <v>0</v>
      </c>
      <c r="I2436" s="32">
        <f>IF($A2436="","",IFERROR(INDEX(OSStatus,MATCH($A2436,OSNum,0)),"OS inexistente"))</f>
        <v>0</v>
      </c>
      <c r="J2436" s="32">
        <f>IF($A2436="","",IF($I2436="OS inexistente","OS inexistente",IF($E2436="Peça não cadastrada","Peça não cadastrada","OK")))</f>
        <v>0</v>
      </c>
    </row>
    <row r="2437" spans="1:10">
      <c r="A2437" s="17"/>
      <c r="B2437" s="13"/>
      <c r="C2437" s="20"/>
      <c r="D2437" s="19"/>
      <c r="E2437" s="26">
        <f>IF($B2437="","",IFERROR(INDEX(PecDesc,MATCH($B2437,PecCod,0)),"Peça não cadastrada"))</f>
        <v>0</v>
      </c>
      <c r="F2437" s="27">
        <f>IF($B2437="","",IF($D2437&lt;&gt;"",$D2437,IFERROR(INDEX(PecPreco,MATCH($B2437,PecCod,0)),0)))</f>
        <v>0</v>
      </c>
      <c r="G2437" s="27">
        <f>IF(OR($B2437="",$C2437=""),"",$C2437*$F2437)</f>
        <v>0</v>
      </c>
      <c r="H2437" s="27">
        <f>IF(OR($B2437="",$C2437=""),"",$C2437*IFERROR(INDEX(PecCusto,MATCH($B2437,PecCod,0)),0))</f>
        <v>0</v>
      </c>
      <c r="I2437" s="32">
        <f>IF($A2437="","",IFERROR(INDEX(OSStatus,MATCH($A2437,OSNum,0)),"OS inexistente"))</f>
        <v>0</v>
      </c>
      <c r="J2437" s="32">
        <f>IF($A2437="","",IF($I2437="OS inexistente","OS inexistente",IF($E2437="Peça não cadastrada","Peça não cadastrada","OK")))</f>
        <v>0</v>
      </c>
    </row>
    <row r="2438" spans="1:10">
      <c r="A2438" s="17"/>
      <c r="B2438" s="13"/>
      <c r="C2438" s="20"/>
      <c r="D2438" s="19"/>
      <c r="E2438" s="26">
        <f>IF($B2438="","",IFERROR(INDEX(PecDesc,MATCH($B2438,PecCod,0)),"Peça não cadastrada"))</f>
        <v>0</v>
      </c>
      <c r="F2438" s="27">
        <f>IF($B2438="","",IF($D2438&lt;&gt;"",$D2438,IFERROR(INDEX(PecPreco,MATCH($B2438,PecCod,0)),0)))</f>
        <v>0</v>
      </c>
      <c r="G2438" s="27">
        <f>IF(OR($B2438="",$C2438=""),"",$C2438*$F2438)</f>
        <v>0</v>
      </c>
      <c r="H2438" s="27">
        <f>IF(OR($B2438="",$C2438=""),"",$C2438*IFERROR(INDEX(PecCusto,MATCH($B2438,PecCod,0)),0))</f>
        <v>0</v>
      </c>
      <c r="I2438" s="32">
        <f>IF($A2438="","",IFERROR(INDEX(OSStatus,MATCH($A2438,OSNum,0)),"OS inexistente"))</f>
        <v>0</v>
      </c>
      <c r="J2438" s="32">
        <f>IF($A2438="","",IF($I2438="OS inexistente","OS inexistente",IF($E2438="Peça não cadastrada","Peça não cadastrada","OK")))</f>
        <v>0</v>
      </c>
    </row>
    <row r="2439" spans="1:10">
      <c r="A2439" s="17"/>
      <c r="B2439" s="13"/>
      <c r="C2439" s="20"/>
      <c r="D2439" s="19"/>
      <c r="E2439" s="26">
        <f>IF($B2439="","",IFERROR(INDEX(PecDesc,MATCH($B2439,PecCod,0)),"Peça não cadastrada"))</f>
        <v>0</v>
      </c>
      <c r="F2439" s="27">
        <f>IF($B2439="","",IF($D2439&lt;&gt;"",$D2439,IFERROR(INDEX(PecPreco,MATCH($B2439,PecCod,0)),0)))</f>
        <v>0</v>
      </c>
      <c r="G2439" s="27">
        <f>IF(OR($B2439="",$C2439=""),"",$C2439*$F2439)</f>
        <v>0</v>
      </c>
      <c r="H2439" s="27">
        <f>IF(OR($B2439="",$C2439=""),"",$C2439*IFERROR(INDEX(PecCusto,MATCH($B2439,PecCod,0)),0))</f>
        <v>0</v>
      </c>
      <c r="I2439" s="32">
        <f>IF($A2439="","",IFERROR(INDEX(OSStatus,MATCH($A2439,OSNum,0)),"OS inexistente"))</f>
        <v>0</v>
      </c>
      <c r="J2439" s="32">
        <f>IF($A2439="","",IF($I2439="OS inexistente","OS inexistente",IF($E2439="Peça não cadastrada","Peça não cadastrada","OK")))</f>
        <v>0</v>
      </c>
    </row>
    <row r="2440" spans="1:10">
      <c r="A2440" s="17"/>
      <c r="B2440" s="13"/>
      <c r="C2440" s="20"/>
      <c r="D2440" s="19"/>
      <c r="E2440" s="26">
        <f>IF($B2440="","",IFERROR(INDEX(PecDesc,MATCH($B2440,PecCod,0)),"Peça não cadastrada"))</f>
        <v>0</v>
      </c>
      <c r="F2440" s="27">
        <f>IF($B2440="","",IF($D2440&lt;&gt;"",$D2440,IFERROR(INDEX(PecPreco,MATCH($B2440,PecCod,0)),0)))</f>
        <v>0</v>
      </c>
      <c r="G2440" s="27">
        <f>IF(OR($B2440="",$C2440=""),"",$C2440*$F2440)</f>
        <v>0</v>
      </c>
      <c r="H2440" s="27">
        <f>IF(OR($B2440="",$C2440=""),"",$C2440*IFERROR(INDEX(PecCusto,MATCH($B2440,PecCod,0)),0))</f>
        <v>0</v>
      </c>
      <c r="I2440" s="32">
        <f>IF($A2440="","",IFERROR(INDEX(OSStatus,MATCH($A2440,OSNum,0)),"OS inexistente"))</f>
        <v>0</v>
      </c>
      <c r="J2440" s="32">
        <f>IF($A2440="","",IF($I2440="OS inexistente","OS inexistente",IF($E2440="Peça não cadastrada","Peça não cadastrada","OK")))</f>
        <v>0</v>
      </c>
    </row>
    <row r="2441" spans="1:10">
      <c r="A2441" s="17"/>
      <c r="B2441" s="13"/>
      <c r="C2441" s="20"/>
      <c r="D2441" s="19"/>
      <c r="E2441" s="26">
        <f>IF($B2441="","",IFERROR(INDEX(PecDesc,MATCH($B2441,PecCod,0)),"Peça não cadastrada"))</f>
        <v>0</v>
      </c>
      <c r="F2441" s="27">
        <f>IF($B2441="","",IF($D2441&lt;&gt;"",$D2441,IFERROR(INDEX(PecPreco,MATCH($B2441,PecCod,0)),0)))</f>
        <v>0</v>
      </c>
      <c r="G2441" s="27">
        <f>IF(OR($B2441="",$C2441=""),"",$C2441*$F2441)</f>
        <v>0</v>
      </c>
      <c r="H2441" s="27">
        <f>IF(OR($B2441="",$C2441=""),"",$C2441*IFERROR(INDEX(PecCusto,MATCH($B2441,PecCod,0)),0))</f>
        <v>0</v>
      </c>
      <c r="I2441" s="32">
        <f>IF($A2441="","",IFERROR(INDEX(OSStatus,MATCH($A2441,OSNum,0)),"OS inexistente"))</f>
        <v>0</v>
      </c>
      <c r="J2441" s="32">
        <f>IF($A2441="","",IF($I2441="OS inexistente","OS inexistente",IF($E2441="Peça não cadastrada","Peça não cadastrada","OK")))</f>
        <v>0</v>
      </c>
    </row>
    <row r="2442" spans="1:10">
      <c r="A2442" s="17"/>
      <c r="B2442" s="13"/>
      <c r="C2442" s="20"/>
      <c r="D2442" s="19"/>
      <c r="E2442" s="26">
        <f>IF($B2442="","",IFERROR(INDEX(PecDesc,MATCH($B2442,PecCod,0)),"Peça não cadastrada"))</f>
        <v>0</v>
      </c>
      <c r="F2442" s="27">
        <f>IF($B2442="","",IF($D2442&lt;&gt;"",$D2442,IFERROR(INDEX(PecPreco,MATCH($B2442,PecCod,0)),0)))</f>
        <v>0</v>
      </c>
      <c r="G2442" s="27">
        <f>IF(OR($B2442="",$C2442=""),"",$C2442*$F2442)</f>
        <v>0</v>
      </c>
      <c r="H2442" s="27">
        <f>IF(OR($B2442="",$C2442=""),"",$C2442*IFERROR(INDEX(PecCusto,MATCH($B2442,PecCod,0)),0))</f>
        <v>0</v>
      </c>
      <c r="I2442" s="32">
        <f>IF($A2442="","",IFERROR(INDEX(OSStatus,MATCH($A2442,OSNum,0)),"OS inexistente"))</f>
        <v>0</v>
      </c>
      <c r="J2442" s="32">
        <f>IF($A2442="","",IF($I2442="OS inexistente","OS inexistente",IF($E2442="Peça não cadastrada","Peça não cadastrada","OK")))</f>
        <v>0</v>
      </c>
    </row>
    <row r="2443" spans="1:10">
      <c r="A2443" s="17"/>
      <c r="B2443" s="13"/>
      <c r="C2443" s="20"/>
      <c r="D2443" s="19"/>
      <c r="E2443" s="26">
        <f>IF($B2443="","",IFERROR(INDEX(PecDesc,MATCH($B2443,PecCod,0)),"Peça não cadastrada"))</f>
        <v>0</v>
      </c>
      <c r="F2443" s="27">
        <f>IF($B2443="","",IF($D2443&lt;&gt;"",$D2443,IFERROR(INDEX(PecPreco,MATCH($B2443,PecCod,0)),0)))</f>
        <v>0</v>
      </c>
      <c r="G2443" s="27">
        <f>IF(OR($B2443="",$C2443=""),"",$C2443*$F2443)</f>
        <v>0</v>
      </c>
      <c r="H2443" s="27">
        <f>IF(OR($B2443="",$C2443=""),"",$C2443*IFERROR(INDEX(PecCusto,MATCH($B2443,PecCod,0)),0))</f>
        <v>0</v>
      </c>
      <c r="I2443" s="32">
        <f>IF($A2443="","",IFERROR(INDEX(OSStatus,MATCH($A2443,OSNum,0)),"OS inexistente"))</f>
        <v>0</v>
      </c>
      <c r="J2443" s="32">
        <f>IF($A2443="","",IF($I2443="OS inexistente","OS inexistente",IF($E2443="Peça não cadastrada","Peça não cadastrada","OK")))</f>
        <v>0</v>
      </c>
    </row>
    <row r="2444" spans="1:10">
      <c r="A2444" s="17"/>
      <c r="B2444" s="13"/>
      <c r="C2444" s="20"/>
      <c r="D2444" s="19"/>
      <c r="E2444" s="26">
        <f>IF($B2444="","",IFERROR(INDEX(PecDesc,MATCH($B2444,PecCod,0)),"Peça não cadastrada"))</f>
        <v>0</v>
      </c>
      <c r="F2444" s="27">
        <f>IF($B2444="","",IF($D2444&lt;&gt;"",$D2444,IFERROR(INDEX(PecPreco,MATCH($B2444,PecCod,0)),0)))</f>
        <v>0</v>
      </c>
      <c r="G2444" s="27">
        <f>IF(OR($B2444="",$C2444=""),"",$C2444*$F2444)</f>
        <v>0</v>
      </c>
      <c r="H2444" s="27">
        <f>IF(OR($B2444="",$C2444=""),"",$C2444*IFERROR(INDEX(PecCusto,MATCH($B2444,PecCod,0)),0))</f>
        <v>0</v>
      </c>
      <c r="I2444" s="32">
        <f>IF($A2444="","",IFERROR(INDEX(OSStatus,MATCH($A2444,OSNum,0)),"OS inexistente"))</f>
        <v>0</v>
      </c>
      <c r="J2444" s="32">
        <f>IF($A2444="","",IF($I2444="OS inexistente","OS inexistente",IF($E2444="Peça não cadastrada","Peça não cadastrada","OK")))</f>
        <v>0</v>
      </c>
    </row>
    <row r="2445" spans="1:10">
      <c r="A2445" s="17"/>
      <c r="B2445" s="13"/>
      <c r="C2445" s="20"/>
      <c r="D2445" s="19"/>
      <c r="E2445" s="26">
        <f>IF($B2445="","",IFERROR(INDEX(PecDesc,MATCH($B2445,PecCod,0)),"Peça não cadastrada"))</f>
        <v>0</v>
      </c>
      <c r="F2445" s="27">
        <f>IF($B2445="","",IF($D2445&lt;&gt;"",$D2445,IFERROR(INDEX(PecPreco,MATCH($B2445,PecCod,0)),0)))</f>
        <v>0</v>
      </c>
      <c r="G2445" s="27">
        <f>IF(OR($B2445="",$C2445=""),"",$C2445*$F2445)</f>
        <v>0</v>
      </c>
      <c r="H2445" s="27">
        <f>IF(OR($B2445="",$C2445=""),"",$C2445*IFERROR(INDEX(PecCusto,MATCH($B2445,PecCod,0)),0))</f>
        <v>0</v>
      </c>
      <c r="I2445" s="32">
        <f>IF($A2445="","",IFERROR(INDEX(OSStatus,MATCH($A2445,OSNum,0)),"OS inexistente"))</f>
        <v>0</v>
      </c>
      <c r="J2445" s="32">
        <f>IF($A2445="","",IF($I2445="OS inexistente","OS inexistente",IF($E2445="Peça não cadastrada","Peça não cadastrada","OK")))</f>
        <v>0</v>
      </c>
    </row>
    <row r="2446" spans="1:10">
      <c r="A2446" s="17"/>
      <c r="B2446" s="13"/>
      <c r="C2446" s="20"/>
      <c r="D2446" s="19"/>
      <c r="E2446" s="26">
        <f>IF($B2446="","",IFERROR(INDEX(PecDesc,MATCH($B2446,PecCod,0)),"Peça não cadastrada"))</f>
        <v>0</v>
      </c>
      <c r="F2446" s="27">
        <f>IF($B2446="","",IF($D2446&lt;&gt;"",$D2446,IFERROR(INDEX(PecPreco,MATCH($B2446,PecCod,0)),0)))</f>
        <v>0</v>
      </c>
      <c r="G2446" s="27">
        <f>IF(OR($B2446="",$C2446=""),"",$C2446*$F2446)</f>
        <v>0</v>
      </c>
      <c r="H2446" s="27">
        <f>IF(OR($B2446="",$C2446=""),"",$C2446*IFERROR(INDEX(PecCusto,MATCH($B2446,PecCod,0)),0))</f>
        <v>0</v>
      </c>
      <c r="I2446" s="32">
        <f>IF($A2446="","",IFERROR(INDEX(OSStatus,MATCH($A2446,OSNum,0)),"OS inexistente"))</f>
        <v>0</v>
      </c>
      <c r="J2446" s="32">
        <f>IF($A2446="","",IF($I2446="OS inexistente","OS inexistente",IF($E2446="Peça não cadastrada","Peça não cadastrada","OK")))</f>
        <v>0</v>
      </c>
    </row>
    <row r="2447" spans="1:10">
      <c r="A2447" s="17"/>
      <c r="B2447" s="13"/>
      <c r="C2447" s="20"/>
      <c r="D2447" s="19"/>
      <c r="E2447" s="26">
        <f>IF($B2447="","",IFERROR(INDEX(PecDesc,MATCH($B2447,PecCod,0)),"Peça não cadastrada"))</f>
        <v>0</v>
      </c>
      <c r="F2447" s="27">
        <f>IF($B2447="","",IF($D2447&lt;&gt;"",$D2447,IFERROR(INDEX(PecPreco,MATCH($B2447,PecCod,0)),0)))</f>
        <v>0</v>
      </c>
      <c r="G2447" s="27">
        <f>IF(OR($B2447="",$C2447=""),"",$C2447*$F2447)</f>
        <v>0</v>
      </c>
      <c r="H2447" s="27">
        <f>IF(OR($B2447="",$C2447=""),"",$C2447*IFERROR(INDEX(PecCusto,MATCH($B2447,PecCod,0)),0))</f>
        <v>0</v>
      </c>
      <c r="I2447" s="32">
        <f>IF($A2447="","",IFERROR(INDEX(OSStatus,MATCH($A2447,OSNum,0)),"OS inexistente"))</f>
        <v>0</v>
      </c>
      <c r="J2447" s="32">
        <f>IF($A2447="","",IF($I2447="OS inexistente","OS inexistente",IF($E2447="Peça não cadastrada","Peça não cadastrada","OK")))</f>
        <v>0</v>
      </c>
    </row>
    <row r="2448" spans="1:10">
      <c r="A2448" s="17"/>
      <c r="B2448" s="13"/>
      <c r="C2448" s="20"/>
      <c r="D2448" s="19"/>
      <c r="E2448" s="26">
        <f>IF($B2448="","",IFERROR(INDEX(PecDesc,MATCH($B2448,PecCod,0)),"Peça não cadastrada"))</f>
        <v>0</v>
      </c>
      <c r="F2448" s="27">
        <f>IF($B2448="","",IF($D2448&lt;&gt;"",$D2448,IFERROR(INDEX(PecPreco,MATCH($B2448,PecCod,0)),0)))</f>
        <v>0</v>
      </c>
      <c r="G2448" s="27">
        <f>IF(OR($B2448="",$C2448=""),"",$C2448*$F2448)</f>
        <v>0</v>
      </c>
      <c r="H2448" s="27">
        <f>IF(OR($B2448="",$C2448=""),"",$C2448*IFERROR(INDEX(PecCusto,MATCH($B2448,PecCod,0)),0))</f>
        <v>0</v>
      </c>
      <c r="I2448" s="32">
        <f>IF($A2448="","",IFERROR(INDEX(OSStatus,MATCH($A2448,OSNum,0)),"OS inexistente"))</f>
        <v>0</v>
      </c>
      <c r="J2448" s="32">
        <f>IF($A2448="","",IF($I2448="OS inexistente","OS inexistente",IF($E2448="Peça não cadastrada","Peça não cadastrada","OK")))</f>
        <v>0</v>
      </c>
    </row>
    <row r="2449" spans="1:10">
      <c r="A2449" s="17"/>
      <c r="B2449" s="13"/>
      <c r="C2449" s="20"/>
      <c r="D2449" s="19"/>
      <c r="E2449" s="26">
        <f>IF($B2449="","",IFERROR(INDEX(PecDesc,MATCH($B2449,PecCod,0)),"Peça não cadastrada"))</f>
        <v>0</v>
      </c>
      <c r="F2449" s="27">
        <f>IF($B2449="","",IF($D2449&lt;&gt;"",$D2449,IFERROR(INDEX(PecPreco,MATCH($B2449,PecCod,0)),0)))</f>
        <v>0</v>
      </c>
      <c r="G2449" s="27">
        <f>IF(OR($B2449="",$C2449=""),"",$C2449*$F2449)</f>
        <v>0</v>
      </c>
      <c r="H2449" s="27">
        <f>IF(OR($B2449="",$C2449=""),"",$C2449*IFERROR(INDEX(PecCusto,MATCH($B2449,PecCod,0)),0))</f>
        <v>0</v>
      </c>
      <c r="I2449" s="32">
        <f>IF($A2449="","",IFERROR(INDEX(OSStatus,MATCH($A2449,OSNum,0)),"OS inexistente"))</f>
        <v>0</v>
      </c>
      <c r="J2449" s="32">
        <f>IF($A2449="","",IF($I2449="OS inexistente","OS inexistente",IF($E2449="Peça não cadastrada","Peça não cadastrada","OK")))</f>
        <v>0</v>
      </c>
    </row>
    <row r="2450" spans="1:10">
      <c r="A2450" s="17"/>
      <c r="B2450" s="13"/>
      <c r="C2450" s="20"/>
      <c r="D2450" s="19"/>
      <c r="E2450" s="26">
        <f>IF($B2450="","",IFERROR(INDEX(PecDesc,MATCH($B2450,PecCod,0)),"Peça não cadastrada"))</f>
        <v>0</v>
      </c>
      <c r="F2450" s="27">
        <f>IF($B2450="","",IF($D2450&lt;&gt;"",$D2450,IFERROR(INDEX(PecPreco,MATCH($B2450,PecCod,0)),0)))</f>
        <v>0</v>
      </c>
      <c r="G2450" s="27">
        <f>IF(OR($B2450="",$C2450=""),"",$C2450*$F2450)</f>
        <v>0</v>
      </c>
      <c r="H2450" s="27">
        <f>IF(OR($B2450="",$C2450=""),"",$C2450*IFERROR(INDEX(PecCusto,MATCH($B2450,PecCod,0)),0))</f>
        <v>0</v>
      </c>
      <c r="I2450" s="32">
        <f>IF($A2450="","",IFERROR(INDEX(OSStatus,MATCH($A2450,OSNum,0)),"OS inexistente"))</f>
        <v>0</v>
      </c>
      <c r="J2450" s="32">
        <f>IF($A2450="","",IF($I2450="OS inexistente","OS inexistente",IF($E2450="Peça não cadastrada","Peça não cadastrada","OK")))</f>
        <v>0</v>
      </c>
    </row>
    <row r="2451" spans="1:10">
      <c r="A2451" s="17"/>
      <c r="B2451" s="13"/>
      <c r="C2451" s="20"/>
      <c r="D2451" s="19"/>
      <c r="E2451" s="26">
        <f>IF($B2451="","",IFERROR(INDEX(PecDesc,MATCH($B2451,PecCod,0)),"Peça não cadastrada"))</f>
        <v>0</v>
      </c>
      <c r="F2451" s="27">
        <f>IF($B2451="","",IF($D2451&lt;&gt;"",$D2451,IFERROR(INDEX(PecPreco,MATCH($B2451,PecCod,0)),0)))</f>
        <v>0</v>
      </c>
      <c r="G2451" s="27">
        <f>IF(OR($B2451="",$C2451=""),"",$C2451*$F2451)</f>
        <v>0</v>
      </c>
      <c r="H2451" s="27">
        <f>IF(OR($B2451="",$C2451=""),"",$C2451*IFERROR(INDEX(PecCusto,MATCH($B2451,PecCod,0)),0))</f>
        <v>0</v>
      </c>
      <c r="I2451" s="32">
        <f>IF($A2451="","",IFERROR(INDEX(OSStatus,MATCH($A2451,OSNum,0)),"OS inexistente"))</f>
        <v>0</v>
      </c>
      <c r="J2451" s="32">
        <f>IF($A2451="","",IF($I2451="OS inexistente","OS inexistente",IF($E2451="Peça não cadastrada","Peça não cadastrada","OK")))</f>
        <v>0</v>
      </c>
    </row>
    <row r="2452" spans="1:10">
      <c r="A2452" s="17"/>
      <c r="B2452" s="13"/>
      <c r="C2452" s="20"/>
      <c r="D2452" s="19"/>
      <c r="E2452" s="26">
        <f>IF($B2452="","",IFERROR(INDEX(PecDesc,MATCH($B2452,PecCod,0)),"Peça não cadastrada"))</f>
        <v>0</v>
      </c>
      <c r="F2452" s="27">
        <f>IF($B2452="","",IF($D2452&lt;&gt;"",$D2452,IFERROR(INDEX(PecPreco,MATCH($B2452,PecCod,0)),0)))</f>
        <v>0</v>
      </c>
      <c r="G2452" s="27">
        <f>IF(OR($B2452="",$C2452=""),"",$C2452*$F2452)</f>
        <v>0</v>
      </c>
      <c r="H2452" s="27">
        <f>IF(OR($B2452="",$C2452=""),"",$C2452*IFERROR(INDEX(PecCusto,MATCH($B2452,PecCod,0)),0))</f>
        <v>0</v>
      </c>
      <c r="I2452" s="32">
        <f>IF($A2452="","",IFERROR(INDEX(OSStatus,MATCH($A2452,OSNum,0)),"OS inexistente"))</f>
        <v>0</v>
      </c>
      <c r="J2452" s="32">
        <f>IF($A2452="","",IF($I2452="OS inexistente","OS inexistente",IF($E2452="Peça não cadastrada","Peça não cadastrada","OK")))</f>
        <v>0</v>
      </c>
    </row>
    <row r="2453" spans="1:10">
      <c r="A2453" s="17"/>
      <c r="B2453" s="13"/>
      <c r="C2453" s="20"/>
      <c r="D2453" s="19"/>
      <c r="E2453" s="26">
        <f>IF($B2453="","",IFERROR(INDEX(PecDesc,MATCH($B2453,PecCod,0)),"Peça não cadastrada"))</f>
        <v>0</v>
      </c>
      <c r="F2453" s="27">
        <f>IF($B2453="","",IF($D2453&lt;&gt;"",$D2453,IFERROR(INDEX(PecPreco,MATCH($B2453,PecCod,0)),0)))</f>
        <v>0</v>
      </c>
      <c r="G2453" s="27">
        <f>IF(OR($B2453="",$C2453=""),"",$C2453*$F2453)</f>
        <v>0</v>
      </c>
      <c r="H2453" s="27">
        <f>IF(OR($B2453="",$C2453=""),"",$C2453*IFERROR(INDEX(PecCusto,MATCH($B2453,PecCod,0)),0))</f>
        <v>0</v>
      </c>
      <c r="I2453" s="32">
        <f>IF($A2453="","",IFERROR(INDEX(OSStatus,MATCH($A2453,OSNum,0)),"OS inexistente"))</f>
        <v>0</v>
      </c>
      <c r="J2453" s="32">
        <f>IF($A2453="","",IF($I2453="OS inexistente","OS inexistente",IF($E2453="Peça não cadastrada","Peça não cadastrada","OK")))</f>
        <v>0</v>
      </c>
    </row>
    <row r="2454" spans="1:10">
      <c r="A2454" s="17"/>
      <c r="B2454" s="13"/>
      <c r="C2454" s="20"/>
      <c r="D2454" s="19"/>
      <c r="E2454" s="26">
        <f>IF($B2454="","",IFERROR(INDEX(PecDesc,MATCH($B2454,PecCod,0)),"Peça não cadastrada"))</f>
        <v>0</v>
      </c>
      <c r="F2454" s="27">
        <f>IF($B2454="","",IF($D2454&lt;&gt;"",$D2454,IFERROR(INDEX(PecPreco,MATCH($B2454,PecCod,0)),0)))</f>
        <v>0</v>
      </c>
      <c r="G2454" s="27">
        <f>IF(OR($B2454="",$C2454=""),"",$C2454*$F2454)</f>
        <v>0</v>
      </c>
      <c r="H2454" s="27">
        <f>IF(OR($B2454="",$C2454=""),"",$C2454*IFERROR(INDEX(PecCusto,MATCH($B2454,PecCod,0)),0))</f>
        <v>0</v>
      </c>
      <c r="I2454" s="32">
        <f>IF($A2454="","",IFERROR(INDEX(OSStatus,MATCH($A2454,OSNum,0)),"OS inexistente"))</f>
        <v>0</v>
      </c>
      <c r="J2454" s="32">
        <f>IF($A2454="","",IF($I2454="OS inexistente","OS inexistente",IF($E2454="Peça não cadastrada","Peça não cadastrada","OK")))</f>
        <v>0</v>
      </c>
    </row>
    <row r="2455" spans="1:10">
      <c r="A2455" s="17"/>
      <c r="B2455" s="13"/>
      <c r="C2455" s="20"/>
      <c r="D2455" s="19"/>
      <c r="E2455" s="26">
        <f>IF($B2455="","",IFERROR(INDEX(PecDesc,MATCH($B2455,PecCod,0)),"Peça não cadastrada"))</f>
        <v>0</v>
      </c>
      <c r="F2455" s="27">
        <f>IF($B2455="","",IF($D2455&lt;&gt;"",$D2455,IFERROR(INDEX(PecPreco,MATCH($B2455,PecCod,0)),0)))</f>
        <v>0</v>
      </c>
      <c r="G2455" s="27">
        <f>IF(OR($B2455="",$C2455=""),"",$C2455*$F2455)</f>
        <v>0</v>
      </c>
      <c r="H2455" s="27">
        <f>IF(OR($B2455="",$C2455=""),"",$C2455*IFERROR(INDEX(PecCusto,MATCH($B2455,PecCod,0)),0))</f>
        <v>0</v>
      </c>
      <c r="I2455" s="32">
        <f>IF($A2455="","",IFERROR(INDEX(OSStatus,MATCH($A2455,OSNum,0)),"OS inexistente"))</f>
        <v>0</v>
      </c>
      <c r="J2455" s="32">
        <f>IF($A2455="","",IF($I2455="OS inexistente","OS inexistente",IF($E2455="Peça não cadastrada","Peça não cadastrada","OK")))</f>
        <v>0</v>
      </c>
    </row>
    <row r="2456" spans="1:10">
      <c r="A2456" s="17"/>
      <c r="B2456" s="13"/>
      <c r="C2456" s="20"/>
      <c r="D2456" s="19"/>
      <c r="E2456" s="26">
        <f>IF($B2456="","",IFERROR(INDEX(PecDesc,MATCH($B2456,PecCod,0)),"Peça não cadastrada"))</f>
        <v>0</v>
      </c>
      <c r="F2456" s="27">
        <f>IF($B2456="","",IF($D2456&lt;&gt;"",$D2456,IFERROR(INDEX(PecPreco,MATCH($B2456,PecCod,0)),0)))</f>
        <v>0</v>
      </c>
      <c r="G2456" s="27">
        <f>IF(OR($B2456="",$C2456=""),"",$C2456*$F2456)</f>
        <v>0</v>
      </c>
      <c r="H2456" s="27">
        <f>IF(OR($B2456="",$C2456=""),"",$C2456*IFERROR(INDEX(PecCusto,MATCH($B2456,PecCod,0)),0))</f>
        <v>0</v>
      </c>
      <c r="I2456" s="32">
        <f>IF($A2456="","",IFERROR(INDEX(OSStatus,MATCH($A2456,OSNum,0)),"OS inexistente"))</f>
        <v>0</v>
      </c>
      <c r="J2456" s="32">
        <f>IF($A2456="","",IF($I2456="OS inexistente","OS inexistente",IF($E2456="Peça não cadastrada","Peça não cadastrada","OK")))</f>
        <v>0</v>
      </c>
    </row>
    <row r="2457" spans="1:10">
      <c r="A2457" s="17"/>
      <c r="B2457" s="13"/>
      <c r="C2457" s="20"/>
      <c r="D2457" s="19"/>
      <c r="E2457" s="26">
        <f>IF($B2457="","",IFERROR(INDEX(PecDesc,MATCH($B2457,PecCod,0)),"Peça não cadastrada"))</f>
        <v>0</v>
      </c>
      <c r="F2457" s="27">
        <f>IF($B2457="","",IF($D2457&lt;&gt;"",$D2457,IFERROR(INDEX(PecPreco,MATCH($B2457,PecCod,0)),0)))</f>
        <v>0</v>
      </c>
      <c r="G2457" s="27">
        <f>IF(OR($B2457="",$C2457=""),"",$C2457*$F2457)</f>
        <v>0</v>
      </c>
      <c r="H2457" s="27">
        <f>IF(OR($B2457="",$C2457=""),"",$C2457*IFERROR(INDEX(PecCusto,MATCH($B2457,PecCod,0)),0))</f>
        <v>0</v>
      </c>
      <c r="I2457" s="32">
        <f>IF($A2457="","",IFERROR(INDEX(OSStatus,MATCH($A2457,OSNum,0)),"OS inexistente"))</f>
        <v>0</v>
      </c>
      <c r="J2457" s="32">
        <f>IF($A2457="","",IF($I2457="OS inexistente","OS inexistente",IF($E2457="Peça não cadastrada","Peça não cadastrada","OK")))</f>
        <v>0</v>
      </c>
    </row>
    <row r="2458" spans="1:10">
      <c r="A2458" s="17"/>
      <c r="B2458" s="13"/>
      <c r="C2458" s="20"/>
      <c r="D2458" s="19"/>
      <c r="E2458" s="26">
        <f>IF($B2458="","",IFERROR(INDEX(PecDesc,MATCH($B2458,PecCod,0)),"Peça não cadastrada"))</f>
        <v>0</v>
      </c>
      <c r="F2458" s="27">
        <f>IF($B2458="","",IF($D2458&lt;&gt;"",$D2458,IFERROR(INDEX(PecPreco,MATCH($B2458,PecCod,0)),0)))</f>
        <v>0</v>
      </c>
      <c r="G2458" s="27">
        <f>IF(OR($B2458="",$C2458=""),"",$C2458*$F2458)</f>
        <v>0</v>
      </c>
      <c r="H2458" s="27">
        <f>IF(OR($B2458="",$C2458=""),"",$C2458*IFERROR(INDEX(PecCusto,MATCH($B2458,PecCod,0)),0))</f>
        <v>0</v>
      </c>
      <c r="I2458" s="32">
        <f>IF($A2458="","",IFERROR(INDEX(OSStatus,MATCH($A2458,OSNum,0)),"OS inexistente"))</f>
        <v>0</v>
      </c>
      <c r="J2458" s="32">
        <f>IF($A2458="","",IF($I2458="OS inexistente","OS inexistente",IF($E2458="Peça não cadastrada","Peça não cadastrada","OK")))</f>
        <v>0</v>
      </c>
    </row>
    <row r="2459" spans="1:10">
      <c r="A2459" s="17"/>
      <c r="B2459" s="13"/>
      <c r="C2459" s="20"/>
      <c r="D2459" s="19"/>
      <c r="E2459" s="26">
        <f>IF($B2459="","",IFERROR(INDEX(PecDesc,MATCH($B2459,PecCod,0)),"Peça não cadastrada"))</f>
        <v>0</v>
      </c>
      <c r="F2459" s="27">
        <f>IF($B2459="","",IF($D2459&lt;&gt;"",$D2459,IFERROR(INDEX(PecPreco,MATCH($B2459,PecCod,0)),0)))</f>
        <v>0</v>
      </c>
      <c r="G2459" s="27">
        <f>IF(OR($B2459="",$C2459=""),"",$C2459*$F2459)</f>
        <v>0</v>
      </c>
      <c r="H2459" s="27">
        <f>IF(OR($B2459="",$C2459=""),"",$C2459*IFERROR(INDEX(PecCusto,MATCH($B2459,PecCod,0)),0))</f>
        <v>0</v>
      </c>
      <c r="I2459" s="32">
        <f>IF($A2459="","",IFERROR(INDEX(OSStatus,MATCH($A2459,OSNum,0)),"OS inexistente"))</f>
        <v>0</v>
      </c>
      <c r="J2459" s="32">
        <f>IF($A2459="","",IF($I2459="OS inexistente","OS inexistente",IF($E2459="Peça não cadastrada","Peça não cadastrada","OK")))</f>
        <v>0</v>
      </c>
    </row>
    <row r="2460" spans="1:10">
      <c r="A2460" s="17"/>
      <c r="B2460" s="13"/>
      <c r="C2460" s="20"/>
      <c r="D2460" s="19"/>
      <c r="E2460" s="26">
        <f>IF($B2460="","",IFERROR(INDEX(PecDesc,MATCH($B2460,PecCod,0)),"Peça não cadastrada"))</f>
        <v>0</v>
      </c>
      <c r="F2460" s="27">
        <f>IF($B2460="","",IF($D2460&lt;&gt;"",$D2460,IFERROR(INDEX(PecPreco,MATCH($B2460,PecCod,0)),0)))</f>
        <v>0</v>
      </c>
      <c r="G2460" s="27">
        <f>IF(OR($B2460="",$C2460=""),"",$C2460*$F2460)</f>
        <v>0</v>
      </c>
      <c r="H2460" s="27">
        <f>IF(OR($B2460="",$C2460=""),"",$C2460*IFERROR(INDEX(PecCusto,MATCH($B2460,PecCod,0)),0))</f>
        <v>0</v>
      </c>
      <c r="I2460" s="32">
        <f>IF($A2460="","",IFERROR(INDEX(OSStatus,MATCH($A2460,OSNum,0)),"OS inexistente"))</f>
        <v>0</v>
      </c>
      <c r="J2460" s="32">
        <f>IF($A2460="","",IF($I2460="OS inexistente","OS inexistente",IF($E2460="Peça não cadastrada","Peça não cadastrada","OK")))</f>
        <v>0</v>
      </c>
    </row>
    <row r="2461" spans="1:10">
      <c r="A2461" s="17"/>
      <c r="B2461" s="13"/>
      <c r="C2461" s="20"/>
      <c r="D2461" s="19"/>
      <c r="E2461" s="26">
        <f>IF($B2461="","",IFERROR(INDEX(PecDesc,MATCH($B2461,PecCod,0)),"Peça não cadastrada"))</f>
        <v>0</v>
      </c>
      <c r="F2461" s="27">
        <f>IF($B2461="","",IF($D2461&lt;&gt;"",$D2461,IFERROR(INDEX(PecPreco,MATCH($B2461,PecCod,0)),0)))</f>
        <v>0</v>
      </c>
      <c r="G2461" s="27">
        <f>IF(OR($B2461="",$C2461=""),"",$C2461*$F2461)</f>
        <v>0</v>
      </c>
      <c r="H2461" s="27">
        <f>IF(OR($B2461="",$C2461=""),"",$C2461*IFERROR(INDEX(PecCusto,MATCH($B2461,PecCod,0)),0))</f>
        <v>0</v>
      </c>
      <c r="I2461" s="32">
        <f>IF($A2461="","",IFERROR(INDEX(OSStatus,MATCH($A2461,OSNum,0)),"OS inexistente"))</f>
        <v>0</v>
      </c>
      <c r="J2461" s="32">
        <f>IF($A2461="","",IF($I2461="OS inexistente","OS inexistente",IF($E2461="Peça não cadastrada","Peça não cadastrada","OK")))</f>
        <v>0</v>
      </c>
    </row>
    <row r="2462" spans="1:10">
      <c r="A2462" s="17"/>
      <c r="B2462" s="13"/>
      <c r="C2462" s="20"/>
      <c r="D2462" s="19"/>
      <c r="E2462" s="26">
        <f>IF($B2462="","",IFERROR(INDEX(PecDesc,MATCH($B2462,PecCod,0)),"Peça não cadastrada"))</f>
        <v>0</v>
      </c>
      <c r="F2462" s="27">
        <f>IF($B2462="","",IF($D2462&lt;&gt;"",$D2462,IFERROR(INDEX(PecPreco,MATCH($B2462,PecCod,0)),0)))</f>
        <v>0</v>
      </c>
      <c r="G2462" s="27">
        <f>IF(OR($B2462="",$C2462=""),"",$C2462*$F2462)</f>
        <v>0</v>
      </c>
      <c r="H2462" s="27">
        <f>IF(OR($B2462="",$C2462=""),"",$C2462*IFERROR(INDEX(PecCusto,MATCH($B2462,PecCod,0)),0))</f>
        <v>0</v>
      </c>
      <c r="I2462" s="32">
        <f>IF($A2462="","",IFERROR(INDEX(OSStatus,MATCH($A2462,OSNum,0)),"OS inexistente"))</f>
        <v>0</v>
      </c>
      <c r="J2462" s="32">
        <f>IF($A2462="","",IF($I2462="OS inexistente","OS inexistente",IF($E2462="Peça não cadastrada","Peça não cadastrada","OK")))</f>
        <v>0</v>
      </c>
    </row>
    <row r="2463" spans="1:10">
      <c r="A2463" s="17"/>
      <c r="B2463" s="13"/>
      <c r="C2463" s="20"/>
      <c r="D2463" s="19"/>
      <c r="E2463" s="26">
        <f>IF($B2463="","",IFERROR(INDEX(PecDesc,MATCH($B2463,PecCod,0)),"Peça não cadastrada"))</f>
        <v>0</v>
      </c>
      <c r="F2463" s="27">
        <f>IF($B2463="","",IF($D2463&lt;&gt;"",$D2463,IFERROR(INDEX(PecPreco,MATCH($B2463,PecCod,0)),0)))</f>
        <v>0</v>
      </c>
      <c r="G2463" s="27">
        <f>IF(OR($B2463="",$C2463=""),"",$C2463*$F2463)</f>
        <v>0</v>
      </c>
      <c r="H2463" s="27">
        <f>IF(OR($B2463="",$C2463=""),"",$C2463*IFERROR(INDEX(PecCusto,MATCH($B2463,PecCod,0)),0))</f>
        <v>0</v>
      </c>
      <c r="I2463" s="32">
        <f>IF($A2463="","",IFERROR(INDEX(OSStatus,MATCH($A2463,OSNum,0)),"OS inexistente"))</f>
        <v>0</v>
      </c>
      <c r="J2463" s="32">
        <f>IF($A2463="","",IF($I2463="OS inexistente","OS inexistente",IF($E2463="Peça não cadastrada","Peça não cadastrada","OK")))</f>
        <v>0</v>
      </c>
    </row>
    <row r="2464" spans="1:10">
      <c r="A2464" s="17"/>
      <c r="B2464" s="13"/>
      <c r="C2464" s="20"/>
      <c r="D2464" s="19"/>
      <c r="E2464" s="26">
        <f>IF($B2464="","",IFERROR(INDEX(PecDesc,MATCH($B2464,PecCod,0)),"Peça não cadastrada"))</f>
        <v>0</v>
      </c>
      <c r="F2464" s="27">
        <f>IF($B2464="","",IF($D2464&lt;&gt;"",$D2464,IFERROR(INDEX(PecPreco,MATCH($B2464,PecCod,0)),0)))</f>
        <v>0</v>
      </c>
      <c r="G2464" s="27">
        <f>IF(OR($B2464="",$C2464=""),"",$C2464*$F2464)</f>
        <v>0</v>
      </c>
      <c r="H2464" s="27">
        <f>IF(OR($B2464="",$C2464=""),"",$C2464*IFERROR(INDEX(PecCusto,MATCH($B2464,PecCod,0)),0))</f>
        <v>0</v>
      </c>
      <c r="I2464" s="32">
        <f>IF($A2464="","",IFERROR(INDEX(OSStatus,MATCH($A2464,OSNum,0)),"OS inexistente"))</f>
        <v>0</v>
      </c>
      <c r="J2464" s="32">
        <f>IF($A2464="","",IF($I2464="OS inexistente","OS inexistente",IF($E2464="Peça não cadastrada","Peça não cadastrada","OK")))</f>
        <v>0</v>
      </c>
    </row>
    <row r="2465" spans="1:10">
      <c r="A2465" s="17"/>
      <c r="B2465" s="13"/>
      <c r="C2465" s="20"/>
      <c r="D2465" s="19"/>
      <c r="E2465" s="26">
        <f>IF($B2465="","",IFERROR(INDEX(PecDesc,MATCH($B2465,PecCod,0)),"Peça não cadastrada"))</f>
        <v>0</v>
      </c>
      <c r="F2465" s="27">
        <f>IF($B2465="","",IF($D2465&lt;&gt;"",$D2465,IFERROR(INDEX(PecPreco,MATCH($B2465,PecCod,0)),0)))</f>
        <v>0</v>
      </c>
      <c r="G2465" s="27">
        <f>IF(OR($B2465="",$C2465=""),"",$C2465*$F2465)</f>
        <v>0</v>
      </c>
      <c r="H2465" s="27">
        <f>IF(OR($B2465="",$C2465=""),"",$C2465*IFERROR(INDEX(PecCusto,MATCH($B2465,PecCod,0)),0))</f>
        <v>0</v>
      </c>
      <c r="I2465" s="32">
        <f>IF($A2465="","",IFERROR(INDEX(OSStatus,MATCH($A2465,OSNum,0)),"OS inexistente"))</f>
        <v>0</v>
      </c>
      <c r="J2465" s="32">
        <f>IF($A2465="","",IF($I2465="OS inexistente","OS inexistente",IF($E2465="Peça não cadastrada","Peça não cadastrada","OK")))</f>
        <v>0</v>
      </c>
    </row>
    <row r="2466" spans="1:10">
      <c r="A2466" s="17"/>
      <c r="B2466" s="13"/>
      <c r="C2466" s="20"/>
      <c r="D2466" s="19"/>
      <c r="E2466" s="26">
        <f>IF($B2466="","",IFERROR(INDEX(PecDesc,MATCH($B2466,PecCod,0)),"Peça não cadastrada"))</f>
        <v>0</v>
      </c>
      <c r="F2466" s="27">
        <f>IF($B2466="","",IF($D2466&lt;&gt;"",$D2466,IFERROR(INDEX(PecPreco,MATCH($B2466,PecCod,0)),0)))</f>
        <v>0</v>
      </c>
      <c r="G2466" s="27">
        <f>IF(OR($B2466="",$C2466=""),"",$C2466*$F2466)</f>
        <v>0</v>
      </c>
      <c r="H2466" s="27">
        <f>IF(OR($B2466="",$C2466=""),"",$C2466*IFERROR(INDEX(PecCusto,MATCH($B2466,PecCod,0)),0))</f>
        <v>0</v>
      </c>
      <c r="I2466" s="32">
        <f>IF($A2466="","",IFERROR(INDEX(OSStatus,MATCH($A2466,OSNum,0)),"OS inexistente"))</f>
        <v>0</v>
      </c>
      <c r="J2466" s="32">
        <f>IF($A2466="","",IF($I2466="OS inexistente","OS inexistente",IF($E2466="Peça não cadastrada","Peça não cadastrada","OK")))</f>
        <v>0</v>
      </c>
    </row>
    <row r="2467" spans="1:10">
      <c r="A2467" s="17"/>
      <c r="B2467" s="13"/>
      <c r="C2467" s="20"/>
      <c r="D2467" s="19"/>
      <c r="E2467" s="26">
        <f>IF($B2467="","",IFERROR(INDEX(PecDesc,MATCH($B2467,PecCod,0)),"Peça não cadastrada"))</f>
        <v>0</v>
      </c>
      <c r="F2467" s="27">
        <f>IF($B2467="","",IF($D2467&lt;&gt;"",$D2467,IFERROR(INDEX(PecPreco,MATCH($B2467,PecCod,0)),0)))</f>
        <v>0</v>
      </c>
      <c r="G2467" s="27">
        <f>IF(OR($B2467="",$C2467=""),"",$C2467*$F2467)</f>
        <v>0</v>
      </c>
      <c r="H2467" s="27">
        <f>IF(OR($B2467="",$C2467=""),"",$C2467*IFERROR(INDEX(PecCusto,MATCH($B2467,PecCod,0)),0))</f>
        <v>0</v>
      </c>
      <c r="I2467" s="32">
        <f>IF($A2467="","",IFERROR(INDEX(OSStatus,MATCH($A2467,OSNum,0)),"OS inexistente"))</f>
        <v>0</v>
      </c>
      <c r="J2467" s="32">
        <f>IF($A2467="","",IF($I2467="OS inexistente","OS inexistente",IF($E2467="Peça não cadastrada","Peça não cadastrada","OK")))</f>
        <v>0</v>
      </c>
    </row>
    <row r="2468" spans="1:10">
      <c r="A2468" s="17"/>
      <c r="B2468" s="13"/>
      <c r="C2468" s="20"/>
      <c r="D2468" s="19"/>
      <c r="E2468" s="26">
        <f>IF($B2468="","",IFERROR(INDEX(PecDesc,MATCH($B2468,PecCod,0)),"Peça não cadastrada"))</f>
        <v>0</v>
      </c>
      <c r="F2468" s="27">
        <f>IF($B2468="","",IF($D2468&lt;&gt;"",$D2468,IFERROR(INDEX(PecPreco,MATCH($B2468,PecCod,0)),0)))</f>
        <v>0</v>
      </c>
      <c r="G2468" s="27">
        <f>IF(OR($B2468="",$C2468=""),"",$C2468*$F2468)</f>
        <v>0</v>
      </c>
      <c r="H2468" s="27">
        <f>IF(OR($B2468="",$C2468=""),"",$C2468*IFERROR(INDEX(PecCusto,MATCH($B2468,PecCod,0)),0))</f>
        <v>0</v>
      </c>
      <c r="I2468" s="32">
        <f>IF($A2468="","",IFERROR(INDEX(OSStatus,MATCH($A2468,OSNum,0)),"OS inexistente"))</f>
        <v>0</v>
      </c>
      <c r="J2468" s="32">
        <f>IF($A2468="","",IF($I2468="OS inexistente","OS inexistente",IF($E2468="Peça não cadastrada","Peça não cadastrada","OK")))</f>
        <v>0</v>
      </c>
    </row>
    <row r="2469" spans="1:10">
      <c r="A2469" s="17"/>
      <c r="B2469" s="13"/>
      <c r="C2469" s="20"/>
      <c r="D2469" s="19"/>
      <c r="E2469" s="26">
        <f>IF($B2469="","",IFERROR(INDEX(PecDesc,MATCH($B2469,PecCod,0)),"Peça não cadastrada"))</f>
        <v>0</v>
      </c>
      <c r="F2469" s="27">
        <f>IF($B2469="","",IF($D2469&lt;&gt;"",$D2469,IFERROR(INDEX(PecPreco,MATCH($B2469,PecCod,0)),0)))</f>
        <v>0</v>
      </c>
      <c r="G2469" s="27">
        <f>IF(OR($B2469="",$C2469=""),"",$C2469*$F2469)</f>
        <v>0</v>
      </c>
      <c r="H2469" s="27">
        <f>IF(OR($B2469="",$C2469=""),"",$C2469*IFERROR(INDEX(PecCusto,MATCH($B2469,PecCod,0)),0))</f>
        <v>0</v>
      </c>
      <c r="I2469" s="32">
        <f>IF($A2469="","",IFERROR(INDEX(OSStatus,MATCH($A2469,OSNum,0)),"OS inexistente"))</f>
        <v>0</v>
      </c>
      <c r="J2469" s="32">
        <f>IF($A2469="","",IF($I2469="OS inexistente","OS inexistente",IF($E2469="Peça não cadastrada","Peça não cadastrada","OK")))</f>
        <v>0</v>
      </c>
    </row>
    <row r="2470" spans="1:10">
      <c r="A2470" s="17"/>
      <c r="B2470" s="13"/>
      <c r="C2470" s="20"/>
      <c r="D2470" s="19"/>
      <c r="E2470" s="26">
        <f>IF($B2470="","",IFERROR(INDEX(PecDesc,MATCH($B2470,PecCod,0)),"Peça não cadastrada"))</f>
        <v>0</v>
      </c>
      <c r="F2470" s="27">
        <f>IF($B2470="","",IF($D2470&lt;&gt;"",$D2470,IFERROR(INDEX(PecPreco,MATCH($B2470,PecCod,0)),0)))</f>
        <v>0</v>
      </c>
      <c r="G2470" s="27">
        <f>IF(OR($B2470="",$C2470=""),"",$C2470*$F2470)</f>
        <v>0</v>
      </c>
      <c r="H2470" s="27">
        <f>IF(OR($B2470="",$C2470=""),"",$C2470*IFERROR(INDEX(PecCusto,MATCH($B2470,PecCod,0)),0))</f>
        <v>0</v>
      </c>
      <c r="I2470" s="32">
        <f>IF($A2470="","",IFERROR(INDEX(OSStatus,MATCH($A2470,OSNum,0)),"OS inexistente"))</f>
        <v>0</v>
      </c>
      <c r="J2470" s="32">
        <f>IF($A2470="","",IF($I2470="OS inexistente","OS inexistente",IF($E2470="Peça não cadastrada","Peça não cadastrada","OK")))</f>
        <v>0</v>
      </c>
    </row>
    <row r="2471" spans="1:10">
      <c r="A2471" s="17"/>
      <c r="B2471" s="13"/>
      <c r="C2471" s="20"/>
      <c r="D2471" s="19"/>
      <c r="E2471" s="26">
        <f>IF($B2471="","",IFERROR(INDEX(PecDesc,MATCH($B2471,PecCod,0)),"Peça não cadastrada"))</f>
        <v>0</v>
      </c>
      <c r="F2471" s="27">
        <f>IF($B2471="","",IF($D2471&lt;&gt;"",$D2471,IFERROR(INDEX(PecPreco,MATCH($B2471,PecCod,0)),0)))</f>
        <v>0</v>
      </c>
      <c r="G2471" s="27">
        <f>IF(OR($B2471="",$C2471=""),"",$C2471*$F2471)</f>
        <v>0</v>
      </c>
      <c r="H2471" s="27">
        <f>IF(OR($B2471="",$C2471=""),"",$C2471*IFERROR(INDEX(PecCusto,MATCH($B2471,PecCod,0)),0))</f>
        <v>0</v>
      </c>
      <c r="I2471" s="32">
        <f>IF($A2471="","",IFERROR(INDEX(OSStatus,MATCH($A2471,OSNum,0)),"OS inexistente"))</f>
        <v>0</v>
      </c>
      <c r="J2471" s="32">
        <f>IF($A2471="","",IF($I2471="OS inexistente","OS inexistente",IF($E2471="Peça não cadastrada","Peça não cadastrada","OK")))</f>
        <v>0</v>
      </c>
    </row>
    <row r="2472" spans="1:10">
      <c r="A2472" s="17"/>
      <c r="B2472" s="13"/>
      <c r="C2472" s="20"/>
      <c r="D2472" s="19"/>
      <c r="E2472" s="26">
        <f>IF($B2472="","",IFERROR(INDEX(PecDesc,MATCH($B2472,PecCod,0)),"Peça não cadastrada"))</f>
        <v>0</v>
      </c>
      <c r="F2472" s="27">
        <f>IF($B2472="","",IF($D2472&lt;&gt;"",$D2472,IFERROR(INDEX(PecPreco,MATCH($B2472,PecCod,0)),0)))</f>
        <v>0</v>
      </c>
      <c r="G2472" s="27">
        <f>IF(OR($B2472="",$C2472=""),"",$C2472*$F2472)</f>
        <v>0</v>
      </c>
      <c r="H2472" s="27">
        <f>IF(OR($B2472="",$C2472=""),"",$C2472*IFERROR(INDEX(PecCusto,MATCH($B2472,PecCod,0)),0))</f>
        <v>0</v>
      </c>
      <c r="I2472" s="32">
        <f>IF($A2472="","",IFERROR(INDEX(OSStatus,MATCH($A2472,OSNum,0)),"OS inexistente"))</f>
        <v>0</v>
      </c>
      <c r="J2472" s="32">
        <f>IF($A2472="","",IF($I2472="OS inexistente","OS inexistente",IF($E2472="Peça não cadastrada","Peça não cadastrada","OK")))</f>
        <v>0</v>
      </c>
    </row>
    <row r="2473" spans="1:10">
      <c r="A2473" s="17"/>
      <c r="B2473" s="13"/>
      <c r="C2473" s="20"/>
      <c r="D2473" s="19"/>
      <c r="E2473" s="26">
        <f>IF($B2473="","",IFERROR(INDEX(PecDesc,MATCH($B2473,PecCod,0)),"Peça não cadastrada"))</f>
        <v>0</v>
      </c>
      <c r="F2473" s="27">
        <f>IF($B2473="","",IF($D2473&lt;&gt;"",$D2473,IFERROR(INDEX(PecPreco,MATCH($B2473,PecCod,0)),0)))</f>
        <v>0</v>
      </c>
      <c r="G2473" s="27">
        <f>IF(OR($B2473="",$C2473=""),"",$C2473*$F2473)</f>
        <v>0</v>
      </c>
      <c r="H2473" s="27">
        <f>IF(OR($B2473="",$C2473=""),"",$C2473*IFERROR(INDEX(PecCusto,MATCH($B2473,PecCod,0)),0))</f>
        <v>0</v>
      </c>
      <c r="I2473" s="32">
        <f>IF($A2473="","",IFERROR(INDEX(OSStatus,MATCH($A2473,OSNum,0)),"OS inexistente"))</f>
        <v>0</v>
      </c>
      <c r="J2473" s="32">
        <f>IF($A2473="","",IF($I2473="OS inexistente","OS inexistente",IF($E2473="Peça não cadastrada","Peça não cadastrada","OK")))</f>
        <v>0</v>
      </c>
    </row>
    <row r="2474" spans="1:10">
      <c r="A2474" s="17"/>
      <c r="B2474" s="13"/>
      <c r="C2474" s="20"/>
      <c r="D2474" s="19"/>
      <c r="E2474" s="26">
        <f>IF($B2474="","",IFERROR(INDEX(PecDesc,MATCH($B2474,PecCod,0)),"Peça não cadastrada"))</f>
        <v>0</v>
      </c>
      <c r="F2474" s="27">
        <f>IF($B2474="","",IF($D2474&lt;&gt;"",$D2474,IFERROR(INDEX(PecPreco,MATCH($B2474,PecCod,0)),0)))</f>
        <v>0</v>
      </c>
      <c r="G2474" s="27">
        <f>IF(OR($B2474="",$C2474=""),"",$C2474*$F2474)</f>
        <v>0</v>
      </c>
      <c r="H2474" s="27">
        <f>IF(OR($B2474="",$C2474=""),"",$C2474*IFERROR(INDEX(PecCusto,MATCH($B2474,PecCod,0)),0))</f>
        <v>0</v>
      </c>
      <c r="I2474" s="32">
        <f>IF($A2474="","",IFERROR(INDEX(OSStatus,MATCH($A2474,OSNum,0)),"OS inexistente"))</f>
        <v>0</v>
      </c>
      <c r="J2474" s="32">
        <f>IF($A2474="","",IF($I2474="OS inexistente","OS inexistente",IF($E2474="Peça não cadastrada","Peça não cadastrada","OK")))</f>
        <v>0</v>
      </c>
    </row>
    <row r="2475" spans="1:10">
      <c r="A2475" s="17"/>
      <c r="B2475" s="13"/>
      <c r="C2475" s="20"/>
      <c r="D2475" s="19"/>
      <c r="E2475" s="26">
        <f>IF($B2475="","",IFERROR(INDEX(PecDesc,MATCH($B2475,PecCod,0)),"Peça não cadastrada"))</f>
        <v>0</v>
      </c>
      <c r="F2475" s="27">
        <f>IF($B2475="","",IF($D2475&lt;&gt;"",$D2475,IFERROR(INDEX(PecPreco,MATCH($B2475,PecCod,0)),0)))</f>
        <v>0</v>
      </c>
      <c r="G2475" s="27">
        <f>IF(OR($B2475="",$C2475=""),"",$C2475*$F2475)</f>
        <v>0</v>
      </c>
      <c r="H2475" s="27">
        <f>IF(OR($B2475="",$C2475=""),"",$C2475*IFERROR(INDEX(PecCusto,MATCH($B2475,PecCod,0)),0))</f>
        <v>0</v>
      </c>
      <c r="I2475" s="32">
        <f>IF($A2475="","",IFERROR(INDEX(OSStatus,MATCH($A2475,OSNum,0)),"OS inexistente"))</f>
        <v>0</v>
      </c>
      <c r="J2475" s="32">
        <f>IF($A2475="","",IF($I2475="OS inexistente","OS inexistente",IF($E2475="Peça não cadastrada","Peça não cadastrada","OK")))</f>
        <v>0</v>
      </c>
    </row>
    <row r="2476" spans="1:10">
      <c r="A2476" s="17"/>
      <c r="B2476" s="13"/>
      <c r="C2476" s="20"/>
      <c r="D2476" s="19"/>
      <c r="E2476" s="26">
        <f>IF($B2476="","",IFERROR(INDEX(PecDesc,MATCH($B2476,PecCod,0)),"Peça não cadastrada"))</f>
        <v>0</v>
      </c>
      <c r="F2476" s="27">
        <f>IF($B2476="","",IF($D2476&lt;&gt;"",$D2476,IFERROR(INDEX(PecPreco,MATCH($B2476,PecCod,0)),0)))</f>
        <v>0</v>
      </c>
      <c r="G2476" s="27">
        <f>IF(OR($B2476="",$C2476=""),"",$C2476*$F2476)</f>
        <v>0</v>
      </c>
      <c r="H2476" s="27">
        <f>IF(OR($B2476="",$C2476=""),"",$C2476*IFERROR(INDEX(PecCusto,MATCH($B2476,PecCod,0)),0))</f>
        <v>0</v>
      </c>
      <c r="I2476" s="32">
        <f>IF($A2476="","",IFERROR(INDEX(OSStatus,MATCH($A2476,OSNum,0)),"OS inexistente"))</f>
        <v>0</v>
      </c>
      <c r="J2476" s="32">
        <f>IF($A2476="","",IF($I2476="OS inexistente","OS inexistente",IF($E2476="Peça não cadastrada","Peça não cadastrada","OK")))</f>
        <v>0</v>
      </c>
    </row>
    <row r="2477" spans="1:10">
      <c r="A2477" s="17"/>
      <c r="B2477" s="13"/>
      <c r="C2477" s="20"/>
      <c r="D2477" s="19"/>
      <c r="E2477" s="26">
        <f>IF($B2477="","",IFERROR(INDEX(PecDesc,MATCH($B2477,PecCod,0)),"Peça não cadastrada"))</f>
        <v>0</v>
      </c>
      <c r="F2477" s="27">
        <f>IF($B2477="","",IF($D2477&lt;&gt;"",$D2477,IFERROR(INDEX(PecPreco,MATCH($B2477,PecCod,0)),0)))</f>
        <v>0</v>
      </c>
      <c r="G2477" s="27">
        <f>IF(OR($B2477="",$C2477=""),"",$C2477*$F2477)</f>
        <v>0</v>
      </c>
      <c r="H2477" s="27">
        <f>IF(OR($B2477="",$C2477=""),"",$C2477*IFERROR(INDEX(PecCusto,MATCH($B2477,PecCod,0)),0))</f>
        <v>0</v>
      </c>
      <c r="I2477" s="32">
        <f>IF($A2477="","",IFERROR(INDEX(OSStatus,MATCH($A2477,OSNum,0)),"OS inexistente"))</f>
        <v>0</v>
      </c>
      <c r="J2477" s="32">
        <f>IF($A2477="","",IF($I2477="OS inexistente","OS inexistente",IF($E2477="Peça não cadastrada","Peça não cadastrada","OK")))</f>
        <v>0</v>
      </c>
    </row>
    <row r="2478" spans="1:10">
      <c r="A2478" s="17"/>
      <c r="B2478" s="13"/>
      <c r="C2478" s="20"/>
      <c r="D2478" s="19"/>
      <c r="E2478" s="26">
        <f>IF($B2478="","",IFERROR(INDEX(PecDesc,MATCH($B2478,PecCod,0)),"Peça não cadastrada"))</f>
        <v>0</v>
      </c>
      <c r="F2478" s="27">
        <f>IF($B2478="","",IF($D2478&lt;&gt;"",$D2478,IFERROR(INDEX(PecPreco,MATCH($B2478,PecCod,0)),0)))</f>
        <v>0</v>
      </c>
      <c r="G2478" s="27">
        <f>IF(OR($B2478="",$C2478=""),"",$C2478*$F2478)</f>
        <v>0</v>
      </c>
      <c r="H2478" s="27">
        <f>IF(OR($B2478="",$C2478=""),"",$C2478*IFERROR(INDEX(PecCusto,MATCH($B2478,PecCod,0)),0))</f>
        <v>0</v>
      </c>
      <c r="I2478" s="32">
        <f>IF($A2478="","",IFERROR(INDEX(OSStatus,MATCH($A2478,OSNum,0)),"OS inexistente"))</f>
        <v>0</v>
      </c>
      <c r="J2478" s="32">
        <f>IF($A2478="","",IF($I2478="OS inexistente","OS inexistente",IF($E2478="Peça não cadastrada","Peça não cadastrada","OK")))</f>
        <v>0</v>
      </c>
    </row>
    <row r="2479" spans="1:10">
      <c r="A2479" s="17"/>
      <c r="B2479" s="13"/>
      <c r="C2479" s="20"/>
      <c r="D2479" s="19"/>
      <c r="E2479" s="26">
        <f>IF($B2479="","",IFERROR(INDEX(PecDesc,MATCH($B2479,PecCod,0)),"Peça não cadastrada"))</f>
        <v>0</v>
      </c>
      <c r="F2479" s="27">
        <f>IF($B2479="","",IF($D2479&lt;&gt;"",$D2479,IFERROR(INDEX(PecPreco,MATCH($B2479,PecCod,0)),0)))</f>
        <v>0</v>
      </c>
      <c r="G2479" s="27">
        <f>IF(OR($B2479="",$C2479=""),"",$C2479*$F2479)</f>
        <v>0</v>
      </c>
      <c r="H2479" s="27">
        <f>IF(OR($B2479="",$C2479=""),"",$C2479*IFERROR(INDEX(PecCusto,MATCH($B2479,PecCod,0)),0))</f>
        <v>0</v>
      </c>
      <c r="I2479" s="32">
        <f>IF($A2479="","",IFERROR(INDEX(OSStatus,MATCH($A2479,OSNum,0)),"OS inexistente"))</f>
        <v>0</v>
      </c>
      <c r="J2479" s="32">
        <f>IF($A2479="","",IF($I2479="OS inexistente","OS inexistente",IF($E2479="Peça não cadastrada","Peça não cadastrada","OK")))</f>
        <v>0</v>
      </c>
    </row>
    <row r="2480" spans="1:10">
      <c r="A2480" s="17"/>
      <c r="B2480" s="13"/>
      <c r="C2480" s="20"/>
      <c r="D2480" s="19"/>
      <c r="E2480" s="26">
        <f>IF($B2480="","",IFERROR(INDEX(PecDesc,MATCH($B2480,PecCod,0)),"Peça não cadastrada"))</f>
        <v>0</v>
      </c>
      <c r="F2480" s="27">
        <f>IF($B2480="","",IF($D2480&lt;&gt;"",$D2480,IFERROR(INDEX(PecPreco,MATCH($B2480,PecCod,0)),0)))</f>
        <v>0</v>
      </c>
      <c r="G2480" s="27">
        <f>IF(OR($B2480="",$C2480=""),"",$C2480*$F2480)</f>
        <v>0</v>
      </c>
      <c r="H2480" s="27">
        <f>IF(OR($B2480="",$C2480=""),"",$C2480*IFERROR(INDEX(PecCusto,MATCH($B2480,PecCod,0)),0))</f>
        <v>0</v>
      </c>
      <c r="I2480" s="32">
        <f>IF($A2480="","",IFERROR(INDEX(OSStatus,MATCH($A2480,OSNum,0)),"OS inexistente"))</f>
        <v>0</v>
      </c>
      <c r="J2480" s="32">
        <f>IF($A2480="","",IF($I2480="OS inexistente","OS inexistente",IF($E2480="Peça não cadastrada","Peça não cadastrada","OK")))</f>
        <v>0</v>
      </c>
    </row>
    <row r="2481" spans="1:10">
      <c r="A2481" s="17"/>
      <c r="B2481" s="13"/>
      <c r="C2481" s="20"/>
      <c r="D2481" s="19"/>
      <c r="E2481" s="26">
        <f>IF($B2481="","",IFERROR(INDEX(PecDesc,MATCH($B2481,PecCod,0)),"Peça não cadastrada"))</f>
        <v>0</v>
      </c>
      <c r="F2481" s="27">
        <f>IF($B2481="","",IF($D2481&lt;&gt;"",$D2481,IFERROR(INDEX(PecPreco,MATCH($B2481,PecCod,0)),0)))</f>
        <v>0</v>
      </c>
      <c r="G2481" s="27">
        <f>IF(OR($B2481="",$C2481=""),"",$C2481*$F2481)</f>
        <v>0</v>
      </c>
      <c r="H2481" s="27">
        <f>IF(OR($B2481="",$C2481=""),"",$C2481*IFERROR(INDEX(PecCusto,MATCH($B2481,PecCod,0)),0))</f>
        <v>0</v>
      </c>
      <c r="I2481" s="32">
        <f>IF($A2481="","",IFERROR(INDEX(OSStatus,MATCH($A2481,OSNum,0)),"OS inexistente"))</f>
        <v>0</v>
      </c>
      <c r="J2481" s="32">
        <f>IF($A2481="","",IF($I2481="OS inexistente","OS inexistente",IF($E2481="Peça não cadastrada","Peça não cadastrada","OK")))</f>
        <v>0</v>
      </c>
    </row>
    <row r="2482" spans="1:10">
      <c r="A2482" s="17"/>
      <c r="B2482" s="13"/>
      <c r="C2482" s="20"/>
      <c r="D2482" s="19"/>
      <c r="E2482" s="26">
        <f>IF($B2482="","",IFERROR(INDEX(PecDesc,MATCH($B2482,PecCod,0)),"Peça não cadastrada"))</f>
        <v>0</v>
      </c>
      <c r="F2482" s="27">
        <f>IF($B2482="","",IF($D2482&lt;&gt;"",$D2482,IFERROR(INDEX(PecPreco,MATCH($B2482,PecCod,0)),0)))</f>
        <v>0</v>
      </c>
      <c r="G2482" s="27">
        <f>IF(OR($B2482="",$C2482=""),"",$C2482*$F2482)</f>
        <v>0</v>
      </c>
      <c r="H2482" s="27">
        <f>IF(OR($B2482="",$C2482=""),"",$C2482*IFERROR(INDEX(PecCusto,MATCH($B2482,PecCod,0)),0))</f>
        <v>0</v>
      </c>
      <c r="I2482" s="32">
        <f>IF($A2482="","",IFERROR(INDEX(OSStatus,MATCH($A2482,OSNum,0)),"OS inexistente"))</f>
        <v>0</v>
      </c>
      <c r="J2482" s="32">
        <f>IF($A2482="","",IF($I2482="OS inexistente","OS inexistente",IF($E2482="Peça não cadastrada","Peça não cadastrada","OK")))</f>
        <v>0</v>
      </c>
    </row>
    <row r="2483" spans="1:10">
      <c r="A2483" s="17"/>
      <c r="B2483" s="13"/>
      <c r="C2483" s="20"/>
      <c r="D2483" s="19"/>
      <c r="E2483" s="26">
        <f>IF($B2483="","",IFERROR(INDEX(PecDesc,MATCH($B2483,PecCod,0)),"Peça não cadastrada"))</f>
        <v>0</v>
      </c>
      <c r="F2483" s="27">
        <f>IF($B2483="","",IF($D2483&lt;&gt;"",$D2483,IFERROR(INDEX(PecPreco,MATCH($B2483,PecCod,0)),0)))</f>
        <v>0</v>
      </c>
      <c r="G2483" s="27">
        <f>IF(OR($B2483="",$C2483=""),"",$C2483*$F2483)</f>
        <v>0</v>
      </c>
      <c r="H2483" s="27">
        <f>IF(OR($B2483="",$C2483=""),"",$C2483*IFERROR(INDEX(PecCusto,MATCH($B2483,PecCod,0)),0))</f>
        <v>0</v>
      </c>
      <c r="I2483" s="32">
        <f>IF($A2483="","",IFERROR(INDEX(OSStatus,MATCH($A2483,OSNum,0)),"OS inexistente"))</f>
        <v>0</v>
      </c>
      <c r="J2483" s="32">
        <f>IF($A2483="","",IF($I2483="OS inexistente","OS inexistente",IF($E2483="Peça não cadastrada","Peça não cadastrada","OK")))</f>
        <v>0</v>
      </c>
    </row>
    <row r="2484" spans="1:10">
      <c r="A2484" s="17"/>
      <c r="B2484" s="13"/>
      <c r="C2484" s="20"/>
      <c r="D2484" s="19"/>
      <c r="E2484" s="26">
        <f>IF($B2484="","",IFERROR(INDEX(PecDesc,MATCH($B2484,PecCod,0)),"Peça não cadastrada"))</f>
        <v>0</v>
      </c>
      <c r="F2484" s="27">
        <f>IF($B2484="","",IF($D2484&lt;&gt;"",$D2484,IFERROR(INDEX(PecPreco,MATCH($B2484,PecCod,0)),0)))</f>
        <v>0</v>
      </c>
      <c r="G2484" s="27">
        <f>IF(OR($B2484="",$C2484=""),"",$C2484*$F2484)</f>
        <v>0</v>
      </c>
      <c r="H2484" s="27">
        <f>IF(OR($B2484="",$C2484=""),"",$C2484*IFERROR(INDEX(PecCusto,MATCH($B2484,PecCod,0)),0))</f>
        <v>0</v>
      </c>
      <c r="I2484" s="32">
        <f>IF($A2484="","",IFERROR(INDEX(OSStatus,MATCH($A2484,OSNum,0)),"OS inexistente"))</f>
        <v>0</v>
      </c>
      <c r="J2484" s="32">
        <f>IF($A2484="","",IF($I2484="OS inexistente","OS inexistente",IF($E2484="Peça não cadastrada","Peça não cadastrada","OK")))</f>
        <v>0</v>
      </c>
    </row>
    <row r="2485" spans="1:10">
      <c r="A2485" s="17"/>
      <c r="B2485" s="13"/>
      <c r="C2485" s="20"/>
      <c r="D2485" s="19"/>
      <c r="E2485" s="26">
        <f>IF($B2485="","",IFERROR(INDEX(PecDesc,MATCH($B2485,PecCod,0)),"Peça não cadastrada"))</f>
        <v>0</v>
      </c>
      <c r="F2485" s="27">
        <f>IF($B2485="","",IF($D2485&lt;&gt;"",$D2485,IFERROR(INDEX(PecPreco,MATCH($B2485,PecCod,0)),0)))</f>
        <v>0</v>
      </c>
      <c r="G2485" s="27">
        <f>IF(OR($B2485="",$C2485=""),"",$C2485*$F2485)</f>
        <v>0</v>
      </c>
      <c r="H2485" s="27">
        <f>IF(OR($B2485="",$C2485=""),"",$C2485*IFERROR(INDEX(PecCusto,MATCH($B2485,PecCod,0)),0))</f>
        <v>0</v>
      </c>
      <c r="I2485" s="32">
        <f>IF($A2485="","",IFERROR(INDEX(OSStatus,MATCH($A2485,OSNum,0)),"OS inexistente"))</f>
        <v>0</v>
      </c>
      <c r="J2485" s="32">
        <f>IF($A2485="","",IF($I2485="OS inexistente","OS inexistente",IF($E2485="Peça não cadastrada","Peça não cadastrada","OK")))</f>
        <v>0</v>
      </c>
    </row>
    <row r="2486" spans="1:10">
      <c r="A2486" s="17"/>
      <c r="B2486" s="13"/>
      <c r="C2486" s="20"/>
      <c r="D2486" s="19"/>
      <c r="E2486" s="26">
        <f>IF($B2486="","",IFERROR(INDEX(PecDesc,MATCH($B2486,PecCod,0)),"Peça não cadastrada"))</f>
        <v>0</v>
      </c>
      <c r="F2486" s="27">
        <f>IF($B2486="","",IF($D2486&lt;&gt;"",$D2486,IFERROR(INDEX(PecPreco,MATCH($B2486,PecCod,0)),0)))</f>
        <v>0</v>
      </c>
      <c r="G2486" s="27">
        <f>IF(OR($B2486="",$C2486=""),"",$C2486*$F2486)</f>
        <v>0</v>
      </c>
      <c r="H2486" s="27">
        <f>IF(OR($B2486="",$C2486=""),"",$C2486*IFERROR(INDEX(PecCusto,MATCH($B2486,PecCod,0)),0))</f>
        <v>0</v>
      </c>
      <c r="I2486" s="32">
        <f>IF($A2486="","",IFERROR(INDEX(OSStatus,MATCH($A2486,OSNum,0)),"OS inexistente"))</f>
        <v>0</v>
      </c>
      <c r="J2486" s="32">
        <f>IF($A2486="","",IF($I2486="OS inexistente","OS inexistente",IF($E2486="Peça não cadastrada","Peça não cadastrada","OK")))</f>
        <v>0</v>
      </c>
    </row>
    <row r="2487" spans="1:10">
      <c r="A2487" s="17"/>
      <c r="B2487" s="13"/>
      <c r="C2487" s="20"/>
      <c r="D2487" s="19"/>
      <c r="E2487" s="26">
        <f>IF($B2487="","",IFERROR(INDEX(PecDesc,MATCH($B2487,PecCod,0)),"Peça não cadastrada"))</f>
        <v>0</v>
      </c>
      <c r="F2487" s="27">
        <f>IF($B2487="","",IF($D2487&lt;&gt;"",$D2487,IFERROR(INDEX(PecPreco,MATCH($B2487,PecCod,0)),0)))</f>
        <v>0</v>
      </c>
      <c r="G2487" s="27">
        <f>IF(OR($B2487="",$C2487=""),"",$C2487*$F2487)</f>
        <v>0</v>
      </c>
      <c r="H2487" s="27">
        <f>IF(OR($B2487="",$C2487=""),"",$C2487*IFERROR(INDEX(PecCusto,MATCH($B2487,PecCod,0)),0))</f>
        <v>0</v>
      </c>
      <c r="I2487" s="32">
        <f>IF($A2487="","",IFERROR(INDEX(OSStatus,MATCH($A2487,OSNum,0)),"OS inexistente"))</f>
        <v>0</v>
      </c>
      <c r="J2487" s="32">
        <f>IF($A2487="","",IF($I2487="OS inexistente","OS inexistente",IF($E2487="Peça não cadastrada","Peça não cadastrada","OK")))</f>
        <v>0</v>
      </c>
    </row>
    <row r="2488" spans="1:10">
      <c r="A2488" s="17"/>
      <c r="B2488" s="13"/>
      <c r="C2488" s="20"/>
      <c r="D2488" s="19"/>
      <c r="E2488" s="26">
        <f>IF($B2488="","",IFERROR(INDEX(PecDesc,MATCH($B2488,PecCod,0)),"Peça não cadastrada"))</f>
        <v>0</v>
      </c>
      <c r="F2488" s="27">
        <f>IF($B2488="","",IF($D2488&lt;&gt;"",$D2488,IFERROR(INDEX(PecPreco,MATCH($B2488,PecCod,0)),0)))</f>
        <v>0</v>
      </c>
      <c r="G2488" s="27">
        <f>IF(OR($B2488="",$C2488=""),"",$C2488*$F2488)</f>
        <v>0</v>
      </c>
      <c r="H2488" s="27">
        <f>IF(OR($B2488="",$C2488=""),"",$C2488*IFERROR(INDEX(PecCusto,MATCH($B2488,PecCod,0)),0))</f>
        <v>0</v>
      </c>
      <c r="I2488" s="32">
        <f>IF($A2488="","",IFERROR(INDEX(OSStatus,MATCH($A2488,OSNum,0)),"OS inexistente"))</f>
        <v>0</v>
      </c>
      <c r="J2488" s="32">
        <f>IF($A2488="","",IF($I2488="OS inexistente","OS inexistente",IF($E2488="Peça não cadastrada","Peça não cadastrada","OK")))</f>
        <v>0</v>
      </c>
    </row>
    <row r="2489" spans="1:10">
      <c r="A2489" s="17"/>
      <c r="B2489" s="13"/>
      <c r="C2489" s="20"/>
      <c r="D2489" s="19"/>
      <c r="E2489" s="26">
        <f>IF($B2489="","",IFERROR(INDEX(PecDesc,MATCH($B2489,PecCod,0)),"Peça não cadastrada"))</f>
        <v>0</v>
      </c>
      <c r="F2489" s="27">
        <f>IF($B2489="","",IF($D2489&lt;&gt;"",$D2489,IFERROR(INDEX(PecPreco,MATCH($B2489,PecCod,0)),0)))</f>
        <v>0</v>
      </c>
      <c r="G2489" s="27">
        <f>IF(OR($B2489="",$C2489=""),"",$C2489*$F2489)</f>
        <v>0</v>
      </c>
      <c r="H2489" s="27">
        <f>IF(OR($B2489="",$C2489=""),"",$C2489*IFERROR(INDEX(PecCusto,MATCH($B2489,PecCod,0)),0))</f>
        <v>0</v>
      </c>
      <c r="I2489" s="32">
        <f>IF($A2489="","",IFERROR(INDEX(OSStatus,MATCH($A2489,OSNum,0)),"OS inexistente"))</f>
        <v>0</v>
      </c>
      <c r="J2489" s="32">
        <f>IF($A2489="","",IF($I2489="OS inexistente","OS inexistente",IF($E2489="Peça não cadastrada","Peça não cadastrada","OK")))</f>
        <v>0</v>
      </c>
    </row>
    <row r="2490" spans="1:10">
      <c r="A2490" s="17"/>
      <c r="B2490" s="13"/>
      <c r="C2490" s="20"/>
      <c r="D2490" s="19"/>
      <c r="E2490" s="26">
        <f>IF($B2490="","",IFERROR(INDEX(PecDesc,MATCH($B2490,PecCod,0)),"Peça não cadastrada"))</f>
        <v>0</v>
      </c>
      <c r="F2490" s="27">
        <f>IF($B2490="","",IF($D2490&lt;&gt;"",$D2490,IFERROR(INDEX(PecPreco,MATCH($B2490,PecCod,0)),0)))</f>
        <v>0</v>
      </c>
      <c r="G2490" s="27">
        <f>IF(OR($B2490="",$C2490=""),"",$C2490*$F2490)</f>
        <v>0</v>
      </c>
      <c r="H2490" s="27">
        <f>IF(OR($B2490="",$C2490=""),"",$C2490*IFERROR(INDEX(PecCusto,MATCH($B2490,PecCod,0)),0))</f>
        <v>0</v>
      </c>
      <c r="I2490" s="32">
        <f>IF($A2490="","",IFERROR(INDEX(OSStatus,MATCH($A2490,OSNum,0)),"OS inexistente"))</f>
        <v>0</v>
      </c>
      <c r="J2490" s="32">
        <f>IF($A2490="","",IF($I2490="OS inexistente","OS inexistente",IF($E2490="Peça não cadastrada","Peça não cadastrada","OK")))</f>
        <v>0</v>
      </c>
    </row>
    <row r="2491" spans="1:10">
      <c r="A2491" s="17"/>
      <c r="B2491" s="13"/>
      <c r="C2491" s="20"/>
      <c r="D2491" s="19"/>
      <c r="E2491" s="26">
        <f>IF($B2491="","",IFERROR(INDEX(PecDesc,MATCH($B2491,PecCod,0)),"Peça não cadastrada"))</f>
        <v>0</v>
      </c>
      <c r="F2491" s="27">
        <f>IF($B2491="","",IF($D2491&lt;&gt;"",$D2491,IFERROR(INDEX(PecPreco,MATCH($B2491,PecCod,0)),0)))</f>
        <v>0</v>
      </c>
      <c r="G2491" s="27">
        <f>IF(OR($B2491="",$C2491=""),"",$C2491*$F2491)</f>
        <v>0</v>
      </c>
      <c r="H2491" s="27">
        <f>IF(OR($B2491="",$C2491=""),"",$C2491*IFERROR(INDEX(PecCusto,MATCH($B2491,PecCod,0)),0))</f>
        <v>0</v>
      </c>
      <c r="I2491" s="32">
        <f>IF($A2491="","",IFERROR(INDEX(OSStatus,MATCH($A2491,OSNum,0)),"OS inexistente"))</f>
        <v>0</v>
      </c>
      <c r="J2491" s="32">
        <f>IF($A2491="","",IF($I2491="OS inexistente","OS inexistente",IF($E2491="Peça não cadastrada","Peça não cadastrada","OK")))</f>
        <v>0</v>
      </c>
    </row>
    <row r="2492" spans="1:10">
      <c r="A2492" s="17"/>
      <c r="B2492" s="13"/>
      <c r="C2492" s="20"/>
      <c r="D2492" s="19"/>
      <c r="E2492" s="26">
        <f>IF($B2492="","",IFERROR(INDEX(PecDesc,MATCH($B2492,PecCod,0)),"Peça não cadastrada"))</f>
        <v>0</v>
      </c>
      <c r="F2492" s="27">
        <f>IF($B2492="","",IF($D2492&lt;&gt;"",$D2492,IFERROR(INDEX(PecPreco,MATCH($B2492,PecCod,0)),0)))</f>
        <v>0</v>
      </c>
      <c r="G2492" s="27">
        <f>IF(OR($B2492="",$C2492=""),"",$C2492*$F2492)</f>
        <v>0</v>
      </c>
      <c r="H2492" s="27">
        <f>IF(OR($B2492="",$C2492=""),"",$C2492*IFERROR(INDEX(PecCusto,MATCH($B2492,PecCod,0)),0))</f>
        <v>0</v>
      </c>
      <c r="I2492" s="32">
        <f>IF($A2492="","",IFERROR(INDEX(OSStatus,MATCH($A2492,OSNum,0)),"OS inexistente"))</f>
        <v>0</v>
      </c>
      <c r="J2492" s="32">
        <f>IF($A2492="","",IF($I2492="OS inexistente","OS inexistente",IF($E2492="Peça não cadastrada","Peça não cadastrada","OK")))</f>
        <v>0</v>
      </c>
    </row>
    <row r="2493" spans="1:10">
      <c r="A2493" s="17"/>
      <c r="B2493" s="13"/>
      <c r="C2493" s="20"/>
      <c r="D2493" s="19"/>
      <c r="E2493" s="26">
        <f>IF($B2493="","",IFERROR(INDEX(PecDesc,MATCH($B2493,PecCod,0)),"Peça não cadastrada"))</f>
        <v>0</v>
      </c>
      <c r="F2493" s="27">
        <f>IF($B2493="","",IF($D2493&lt;&gt;"",$D2493,IFERROR(INDEX(PecPreco,MATCH($B2493,PecCod,0)),0)))</f>
        <v>0</v>
      </c>
      <c r="G2493" s="27">
        <f>IF(OR($B2493="",$C2493=""),"",$C2493*$F2493)</f>
        <v>0</v>
      </c>
      <c r="H2493" s="27">
        <f>IF(OR($B2493="",$C2493=""),"",$C2493*IFERROR(INDEX(PecCusto,MATCH($B2493,PecCod,0)),0))</f>
        <v>0</v>
      </c>
      <c r="I2493" s="32">
        <f>IF($A2493="","",IFERROR(INDEX(OSStatus,MATCH($A2493,OSNum,0)),"OS inexistente"))</f>
        <v>0</v>
      </c>
      <c r="J2493" s="32">
        <f>IF($A2493="","",IF($I2493="OS inexistente","OS inexistente",IF($E2493="Peça não cadastrada","Peça não cadastrada","OK")))</f>
        <v>0</v>
      </c>
    </row>
    <row r="2494" spans="1:10">
      <c r="A2494" s="17"/>
      <c r="B2494" s="13"/>
      <c r="C2494" s="20"/>
      <c r="D2494" s="19"/>
      <c r="E2494" s="26">
        <f>IF($B2494="","",IFERROR(INDEX(PecDesc,MATCH($B2494,PecCod,0)),"Peça não cadastrada"))</f>
        <v>0</v>
      </c>
      <c r="F2494" s="27">
        <f>IF($B2494="","",IF($D2494&lt;&gt;"",$D2494,IFERROR(INDEX(PecPreco,MATCH($B2494,PecCod,0)),0)))</f>
        <v>0</v>
      </c>
      <c r="G2494" s="27">
        <f>IF(OR($B2494="",$C2494=""),"",$C2494*$F2494)</f>
        <v>0</v>
      </c>
      <c r="H2494" s="27">
        <f>IF(OR($B2494="",$C2494=""),"",$C2494*IFERROR(INDEX(PecCusto,MATCH($B2494,PecCod,0)),0))</f>
        <v>0</v>
      </c>
      <c r="I2494" s="32">
        <f>IF($A2494="","",IFERROR(INDEX(OSStatus,MATCH($A2494,OSNum,0)),"OS inexistente"))</f>
        <v>0</v>
      </c>
      <c r="J2494" s="32">
        <f>IF($A2494="","",IF($I2494="OS inexistente","OS inexistente",IF($E2494="Peça não cadastrada","Peça não cadastrada","OK")))</f>
        <v>0</v>
      </c>
    </row>
    <row r="2495" spans="1:10">
      <c r="A2495" s="17"/>
      <c r="B2495" s="13"/>
      <c r="C2495" s="20"/>
      <c r="D2495" s="19"/>
      <c r="E2495" s="26">
        <f>IF($B2495="","",IFERROR(INDEX(PecDesc,MATCH($B2495,PecCod,0)),"Peça não cadastrada"))</f>
        <v>0</v>
      </c>
      <c r="F2495" s="27">
        <f>IF($B2495="","",IF($D2495&lt;&gt;"",$D2495,IFERROR(INDEX(PecPreco,MATCH($B2495,PecCod,0)),0)))</f>
        <v>0</v>
      </c>
      <c r="G2495" s="27">
        <f>IF(OR($B2495="",$C2495=""),"",$C2495*$F2495)</f>
        <v>0</v>
      </c>
      <c r="H2495" s="27">
        <f>IF(OR($B2495="",$C2495=""),"",$C2495*IFERROR(INDEX(PecCusto,MATCH($B2495,PecCod,0)),0))</f>
        <v>0</v>
      </c>
      <c r="I2495" s="32">
        <f>IF($A2495="","",IFERROR(INDEX(OSStatus,MATCH($A2495,OSNum,0)),"OS inexistente"))</f>
        <v>0</v>
      </c>
      <c r="J2495" s="32">
        <f>IF($A2495="","",IF($I2495="OS inexistente","OS inexistente",IF($E2495="Peça não cadastrada","Peça não cadastrada","OK")))</f>
        <v>0</v>
      </c>
    </row>
    <row r="2496" spans="1:10">
      <c r="A2496" s="17"/>
      <c r="B2496" s="13"/>
      <c r="C2496" s="20"/>
      <c r="D2496" s="19"/>
      <c r="E2496" s="26">
        <f>IF($B2496="","",IFERROR(INDEX(PecDesc,MATCH($B2496,PecCod,0)),"Peça não cadastrada"))</f>
        <v>0</v>
      </c>
      <c r="F2496" s="27">
        <f>IF($B2496="","",IF($D2496&lt;&gt;"",$D2496,IFERROR(INDEX(PecPreco,MATCH($B2496,PecCod,0)),0)))</f>
        <v>0</v>
      </c>
      <c r="G2496" s="27">
        <f>IF(OR($B2496="",$C2496=""),"",$C2496*$F2496)</f>
        <v>0</v>
      </c>
      <c r="H2496" s="27">
        <f>IF(OR($B2496="",$C2496=""),"",$C2496*IFERROR(INDEX(PecCusto,MATCH($B2496,PecCod,0)),0))</f>
        <v>0</v>
      </c>
      <c r="I2496" s="32">
        <f>IF($A2496="","",IFERROR(INDEX(OSStatus,MATCH($A2496,OSNum,0)),"OS inexistente"))</f>
        <v>0</v>
      </c>
      <c r="J2496" s="32">
        <f>IF($A2496="","",IF($I2496="OS inexistente","OS inexistente",IF($E2496="Peça não cadastrada","Peça não cadastrada","OK")))</f>
        <v>0</v>
      </c>
    </row>
    <row r="2497" spans="1:10">
      <c r="A2497" s="17"/>
      <c r="B2497" s="13"/>
      <c r="C2497" s="20"/>
      <c r="D2497" s="19"/>
      <c r="E2497" s="26">
        <f>IF($B2497="","",IFERROR(INDEX(PecDesc,MATCH($B2497,PecCod,0)),"Peça não cadastrada"))</f>
        <v>0</v>
      </c>
      <c r="F2497" s="27">
        <f>IF($B2497="","",IF($D2497&lt;&gt;"",$D2497,IFERROR(INDEX(PecPreco,MATCH($B2497,PecCod,0)),0)))</f>
        <v>0</v>
      </c>
      <c r="G2497" s="27">
        <f>IF(OR($B2497="",$C2497=""),"",$C2497*$F2497)</f>
        <v>0</v>
      </c>
      <c r="H2497" s="27">
        <f>IF(OR($B2497="",$C2497=""),"",$C2497*IFERROR(INDEX(PecCusto,MATCH($B2497,PecCod,0)),0))</f>
        <v>0</v>
      </c>
      <c r="I2497" s="32">
        <f>IF($A2497="","",IFERROR(INDEX(OSStatus,MATCH($A2497,OSNum,0)),"OS inexistente"))</f>
        <v>0</v>
      </c>
      <c r="J2497" s="32">
        <f>IF($A2497="","",IF($I2497="OS inexistente","OS inexistente",IF($E2497="Peça não cadastrada","Peça não cadastrada","OK")))</f>
        <v>0</v>
      </c>
    </row>
    <row r="2498" spans="1:10">
      <c r="A2498" s="17"/>
      <c r="B2498" s="13"/>
      <c r="C2498" s="20"/>
      <c r="D2498" s="19"/>
      <c r="E2498" s="26">
        <f>IF($B2498="","",IFERROR(INDEX(PecDesc,MATCH($B2498,PecCod,0)),"Peça não cadastrada"))</f>
        <v>0</v>
      </c>
      <c r="F2498" s="27">
        <f>IF($B2498="","",IF($D2498&lt;&gt;"",$D2498,IFERROR(INDEX(PecPreco,MATCH($B2498,PecCod,0)),0)))</f>
        <v>0</v>
      </c>
      <c r="G2498" s="27">
        <f>IF(OR($B2498="",$C2498=""),"",$C2498*$F2498)</f>
        <v>0</v>
      </c>
      <c r="H2498" s="27">
        <f>IF(OR($B2498="",$C2498=""),"",$C2498*IFERROR(INDEX(PecCusto,MATCH($B2498,PecCod,0)),0))</f>
        <v>0</v>
      </c>
      <c r="I2498" s="32">
        <f>IF($A2498="","",IFERROR(INDEX(OSStatus,MATCH($A2498,OSNum,0)),"OS inexistente"))</f>
        <v>0</v>
      </c>
      <c r="J2498" s="32">
        <f>IF($A2498="","",IF($I2498="OS inexistente","OS inexistente",IF($E2498="Peça não cadastrada","Peça não cadastrada","OK")))</f>
        <v>0</v>
      </c>
    </row>
    <row r="2499" spans="1:10">
      <c r="A2499" s="17"/>
      <c r="B2499" s="13"/>
      <c r="C2499" s="20"/>
      <c r="D2499" s="19"/>
      <c r="E2499" s="26">
        <f>IF($B2499="","",IFERROR(INDEX(PecDesc,MATCH($B2499,PecCod,0)),"Peça não cadastrada"))</f>
        <v>0</v>
      </c>
      <c r="F2499" s="27">
        <f>IF($B2499="","",IF($D2499&lt;&gt;"",$D2499,IFERROR(INDEX(PecPreco,MATCH($B2499,PecCod,0)),0)))</f>
        <v>0</v>
      </c>
      <c r="G2499" s="27">
        <f>IF(OR($B2499="",$C2499=""),"",$C2499*$F2499)</f>
        <v>0</v>
      </c>
      <c r="H2499" s="27">
        <f>IF(OR($B2499="",$C2499=""),"",$C2499*IFERROR(INDEX(PecCusto,MATCH($B2499,PecCod,0)),0))</f>
        <v>0</v>
      </c>
      <c r="I2499" s="32">
        <f>IF($A2499="","",IFERROR(INDEX(OSStatus,MATCH($A2499,OSNum,0)),"OS inexistente"))</f>
        <v>0</v>
      </c>
      <c r="J2499" s="32">
        <f>IF($A2499="","",IF($I2499="OS inexistente","OS inexistente",IF($E2499="Peça não cadastrada","Peça não cadastrada","OK")))</f>
        <v>0</v>
      </c>
    </row>
    <row r="2500" spans="1:10">
      <c r="A2500" s="17"/>
      <c r="B2500" s="13"/>
      <c r="C2500" s="20"/>
      <c r="D2500" s="19"/>
      <c r="E2500" s="26">
        <f>IF($B2500="","",IFERROR(INDEX(PecDesc,MATCH($B2500,PecCod,0)),"Peça não cadastrada"))</f>
        <v>0</v>
      </c>
      <c r="F2500" s="27">
        <f>IF($B2500="","",IF($D2500&lt;&gt;"",$D2500,IFERROR(INDEX(PecPreco,MATCH($B2500,PecCod,0)),0)))</f>
        <v>0</v>
      </c>
      <c r="G2500" s="27">
        <f>IF(OR($B2500="",$C2500=""),"",$C2500*$F2500)</f>
        <v>0</v>
      </c>
      <c r="H2500" s="27">
        <f>IF(OR($B2500="",$C2500=""),"",$C2500*IFERROR(INDEX(PecCusto,MATCH($B2500,PecCod,0)),0))</f>
        <v>0</v>
      </c>
      <c r="I2500" s="32">
        <f>IF($A2500="","",IFERROR(INDEX(OSStatus,MATCH($A2500,OSNum,0)),"OS inexistente"))</f>
        <v>0</v>
      </c>
      <c r="J2500" s="32">
        <f>IF($A2500="","",IF($I2500="OS inexistente","OS inexistente",IF($E2500="Peça não cadastrada","Peça não cadastrada","OK")))</f>
        <v>0</v>
      </c>
    </row>
    <row r="2501" spans="1:10">
      <c r="A2501" s="17"/>
      <c r="B2501" s="13"/>
      <c r="C2501" s="20"/>
      <c r="D2501" s="19"/>
      <c r="E2501" s="26">
        <f>IF($B2501="","",IFERROR(INDEX(PecDesc,MATCH($B2501,PecCod,0)),"Peça não cadastrada"))</f>
        <v>0</v>
      </c>
      <c r="F2501" s="27">
        <f>IF($B2501="","",IF($D2501&lt;&gt;"",$D2501,IFERROR(INDEX(PecPreco,MATCH($B2501,PecCod,0)),0)))</f>
        <v>0</v>
      </c>
      <c r="G2501" s="27">
        <f>IF(OR($B2501="",$C2501=""),"",$C2501*$F2501)</f>
        <v>0</v>
      </c>
      <c r="H2501" s="27">
        <f>IF(OR($B2501="",$C2501=""),"",$C2501*IFERROR(INDEX(PecCusto,MATCH($B2501,PecCod,0)),0))</f>
        <v>0</v>
      </c>
      <c r="I2501" s="32">
        <f>IF($A2501="","",IFERROR(INDEX(OSStatus,MATCH($A2501,OSNum,0)),"OS inexistente"))</f>
        <v>0</v>
      </c>
      <c r="J2501" s="32">
        <f>IF($A2501="","",IF($I2501="OS inexistente","OS inexistente",IF($E2501="Peça não cadastrada","Peça não cadastrada","OK")))</f>
        <v>0</v>
      </c>
    </row>
    <row r="2502" spans="1:10">
      <c r="A2502" s="17"/>
      <c r="B2502" s="13"/>
      <c r="C2502" s="20"/>
      <c r="D2502" s="19"/>
      <c r="E2502" s="26">
        <f>IF($B2502="","",IFERROR(INDEX(PecDesc,MATCH($B2502,PecCod,0)),"Peça não cadastrada"))</f>
        <v>0</v>
      </c>
      <c r="F2502" s="27">
        <f>IF($B2502="","",IF($D2502&lt;&gt;"",$D2502,IFERROR(INDEX(PecPreco,MATCH($B2502,PecCod,0)),0)))</f>
        <v>0</v>
      </c>
      <c r="G2502" s="27">
        <f>IF(OR($B2502="",$C2502=""),"",$C2502*$F2502)</f>
        <v>0</v>
      </c>
      <c r="H2502" s="27">
        <f>IF(OR($B2502="",$C2502=""),"",$C2502*IFERROR(INDEX(PecCusto,MATCH($B2502,PecCod,0)),0))</f>
        <v>0</v>
      </c>
      <c r="I2502" s="32">
        <f>IF($A2502="","",IFERROR(INDEX(OSStatus,MATCH($A2502,OSNum,0)),"OS inexistente"))</f>
        <v>0</v>
      </c>
      <c r="J2502" s="32">
        <f>IF($A2502="","",IF($I2502="OS inexistente","OS inexistente",IF($E2502="Peça não cadastrada","Peça não cadastrada","OK")))</f>
        <v>0</v>
      </c>
    </row>
    <row r="2503" spans="1:10">
      <c r="A2503" s="17"/>
      <c r="B2503" s="13"/>
      <c r="C2503" s="20"/>
      <c r="D2503" s="19"/>
      <c r="E2503" s="26">
        <f>IF($B2503="","",IFERROR(INDEX(PecDesc,MATCH($B2503,PecCod,0)),"Peça não cadastrada"))</f>
        <v>0</v>
      </c>
      <c r="F2503" s="27">
        <f>IF($B2503="","",IF($D2503&lt;&gt;"",$D2503,IFERROR(INDEX(PecPreco,MATCH($B2503,PecCod,0)),0)))</f>
        <v>0</v>
      </c>
      <c r="G2503" s="27">
        <f>IF(OR($B2503="",$C2503=""),"",$C2503*$F2503)</f>
        <v>0</v>
      </c>
      <c r="H2503" s="27">
        <f>IF(OR($B2503="",$C2503=""),"",$C2503*IFERROR(INDEX(PecCusto,MATCH($B2503,PecCod,0)),0))</f>
        <v>0</v>
      </c>
      <c r="I2503" s="32">
        <f>IF($A2503="","",IFERROR(INDEX(OSStatus,MATCH($A2503,OSNum,0)),"OS inexistente"))</f>
        <v>0</v>
      </c>
      <c r="J2503" s="32">
        <f>IF($A2503="","",IF($I2503="OS inexistente","OS inexistente",IF($E2503="Peça não cadastrada","Peça não cadastrada","OK")))</f>
        <v>0</v>
      </c>
    </row>
    <row r="2504" spans="1:10">
      <c r="A2504" s="17"/>
      <c r="B2504" s="13"/>
      <c r="C2504" s="20"/>
      <c r="D2504" s="19"/>
      <c r="E2504" s="26">
        <f>IF($B2504="","",IFERROR(INDEX(PecDesc,MATCH($B2504,PecCod,0)),"Peça não cadastrada"))</f>
        <v>0</v>
      </c>
      <c r="F2504" s="27">
        <f>IF($B2504="","",IF($D2504&lt;&gt;"",$D2504,IFERROR(INDEX(PecPreco,MATCH($B2504,PecCod,0)),0)))</f>
        <v>0</v>
      </c>
      <c r="G2504" s="27">
        <f>IF(OR($B2504="",$C2504=""),"",$C2504*$F2504)</f>
        <v>0</v>
      </c>
      <c r="H2504" s="27">
        <f>IF(OR($B2504="",$C2504=""),"",$C2504*IFERROR(INDEX(PecCusto,MATCH($B2504,PecCod,0)),0))</f>
        <v>0</v>
      </c>
      <c r="I2504" s="32">
        <f>IF($A2504="","",IFERROR(INDEX(OSStatus,MATCH($A2504,OSNum,0)),"OS inexistente"))</f>
        <v>0</v>
      </c>
      <c r="J2504" s="32">
        <f>IF($A2504="","",IF($I2504="OS inexistente","OS inexistente",IF($E2504="Peça não cadastrada","Peça não cadastrada","OK")))</f>
        <v>0</v>
      </c>
    </row>
    <row r="2505" spans="1:10">
      <c r="A2505" s="17"/>
      <c r="B2505" s="13"/>
      <c r="C2505" s="20"/>
      <c r="D2505" s="19"/>
      <c r="E2505" s="26">
        <f>IF($B2505="","",IFERROR(INDEX(PecDesc,MATCH($B2505,PecCod,0)),"Peça não cadastrada"))</f>
        <v>0</v>
      </c>
      <c r="F2505" s="27">
        <f>IF($B2505="","",IF($D2505&lt;&gt;"",$D2505,IFERROR(INDEX(PecPreco,MATCH($B2505,PecCod,0)),0)))</f>
        <v>0</v>
      </c>
      <c r="G2505" s="27">
        <f>IF(OR($B2505="",$C2505=""),"",$C2505*$F2505)</f>
        <v>0</v>
      </c>
      <c r="H2505" s="27">
        <f>IF(OR($B2505="",$C2505=""),"",$C2505*IFERROR(INDEX(PecCusto,MATCH($B2505,PecCod,0)),0))</f>
        <v>0</v>
      </c>
      <c r="I2505" s="32">
        <f>IF($A2505="","",IFERROR(INDEX(OSStatus,MATCH($A2505,OSNum,0)),"OS inexistente"))</f>
        <v>0</v>
      </c>
      <c r="J2505" s="32">
        <f>IF($A2505="","",IF($I2505="OS inexistente","OS inexistente",IF($E2505="Peça não cadastrada","Peça não cadastrada","OK")))</f>
        <v>0</v>
      </c>
    </row>
    <row r="2506" spans="1:10">
      <c r="A2506" s="17"/>
      <c r="B2506" s="13"/>
      <c r="C2506" s="20"/>
      <c r="D2506" s="19"/>
      <c r="E2506" s="26">
        <f>IF($B2506="","",IFERROR(INDEX(PecDesc,MATCH($B2506,PecCod,0)),"Peça não cadastrada"))</f>
        <v>0</v>
      </c>
      <c r="F2506" s="27">
        <f>IF($B2506="","",IF($D2506&lt;&gt;"",$D2506,IFERROR(INDEX(PecPreco,MATCH($B2506,PecCod,0)),0)))</f>
        <v>0</v>
      </c>
      <c r="G2506" s="27">
        <f>IF(OR($B2506="",$C2506=""),"",$C2506*$F2506)</f>
        <v>0</v>
      </c>
      <c r="H2506" s="27">
        <f>IF(OR($B2506="",$C2506=""),"",$C2506*IFERROR(INDEX(PecCusto,MATCH($B2506,PecCod,0)),0))</f>
        <v>0</v>
      </c>
      <c r="I2506" s="32">
        <f>IF($A2506="","",IFERROR(INDEX(OSStatus,MATCH($A2506,OSNum,0)),"OS inexistente"))</f>
        <v>0</v>
      </c>
      <c r="J2506" s="32">
        <f>IF($A2506="","",IF($I2506="OS inexistente","OS inexistente",IF($E2506="Peça não cadastrada","Peça não cadastrada","OK")))</f>
        <v>0</v>
      </c>
    </row>
    <row r="2507" spans="1:10">
      <c r="A2507" s="17"/>
      <c r="B2507" s="13"/>
      <c r="C2507" s="20"/>
      <c r="D2507" s="19"/>
      <c r="E2507" s="26">
        <f>IF($B2507="","",IFERROR(INDEX(PecDesc,MATCH($B2507,PecCod,0)),"Peça não cadastrada"))</f>
        <v>0</v>
      </c>
      <c r="F2507" s="27">
        <f>IF($B2507="","",IF($D2507&lt;&gt;"",$D2507,IFERROR(INDEX(PecPreco,MATCH($B2507,PecCod,0)),0)))</f>
        <v>0</v>
      </c>
      <c r="G2507" s="27">
        <f>IF(OR($B2507="",$C2507=""),"",$C2507*$F2507)</f>
        <v>0</v>
      </c>
      <c r="H2507" s="27">
        <f>IF(OR($B2507="",$C2507=""),"",$C2507*IFERROR(INDEX(PecCusto,MATCH($B2507,PecCod,0)),0))</f>
        <v>0</v>
      </c>
      <c r="I2507" s="32">
        <f>IF($A2507="","",IFERROR(INDEX(OSStatus,MATCH($A2507,OSNum,0)),"OS inexistente"))</f>
        <v>0</v>
      </c>
      <c r="J2507" s="32">
        <f>IF($A2507="","",IF($I2507="OS inexistente","OS inexistente",IF($E2507="Peça não cadastrada","Peça não cadastrada","OK")))</f>
        <v>0</v>
      </c>
    </row>
    <row r="2508" spans="1:10">
      <c r="A2508" s="17"/>
      <c r="B2508" s="13"/>
      <c r="C2508" s="20"/>
      <c r="D2508" s="19"/>
      <c r="E2508" s="26">
        <f>IF($B2508="","",IFERROR(INDEX(PecDesc,MATCH($B2508,PecCod,0)),"Peça não cadastrada"))</f>
        <v>0</v>
      </c>
      <c r="F2508" s="27">
        <f>IF($B2508="","",IF($D2508&lt;&gt;"",$D2508,IFERROR(INDEX(PecPreco,MATCH($B2508,PecCod,0)),0)))</f>
        <v>0</v>
      </c>
      <c r="G2508" s="27">
        <f>IF(OR($B2508="",$C2508=""),"",$C2508*$F2508)</f>
        <v>0</v>
      </c>
      <c r="H2508" s="27">
        <f>IF(OR($B2508="",$C2508=""),"",$C2508*IFERROR(INDEX(PecCusto,MATCH($B2508,PecCod,0)),0))</f>
        <v>0</v>
      </c>
      <c r="I2508" s="32">
        <f>IF($A2508="","",IFERROR(INDEX(OSStatus,MATCH($A2508,OSNum,0)),"OS inexistente"))</f>
        <v>0</v>
      </c>
      <c r="J2508" s="32">
        <f>IF($A2508="","",IF($I2508="OS inexistente","OS inexistente",IF($E2508="Peça não cadastrada","Peça não cadastrada","OK")))</f>
        <v>0</v>
      </c>
    </row>
    <row r="2509" spans="1:10">
      <c r="A2509" s="17"/>
      <c r="B2509" s="13"/>
      <c r="C2509" s="20"/>
      <c r="D2509" s="19"/>
      <c r="E2509" s="26">
        <f>IF($B2509="","",IFERROR(INDEX(PecDesc,MATCH($B2509,PecCod,0)),"Peça não cadastrada"))</f>
        <v>0</v>
      </c>
      <c r="F2509" s="27">
        <f>IF($B2509="","",IF($D2509&lt;&gt;"",$D2509,IFERROR(INDEX(PecPreco,MATCH($B2509,PecCod,0)),0)))</f>
        <v>0</v>
      </c>
      <c r="G2509" s="27">
        <f>IF(OR($B2509="",$C2509=""),"",$C2509*$F2509)</f>
        <v>0</v>
      </c>
      <c r="H2509" s="27">
        <f>IF(OR($B2509="",$C2509=""),"",$C2509*IFERROR(INDEX(PecCusto,MATCH($B2509,PecCod,0)),0))</f>
        <v>0</v>
      </c>
      <c r="I2509" s="32">
        <f>IF($A2509="","",IFERROR(INDEX(OSStatus,MATCH($A2509,OSNum,0)),"OS inexistente"))</f>
        <v>0</v>
      </c>
      <c r="J2509" s="32">
        <f>IF($A2509="","",IF($I2509="OS inexistente","OS inexistente",IF($E2509="Peça não cadastrada","Peça não cadastrada","OK")))</f>
        <v>0</v>
      </c>
    </row>
    <row r="2510" spans="1:10">
      <c r="A2510" s="17"/>
      <c r="B2510" s="13"/>
      <c r="C2510" s="20"/>
      <c r="D2510" s="19"/>
      <c r="E2510" s="26">
        <f>IF($B2510="","",IFERROR(INDEX(PecDesc,MATCH($B2510,PecCod,0)),"Peça não cadastrada"))</f>
        <v>0</v>
      </c>
      <c r="F2510" s="27">
        <f>IF($B2510="","",IF($D2510&lt;&gt;"",$D2510,IFERROR(INDEX(PecPreco,MATCH($B2510,PecCod,0)),0)))</f>
        <v>0</v>
      </c>
      <c r="G2510" s="27">
        <f>IF(OR($B2510="",$C2510=""),"",$C2510*$F2510)</f>
        <v>0</v>
      </c>
      <c r="H2510" s="27">
        <f>IF(OR($B2510="",$C2510=""),"",$C2510*IFERROR(INDEX(PecCusto,MATCH($B2510,PecCod,0)),0))</f>
        <v>0</v>
      </c>
      <c r="I2510" s="32">
        <f>IF($A2510="","",IFERROR(INDEX(OSStatus,MATCH($A2510,OSNum,0)),"OS inexistente"))</f>
        <v>0</v>
      </c>
      <c r="J2510" s="32">
        <f>IF($A2510="","",IF($I2510="OS inexistente","OS inexistente",IF($E2510="Peça não cadastrada","Peça não cadastrada","OK")))</f>
        <v>0</v>
      </c>
    </row>
    <row r="2511" spans="1:10">
      <c r="A2511" s="17"/>
      <c r="B2511" s="13"/>
      <c r="C2511" s="20"/>
      <c r="D2511" s="19"/>
      <c r="E2511" s="26">
        <f>IF($B2511="","",IFERROR(INDEX(PecDesc,MATCH($B2511,PecCod,0)),"Peça não cadastrada"))</f>
        <v>0</v>
      </c>
      <c r="F2511" s="27">
        <f>IF($B2511="","",IF($D2511&lt;&gt;"",$D2511,IFERROR(INDEX(PecPreco,MATCH($B2511,PecCod,0)),0)))</f>
        <v>0</v>
      </c>
      <c r="G2511" s="27">
        <f>IF(OR($B2511="",$C2511=""),"",$C2511*$F2511)</f>
        <v>0</v>
      </c>
      <c r="H2511" s="27">
        <f>IF(OR($B2511="",$C2511=""),"",$C2511*IFERROR(INDEX(PecCusto,MATCH($B2511,PecCod,0)),0))</f>
        <v>0</v>
      </c>
      <c r="I2511" s="32">
        <f>IF($A2511="","",IFERROR(INDEX(OSStatus,MATCH($A2511,OSNum,0)),"OS inexistente"))</f>
        <v>0</v>
      </c>
      <c r="J2511" s="32">
        <f>IF($A2511="","",IF($I2511="OS inexistente","OS inexistente",IF($E2511="Peça não cadastrada","Peça não cadastrada","OK")))</f>
        <v>0</v>
      </c>
    </row>
    <row r="2512" spans="1:10">
      <c r="A2512" s="17"/>
      <c r="B2512" s="13"/>
      <c r="C2512" s="20"/>
      <c r="D2512" s="19"/>
      <c r="E2512" s="26">
        <f>IF($B2512="","",IFERROR(INDEX(PecDesc,MATCH($B2512,PecCod,0)),"Peça não cadastrada"))</f>
        <v>0</v>
      </c>
      <c r="F2512" s="27">
        <f>IF($B2512="","",IF($D2512&lt;&gt;"",$D2512,IFERROR(INDEX(PecPreco,MATCH($B2512,PecCod,0)),0)))</f>
        <v>0</v>
      </c>
      <c r="G2512" s="27">
        <f>IF(OR($B2512="",$C2512=""),"",$C2512*$F2512)</f>
        <v>0</v>
      </c>
      <c r="H2512" s="27">
        <f>IF(OR($B2512="",$C2512=""),"",$C2512*IFERROR(INDEX(PecCusto,MATCH($B2512,PecCod,0)),0))</f>
        <v>0</v>
      </c>
      <c r="I2512" s="32">
        <f>IF($A2512="","",IFERROR(INDEX(OSStatus,MATCH($A2512,OSNum,0)),"OS inexistente"))</f>
        <v>0</v>
      </c>
      <c r="J2512" s="32">
        <f>IF($A2512="","",IF($I2512="OS inexistente","OS inexistente",IF($E2512="Peça não cadastrada","Peça não cadastrada","OK")))</f>
        <v>0</v>
      </c>
    </row>
    <row r="2513" spans="1:10">
      <c r="A2513" s="17"/>
      <c r="B2513" s="13"/>
      <c r="C2513" s="20"/>
      <c r="D2513" s="19"/>
      <c r="E2513" s="26">
        <f>IF($B2513="","",IFERROR(INDEX(PecDesc,MATCH($B2513,PecCod,0)),"Peça não cadastrada"))</f>
        <v>0</v>
      </c>
      <c r="F2513" s="27">
        <f>IF($B2513="","",IF($D2513&lt;&gt;"",$D2513,IFERROR(INDEX(PecPreco,MATCH($B2513,PecCod,0)),0)))</f>
        <v>0</v>
      </c>
      <c r="G2513" s="27">
        <f>IF(OR($B2513="",$C2513=""),"",$C2513*$F2513)</f>
        <v>0</v>
      </c>
      <c r="H2513" s="27">
        <f>IF(OR($B2513="",$C2513=""),"",$C2513*IFERROR(INDEX(PecCusto,MATCH($B2513,PecCod,0)),0))</f>
        <v>0</v>
      </c>
      <c r="I2513" s="32">
        <f>IF($A2513="","",IFERROR(INDEX(OSStatus,MATCH($A2513,OSNum,0)),"OS inexistente"))</f>
        <v>0</v>
      </c>
      <c r="J2513" s="32">
        <f>IF($A2513="","",IF($I2513="OS inexistente","OS inexistente",IF($E2513="Peça não cadastrada","Peça não cadastrada","OK")))</f>
        <v>0</v>
      </c>
    </row>
    <row r="2514" spans="1:10">
      <c r="A2514" s="17"/>
      <c r="B2514" s="13"/>
      <c r="C2514" s="20"/>
      <c r="D2514" s="19"/>
      <c r="E2514" s="26">
        <f>IF($B2514="","",IFERROR(INDEX(PecDesc,MATCH($B2514,PecCod,0)),"Peça não cadastrada"))</f>
        <v>0</v>
      </c>
      <c r="F2514" s="27">
        <f>IF($B2514="","",IF($D2514&lt;&gt;"",$D2514,IFERROR(INDEX(PecPreco,MATCH($B2514,PecCod,0)),0)))</f>
        <v>0</v>
      </c>
      <c r="G2514" s="27">
        <f>IF(OR($B2514="",$C2514=""),"",$C2514*$F2514)</f>
        <v>0</v>
      </c>
      <c r="H2514" s="27">
        <f>IF(OR($B2514="",$C2514=""),"",$C2514*IFERROR(INDEX(PecCusto,MATCH($B2514,PecCod,0)),0))</f>
        <v>0</v>
      </c>
      <c r="I2514" s="32">
        <f>IF($A2514="","",IFERROR(INDEX(OSStatus,MATCH($A2514,OSNum,0)),"OS inexistente"))</f>
        <v>0</v>
      </c>
      <c r="J2514" s="32">
        <f>IF($A2514="","",IF($I2514="OS inexistente","OS inexistente",IF($E2514="Peça não cadastrada","Peça não cadastrada","OK")))</f>
        <v>0</v>
      </c>
    </row>
    <row r="2515" spans="1:10">
      <c r="A2515" s="17"/>
      <c r="B2515" s="13"/>
      <c r="C2515" s="20"/>
      <c r="D2515" s="19"/>
      <c r="E2515" s="26">
        <f>IF($B2515="","",IFERROR(INDEX(PecDesc,MATCH($B2515,PecCod,0)),"Peça não cadastrada"))</f>
        <v>0</v>
      </c>
      <c r="F2515" s="27">
        <f>IF($B2515="","",IF($D2515&lt;&gt;"",$D2515,IFERROR(INDEX(PecPreco,MATCH($B2515,PecCod,0)),0)))</f>
        <v>0</v>
      </c>
      <c r="G2515" s="27">
        <f>IF(OR($B2515="",$C2515=""),"",$C2515*$F2515)</f>
        <v>0</v>
      </c>
      <c r="H2515" s="27">
        <f>IF(OR($B2515="",$C2515=""),"",$C2515*IFERROR(INDEX(PecCusto,MATCH($B2515,PecCod,0)),0))</f>
        <v>0</v>
      </c>
      <c r="I2515" s="32">
        <f>IF($A2515="","",IFERROR(INDEX(OSStatus,MATCH($A2515,OSNum,0)),"OS inexistente"))</f>
        <v>0</v>
      </c>
      <c r="J2515" s="32">
        <f>IF($A2515="","",IF($I2515="OS inexistente","OS inexistente",IF($E2515="Peça não cadastrada","Peça não cadastrada","OK")))</f>
        <v>0</v>
      </c>
    </row>
    <row r="2516" spans="1:10">
      <c r="A2516" s="17"/>
      <c r="B2516" s="13"/>
      <c r="C2516" s="20"/>
      <c r="D2516" s="19"/>
      <c r="E2516" s="26">
        <f>IF($B2516="","",IFERROR(INDEX(PecDesc,MATCH($B2516,PecCod,0)),"Peça não cadastrada"))</f>
        <v>0</v>
      </c>
      <c r="F2516" s="27">
        <f>IF($B2516="","",IF($D2516&lt;&gt;"",$D2516,IFERROR(INDEX(PecPreco,MATCH($B2516,PecCod,0)),0)))</f>
        <v>0</v>
      </c>
      <c r="G2516" s="27">
        <f>IF(OR($B2516="",$C2516=""),"",$C2516*$F2516)</f>
        <v>0</v>
      </c>
      <c r="H2516" s="27">
        <f>IF(OR($B2516="",$C2516=""),"",$C2516*IFERROR(INDEX(PecCusto,MATCH($B2516,PecCod,0)),0))</f>
        <v>0</v>
      </c>
      <c r="I2516" s="32">
        <f>IF($A2516="","",IFERROR(INDEX(OSStatus,MATCH($A2516,OSNum,0)),"OS inexistente"))</f>
        <v>0</v>
      </c>
      <c r="J2516" s="32">
        <f>IF($A2516="","",IF($I2516="OS inexistente","OS inexistente",IF($E2516="Peça não cadastrada","Peça não cadastrada","OK")))</f>
        <v>0</v>
      </c>
    </row>
    <row r="2517" spans="1:10">
      <c r="A2517" s="17"/>
      <c r="B2517" s="13"/>
      <c r="C2517" s="20"/>
      <c r="D2517" s="19"/>
      <c r="E2517" s="26">
        <f>IF($B2517="","",IFERROR(INDEX(PecDesc,MATCH($B2517,PecCod,0)),"Peça não cadastrada"))</f>
        <v>0</v>
      </c>
      <c r="F2517" s="27">
        <f>IF($B2517="","",IF($D2517&lt;&gt;"",$D2517,IFERROR(INDEX(PecPreco,MATCH($B2517,PecCod,0)),0)))</f>
        <v>0</v>
      </c>
      <c r="G2517" s="27">
        <f>IF(OR($B2517="",$C2517=""),"",$C2517*$F2517)</f>
        <v>0</v>
      </c>
      <c r="H2517" s="27">
        <f>IF(OR($B2517="",$C2517=""),"",$C2517*IFERROR(INDEX(PecCusto,MATCH($B2517,PecCod,0)),0))</f>
        <v>0</v>
      </c>
      <c r="I2517" s="32">
        <f>IF($A2517="","",IFERROR(INDEX(OSStatus,MATCH($A2517,OSNum,0)),"OS inexistente"))</f>
        <v>0</v>
      </c>
      <c r="J2517" s="32">
        <f>IF($A2517="","",IF($I2517="OS inexistente","OS inexistente",IF($E2517="Peça não cadastrada","Peça não cadastrada","OK")))</f>
        <v>0</v>
      </c>
    </row>
    <row r="2518" spans="1:10">
      <c r="A2518" s="17"/>
      <c r="B2518" s="13"/>
      <c r="C2518" s="20"/>
      <c r="D2518" s="19"/>
      <c r="E2518" s="26">
        <f>IF($B2518="","",IFERROR(INDEX(PecDesc,MATCH($B2518,PecCod,0)),"Peça não cadastrada"))</f>
        <v>0</v>
      </c>
      <c r="F2518" s="27">
        <f>IF($B2518="","",IF($D2518&lt;&gt;"",$D2518,IFERROR(INDEX(PecPreco,MATCH($B2518,PecCod,0)),0)))</f>
        <v>0</v>
      </c>
      <c r="G2518" s="27">
        <f>IF(OR($B2518="",$C2518=""),"",$C2518*$F2518)</f>
        <v>0</v>
      </c>
      <c r="H2518" s="27">
        <f>IF(OR($B2518="",$C2518=""),"",$C2518*IFERROR(INDEX(PecCusto,MATCH($B2518,PecCod,0)),0))</f>
        <v>0</v>
      </c>
      <c r="I2518" s="32">
        <f>IF($A2518="","",IFERROR(INDEX(OSStatus,MATCH($A2518,OSNum,0)),"OS inexistente"))</f>
        <v>0</v>
      </c>
      <c r="J2518" s="32">
        <f>IF($A2518="","",IF($I2518="OS inexistente","OS inexistente",IF($E2518="Peça não cadastrada","Peça não cadastrada","OK")))</f>
        <v>0</v>
      </c>
    </row>
    <row r="2519" spans="1:10">
      <c r="A2519" s="17"/>
      <c r="B2519" s="13"/>
      <c r="C2519" s="20"/>
      <c r="D2519" s="19"/>
      <c r="E2519" s="26">
        <f>IF($B2519="","",IFERROR(INDEX(PecDesc,MATCH($B2519,PecCod,0)),"Peça não cadastrada"))</f>
        <v>0</v>
      </c>
      <c r="F2519" s="27">
        <f>IF($B2519="","",IF($D2519&lt;&gt;"",$D2519,IFERROR(INDEX(PecPreco,MATCH($B2519,PecCod,0)),0)))</f>
        <v>0</v>
      </c>
      <c r="G2519" s="27">
        <f>IF(OR($B2519="",$C2519=""),"",$C2519*$F2519)</f>
        <v>0</v>
      </c>
      <c r="H2519" s="27">
        <f>IF(OR($B2519="",$C2519=""),"",$C2519*IFERROR(INDEX(PecCusto,MATCH($B2519,PecCod,0)),0))</f>
        <v>0</v>
      </c>
      <c r="I2519" s="32">
        <f>IF($A2519="","",IFERROR(INDEX(OSStatus,MATCH($A2519,OSNum,0)),"OS inexistente"))</f>
        <v>0</v>
      </c>
      <c r="J2519" s="32">
        <f>IF($A2519="","",IF($I2519="OS inexistente","OS inexistente",IF($E2519="Peça não cadastrada","Peça não cadastrada","OK")))</f>
        <v>0</v>
      </c>
    </row>
    <row r="2520" spans="1:10">
      <c r="A2520" s="17"/>
      <c r="B2520" s="13"/>
      <c r="C2520" s="20"/>
      <c r="D2520" s="19"/>
      <c r="E2520" s="26">
        <f>IF($B2520="","",IFERROR(INDEX(PecDesc,MATCH($B2520,PecCod,0)),"Peça não cadastrada"))</f>
        <v>0</v>
      </c>
      <c r="F2520" s="27">
        <f>IF($B2520="","",IF($D2520&lt;&gt;"",$D2520,IFERROR(INDEX(PecPreco,MATCH($B2520,PecCod,0)),0)))</f>
        <v>0</v>
      </c>
      <c r="G2520" s="27">
        <f>IF(OR($B2520="",$C2520=""),"",$C2520*$F2520)</f>
        <v>0</v>
      </c>
      <c r="H2520" s="27">
        <f>IF(OR($B2520="",$C2520=""),"",$C2520*IFERROR(INDEX(PecCusto,MATCH($B2520,PecCod,0)),0))</f>
        <v>0</v>
      </c>
      <c r="I2520" s="32">
        <f>IF($A2520="","",IFERROR(INDEX(OSStatus,MATCH($A2520,OSNum,0)),"OS inexistente"))</f>
        <v>0</v>
      </c>
      <c r="J2520" s="32">
        <f>IF($A2520="","",IF($I2520="OS inexistente","OS inexistente",IF($E2520="Peça não cadastrada","Peça não cadastrada","OK")))</f>
        <v>0</v>
      </c>
    </row>
    <row r="2521" spans="1:10">
      <c r="A2521" s="17"/>
      <c r="B2521" s="13"/>
      <c r="C2521" s="20"/>
      <c r="D2521" s="19"/>
      <c r="E2521" s="26">
        <f>IF($B2521="","",IFERROR(INDEX(PecDesc,MATCH($B2521,PecCod,0)),"Peça não cadastrada"))</f>
        <v>0</v>
      </c>
      <c r="F2521" s="27">
        <f>IF($B2521="","",IF($D2521&lt;&gt;"",$D2521,IFERROR(INDEX(PecPreco,MATCH($B2521,PecCod,0)),0)))</f>
        <v>0</v>
      </c>
      <c r="G2521" s="27">
        <f>IF(OR($B2521="",$C2521=""),"",$C2521*$F2521)</f>
        <v>0</v>
      </c>
      <c r="H2521" s="27">
        <f>IF(OR($B2521="",$C2521=""),"",$C2521*IFERROR(INDEX(PecCusto,MATCH($B2521,PecCod,0)),0))</f>
        <v>0</v>
      </c>
      <c r="I2521" s="32">
        <f>IF($A2521="","",IFERROR(INDEX(OSStatus,MATCH($A2521,OSNum,0)),"OS inexistente"))</f>
        <v>0</v>
      </c>
      <c r="J2521" s="32">
        <f>IF($A2521="","",IF($I2521="OS inexistente","OS inexistente",IF($E2521="Peça não cadastrada","Peça não cadastrada","OK")))</f>
        <v>0</v>
      </c>
    </row>
    <row r="2522" spans="1:10">
      <c r="A2522" s="17"/>
      <c r="B2522" s="13"/>
      <c r="C2522" s="20"/>
      <c r="D2522" s="19"/>
      <c r="E2522" s="26">
        <f>IF($B2522="","",IFERROR(INDEX(PecDesc,MATCH($B2522,PecCod,0)),"Peça não cadastrada"))</f>
        <v>0</v>
      </c>
      <c r="F2522" s="27">
        <f>IF($B2522="","",IF($D2522&lt;&gt;"",$D2522,IFERROR(INDEX(PecPreco,MATCH($B2522,PecCod,0)),0)))</f>
        <v>0</v>
      </c>
      <c r="G2522" s="27">
        <f>IF(OR($B2522="",$C2522=""),"",$C2522*$F2522)</f>
        <v>0</v>
      </c>
      <c r="H2522" s="27">
        <f>IF(OR($B2522="",$C2522=""),"",$C2522*IFERROR(INDEX(PecCusto,MATCH($B2522,PecCod,0)),0))</f>
        <v>0</v>
      </c>
      <c r="I2522" s="32">
        <f>IF($A2522="","",IFERROR(INDEX(OSStatus,MATCH($A2522,OSNum,0)),"OS inexistente"))</f>
        <v>0</v>
      </c>
      <c r="J2522" s="32">
        <f>IF($A2522="","",IF($I2522="OS inexistente","OS inexistente",IF($E2522="Peça não cadastrada","Peça não cadastrada","OK")))</f>
        <v>0</v>
      </c>
    </row>
    <row r="2523" spans="1:10">
      <c r="A2523" s="17"/>
      <c r="B2523" s="13"/>
      <c r="C2523" s="20"/>
      <c r="D2523" s="19"/>
      <c r="E2523" s="26">
        <f>IF($B2523="","",IFERROR(INDEX(PecDesc,MATCH($B2523,PecCod,0)),"Peça não cadastrada"))</f>
        <v>0</v>
      </c>
      <c r="F2523" s="27">
        <f>IF($B2523="","",IF($D2523&lt;&gt;"",$D2523,IFERROR(INDEX(PecPreco,MATCH($B2523,PecCod,0)),0)))</f>
        <v>0</v>
      </c>
      <c r="G2523" s="27">
        <f>IF(OR($B2523="",$C2523=""),"",$C2523*$F2523)</f>
        <v>0</v>
      </c>
      <c r="H2523" s="27">
        <f>IF(OR($B2523="",$C2523=""),"",$C2523*IFERROR(INDEX(PecCusto,MATCH($B2523,PecCod,0)),0))</f>
        <v>0</v>
      </c>
      <c r="I2523" s="32">
        <f>IF($A2523="","",IFERROR(INDEX(OSStatus,MATCH($A2523,OSNum,0)),"OS inexistente"))</f>
        <v>0</v>
      </c>
      <c r="J2523" s="32">
        <f>IF($A2523="","",IF($I2523="OS inexistente","OS inexistente",IF($E2523="Peça não cadastrada","Peça não cadastrada","OK")))</f>
        <v>0</v>
      </c>
    </row>
    <row r="2524" spans="1:10">
      <c r="A2524" s="17"/>
      <c r="B2524" s="13"/>
      <c r="C2524" s="20"/>
      <c r="D2524" s="19"/>
      <c r="E2524" s="26">
        <f>IF($B2524="","",IFERROR(INDEX(PecDesc,MATCH($B2524,PecCod,0)),"Peça não cadastrada"))</f>
        <v>0</v>
      </c>
      <c r="F2524" s="27">
        <f>IF($B2524="","",IF($D2524&lt;&gt;"",$D2524,IFERROR(INDEX(PecPreco,MATCH($B2524,PecCod,0)),0)))</f>
        <v>0</v>
      </c>
      <c r="G2524" s="27">
        <f>IF(OR($B2524="",$C2524=""),"",$C2524*$F2524)</f>
        <v>0</v>
      </c>
      <c r="H2524" s="27">
        <f>IF(OR($B2524="",$C2524=""),"",$C2524*IFERROR(INDEX(PecCusto,MATCH($B2524,PecCod,0)),0))</f>
        <v>0</v>
      </c>
      <c r="I2524" s="32">
        <f>IF($A2524="","",IFERROR(INDEX(OSStatus,MATCH($A2524,OSNum,0)),"OS inexistente"))</f>
        <v>0</v>
      </c>
      <c r="J2524" s="32">
        <f>IF($A2524="","",IF($I2524="OS inexistente","OS inexistente",IF($E2524="Peça não cadastrada","Peça não cadastrada","OK")))</f>
        <v>0</v>
      </c>
    </row>
    <row r="2525" spans="1:10">
      <c r="A2525" s="17"/>
      <c r="B2525" s="13"/>
      <c r="C2525" s="20"/>
      <c r="D2525" s="19"/>
      <c r="E2525" s="26">
        <f>IF($B2525="","",IFERROR(INDEX(PecDesc,MATCH($B2525,PecCod,0)),"Peça não cadastrada"))</f>
        <v>0</v>
      </c>
      <c r="F2525" s="27">
        <f>IF($B2525="","",IF($D2525&lt;&gt;"",$D2525,IFERROR(INDEX(PecPreco,MATCH($B2525,PecCod,0)),0)))</f>
        <v>0</v>
      </c>
      <c r="G2525" s="27">
        <f>IF(OR($B2525="",$C2525=""),"",$C2525*$F2525)</f>
        <v>0</v>
      </c>
      <c r="H2525" s="27">
        <f>IF(OR($B2525="",$C2525=""),"",$C2525*IFERROR(INDEX(PecCusto,MATCH($B2525,PecCod,0)),0))</f>
        <v>0</v>
      </c>
      <c r="I2525" s="32">
        <f>IF($A2525="","",IFERROR(INDEX(OSStatus,MATCH($A2525,OSNum,0)),"OS inexistente"))</f>
        <v>0</v>
      </c>
      <c r="J2525" s="32">
        <f>IF($A2525="","",IF($I2525="OS inexistente","OS inexistente",IF($E2525="Peça não cadastrada","Peça não cadastrada","OK")))</f>
        <v>0</v>
      </c>
    </row>
    <row r="2526" spans="1:10">
      <c r="A2526" s="17"/>
      <c r="B2526" s="13"/>
      <c r="C2526" s="20"/>
      <c r="D2526" s="19"/>
      <c r="E2526" s="26">
        <f>IF($B2526="","",IFERROR(INDEX(PecDesc,MATCH($B2526,PecCod,0)),"Peça não cadastrada"))</f>
        <v>0</v>
      </c>
      <c r="F2526" s="27">
        <f>IF($B2526="","",IF($D2526&lt;&gt;"",$D2526,IFERROR(INDEX(PecPreco,MATCH($B2526,PecCod,0)),0)))</f>
        <v>0</v>
      </c>
      <c r="G2526" s="27">
        <f>IF(OR($B2526="",$C2526=""),"",$C2526*$F2526)</f>
        <v>0</v>
      </c>
      <c r="H2526" s="27">
        <f>IF(OR($B2526="",$C2526=""),"",$C2526*IFERROR(INDEX(PecCusto,MATCH($B2526,PecCod,0)),0))</f>
        <v>0</v>
      </c>
      <c r="I2526" s="32">
        <f>IF($A2526="","",IFERROR(INDEX(OSStatus,MATCH($A2526,OSNum,0)),"OS inexistente"))</f>
        <v>0</v>
      </c>
      <c r="J2526" s="32">
        <f>IF($A2526="","",IF($I2526="OS inexistente","OS inexistente",IF($E2526="Peça não cadastrada","Peça não cadastrada","OK")))</f>
        <v>0</v>
      </c>
    </row>
    <row r="2527" spans="1:10">
      <c r="A2527" s="17"/>
      <c r="B2527" s="13"/>
      <c r="C2527" s="20"/>
      <c r="D2527" s="19"/>
      <c r="E2527" s="26">
        <f>IF($B2527="","",IFERROR(INDEX(PecDesc,MATCH($B2527,PecCod,0)),"Peça não cadastrada"))</f>
        <v>0</v>
      </c>
      <c r="F2527" s="27">
        <f>IF($B2527="","",IF($D2527&lt;&gt;"",$D2527,IFERROR(INDEX(PecPreco,MATCH($B2527,PecCod,0)),0)))</f>
        <v>0</v>
      </c>
      <c r="G2527" s="27">
        <f>IF(OR($B2527="",$C2527=""),"",$C2527*$F2527)</f>
        <v>0</v>
      </c>
      <c r="H2527" s="27">
        <f>IF(OR($B2527="",$C2527=""),"",$C2527*IFERROR(INDEX(PecCusto,MATCH($B2527,PecCod,0)),0))</f>
        <v>0</v>
      </c>
      <c r="I2527" s="32">
        <f>IF($A2527="","",IFERROR(INDEX(OSStatus,MATCH($A2527,OSNum,0)),"OS inexistente"))</f>
        <v>0</v>
      </c>
      <c r="J2527" s="32">
        <f>IF($A2527="","",IF($I2527="OS inexistente","OS inexistente",IF($E2527="Peça não cadastrada","Peça não cadastrada","OK")))</f>
        <v>0</v>
      </c>
    </row>
    <row r="2528" spans="1:10">
      <c r="A2528" s="17"/>
      <c r="B2528" s="13"/>
      <c r="C2528" s="20"/>
      <c r="D2528" s="19"/>
      <c r="E2528" s="26">
        <f>IF($B2528="","",IFERROR(INDEX(PecDesc,MATCH($B2528,PecCod,0)),"Peça não cadastrada"))</f>
        <v>0</v>
      </c>
      <c r="F2528" s="27">
        <f>IF($B2528="","",IF($D2528&lt;&gt;"",$D2528,IFERROR(INDEX(PecPreco,MATCH($B2528,PecCod,0)),0)))</f>
        <v>0</v>
      </c>
      <c r="G2528" s="27">
        <f>IF(OR($B2528="",$C2528=""),"",$C2528*$F2528)</f>
        <v>0</v>
      </c>
      <c r="H2528" s="27">
        <f>IF(OR($B2528="",$C2528=""),"",$C2528*IFERROR(INDEX(PecCusto,MATCH($B2528,PecCod,0)),0))</f>
        <v>0</v>
      </c>
      <c r="I2528" s="32">
        <f>IF($A2528="","",IFERROR(INDEX(OSStatus,MATCH($A2528,OSNum,0)),"OS inexistente"))</f>
        <v>0</v>
      </c>
      <c r="J2528" s="32">
        <f>IF($A2528="","",IF($I2528="OS inexistente","OS inexistente",IF($E2528="Peça não cadastrada","Peça não cadastrada","OK")))</f>
        <v>0</v>
      </c>
    </row>
    <row r="2529" spans="1:10">
      <c r="A2529" s="17"/>
      <c r="B2529" s="13"/>
      <c r="C2529" s="20"/>
      <c r="D2529" s="19"/>
      <c r="E2529" s="26">
        <f>IF($B2529="","",IFERROR(INDEX(PecDesc,MATCH($B2529,PecCod,0)),"Peça não cadastrada"))</f>
        <v>0</v>
      </c>
      <c r="F2529" s="27">
        <f>IF($B2529="","",IF($D2529&lt;&gt;"",$D2529,IFERROR(INDEX(PecPreco,MATCH($B2529,PecCod,0)),0)))</f>
        <v>0</v>
      </c>
      <c r="G2529" s="27">
        <f>IF(OR($B2529="",$C2529=""),"",$C2529*$F2529)</f>
        <v>0</v>
      </c>
      <c r="H2529" s="27">
        <f>IF(OR($B2529="",$C2529=""),"",$C2529*IFERROR(INDEX(PecCusto,MATCH($B2529,PecCod,0)),0))</f>
        <v>0</v>
      </c>
      <c r="I2529" s="32">
        <f>IF($A2529="","",IFERROR(INDEX(OSStatus,MATCH($A2529,OSNum,0)),"OS inexistente"))</f>
        <v>0</v>
      </c>
      <c r="J2529" s="32">
        <f>IF($A2529="","",IF($I2529="OS inexistente","OS inexistente",IF($E2529="Peça não cadastrada","Peça não cadastrada","OK")))</f>
        <v>0</v>
      </c>
    </row>
    <row r="2530" spans="1:10">
      <c r="A2530" s="17"/>
      <c r="B2530" s="13"/>
      <c r="C2530" s="20"/>
      <c r="D2530" s="19"/>
      <c r="E2530" s="26">
        <f>IF($B2530="","",IFERROR(INDEX(PecDesc,MATCH($B2530,PecCod,0)),"Peça não cadastrada"))</f>
        <v>0</v>
      </c>
      <c r="F2530" s="27">
        <f>IF($B2530="","",IF($D2530&lt;&gt;"",$D2530,IFERROR(INDEX(PecPreco,MATCH($B2530,PecCod,0)),0)))</f>
        <v>0</v>
      </c>
      <c r="G2530" s="27">
        <f>IF(OR($B2530="",$C2530=""),"",$C2530*$F2530)</f>
        <v>0</v>
      </c>
      <c r="H2530" s="27">
        <f>IF(OR($B2530="",$C2530=""),"",$C2530*IFERROR(INDEX(PecCusto,MATCH($B2530,PecCod,0)),0))</f>
        <v>0</v>
      </c>
      <c r="I2530" s="32">
        <f>IF($A2530="","",IFERROR(INDEX(OSStatus,MATCH($A2530,OSNum,0)),"OS inexistente"))</f>
        <v>0</v>
      </c>
      <c r="J2530" s="32">
        <f>IF($A2530="","",IF($I2530="OS inexistente","OS inexistente",IF($E2530="Peça não cadastrada","Peça não cadastrada","OK")))</f>
        <v>0</v>
      </c>
    </row>
    <row r="2531" spans="1:10">
      <c r="A2531" s="17"/>
      <c r="B2531" s="13"/>
      <c r="C2531" s="20"/>
      <c r="D2531" s="19"/>
      <c r="E2531" s="26">
        <f>IF($B2531="","",IFERROR(INDEX(PecDesc,MATCH($B2531,PecCod,0)),"Peça não cadastrada"))</f>
        <v>0</v>
      </c>
      <c r="F2531" s="27">
        <f>IF($B2531="","",IF($D2531&lt;&gt;"",$D2531,IFERROR(INDEX(PecPreco,MATCH($B2531,PecCod,0)),0)))</f>
        <v>0</v>
      </c>
      <c r="G2531" s="27">
        <f>IF(OR($B2531="",$C2531=""),"",$C2531*$F2531)</f>
        <v>0</v>
      </c>
      <c r="H2531" s="27">
        <f>IF(OR($B2531="",$C2531=""),"",$C2531*IFERROR(INDEX(PecCusto,MATCH($B2531,PecCod,0)),0))</f>
        <v>0</v>
      </c>
      <c r="I2531" s="32">
        <f>IF($A2531="","",IFERROR(INDEX(OSStatus,MATCH($A2531,OSNum,0)),"OS inexistente"))</f>
        <v>0</v>
      </c>
      <c r="J2531" s="32">
        <f>IF($A2531="","",IF($I2531="OS inexistente","OS inexistente",IF($E2531="Peça não cadastrada","Peça não cadastrada","OK")))</f>
        <v>0</v>
      </c>
    </row>
    <row r="2532" spans="1:10">
      <c r="A2532" s="17"/>
      <c r="B2532" s="13"/>
      <c r="C2532" s="20"/>
      <c r="D2532" s="19"/>
      <c r="E2532" s="26">
        <f>IF($B2532="","",IFERROR(INDEX(PecDesc,MATCH($B2532,PecCod,0)),"Peça não cadastrada"))</f>
        <v>0</v>
      </c>
      <c r="F2532" s="27">
        <f>IF($B2532="","",IF($D2532&lt;&gt;"",$D2532,IFERROR(INDEX(PecPreco,MATCH($B2532,PecCod,0)),0)))</f>
        <v>0</v>
      </c>
      <c r="G2532" s="27">
        <f>IF(OR($B2532="",$C2532=""),"",$C2532*$F2532)</f>
        <v>0</v>
      </c>
      <c r="H2532" s="27">
        <f>IF(OR($B2532="",$C2532=""),"",$C2532*IFERROR(INDEX(PecCusto,MATCH($B2532,PecCod,0)),0))</f>
        <v>0</v>
      </c>
      <c r="I2532" s="32">
        <f>IF($A2532="","",IFERROR(INDEX(OSStatus,MATCH($A2532,OSNum,0)),"OS inexistente"))</f>
        <v>0</v>
      </c>
      <c r="J2532" s="32">
        <f>IF($A2532="","",IF($I2532="OS inexistente","OS inexistente",IF($E2532="Peça não cadastrada","Peça não cadastrada","OK")))</f>
        <v>0</v>
      </c>
    </row>
    <row r="2533" spans="1:10">
      <c r="A2533" s="17"/>
      <c r="B2533" s="13"/>
      <c r="C2533" s="20"/>
      <c r="D2533" s="19"/>
      <c r="E2533" s="26">
        <f>IF($B2533="","",IFERROR(INDEX(PecDesc,MATCH($B2533,PecCod,0)),"Peça não cadastrada"))</f>
        <v>0</v>
      </c>
      <c r="F2533" s="27">
        <f>IF($B2533="","",IF($D2533&lt;&gt;"",$D2533,IFERROR(INDEX(PecPreco,MATCH($B2533,PecCod,0)),0)))</f>
        <v>0</v>
      </c>
      <c r="G2533" s="27">
        <f>IF(OR($B2533="",$C2533=""),"",$C2533*$F2533)</f>
        <v>0</v>
      </c>
      <c r="H2533" s="27">
        <f>IF(OR($B2533="",$C2533=""),"",$C2533*IFERROR(INDEX(PecCusto,MATCH($B2533,PecCod,0)),0))</f>
        <v>0</v>
      </c>
      <c r="I2533" s="32">
        <f>IF($A2533="","",IFERROR(INDEX(OSStatus,MATCH($A2533,OSNum,0)),"OS inexistente"))</f>
        <v>0</v>
      </c>
      <c r="J2533" s="32">
        <f>IF($A2533="","",IF($I2533="OS inexistente","OS inexistente",IF($E2533="Peça não cadastrada","Peça não cadastrada","OK")))</f>
        <v>0</v>
      </c>
    </row>
    <row r="2534" spans="1:10">
      <c r="A2534" s="17"/>
      <c r="B2534" s="13"/>
      <c r="C2534" s="20"/>
      <c r="D2534" s="19"/>
      <c r="E2534" s="26">
        <f>IF($B2534="","",IFERROR(INDEX(PecDesc,MATCH($B2534,PecCod,0)),"Peça não cadastrada"))</f>
        <v>0</v>
      </c>
      <c r="F2534" s="27">
        <f>IF($B2534="","",IF($D2534&lt;&gt;"",$D2534,IFERROR(INDEX(PecPreco,MATCH($B2534,PecCod,0)),0)))</f>
        <v>0</v>
      </c>
      <c r="G2534" s="27">
        <f>IF(OR($B2534="",$C2534=""),"",$C2534*$F2534)</f>
        <v>0</v>
      </c>
      <c r="H2534" s="27">
        <f>IF(OR($B2534="",$C2534=""),"",$C2534*IFERROR(INDEX(PecCusto,MATCH($B2534,PecCod,0)),0))</f>
        <v>0</v>
      </c>
      <c r="I2534" s="32">
        <f>IF($A2534="","",IFERROR(INDEX(OSStatus,MATCH($A2534,OSNum,0)),"OS inexistente"))</f>
        <v>0</v>
      </c>
      <c r="J2534" s="32">
        <f>IF($A2534="","",IF($I2534="OS inexistente","OS inexistente",IF($E2534="Peça não cadastrada","Peça não cadastrada","OK")))</f>
        <v>0</v>
      </c>
    </row>
    <row r="2535" spans="1:10">
      <c r="A2535" s="17"/>
      <c r="B2535" s="13"/>
      <c r="C2535" s="20"/>
      <c r="D2535" s="19"/>
      <c r="E2535" s="26">
        <f>IF($B2535="","",IFERROR(INDEX(PecDesc,MATCH($B2535,PecCod,0)),"Peça não cadastrada"))</f>
        <v>0</v>
      </c>
      <c r="F2535" s="27">
        <f>IF($B2535="","",IF($D2535&lt;&gt;"",$D2535,IFERROR(INDEX(PecPreco,MATCH($B2535,PecCod,0)),0)))</f>
        <v>0</v>
      </c>
      <c r="G2535" s="27">
        <f>IF(OR($B2535="",$C2535=""),"",$C2535*$F2535)</f>
        <v>0</v>
      </c>
      <c r="H2535" s="27">
        <f>IF(OR($B2535="",$C2535=""),"",$C2535*IFERROR(INDEX(PecCusto,MATCH($B2535,PecCod,0)),0))</f>
        <v>0</v>
      </c>
      <c r="I2535" s="32">
        <f>IF($A2535="","",IFERROR(INDEX(OSStatus,MATCH($A2535,OSNum,0)),"OS inexistente"))</f>
        <v>0</v>
      </c>
      <c r="J2535" s="32">
        <f>IF($A2535="","",IF($I2535="OS inexistente","OS inexistente",IF($E2535="Peça não cadastrada","Peça não cadastrada","OK")))</f>
        <v>0</v>
      </c>
    </row>
    <row r="2536" spans="1:10">
      <c r="A2536" s="17"/>
      <c r="B2536" s="13"/>
      <c r="C2536" s="20"/>
      <c r="D2536" s="19"/>
      <c r="E2536" s="26">
        <f>IF($B2536="","",IFERROR(INDEX(PecDesc,MATCH($B2536,PecCod,0)),"Peça não cadastrada"))</f>
        <v>0</v>
      </c>
      <c r="F2536" s="27">
        <f>IF($B2536="","",IF($D2536&lt;&gt;"",$D2536,IFERROR(INDEX(PecPreco,MATCH($B2536,PecCod,0)),0)))</f>
        <v>0</v>
      </c>
      <c r="G2536" s="27">
        <f>IF(OR($B2536="",$C2536=""),"",$C2536*$F2536)</f>
        <v>0</v>
      </c>
      <c r="H2536" s="27">
        <f>IF(OR($B2536="",$C2536=""),"",$C2536*IFERROR(INDEX(PecCusto,MATCH($B2536,PecCod,0)),0))</f>
        <v>0</v>
      </c>
      <c r="I2536" s="32">
        <f>IF($A2536="","",IFERROR(INDEX(OSStatus,MATCH($A2536,OSNum,0)),"OS inexistente"))</f>
        <v>0</v>
      </c>
      <c r="J2536" s="32">
        <f>IF($A2536="","",IF($I2536="OS inexistente","OS inexistente",IF($E2536="Peça não cadastrada","Peça não cadastrada","OK")))</f>
        <v>0</v>
      </c>
    </row>
    <row r="2537" spans="1:10">
      <c r="A2537" s="17"/>
      <c r="B2537" s="13"/>
      <c r="C2537" s="20"/>
      <c r="D2537" s="19"/>
      <c r="E2537" s="26">
        <f>IF($B2537="","",IFERROR(INDEX(PecDesc,MATCH($B2537,PecCod,0)),"Peça não cadastrada"))</f>
        <v>0</v>
      </c>
      <c r="F2537" s="27">
        <f>IF($B2537="","",IF($D2537&lt;&gt;"",$D2537,IFERROR(INDEX(PecPreco,MATCH($B2537,PecCod,0)),0)))</f>
        <v>0</v>
      </c>
      <c r="G2537" s="27">
        <f>IF(OR($B2537="",$C2537=""),"",$C2537*$F2537)</f>
        <v>0</v>
      </c>
      <c r="H2537" s="27">
        <f>IF(OR($B2537="",$C2537=""),"",$C2537*IFERROR(INDEX(PecCusto,MATCH($B2537,PecCod,0)),0))</f>
        <v>0</v>
      </c>
      <c r="I2537" s="32">
        <f>IF($A2537="","",IFERROR(INDEX(OSStatus,MATCH($A2537,OSNum,0)),"OS inexistente"))</f>
        <v>0</v>
      </c>
      <c r="J2537" s="32">
        <f>IF($A2537="","",IF($I2537="OS inexistente","OS inexistente",IF($E2537="Peça não cadastrada","Peça não cadastrada","OK")))</f>
        <v>0</v>
      </c>
    </row>
    <row r="2538" spans="1:10">
      <c r="A2538" s="17"/>
      <c r="B2538" s="13"/>
      <c r="C2538" s="20"/>
      <c r="D2538" s="19"/>
      <c r="E2538" s="26">
        <f>IF($B2538="","",IFERROR(INDEX(PecDesc,MATCH($B2538,PecCod,0)),"Peça não cadastrada"))</f>
        <v>0</v>
      </c>
      <c r="F2538" s="27">
        <f>IF($B2538="","",IF($D2538&lt;&gt;"",$D2538,IFERROR(INDEX(PecPreco,MATCH($B2538,PecCod,0)),0)))</f>
        <v>0</v>
      </c>
      <c r="G2538" s="27">
        <f>IF(OR($B2538="",$C2538=""),"",$C2538*$F2538)</f>
        <v>0</v>
      </c>
      <c r="H2538" s="27">
        <f>IF(OR($B2538="",$C2538=""),"",$C2538*IFERROR(INDEX(PecCusto,MATCH($B2538,PecCod,0)),0))</f>
        <v>0</v>
      </c>
      <c r="I2538" s="32">
        <f>IF($A2538="","",IFERROR(INDEX(OSStatus,MATCH($A2538,OSNum,0)),"OS inexistente"))</f>
        <v>0</v>
      </c>
      <c r="J2538" s="32">
        <f>IF($A2538="","",IF($I2538="OS inexistente","OS inexistente",IF($E2538="Peça não cadastrada","Peça não cadastrada","OK")))</f>
        <v>0</v>
      </c>
    </row>
    <row r="2539" spans="1:10">
      <c r="A2539" s="17"/>
      <c r="B2539" s="13"/>
      <c r="C2539" s="20"/>
      <c r="D2539" s="19"/>
      <c r="E2539" s="26">
        <f>IF($B2539="","",IFERROR(INDEX(PecDesc,MATCH($B2539,PecCod,0)),"Peça não cadastrada"))</f>
        <v>0</v>
      </c>
      <c r="F2539" s="27">
        <f>IF($B2539="","",IF($D2539&lt;&gt;"",$D2539,IFERROR(INDEX(PecPreco,MATCH($B2539,PecCod,0)),0)))</f>
        <v>0</v>
      </c>
      <c r="G2539" s="27">
        <f>IF(OR($B2539="",$C2539=""),"",$C2539*$F2539)</f>
        <v>0</v>
      </c>
      <c r="H2539" s="27">
        <f>IF(OR($B2539="",$C2539=""),"",$C2539*IFERROR(INDEX(PecCusto,MATCH($B2539,PecCod,0)),0))</f>
        <v>0</v>
      </c>
      <c r="I2539" s="32">
        <f>IF($A2539="","",IFERROR(INDEX(OSStatus,MATCH($A2539,OSNum,0)),"OS inexistente"))</f>
        <v>0</v>
      </c>
      <c r="J2539" s="32">
        <f>IF($A2539="","",IF($I2539="OS inexistente","OS inexistente",IF($E2539="Peça não cadastrada","Peça não cadastrada","OK")))</f>
        <v>0</v>
      </c>
    </row>
    <row r="2540" spans="1:10">
      <c r="A2540" s="17"/>
      <c r="B2540" s="13"/>
      <c r="C2540" s="20"/>
      <c r="D2540" s="19"/>
      <c r="E2540" s="26">
        <f>IF($B2540="","",IFERROR(INDEX(PecDesc,MATCH($B2540,PecCod,0)),"Peça não cadastrada"))</f>
        <v>0</v>
      </c>
      <c r="F2540" s="27">
        <f>IF($B2540="","",IF($D2540&lt;&gt;"",$D2540,IFERROR(INDEX(PecPreco,MATCH($B2540,PecCod,0)),0)))</f>
        <v>0</v>
      </c>
      <c r="G2540" s="27">
        <f>IF(OR($B2540="",$C2540=""),"",$C2540*$F2540)</f>
        <v>0</v>
      </c>
      <c r="H2540" s="27">
        <f>IF(OR($B2540="",$C2540=""),"",$C2540*IFERROR(INDEX(PecCusto,MATCH($B2540,PecCod,0)),0))</f>
        <v>0</v>
      </c>
      <c r="I2540" s="32">
        <f>IF($A2540="","",IFERROR(INDEX(OSStatus,MATCH($A2540,OSNum,0)),"OS inexistente"))</f>
        <v>0</v>
      </c>
      <c r="J2540" s="32">
        <f>IF($A2540="","",IF($I2540="OS inexistente","OS inexistente",IF($E2540="Peça não cadastrada","Peça não cadastrada","OK")))</f>
        <v>0</v>
      </c>
    </row>
    <row r="2541" spans="1:10">
      <c r="A2541" s="17"/>
      <c r="B2541" s="13"/>
      <c r="C2541" s="20"/>
      <c r="D2541" s="19"/>
      <c r="E2541" s="26">
        <f>IF($B2541="","",IFERROR(INDEX(PecDesc,MATCH($B2541,PecCod,0)),"Peça não cadastrada"))</f>
        <v>0</v>
      </c>
      <c r="F2541" s="27">
        <f>IF($B2541="","",IF($D2541&lt;&gt;"",$D2541,IFERROR(INDEX(PecPreco,MATCH($B2541,PecCod,0)),0)))</f>
        <v>0</v>
      </c>
      <c r="G2541" s="27">
        <f>IF(OR($B2541="",$C2541=""),"",$C2541*$F2541)</f>
        <v>0</v>
      </c>
      <c r="H2541" s="27">
        <f>IF(OR($B2541="",$C2541=""),"",$C2541*IFERROR(INDEX(PecCusto,MATCH($B2541,PecCod,0)),0))</f>
        <v>0</v>
      </c>
      <c r="I2541" s="32">
        <f>IF($A2541="","",IFERROR(INDEX(OSStatus,MATCH($A2541,OSNum,0)),"OS inexistente"))</f>
        <v>0</v>
      </c>
      <c r="J2541" s="32">
        <f>IF($A2541="","",IF($I2541="OS inexistente","OS inexistente",IF($E2541="Peça não cadastrada","Peça não cadastrada","OK")))</f>
        <v>0</v>
      </c>
    </row>
    <row r="2542" spans="1:10">
      <c r="A2542" s="17"/>
      <c r="B2542" s="13"/>
      <c r="C2542" s="20"/>
      <c r="D2542" s="19"/>
      <c r="E2542" s="26">
        <f>IF($B2542="","",IFERROR(INDEX(PecDesc,MATCH($B2542,PecCod,0)),"Peça não cadastrada"))</f>
        <v>0</v>
      </c>
      <c r="F2542" s="27">
        <f>IF($B2542="","",IF($D2542&lt;&gt;"",$D2542,IFERROR(INDEX(PecPreco,MATCH($B2542,PecCod,0)),0)))</f>
        <v>0</v>
      </c>
      <c r="G2542" s="27">
        <f>IF(OR($B2542="",$C2542=""),"",$C2542*$F2542)</f>
        <v>0</v>
      </c>
      <c r="H2542" s="27">
        <f>IF(OR($B2542="",$C2542=""),"",$C2542*IFERROR(INDEX(PecCusto,MATCH($B2542,PecCod,0)),0))</f>
        <v>0</v>
      </c>
      <c r="I2542" s="32">
        <f>IF($A2542="","",IFERROR(INDEX(OSStatus,MATCH($A2542,OSNum,0)),"OS inexistente"))</f>
        <v>0</v>
      </c>
      <c r="J2542" s="32">
        <f>IF($A2542="","",IF($I2542="OS inexistente","OS inexistente",IF($E2542="Peça não cadastrada","Peça não cadastrada","OK")))</f>
        <v>0</v>
      </c>
    </row>
    <row r="2543" spans="1:10">
      <c r="A2543" s="17"/>
      <c r="B2543" s="13"/>
      <c r="C2543" s="20"/>
      <c r="D2543" s="19"/>
      <c r="E2543" s="26">
        <f>IF($B2543="","",IFERROR(INDEX(PecDesc,MATCH($B2543,PecCod,0)),"Peça não cadastrada"))</f>
        <v>0</v>
      </c>
      <c r="F2543" s="27">
        <f>IF($B2543="","",IF($D2543&lt;&gt;"",$D2543,IFERROR(INDEX(PecPreco,MATCH($B2543,PecCod,0)),0)))</f>
        <v>0</v>
      </c>
      <c r="G2543" s="27">
        <f>IF(OR($B2543="",$C2543=""),"",$C2543*$F2543)</f>
        <v>0</v>
      </c>
      <c r="H2543" s="27">
        <f>IF(OR($B2543="",$C2543=""),"",$C2543*IFERROR(INDEX(PecCusto,MATCH($B2543,PecCod,0)),0))</f>
        <v>0</v>
      </c>
      <c r="I2543" s="32">
        <f>IF($A2543="","",IFERROR(INDEX(OSStatus,MATCH($A2543,OSNum,0)),"OS inexistente"))</f>
        <v>0</v>
      </c>
      <c r="J2543" s="32">
        <f>IF($A2543="","",IF($I2543="OS inexistente","OS inexistente",IF($E2543="Peça não cadastrada","Peça não cadastrada","OK")))</f>
        <v>0</v>
      </c>
    </row>
    <row r="2544" spans="1:10">
      <c r="A2544" s="17"/>
      <c r="B2544" s="13"/>
      <c r="C2544" s="20"/>
      <c r="D2544" s="19"/>
      <c r="E2544" s="26">
        <f>IF($B2544="","",IFERROR(INDEX(PecDesc,MATCH($B2544,PecCod,0)),"Peça não cadastrada"))</f>
        <v>0</v>
      </c>
      <c r="F2544" s="27">
        <f>IF($B2544="","",IF($D2544&lt;&gt;"",$D2544,IFERROR(INDEX(PecPreco,MATCH($B2544,PecCod,0)),0)))</f>
        <v>0</v>
      </c>
      <c r="G2544" s="27">
        <f>IF(OR($B2544="",$C2544=""),"",$C2544*$F2544)</f>
        <v>0</v>
      </c>
      <c r="H2544" s="27">
        <f>IF(OR($B2544="",$C2544=""),"",$C2544*IFERROR(INDEX(PecCusto,MATCH($B2544,PecCod,0)),0))</f>
        <v>0</v>
      </c>
      <c r="I2544" s="32">
        <f>IF($A2544="","",IFERROR(INDEX(OSStatus,MATCH($A2544,OSNum,0)),"OS inexistente"))</f>
        <v>0</v>
      </c>
      <c r="J2544" s="32">
        <f>IF($A2544="","",IF($I2544="OS inexistente","OS inexistente",IF($E2544="Peça não cadastrada","Peça não cadastrada","OK")))</f>
        <v>0</v>
      </c>
    </row>
    <row r="2545" spans="1:10">
      <c r="A2545" s="17"/>
      <c r="B2545" s="13"/>
      <c r="C2545" s="20"/>
      <c r="D2545" s="19"/>
      <c r="E2545" s="26">
        <f>IF($B2545="","",IFERROR(INDEX(PecDesc,MATCH($B2545,PecCod,0)),"Peça não cadastrada"))</f>
        <v>0</v>
      </c>
      <c r="F2545" s="27">
        <f>IF($B2545="","",IF($D2545&lt;&gt;"",$D2545,IFERROR(INDEX(PecPreco,MATCH($B2545,PecCod,0)),0)))</f>
        <v>0</v>
      </c>
      <c r="G2545" s="27">
        <f>IF(OR($B2545="",$C2545=""),"",$C2545*$F2545)</f>
        <v>0</v>
      </c>
      <c r="H2545" s="27">
        <f>IF(OR($B2545="",$C2545=""),"",$C2545*IFERROR(INDEX(PecCusto,MATCH($B2545,PecCod,0)),0))</f>
        <v>0</v>
      </c>
      <c r="I2545" s="32">
        <f>IF($A2545="","",IFERROR(INDEX(OSStatus,MATCH($A2545,OSNum,0)),"OS inexistente"))</f>
        <v>0</v>
      </c>
      <c r="J2545" s="32">
        <f>IF($A2545="","",IF($I2545="OS inexistente","OS inexistente",IF($E2545="Peça não cadastrada","Peça não cadastrada","OK")))</f>
        <v>0</v>
      </c>
    </row>
    <row r="2546" spans="1:10">
      <c r="A2546" s="17"/>
      <c r="B2546" s="13"/>
      <c r="C2546" s="20"/>
      <c r="D2546" s="19"/>
      <c r="E2546" s="26">
        <f>IF($B2546="","",IFERROR(INDEX(PecDesc,MATCH($B2546,PecCod,0)),"Peça não cadastrada"))</f>
        <v>0</v>
      </c>
      <c r="F2546" s="27">
        <f>IF($B2546="","",IF($D2546&lt;&gt;"",$D2546,IFERROR(INDEX(PecPreco,MATCH($B2546,PecCod,0)),0)))</f>
        <v>0</v>
      </c>
      <c r="G2546" s="27">
        <f>IF(OR($B2546="",$C2546=""),"",$C2546*$F2546)</f>
        <v>0</v>
      </c>
      <c r="H2546" s="27">
        <f>IF(OR($B2546="",$C2546=""),"",$C2546*IFERROR(INDEX(PecCusto,MATCH($B2546,PecCod,0)),0))</f>
        <v>0</v>
      </c>
      <c r="I2546" s="32">
        <f>IF($A2546="","",IFERROR(INDEX(OSStatus,MATCH($A2546,OSNum,0)),"OS inexistente"))</f>
        <v>0</v>
      </c>
      <c r="J2546" s="32">
        <f>IF($A2546="","",IF($I2546="OS inexistente","OS inexistente",IF($E2546="Peça não cadastrada","Peça não cadastrada","OK")))</f>
        <v>0</v>
      </c>
    </row>
    <row r="2547" spans="1:10">
      <c r="A2547" s="17"/>
      <c r="B2547" s="13"/>
      <c r="C2547" s="20"/>
      <c r="D2547" s="19"/>
      <c r="E2547" s="26">
        <f>IF($B2547="","",IFERROR(INDEX(PecDesc,MATCH($B2547,PecCod,0)),"Peça não cadastrada"))</f>
        <v>0</v>
      </c>
      <c r="F2547" s="27">
        <f>IF($B2547="","",IF($D2547&lt;&gt;"",$D2547,IFERROR(INDEX(PecPreco,MATCH($B2547,PecCod,0)),0)))</f>
        <v>0</v>
      </c>
      <c r="G2547" s="27">
        <f>IF(OR($B2547="",$C2547=""),"",$C2547*$F2547)</f>
        <v>0</v>
      </c>
      <c r="H2547" s="27">
        <f>IF(OR($B2547="",$C2547=""),"",$C2547*IFERROR(INDEX(PecCusto,MATCH($B2547,PecCod,0)),0))</f>
        <v>0</v>
      </c>
      <c r="I2547" s="32">
        <f>IF($A2547="","",IFERROR(INDEX(OSStatus,MATCH($A2547,OSNum,0)),"OS inexistente"))</f>
        <v>0</v>
      </c>
      <c r="J2547" s="32">
        <f>IF($A2547="","",IF($I2547="OS inexistente","OS inexistente",IF($E2547="Peça não cadastrada","Peça não cadastrada","OK")))</f>
        <v>0</v>
      </c>
    </row>
    <row r="2548" spans="1:10">
      <c r="A2548" s="17"/>
      <c r="B2548" s="13"/>
      <c r="C2548" s="20"/>
      <c r="D2548" s="19"/>
      <c r="E2548" s="26">
        <f>IF($B2548="","",IFERROR(INDEX(PecDesc,MATCH($B2548,PecCod,0)),"Peça não cadastrada"))</f>
        <v>0</v>
      </c>
      <c r="F2548" s="27">
        <f>IF($B2548="","",IF($D2548&lt;&gt;"",$D2548,IFERROR(INDEX(PecPreco,MATCH($B2548,PecCod,0)),0)))</f>
        <v>0</v>
      </c>
      <c r="G2548" s="27">
        <f>IF(OR($B2548="",$C2548=""),"",$C2548*$F2548)</f>
        <v>0</v>
      </c>
      <c r="H2548" s="27">
        <f>IF(OR($B2548="",$C2548=""),"",$C2548*IFERROR(INDEX(PecCusto,MATCH($B2548,PecCod,0)),0))</f>
        <v>0</v>
      </c>
      <c r="I2548" s="32">
        <f>IF($A2548="","",IFERROR(INDEX(OSStatus,MATCH($A2548,OSNum,0)),"OS inexistente"))</f>
        <v>0</v>
      </c>
      <c r="J2548" s="32">
        <f>IF($A2548="","",IF($I2548="OS inexistente","OS inexistente",IF($E2548="Peça não cadastrada","Peça não cadastrada","OK")))</f>
        <v>0</v>
      </c>
    </row>
    <row r="2549" spans="1:10">
      <c r="A2549" s="17"/>
      <c r="B2549" s="13"/>
      <c r="C2549" s="20"/>
      <c r="D2549" s="19"/>
      <c r="E2549" s="26">
        <f>IF($B2549="","",IFERROR(INDEX(PecDesc,MATCH($B2549,PecCod,0)),"Peça não cadastrada"))</f>
        <v>0</v>
      </c>
      <c r="F2549" s="27">
        <f>IF($B2549="","",IF($D2549&lt;&gt;"",$D2549,IFERROR(INDEX(PecPreco,MATCH($B2549,PecCod,0)),0)))</f>
        <v>0</v>
      </c>
      <c r="G2549" s="27">
        <f>IF(OR($B2549="",$C2549=""),"",$C2549*$F2549)</f>
        <v>0</v>
      </c>
      <c r="H2549" s="27">
        <f>IF(OR($B2549="",$C2549=""),"",$C2549*IFERROR(INDEX(PecCusto,MATCH($B2549,PecCod,0)),0))</f>
        <v>0</v>
      </c>
      <c r="I2549" s="32">
        <f>IF($A2549="","",IFERROR(INDEX(OSStatus,MATCH($A2549,OSNum,0)),"OS inexistente"))</f>
        <v>0</v>
      </c>
      <c r="J2549" s="32">
        <f>IF($A2549="","",IF($I2549="OS inexistente","OS inexistente",IF($E2549="Peça não cadastrada","Peça não cadastrada","OK")))</f>
        <v>0</v>
      </c>
    </row>
    <row r="2550" spans="1:10">
      <c r="A2550" s="17"/>
      <c r="B2550" s="13"/>
      <c r="C2550" s="20"/>
      <c r="D2550" s="19"/>
      <c r="E2550" s="26">
        <f>IF($B2550="","",IFERROR(INDEX(PecDesc,MATCH($B2550,PecCod,0)),"Peça não cadastrada"))</f>
        <v>0</v>
      </c>
      <c r="F2550" s="27">
        <f>IF($B2550="","",IF($D2550&lt;&gt;"",$D2550,IFERROR(INDEX(PecPreco,MATCH($B2550,PecCod,0)),0)))</f>
        <v>0</v>
      </c>
      <c r="G2550" s="27">
        <f>IF(OR($B2550="",$C2550=""),"",$C2550*$F2550)</f>
        <v>0</v>
      </c>
      <c r="H2550" s="27">
        <f>IF(OR($B2550="",$C2550=""),"",$C2550*IFERROR(INDEX(PecCusto,MATCH($B2550,PecCod,0)),0))</f>
        <v>0</v>
      </c>
      <c r="I2550" s="32">
        <f>IF($A2550="","",IFERROR(INDEX(OSStatus,MATCH($A2550,OSNum,0)),"OS inexistente"))</f>
        <v>0</v>
      </c>
      <c r="J2550" s="32">
        <f>IF($A2550="","",IF($I2550="OS inexistente","OS inexistente",IF($E2550="Peça não cadastrada","Peça não cadastrada","OK")))</f>
        <v>0</v>
      </c>
    </row>
    <row r="2551" spans="1:10">
      <c r="A2551" s="17"/>
      <c r="B2551" s="13"/>
      <c r="C2551" s="20"/>
      <c r="D2551" s="19"/>
      <c r="E2551" s="26">
        <f>IF($B2551="","",IFERROR(INDEX(PecDesc,MATCH($B2551,PecCod,0)),"Peça não cadastrada"))</f>
        <v>0</v>
      </c>
      <c r="F2551" s="27">
        <f>IF($B2551="","",IF($D2551&lt;&gt;"",$D2551,IFERROR(INDEX(PecPreco,MATCH($B2551,PecCod,0)),0)))</f>
        <v>0</v>
      </c>
      <c r="G2551" s="27">
        <f>IF(OR($B2551="",$C2551=""),"",$C2551*$F2551)</f>
        <v>0</v>
      </c>
      <c r="H2551" s="27">
        <f>IF(OR($B2551="",$C2551=""),"",$C2551*IFERROR(INDEX(PecCusto,MATCH($B2551,PecCod,0)),0))</f>
        <v>0</v>
      </c>
      <c r="I2551" s="32">
        <f>IF($A2551="","",IFERROR(INDEX(OSStatus,MATCH($A2551,OSNum,0)),"OS inexistente"))</f>
        <v>0</v>
      </c>
      <c r="J2551" s="32">
        <f>IF($A2551="","",IF($I2551="OS inexistente","OS inexistente",IF($E2551="Peça não cadastrada","Peça não cadastrada","OK")))</f>
        <v>0</v>
      </c>
    </row>
    <row r="2552" spans="1:10">
      <c r="A2552" s="17"/>
      <c r="B2552" s="13"/>
      <c r="C2552" s="20"/>
      <c r="D2552" s="19"/>
      <c r="E2552" s="26">
        <f>IF($B2552="","",IFERROR(INDEX(PecDesc,MATCH($B2552,PecCod,0)),"Peça não cadastrada"))</f>
        <v>0</v>
      </c>
      <c r="F2552" s="27">
        <f>IF($B2552="","",IF($D2552&lt;&gt;"",$D2552,IFERROR(INDEX(PecPreco,MATCH($B2552,PecCod,0)),0)))</f>
        <v>0</v>
      </c>
      <c r="G2552" s="27">
        <f>IF(OR($B2552="",$C2552=""),"",$C2552*$F2552)</f>
        <v>0</v>
      </c>
      <c r="H2552" s="27">
        <f>IF(OR($B2552="",$C2552=""),"",$C2552*IFERROR(INDEX(PecCusto,MATCH($B2552,PecCod,0)),0))</f>
        <v>0</v>
      </c>
      <c r="I2552" s="32">
        <f>IF($A2552="","",IFERROR(INDEX(OSStatus,MATCH($A2552,OSNum,0)),"OS inexistente"))</f>
        <v>0</v>
      </c>
      <c r="J2552" s="32">
        <f>IF($A2552="","",IF($I2552="OS inexistente","OS inexistente",IF($E2552="Peça não cadastrada","Peça não cadastrada","OK")))</f>
        <v>0</v>
      </c>
    </row>
    <row r="2553" spans="1:10">
      <c r="A2553" s="17"/>
      <c r="B2553" s="13"/>
      <c r="C2553" s="20"/>
      <c r="D2553" s="19"/>
      <c r="E2553" s="26">
        <f>IF($B2553="","",IFERROR(INDEX(PecDesc,MATCH($B2553,PecCod,0)),"Peça não cadastrada"))</f>
        <v>0</v>
      </c>
      <c r="F2553" s="27">
        <f>IF($B2553="","",IF($D2553&lt;&gt;"",$D2553,IFERROR(INDEX(PecPreco,MATCH($B2553,PecCod,0)),0)))</f>
        <v>0</v>
      </c>
      <c r="G2553" s="27">
        <f>IF(OR($B2553="",$C2553=""),"",$C2553*$F2553)</f>
        <v>0</v>
      </c>
      <c r="H2553" s="27">
        <f>IF(OR($B2553="",$C2553=""),"",$C2553*IFERROR(INDEX(PecCusto,MATCH($B2553,PecCod,0)),0))</f>
        <v>0</v>
      </c>
      <c r="I2553" s="32">
        <f>IF($A2553="","",IFERROR(INDEX(OSStatus,MATCH($A2553,OSNum,0)),"OS inexistente"))</f>
        <v>0</v>
      </c>
      <c r="J2553" s="32">
        <f>IF($A2553="","",IF($I2553="OS inexistente","OS inexistente",IF($E2553="Peça não cadastrada","Peça não cadastrada","OK")))</f>
        <v>0</v>
      </c>
    </row>
    <row r="2554" spans="1:10">
      <c r="A2554" s="17"/>
      <c r="B2554" s="13"/>
      <c r="C2554" s="20"/>
      <c r="D2554" s="19"/>
      <c r="E2554" s="26">
        <f>IF($B2554="","",IFERROR(INDEX(PecDesc,MATCH($B2554,PecCod,0)),"Peça não cadastrada"))</f>
        <v>0</v>
      </c>
      <c r="F2554" s="27">
        <f>IF($B2554="","",IF($D2554&lt;&gt;"",$D2554,IFERROR(INDEX(PecPreco,MATCH($B2554,PecCod,0)),0)))</f>
        <v>0</v>
      </c>
      <c r="G2554" s="27">
        <f>IF(OR($B2554="",$C2554=""),"",$C2554*$F2554)</f>
        <v>0</v>
      </c>
      <c r="H2554" s="27">
        <f>IF(OR($B2554="",$C2554=""),"",$C2554*IFERROR(INDEX(PecCusto,MATCH($B2554,PecCod,0)),0))</f>
        <v>0</v>
      </c>
      <c r="I2554" s="32">
        <f>IF($A2554="","",IFERROR(INDEX(OSStatus,MATCH($A2554,OSNum,0)),"OS inexistente"))</f>
        <v>0</v>
      </c>
      <c r="J2554" s="32">
        <f>IF($A2554="","",IF($I2554="OS inexistente","OS inexistente",IF($E2554="Peça não cadastrada","Peça não cadastrada","OK")))</f>
        <v>0</v>
      </c>
    </row>
    <row r="2555" spans="1:10">
      <c r="A2555" s="17"/>
      <c r="B2555" s="13"/>
      <c r="C2555" s="20"/>
      <c r="D2555" s="19"/>
      <c r="E2555" s="26">
        <f>IF($B2555="","",IFERROR(INDEX(PecDesc,MATCH($B2555,PecCod,0)),"Peça não cadastrada"))</f>
        <v>0</v>
      </c>
      <c r="F2555" s="27">
        <f>IF($B2555="","",IF($D2555&lt;&gt;"",$D2555,IFERROR(INDEX(PecPreco,MATCH($B2555,PecCod,0)),0)))</f>
        <v>0</v>
      </c>
      <c r="G2555" s="27">
        <f>IF(OR($B2555="",$C2555=""),"",$C2555*$F2555)</f>
        <v>0</v>
      </c>
      <c r="H2555" s="27">
        <f>IF(OR($B2555="",$C2555=""),"",$C2555*IFERROR(INDEX(PecCusto,MATCH($B2555,PecCod,0)),0))</f>
        <v>0</v>
      </c>
      <c r="I2555" s="32">
        <f>IF($A2555="","",IFERROR(INDEX(OSStatus,MATCH($A2555,OSNum,0)),"OS inexistente"))</f>
        <v>0</v>
      </c>
      <c r="J2555" s="32">
        <f>IF($A2555="","",IF($I2555="OS inexistente","OS inexistente",IF($E2555="Peça não cadastrada","Peça não cadastrada","OK")))</f>
        <v>0</v>
      </c>
    </row>
    <row r="2556" spans="1:10">
      <c r="A2556" s="17"/>
      <c r="B2556" s="13"/>
      <c r="C2556" s="20"/>
      <c r="D2556" s="19"/>
      <c r="E2556" s="26">
        <f>IF($B2556="","",IFERROR(INDEX(PecDesc,MATCH($B2556,PecCod,0)),"Peça não cadastrada"))</f>
        <v>0</v>
      </c>
      <c r="F2556" s="27">
        <f>IF($B2556="","",IF($D2556&lt;&gt;"",$D2556,IFERROR(INDEX(PecPreco,MATCH($B2556,PecCod,0)),0)))</f>
        <v>0</v>
      </c>
      <c r="G2556" s="27">
        <f>IF(OR($B2556="",$C2556=""),"",$C2556*$F2556)</f>
        <v>0</v>
      </c>
      <c r="H2556" s="27">
        <f>IF(OR($B2556="",$C2556=""),"",$C2556*IFERROR(INDEX(PecCusto,MATCH($B2556,PecCod,0)),0))</f>
        <v>0</v>
      </c>
      <c r="I2556" s="32">
        <f>IF($A2556="","",IFERROR(INDEX(OSStatus,MATCH($A2556,OSNum,0)),"OS inexistente"))</f>
        <v>0</v>
      </c>
      <c r="J2556" s="32">
        <f>IF($A2556="","",IF($I2556="OS inexistente","OS inexistente",IF($E2556="Peça não cadastrada","Peça não cadastrada","OK")))</f>
        <v>0</v>
      </c>
    </row>
    <row r="2557" spans="1:10">
      <c r="A2557" s="17"/>
      <c r="B2557" s="13"/>
      <c r="C2557" s="20"/>
      <c r="D2557" s="19"/>
      <c r="E2557" s="26">
        <f>IF($B2557="","",IFERROR(INDEX(PecDesc,MATCH($B2557,PecCod,0)),"Peça não cadastrada"))</f>
        <v>0</v>
      </c>
      <c r="F2557" s="27">
        <f>IF($B2557="","",IF($D2557&lt;&gt;"",$D2557,IFERROR(INDEX(PecPreco,MATCH($B2557,PecCod,0)),0)))</f>
        <v>0</v>
      </c>
      <c r="G2557" s="27">
        <f>IF(OR($B2557="",$C2557=""),"",$C2557*$F2557)</f>
        <v>0</v>
      </c>
      <c r="H2557" s="27">
        <f>IF(OR($B2557="",$C2557=""),"",$C2557*IFERROR(INDEX(PecCusto,MATCH($B2557,PecCod,0)),0))</f>
        <v>0</v>
      </c>
      <c r="I2557" s="32">
        <f>IF($A2557="","",IFERROR(INDEX(OSStatus,MATCH($A2557,OSNum,0)),"OS inexistente"))</f>
        <v>0</v>
      </c>
      <c r="J2557" s="32">
        <f>IF($A2557="","",IF($I2557="OS inexistente","OS inexistente",IF($E2557="Peça não cadastrada","Peça não cadastrada","OK")))</f>
        <v>0</v>
      </c>
    </row>
    <row r="2558" spans="1:10">
      <c r="A2558" s="17"/>
      <c r="B2558" s="13"/>
      <c r="C2558" s="20"/>
      <c r="D2558" s="19"/>
      <c r="E2558" s="26">
        <f>IF($B2558="","",IFERROR(INDEX(PecDesc,MATCH($B2558,PecCod,0)),"Peça não cadastrada"))</f>
        <v>0</v>
      </c>
      <c r="F2558" s="27">
        <f>IF($B2558="","",IF($D2558&lt;&gt;"",$D2558,IFERROR(INDEX(PecPreco,MATCH($B2558,PecCod,0)),0)))</f>
        <v>0</v>
      </c>
      <c r="G2558" s="27">
        <f>IF(OR($B2558="",$C2558=""),"",$C2558*$F2558)</f>
        <v>0</v>
      </c>
      <c r="H2558" s="27">
        <f>IF(OR($B2558="",$C2558=""),"",$C2558*IFERROR(INDEX(PecCusto,MATCH($B2558,PecCod,0)),0))</f>
        <v>0</v>
      </c>
      <c r="I2558" s="32">
        <f>IF($A2558="","",IFERROR(INDEX(OSStatus,MATCH($A2558,OSNum,0)),"OS inexistente"))</f>
        <v>0</v>
      </c>
      <c r="J2558" s="32">
        <f>IF($A2558="","",IF($I2558="OS inexistente","OS inexistente",IF($E2558="Peça não cadastrada","Peça não cadastrada","OK")))</f>
        <v>0</v>
      </c>
    </row>
    <row r="2559" spans="1:10">
      <c r="A2559" s="17"/>
      <c r="B2559" s="13"/>
      <c r="C2559" s="20"/>
      <c r="D2559" s="19"/>
      <c r="E2559" s="26">
        <f>IF($B2559="","",IFERROR(INDEX(PecDesc,MATCH($B2559,PecCod,0)),"Peça não cadastrada"))</f>
        <v>0</v>
      </c>
      <c r="F2559" s="27">
        <f>IF($B2559="","",IF($D2559&lt;&gt;"",$D2559,IFERROR(INDEX(PecPreco,MATCH($B2559,PecCod,0)),0)))</f>
        <v>0</v>
      </c>
      <c r="G2559" s="27">
        <f>IF(OR($B2559="",$C2559=""),"",$C2559*$F2559)</f>
        <v>0</v>
      </c>
      <c r="H2559" s="27">
        <f>IF(OR($B2559="",$C2559=""),"",$C2559*IFERROR(INDEX(PecCusto,MATCH($B2559,PecCod,0)),0))</f>
        <v>0</v>
      </c>
      <c r="I2559" s="32">
        <f>IF($A2559="","",IFERROR(INDEX(OSStatus,MATCH($A2559,OSNum,0)),"OS inexistente"))</f>
        <v>0</v>
      </c>
      <c r="J2559" s="32">
        <f>IF($A2559="","",IF($I2559="OS inexistente","OS inexistente",IF($E2559="Peça não cadastrada","Peça não cadastrada","OK")))</f>
        <v>0</v>
      </c>
    </row>
    <row r="2560" spans="1:10">
      <c r="A2560" s="17"/>
      <c r="B2560" s="13"/>
      <c r="C2560" s="20"/>
      <c r="D2560" s="19"/>
      <c r="E2560" s="26">
        <f>IF($B2560="","",IFERROR(INDEX(PecDesc,MATCH($B2560,PecCod,0)),"Peça não cadastrada"))</f>
        <v>0</v>
      </c>
      <c r="F2560" s="27">
        <f>IF($B2560="","",IF($D2560&lt;&gt;"",$D2560,IFERROR(INDEX(PecPreco,MATCH($B2560,PecCod,0)),0)))</f>
        <v>0</v>
      </c>
      <c r="G2560" s="27">
        <f>IF(OR($B2560="",$C2560=""),"",$C2560*$F2560)</f>
        <v>0</v>
      </c>
      <c r="H2560" s="27">
        <f>IF(OR($B2560="",$C2560=""),"",$C2560*IFERROR(INDEX(PecCusto,MATCH($B2560,PecCod,0)),0))</f>
        <v>0</v>
      </c>
      <c r="I2560" s="32">
        <f>IF($A2560="","",IFERROR(INDEX(OSStatus,MATCH($A2560,OSNum,0)),"OS inexistente"))</f>
        <v>0</v>
      </c>
      <c r="J2560" s="32">
        <f>IF($A2560="","",IF($I2560="OS inexistente","OS inexistente",IF($E2560="Peça não cadastrada","Peça não cadastrada","OK")))</f>
        <v>0</v>
      </c>
    </row>
    <row r="2561" spans="1:10">
      <c r="A2561" s="17"/>
      <c r="B2561" s="13"/>
      <c r="C2561" s="20"/>
      <c r="D2561" s="19"/>
      <c r="E2561" s="26">
        <f>IF($B2561="","",IFERROR(INDEX(PecDesc,MATCH($B2561,PecCod,0)),"Peça não cadastrada"))</f>
        <v>0</v>
      </c>
      <c r="F2561" s="27">
        <f>IF($B2561="","",IF($D2561&lt;&gt;"",$D2561,IFERROR(INDEX(PecPreco,MATCH($B2561,PecCod,0)),0)))</f>
        <v>0</v>
      </c>
      <c r="G2561" s="27">
        <f>IF(OR($B2561="",$C2561=""),"",$C2561*$F2561)</f>
        <v>0</v>
      </c>
      <c r="H2561" s="27">
        <f>IF(OR($B2561="",$C2561=""),"",$C2561*IFERROR(INDEX(PecCusto,MATCH($B2561,PecCod,0)),0))</f>
        <v>0</v>
      </c>
      <c r="I2561" s="32">
        <f>IF($A2561="","",IFERROR(INDEX(OSStatus,MATCH($A2561,OSNum,0)),"OS inexistente"))</f>
        <v>0</v>
      </c>
      <c r="J2561" s="32">
        <f>IF($A2561="","",IF($I2561="OS inexistente","OS inexistente",IF($E2561="Peça não cadastrada","Peça não cadastrada","OK")))</f>
        <v>0</v>
      </c>
    </row>
    <row r="2562" spans="1:10">
      <c r="A2562" s="17"/>
      <c r="B2562" s="13"/>
      <c r="C2562" s="20"/>
      <c r="D2562" s="19"/>
      <c r="E2562" s="26">
        <f>IF($B2562="","",IFERROR(INDEX(PecDesc,MATCH($B2562,PecCod,0)),"Peça não cadastrada"))</f>
        <v>0</v>
      </c>
      <c r="F2562" s="27">
        <f>IF($B2562="","",IF($D2562&lt;&gt;"",$D2562,IFERROR(INDEX(PecPreco,MATCH($B2562,PecCod,0)),0)))</f>
        <v>0</v>
      </c>
      <c r="G2562" s="27">
        <f>IF(OR($B2562="",$C2562=""),"",$C2562*$F2562)</f>
        <v>0</v>
      </c>
      <c r="H2562" s="27">
        <f>IF(OR($B2562="",$C2562=""),"",$C2562*IFERROR(INDEX(PecCusto,MATCH($B2562,PecCod,0)),0))</f>
        <v>0</v>
      </c>
      <c r="I2562" s="32">
        <f>IF($A2562="","",IFERROR(INDEX(OSStatus,MATCH($A2562,OSNum,0)),"OS inexistente"))</f>
        <v>0</v>
      </c>
      <c r="J2562" s="32">
        <f>IF($A2562="","",IF($I2562="OS inexistente","OS inexistente",IF($E2562="Peça não cadastrada","Peça não cadastrada","OK")))</f>
        <v>0</v>
      </c>
    </row>
    <row r="2563" spans="1:10">
      <c r="A2563" s="17"/>
      <c r="B2563" s="13"/>
      <c r="C2563" s="20"/>
      <c r="D2563" s="19"/>
      <c r="E2563" s="26">
        <f>IF($B2563="","",IFERROR(INDEX(PecDesc,MATCH($B2563,PecCod,0)),"Peça não cadastrada"))</f>
        <v>0</v>
      </c>
      <c r="F2563" s="27">
        <f>IF($B2563="","",IF($D2563&lt;&gt;"",$D2563,IFERROR(INDEX(PecPreco,MATCH($B2563,PecCod,0)),0)))</f>
        <v>0</v>
      </c>
      <c r="G2563" s="27">
        <f>IF(OR($B2563="",$C2563=""),"",$C2563*$F2563)</f>
        <v>0</v>
      </c>
      <c r="H2563" s="27">
        <f>IF(OR($B2563="",$C2563=""),"",$C2563*IFERROR(INDEX(PecCusto,MATCH($B2563,PecCod,0)),0))</f>
        <v>0</v>
      </c>
      <c r="I2563" s="32">
        <f>IF($A2563="","",IFERROR(INDEX(OSStatus,MATCH($A2563,OSNum,0)),"OS inexistente"))</f>
        <v>0</v>
      </c>
      <c r="J2563" s="32">
        <f>IF($A2563="","",IF($I2563="OS inexistente","OS inexistente",IF($E2563="Peça não cadastrada","Peça não cadastrada","OK")))</f>
        <v>0</v>
      </c>
    </row>
    <row r="2564" spans="1:10">
      <c r="A2564" s="17"/>
      <c r="B2564" s="13"/>
      <c r="C2564" s="20"/>
      <c r="D2564" s="19"/>
      <c r="E2564" s="26">
        <f>IF($B2564="","",IFERROR(INDEX(PecDesc,MATCH($B2564,PecCod,0)),"Peça não cadastrada"))</f>
        <v>0</v>
      </c>
      <c r="F2564" s="27">
        <f>IF($B2564="","",IF($D2564&lt;&gt;"",$D2564,IFERROR(INDEX(PecPreco,MATCH($B2564,PecCod,0)),0)))</f>
        <v>0</v>
      </c>
      <c r="G2564" s="27">
        <f>IF(OR($B2564="",$C2564=""),"",$C2564*$F2564)</f>
        <v>0</v>
      </c>
      <c r="H2564" s="27">
        <f>IF(OR($B2564="",$C2564=""),"",$C2564*IFERROR(INDEX(PecCusto,MATCH($B2564,PecCod,0)),0))</f>
        <v>0</v>
      </c>
      <c r="I2564" s="32">
        <f>IF($A2564="","",IFERROR(INDEX(OSStatus,MATCH($A2564,OSNum,0)),"OS inexistente"))</f>
        <v>0</v>
      </c>
      <c r="J2564" s="32">
        <f>IF($A2564="","",IF($I2564="OS inexistente","OS inexistente",IF($E2564="Peça não cadastrada","Peça não cadastrada","OK")))</f>
        <v>0</v>
      </c>
    </row>
    <row r="2565" spans="1:10">
      <c r="A2565" s="17"/>
      <c r="B2565" s="13"/>
      <c r="C2565" s="20"/>
      <c r="D2565" s="19"/>
      <c r="E2565" s="26">
        <f>IF($B2565="","",IFERROR(INDEX(PecDesc,MATCH($B2565,PecCod,0)),"Peça não cadastrada"))</f>
        <v>0</v>
      </c>
      <c r="F2565" s="27">
        <f>IF($B2565="","",IF($D2565&lt;&gt;"",$D2565,IFERROR(INDEX(PecPreco,MATCH($B2565,PecCod,0)),0)))</f>
        <v>0</v>
      </c>
      <c r="G2565" s="27">
        <f>IF(OR($B2565="",$C2565=""),"",$C2565*$F2565)</f>
        <v>0</v>
      </c>
      <c r="H2565" s="27">
        <f>IF(OR($B2565="",$C2565=""),"",$C2565*IFERROR(INDEX(PecCusto,MATCH($B2565,PecCod,0)),0))</f>
        <v>0</v>
      </c>
      <c r="I2565" s="32">
        <f>IF($A2565="","",IFERROR(INDEX(OSStatus,MATCH($A2565,OSNum,0)),"OS inexistente"))</f>
        <v>0</v>
      </c>
      <c r="J2565" s="32">
        <f>IF($A2565="","",IF($I2565="OS inexistente","OS inexistente",IF($E2565="Peça não cadastrada","Peça não cadastrada","OK")))</f>
        <v>0</v>
      </c>
    </row>
    <row r="2566" spans="1:10">
      <c r="A2566" s="17"/>
      <c r="B2566" s="13"/>
      <c r="C2566" s="20"/>
      <c r="D2566" s="19"/>
      <c r="E2566" s="26">
        <f>IF($B2566="","",IFERROR(INDEX(PecDesc,MATCH($B2566,PecCod,0)),"Peça não cadastrada"))</f>
        <v>0</v>
      </c>
      <c r="F2566" s="27">
        <f>IF($B2566="","",IF($D2566&lt;&gt;"",$D2566,IFERROR(INDEX(PecPreco,MATCH($B2566,PecCod,0)),0)))</f>
        <v>0</v>
      </c>
      <c r="G2566" s="27">
        <f>IF(OR($B2566="",$C2566=""),"",$C2566*$F2566)</f>
        <v>0</v>
      </c>
      <c r="H2566" s="27">
        <f>IF(OR($B2566="",$C2566=""),"",$C2566*IFERROR(INDEX(PecCusto,MATCH($B2566,PecCod,0)),0))</f>
        <v>0</v>
      </c>
      <c r="I2566" s="32">
        <f>IF($A2566="","",IFERROR(INDEX(OSStatus,MATCH($A2566,OSNum,0)),"OS inexistente"))</f>
        <v>0</v>
      </c>
      <c r="J2566" s="32">
        <f>IF($A2566="","",IF($I2566="OS inexistente","OS inexistente",IF($E2566="Peça não cadastrada","Peça não cadastrada","OK")))</f>
        <v>0</v>
      </c>
    </row>
    <row r="2567" spans="1:10">
      <c r="A2567" s="17"/>
      <c r="B2567" s="13"/>
      <c r="C2567" s="20"/>
      <c r="D2567" s="19"/>
      <c r="E2567" s="26">
        <f>IF($B2567="","",IFERROR(INDEX(PecDesc,MATCH($B2567,PecCod,0)),"Peça não cadastrada"))</f>
        <v>0</v>
      </c>
      <c r="F2567" s="27">
        <f>IF($B2567="","",IF($D2567&lt;&gt;"",$D2567,IFERROR(INDEX(PecPreco,MATCH($B2567,PecCod,0)),0)))</f>
        <v>0</v>
      </c>
      <c r="G2567" s="27">
        <f>IF(OR($B2567="",$C2567=""),"",$C2567*$F2567)</f>
        <v>0</v>
      </c>
      <c r="H2567" s="27">
        <f>IF(OR($B2567="",$C2567=""),"",$C2567*IFERROR(INDEX(PecCusto,MATCH($B2567,PecCod,0)),0))</f>
        <v>0</v>
      </c>
      <c r="I2567" s="32">
        <f>IF($A2567="","",IFERROR(INDEX(OSStatus,MATCH($A2567,OSNum,0)),"OS inexistente"))</f>
        <v>0</v>
      </c>
      <c r="J2567" s="32">
        <f>IF($A2567="","",IF($I2567="OS inexistente","OS inexistente",IF($E2567="Peça não cadastrada","Peça não cadastrada","OK")))</f>
        <v>0</v>
      </c>
    </row>
    <row r="2568" spans="1:10">
      <c r="A2568" s="17"/>
      <c r="B2568" s="13"/>
      <c r="C2568" s="20"/>
      <c r="D2568" s="19"/>
      <c r="E2568" s="26">
        <f>IF($B2568="","",IFERROR(INDEX(PecDesc,MATCH($B2568,PecCod,0)),"Peça não cadastrada"))</f>
        <v>0</v>
      </c>
      <c r="F2568" s="27">
        <f>IF($B2568="","",IF($D2568&lt;&gt;"",$D2568,IFERROR(INDEX(PecPreco,MATCH($B2568,PecCod,0)),0)))</f>
        <v>0</v>
      </c>
      <c r="G2568" s="27">
        <f>IF(OR($B2568="",$C2568=""),"",$C2568*$F2568)</f>
        <v>0</v>
      </c>
      <c r="H2568" s="27">
        <f>IF(OR($B2568="",$C2568=""),"",$C2568*IFERROR(INDEX(PecCusto,MATCH($B2568,PecCod,0)),0))</f>
        <v>0</v>
      </c>
      <c r="I2568" s="32">
        <f>IF($A2568="","",IFERROR(INDEX(OSStatus,MATCH($A2568,OSNum,0)),"OS inexistente"))</f>
        <v>0</v>
      </c>
      <c r="J2568" s="32">
        <f>IF($A2568="","",IF($I2568="OS inexistente","OS inexistente",IF($E2568="Peça não cadastrada","Peça não cadastrada","OK")))</f>
        <v>0</v>
      </c>
    </row>
    <row r="2569" spans="1:10">
      <c r="A2569" s="17"/>
      <c r="B2569" s="13"/>
      <c r="C2569" s="20"/>
      <c r="D2569" s="19"/>
      <c r="E2569" s="26">
        <f>IF($B2569="","",IFERROR(INDEX(PecDesc,MATCH($B2569,PecCod,0)),"Peça não cadastrada"))</f>
        <v>0</v>
      </c>
      <c r="F2569" s="27">
        <f>IF($B2569="","",IF($D2569&lt;&gt;"",$D2569,IFERROR(INDEX(PecPreco,MATCH($B2569,PecCod,0)),0)))</f>
        <v>0</v>
      </c>
      <c r="G2569" s="27">
        <f>IF(OR($B2569="",$C2569=""),"",$C2569*$F2569)</f>
        <v>0</v>
      </c>
      <c r="H2569" s="27">
        <f>IF(OR($B2569="",$C2569=""),"",$C2569*IFERROR(INDEX(PecCusto,MATCH($B2569,PecCod,0)),0))</f>
        <v>0</v>
      </c>
      <c r="I2569" s="32">
        <f>IF($A2569="","",IFERROR(INDEX(OSStatus,MATCH($A2569,OSNum,0)),"OS inexistente"))</f>
        <v>0</v>
      </c>
      <c r="J2569" s="32">
        <f>IF($A2569="","",IF($I2569="OS inexistente","OS inexistente",IF($E2569="Peça não cadastrada","Peça não cadastrada","OK")))</f>
        <v>0</v>
      </c>
    </row>
    <row r="2570" spans="1:10">
      <c r="A2570" s="17"/>
      <c r="B2570" s="13"/>
      <c r="C2570" s="20"/>
      <c r="D2570" s="19"/>
      <c r="E2570" s="26">
        <f>IF($B2570="","",IFERROR(INDEX(PecDesc,MATCH($B2570,PecCod,0)),"Peça não cadastrada"))</f>
        <v>0</v>
      </c>
      <c r="F2570" s="27">
        <f>IF($B2570="","",IF($D2570&lt;&gt;"",$D2570,IFERROR(INDEX(PecPreco,MATCH($B2570,PecCod,0)),0)))</f>
        <v>0</v>
      </c>
      <c r="G2570" s="27">
        <f>IF(OR($B2570="",$C2570=""),"",$C2570*$F2570)</f>
        <v>0</v>
      </c>
      <c r="H2570" s="27">
        <f>IF(OR($B2570="",$C2570=""),"",$C2570*IFERROR(INDEX(PecCusto,MATCH($B2570,PecCod,0)),0))</f>
        <v>0</v>
      </c>
      <c r="I2570" s="32">
        <f>IF($A2570="","",IFERROR(INDEX(OSStatus,MATCH($A2570,OSNum,0)),"OS inexistente"))</f>
        <v>0</v>
      </c>
      <c r="J2570" s="32">
        <f>IF($A2570="","",IF($I2570="OS inexistente","OS inexistente",IF($E2570="Peça não cadastrada","Peça não cadastrada","OK")))</f>
        <v>0</v>
      </c>
    </row>
    <row r="2571" spans="1:10">
      <c r="A2571" s="17"/>
      <c r="B2571" s="13"/>
      <c r="C2571" s="20"/>
      <c r="D2571" s="19"/>
      <c r="E2571" s="26">
        <f>IF($B2571="","",IFERROR(INDEX(PecDesc,MATCH($B2571,PecCod,0)),"Peça não cadastrada"))</f>
        <v>0</v>
      </c>
      <c r="F2571" s="27">
        <f>IF($B2571="","",IF($D2571&lt;&gt;"",$D2571,IFERROR(INDEX(PecPreco,MATCH($B2571,PecCod,0)),0)))</f>
        <v>0</v>
      </c>
      <c r="G2571" s="27">
        <f>IF(OR($B2571="",$C2571=""),"",$C2571*$F2571)</f>
        <v>0</v>
      </c>
      <c r="H2571" s="27">
        <f>IF(OR($B2571="",$C2571=""),"",$C2571*IFERROR(INDEX(PecCusto,MATCH($B2571,PecCod,0)),0))</f>
        <v>0</v>
      </c>
      <c r="I2571" s="32">
        <f>IF($A2571="","",IFERROR(INDEX(OSStatus,MATCH($A2571,OSNum,0)),"OS inexistente"))</f>
        <v>0</v>
      </c>
      <c r="J2571" s="32">
        <f>IF($A2571="","",IF($I2571="OS inexistente","OS inexistente",IF($E2571="Peça não cadastrada","Peça não cadastrada","OK")))</f>
        <v>0</v>
      </c>
    </row>
    <row r="2572" spans="1:10">
      <c r="A2572" s="17"/>
      <c r="B2572" s="13"/>
      <c r="C2572" s="20"/>
      <c r="D2572" s="19"/>
      <c r="E2572" s="26">
        <f>IF($B2572="","",IFERROR(INDEX(PecDesc,MATCH($B2572,PecCod,0)),"Peça não cadastrada"))</f>
        <v>0</v>
      </c>
      <c r="F2572" s="27">
        <f>IF($B2572="","",IF($D2572&lt;&gt;"",$D2572,IFERROR(INDEX(PecPreco,MATCH($B2572,PecCod,0)),0)))</f>
        <v>0</v>
      </c>
      <c r="G2572" s="27">
        <f>IF(OR($B2572="",$C2572=""),"",$C2572*$F2572)</f>
        <v>0</v>
      </c>
      <c r="H2572" s="27">
        <f>IF(OR($B2572="",$C2572=""),"",$C2572*IFERROR(INDEX(PecCusto,MATCH($B2572,PecCod,0)),0))</f>
        <v>0</v>
      </c>
      <c r="I2572" s="32">
        <f>IF($A2572="","",IFERROR(INDEX(OSStatus,MATCH($A2572,OSNum,0)),"OS inexistente"))</f>
        <v>0</v>
      </c>
      <c r="J2572" s="32">
        <f>IF($A2572="","",IF($I2572="OS inexistente","OS inexistente",IF($E2572="Peça não cadastrada","Peça não cadastrada","OK")))</f>
        <v>0</v>
      </c>
    </row>
    <row r="2573" spans="1:10">
      <c r="A2573" s="17"/>
      <c r="B2573" s="13"/>
      <c r="C2573" s="20"/>
      <c r="D2573" s="19"/>
      <c r="E2573" s="26">
        <f>IF($B2573="","",IFERROR(INDEX(PecDesc,MATCH($B2573,PecCod,0)),"Peça não cadastrada"))</f>
        <v>0</v>
      </c>
      <c r="F2573" s="27">
        <f>IF($B2573="","",IF($D2573&lt;&gt;"",$D2573,IFERROR(INDEX(PecPreco,MATCH($B2573,PecCod,0)),0)))</f>
        <v>0</v>
      </c>
      <c r="G2573" s="27">
        <f>IF(OR($B2573="",$C2573=""),"",$C2573*$F2573)</f>
        <v>0</v>
      </c>
      <c r="H2573" s="27">
        <f>IF(OR($B2573="",$C2573=""),"",$C2573*IFERROR(INDEX(PecCusto,MATCH($B2573,PecCod,0)),0))</f>
        <v>0</v>
      </c>
      <c r="I2573" s="32">
        <f>IF($A2573="","",IFERROR(INDEX(OSStatus,MATCH($A2573,OSNum,0)),"OS inexistente"))</f>
        <v>0</v>
      </c>
      <c r="J2573" s="32">
        <f>IF($A2573="","",IF($I2573="OS inexistente","OS inexistente",IF($E2573="Peça não cadastrada","Peça não cadastrada","OK")))</f>
        <v>0</v>
      </c>
    </row>
    <row r="2574" spans="1:10">
      <c r="A2574" s="17"/>
      <c r="B2574" s="13"/>
      <c r="C2574" s="20"/>
      <c r="D2574" s="19"/>
      <c r="E2574" s="26">
        <f>IF($B2574="","",IFERROR(INDEX(PecDesc,MATCH($B2574,PecCod,0)),"Peça não cadastrada"))</f>
        <v>0</v>
      </c>
      <c r="F2574" s="27">
        <f>IF($B2574="","",IF($D2574&lt;&gt;"",$D2574,IFERROR(INDEX(PecPreco,MATCH($B2574,PecCod,0)),0)))</f>
        <v>0</v>
      </c>
      <c r="G2574" s="27">
        <f>IF(OR($B2574="",$C2574=""),"",$C2574*$F2574)</f>
        <v>0</v>
      </c>
      <c r="H2574" s="27">
        <f>IF(OR($B2574="",$C2574=""),"",$C2574*IFERROR(INDEX(PecCusto,MATCH($B2574,PecCod,0)),0))</f>
        <v>0</v>
      </c>
      <c r="I2574" s="32">
        <f>IF($A2574="","",IFERROR(INDEX(OSStatus,MATCH($A2574,OSNum,0)),"OS inexistente"))</f>
        <v>0</v>
      </c>
      <c r="J2574" s="32">
        <f>IF($A2574="","",IF($I2574="OS inexistente","OS inexistente",IF($E2574="Peça não cadastrada","Peça não cadastrada","OK")))</f>
        <v>0</v>
      </c>
    </row>
    <row r="2575" spans="1:10">
      <c r="A2575" s="17"/>
      <c r="B2575" s="13"/>
      <c r="C2575" s="20"/>
      <c r="D2575" s="19"/>
      <c r="E2575" s="26">
        <f>IF($B2575="","",IFERROR(INDEX(PecDesc,MATCH($B2575,PecCod,0)),"Peça não cadastrada"))</f>
        <v>0</v>
      </c>
      <c r="F2575" s="27">
        <f>IF($B2575="","",IF($D2575&lt;&gt;"",$D2575,IFERROR(INDEX(PecPreco,MATCH($B2575,PecCod,0)),0)))</f>
        <v>0</v>
      </c>
      <c r="G2575" s="27">
        <f>IF(OR($B2575="",$C2575=""),"",$C2575*$F2575)</f>
        <v>0</v>
      </c>
      <c r="H2575" s="27">
        <f>IF(OR($B2575="",$C2575=""),"",$C2575*IFERROR(INDEX(PecCusto,MATCH($B2575,PecCod,0)),0))</f>
        <v>0</v>
      </c>
      <c r="I2575" s="32">
        <f>IF($A2575="","",IFERROR(INDEX(OSStatus,MATCH($A2575,OSNum,0)),"OS inexistente"))</f>
        <v>0</v>
      </c>
      <c r="J2575" s="32">
        <f>IF($A2575="","",IF($I2575="OS inexistente","OS inexistente",IF($E2575="Peça não cadastrada","Peça não cadastrada","OK")))</f>
        <v>0</v>
      </c>
    </row>
    <row r="2576" spans="1:10">
      <c r="A2576" s="17"/>
      <c r="B2576" s="13"/>
      <c r="C2576" s="20"/>
      <c r="D2576" s="19"/>
      <c r="E2576" s="26">
        <f>IF($B2576="","",IFERROR(INDEX(PecDesc,MATCH($B2576,PecCod,0)),"Peça não cadastrada"))</f>
        <v>0</v>
      </c>
      <c r="F2576" s="27">
        <f>IF($B2576="","",IF($D2576&lt;&gt;"",$D2576,IFERROR(INDEX(PecPreco,MATCH($B2576,PecCod,0)),0)))</f>
        <v>0</v>
      </c>
      <c r="G2576" s="27">
        <f>IF(OR($B2576="",$C2576=""),"",$C2576*$F2576)</f>
        <v>0</v>
      </c>
      <c r="H2576" s="27">
        <f>IF(OR($B2576="",$C2576=""),"",$C2576*IFERROR(INDEX(PecCusto,MATCH($B2576,PecCod,0)),0))</f>
        <v>0</v>
      </c>
      <c r="I2576" s="32">
        <f>IF($A2576="","",IFERROR(INDEX(OSStatus,MATCH($A2576,OSNum,0)),"OS inexistente"))</f>
        <v>0</v>
      </c>
      <c r="J2576" s="32">
        <f>IF($A2576="","",IF($I2576="OS inexistente","OS inexistente",IF($E2576="Peça não cadastrada","Peça não cadastrada","OK")))</f>
        <v>0</v>
      </c>
    </row>
    <row r="2577" spans="1:10">
      <c r="A2577" s="17"/>
      <c r="B2577" s="13"/>
      <c r="C2577" s="20"/>
      <c r="D2577" s="19"/>
      <c r="E2577" s="26">
        <f>IF($B2577="","",IFERROR(INDEX(PecDesc,MATCH($B2577,PecCod,0)),"Peça não cadastrada"))</f>
        <v>0</v>
      </c>
      <c r="F2577" s="27">
        <f>IF($B2577="","",IF($D2577&lt;&gt;"",$D2577,IFERROR(INDEX(PecPreco,MATCH($B2577,PecCod,0)),0)))</f>
        <v>0</v>
      </c>
      <c r="G2577" s="27">
        <f>IF(OR($B2577="",$C2577=""),"",$C2577*$F2577)</f>
        <v>0</v>
      </c>
      <c r="H2577" s="27">
        <f>IF(OR($B2577="",$C2577=""),"",$C2577*IFERROR(INDEX(PecCusto,MATCH($B2577,PecCod,0)),0))</f>
        <v>0</v>
      </c>
      <c r="I2577" s="32">
        <f>IF($A2577="","",IFERROR(INDEX(OSStatus,MATCH($A2577,OSNum,0)),"OS inexistente"))</f>
        <v>0</v>
      </c>
      <c r="J2577" s="32">
        <f>IF($A2577="","",IF($I2577="OS inexistente","OS inexistente",IF($E2577="Peça não cadastrada","Peça não cadastrada","OK")))</f>
        <v>0</v>
      </c>
    </row>
    <row r="2578" spans="1:10">
      <c r="A2578" s="17"/>
      <c r="B2578" s="13"/>
      <c r="C2578" s="20"/>
      <c r="D2578" s="19"/>
      <c r="E2578" s="26">
        <f>IF($B2578="","",IFERROR(INDEX(PecDesc,MATCH($B2578,PecCod,0)),"Peça não cadastrada"))</f>
        <v>0</v>
      </c>
      <c r="F2578" s="27">
        <f>IF($B2578="","",IF($D2578&lt;&gt;"",$D2578,IFERROR(INDEX(PecPreco,MATCH($B2578,PecCod,0)),0)))</f>
        <v>0</v>
      </c>
      <c r="G2578" s="27">
        <f>IF(OR($B2578="",$C2578=""),"",$C2578*$F2578)</f>
        <v>0</v>
      </c>
      <c r="H2578" s="27">
        <f>IF(OR($B2578="",$C2578=""),"",$C2578*IFERROR(INDEX(PecCusto,MATCH($B2578,PecCod,0)),0))</f>
        <v>0</v>
      </c>
      <c r="I2578" s="32">
        <f>IF($A2578="","",IFERROR(INDEX(OSStatus,MATCH($A2578,OSNum,0)),"OS inexistente"))</f>
        <v>0</v>
      </c>
      <c r="J2578" s="32">
        <f>IF($A2578="","",IF($I2578="OS inexistente","OS inexistente",IF($E2578="Peça não cadastrada","Peça não cadastrada","OK")))</f>
        <v>0</v>
      </c>
    </row>
    <row r="2579" spans="1:10">
      <c r="A2579" s="17"/>
      <c r="B2579" s="13"/>
      <c r="C2579" s="20"/>
      <c r="D2579" s="19"/>
      <c r="E2579" s="26">
        <f>IF($B2579="","",IFERROR(INDEX(PecDesc,MATCH($B2579,PecCod,0)),"Peça não cadastrada"))</f>
        <v>0</v>
      </c>
      <c r="F2579" s="27">
        <f>IF($B2579="","",IF($D2579&lt;&gt;"",$D2579,IFERROR(INDEX(PecPreco,MATCH($B2579,PecCod,0)),0)))</f>
        <v>0</v>
      </c>
      <c r="G2579" s="27">
        <f>IF(OR($B2579="",$C2579=""),"",$C2579*$F2579)</f>
        <v>0</v>
      </c>
      <c r="H2579" s="27">
        <f>IF(OR($B2579="",$C2579=""),"",$C2579*IFERROR(INDEX(PecCusto,MATCH($B2579,PecCod,0)),0))</f>
        <v>0</v>
      </c>
      <c r="I2579" s="32">
        <f>IF($A2579="","",IFERROR(INDEX(OSStatus,MATCH($A2579,OSNum,0)),"OS inexistente"))</f>
        <v>0</v>
      </c>
      <c r="J2579" s="32">
        <f>IF($A2579="","",IF($I2579="OS inexistente","OS inexistente",IF($E2579="Peça não cadastrada","Peça não cadastrada","OK")))</f>
        <v>0</v>
      </c>
    </row>
    <row r="2580" spans="1:10">
      <c r="A2580" s="17"/>
      <c r="B2580" s="13"/>
      <c r="C2580" s="20"/>
      <c r="D2580" s="19"/>
      <c r="E2580" s="26">
        <f>IF($B2580="","",IFERROR(INDEX(PecDesc,MATCH($B2580,PecCod,0)),"Peça não cadastrada"))</f>
        <v>0</v>
      </c>
      <c r="F2580" s="27">
        <f>IF($B2580="","",IF($D2580&lt;&gt;"",$D2580,IFERROR(INDEX(PecPreco,MATCH($B2580,PecCod,0)),0)))</f>
        <v>0</v>
      </c>
      <c r="G2580" s="27">
        <f>IF(OR($B2580="",$C2580=""),"",$C2580*$F2580)</f>
        <v>0</v>
      </c>
      <c r="H2580" s="27">
        <f>IF(OR($B2580="",$C2580=""),"",$C2580*IFERROR(INDEX(PecCusto,MATCH($B2580,PecCod,0)),0))</f>
        <v>0</v>
      </c>
      <c r="I2580" s="32">
        <f>IF($A2580="","",IFERROR(INDEX(OSStatus,MATCH($A2580,OSNum,0)),"OS inexistente"))</f>
        <v>0</v>
      </c>
      <c r="J2580" s="32">
        <f>IF($A2580="","",IF($I2580="OS inexistente","OS inexistente",IF($E2580="Peça não cadastrada","Peça não cadastrada","OK")))</f>
        <v>0</v>
      </c>
    </row>
    <row r="2581" spans="1:10">
      <c r="A2581" s="17"/>
      <c r="B2581" s="13"/>
      <c r="C2581" s="20"/>
      <c r="D2581" s="19"/>
      <c r="E2581" s="26">
        <f>IF($B2581="","",IFERROR(INDEX(PecDesc,MATCH($B2581,PecCod,0)),"Peça não cadastrada"))</f>
        <v>0</v>
      </c>
      <c r="F2581" s="27">
        <f>IF($B2581="","",IF($D2581&lt;&gt;"",$D2581,IFERROR(INDEX(PecPreco,MATCH($B2581,PecCod,0)),0)))</f>
        <v>0</v>
      </c>
      <c r="G2581" s="27">
        <f>IF(OR($B2581="",$C2581=""),"",$C2581*$F2581)</f>
        <v>0</v>
      </c>
      <c r="H2581" s="27">
        <f>IF(OR($B2581="",$C2581=""),"",$C2581*IFERROR(INDEX(PecCusto,MATCH($B2581,PecCod,0)),0))</f>
        <v>0</v>
      </c>
      <c r="I2581" s="32">
        <f>IF($A2581="","",IFERROR(INDEX(OSStatus,MATCH($A2581,OSNum,0)),"OS inexistente"))</f>
        <v>0</v>
      </c>
      <c r="J2581" s="32">
        <f>IF($A2581="","",IF($I2581="OS inexistente","OS inexistente",IF($E2581="Peça não cadastrada","Peça não cadastrada","OK")))</f>
        <v>0</v>
      </c>
    </row>
    <row r="2582" spans="1:10">
      <c r="A2582" s="17"/>
      <c r="B2582" s="13"/>
      <c r="C2582" s="20"/>
      <c r="D2582" s="19"/>
      <c r="E2582" s="26">
        <f>IF($B2582="","",IFERROR(INDEX(PecDesc,MATCH($B2582,PecCod,0)),"Peça não cadastrada"))</f>
        <v>0</v>
      </c>
      <c r="F2582" s="27">
        <f>IF($B2582="","",IF($D2582&lt;&gt;"",$D2582,IFERROR(INDEX(PecPreco,MATCH($B2582,PecCod,0)),0)))</f>
        <v>0</v>
      </c>
      <c r="G2582" s="27">
        <f>IF(OR($B2582="",$C2582=""),"",$C2582*$F2582)</f>
        <v>0</v>
      </c>
      <c r="H2582" s="27">
        <f>IF(OR($B2582="",$C2582=""),"",$C2582*IFERROR(INDEX(PecCusto,MATCH($B2582,PecCod,0)),0))</f>
        <v>0</v>
      </c>
      <c r="I2582" s="32">
        <f>IF($A2582="","",IFERROR(INDEX(OSStatus,MATCH($A2582,OSNum,0)),"OS inexistente"))</f>
        <v>0</v>
      </c>
      <c r="J2582" s="32">
        <f>IF($A2582="","",IF($I2582="OS inexistente","OS inexistente",IF($E2582="Peça não cadastrada","Peça não cadastrada","OK")))</f>
        <v>0</v>
      </c>
    </row>
    <row r="2583" spans="1:10">
      <c r="A2583" s="17"/>
      <c r="B2583" s="13"/>
      <c r="C2583" s="20"/>
      <c r="D2583" s="19"/>
      <c r="E2583" s="26">
        <f>IF($B2583="","",IFERROR(INDEX(PecDesc,MATCH($B2583,PecCod,0)),"Peça não cadastrada"))</f>
        <v>0</v>
      </c>
      <c r="F2583" s="27">
        <f>IF($B2583="","",IF($D2583&lt;&gt;"",$D2583,IFERROR(INDEX(PecPreco,MATCH($B2583,PecCod,0)),0)))</f>
        <v>0</v>
      </c>
      <c r="G2583" s="27">
        <f>IF(OR($B2583="",$C2583=""),"",$C2583*$F2583)</f>
        <v>0</v>
      </c>
      <c r="H2583" s="27">
        <f>IF(OR($B2583="",$C2583=""),"",$C2583*IFERROR(INDEX(PecCusto,MATCH($B2583,PecCod,0)),0))</f>
        <v>0</v>
      </c>
      <c r="I2583" s="32">
        <f>IF($A2583="","",IFERROR(INDEX(OSStatus,MATCH($A2583,OSNum,0)),"OS inexistente"))</f>
        <v>0</v>
      </c>
      <c r="J2583" s="32">
        <f>IF($A2583="","",IF($I2583="OS inexistente","OS inexistente",IF($E2583="Peça não cadastrada","Peça não cadastrada","OK")))</f>
        <v>0</v>
      </c>
    </row>
    <row r="2584" spans="1:10">
      <c r="A2584" s="17"/>
      <c r="B2584" s="13"/>
      <c r="C2584" s="20"/>
      <c r="D2584" s="19"/>
      <c r="E2584" s="26">
        <f>IF($B2584="","",IFERROR(INDEX(PecDesc,MATCH($B2584,PecCod,0)),"Peça não cadastrada"))</f>
        <v>0</v>
      </c>
      <c r="F2584" s="27">
        <f>IF($B2584="","",IF($D2584&lt;&gt;"",$D2584,IFERROR(INDEX(PecPreco,MATCH($B2584,PecCod,0)),0)))</f>
        <v>0</v>
      </c>
      <c r="G2584" s="27">
        <f>IF(OR($B2584="",$C2584=""),"",$C2584*$F2584)</f>
        <v>0</v>
      </c>
      <c r="H2584" s="27">
        <f>IF(OR($B2584="",$C2584=""),"",$C2584*IFERROR(INDEX(PecCusto,MATCH($B2584,PecCod,0)),0))</f>
        <v>0</v>
      </c>
      <c r="I2584" s="32">
        <f>IF($A2584="","",IFERROR(INDEX(OSStatus,MATCH($A2584,OSNum,0)),"OS inexistente"))</f>
        <v>0</v>
      </c>
      <c r="J2584" s="32">
        <f>IF($A2584="","",IF($I2584="OS inexistente","OS inexistente",IF($E2584="Peça não cadastrada","Peça não cadastrada","OK")))</f>
        <v>0</v>
      </c>
    </row>
    <row r="2585" spans="1:10">
      <c r="A2585" s="17"/>
      <c r="B2585" s="13"/>
      <c r="C2585" s="20"/>
      <c r="D2585" s="19"/>
      <c r="E2585" s="26">
        <f>IF($B2585="","",IFERROR(INDEX(PecDesc,MATCH($B2585,PecCod,0)),"Peça não cadastrada"))</f>
        <v>0</v>
      </c>
      <c r="F2585" s="27">
        <f>IF($B2585="","",IF($D2585&lt;&gt;"",$D2585,IFERROR(INDEX(PecPreco,MATCH($B2585,PecCod,0)),0)))</f>
        <v>0</v>
      </c>
      <c r="G2585" s="27">
        <f>IF(OR($B2585="",$C2585=""),"",$C2585*$F2585)</f>
        <v>0</v>
      </c>
      <c r="H2585" s="27">
        <f>IF(OR($B2585="",$C2585=""),"",$C2585*IFERROR(INDEX(PecCusto,MATCH($B2585,PecCod,0)),0))</f>
        <v>0</v>
      </c>
      <c r="I2585" s="32">
        <f>IF($A2585="","",IFERROR(INDEX(OSStatus,MATCH($A2585,OSNum,0)),"OS inexistente"))</f>
        <v>0</v>
      </c>
      <c r="J2585" s="32">
        <f>IF($A2585="","",IF($I2585="OS inexistente","OS inexistente",IF($E2585="Peça não cadastrada","Peça não cadastrada","OK")))</f>
        <v>0</v>
      </c>
    </row>
    <row r="2586" spans="1:10">
      <c r="A2586" s="17"/>
      <c r="B2586" s="13"/>
      <c r="C2586" s="20"/>
      <c r="D2586" s="19"/>
      <c r="E2586" s="26">
        <f>IF($B2586="","",IFERROR(INDEX(PecDesc,MATCH($B2586,PecCod,0)),"Peça não cadastrada"))</f>
        <v>0</v>
      </c>
      <c r="F2586" s="27">
        <f>IF($B2586="","",IF($D2586&lt;&gt;"",$D2586,IFERROR(INDEX(PecPreco,MATCH($B2586,PecCod,0)),0)))</f>
        <v>0</v>
      </c>
      <c r="G2586" s="27">
        <f>IF(OR($B2586="",$C2586=""),"",$C2586*$F2586)</f>
        <v>0</v>
      </c>
      <c r="H2586" s="27">
        <f>IF(OR($B2586="",$C2586=""),"",$C2586*IFERROR(INDEX(PecCusto,MATCH($B2586,PecCod,0)),0))</f>
        <v>0</v>
      </c>
      <c r="I2586" s="32">
        <f>IF($A2586="","",IFERROR(INDEX(OSStatus,MATCH($A2586,OSNum,0)),"OS inexistente"))</f>
        <v>0</v>
      </c>
      <c r="J2586" s="32">
        <f>IF($A2586="","",IF($I2586="OS inexistente","OS inexistente",IF($E2586="Peça não cadastrada","Peça não cadastrada","OK")))</f>
        <v>0</v>
      </c>
    </row>
    <row r="2587" spans="1:10">
      <c r="A2587" s="17"/>
      <c r="B2587" s="13"/>
      <c r="C2587" s="20"/>
      <c r="D2587" s="19"/>
      <c r="E2587" s="26">
        <f>IF($B2587="","",IFERROR(INDEX(PecDesc,MATCH($B2587,PecCod,0)),"Peça não cadastrada"))</f>
        <v>0</v>
      </c>
      <c r="F2587" s="27">
        <f>IF($B2587="","",IF($D2587&lt;&gt;"",$D2587,IFERROR(INDEX(PecPreco,MATCH($B2587,PecCod,0)),0)))</f>
        <v>0</v>
      </c>
      <c r="G2587" s="27">
        <f>IF(OR($B2587="",$C2587=""),"",$C2587*$F2587)</f>
        <v>0</v>
      </c>
      <c r="H2587" s="27">
        <f>IF(OR($B2587="",$C2587=""),"",$C2587*IFERROR(INDEX(PecCusto,MATCH($B2587,PecCod,0)),0))</f>
        <v>0</v>
      </c>
      <c r="I2587" s="32">
        <f>IF($A2587="","",IFERROR(INDEX(OSStatus,MATCH($A2587,OSNum,0)),"OS inexistente"))</f>
        <v>0</v>
      </c>
      <c r="J2587" s="32">
        <f>IF($A2587="","",IF($I2587="OS inexistente","OS inexistente",IF($E2587="Peça não cadastrada","Peça não cadastrada","OK")))</f>
        <v>0</v>
      </c>
    </row>
    <row r="2588" spans="1:10">
      <c r="A2588" s="17"/>
      <c r="B2588" s="13"/>
      <c r="C2588" s="20"/>
      <c r="D2588" s="19"/>
      <c r="E2588" s="26">
        <f>IF($B2588="","",IFERROR(INDEX(PecDesc,MATCH($B2588,PecCod,0)),"Peça não cadastrada"))</f>
        <v>0</v>
      </c>
      <c r="F2588" s="27">
        <f>IF($B2588="","",IF($D2588&lt;&gt;"",$D2588,IFERROR(INDEX(PecPreco,MATCH($B2588,PecCod,0)),0)))</f>
        <v>0</v>
      </c>
      <c r="G2588" s="27">
        <f>IF(OR($B2588="",$C2588=""),"",$C2588*$F2588)</f>
        <v>0</v>
      </c>
      <c r="H2588" s="27">
        <f>IF(OR($B2588="",$C2588=""),"",$C2588*IFERROR(INDEX(PecCusto,MATCH($B2588,PecCod,0)),0))</f>
        <v>0</v>
      </c>
      <c r="I2588" s="32">
        <f>IF($A2588="","",IFERROR(INDEX(OSStatus,MATCH($A2588,OSNum,0)),"OS inexistente"))</f>
        <v>0</v>
      </c>
      <c r="J2588" s="32">
        <f>IF($A2588="","",IF($I2588="OS inexistente","OS inexistente",IF($E2588="Peça não cadastrada","Peça não cadastrada","OK")))</f>
        <v>0</v>
      </c>
    </row>
    <row r="2589" spans="1:10">
      <c r="A2589" s="17"/>
      <c r="B2589" s="13"/>
      <c r="C2589" s="20"/>
      <c r="D2589" s="19"/>
      <c r="E2589" s="26">
        <f>IF($B2589="","",IFERROR(INDEX(PecDesc,MATCH($B2589,PecCod,0)),"Peça não cadastrada"))</f>
        <v>0</v>
      </c>
      <c r="F2589" s="27">
        <f>IF($B2589="","",IF($D2589&lt;&gt;"",$D2589,IFERROR(INDEX(PecPreco,MATCH($B2589,PecCod,0)),0)))</f>
        <v>0</v>
      </c>
      <c r="G2589" s="27">
        <f>IF(OR($B2589="",$C2589=""),"",$C2589*$F2589)</f>
        <v>0</v>
      </c>
      <c r="H2589" s="27">
        <f>IF(OR($B2589="",$C2589=""),"",$C2589*IFERROR(INDEX(PecCusto,MATCH($B2589,PecCod,0)),0))</f>
        <v>0</v>
      </c>
      <c r="I2589" s="32">
        <f>IF($A2589="","",IFERROR(INDEX(OSStatus,MATCH($A2589,OSNum,0)),"OS inexistente"))</f>
        <v>0</v>
      </c>
      <c r="J2589" s="32">
        <f>IF($A2589="","",IF($I2589="OS inexistente","OS inexistente",IF($E2589="Peça não cadastrada","Peça não cadastrada","OK")))</f>
        <v>0</v>
      </c>
    </row>
    <row r="2590" spans="1:10">
      <c r="A2590" s="17"/>
      <c r="B2590" s="13"/>
      <c r="C2590" s="20"/>
      <c r="D2590" s="19"/>
      <c r="E2590" s="26">
        <f>IF($B2590="","",IFERROR(INDEX(PecDesc,MATCH($B2590,PecCod,0)),"Peça não cadastrada"))</f>
        <v>0</v>
      </c>
      <c r="F2590" s="27">
        <f>IF($B2590="","",IF($D2590&lt;&gt;"",$D2590,IFERROR(INDEX(PecPreco,MATCH($B2590,PecCod,0)),0)))</f>
        <v>0</v>
      </c>
      <c r="G2590" s="27">
        <f>IF(OR($B2590="",$C2590=""),"",$C2590*$F2590)</f>
        <v>0</v>
      </c>
      <c r="H2590" s="27">
        <f>IF(OR($B2590="",$C2590=""),"",$C2590*IFERROR(INDEX(PecCusto,MATCH($B2590,PecCod,0)),0))</f>
        <v>0</v>
      </c>
      <c r="I2590" s="32">
        <f>IF($A2590="","",IFERROR(INDEX(OSStatus,MATCH($A2590,OSNum,0)),"OS inexistente"))</f>
        <v>0</v>
      </c>
      <c r="J2590" s="32">
        <f>IF($A2590="","",IF($I2590="OS inexistente","OS inexistente",IF($E2590="Peça não cadastrada","Peça não cadastrada","OK")))</f>
        <v>0</v>
      </c>
    </row>
    <row r="2591" spans="1:10">
      <c r="A2591" s="17"/>
      <c r="B2591" s="13"/>
      <c r="C2591" s="20"/>
      <c r="D2591" s="19"/>
      <c r="E2591" s="26">
        <f>IF($B2591="","",IFERROR(INDEX(PecDesc,MATCH($B2591,PecCod,0)),"Peça não cadastrada"))</f>
        <v>0</v>
      </c>
      <c r="F2591" s="27">
        <f>IF($B2591="","",IF($D2591&lt;&gt;"",$D2591,IFERROR(INDEX(PecPreco,MATCH($B2591,PecCod,0)),0)))</f>
        <v>0</v>
      </c>
      <c r="G2591" s="27">
        <f>IF(OR($B2591="",$C2591=""),"",$C2591*$F2591)</f>
        <v>0</v>
      </c>
      <c r="H2591" s="27">
        <f>IF(OR($B2591="",$C2591=""),"",$C2591*IFERROR(INDEX(PecCusto,MATCH($B2591,PecCod,0)),0))</f>
        <v>0</v>
      </c>
      <c r="I2591" s="32">
        <f>IF($A2591="","",IFERROR(INDEX(OSStatus,MATCH($A2591,OSNum,0)),"OS inexistente"))</f>
        <v>0</v>
      </c>
      <c r="J2591" s="32">
        <f>IF($A2591="","",IF($I2591="OS inexistente","OS inexistente",IF($E2591="Peça não cadastrada","Peça não cadastrada","OK")))</f>
        <v>0</v>
      </c>
    </row>
    <row r="2592" spans="1:10">
      <c r="A2592" s="17"/>
      <c r="B2592" s="13"/>
      <c r="C2592" s="20"/>
      <c r="D2592" s="19"/>
      <c r="E2592" s="26">
        <f>IF($B2592="","",IFERROR(INDEX(PecDesc,MATCH($B2592,PecCod,0)),"Peça não cadastrada"))</f>
        <v>0</v>
      </c>
      <c r="F2592" s="27">
        <f>IF($B2592="","",IF($D2592&lt;&gt;"",$D2592,IFERROR(INDEX(PecPreco,MATCH($B2592,PecCod,0)),0)))</f>
        <v>0</v>
      </c>
      <c r="G2592" s="27">
        <f>IF(OR($B2592="",$C2592=""),"",$C2592*$F2592)</f>
        <v>0</v>
      </c>
      <c r="H2592" s="27">
        <f>IF(OR($B2592="",$C2592=""),"",$C2592*IFERROR(INDEX(PecCusto,MATCH($B2592,PecCod,0)),0))</f>
        <v>0</v>
      </c>
      <c r="I2592" s="32">
        <f>IF($A2592="","",IFERROR(INDEX(OSStatus,MATCH($A2592,OSNum,0)),"OS inexistente"))</f>
        <v>0</v>
      </c>
      <c r="J2592" s="32">
        <f>IF($A2592="","",IF($I2592="OS inexistente","OS inexistente",IF($E2592="Peça não cadastrada","Peça não cadastrada","OK")))</f>
        <v>0</v>
      </c>
    </row>
    <row r="2593" spans="1:10">
      <c r="A2593" s="17"/>
      <c r="B2593" s="13"/>
      <c r="C2593" s="20"/>
      <c r="D2593" s="19"/>
      <c r="E2593" s="26">
        <f>IF($B2593="","",IFERROR(INDEX(PecDesc,MATCH($B2593,PecCod,0)),"Peça não cadastrada"))</f>
        <v>0</v>
      </c>
      <c r="F2593" s="27">
        <f>IF($B2593="","",IF($D2593&lt;&gt;"",$D2593,IFERROR(INDEX(PecPreco,MATCH($B2593,PecCod,0)),0)))</f>
        <v>0</v>
      </c>
      <c r="G2593" s="27">
        <f>IF(OR($B2593="",$C2593=""),"",$C2593*$F2593)</f>
        <v>0</v>
      </c>
      <c r="H2593" s="27">
        <f>IF(OR($B2593="",$C2593=""),"",$C2593*IFERROR(INDEX(PecCusto,MATCH($B2593,PecCod,0)),0))</f>
        <v>0</v>
      </c>
      <c r="I2593" s="32">
        <f>IF($A2593="","",IFERROR(INDEX(OSStatus,MATCH($A2593,OSNum,0)),"OS inexistente"))</f>
        <v>0</v>
      </c>
      <c r="J2593" s="32">
        <f>IF($A2593="","",IF($I2593="OS inexistente","OS inexistente",IF($E2593="Peça não cadastrada","Peça não cadastrada","OK")))</f>
        <v>0</v>
      </c>
    </row>
    <row r="2594" spans="1:10">
      <c r="A2594" s="17"/>
      <c r="B2594" s="13"/>
      <c r="C2594" s="20"/>
      <c r="D2594" s="19"/>
      <c r="E2594" s="26">
        <f>IF($B2594="","",IFERROR(INDEX(PecDesc,MATCH($B2594,PecCod,0)),"Peça não cadastrada"))</f>
        <v>0</v>
      </c>
      <c r="F2594" s="27">
        <f>IF($B2594="","",IF($D2594&lt;&gt;"",$D2594,IFERROR(INDEX(PecPreco,MATCH($B2594,PecCod,0)),0)))</f>
        <v>0</v>
      </c>
      <c r="G2594" s="27">
        <f>IF(OR($B2594="",$C2594=""),"",$C2594*$F2594)</f>
        <v>0</v>
      </c>
      <c r="H2594" s="27">
        <f>IF(OR($B2594="",$C2594=""),"",$C2594*IFERROR(INDEX(PecCusto,MATCH($B2594,PecCod,0)),0))</f>
        <v>0</v>
      </c>
      <c r="I2594" s="32">
        <f>IF($A2594="","",IFERROR(INDEX(OSStatus,MATCH($A2594,OSNum,0)),"OS inexistente"))</f>
        <v>0</v>
      </c>
      <c r="J2594" s="32">
        <f>IF($A2594="","",IF($I2594="OS inexistente","OS inexistente",IF($E2594="Peça não cadastrada","Peça não cadastrada","OK")))</f>
        <v>0</v>
      </c>
    </row>
    <row r="2595" spans="1:10">
      <c r="A2595" s="17"/>
      <c r="B2595" s="13"/>
      <c r="C2595" s="20"/>
      <c r="D2595" s="19"/>
      <c r="E2595" s="26">
        <f>IF($B2595="","",IFERROR(INDEX(PecDesc,MATCH($B2595,PecCod,0)),"Peça não cadastrada"))</f>
        <v>0</v>
      </c>
      <c r="F2595" s="27">
        <f>IF($B2595="","",IF($D2595&lt;&gt;"",$D2595,IFERROR(INDEX(PecPreco,MATCH($B2595,PecCod,0)),0)))</f>
        <v>0</v>
      </c>
      <c r="G2595" s="27">
        <f>IF(OR($B2595="",$C2595=""),"",$C2595*$F2595)</f>
        <v>0</v>
      </c>
      <c r="H2595" s="27">
        <f>IF(OR($B2595="",$C2595=""),"",$C2595*IFERROR(INDEX(PecCusto,MATCH($B2595,PecCod,0)),0))</f>
        <v>0</v>
      </c>
      <c r="I2595" s="32">
        <f>IF($A2595="","",IFERROR(INDEX(OSStatus,MATCH($A2595,OSNum,0)),"OS inexistente"))</f>
        <v>0</v>
      </c>
      <c r="J2595" s="32">
        <f>IF($A2595="","",IF($I2595="OS inexistente","OS inexistente",IF($E2595="Peça não cadastrada","Peça não cadastrada","OK")))</f>
        <v>0</v>
      </c>
    </row>
    <row r="2596" spans="1:10">
      <c r="A2596" s="17"/>
      <c r="B2596" s="13"/>
      <c r="C2596" s="20"/>
      <c r="D2596" s="19"/>
      <c r="E2596" s="26">
        <f>IF($B2596="","",IFERROR(INDEX(PecDesc,MATCH($B2596,PecCod,0)),"Peça não cadastrada"))</f>
        <v>0</v>
      </c>
      <c r="F2596" s="27">
        <f>IF($B2596="","",IF($D2596&lt;&gt;"",$D2596,IFERROR(INDEX(PecPreco,MATCH($B2596,PecCod,0)),0)))</f>
        <v>0</v>
      </c>
      <c r="G2596" s="27">
        <f>IF(OR($B2596="",$C2596=""),"",$C2596*$F2596)</f>
        <v>0</v>
      </c>
      <c r="H2596" s="27">
        <f>IF(OR($B2596="",$C2596=""),"",$C2596*IFERROR(INDEX(PecCusto,MATCH($B2596,PecCod,0)),0))</f>
        <v>0</v>
      </c>
      <c r="I2596" s="32">
        <f>IF($A2596="","",IFERROR(INDEX(OSStatus,MATCH($A2596,OSNum,0)),"OS inexistente"))</f>
        <v>0</v>
      </c>
      <c r="J2596" s="32">
        <f>IF($A2596="","",IF($I2596="OS inexistente","OS inexistente",IF($E2596="Peça não cadastrada","Peça não cadastrada","OK")))</f>
        <v>0</v>
      </c>
    </row>
    <row r="2597" spans="1:10">
      <c r="A2597" s="17"/>
      <c r="B2597" s="13"/>
      <c r="C2597" s="20"/>
      <c r="D2597" s="19"/>
      <c r="E2597" s="26">
        <f>IF($B2597="","",IFERROR(INDEX(PecDesc,MATCH($B2597,PecCod,0)),"Peça não cadastrada"))</f>
        <v>0</v>
      </c>
      <c r="F2597" s="27">
        <f>IF($B2597="","",IF($D2597&lt;&gt;"",$D2597,IFERROR(INDEX(PecPreco,MATCH($B2597,PecCod,0)),0)))</f>
        <v>0</v>
      </c>
      <c r="G2597" s="27">
        <f>IF(OR($B2597="",$C2597=""),"",$C2597*$F2597)</f>
        <v>0</v>
      </c>
      <c r="H2597" s="27">
        <f>IF(OR($B2597="",$C2597=""),"",$C2597*IFERROR(INDEX(PecCusto,MATCH($B2597,PecCod,0)),0))</f>
        <v>0</v>
      </c>
      <c r="I2597" s="32">
        <f>IF($A2597="","",IFERROR(INDEX(OSStatus,MATCH($A2597,OSNum,0)),"OS inexistente"))</f>
        <v>0</v>
      </c>
      <c r="J2597" s="32">
        <f>IF($A2597="","",IF($I2597="OS inexistente","OS inexistente",IF($E2597="Peça não cadastrada","Peça não cadastrada","OK")))</f>
        <v>0</v>
      </c>
    </row>
    <row r="2598" spans="1:10">
      <c r="A2598" s="17"/>
      <c r="B2598" s="13"/>
      <c r="C2598" s="20"/>
      <c r="D2598" s="19"/>
      <c r="E2598" s="26">
        <f>IF($B2598="","",IFERROR(INDEX(PecDesc,MATCH($B2598,PecCod,0)),"Peça não cadastrada"))</f>
        <v>0</v>
      </c>
      <c r="F2598" s="27">
        <f>IF($B2598="","",IF($D2598&lt;&gt;"",$D2598,IFERROR(INDEX(PecPreco,MATCH($B2598,PecCod,0)),0)))</f>
        <v>0</v>
      </c>
      <c r="G2598" s="27">
        <f>IF(OR($B2598="",$C2598=""),"",$C2598*$F2598)</f>
        <v>0</v>
      </c>
      <c r="H2598" s="27">
        <f>IF(OR($B2598="",$C2598=""),"",$C2598*IFERROR(INDEX(PecCusto,MATCH($B2598,PecCod,0)),0))</f>
        <v>0</v>
      </c>
      <c r="I2598" s="32">
        <f>IF($A2598="","",IFERROR(INDEX(OSStatus,MATCH($A2598,OSNum,0)),"OS inexistente"))</f>
        <v>0</v>
      </c>
      <c r="J2598" s="32">
        <f>IF($A2598="","",IF($I2598="OS inexistente","OS inexistente",IF($E2598="Peça não cadastrada","Peça não cadastrada","OK")))</f>
        <v>0</v>
      </c>
    </row>
    <row r="2599" spans="1:10">
      <c r="A2599" s="17"/>
      <c r="B2599" s="13"/>
      <c r="C2599" s="20"/>
      <c r="D2599" s="19"/>
      <c r="E2599" s="26">
        <f>IF($B2599="","",IFERROR(INDEX(PecDesc,MATCH($B2599,PecCod,0)),"Peça não cadastrada"))</f>
        <v>0</v>
      </c>
      <c r="F2599" s="27">
        <f>IF($B2599="","",IF($D2599&lt;&gt;"",$D2599,IFERROR(INDEX(PecPreco,MATCH($B2599,PecCod,0)),0)))</f>
        <v>0</v>
      </c>
      <c r="G2599" s="27">
        <f>IF(OR($B2599="",$C2599=""),"",$C2599*$F2599)</f>
        <v>0</v>
      </c>
      <c r="H2599" s="27">
        <f>IF(OR($B2599="",$C2599=""),"",$C2599*IFERROR(INDEX(PecCusto,MATCH($B2599,PecCod,0)),0))</f>
        <v>0</v>
      </c>
      <c r="I2599" s="32">
        <f>IF($A2599="","",IFERROR(INDEX(OSStatus,MATCH($A2599,OSNum,0)),"OS inexistente"))</f>
        <v>0</v>
      </c>
      <c r="J2599" s="32">
        <f>IF($A2599="","",IF($I2599="OS inexistente","OS inexistente",IF($E2599="Peça não cadastrada","Peça não cadastrada","OK")))</f>
        <v>0</v>
      </c>
    </row>
    <row r="2600" spans="1:10">
      <c r="A2600" s="17"/>
      <c r="B2600" s="13"/>
      <c r="C2600" s="20"/>
      <c r="D2600" s="19"/>
      <c r="E2600" s="26">
        <f>IF($B2600="","",IFERROR(INDEX(PecDesc,MATCH($B2600,PecCod,0)),"Peça não cadastrada"))</f>
        <v>0</v>
      </c>
      <c r="F2600" s="27">
        <f>IF($B2600="","",IF($D2600&lt;&gt;"",$D2600,IFERROR(INDEX(PecPreco,MATCH($B2600,PecCod,0)),0)))</f>
        <v>0</v>
      </c>
      <c r="G2600" s="27">
        <f>IF(OR($B2600="",$C2600=""),"",$C2600*$F2600)</f>
        <v>0</v>
      </c>
      <c r="H2600" s="27">
        <f>IF(OR($B2600="",$C2600=""),"",$C2600*IFERROR(INDEX(PecCusto,MATCH($B2600,PecCod,0)),0))</f>
        <v>0</v>
      </c>
      <c r="I2600" s="32">
        <f>IF($A2600="","",IFERROR(INDEX(OSStatus,MATCH($A2600,OSNum,0)),"OS inexistente"))</f>
        <v>0</v>
      </c>
      <c r="J2600" s="32">
        <f>IF($A2600="","",IF($I2600="OS inexistente","OS inexistente",IF($E2600="Peça não cadastrada","Peça não cadastrada","OK")))</f>
        <v>0</v>
      </c>
    </row>
    <row r="2601" spans="1:10">
      <c r="A2601" s="17"/>
      <c r="B2601" s="13"/>
      <c r="C2601" s="20"/>
      <c r="D2601" s="19"/>
      <c r="E2601" s="26">
        <f>IF($B2601="","",IFERROR(INDEX(PecDesc,MATCH($B2601,PecCod,0)),"Peça não cadastrada"))</f>
        <v>0</v>
      </c>
      <c r="F2601" s="27">
        <f>IF($B2601="","",IF($D2601&lt;&gt;"",$D2601,IFERROR(INDEX(PecPreco,MATCH($B2601,PecCod,0)),0)))</f>
        <v>0</v>
      </c>
      <c r="G2601" s="27">
        <f>IF(OR($B2601="",$C2601=""),"",$C2601*$F2601)</f>
        <v>0</v>
      </c>
      <c r="H2601" s="27">
        <f>IF(OR($B2601="",$C2601=""),"",$C2601*IFERROR(INDEX(PecCusto,MATCH($B2601,PecCod,0)),0))</f>
        <v>0</v>
      </c>
      <c r="I2601" s="32">
        <f>IF($A2601="","",IFERROR(INDEX(OSStatus,MATCH($A2601,OSNum,0)),"OS inexistente"))</f>
        <v>0</v>
      </c>
      <c r="J2601" s="32">
        <f>IF($A2601="","",IF($I2601="OS inexistente","OS inexistente",IF($E2601="Peça não cadastrada","Peça não cadastrada","OK")))</f>
        <v>0</v>
      </c>
    </row>
    <row r="2602" spans="1:10">
      <c r="A2602" s="17"/>
      <c r="B2602" s="13"/>
      <c r="C2602" s="20"/>
      <c r="D2602" s="19"/>
      <c r="E2602" s="26">
        <f>IF($B2602="","",IFERROR(INDEX(PecDesc,MATCH($B2602,PecCod,0)),"Peça não cadastrada"))</f>
        <v>0</v>
      </c>
      <c r="F2602" s="27">
        <f>IF($B2602="","",IF($D2602&lt;&gt;"",$D2602,IFERROR(INDEX(PecPreco,MATCH($B2602,PecCod,0)),0)))</f>
        <v>0</v>
      </c>
      <c r="G2602" s="27">
        <f>IF(OR($B2602="",$C2602=""),"",$C2602*$F2602)</f>
        <v>0</v>
      </c>
      <c r="H2602" s="27">
        <f>IF(OR($B2602="",$C2602=""),"",$C2602*IFERROR(INDEX(PecCusto,MATCH($B2602,PecCod,0)),0))</f>
        <v>0</v>
      </c>
      <c r="I2602" s="32">
        <f>IF($A2602="","",IFERROR(INDEX(OSStatus,MATCH($A2602,OSNum,0)),"OS inexistente"))</f>
        <v>0</v>
      </c>
      <c r="J2602" s="32">
        <f>IF($A2602="","",IF($I2602="OS inexistente","OS inexistente",IF($E2602="Peça não cadastrada","Peça não cadastrada","OK")))</f>
        <v>0</v>
      </c>
    </row>
    <row r="2603" spans="1:10">
      <c r="A2603" s="17"/>
      <c r="B2603" s="13"/>
      <c r="C2603" s="20"/>
      <c r="D2603" s="19"/>
      <c r="E2603" s="26">
        <f>IF($B2603="","",IFERROR(INDEX(PecDesc,MATCH($B2603,PecCod,0)),"Peça não cadastrada"))</f>
        <v>0</v>
      </c>
      <c r="F2603" s="27">
        <f>IF($B2603="","",IF($D2603&lt;&gt;"",$D2603,IFERROR(INDEX(PecPreco,MATCH($B2603,PecCod,0)),0)))</f>
        <v>0</v>
      </c>
      <c r="G2603" s="27">
        <f>IF(OR($B2603="",$C2603=""),"",$C2603*$F2603)</f>
        <v>0</v>
      </c>
      <c r="H2603" s="27">
        <f>IF(OR($B2603="",$C2603=""),"",$C2603*IFERROR(INDEX(PecCusto,MATCH($B2603,PecCod,0)),0))</f>
        <v>0</v>
      </c>
      <c r="I2603" s="32">
        <f>IF($A2603="","",IFERROR(INDEX(OSStatus,MATCH($A2603,OSNum,0)),"OS inexistente"))</f>
        <v>0</v>
      </c>
      <c r="J2603" s="32">
        <f>IF($A2603="","",IF($I2603="OS inexistente","OS inexistente",IF($E2603="Peça não cadastrada","Peça não cadastrada","OK")))</f>
        <v>0</v>
      </c>
    </row>
    <row r="2604" spans="1:10">
      <c r="A2604" s="17"/>
      <c r="B2604" s="13"/>
      <c r="C2604" s="20"/>
      <c r="D2604" s="19"/>
      <c r="E2604" s="26">
        <f>IF($B2604="","",IFERROR(INDEX(PecDesc,MATCH($B2604,PecCod,0)),"Peça não cadastrada"))</f>
        <v>0</v>
      </c>
      <c r="F2604" s="27">
        <f>IF($B2604="","",IF($D2604&lt;&gt;"",$D2604,IFERROR(INDEX(PecPreco,MATCH($B2604,PecCod,0)),0)))</f>
        <v>0</v>
      </c>
      <c r="G2604" s="27">
        <f>IF(OR($B2604="",$C2604=""),"",$C2604*$F2604)</f>
        <v>0</v>
      </c>
      <c r="H2604" s="27">
        <f>IF(OR($B2604="",$C2604=""),"",$C2604*IFERROR(INDEX(PecCusto,MATCH($B2604,PecCod,0)),0))</f>
        <v>0</v>
      </c>
      <c r="I2604" s="32">
        <f>IF($A2604="","",IFERROR(INDEX(OSStatus,MATCH($A2604,OSNum,0)),"OS inexistente"))</f>
        <v>0</v>
      </c>
      <c r="J2604" s="32">
        <f>IF($A2604="","",IF($I2604="OS inexistente","OS inexistente",IF($E2604="Peça não cadastrada","Peça não cadastrada","OK")))</f>
        <v>0</v>
      </c>
    </row>
    <row r="2605" spans="1:10">
      <c r="A2605" s="17"/>
      <c r="B2605" s="13"/>
      <c r="C2605" s="20"/>
      <c r="D2605" s="19"/>
      <c r="E2605" s="26">
        <f>IF($B2605="","",IFERROR(INDEX(PecDesc,MATCH($B2605,PecCod,0)),"Peça não cadastrada"))</f>
        <v>0</v>
      </c>
      <c r="F2605" s="27">
        <f>IF($B2605="","",IF($D2605&lt;&gt;"",$D2605,IFERROR(INDEX(PecPreco,MATCH($B2605,PecCod,0)),0)))</f>
        <v>0</v>
      </c>
      <c r="G2605" s="27">
        <f>IF(OR($B2605="",$C2605=""),"",$C2605*$F2605)</f>
        <v>0</v>
      </c>
      <c r="H2605" s="27">
        <f>IF(OR($B2605="",$C2605=""),"",$C2605*IFERROR(INDEX(PecCusto,MATCH($B2605,PecCod,0)),0))</f>
        <v>0</v>
      </c>
      <c r="I2605" s="32">
        <f>IF($A2605="","",IFERROR(INDEX(OSStatus,MATCH($A2605,OSNum,0)),"OS inexistente"))</f>
        <v>0</v>
      </c>
      <c r="J2605" s="32">
        <f>IF($A2605="","",IF($I2605="OS inexistente","OS inexistente",IF($E2605="Peça não cadastrada","Peça não cadastrada","OK")))</f>
        <v>0</v>
      </c>
    </row>
    <row r="2606" spans="1:10">
      <c r="A2606" s="17"/>
      <c r="B2606" s="13"/>
      <c r="C2606" s="20"/>
      <c r="D2606" s="19"/>
      <c r="E2606" s="26">
        <f>IF($B2606="","",IFERROR(INDEX(PecDesc,MATCH($B2606,PecCod,0)),"Peça não cadastrada"))</f>
        <v>0</v>
      </c>
      <c r="F2606" s="27">
        <f>IF($B2606="","",IF($D2606&lt;&gt;"",$D2606,IFERROR(INDEX(PecPreco,MATCH($B2606,PecCod,0)),0)))</f>
        <v>0</v>
      </c>
      <c r="G2606" s="27">
        <f>IF(OR($B2606="",$C2606=""),"",$C2606*$F2606)</f>
        <v>0</v>
      </c>
      <c r="H2606" s="27">
        <f>IF(OR($B2606="",$C2606=""),"",$C2606*IFERROR(INDEX(PecCusto,MATCH($B2606,PecCod,0)),0))</f>
        <v>0</v>
      </c>
      <c r="I2606" s="32">
        <f>IF($A2606="","",IFERROR(INDEX(OSStatus,MATCH($A2606,OSNum,0)),"OS inexistente"))</f>
        <v>0</v>
      </c>
      <c r="J2606" s="32">
        <f>IF($A2606="","",IF($I2606="OS inexistente","OS inexistente",IF($E2606="Peça não cadastrada","Peça não cadastrada","OK")))</f>
        <v>0</v>
      </c>
    </row>
    <row r="2607" spans="1:10">
      <c r="A2607" s="17"/>
      <c r="B2607" s="13"/>
      <c r="C2607" s="20"/>
      <c r="D2607" s="19"/>
      <c r="E2607" s="26">
        <f>IF($B2607="","",IFERROR(INDEX(PecDesc,MATCH($B2607,PecCod,0)),"Peça não cadastrada"))</f>
        <v>0</v>
      </c>
      <c r="F2607" s="27">
        <f>IF($B2607="","",IF($D2607&lt;&gt;"",$D2607,IFERROR(INDEX(PecPreco,MATCH($B2607,PecCod,0)),0)))</f>
        <v>0</v>
      </c>
      <c r="G2607" s="27">
        <f>IF(OR($B2607="",$C2607=""),"",$C2607*$F2607)</f>
        <v>0</v>
      </c>
      <c r="H2607" s="27">
        <f>IF(OR($B2607="",$C2607=""),"",$C2607*IFERROR(INDEX(PecCusto,MATCH($B2607,PecCod,0)),0))</f>
        <v>0</v>
      </c>
      <c r="I2607" s="32">
        <f>IF($A2607="","",IFERROR(INDEX(OSStatus,MATCH($A2607,OSNum,0)),"OS inexistente"))</f>
        <v>0</v>
      </c>
      <c r="J2607" s="32">
        <f>IF($A2607="","",IF($I2607="OS inexistente","OS inexistente",IF($E2607="Peça não cadastrada","Peça não cadastrada","OK")))</f>
        <v>0</v>
      </c>
    </row>
    <row r="2608" spans="1:10">
      <c r="A2608" s="17"/>
      <c r="B2608" s="13"/>
      <c r="C2608" s="20"/>
      <c r="D2608" s="19"/>
      <c r="E2608" s="26">
        <f>IF($B2608="","",IFERROR(INDEX(PecDesc,MATCH($B2608,PecCod,0)),"Peça não cadastrada"))</f>
        <v>0</v>
      </c>
      <c r="F2608" s="27">
        <f>IF($B2608="","",IF($D2608&lt;&gt;"",$D2608,IFERROR(INDEX(PecPreco,MATCH($B2608,PecCod,0)),0)))</f>
        <v>0</v>
      </c>
      <c r="G2608" s="27">
        <f>IF(OR($B2608="",$C2608=""),"",$C2608*$F2608)</f>
        <v>0</v>
      </c>
      <c r="H2608" s="27">
        <f>IF(OR($B2608="",$C2608=""),"",$C2608*IFERROR(INDEX(PecCusto,MATCH($B2608,PecCod,0)),0))</f>
        <v>0</v>
      </c>
      <c r="I2608" s="32">
        <f>IF($A2608="","",IFERROR(INDEX(OSStatus,MATCH($A2608,OSNum,0)),"OS inexistente"))</f>
        <v>0</v>
      </c>
      <c r="J2608" s="32">
        <f>IF($A2608="","",IF($I2608="OS inexistente","OS inexistente",IF($E2608="Peça não cadastrada","Peça não cadastrada","OK")))</f>
        <v>0</v>
      </c>
    </row>
    <row r="2609" spans="1:10">
      <c r="A2609" s="17"/>
      <c r="B2609" s="13"/>
      <c r="C2609" s="20"/>
      <c r="D2609" s="19"/>
      <c r="E2609" s="26">
        <f>IF($B2609="","",IFERROR(INDEX(PecDesc,MATCH($B2609,PecCod,0)),"Peça não cadastrada"))</f>
        <v>0</v>
      </c>
      <c r="F2609" s="27">
        <f>IF($B2609="","",IF($D2609&lt;&gt;"",$D2609,IFERROR(INDEX(PecPreco,MATCH($B2609,PecCod,0)),0)))</f>
        <v>0</v>
      </c>
      <c r="G2609" s="27">
        <f>IF(OR($B2609="",$C2609=""),"",$C2609*$F2609)</f>
        <v>0</v>
      </c>
      <c r="H2609" s="27">
        <f>IF(OR($B2609="",$C2609=""),"",$C2609*IFERROR(INDEX(PecCusto,MATCH($B2609,PecCod,0)),0))</f>
        <v>0</v>
      </c>
      <c r="I2609" s="32">
        <f>IF($A2609="","",IFERROR(INDEX(OSStatus,MATCH($A2609,OSNum,0)),"OS inexistente"))</f>
        <v>0</v>
      </c>
      <c r="J2609" s="32">
        <f>IF($A2609="","",IF($I2609="OS inexistente","OS inexistente",IF($E2609="Peça não cadastrada","Peça não cadastrada","OK")))</f>
        <v>0</v>
      </c>
    </row>
    <row r="2610" spans="1:10">
      <c r="A2610" s="17"/>
      <c r="B2610" s="13"/>
      <c r="C2610" s="20"/>
      <c r="D2610" s="19"/>
      <c r="E2610" s="26">
        <f>IF($B2610="","",IFERROR(INDEX(PecDesc,MATCH($B2610,PecCod,0)),"Peça não cadastrada"))</f>
        <v>0</v>
      </c>
      <c r="F2610" s="27">
        <f>IF($B2610="","",IF($D2610&lt;&gt;"",$D2610,IFERROR(INDEX(PecPreco,MATCH($B2610,PecCod,0)),0)))</f>
        <v>0</v>
      </c>
      <c r="G2610" s="27">
        <f>IF(OR($B2610="",$C2610=""),"",$C2610*$F2610)</f>
        <v>0</v>
      </c>
      <c r="H2610" s="27">
        <f>IF(OR($B2610="",$C2610=""),"",$C2610*IFERROR(INDEX(PecCusto,MATCH($B2610,PecCod,0)),0))</f>
        <v>0</v>
      </c>
      <c r="I2610" s="32">
        <f>IF($A2610="","",IFERROR(INDEX(OSStatus,MATCH($A2610,OSNum,0)),"OS inexistente"))</f>
        <v>0</v>
      </c>
      <c r="J2610" s="32">
        <f>IF($A2610="","",IF($I2610="OS inexistente","OS inexistente",IF($E2610="Peça não cadastrada","Peça não cadastrada","OK")))</f>
        <v>0</v>
      </c>
    </row>
    <row r="2611" spans="1:10">
      <c r="A2611" s="17"/>
      <c r="B2611" s="13"/>
      <c r="C2611" s="20"/>
      <c r="D2611" s="19"/>
      <c r="E2611" s="26">
        <f>IF($B2611="","",IFERROR(INDEX(PecDesc,MATCH($B2611,PecCod,0)),"Peça não cadastrada"))</f>
        <v>0</v>
      </c>
      <c r="F2611" s="27">
        <f>IF($B2611="","",IF($D2611&lt;&gt;"",$D2611,IFERROR(INDEX(PecPreco,MATCH($B2611,PecCod,0)),0)))</f>
        <v>0</v>
      </c>
      <c r="G2611" s="27">
        <f>IF(OR($B2611="",$C2611=""),"",$C2611*$F2611)</f>
        <v>0</v>
      </c>
      <c r="H2611" s="27">
        <f>IF(OR($B2611="",$C2611=""),"",$C2611*IFERROR(INDEX(PecCusto,MATCH($B2611,PecCod,0)),0))</f>
        <v>0</v>
      </c>
      <c r="I2611" s="32">
        <f>IF($A2611="","",IFERROR(INDEX(OSStatus,MATCH($A2611,OSNum,0)),"OS inexistente"))</f>
        <v>0</v>
      </c>
      <c r="J2611" s="32">
        <f>IF($A2611="","",IF($I2611="OS inexistente","OS inexistente",IF($E2611="Peça não cadastrada","Peça não cadastrada","OK")))</f>
        <v>0</v>
      </c>
    </row>
    <row r="2612" spans="1:10">
      <c r="A2612" s="17"/>
      <c r="B2612" s="13"/>
      <c r="C2612" s="20"/>
      <c r="D2612" s="19"/>
      <c r="E2612" s="26">
        <f>IF($B2612="","",IFERROR(INDEX(PecDesc,MATCH($B2612,PecCod,0)),"Peça não cadastrada"))</f>
        <v>0</v>
      </c>
      <c r="F2612" s="27">
        <f>IF($B2612="","",IF($D2612&lt;&gt;"",$D2612,IFERROR(INDEX(PecPreco,MATCH($B2612,PecCod,0)),0)))</f>
        <v>0</v>
      </c>
      <c r="G2612" s="27">
        <f>IF(OR($B2612="",$C2612=""),"",$C2612*$F2612)</f>
        <v>0</v>
      </c>
      <c r="H2612" s="27">
        <f>IF(OR($B2612="",$C2612=""),"",$C2612*IFERROR(INDEX(PecCusto,MATCH($B2612,PecCod,0)),0))</f>
        <v>0</v>
      </c>
      <c r="I2612" s="32">
        <f>IF($A2612="","",IFERROR(INDEX(OSStatus,MATCH($A2612,OSNum,0)),"OS inexistente"))</f>
        <v>0</v>
      </c>
      <c r="J2612" s="32">
        <f>IF($A2612="","",IF($I2612="OS inexistente","OS inexistente",IF($E2612="Peça não cadastrada","Peça não cadastrada","OK")))</f>
        <v>0</v>
      </c>
    </row>
    <row r="2613" spans="1:10">
      <c r="A2613" s="17"/>
      <c r="B2613" s="13"/>
      <c r="C2613" s="20"/>
      <c r="D2613" s="19"/>
      <c r="E2613" s="26">
        <f>IF($B2613="","",IFERROR(INDEX(PecDesc,MATCH($B2613,PecCod,0)),"Peça não cadastrada"))</f>
        <v>0</v>
      </c>
      <c r="F2613" s="27">
        <f>IF($B2613="","",IF($D2613&lt;&gt;"",$D2613,IFERROR(INDEX(PecPreco,MATCH($B2613,PecCod,0)),0)))</f>
        <v>0</v>
      </c>
      <c r="G2613" s="27">
        <f>IF(OR($B2613="",$C2613=""),"",$C2613*$F2613)</f>
        <v>0</v>
      </c>
      <c r="H2613" s="27">
        <f>IF(OR($B2613="",$C2613=""),"",$C2613*IFERROR(INDEX(PecCusto,MATCH($B2613,PecCod,0)),0))</f>
        <v>0</v>
      </c>
      <c r="I2613" s="32">
        <f>IF($A2613="","",IFERROR(INDEX(OSStatus,MATCH($A2613,OSNum,0)),"OS inexistente"))</f>
        <v>0</v>
      </c>
      <c r="J2613" s="32">
        <f>IF($A2613="","",IF($I2613="OS inexistente","OS inexistente",IF($E2613="Peça não cadastrada","Peça não cadastrada","OK")))</f>
        <v>0</v>
      </c>
    </row>
    <row r="2614" spans="1:10">
      <c r="A2614" s="17"/>
      <c r="B2614" s="13"/>
      <c r="C2614" s="20"/>
      <c r="D2614" s="19"/>
      <c r="E2614" s="26">
        <f>IF($B2614="","",IFERROR(INDEX(PecDesc,MATCH($B2614,PecCod,0)),"Peça não cadastrada"))</f>
        <v>0</v>
      </c>
      <c r="F2614" s="27">
        <f>IF($B2614="","",IF($D2614&lt;&gt;"",$D2614,IFERROR(INDEX(PecPreco,MATCH($B2614,PecCod,0)),0)))</f>
        <v>0</v>
      </c>
      <c r="G2614" s="27">
        <f>IF(OR($B2614="",$C2614=""),"",$C2614*$F2614)</f>
        <v>0</v>
      </c>
      <c r="H2614" s="27">
        <f>IF(OR($B2614="",$C2614=""),"",$C2614*IFERROR(INDEX(PecCusto,MATCH($B2614,PecCod,0)),0))</f>
        <v>0</v>
      </c>
      <c r="I2614" s="32">
        <f>IF($A2614="","",IFERROR(INDEX(OSStatus,MATCH($A2614,OSNum,0)),"OS inexistente"))</f>
        <v>0</v>
      </c>
      <c r="J2614" s="32">
        <f>IF($A2614="","",IF($I2614="OS inexistente","OS inexistente",IF($E2614="Peça não cadastrada","Peça não cadastrada","OK")))</f>
        <v>0</v>
      </c>
    </row>
    <row r="2615" spans="1:10">
      <c r="A2615" s="17"/>
      <c r="B2615" s="13"/>
      <c r="C2615" s="20"/>
      <c r="D2615" s="19"/>
      <c r="E2615" s="26">
        <f>IF($B2615="","",IFERROR(INDEX(PecDesc,MATCH($B2615,PecCod,0)),"Peça não cadastrada"))</f>
        <v>0</v>
      </c>
      <c r="F2615" s="27">
        <f>IF($B2615="","",IF($D2615&lt;&gt;"",$D2615,IFERROR(INDEX(PecPreco,MATCH($B2615,PecCod,0)),0)))</f>
        <v>0</v>
      </c>
      <c r="G2615" s="27">
        <f>IF(OR($B2615="",$C2615=""),"",$C2615*$F2615)</f>
        <v>0</v>
      </c>
      <c r="H2615" s="27">
        <f>IF(OR($B2615="",$C2615=""),"",$C2615*IFERROR(INDEX(PecCusto,MATCH($B2615,PecCod,0)),0))</f>
        <v>0</v>
      </c>
      <c r="I2615" s="32">
        <f>IF($A2615="","",IFERROR(INDEX(OSStatus,MATCH($A2615,OSNum,0)),"OS inexistente"))</f>
        <v>0</v>
      </c>
      <c r="J2615" s="32">
        <f>IF($A2615="","",IF($I2615="OS inexistente","OS inexistente",IF($E2615="Peça não cadastrada","Peça não cadastrada","OK")))</f>
        <v>0</v>
      </c>
    </row>
    <row r="2616" spans="1:10">
      <c r="A2616" s="17"/>
      <c r="B2616" s="13"/>
      <c r="C2616" s="20"/>
      <c r="D2616" s="19"/>
      <c r="E2616" s="26">
        <f>IF($B2616="","",IFERROR(INDEX(PecDesc,MATCH($B2616,PecCod,0)),"Peça não cadastrada"))</f>
        <v>0</v>
      </c>
      <c r="F2616" s="27">
        <f>IF($B2616="","",IF($D2616&lt;&gt;"",$D2616,IFERROR(INDEX(PecPreco,MATCH($B2616,PecCod,0)),0)))</f>
        <v>0</v>
      </c>
      <c r="G2616" s="27">
        <f>IF(OR($B2616="",$C2616=""),"",$C2616*$F2616)</f>
        <v>0</v>
      </c>
      <c r="H2616" s="27">
        <f>IF(OR($B2616="",$C2616=""),"",$C2616*IFERROR(INDEX(PecCusto,MATCH($B2616,PecCod,0)),0))</f>
        <v>0</v>
      </c>
      <c r="I2616" s="32">
        <f>IF($A2616="","",IFERROR(INDEX(OSStatus,MATCH($A2616,OSNum,0)),"OS inexistente"))</f>
        <v>0</v>
      </c>
      <c r="J2616" s="32">
        <f>IF($A2616="","",IF($I2616="OS inexistente","OS inexistente",IF($E2616="Peça não cadastrada","Peça não cadastrada","OK")))</f>
        <v>0</v>
      </c>
    </row>
    <row r="2617" spans="1:10">
      <c r="A2617" s="17"/>
      <c r="B2617" s="13"/>
      <c r="C2617" s="20"/>
      <c r="D2617" s="19"/>
      <c r="E2617" s="26">
        <f>IF($B2617="","",IFERROR(INDEX(PecDesc,MATCH($B2617,PecCod,0)),"Peça não cadastrada"))</f>
        <v>0</v>
      </c>
      <c r="F2617" s="27">
        <f>IF($B2617="","",IF($D2617&lt;&gt;"",$D2617,IFERROR(INDEX(PecPreco,MATCH($B2617,PecCod,0)),0)))</f>
        <v>0</v>
      </c>
      <c r="G2617" s="27">
        <f>IF(OR($B2617="",$C2617=""),"",$C2617*$F2617)</f>
        <v>0</v>
      </c>
      <c r="H2617" s="27">
        <f>IF(OR($B2617="",$C2617=""),"",$C2617*IFERROR(INDEX(PecCusto,MATCH($B2617,PecCod,0)),0))</f>
        <v>0</v>
      </c>
      <c r="I2617" s="32">
        <f>IF($A2617="","",IFERROR(INDEX(OSStatus,MATCH($A2617,OSNum,0)),"OS inexistente"))</f>
        <v>0</v>
      </c>
      <c r="J2617" s="32">
        <f>IF($A2617="","",IF($I2617="OS inexistente","OS inexistente",IF($E2617="Peça não cadastrada","Peça não cadastrada","OK")))</f>
        <v>0</v>
      </c>
    </row>
    <row r="2618" spans="1:10">
      <c r="A2618" s="17"/>
      <c r="B2618" s="13"/>
      <c r="C2618" s="20"/>
      <c r="D2618" s="19"/>
      <c r="E2618" s="26">
        <f>IF($B2618="","",IFERROR(INDEX(PecDesc,MATCH($B2618,PecCod,0)),"Peça não cadastrada"))</f>
        <v>0</v>
      </c>
      <c r="F2618" s="27">
        <f>IF($B2618="","",IF($D2618&lt;&gt;"",$D2618,IFERROR(INDEX(PecPreco,MATCH($B2618,PecCod,0)),0)))</f>
        <v>0</v>
      </c>
      <c r="G2618" s="27">
        <f>IF(OR($B2618="",$C2618=""),"",$C2618*$F2618)</f>
        <v>0</v>
      </c>
      <c r="H2618" s="27">
        <f>IF(OR($B2618="",$C2618=""),"",$C2618*IFERROR(INDEX(PecCusto,MATCH($B2618,PecCod,0)),0))</f>
        <v>0</v>
      </c>
      <c r="I2618" s="32">
        <f>IF($A2618="","",IFERROR(INDEX(OSStatus,MATCH($A2618,OSNum,0)),"OS inexistente"))</f>
        <v>0</v>
      </c>
      <c r="J2618" s="32">
        <f>IF($A2618="","",IF($I2618="OS inexistente","OS inexistente",IF($E2618="Peça não cadastrada","Peça não cadastrada","OK")))</f>
        <v>0</v>
      </c>
    </row>
    <row r="2619" spans="1:10">
      <c r="A2619" s="17"/>
      <c r="B2619" s="13"/>
      <c r="C2619" s="20"/>
      <c r="D2619" s="19"/>
      <c r="E2619" s="26">
        <f>IF($B2619="","",IFERROR(INDEX(PecDesc,MATCH($B2619,PecCod,0)),"Peça não cadastrada"))</f>
        <v>0</v>
      </c>
      <c r="F2619" s="27">
        <f>IF($B2619="","",IF($D2619&lt;&gt;"",$D2619,IFERROR(INDEX(PecPreco,MATCH($B2619,PecCod,0)),0)))</f>
        <v>0</v>
      </c>
      <c r="G2619" s="27">
        <f>IF(OR($B2619="",$C2619=""),"",$C2619*$F2619)</f>
        <v>0</v>
      </c>
      <c r="H2619" s="27">
        <f>IF(OR($B2619="",$C2619=""),"",$C2619*IFERROR(INDEX(PecCusto,MATCH($B2619,PecCod,0)),0))</f>
        <v>0</v>
      </c>
      <c r="I2619" s="32">
        <f>IF($A2619="","",IFERROR(INDEX(OSStatus,MATCH($A2619,OSNum,0)),"OS inexistente"))</f>
        <v>0</v>
      </c>
      <c r="J2619" s="32">
        <f>IF($A2619="","",IF($I2619="OS inexistente","OS inexistente",IF($E2619="Peça não cadastrada","Peça não cadastrada","OK")))</f>
        <v>0</v>
      </c>
    </row>
    <row r="2620" spans="1:10">
      <c r="A2620" s="17"/>
      <c r="B2620" s="13"/>
      <c r="C2620" s="20"/>
      <c r="D2620" s="19"/>
      <c r="E2620" s="26">
        <f>IF($B2620="","",IFERROR(INDEX(PecDesc,MATCH($B2620,PecCod,0)),"Peça não cadastrada"))</f>
        <v>0</v>
      </c>
      <c r="F2620" s="27">
        <f>IF($B2620="","",IF($D2620&lt;&gt;"",$D2620,IFERROR(INDEX(PecPreco,MATCH($B2620,PecCod,0)),0)))</f>
        <v>0</v>
      </c>
      <c r="G2620" s="27">
        <f>IF(OR($B2620="",$C2620=""),"",$C2620*$F2620)</f>
        <v>0</v>
      </c>
      <c r="H2620" s="27">
        <f>IF(OR($B2620="",$C2620=""),"",$C2620*IFERROR(INDEX(PecCusto,MATCH($B2620,PecCod,0)),0))</f>
        <v>0</v>
      </c>
      <c r="I2620" s="32">
        <f>IF($A2620="","",IFERROR(INDEX(OSStatus,MATCH($A2620,OSNum,0)),"OS inexistente"))</f>
        <v>0</v>
      </c>
      <c r="J2620" s="32">
        <f>IF($A2620="","",IF($I2620="OS inexistente","OS inexistente",IF($E2620="Peça não cadastrada","Peça não cadastrada","OK")))</f>
        <v>0</v>
      </c>
    </row>
    <row r="2621" spans="1:10">
      <c r="A2621" s="17"/>
      <c r="B2621" s="13"/>
      <c r="C2621" s="20"/>
      <c r="D2621" s="19"/>
      <c r="E2621" s="26">
        <f>IF($B2621="","",IFERROR(INDEX(PecDesc,MATCH($B2621,PecCod,0)),"Peça não cadastrada"))</f>
        <v>0</v>
      </c>
      <c r="F2621" s="27">
        <f>IF($B2621="","",IF($D2621&lt;&gt;"",$D2621,IFERROR(INDEX(PecPreco,MATCH($B2621,PecCod,0)),0)))</f>
        <v>0</v>
      </c>
      <c r="G2621" s="27">
        <f>IF(OR($B2621="",$C2621=""),"",$C2621*$F2621)</f>
        <v>0</v>
      </c>
      <c r="H2621" s="27">
        <f>IF(OR($B2621="",$C2621=""),"",$C2621*IFERROR(INDEX(PecCusto,MATCH($B2621,PecCod,0)),0))</f>
        <v>0</v>
      </c>
      <c r="I2621" s="32">
        <f>IF($A2621="","",IFERROR(INDEX(OSStatus,MATCH($A2621,OSNum,0)),"OS inexistente"))</f>
        <v>0</v>
      </c>
      <c r="J2621" s="32">
        <f>IF($A2621="","",IF($I2621="OS inexistente","OS inexistente",IF($E2621="Peça não cadastrada","Peça não cadastrada","OK")))</f>
        <v>0</v>
      </c>
    </row>
    <row r="2622" spans="1:10">
      <c r="A2622" s="17"/>
      <c r="B2622" s="13"/>
      <c r="C2622" s="20"/>
      <c r="D2622" s="19"/>
      <c r="E2622" s="26">
        <f>IF($B2622="","",IFERROR(INDEX(PecDesc,MATCH($B2622,PecCod,0)),"Peça não cadastrada"))</f>
        <v>0</v>
      </c>
      <c r="F2622" s="27">
        <f>IF($B2622="","",IF($D2622&lt;&gt;"",$D2622,IFERROR(INDEX(PecPreco,MATCH($B2622,PecCod,0)),0)))</f>
        <v>0</v>
      </c>
      <c r="G2622" s="27">
        <f>IF(OR($B2622="",$C2622=""),"",$C2622*$F2622)</f>
        <v>0</v>
      </c>
      <c r="H2622" s="27">
        <f>IF(OR($B2622="",$C2622=""),"",$C2622*IFERROR(INDEX(PecCusto,MATCH($B2622,PecCod,0)),0))</f>
        <v>0</v>
      </c>
      <c r="I2622" s="32">
        <f>IF($A2622="","",IFERROR(INDEX(OSStatus,MATCH($A2622,OSNum,0)),"OS inexistente"))</f>
        <v>0</v>
      </c>
      <c r="J2622" s="32">
        <f>IF($A2622="","",IF($I2622="OS inexistente","OS inexistente",IF($E2622="Peça não cadastrada","Peça não cadastrada","OK")))</f>
        <v>0</v>
      </c>
    </row>
    <row r="2623" spans="1:10">
      <c r="A2623" s="17"/>
      <c r="B2623" s="13"/>
      <c r="C2623" s="20"/>
      <c r="D2623" s="19"/>
      <c r="E2623" s="26">
        <f>IF($B2623="","",IFERROR(INDEX(PecDesc,MATCH($B2623,PecCod,0)),"Peça não cadastrada"))</f>
        <v>0</v>
      </c>
      <c r="F2623" s="27">
        <f>IF($B2623="","",IF($D2623&lt;&gt;"",$D2623,IFERROR(INDEX(PecPreco,MATCH($B2623,PecCod,0)),0)))</f>
        <v>0</v>
      </c>
      <c r="G2623" s="27">
        <f>IF(OR($B2623="",$C2623=""),"",$C2623*$F2623)</f>
        <v>0</v>
      </c>
      <c r="H2623" s="27">
        <f>IF(OR($B2623="",$C2623=""),"",$C2623*IFERROR(INDEX(PecCusto,MATCH($B2623,PecCod,0)),0))</f>
        <v>0</v>
      </c>
      <c r="I2623" s="32">
        <f>IF($A2623="","",IFERROR(INDEX(OSStatus,MATCH($A2623,OSNum,0)),"OS inexistente"))</f>
        <v>0</v>
      </c>
      <c r="J2623" s="32">
        <f>IF($A2623="","",IF($I2623="OS inexistente","OS inexistente",IF($E2623="Peça não cadastrada","Peça não cadastrada","OK")))</f>
        <v>0</v>
      </c>
    </row>
    <row r="2624" spans="1:10">
      <c r="A2624" s="17"/>
      <c r="B2624" s="13"/>
      <c r="C2624" s="20"/>
      <c r="D2624" s="19"/>
      <c r="E2624" s="26">
        <f>IF($B2624="","",IFERROR(INDEX(PecDesc,MATCH($B2624,PecCod,0)),"Peça não cadastrada"))</f>
        <v>0</v>
      </c>
      <c r="F2624" s="27">
        <f>IF($B2624="","",IF($D2624&lt;&gt;"",$D2624,IFERROR(INDEX(PecPreco,MATCH($B2624,PecCod,0)),0)))</f>
        <v>0</v>
      </c>
      <c r="G2624" s="27">
        <f>IF(OR($B2624="",$C2624=""),"",$C2624*$F2624)</f>
        <v>0</v>
      </c>
      <c r="H2624" s="27">
        <f>IF(OR($B2624="",$C2624=""),"",$C2624*IFERROR(INDEX(PecCusto,MATCH($B2624,PecCod,0)),0))</f>
        <v>0</v>
      </c>
      <c r="I2624" s="32">
        <f>IF($A2624="","",IFERROR(INDEX(OSStatus,MATCH($A2624,OSNum,0)),"OS inexistente"))</f>
        <v>0</v>
      </c>
      <c r="J2624" s="32">
        <f>IF($A2624="","",IF($I2624="OS inexistente","OS inexistente",IF($E2624="Peça não cadastrada","Peça não cadastrada","OK")))</f>
        <v>0</v>
      </c>
    </row>
    <row r="2625" spans="1:10">
      <c r="A2625" s="17"/>
      <c r="B2625" s="13"/>
      <c r="C2625" s="20"/>
      <c r="D2625" s="19"/>
      <c r="E2625" s="26">
        <f>IF($B2625="","",IFERROR(INDEX(PecDesc,MATCH($B2625,PecCod,0)),"Peça não cadastrada"))</f>
        <v>0</v>
      </c>
      <c r="F2625" s="27">
        <f>IF($B2625="","",IF($D2625&lt;&gt;"",$D2625,IFERROR(INDEX(PecPreco,MATCH($B2625,PecCod,0)),0)))</f>
        <v>0</v>
      </c>
      <c r="G2625" s="27">
        <f>IF(OR($B2625="",$C2625=""),"",$C2625*$F2625)</f>
        <v>0</v>
      </c>
      <c r="H2625" s="27">
        <f>IF(OR($B2625="",$C2625=""),"",$C2625*IFERROR(INDEX(PecCusto,MATCH($B2625,PecCod,0)),0))</f>
        <v>0</v>
      </c>
      <c r="I2625" s="32">
        <f>IF($A2625="","",IFERROR(INDEX(OSStatus,MATCH($A2625,OSNum,0)),"OS inexistente"))</f>
        <v>0</v>
      </c>
      <c r="J2625" s="32">
        <f>IF($A2625="","",IF($I2625="OS inexistente","OS inexistente",IF($E2625="Peça não cadastrada","Peça não cadastrada","OK")))</f>
        <v>0</v>
      </c>
    </row>
    <row r="2626" spans="1:10">
      <c r="A2626" s="17"/>
      <c r="B2626" s="13"/>
      <c r="C2626" s="20"/>
      <c r="D2626" s="19"/>
      <c r="E2626" s="26">
        <f>IF($B2626="","",IFERROR(INDEX(PecDesc,MATCH($B2626,PecCod,0)),"Peça não cadastrada"))</f>
        <v>0</v>
      </c>
      <c r="F2626" s="27">
        <f>IF($B2626="","",IF($D2626&lt;&gt;"",$D2626,IFERROR(INDEX(PecPreco,MATCH($B2626,PecCod,0)),0)))</f>
        <v>0</v>
      </c>
      <c r="G2626" s="27">
        <f>IF(OR($B2626="",$C2626=""),"",$C2626*$F2626)</f>
        <v>0</v>
      </c>
      <c r="H2626" s="27">
        <f>IF(OR($B2626="",$C2626=""),"",$C2626*IFERROR(INDEX(PecCusto,MATCH($B2626,PecCod,0)),0))</f>
        <v>0</v>
      </c>
      <c r="I2626" s="32">
        <f>IF($A2626="","",IFERROR(INDEX(OSStatus,MATCH($A2626,OSNum,0)),"OS inexistente"))</f>
        <v>0</v>
      </c>
      <c r="J2626" s="32">
        <f>IF($A2626="","",IF($I2626="OS inexistente","OS inexistente",IF($E2626="Peça não cadastrada","Peça não cadastrada","OK")))</f>
        <v>0</v>
      </c>
    </row>
    <row r="2627" spans="1:10">
      <c r="A2627" s="17"/>
      <c r="B2627" s="13"/>
      <c r="C2627" s="20"/>
      <c r="D2627" s="19"/>
      <c r="E2627" s="26">
        <f>IF($B2627="","",IFERROR(INDEX(PecDesc,MATCH($B2627,PecCod,0)),"Peça não cadastrada"))</f>
        <v>0</v>
      </c>
      <c r="F2627" s="27">
        <f>IF($B2627="","",IF($D2627&lt;&gt;"",$D2627,IFERROR(INDEX(PecPreco,MATCH($B2627,PecCod,0)),0)))</f>
        <v>0</v>
      </c>
      <c r="G2627" s="27">
        <f>IF(OR($B2627="",$C2627=""),"",$C2627*$F2627)</f>
        <v>0</v>
      </c>
      <c r="H2627" s="27">
        <f>IF(OR($B2627="",$C2627=""),"",$C2627*IFERROR(INDEX(PecCusto,MATCH($B2627,PecCod,0)),0))</f>
        <v>0</v>
      </c>
      <c r="I2627" s="32">
        <f>IF($A2627="","",IFERROR(INDEX(OSStatus,MATCH($A2627,OSNum,0)),"OS inexistente"))</f>
        <v>0</v>
      </c>
      <c r="J2627" s="32">
        <f>IF($A2627="","",IF($I2627="OS inexistente","OS inexistente",IF($E2627="Peça não cadastrada","Peça não cadastrada","OK")))</f>
        <v>0</v>
      </c>
    </row>
    <row r="2628" spans="1:10">
      <c r="A2628" s="17"/>
      <c r="B2628" s="13"/>
      <c r="C2628" s="20"/>
      <c r="D2628" s="19"/>
      <c r="E2628" s="26">
        <f>IF($B2628="","",IFERROR(INDEX(PecDesc,MATCH($B2628,PecCod,0)),"Peça não cadastrada"))</f>
        <v>0</v>
      </c>
      <c r="F2628" s="27">
        <f>IF($B2628="","",IF($D2628&lt;&gt;"",$D2628,IFERROR(INDEX(PecPreco,MATCH($B2628,PecCod,0)),0)))</f>
        <v>0</v>
      </c>
      <c r="G2628" s="27">
        <f>IF(OR($B2628="",$C2628=""),"",$C2628*$F2628)</f>
        <v>0</v>
      </c>
      <c r="H2628" s="27">
        <f>IF(OR($B2628="",$C2628=""),"",$C2628*IFERROR(INDEX(PecCusto,MATCH($B2628,PecCod,0)),0))</f>
        <v>0</v>
      </c>
      <c r="I2628" s="32">
        <f>IF($A2628="","",IFERROR(INDEX(OSStatus,MATCH($A2628,OSNum,0)),"OS inexistente"))</f>
        <v>0</v>
      </c>
      <c r="J2628" s="32">
        <f>IF($A2628="","",IF($I2628="OS inexistente","OS inexistente",IF($E2628="Peça não cadastrada","Peça não cadastrada","OK")))</f>
        <v>0</v>
      </c>
    </row>
    <row r="2629" spans="1:10">
      <c r="A2629" s="17"/>
      <c r="B2629" s="13"/>
      <c r="C2629" s="20"/>
      <c r="D2629" s="19"/>
      <c r="E2629" s="26">
        <f>IF($B2629="","",IFERROR(INDEX(PecDesc,MATCH($B2629,PecCod,0)),"Peça não cadastrada"))</f>
        <v>0</v>
      </c>
      <c r="F2629" s="27">
        <f>IF($B2629="","",IF($D2629&lt;&gt;"",$D2629,IFERROR(INDEX(PecPreco,MATCH($B2629,PecCod,0)),0)))</f>
        <v>0</v>
      </c>
      <c r="G2629" s="27">
        <f>IF(OR($B2629="",$C2629=""),"",$C2629*$F2629)</f>
        <v>0</v>
      </c>
      <c r="H2629" s="27">
        <f>IF(OR($B2629="",$C2629=""),"",$C2629*IFERROR(INDEX(PecCusto,MATCH($B2629,PecCod,0)),0))</f>
        <v>0</v>
      </c>
      <c r="I2629" s="32">
        <f>IF($A2629="","",IFERROR(INDEX(OSStatus,MATCH($A2629,OSNum,0)),"OS inexistente"))</f>
        <v>0</v>
      </c>
      <c r="J2629" s="32">
        <f>IF($A2629="","",IF($I2629="OS inexistente","OS inexistente",IF($E2629="Peça não cadastrada","Peça não cadastrada","OK")))</f>
        <v>0</v>
      </c>
    </row>
    <row r="2630" spans="1:10">
      <c r="A2630" s="17"/>
      <c r="B2630" s="13"/>
      <c r="C2630" s="20"/>
      <c r="D2630" s="19"/>
      <c r="E2630" s="26">
        <f>IF($B2630="","",IFERROR(INDEX(PecDesc,MATCH($B2630,PecCod,0)),"Peça não cadastrada"))</f>
        <v>0</v>
      </c>
      <c r="F2630" s="27">
        <f>IF($B2630="","",IF($D2630&lt;&gt;"",$D2630,IFERROR(INDEX(PecPreco,MATCH($B2630,PecCod,0)),0)))</f>
        <v>0</v>
      </c>
      <c r="G2630" s="27">
        <f>IF(OR($B2630="",$C2630=""),"",$C2630*$F2630)</f>
        <v>0</v>
      </c>
      <c r="H2630" s="27">
        <f>IF(OR($B2630="",$C2630=""),"",$C2630*IFERROR(INDEX(PecCusto,MATCH($B2630,PecCod,0)),0))</f>
        <v>0</v>
      </c>
      <c r="I2630" s="32">
        <f>IF($A2630="","",IFERROR(INDEX(OSStatus,MATCH($A2630,OSNum,0)),"OS inexistente"))</f>
        <v>0</v>
      </c>
      <c r="J2630" s="32">
        <f>IF($A2630="","",IF($I2630="OS inexistente","OS inexistente",IF($E2630="Peça não cadastrada","Peça não cadastrada","OK")))</f>
        <v>0</v>
      </c>
    </row>
    <row r="2631" spans="1:10">
      <c r="A2631" s="17"/>
      <c r="B2631" s="13"/>
      <c r="C2631" s="20"/>
      <c r="D2631" s="19"/>
      <c r="E2631" s="26">
        <f>IF($B2631="","",IFERROR(INDEX(PecDesc,MATCH($B2631,PecCod,0)),"Peça não cadastrada"))</f>
        <v>0</v>
      </c>
      <c r="F2631" s="27">
        <f>IF($B2631="","",IF($D2631&lt;&gt;"",$D2631,IFERROR(INDEX(PecPreco,MATCH($B2631,PecCod,0)),0)))</f>
        <v>0</v>
      </c>
      <c r="G2631" s="27">
        <f>IF(OR($B2631="",$C2631=""),"",$C2631*$F2631)</f>
        <v>0</v>
      </c>
      <c r="H2631" s="27">
        <f>IF(OR($B2631="",$C2631=""),"",$C2631*IFERROR(INDEX(PecCusto,MATCH($B2631,PecCod,0)),0))</f>
        <v>0</v>
      </c>
      <c r="I2631" s="32">
        <f>IF($A2631="","",IFERROR(INDEX(OSStatus,MATCH($A2631,OSNum,0)),"OS inexistente"))</f>
        <v>0</v>
      </c>
      <c r="J2631" s="32">
        <f>IF($A2631="","",IF($I2631="OS inexistente","OS inexistente",IF($E2631="Peça não cadastrada","Peça não cadastrada","OK")))</f>
        <v>0</v>
      </c>
    </row>
    <row r="2632" spans="1:10">
      <c r="A2632" s="17"/>
      <c r="B2632" s="13"/>
      <c r="C2632" s="20"/>
      <c r="D2632" s="19"/>
      <c r="E2632" s="26">
        <f>IF($B2632="","",IFERROR(INDEX(PecDesc,MATCH($B2632,PecCod,0)),"Peça não cadastrada"))</f>
        <v>0</v>
      </c>
      <c r="F2632" s="27">
        <f>IF($B2632="","",IF($D2632&lt;&gt;"",$D2632,IFERROR(INDEX(PecPreco,MATCH($B2632,PecCod,0)),0)))</f>
        <v>0</v>
      </c>
      <c r="G2632" s="27">
        <f>IF(OR($B2632="",$C2632=""),"",$C2632*$F2632)</f>
        <v>0</v>
      </c>
      <c r="H2632" s="27">
        <f>IF(OR($B2632="",$C2632=""),"",$C2632*IFERROR(INDEX(PecCusto,MATCH($B2632,PecCod,0)),0))</f>
        <v>0</v>
      </c>
      <c r="I2632" s="32">
        <f>IF($A2632="","",IFERROR(INDEX(OSStatus,MATCH($A2632,OSNum,0)),"OS inexistente"))</f>
        <v>0</v>
      </c>
      <c r="J2632" s="32">
        <f>IF($A2632="","",IF($I2632="OS inexistente","OS inexistente",IF($E2632="Peça não cadastrada","Peça não cadastrada","OK")))</f>
        <v>0</v>
      </c>
    </row>
    <row r="2633" spans="1:10">
      <c r="A2633" s="17"/>
      <c r="B2633" s="13"/>
      <c r="C2633" s="20"/>
      <c r="D2633" s="19"/>
      <c r="E2633" s="26">
        <f>IF($B2633="","",IFERROR(INDEX(PecDesc,MATCH($B2633,PecCod,0)),"Peça não cadastrada"))</f>
        <v>0</v>
      </c>
      <c r="F2633" s="27">
        <f>IF($B2633="","",IF($D2633&lt;&gt;"",$D2633,IFERROR(INDEX(PecPreco,MATCH($B2633,PecCod,0)),0)))</f>
        <v>0</v>
      </c>
      <c r="G2633" s="27">
        <f>IF(OR($B2633="",$C2633=""),"",$C2633*$F2633)</f>
        <v>0</v>
      </c>
      <c r="H2633" s="27">
        <f>IF(OR($B2633="",$C2633=""),"",$C2633*IFERROR(INDEX(PecCusto,MATCH($B2633,PecCod,0)),0))</f>
        <v>0</v>
      </c>
      <c r="I2633" s="32">
        <f>IF($A2633="","",IFERROR(INDEX(OSStatus,MATCH($A2633,OSNum,0)),"OS inexistente"))</f>
        <v>0</v>
      </c>
      <c r="J2633" s="32">
        <f>IF($A2633="","",IF($I2633="OS inexistente","OS inexistente",IF($E2633="Peça não cadastrada","Peça não cadastrada","OK")))</f>
        <v>0</v>
      </c>
    </row>
    <row r="2634" spans="1:10">
      <c r="A2634" s="17"/>
      <c r="B2634" s="13"/>
      <c r="C2634" s="20"/>
      <c r="D2634" s="19"/>
      <c r="E2634" s="26">
        <f>IF($B2634="","",IFERROR(INDEX(PecDesc,MATCH($B2634,PecCod,0)),"Peça não cadastrada"))</f>
        <v>0</v>
      </c>
      <c r="F2634" s="27">
        <f>IF($B2634="","",IF($D2634&lt;&gt;"",$D2634,IFERROR(INDEX(PecPreco,MATCH($B2634,PecCod,0)),0)))</f>
        <v>0</v>
      </c>
      <c r="G2634" s="27">
        <f>IF(OR($B2634="",$C2634=""),"",$C2634*$F2634)</f>
        <v>0</v>
      </c>
      <c r="H2634" s="27">
        <f>IF(OR($B2634="",$C2634=""),"",$C2634*IFERROR(INDEX(PecCusto,MATCH($B2634,PecCod,0)),0))</f>
        <v>0</v>
      </c>
      <c r="I2634" s="32">
        <f>IF($A2634="","",IFERROR(INDEX(OSStatus,MATCH($A2634,OSNum,0)),"OS inexistente"))</f>
        <v>0</v>
      </c>
      <c r="J2634" s="32">
        <f>IF($A2634="","",IF($I2634="OS inexistente","OS inexistente",IF($E2634="Peça não cadastrada","Peça não cadastrada","OK")))</f>
        <v>0</v>
      </c>
    </row>
    <row r="2635" spans="1:10">
      <c r="A2635" s="17"/>
      <c r="B2635" s="13"/>
      <c r="C2635" s="20"/>
      <c r="D2635" s="19"/>
      <c r="E2635" s="26">
        <f>IF($B2635="","",IFERROR(INDEX(PecDesc,MATCH($B2635,PecCod,0)),"Peça não cadastrada"))</f>
        <v>0</v>
      </c>
      <c r="F2635" s="27">
        <f>IF($B2635="","",IF($D2635&lt;&gt;"",$D2635,IFERROR(INDEX(PecPreco,MATCH($B2635,PecCod,0)),0)))</f>
        <v>0</v>
      </c>
      <c r="G2635" s="27">
        <f>IF(OR($B2635="",$C2635=""),"",$C2635*$F2635)</f>
        <v>0</v>
      </c>
      <c r="H2635" s="27">
        <f>IF(OR($B2635="",$C2635=""),"",$C2635*IFERROR(INDEX(PecCusto,MATCH($B2635,PecCod,0)),0))</f>
        <v>0</v>
      </c>
      <c r="I2635" s="32">
        <f>IF($A2635="","",IFERROR(INDEX(OSStatus,MATCH($A2635,OSNum,0)),"OS inexistente"))</f>
        <v>0</v>
      </c>
      <c r="J2635" s="32">
        <f>IF($A2635="","",IF($I2635="OS inexistente","OS inexistente",IF($E2635="Peça não cadastrada","Peça não cadastrada","OK")))</f>
        <v>0</v>
      </c>
    </row>
    <row r="2636" spans="1:10">
      <c r="A2636" s="17"/>
      <c r="B2636" s="13"/>
      <c r="C2636" s="20"/>
      <c r="D2636" s="19"/>
      <c r="E2636" s="26">
        <f>IF($B2636="","",IFERROR(INDEX(PecDesc,MATCH($B2636,PecCod,0)),"Peça não cadastrada"))</f>
        <v>0</v>
      </c>
      <c r="F2636" s="27">
        <f>IF($B2636="","",IF($D2636&lt;&gt;"",$D2636,IFERROR(INDEX(PecPreco,MATCH($B2636,PecCod,0)),0)))</f>
        <v>0</v>
      </c>
      <c r="G2636" s="27">
        <f>IF(OR($B2636="",$C2636=""),"",$C2636*$F2636)</f>
        <v>0</v>
      </c>
      <c r="H2636" s="27">
        <f>IF(OR($B2636="",$C2636=""),"",$C2636*IFERROR(INDEX(PecCusto,MATCH($B2636,PecCod,0)),0))</f>
        <v>0</v>
      </c>
      <c r="I2636" s="32">
        <f>IF($A2636="","",IFERROR(INDEX(OSStatus,MATCH($A2636,OSNum,0)),"OS inexistente"))</f>
        <v>0</v>
      </c>
      <c r="J2636" s="32">
        <f>IF($A2636="","",IF($I2636="OS inexistente","OS inexistente",IF($E2636="Peça não cadastrada","Peça não cadastrada","OK")))</f>
        <v>0</v>
      </c>
    </row>
    <row r="2637" spans="1:10">
      <c r="A2637" s="17"/>
      <c r="B2637" s="13"/>
      <c r="C2637" s="20"/>
      <c r="D2637" s="19"/>
      <c r="E2637" s="26">
        <f>IF($B2637="","",IFERROR(INDEX(PecDesc,MATCH($B2637,PecCod,0)),"Peça não cadastrada"))</f>
        <v>0</v>
      </c>
      <c r="F2637" s="27">
        <f>IF($B2637="","",IF($D2637&lt;&gt;"",$D2637,IFERROR(INDEX(PecPreco,MATCH($B2637,PecCod,0)),0)))</f>
        <v>0</v>
      </c>
      <c r="G2637" s="27">
        <f>IF(OR($B2637="",$C2637=""),"",$C2637*$F2637)</f>
        <v>0</v>
      </c>
      <c r="H2637" s="27">
        <f>IF(OR($B2637="",$C2637=""),"",$C2637*IFERROR(INDEX(PecCusto,MATCH($B2637,PecCod,0)),0))</f>
        <v>0</v>
      </c>
      <c r="I2637" s="32">
        <f>IF($A2637="","",IFERROR(INDEX(OSStatus,MATCH($A2637,OSNum,0)),"OS inexistente"))</f>
        <v>0</v>
      </c>
      <c r="J2637" s="32">
        <f>IF($A2637="","",IF($I2637="OS inexistente","OS inexistente",IF($E2637="Peça não cadastrada","Peça não cadastrada","OK")))</f>
        <v>0</v>
      </c>
    </row>
    <row r="2638" spans="1:10">
      <c r="A2638" s="17"/>
      <c r="B2638" s="13"/>
      <c r="C2638" s="20"/>
      <c r="D2638" s="19"/>
      <c r="E2638" s="26">
        <f>IF($B2638="","",IFERROR(INDEX(PecDesc,MATCH($B2638,PecCod,0)),"Peça não cadastrada"))</f>
        <v>0</v>
      </c>
      <c r="F2638" s="27">
        <f>IF($B2638="","",IF($D2638&lt;&gt;"",$D2638,IFERROR(INDEX(PecPreco,MATCH($B2638,PecCod,0)),0)))</f>
        <v>0</v>
      </c>
      <c r="G2638" s="27">
        <f>IF(OR($B2638="",$C2638=""),"",$C2638*$F2638)</f>
        <v>0</v>
      </c>
      <c r="H2638" s="27">
        <f>IF(OR($B2638="",$C2638=""),"",$C2638*IFERROR(INDEX(PecCusto,MATCH($B2638,PecCod,0)),0))</f>
        <v>0</v>
      </c>
      <c r="I2638" s="32">
        <f>IF($A2638="","",IFERROR(INDEX(OSStatus,MATCH($A2638,OSNum,0)),"OS inexistente"))</f>
        <v>0</v>
      </c>
      <c r="J2638" s="32">
        <f>IF($A2638="","",IF($I2638="OS inexistente","OS inexistente",IF($E2638="Peça não cadastrada","Peça não cadastrada","OK")))</f>
        <v>0</v>
      </c>
    </row>
    <row r="2639" spans="1:10">
      <c r="A2639" s="17"/>
      <c r="B2639" s="13"/>
      <c r="C2639" s="20"/>
      <c r="D2639" s="19"/>
      <c r="E2639" s="26">
        <f>IF($B2639="","",IFERROR(INDEX(PecDesc,MATCH($B2639,PecCod,0)),"Peça não cadastrada"))</f>
        <v>0</v>
      </c>
      <c r="F2639" s="27">
        <f>IF($B2639="","",IF($D2639&lt;&gt;"",$D2639,IFERROR(INDEX(PecPreco,MATCH($B2639,PecCod,0)),0)))</f>
        <v>0</v>
      </c>
      <c r="G2639" s="27">
        <f>IF(OR($B2639="",$C2639=""),"",$C2639*$F2639)</f>
        <v>0</v>
      </c>
      <c r="H2639" s="27">
        <f>IF(OR($B2639="",$C2639=""),"",$C2639*IFERROR(INDEX(PecCusto,MATCH($B2639,PecCod,0)),0))</f>
        <v>0</v>
      </c>
      <c r="I2639" s="32">
        <f>IF($A2639="","",IFERROR(INDEX(OSStatus,MATCH($A2639,OSNum,0)),"OS inexistente"))</f>
        <v>0</v>
      </c>
      <c r="J2639" s="32">
        <f>IF($A2639="","",IF($I2639="OS inexistente","OS inexistente",IF($E2639="Peça não cadastrada","Peça não cadastrada","OK")))</f>
        <v>0</v>
      </c>
    </row>
    <row r="2640" spans="1:10">
      <c r="A2640" s="17"/>
      <c r="B2640" s="13"/>
      <c r="C2640" s="20"/>
      <c r="D2640" s="19"/>
      <c r="E2640" s="26">
        <f>IF($B2640="","",IFERROR(INDEX(PecDesc,MATCH($B2640,PecCod,0)),"Peça não cadastrada"))</f>
        <v>0</v>
      </c>
      <c r="F2640" s="27">
        <f>IF($B2640="","",IF($D2640&lt;&gt;"",$D2640,IFERROR(INDEX(PecPreco,MATCH($B2640,PecCod,0)),0)))</f>
        <v>0</v>
      </c>
      <c r="G2640" s="27">
        <f>IF(OR($B2640="",$C2640=""),"",$C2640*$F2640)</f>
        <v>0</v>
      </c>
      <c r="H2640" s="27">
        <f>IF(OR($B2640="",$C2640=""),"",$C2640*IFERROR(INDEX(PecCusto,MATCH($B2640,PecCod,0)),0))</f>
        <v>0</v>
      </c>
      <c r="I2640" s="32">
        <f>IF($A2640="","",IFERROR(INDEX(OSStatus,MATCH($A2640,OSNum,0)),"OS inexistente"))</f>
        <v>0</v>
      </c>
      <c r="J2640" s="32">
        <f>IF($A2640="","",IF($I2640="OS inexistente","OS inexistente",IF($E2640="Peça não cadastrada","Peça não cadastrada","OK")))</f>
        <v>0</v>
      </c>
    </row>
    <row r="2641" spans="1:10">
      <c r="A2641" s="17"/>
      <c r="B2641" s="13"/>
      <c r="C2641" s="20"/>
      <c r="D2641" s="19"/>
      <c r="E2641" s="26">
        <f>IF($B2641="","",IFERROR(INDEX(PecDesc,MATCH($B2641,PecCod,0)),"Peça não cadastrada"))</f>
        <v>0</v>
      </c>
      <c r="F2641" s="27">
        <f>IF($B2641="","",IF($D2641&lt;&gt;"",$D2641,IFERROR(INDEX(PecPreco,MATCH($B2641,PecCod,0)),0)))</f>
        <v>0</v>
      </c>
      <c r="G2641" s="27">
        <f>IF(OR($B2641="",$C2641=""),"",$C2641*$F2641)</f>
        <v>0</v>
      </c>
      <c r="H2641" s="27">
        <f>IF(OR($B2641="",$C2641=""),"",$C2641*IFERROR(INDEX(PecCusto,MATCH($B2641,PecCod,0)),0))</f>
        <v>0</v>
      </c>
      <c r="I2641" s="32">
        <f>IF($A2641="","",IFERROR(INDEX(OSStatus,MATCH($A2641,OSNum,0)),"OS inexistente"))</f>
        <v>0</v>
      </c>
      <c r="J2641" s="32">
        <f>IF($A2641="","",IF($I2641="OS inexistente","OS inexistente",IF($E2641="Peça não cadastrada","Peça não cadastrada","OK")))</f>
        <v>0</v>
      </c>
    </row>
    <row r="2642" spans="1:10">
      <c r="A2642" s="17"/>
      <c r="B2642" s="13"/>
      <c r="C2642" s="20"/>
      <c r="D2642" s="19"/>
      <c r="E2642" s="26">
        <f>IF($B2642="","",IFERROR(INDEX(PecDesc,MATCH($B2642,PecCod,0)),"Peça não cadastrada"))</f>
        <v>0</v>
      </c>
      <c r="F2642" s="27">
        <f>IF($B2642="","",IF($D2642&lt;&gt;"",$D2642,IFERROR(INDEX(PecPreco,MATCH($B2642,PecCod,0)),0)))</f>
        <v>0</v>
      </c>
      <c r="G2642" s="27">
        <f>IF(OR($B2642="",$C2642=""),"",$C2642*$F2642)</f>
        <v>0</v>
      </c>
      <c r="H2642" s="27">
        <f>IF(OR($B2642="",$C2642=""),"",$C2642*IFERROR(INDEX(PecCusto,MATCH($B2642,PecCod,0)),0))</f>
        <v>0</v>
      </c>
      <c r="I2642" s="32">
        <f>IF($A2642="","",IFERROR(INDEX(OSStatus,MATCH($A2642,OSNum,0)),"OS inexistente"))</f>
        <v>0</v>
      </c>
      <c r="J2642" s="32">
        <f>IF($A2642="","",IF($I2642="OS inexistente","OS inexistente",IF($E2642="Peça não cadastrada","Peça não cadastrada","OK")))</f>
        <v>0</v>
      </c>
    </row>
    <row r="2643" spans="1:10">
      <c r="A2643" s="17"/>
      <c r="B2643" s="13"/>
      <c r="C2643" s="20"/>
      <c r="D2643" s="19"/>
      <c r="E2643" s="26">
        <f>IF($B2643="","",IFERROR(INDEX(PecDesc,MATCH($B2643,PecCod,0)),"Peça não cadastrada"))</f>
        <v>0</v>
      </c>
      <c r="F2643" s="27">
        <f>IF($B2643="","",IF($D2643&lt;&gt;"",$D2643,IFERROR(INDEX(PecPreco,MATCH($B2643,PecCod,0)),0)))</f>
        <v>0</v>
      </c>
      <c r="G2643" s="27">
        <f>IF(OR($B2643="",$C2643=""),"",$C2643*$F2643)</f>
        <v>0</v>
      </c>
      <c r="H2643" s="27">
        <f>IF(OR($B2643="",$C2643=""),"",$C2643*IFERROR(INDEX(PecCusto,MATCH($B2643,PecCod,0)),0))</f>
        <v>0</v>
      </c>
      <c r="I2643" s="32">
        <f>IF($A2643="","",IFERROR(INDEX(OSStatus,MATCH($A2643,OSNum,0)),"OS inexistente"))</f>
        <v>0</v>
      </c>
      <c r="J2643" s="32">
        <f>IF($A2643="","",IF($I2643="OS inexistente","OS inexistente",IF($E2643="Peça não cadastrada","Peça não cadastrada","OK")))</f>
        <v>0</v>
      </c>
    </row>
    <row r="2644" spans="1:10">
      <c r="A2644" s="17"/>
      <c r="B2644" s="13"/>
      <c r="C2644" s="20"/>
      <c r="D2644" s="19"/>
      <c r="E2644" s="26">
        <f>IF($B2644="","",IFERROR(INDEX(PecDesc,MATCH($B2644,PecCod,0)),"Peça não cadastrada"))</f>
        <v>0</v>
      </c>
      <c r="F2644" s="27">
        <f>IF($B2644="","",IF($D2644&lt;&gt;"",$D2644,IFERROR(INDEX(PecPreco,MATCH($B2644,PecCod,0)),0)))</f>
        <v>0</v>
      </c>
      <c r="G2644" s="27">
        <f>IF(OR($B2644="",$C2644=""),"",$C2644*$F2644)</f>
        <v>0</v>
      </c>
      <c r="H2644" s="27">
        <f>IF(OR($B2644="",$C2644=""),"",$C2644*IFERROR(INDEX(PecCusto,MATCH($B2644,PecCod,0)),0))</f>
        <v>0</v>
      </c>
      <c r="I2644" s="32">
        <f>IF($A2644="","",IFERROR(INDEX(OSStatus,MATCH($A2644,OSNum,0)),"OS inexistente"))</f>
        <v>0</v>
      </c>
      <c r="J2644" s="32">
        <f>IF($A2644="","",IF($I2644="OS inexistente","OS inexistente",IF($E2644="Peça não cadastrada","Peça não cadastrada","OK")))</f>
        <v>0</v>
      </c>
    </row>
    <row r="2645" spans="1:10">
      <c r="A2645" s="17"/>
      <c r="B2645" s="13"/>
      <c r="C2645" s="20"/>
      <c r="D2645" s="19"/>
      <c r="E2645" s="26">
        <f>IF($B2645="","",IFERROR(INDEX(PecDesc,MATCH($B2645,PecCod,0)),"Peça não cadastrada"))</f>
        <v>0</v>
      </c>
      <c r="F2645" s="27">
        <f>IF($B2645="","",IF($D2645&lt;&gt;"",$D2645,IFERROR(INDEX(PecPreco,MATCH($B2645,PecCod,0)),0)))</f>
        <v>0</v>
      </c>
      <c r="G2645" s="27">
        <f>IF(OR($B2645="",$C2645=""),"",$C2645*$F2645)</f>
        <v>0</v>
      </c>
      <c r="H2645" s="27">
        <f>IF(OR($B2645="",$C2645=""),"",$C2645*IFERROR(INDEX(PecCusto,MATCH($B2645,PecCod,0)),0))</f>
        <v>0</v>
      </c>
      <c r="I2645" s="32">
        <f>IF($A2645="","",IFERROR(INDEX(OSStatus,MATCH($A2645,OSNum,0)),"OS inexistente"))</f>
        <v>0</v>
      </c>
      <c r="J2645" s="32">
        <f>IF($A2645="","",IF($I2645="OS inexistente","OS inexistente",IF($E2645="Peça não cadastrada","Peça não cadastrada","OK")))</f>
        <v>0</v>
      </c>
    </row>
    <row r="2646" spans="1:10">
      <c r="A2646" s="17"/>
      <c r="B2646" s="13"/>
      <c r="C2646" s="20"/>
      <c r="D2646" s="19"/>
      <c r="E2646" s="26">
        <f>IF($B2646="","",IFERROR(INDEX(PecDesc,MATCH($B2646,PecCod,0)),"Peça não cadastrada"))</f>
        <v>0</v>
      </c>
      <c r="F2646" s="27">
        <f>IF($B2646="","",IF($D2646&lt;&gt;"",$D2646,IFERROR(INDEX(PecPreco,MATCH($B2646,PecCod,0)),0)))</f>
        <v>0</v>
      </c>
      <c r="G2646" s="27">
        <f>IF(OR($B2646="",$C2646=""),"",$C2646*$F2646)</f>
        <v>0</v>
      </c>
      <c r="H2646" s="27">
        <f>IF(OR($B2646="",$C2646=""),"",$C2646*IFERROR(INDEX(PecCusto,MATCH($B2646,PecCod,0)),0))</f>
        <v>0</v>
      </c>
      <c r="I2646" s="32">
        <f>IF($A2646="","",IFERROR(INDEX(OSStatus,MATCH($A2646,OSNum,0)),"OS inexistente"))</f>
        <v>0</v>
      </c>
      <c r="J2646" s="32">
        <f>IF($A2646="","",IF($I2646="OS inexistente","OS inexistente",IF($E2646="Peça não cadastrada","Peça não cadastrada","OK")))</f>
        <v>0</v>
      </c>
    </row>
    <row r="2647" spans="1:10">
      <c r="A2647" s="17"/>
      <c r="B2647" s="13"/>
      <c r="C2647" s="20"/>
      <c r="D2647" s="19"/>
      <c r="E2647" s="26">
        <f>IF($B2647="","",IFERROR(INDEX(PecDesc,MATCH($B2647,PecCod,0)),"Peça não cadastrada"))</f>
        <v>0</v>
      </c>
      <c r="F2647" s="27">
        <f>IF($B2647="","",IF($D2647&lt;&gt;"",$D2647,IFERROR(INDEX(PecPreco,MATCH($B2647,PecCod,0)),0)))</f>
        <v>0</v>
      </c>
      <c r="G2647" s="27">
        <f>IF(OR($B2647="",$C2647=""),"",$C2647*$F2647)</f>
        <v>0</v>
      </c>
      <c r="H2647" s="27">
        <f>IF(OR($B2647="",$C2647=""),"",$C2647*IFERROR(INDEX(PecCusto,MATCH($B2647,PecCod,0)),0))</f>
        <v>0</v>
      </c>
      <c r="I2647" s="32">
        <f>IF($A2647="","",IFERROR(INDEX(OSStatus,MATCH($A2647,OSNum,0)),"OS inexistente"))</f>
        <v>0</v>
      </c>
      <c r="J2647" s="32">
        <f>IF($A2647="","",IF($I2647="OS inexistente","OS inexistente",IF($E2647="Peça não cadastrada","Peça não cadastrada","OK")))</f>
        <v>0</v>
      </c>
    </row>
    <row r="2648" spans="1:10">
      <c r="A2648" s="17"/>
      <c r="B2648" s="13"/>
      <c r="C2648" s="20"/>
      <c r="D2648" s="19"/>
      <c r="E2648" s="26">
        <f>IF($B2648="","",IFERROR(INDEX(PecDesc,MATCH($B2648,PecCod,0)),"Peça não cadastrada"))</f>
        <v>0</v>
      </c>
      <c r="F2648" s="27">
        <f>IF($B2648="","",IF($D2648&lt;&gt;"",$D2648,IFERROR(INDEX(PecPreco,MATCH($B2648,PecCod,0)),0)))</f>
        <v>0</v>
      </c>
      <c r="G2648" s="27">
        <f>IF(OR($B2648="",$C2648=""),"",$C2648*$F2648)</f>
        <v>0</v>
      </c>
      <c r="H2648" s="27">
        <f>IF(OR($B2648="",$C2648=""),"",$C2648*IFERROR(INDEX(PecCusto,MATCH($B2648,PecCod,0)),0))</f>
        <v>0</v>
      </c>
      <c r="I2648" s="32">
        <f>IF($A2648="","",IFERROR(INDEX(OSStatus,MATCH($A2648,OSNum,0)),"OS inexistente"))</f>
        <v>0</v>
      </c>
      <c r="J2648" s="32">
        <f>IF($A2648="","",IF($I2648="OS inexistente","OS inexistente",IF($E2648="Peça não cadastrada","Peça não cadastrada","OK")))</f>
        <v>0</v>
      </c>
    </row>
    <row r="2649" spans="1:10">
      <c r="A2649" s="17"/>
      <c r="B2649" s="13"/>
      <c r="C2649" s="20"/>
      <c r="D2649" s="19"/>
      <c r="E2649" s="26">
        <f>IF($B2649="","",IFERROR(INDEX(PecDesc,MATCH($B2649,PecCod,0)),"Peça não cadastrada"))</f>
        <v>0</v>
      </c>
      <c r="F2649" s="27">
        <f>IF($B2649="","",IF($D2649&lt;&gt;"",$D2649,IFERROR(INDEX(PecPreco,MATCH($B2649,PecCod,0)),0)))</f>
        <v>0</v>
      </c>
      <c r="G2649" s="27">
        <f>IF(OR($B2649="",$C2649=""),"",$C2649*$F2649)</f>
        <v>0</v>
      </c>
      <c r="H2649" s="27">
        <f>IF(OR($B2649="",$C2649=""),"",$C2649*IFERROR(INDEX(PecCusto,MATCH($B2649,PecCod,0)),0))</f>
        <v>0</v>
      </c>
      <c r="I2649" s="32">
        <f>IF($A2649="","",IFERROR(INDEX(OSStatus,MATCH($A2649,OSNum,0)),"OS inexistente"))</f>
        <v>0</v>
      </c>
      <c r="J2649" s="32">
        <f>IF($A2649="","",IF($I2649="OS inexistente","OS inexistente",IF($E2649="Peça não cadastrada","Peça não cadastrada","OK")))</f>
        <v>0</v>
      </c>
    </row>
    <row r="2650" spans="1:10">
      <c r="A2650" s="17"/>
      <c r="B2650" s="13"/>
      <c r="C2650" s="20"/>
      <c r="D2650" s="19"/>
      <c r="E2650" s="26">
        <f>IF($B2650="","",IFERROR(INDEX(PecDesc,MATCH($B2650,PecCod,0)),"Peça não cadastrada"))</f>
        <v>0</v>
      </c>
      <c r="F2650" s="27">
        <f>IF($B2650="","",IF($D2650&lt;&gt;"",$D2650,IFERROR(INDEX(PecPreco,MATCH($B2650,PecCod,0)),0)))</f>
        <v>0</v>
      </c>
      <c r="G2650" s="27">
        <f>IF(OR($B2650="",$C2650=""),"",$C2650*$F2650)</f>
        <v>0</v>
      </c>
      <c r="H2650" s="27">
        <f>IF(OR($B2650="",$C2650=""),"",$C2650*IFERROR(INDEX(PecCusto,MATCH($B2650,PecCod,0)),0))</f>
        <v>0</v>
      </c>
      <c r="I2650" s="32">
        <f>IF($A2650="","",IFERROR(INDEX(OSStatus,MATCH($A2650,OSNum,0)),"OS inexistente"))</f>
        <v>0</v>
      </c>
      <c r="J2650" s="32">
        <f>IF($A2650="","",IF($I2650="OS inexistente","OS inexistente",IF($E2650="Peça não cadastrada","Peça não cadastrada","OK")))</f>
        <v>0</v>
      </c>
    </row>
    <row r="2651" spans="1:10">
      <c r="A2651" s="17"/>
      <c r="B2651" s="13"/>
      <c r="C2651" s="20"/>
      <c r="D2651" s="19"/>
      <c r="E2651" s="26">
        <f>IF($B2651="","",IFERROR(INDEX(PecDesc,MATCH($B2651,PecCod,0)),"Peça não cadastrada"))</f>
        <v>0</v>
      </c>
      <c r="F2651" s="27">
        <f>IF($B2651="","",IF($D2651&lt;&gt;"",$D2651,IFERROR(INDEX(PecPreco,MATCH($B2651,PecCod,0)),0)))</f>
        <v>0</v>
      </c>
      <c r="G2651" s="27">
        <f>IF(OR($B2651="",$C2651=""),"",$C2651*$F2651)</f>
        <v>0</v>
      </c>
      <c r="H2651" s="27">
        <f>IF(OR($B2651="",$C2651=""),"",$C2651*IFERROR(INDEX(PecCusto,MATCH($B2651,PecCod,0)),0))</f>
        <v>0</v>
      </c>
      <c r="I2651" s="32">
        <f>IF($A2651="","",IFERROR(INDEX(OSStatus,MATCH($A2651,OSNum,0)),"OS inexistente"))</f>
        <v>0</v>
      </c>
      <c r="J2651" s="32">
        <f>IF($A2651="","",IF($I2651="OS inexistente","OS inexistente",IF($E2651="Peça não cadastrada","Peça não cadastrada","OK")))</f>
        <v>0</v>
      </c>
    </row>
    <row r="2652" spans="1:10">
      <c r="A2652" s="17"/>
      <c r="B2652" s="13"/>
      <c r="C2652" s="20"/>
      <c r="D2652" s="19"/>
      <c r="E2652" s="26">
        <f>IF($B2652="","",IFERROR(INDEX(PecDesc,MATCH($B2652,PecCod,0)),"Peça não cadastrada"))</f>
        <v>0</v>
      </c>
      <c r="F2652" s="27">
        <f>IF($B2652="","",IF($D2652&lt;&gt;"",$D2652,IFERROR(INDEX(PecPreco,MATCH($B2652,PecCod,0)),0)))</f>
        <v>0</v>
      </c>
      <c r="G2652" s="27">
        <f>IF(OR($B2652="",$C2652=""),"",$C2652*$F2652)</f>
        <v>0</v>
      </c>
      <c r="H2652" s="27">
        <f>IF(OR($B2652="",$C2652=""),"",$C2652*IFERROR(INDEX(PecCusto,MATCH($B2652,PecCod,0)),0))</f>
        <v>0</v>
      </c>
      <c r="I2652" s="32">
        <f>IF($A2652="","",IFERROR(INDEX(OSStatus,MATCH($A2652,OSNum,0)),"OS inexistente"))</f>
        <v>0</v>
      </c>
      <c r="J2652" s="32">
        <f>IF($A2652="","",IF($I2652="OS inexistente","OS inexistente",IF($E2652="Peça não cadastrada","Peça não cadastrada","OK")))</f>
        <v>0</v>
      </c>
    </row>
    <row r="2653" spans="1:10">
      <c r="A2653" s="17"/>
      <c r="B2653" s="13"/>
      <c r="C2653" s="20"/>
      <c r="D2653" s="19"/>
      <c r="E2653" s="26">
        <f>IF($B2653="","",IFERROR(INDEX(PecDesc,MATCH($B2653,PecCod,0)),"Peça não cadastrada"))</f>
        <v>0</v>
      </c>
      <c r="F2653" s="27">
        <f>IF($B2653="","",IF($D2653&lt;&gt;"",$D2653,IFERROR(INDEX(PecPreco,MATCH($B2653,PecCod,0)),0)))</f>
        <v>0</v>
      </c>
      <c r="G2653" s="27">
        <f>IF(OR($B2653="",$C2653=""),"",$C2653*$F2653)</f>
        <v>0</v>
      </c>
      <c r="H2653" s="27">
        <f>IF(OR($B2653="",$C2653=""),"",$C2653*IFERROR(INDEX(PecCusto,MATCH($B2653,PecCod,0)),0))</f>
        <v>0</v>
      </c>
      <c r="I2653" s="32">
        <f>IF($A2653="","",IFERROR(INDEX(OSStatus,MATCH($A2653,OSNum,0)),"OS inexistente"))</f>
        <v>0</v>
      </c>
      <c r="J2653" s="32">
        <f>IF($A2653="","",IF($I2653="OS inexistente","OS inexistente",IF($E2653="Peça não cadastrada","Peça não cadastrada","OK")))</f>
        <v>0</v>
      </c>
    </row>
    <row r="2654" spans="1:10">
      <c r="A2654" s="17"/>
      <c r="B2654" s="13"/>
      <c r="C2654" s="20"/>
      <c r="D2654" s="19"/>
      <c r="E2654" s="26">
        <f>IF($B2654="","",IFERROR(INDEX(PecDesc,MATCH($B2654,PecCod,0)),"Peça não cadastrada"))</f>
        <v>0</v>
      </c>
      <c r="F2654" s="27">
        <f>IF($B2654="","",IF($D2654&lt;&gt;"",$D2654,IFERROR(INDEX(PecPreco,MATCH($B2654,PecCod,0)),0)))</f>
        <v>0</v>
      </c>
      <c r="G2654" s="27">
        <f>IF(OR($B2654="",$C2654=""),"",$C2654*$F2654)</f>
        <v>0</v>
      </c>
      <c r="H2654" s="27">
        <f>IF(OR($B2654="",$C2654=""),"",$C2654*IFERROR(INDEX(PecCusto,MATCH($B2654,PecCod,0)),0))</f>
        <v>0</v>
      </c>
      <c r="I2654" s="32">
        <f>IF($A2654="","",IFERROR(INDEX(OSStatus,MATCH($A2654,OSNum,0)),"OS inexistente"))</f>
        <v>0</v>
      </c>
      <c r="J2654" s="32">
        <f>IF($A2654="","",IF($I2654="OS inexistente","OS inexistente",IF($E2654="Peça não cadastrada","Peça não cadastrada","OK")))</f>
        <v>0</v>
      </c>
    </row>
    <row r="2655" spans="1:10">
      <c r="A2655" s="17"/>
      <c r="B2655" s="13"/>
      <c r="C2655" s="20"/>
      <c r="D2655" s="19"/>
      <c r="E2655" s="26">
        <f>IF($B2655="","",IFERROR(INDEX(PecDesc,MATCH($B2655,PecCod,0)),"Peça não cadastrada"))</f>
        <v>0</v>
      </c>
      <c r="F2655" s="27">
        <f>IF($B2655="","",IF($D2655&lt;&gt;"",$D2655,IFERROR(INDEX(PecPreco,MATCH($B2655,PecCod,0)),0)))</f>
        <v>0</v>
      </c>
      <c r="G2655" s="27">
        <f>IF(OR($B2655="",$C2655=""),"",$C2655*$F2655)</f>
        <v>0</v>
      </c>
      <c r="H2655" s="27">
        <f>IF(OR($B2655="",$C2655=""),"",$C2655*IFERROR(INDEX(PecCusto,MATCH($B2655,PecCod,0)),0))</f>
        <v>0</v>
      </c>
      <c r="I2655" s="32">
        <f>IF($A2655="","",IFERROR(INDEX(OSStatus,MATCH($A2655,OSNum,0)),"OS inexistente"))</f>
        <v>0</v>
      </c>
      <c r="J2655" s="32">
        <f>IF($A2655="","",IF($I2655="OS inexistente","OS inexistente",IF($E2655="Peça não cadastrada","Peça não cadastrada","OK")))</f>
        <v>0</v>
      </c>
    </row>
    <row r="2656" spans="1:10">
      <c r="A2656" s="17"/>
      <c r="B2656" s="13"/>
      <c r="C2656" s="20"/>
      <c r="D2656" s="19"/>
      <c r="E2656" s="26">
        <f>IF($B2656="","",IFERROR(INDEX(PecDesc,MATCH($B2656,PecCod,0)),"Peça não cadastrada"))</f>
        <v>0</v>
      </c>
      <c r="F2656" s="27">
        <f>IF($B2656="","",IF($D2656&lt;&gt;"",$D2656,IFERROR(INDEX(PecPreco,MATCH($B2656,PecCod,0)),0)))</f>
        <v>0</v>
      </c>
      <c r="G2656" s="27">
        <f>IF(OR($B2656="",$C2656=""),"",$C2656*$F2656)</f>
        <v>0</v>
      </c>
      <c r="H2656" s="27">
        <f>IF(OR($B2656="",$C2656=""),"",$C2656*IFERROR(INDEX(PecCusto,MATCH($B2656,PecCod,0)),0))</f>
        <v>0</v>
      </c>
      <c r="I2656" s="32">
        <f>IF($A2656="","",IFERROR(INDEX(OSStatus,MATCH($A2656,OSNum,0)),"OS inexistente"))</f>
        <v>0</v>
      </c>
      <c r="J2656" s="32">
        <f>IF($A2656="","",IF($I2656="OS inexistente","OS inexistente",IF($E2656="Peça não cadastrada","Peça não cadastrada","OK")))</f>
        <v>0</v>
      </c>
    </row>
    <row r="2657" spans="1:10">
      <c r="A2657" s="17"/>
      <c r="B2657" s="13"/>
      <c r="C2657" s="20"/>
      <c r="D2657" s="19"/>
      <c r="E2657" s="26">
        <f>IF($B2657="","",IFERROR(INDEX(PecDesc,MATCH($B2657,PecCod,0)),"Peça não cadastrada"))</f>
        <v>0</v>
      </c>
      <c r="F2657" s="27">
        <f>IF($B2657="","",IF($D2657&lt;&gt;"",$D2657,IFERROR(INDEX(PecPreco,MATCH($B2657,PecCod,0)),0)))</f>
        <v>0</v>
      </c>
      <c r="G2657" s="27">
        <f>IF(OR($B2657="",$C2657=""),"",$C2657*$F2657)</f>
        <v>0</v>
      </c>
      <c r="H2657" s="27">
        <f>IF(OR($B2657="",$C2657=""),"",$C2657*IFERROR(INDEX(PecCusto,MATCH($B2657,PecCod,0)),0))</f>
        <v>0</v>
      </c>
      <c r="I2657" s="32">
        <f>IF($A2657="","",IFERROR(INDEX(OSStatus,MATCH($A2657,OSNum,0)),"OS inexistente"))</f>
        <v>0</v>
      </c>
      <c r="J2657" s="32">
        <f>IF($A2657="","",IF($I2657="OS inexistente","OS inexistente",IF($E2657="Peça não cadastrada","Peça não cadastrada","OK")))</f>
        <v>0</v>
      </c>
    </row>
    <row r="2658" spans="1:10">
      <c r="A2658" s="17"/>
      <c r="B2658" s="13"/>
      <c r="C2658" s="20"/>
      <c r="D2658" s="19"/>
      <c r="E2658" s="26">
        <f>IF($B2658="","",IFERROR(INDEX(PecDesc,MATCH($B2658,PecCod,0)),"Peça não cadastrada"))</f>
        <v>0</v>
      </c>
      <c r="F2658" s="27">
        <f>IF($B2658="","",IF($D2658&lt;&gt;"",$D2658,IFERROR(INDEX(PecPreco,MATCH($B2658,PecCod,0)),0)))</f>
        <v>0</v>
      </c>
      <c r="G2658" s="27">
        <f>IF(OR($B2658="",$C2658=""),"",$C2658*$F2658)</f>
        <v>0</v>
      </c>
      <c r="H2658" s="27">
        <f>IF(OR($B2658="",$C2658=""),"",$C2658*IFERROR(INDEX(PecCusto,MATCH($B2658,PecCod,0)),0))</f>
        <v>0</v>
      </c>
      <c r="I2658" s="32">
        <f>IF($A2658="","",IFERROR(INDEX(OSStatus,MATCH($A2658,OSNum,0)),"OS inexistente"))</f>
        <v>0</v>
      </c>
      <c r="J2658" s="32">
        <f>IF($A2658="","",IF($I2658="OS inexistente","OS inexistente",IF($E2658="Peça não cadastrada","Peça não cadastrada","OK")))</f>
        <v>0</v>
      </c>
    </row>
    <row r="2659" spans="1:10">
      <c r="A2659" s="17"/>
      <c r="B2659" s="13"/>
      <c r="C2659" s="20"/>
      <c r="D2659" s="19"/>
      <c r="E2659" s="26">
        <f>IF($B2659="","",IFERROR(INDEX(PecDesc,MATCH($B2659,PecCod,0)),"Peça não cadastrada"))</f>
        <v>0</v>
      </c>
      <c r="F2659" s="27">
        <f>IF($B2659="","",IF($D2659&lt;&gt;"",$D2659,IFERROR(INDEX(PecPreco,MATCH($B2659,PecCod,0)),0)))</f>
        <v>0</v>
      </c>
      <c r="G2659" s="27">
        <f>IF(OR($B2659="",$C2659=""),"",$C2659*$F2659)</f>
        <v>0</v>
      </c>
      <c r="H2659" s="27">
        <f>IF(OR($B2659="",$C2659=""),"",$C2659*IFERROR(INDEX(PecCusto,MATCH($B2659,PecCod,0)),0))</f>
        <v>0</v>
      </c>
      <c r="I2659" s="32">
        <f>IF($A2659="","",IFERROR(INDEX(OSStatus,MATCH($A2659,OSNum,0)),"OS inexistente"))</f>
        <v>0</v>
      </c>
      <c r="J2659" s="32">
        <f>IF($A2659="","",IF($I2659="OS inexistente","OS inexistente",IF($E2659="Peça não cadastrada","Peça não cadastrada","OK")))</f>
        <v>0</v>
      </c>
    </row>
    <row r="2660" spans="1:10">
      <c r="A2660" s="17"/>
      <c r="B2660" s="13"/>
      <c r="C2660" s="20"/>
      <c r="D2660" s="19"/>
      <c r="E2660" s="26">
        <f>IF($B2660="","",IFERROR(INDEX(PecDesc,MATCH($B2660,PecCod,0)),"Peça não cadastrada"))</f>
        <v>0</v>
      </c>
      <c r="F2660" s="27">
        <f>IF($B2660="","",IF($D2660&lt;&gt;"",$D2660,IFERROR(INDEX(PecPreco,MATCH($B2660,PecCod,0)),0)))</f>
        <v>0</v>
      </c>
      <c r="G2660" s="27">
        <f>IF(OR($B2660="",$C2660=""),"",$C2660*$F2660)</f>
        <v>0</v>
      </c>
      <c r="H2660" s="27">
        <f>IF(OR($B2660="",$C2660=""),"",$C2660*IFERROR(INDEX(PecCusto,MATCH($B2660,PecCod,0)),0))</f>
        <v>0</v>
      </c>
      <c r="I2660" s="32">
        <f>IF($A2660="","",IFERROR(INDEX(OSStatus,MATCH($A2660,OSNum,0)),"OS inexistente"))</f>
        <v>0</v>
      </c>
      <c r="J2660" s="32">
        <f>IF($A2660="","",IF($I2660="OS inexistente","OS inexistente",IF($E2660="Peça não cadastrada","Peça não cadastrada","OK")))</f>
        <v>0</v>
      </c>
    </row>
    <row r="2661" spans="1:10">
      <c r="A2661" s="17"/>
      <c r="B2661" s="13"/>
      <c r="C2661" s="20"/>
      <c r="D2661" s="19"/>
      <c r="E2661" s="26">
        <f>IF($B2661="","",IFERROR(INDEX(PecDesc,MATCH($B2661,PecCod,0)),"Peça não cadastrada"))</f>
        <v>0</v>
      </c>
      <c r="F2661" s="27">
        <f>IF($B2661="","",IF($D2661&lt;&gt;"",$D2661,IFERROR(INDEX(PecPreco,MATCH($B2661,PecCod,0)),0)))</f>
        <v>0</v>
      </c>
      <c r="G2661" s="27">
        <f>IF(OR($B2661="",$C2661=""),"",$C2661*$F2661)</f>
        <v>0</v>
      </c>
      <c r="H2661" s="27">
        <f>IF(OR($B2661="",$C2661=""),"",$C2661*IFERROR(INDEX(PecCusto,MATCH($B2661,PecCod,0)),0))</f>
        <v>0</v>
      </c>
      <c r="I2661" s="32">
        <f>IF($A2661="","",IFERROR(INDEX(OSStatus,MATCH($A2661,OSNum,0)),"OS inexistente"))</f>
        <v>0</v>
      </c>
      <c r="J2661" s="32">
        <f>IF($A2661="","",IF($I2661="OS inexistente","OS inexistente",IF($E2661="Peça não cadastrada","Peça não cadastrada","OK")))</f>
        <v>0</v>
      </c>
    </row>
    <row r="2662" spans="1:10">
      <c r="A2662" s="17"/>
      <c r="B2662" s="13"/>
      <c r="C2662" s="20"/>
      <c r="D2662" s="19"/>
      <c r="E2662" s="26">
        <f>IF($B2662="","",IFERROR(INDEX(PecDesc,MATCH($B2662,PecCod,0)),"Peça não cadastrada"))</f>
        <v>0</v>
      </c>
      <c r="F2662" s="27">
        <f>IF($B2662="","",IF($D2662&lt;&gt;"",$D2662,IFERROR(INDEX(PecPreco,MATCH($B2662,PecCod,0)),0)))</f>
        <v>0</v>
      </c>
      <c r="G2662" s="27">
        <f>IF(OR($B2662="",$C2662=""),"",$C2662*$F2662)</f>
        <v>0</v>
      </c>
      <c r="H2662" s="27">
        <f>IF(OR($B2662="",$C2662=""),"",$C2662*IFERROR(INDEX(PecCusto,MATCH($B2662,PecCod,0)),0))</f>
        <v>0</v>
      </c>
      <c r="I2662" s="32">
        <f>IF($A2662="","",IFERROR(INDEX(OSStatus,MATCH($A2662,OSNum,0)),"OS inexistente"))</f>
        <v>0</v>
      </c>
      <c r="J2662" s="32">
        <f>IF($A2662="","",IF($I2662="OS inexistente","OS inexistente",IF($E2662="Peça não cadastrada","Peça não cadastrada","OK")))</f>
        <v>0</v>
      </c>
    </row>
    <row r="2663" spans="1:10">
      <c r="A2663" s="17"/>
      <c r="B2663" s="13"/>
      <c r="C2663" s="20"/>
      <c r="D2663" s="19"/>
      <c r="E2663" s="26">
        <f>IF($B2663="","",IFERROR(INDEX(PecDesc,MATCH($B2663,PecCod,0)),"Peça não cadastrada"))</f>
        <v>0</v>
      </c>
      <c r="F2663" s="27">
        <f>IF($B2663="","",IF($D2663&lt;&gt;"",$D2663,IFERROR(INDEX(PecPreco,MATCH($B2663,PecCod,0)),0)))</f>
        <v>0</v>
      </c>
      <c r="G2663" s="27">
        <f>IF(OR($B2663="",$C2663=""),"",$C2663*$F2663)</f>
        <v>0</v>
      </c>
      <c r="H2663" s="27">
        <f>IF(OR($B2663="",$C2663=""),"",$C2663*IFERROR(INDEX(PecCusto,MATCH($B2663,PecCod,0)),0))</f>
        <v>0</v>
      </c>
      <c r="I2663" s="32">
        <f>IF($A2663="","",IFERROR(INDEX(OSStatus,MATCH($A2663,OSNum,0)),"OS inexistente"))</f>
        <v>0</v>
      </c>
      <c r="J2663" s="32">
        <f>IF($A2663="","",IF($I2663="OS inexistente","OS inexistente",IF($E2663="Peça não cadastrada","Peça não cadastrada","OK")))</f>
        <v>0</v>
      </c>
    </row>
    <row r="2664" spans="1:10">
      <c r="A2664" s="17"/>
      <c r="B2664" s="13"/>
      <c r="C2664" s="20"/>
      <c r="D2664" s="19"/>
      <c r="E2664" s="26">
        <f>IF($B2664="","",IFERROR(INDEX(PecDesc,MATCH($B2664,PecCod,0)),"Peça não cadastrada"))</f>
        <v>0</v>
      </c>
      <c r="F2664" s="27">
        <f>IF($B2664="","",IF($D2664&lt;&gt;"",$D2664,IFERROR(INDEX(PecPreco,MATCH($B2664,PecCod,0)),0)))</f>
        <v>0</v>
      </c>
      <c r="G2664" s="27">
        <f>IF(OR($B2664="",$C2664=""),"",$C2664*$F2664)</f>
        <v>0</v>
      </c>
      <c r="H2664" s="27">
        <f>IF(OR($B2664="",$C2664=""),"",$C2664*IFERROR(INDEX(PecCusto,MATCH($B2664,PecCod,0)),0))</f>
        <v>0</v>
      </c>
      <c r="I2664" s="32">
        <f>IF($A2664="","",IFERROR(INDEX(OSStatus,MATCH($A2664,OSNum,0)),"OS inexistente"))</f>
        <v>0</v>
      </c>
      <c r="J2664" s="32">
        <f>IF($A2664="","",IF($I2664="OS inexistente","OS inexistente",IF($E2664="Peça não cadastrada","Peça não cadastrada","OK")))</f>
        <v>0</v>
      </c>
    </row>
    <row r="2665" spans="1:10">
      <c r="A2665" s="17"/>
      <c r="B2665" s="13"/>
      <c r="C2665" s="20"/>
      <c r="D2665" s="19"/>
      <c r="E2665" s="26">
        <f>IF($B2665="","",IFERROR(INDEX(PecDesc,MATCH($B2665,PecCod,0)),"Peça não cadastrada"))</f>
        <v>0</v>
      </c>
      <c r="F2665" s="27">
        <f>IF($B2665="","",IF($D2665&lt;&gt;"",$D2665,IFERROR(INDEX(PecPreco,MATCH($B2665,PecCod,0)),0)))</f>
        <v>0</v>
      </c>
      <c r="G2665" s="27">
        <f>IF(OR($B2665="",$C2665=""),"",$C2665*$F2665)</f>
        <v>0</v>
      </c>
      <c r="H2665" s="27">
        <f>IF(OR($B2665="",$C2665=""),"",$C2665*IFERROR(INDEX(PecCusto,MATCH($B2665,PecCod,0)),0))</f>
        <v>0</v>
      </c>
      <c r="I2665" s="32">
        <f>IF($A2665="","",IFERROR(INDEX(OSStatus,MATCH($A2665,OSNum,0)),"OS inexistente"))</f>
        <v>0</v>
      </c>
      <c r="J2665" s="32">
        <f>IF($A2665="","",IF($I2665="OS inexistente","OS inexistente",IF($E2665="Peça não cadastrada","Peça não cadastrada","OK")))</f>
        <v>0</v>
      </c>
    </row>
    <row r="2666" spans="1:10">
      <c r="A2666" s="17"/>
      <c r="B2666" s="13"/>
      <c r="C2666" s="20"/>
      <c r="D2666" s="19"/>
      <c r="E2666" s="26">
        <f>IF($B2666="","",IFERROR(INDEX(PecDesc,MATCH($B2666,PecCod,0)),"Peça não cadastrada"))</f>
        <v>0</v>
      </c>
      <c r="F2666" s="27">
        <f>IF($B2666="","",IF($D2666&lt;&gt;"",$D2666,IFERROR(INDEX(PecPreco,MATCH($B2666,PecCod,0)),0)))</f>
        <v>0</v>
      </c>
      <c r="G2666" s="27">
        <f>IF(OR($B2666="",$C2666=""),"",$C2666*$F2666)</f>
        <v>0</v>
      </c>
      <c r="H2666" s="27">
        <f>IF(OR($B2666="",$C2666=""),"",$C2666*IFERROR(INDEX(PecCusto,MATCH($B2666,PecCod,0)),0))</f>
        <v>0</v>
      </c>
      <c r="I2666" s="32">
        <f>IF($A2666="","",IFERROR(INDEX(OSStatus,MATCH($A2666,OSNum,0)),"OS inexistente"))</f>
        <v>0</v>
      </c>
      <c r="J2666" s="32">
        <f>IF($A2666="","",IF($I2666="OS inexistente","OS inexistente",IF($E2666="Peça não cadastrada","Peça não cadastrada","OK")))</f>
        <v>0</v>
      </c>
    </row>
    <row r="2667" spans="1:10">
      <c r="A2667" s="17"/>
      <c r="B2667" s="13"/>
      <c r="C2667" s="20"/>
      <c r="D2667" s="19"/>
      <c r="E2667" s="26">
        <f>IF($B2667="","",IFERROR(INDEX(PecDesc,MATCH($B2667,PecCod,0)),"Peça não cadastrada"))</f>
        <v>0</v>
      </c>
      <c r="F2667" s="27">
        <f>IF($B2667="","",IF($D2667&lt;&gt;"",$D2667,IFERROR(INDEX(PecPreco,MATCH($B2667,PecCod,0)),0)))</f>
        <v>0</v>
      </c>
      <c r="G2667" s="27">
        <f>IF(OR($B2667="",$C2667=""),"",$C2667*$F2667)</f>
        <v>0</v>
      </c>
      <c r="H2667" s="27">
        <f>IF(OR($B2667="",$C2667=""),"",$C2667*IFERROR(INDEX(PecCusto,MATCH($B2667,PecCod,0)),0))</f>
        <v>0</v>
      </c>
      <c r="I2667" s="32">
        <f>IF($A2667="","",IFERROR(INDEX(OSStatus,MATCH($A2667,OSNum,0)),"OS inexistente"))</f>
        <v>0</v>
      </c>
      <c r="J2667" s="32">
        <f>IF($A2667="","",IF($I2667="OS inexistente","OS inexistente",IF($E2667="Peça não cadastrada","Peça não cadastrada","OK")))</f>
        <v>0</v>
      </c>
    </row>
    <row r="2668" spans="1:10">
      <c r="A2668" s="17"/>
      <c r="B2668" s="13"/>
      <c r="C2668" s="20"/>
      <c r="D2668" s="19"/>
      <c r="E2668" s="26">
        <f>IF($B2668="","",IFERROR(INDEX(PecDesc,MATCH($B2668,PecCod,0)),"Peça não cadastrada"))</f>
        <v>0</v>
      </c>
      <c r="F2668" s="27">
        <f>IF($B2668="","",IF($D2668&lt;&gt;"",$D2668,IFERROR(INDEX(PecPreco,MATCH($B2668,PecCod,0)),0)))</f>
        <v>0</v>
      </c>
      <c r="G2668" s="27">
        <f>IF(OR($B2668="",$C2668=""),"",$C2668*$F2668)</f>
        <v>0</v>
      </c>
      <c r="H2668" s="27">
        <f>IF(OR($B2668="",$C2668=""),"",$C2668*IFERROR(INDEX(PecCusto,MATCH($B2668,PecCod,0)),0))</f>
        <v>0</v>
      </c>
      <c r="I2668" s="32">
        <f>IF($A2668="","",IFERROR(INDEX(OSStatus,MATCH($A2668,OSNum,0)),"OS inexistente"))</f>
        <v>0</v>
      </c>
      <c r="J2668" s="32">
        <f>IF($A2668="","",IF($I2668="OS inexistente","OS inexistente",IF($E2668="Peça não cadastrada","Peça não cadastrada","OK")))</f>
        <v>0</v>
      </c>
    </row>
    <row r="2669" spans="1:10">
      <c r="A2669" s="17"/>
      <c r="B2669" s="13"/>
      <c r="C2669" s="20"/>
      <c r="D2669" s="19"/>
      <c r="E2669" s="26">
        <f>IF($B2669="","",IFERROR(INDEX(PecDesc,MATCH($B2669,PecCod,0)),"Peça não cadastrada"))</f>
        <v>0</v>
      </c>
      <c r="F2669" s="27">
        <f>IF($B2669="","",IF($D2669&lt;&gt;"",$D2669,IFERROR(INDEX(PecPreco,MATCH($B2669,PecCod,0)),0)))</f>
        <v>0</v>
      </c>
      <c r="G2669" s="27">
        <f>IF(OR($B2669="",$C2669=""),"",$C2669*$F2669)</f>
        <v>0</v>
      </c>
      <c r="H2669" s="27">
        <f>IF(OR($B2669="",$C2669=""),"",$C2669*IFERROR(INDEX(PecCusto,MATCH($B2669,PecCod,0)),0))</f>
        <v>0</v>
      </c>
      <c r="I2669" s="32">
        <f>IF($A2669="","",IFERROR(INDEX(OSStatus,MATCH($A2669,OSNum,0)),"OS inexistente"))</f>
        <v>0</v>
      </c>
      <c r="J2669" s="32">
        <f>IF($A2669="","",IF($I2669="OS inexistente","OS inexistente",IF($E2669="Peça não cadastrada","Peça não cadastrada","OK")))</f>
        <v>0</v>
      </c>
    </row>
    <row r="2670" spans="1:10">
      <c r="A2670" s="17"/>
      <c r="B2670" s="13"/>
      <c r="C2670" s="20"/>
      <c r="D2670" s="19"/>
      <c r="E2670" s="26">
        <f>IF($B2670="","",IFERROR(INDEX(PecDesc,MATCH($B2670,PecCod,0)),"Peça não cadastrada"))</f>
        <v>0</v>
      </c>
      <c r="F2670" s="27">
        <f>IF($B2670="","",IF($D2670&lt;&gt;"",$D2670,IFERROR(INDEX(PecPreco,MATCH($B2670,PecCod,0)),0)))</f>
        <v>0</v>
      </c>
      <c r="G2670" s="27">
        <f>IF(OR($B2670="",$C2670=""),"",$C2670*$F2670)</f>
        <v>0</v>
      </c>
      <c r="H2670" s="27">
        <f>IF(OR($B2670="",$C2670=""),"",$C2670*IFERROR(INDEX(PecCusto,MATCH($B2670,PecCod,0)),0))</f>
        <v>0</v>
      </c>
      <c r="I2670" s="32">
        <f>IF($A2670="","",IFERROR(INDEX(OSStatus,MATCH($A2670,OSNum,0)),"OS inexistente"))</f>
        <v>0</v>
      </c>
      <c r="J2670" s="32">
        <f>IF($A2670="","",IF($I2670="OS inexistente","OS inexistente",IF($E2670="Peça não cadastrada","Peça não cadastrada","OK")))</f>
        <v>0</v>
      </c>
    </row>
    <row r="2671" spans="1:10">
      <c r="A2671" s="17"/>
      <c r="B2671" s="13"/>
      <c r="C2671" s="20"/>
      <c r="D2671" s="19"/>
      <c r="E2671" s="26">
        <f>IF($B2671="","",IFERROR(INDEX(PecDesc,MATCH($B2671,PecCod,0)),"Peça não cadastrada"))</f>
        <v>0</v>
      </c>
      <c r="F2671" s="27">
        <f>IF($B2671="","",IF($D2671&lt;&gt;"",$D2671,IFERROR(INDEX(PecPreco,MATCH($B2671,PecCod,0)),0)))</f>
        <v>0</v>
      </c>
      <c r="G2671" s="27">
        <f>IF(OR($B2671="",$C2671=""),"",$C2671*$F2671)</f>
        <v>0</v>
      </c>
      <c r="H2671" s="27">
        <f>IF(OR($B2671="",$C2671=""),"",$C2671*IFERROR(INDEX(PecCusto,MATCH($B2671,PecCod,0)),0))</f>
        <v>0</v>
      </c>
      <c r="I2671" s="32">
        <f>IF($A2671="","",IFERROR(INDEX(OSStatus,MATCH($A2671,OSNum,0)),"OS inexistente"))</f>
        <v>0</v>
      </c>
      <c r="J2671" s="32">
        <f>IF($A2671="","",IF($I2671="OS inexistente","OS inexistente",IF($E2671="Peça não cadastrada","Peça não cadastrada","OK")))</f>
        <v>0</v>
      </c>
    </row>
    <row r="2672" spans="1:10">
      <c r="A2672" s="17"/>
      <c r="B2672" s="13"/>
      <c r="C2672" s="20"/>
      <c r="D2672" s="19"/>
      <c r="E2672" s="26">
        <f>IF($B2672="","",IFERROR(INDEX(PecDesc,MATCH($B2672,PecCod,0)),"Peça não cadastrada"))</f>
        <v>0</v>
      </c>
      <c r="F2672" s="27">
        <f>IF($B2672="","",IF($D2672&lt;&gt;"",$D2672,IFERROR(INDEX(PecPreco,MATCH($B2672,PecCod,0)),0)))</f>
        <v>0</v>
      </c>
      <c r="G2672" s="27">
        <f>IF(OR($B2672="",$C2672=""),"",$C2672*$F2672)</f>
        <v>0</v>
      </c>
      <c r="H2672" s="27">
        <f>IF(OR($B2672="",$C2672=""),"",$C2672*IFERROR(INDEX(PecCusto,MATCH($B2672,PecCod,0)),0))</f>
        <v>0</v>
      </c>
      <c r="I2672" s="32">
        <f>IF($A2672="","",IFERROR(INDEX(OSStatus,MATCH($A2672,OSNum,0)),"OS inexistente"))</f>
        <v>0</v>
      </c>
      <c r="J2672" s="32">
        <f>IF($A2672="","",IF($I2672="OS inexistente","OS inexistente",IF($E2672="Peça não cadastrada","Peça não cadastrada","OK")))</f>
        <v>0</v>
      </c>
    </row>
    <row r="2673" spans="1:10">
      <c r="A2673" s="17"/>
      <c r="B2673" s="13"/>
      <c r="C2673" s="20"/>
      <c r="D2673" s="19"/>
      <c r="E2673" s="26">
        <f>IF($B2673="","",IFERROR(INDEX(PecDesc,MATCH($B2673,PecCod,0)),"Peça não cadastrada"))</f>
        <v>0</v>
      </c>
      <c r="F2673" s="27">
        <f>IF($B2673="","",IF($D2673&lt;&gt;"",$D2673,IFERROR(INDEX(PecPreco,MATCH($B2673,PecCod,0)),0)))</f>
        <v>0</v>
      </c>
      <c r="G2673" s="27">
        <f>IF(OR($B2673="",$C2673=""),"",$C2673*$F2673)</f>
        <v>0</v>
      </c>
      <c r="H2673" s="27">
        <f>IF(OR($B2673="",$C2673=""),"",$C2673*IFERROR(INDEX(PecCusto,MATCH($B2673,PecCod,0)),0))</f>
        <v>0</v>
      </c>
      <c r="I2673" s="32">
        <f>IF($A2673="","",IFERROR(INDEX(OSStatus,MATCH($A2673,OSNum,0)),"OS inexistente"))</f>
        <v>0</v>
      </c>
      <c r="J2673" s="32">
        <f>IF($A2673="","",IF($I2673="OS inexistente","OS inexistente",IF($E2673="Peça não cadastrada","Peça não cadastrada","OK")))</f>
        <v>0</v>
      </c>
    </row>
    <row r="2674" spans="1:10">
      <c r="A2674" s="17"/>
      <c r="B2674" s="13"/>
      <c r="C2674" s="20"/>
      <c r="D2674" s="19"/>
      <c r="E2674" s="26">
        <f>IF($B2674="","",IFERROR(INDEX(PecDesc,MATCH($B2674,PecCod,0)),"Peça não cadastrada"))</f>
        <v>0</v>
      </c>
      <c r="F2674" s="27">
        <f>IF($B2674="","",IF($D2674&lt;&gt;"",$D2674,IFERROR(INDEX(PecPreco,MATCH($B2674,PecCod,0)),0)))</f>
        <v>0</v>
      </c>
      <c r="G2674" s="27">
        <f>IF(OR($B2674="",$C2674=""),"",$C2674*$F2674)</f>
        <v>0</v>
      </c>
      <c r="H2674" s="27">
        <f>IF(OR($B2674="",$C2674=""),"",$C2674*IFERROR(INDEX(PecCusto,MATCH($B2674,PecCod,0)),0))</f>
        <v>0</v>
      </c>
      <c r="I2674" s="32">
        <f>IF($A2674="","",IFERROR(INDEX(OSStatus,MATCH($A2674,OSNum,0)),"OS inexistente"))</f>
        <v>0</v>
      </c>
      <c r="J2674" s="32">
        <f>IF($A2674="","",IF($I2674="OS inexistente","OS inexistente",IF($E2674="Peça não cadastrada","Peça não cadastrada","OK")))</f>
        <v>0</v>
      </c>
    </row>
    <row r="2675" spans="1:10">
      <c r="A2675" s="17"/>
      <c r="B2675" s="13"/>
      <c r="C2675" s="20"/>
      <c r="D2675" s="19"/>
      <c r="E2675" s="26">
        <f>IF($B2675="","",IFERROR(INDEX(PecDesc,MATCH($B2675,PecCod,0)),"Peça não cadastrada"))</f>
        <v>0</v>
      </c>
      <c r="F2675" s="27">
        <f>IF($B2675="","",IF($D2675&lt;&gt;"",$D2675,IFERROR(INDEX(PecPreco,MATCH($B2675,PecCod,0)),0)))</f>
        <v>0</v>
      </c>
      <c r="G2675" s="27">
        <f>IF(OR($B2675="",$C2675=""),"",$C2675*$F2675)</f>
        <v>0</v>
      </c>
      <c r="H2675" s="27">
        <f>IF(OR($B2675="",$C2675=""),"",$C2675*IFERROR(INDEX(PecCusto,MATCH($B2675,PecCod,0)),0))</f>
        <v>0</v>
      </c>
      <c r="I2675" s="32">
        <f>IF($A2675="","",IFERROR(INDEX(OSStatus,MATCH($A2675,OSNum,0)),"OS inexistente"))</f>
        <v>0</v>
      </c>
      <c r="J2675" s="32">
        <f>IF($A2675="","",IF($I2675="OS inexistente","OS inexistente",IF($E2675="Peça não cadastrada","Peça não cadastrada","OK")))</f>
        <v>0</v>
      </c>
    </row>
    <row r="2676" spans="1:10">
      <c r="A2676" s="17"/>
      <c r="B2676" s="13"/>
      <c r="C2676" s="20"/>
      <c r="D2676" s="19"/>
      <c r="E2676" s="26">
        <f>IF($B2676="","",IFERROR(INDEX(PecDesc,MATCH($B2676,PecCod,0)),"Peça não cadastrada"))</f>
        <v>0</v>
      </c>
      <c r="F2676" s="27">
        <f>IF($B2676="","",IF($D2676&lt;&gt;"",$D2676,IFERROR(INDEX(PecPreco,MATCH($B2676,PecCod,0)),0)))</f>
        <v>0</v>
      </c>
      <c r="G2676" s="27">
        <f>IF(OR($B2676="",$C2676=""),"",$C2676*$F2676)</f>
        <v>0</v>
      </c>
      <c r="H2676" s="27">
        <f>IF(OR($B2676="",$C2676=""),"",$C2676*IFERROR(INDEX(PecCusto,MATCH($B2676,PecCod,0)),0))</f>
        <v>0</v>
      </c>
      <c r="I2676" s="32">
        <f>IF($A2676="","",IFERROR(INDEX(OSStatus,MATCH($A2676,OSNum,0)),"OS inexistente"))</f>
        <v>0</v>
      </c>
      <c r="J2676" s="32">
        <f>IF($A2676="","",IF($I2676="OS inexistente","OS inexistente",IF($E2676="Peça não cadastrada","Peça não cadastrada","OK")))</f>
        <v>0</v>
      </c>
    </row>
    <row r="2677" spans="1:10">
      <c r="A2677" s="17"/>
      <c r="B2677" s="13"/>
      <c r="C2677" s="20"/>
      <c r="D2677" s="19"/>
      <c r="E2677" s="26">
        <f>IF($B2677="","",IFERROR(INDEX(PecDesc,MATCH($B2677,PecCod,0)),"Peça não cadastrada"))</f>
        <v>0</v>
      </c>
      <c r="F2677" s="27">
        <f>IF($B2677="","",IF($D2677&lt;&gt;"",$D2677,IFERROR(INDEX(PecPreco,MATCH($B2677,PecCod,0)),0)))</f>
        <v>0</v>
      </c>
      <c r="G2677" s="27">
        <f>IF(OR($B2677="",$C2677=""),"",$C2677*$F2677)</f>
        <v>0</v>
      </c>
      <c r="H2677" s="27">
        <f>IF(OR($B2677="",$C2677=""),"",$C2677*IFERROR(INDEX(PecCusto,MATCH($B2677,PecCod,0)),0))</f>
        <v>0</v>
      </c>
      <c r="I2677" s="32">
        <f>IF($A2677="","",IFERROR(INDEX(OSStatus,MATCH($A2677,OSNum,0)),"OS inexistente"))</f>
        <v>0</v>
      </c>
      <c r="J2677" s="32">
        <f>IF($A2677="","",IF($I2677="OS inexistente","OS inexistente",IF($E2677="Peça não cadastrada","Peça não cadastrada","OK")))</f>
        <v>0</v>
      </c>
    </row>
    <row r="2678" spans="1:10">
      <c r="A2678" s="17"/>
      <c r="B2678" s="13"/>
      <c r="C2678" s="20"/>
      <c r="D2678" s="19"/>
      <c r="E2678" s="26">
        <f>IF($B2678="","",IFERROR(INDEX(PecDesc,MATCH($B2678,PecCod,0)),"Peça não cadastrada"))</f>
        <v>0</v>
      </c>
      <c r="F2678" s="27">
        <f>IF($B2678="","",IF($D2678&lt;&gt;"",$D2678,IFERROR(INDEX(PecPreco,MATCH($B2678,PecCod,0)),0)))</f>
        <v>0</v>
      </c>
      <c r="G2678" s="27">
        <f>IF(OR($B2678="",$C2678=""),"",$C2678*$F2678)</f>
        <v>0</v>
      </c>
      <c r="H2678" s="27">
        <f>IF(OR($B2678="",$C2678=""),"",$C2678*IFERROR(INDEX(PecCusto,MATCH($B2678,PecCod,0)),0))</f>
        <v>0</v>
      </c>
      <c r="I2678" s="32">
        <f>IF($A2678="","",IFERROR(INDEX(OSStatus,MATCH($A2678,OSNum,0)),"OS inexistente"))</f>
        <v>0</v>
      </c>
      <c r="J2678" s="32">
        <f>IF($A2678="","",IF($I2678="OS inexistente","OS inexistente",IF($E2678="Peça não cadastrada","Peça não cadastrada","OK")))</f>
        <v>0</v>
      </c>
    </row>
    <row r="2679" spans="1:10">
      <c r="A2679" s="17"/>
      <c r="B2679" s="13"/>
      <c r="C2679" s="20"/>
      <c r="D2679" s="19"/>
      <c r="E2679" s="26">
        <f>IF($B2679="","",IFERROR(INDEX(PecDesc,MATCH($B2679,PecCod,0)),"Peça não cadastrada"))</f>
        <v>0</v>
      </c>
      <c r="F2679" s="27">
        <f>IF($B2679="","",IF($D2679&lt;&gt;"",$D2679,IFERROR(INDEX(PecPreco,MATCH($B2679,PecCod,0)),0)))</f>
        <v>0</v>
      </c>
      <c r="G2679" s="27">
        <f>IF(OR($B2679="",$C2679=""),"",$C2679*$F2679)</f>
        <v>0</v>
      </c>
      <c r="H2679" s="27">
        <f>IF(OR($B2679="",$C2679=""),"",$C2679*IFERROR(INDEX(PecCusto,MATCH($B2679,PecCod,0)),0))</f>
        <v>0</v>
      </c>
      <c r="I2679" s="32">
        <f>IF($A2679="","",IFERROR(INDEX(OSStatus,MATCH($A2679,OSNum,0)),"OS inexistente"))</f>
        <v>0</v>
      </c>
      <c r="J2679" s="32">
        <f>IF($A2679="","",IF($I2679="OS inexistente","OS inexistente",IF($E2679="Peça não cadastrada","Peça não cadastrada","OK")))</f>
        <v>0</v>
      </c>
    </row>
    <row r="2680" spans="1:10">
      <c r="A2680" s="17"/>
      <c r="B2680" s="13"/>
      <c r="C2680" s="20"/>
      <c r="D2680" s="19"/>
      <c r="E2680" s="26">
        <f>IF($B2680="","",IFERROR(INDEX(PecDesc,MATCH($B2680,PecCod,0)),"Peça não cadastrada"))</f>
        <v>0</v>
      </c>
      <c r="F2680" s="27">
        <f>IF($B2680="","",IF($D2680&lt;&gt;"",$D2680,IFERROR(INDEX(PecPreco,MATCH($B2680,PecCod,0)),0)))</f>
        <v>0</v>
      </c>
      <c r="G2680" s="27">
        <f>IF(OR($B2680="",$C2680=""),"",$C2680*$F2680)</f>
        <v>0</v>
      </c>
      <c r="H2680" s="27">
        <f>IF(OR($B2680="",$C2680=""),"",$C2680*IFERROR(INDEX(PecCusto,MATCH($B2680,PecCod,0)),0))</f>
        <v>0</v>
      </c>
      <c r="I2680" s="32">
        <f>IF($A2680="","",IFERROR(INDEX(OSStatus,MATCH($A2680,OSNum,0)),"OS inexistente"))</f>
        <v>0</v>
      </c>
      <c r="J2680" s="32">
        <f>IF($A2680="","",IF($I2680="OS inexistente","OS inexistente",IF($E2680="Peça não cadastrada","Peça não cadastrada","OK")))</f>
        <v>0</v>
      </c>
    </row>
    <row r="2681" spans="1:10">
      <c r="A2681" s="17"/>
      <c r="B2681" s="13"/>
      <c r="C2681" s="20"/>
      <c r="D2681" s="19"/>
      <c r="E2681" s="26">
        <f>IF($B2681="","",IFERROR(INDEX(PecDesc,MATCH($B2681,PecCod,0)),"Peça não cadastrada"))</f>
        <v>0</v>
      </c>
      <c r="F2681" s="27">
        <f>IF($B2681="","",IF($D2681&lt;&gt;"",$D2681,IFERROR(INDEX(PecPreco,MATCH($B2681,PecCod,0)),0)))</f>
        <v>0</v>
      </c>
      <c r="G2681" s="27">
        <f>IF(OR($B2681="",$C2681=""),"",$C2681*$F2681)</f>
        <v>0</v>
      </c>
      <c r="H2681" s="27">
        <f>IF(OR($B2681="",$C2681=""),"",$C2681*IFERROR(INDEX(PecCusto,MATCH($B2681,PecCod,0)),0))</f>
        <v>0</v>
      </c>
      <c r="I2681" s="32">
        <f>IF($A2681="","",IFERROR(INDEX(OSStatus,MATCH($A2681,OSNum,0)),"OS inexistente"))</f>
        <v>0</v>
      </c>
      <c r="J2681" s="32">
        <f>IF($A2681="","",IF($I2681="OS inexistente","OS inexistente",IF($E2681="Peça não cadastrada","Peça não cadastrada","OK")))</f>
        <v>0</v>
      </c>
    </row>
    <row r="2682" spans="1:10">
      <c r="A2682" s="17"/>
      <c r="B2682" s="13"/>
      <c r="C2682" s="20"/>
      <c r="D2682" s="19"/>
      <c r="E2682" s="26">
        <f>IF($B2682="","",IFERROR(INDEX(PecDesc,MATCH($B2682,PecCod,0)),"Peça não cadastrada"))</f>
        <v>0</v>
      </c>
      <c r="F2682" s="27">
        <f>IF($B2682="","",IF($D2682&lt;&gt;"",$D2682,IFERROR(INDEX(PecPreco,MATCH($B2682,PecCod,0)),0)))</f>
        <v>0</v>
      </c>
      <c r="G2682" s="27">
        <f>IF(OR($B2682="",$C2682=""),"",$C2682*$F2682)</f>
        <v>0</v>
      </c>
      <c r="H2682" s="27">
        <f>IF(OR($B2682="",$C2682=""),"",$C2682*IFERROR(INDEX(PecCusto,MATCH($B2682,PecCod,0)),0))</f>
        <v>0</v>
      </c>
      <c r="I2682" s="32">
        <f>IF($A2682="","",IFERROR(INDEX(OSStatus,MATCH($A2682,OSNum,0)),"OS inexistente"))</f>
        <v>0</v>
      </c>
      <c r="J2682" s="32">
        <f>IF($A2682="","",IF($I2682="OS inexistente","OS inexistente",IF($E2682="Peça não cadastrada","Peça não cadastrada","OK")))</f>
        <v>0</v>
      </c>
    </row>
    <row r="2683" spans="1:10">
      <c r="A2683" s="17"/>
      <c r="B2683" s="13"/>
      <c r="C2683" s="20"/>
      <c r="D2683" s="19"/>
      <c r="E2683" s="26">
        <f>IF($B2683="","",IFERROR(INDEX(PecDesc,MATCH($B2683,PecCod,0)),"Peça não cadastrada"))</f>
        <v>0</v>
      </c>
      <c r="F2683" s="27">
        <f>IF($B2683="","",IF($D2683&lt;&gt;"",$D2683,IFERROR(INDEX(PecPreco,MATCH($B2683,PecCod,0)),0)))</f>
        <v>0</v>
      </c>
      <c r="G2683" s="27">
        <f>IF(OR($B2683="",$C2683=""),"",$C2683*$F2683)</f>
        <v>0</v>
      </c>
      <c r="H2683" s="27">
        <f>IF(OR($B2683="",$C2683=""),"",$C2683*IFERROR(INDEX(PecCusto,MATCH($B2683,PecCod,0)),0))</f>
        <v>0</v>
      </c>
      <c r="I2683" s="32">
        <f>IF($A2683="","",IFERROR(INDEX(OSStatus,MATCH($A2683,OSNum,0)),"OS inexistente"))</f>
        <v>0</v>
      </c>
      <c r="J2683" s="32">
        <f>IF($A2683="","",IF($I2683="OS inexistente","OS inexistente",IF($E2683="Peça não cadastrada","Peça não cadastrada","OK")))</f>
        <v>0</v>
      </c>
    </row>
    <row r="2684" spans="1:10">
      <c r="A2684" s="17"/>
      <c r="B2684" s="13"/>
      <c r="C2684" s="20"/>
      <c r="D2684" s="19"/>
      <c r="E2684" s="26">
        <f>IF($B2684="","",IFERROR(INDEX(PecDesc,MATCH($B2684,PecCod,0)),"Peça não cadastrada"))</f>
        <v>0</v>
      </c>
      <c r="F2684" s="27">
        <f>IF($B2684="","",IF($D2684&lt;&gt;"",$D2684,IFERROR(INDEX(PecPreco,MATCH($B2684,PecCod,0)),0)))</f>
        <v>0</v>
      </c>
      <c r="G2684" s="27">
        <f>IF(OR($B2684="",$C2684=""),"",$C2684*$F2684)</f>
        <v>0</v>
      </c>
      <c r="H2684" s="27">
        <f>IF(OR($B2684="",$C2684=""),"",$C2684*IFERROR(INDEX(PecCusto,MATCH($B2684,PecCod,0)),0))</f>
        <v>0</v>
      </c>
      <c r="I2684" s="32">
        <f>IF($A2684="","",IFERROR(INDEX(OSStatus,MATCH($A2684,OSNum,0)),"OS inexistente"))</f>
        <v>0</v>
      </c>
      <c r="J2684" s="32">
        <f>IF($A2684="","",IF($I2684="OS inexistente","OS inexistente",IF($E2684="Peça não cadastrada","Peça não cadastrada","OK")))</f>
        <v>0</v>
      </c>
    </row>
    <row r="2685" spans="1:10">
      <c r="A2685" s="17"/>
      <c r="B2685" s="13"/>
      <c r="C2685" s="20"/>
      <c r="D2685" s="19"/>
      <c r="E2685" s="26">
        <f>IF($B2685="","",IFERROR(INDEX(PecDesc,MATCH($B2685,PecCod,0)),"Peça não cadastrada"))</f>
        <v>0</v>
      </c>
      <c r="F2685" s="27">
        <f>IF($B2685="","",IF($D2685&lt;&gt;"",$D2685,IFERROR(INDEX(PecPreco,MATCH($B2685,PecCod,0)),0)))</f>
        <v>0</v>
      </c>
      <c r="G2685" s="27">
        <f>IF(OR($B2685="",$C2685=""),"",$C2685*$F2685)</f>
        <v>0</v>
      </c>
      <c r="H2685" s="27">
        <f>IF(OR($B2685="",$C2685=""),"",$C2685*IFERROR(INDEX(PecCusto,MATCH($B2685,PecCod,0)),0))</f>
        <v>0</v>
      </c>
      <c r="I2685" s="32">
        <f>IF($A2685="","",IFERROR(INDEX(OSStatus,MATCH($A2685,OSNum,0)),"OS inexistente"))</f>
        <v>0</v>
      </c>
      <c r="J2685" s="32">
        <f>IF($A2685="","",IF($I2685="OS inexistente","OS inexistente",IF($E2685="Peça não cadastrada","Peça não cadastrada","OK")))</f>
        <v>0</v>
      </c>
    </row>
    <row r="2686" spans="1:10">
      <c r="A2686" s="17"/>
      <c r="B2686" s="13"/>
      <c r="C2686" s="20"/>
      <c r="D2686" s="19"/>
      <c r="E2686" s="26">
        <f>IF($B2686="","",IFERROR(INDEX(PecDesc,MATCH($B2686,PecCod,0)),"Peça não cadastrada"))</f>
        <v>0</v>
      </c>
      <c r="F2686" s="27">
        <f>IF($B2686="","",IF($D2686&lt;&gt;"",$D2686,IFERROR(INDEX(PecPreco,MATCH($B2686,PecCod,0)),0)))</f>
        <v>0</v>
      </c>
      <c r="G2686" s="27">
        <f>IF(OR($B2686="",$C2686=""),"",$C2686*$F2686)</f>
        <v>0</v>
      </c>
      <c r="H2686" s="27">
        <f>IF(OR($B2686="",$C2686=""),"",$C2686*IFERROR(INDEX(PecCusto,MATCH($B2686,PecCod,0)),0))</f>
        <v>0</v>
      </c>
      <c r="I2686" s="32">
        <f>IF($A2686="","",IFERROR(INDEX(OSStatus,MATCH($A2686,OSNum,0)),"OS inexistente"))</f>
        <v>0</v>
      </c>
      <c r="J2686" s="32">
        <f>IF($A2686="","",IF($I2686="OS inexistente","OS inexistente",IF($E2686="Peça não cadastrada","Peça não cadastrada","OK")))</f>
        <v>0</v>
      </c>
    </row>
    <row r="2687" spans="1:10">
      <c r="A2687" s="17"/>
      <c r="B2687" s="13"/>
      <c r="C2687" s="20"/>
      <c r="D2687" s="19"/>
      <c r="E2687" s="26">
        <f>IF($B2687="","",IFERROR(INDEX(PecDesc,MATCH($B2687,PecCod,0)),"Peça não cadastrada"))</f>
        <v>0</v>
      </c>
      <c r="F2687" s="27">
        <f>IF($B2687="","",IF($D2687&lt;&gt;"",$D2687,IFERROR(INDEX(PecPreco,MATCH($B2687,PecCod,0)),0)))</f>
        <v>0</v>
      </c>
      <c r="G2687" s="27">
        <f>IF(OR($B2687="",$C2687=""),"",$C2687*$F2687)</f>
        <v>0</v>
      </c>
      <c r="H2687" s="27">
        <f>IF(OR($B2687="",$C2687=""),"",$C2687*IFERROR(INDEX(PecCusto,MATCH($B2687,PecCod,0)),0))</f>
        <v>0</v>
      </c>
      <c r="I2687" s="32">
        <f>IF($A2687="","",IFERROR(INDEX(OSStatus,MATCH($A2687,OSNum,0)),"OS inexistente"))</f>
        <v>0</v>
      </c>
      <c r="J2687" s="32">
        <f>IF($A2687="","",IF($I2687="OS inexistente","OS inexistente",IF($E2687="Peça não cadastrada","Peça não cadastrada","OK")))</f>
        <v>0</v>
      </c>
    </row>
    <row r="2688" spans="1:10">
      <c r="A2688" s="17"/>
      <c r="B2688" s="13"/>
      <c r="C2688" s="20"/>
      <c r="D2688" s="19"/>
      <c r="E2688" s="26">
        <f>IF($B2688="","",IFERROR(INDEX(PecDesc,MATCH($B2688,PecCod,0)),"Peça não cadastrada"))</f>
        <v>0</v>
      </c>
      <c r="F2688" s="27">
        <f>IF($B2688="","",IF($D2688&lt;&gt;"",$D2688,IFERROR(INDEX(PecPreco,MATCH($B2688,PecCod,0)),0)))</f>
        <v>0</v>
      </c>
      <c r="G2688" s="27">
        <f>IF(OR($B2688="",$C2688=""),"",$C2688*$F2688)</f>
        <v>0</v>
      </c>
      <c r="H2688" s="27">
        <f>IF(OR($B2688="",$C2688=""),"",$C2688*IFERROR(INDEX(PecCusto,MATCH($B2688,PecCod,0)),0))</f>
        <v>0</v>
      </c>
      <c r="I2688" s="32">
        <f>IF($A2688="","",IFERROR(INDEX(OSStatus,MATCH($A2688,OSNum,0)),"OS inexistente"))</f>
        <v>0</v>
      </c>
      <c r="J2688" s="32">
        <f>IF($A2688="","",IF($I2688="OS inexistente","OS inexistente",IF($E2688="Peça não cadastrada","Peça não cadastrada","OK")))</f>
        <v>0</v>
      </c>
    </row>
    <row r="2689" spans="1:10">
      <c r="A2689" s="17"/>
      <c r="B2689" s="13"/>
      <c r="C2689" s="20"/>
      <c r="D2689" s="19"/>
      <c r="E2689" s="26">
        <f>IF($B2689="","",IFERROR(INDEX(PecDesc,MATCH($B2689,PecCod,0)),"Peça não cadastrada"))</f>
        <v>0</v>
      </c>
      <c r="F2689" s="27">
        <f>IF($B2689="","",IF($D2689&lt;&gt;"",$D2689,IFERROR(INDEX(PecPreco,MATCH($B2689,PecCod,0)),0)))</f>
        <v>0</v>
      </c>
      <c r="G2689" s="27">
        <f>IF(OR($B2689="",$C2689=""),"",$C2689*$F2689)</f>
        <v>0</v>
      </c>
      <c r="H2689" s="27">
        <f>IF(OR($B2689="",$C2689=""),"",$C2689*IFERROR(INDEX(PecCusto,MATCH($B2689,PecCod,0)),0))</f>
        <v>0</v>
      </c>
      <c r="I2689" s="32">
        <f>IF($A2689="","",IFERROR(INDEX(OSStatus,MATCH($A2689,OSNum,0)),"OS inexistente"))</f>
        <v>0</v>
      </c>
      <c r="J2689" s="32">
        <f>IF($A2689="","",IF($I2689="OS inexistente","OS inexistente",IF($E2689="Peça não cadastrada","Peça não cadastrada","OK")))</f>
        <v>0</v>
      </c>
    </row>
    <row r="2690" spans="1:10">
      <c r="A2690" s="17"/>
      <c r="B2690" s="13"/>
      <c r="C2690" s="20"/>
      <c r="D2690" s="19"/>
      <c r="E2690" s="26">
        <f>IF($B2690="","",IFERROR(INDEX(PecDesc,MATCH($B2690,PecCod,0)),"Peça não cadastrada"))</f>
        <v>0</v>
      </c>
      <c r="F2690" s="27">
        <f>IF($B2690="","",IF($D2690&lt;&gt;"",$D2690,IFERROR(INDEX(PecPreco,MATCH($B2690,PecCod,0)),0)))</f>
        <v>0</v>
      </c>
      <c r="G2690" s="27">
        <f>IF(OR($B2690="",$C2690=""),"",$C2690*$F2690)</f>
        <v>0</v>
      </c>
      <c r="H2690" s="27">
        <f>IF(OR($B2690="",$C2690=""),"",$C2690*IFERROR(INDEX(PecCusto,MATCH($B2690,PecCod,0)),0))</f>
        <v>0</v>
      </c>
      <c r="I2690" s="32">
        <f>IF($A2690="","",IFERROR(INDEX(OSStatus,MATCH($A2690,OSNum,0)),"OS inexistente"))</f>
        <v>0</v>
      </c>
      <c r="J2690" s="32">
        <f>IF($A2690="","",IF($I2690="OS inexistente","OS inexistente",IF($E2690="Peça não cadastrada","Peça não cadastrada","OK")))</f>
        <v>0</v>
      </c>
    </row>
    <row r="2691" spans="1:10">
      <c r="A2691" s="17"/>
      <c r="B2691" s="13"/>
      <c r="C2691" s="20"/>
      <c r="D2691" s="19"/>
      <c r="E2691" s="26">
        <f>IF($B2691="","",IFERROR(INDEX(PecDesc,MATCH($B2691,PecCod,0)),"Peça não cadastrada"))</f>
        <v>0</v>
      </c>
      <c r="F2691" s="27">
        <f>IF($B2691="","",IF($D2691&lt;&gt;"",$D2691,IFERROR(INDEX(PecPreco,MATCH($B2691,PecCod,0)),0)))</f>
        <v>0</v>
      </c>
      <c r="G2691" s="27">
        <f>IF(OR($B2691="",$C2691=""),"",$C2691*$F2691)</f>
        <v>0</v>
      </c>
      <c r="H2691" s="27">
        <f>IF(OR($B2691="",$C2691=""),"",$C2691*IFERROR(INDEX(PecCusto,MATCH($B2691,PecCod,0)),0))</f>
        <v>0</v>
      </c>
      <c r="I2691" s="32">
        <f>IF($A2691="","",IFERROR(INDEX(OSStatus,MATCH($A2691,OSNum,0)),"OS inexistente"))</f>
        <v>0</v>
      </c>
      <c r="J2691" s="32">
        <f>IF($A2691="","",IF($I2691="OS inexistente","OS inexistente",IF($E2691="Peça não cadastrada","Peça não cadastrada","OK")))</f>
        <v>0</v>
      </c>
    </row>
    <row r="2692" spans="1:10">
      <c r="A2692" s="17"/>
      <c r="B2692" s="13"/>
      <c r="C2692" s="20"/>
      <c r="D2692" s="19"/>
      <c r="E2692" s="26">
        <f>IF($B2692="","",IFERROR(INDEX(PecDesc,MATCH($B2692,PecCod,0)),"Peça não cadastrada"))</f>
        <v>0</v>
      </c>
      <c r="F2692" s="27">
        <f>IF($B2692="","",IF($D2692&lt;&gt;"",$D2692,IFERROR(INDEX(PecPreco,MATCH($B2692,PecCod,0)),0)))</f>
        <v>0</v>
      </c>
      <c r="G2692" s="27">
        <f>IF(OR($B2692="",$C2692=""),"",$C2692*$F2692)</f>
        <v>0</v>
      </c>
      <c r="H2692" s="27">
        <f>IF(OR($B2692="",$C2692=""),"",$C2692*IFERROR(INDEX(PecCusto,MATCH($B2692,PecCod,0)),0))</f>
        <v>0</v>
      </c>
      <c r="I2692" s="32">
        <f>IF($A2692="","",IFERROR(INDEX(OSStatus,MATCH($A2692,OSNum,0)),"OS inexistente"))</f>
        <v>0</v>
      </c>
      <c r="J2692" s="32">
        <f>IF($A2692="","",IF($I2692="OS inexistente","OS inexistente",IF($E2692="Peça não cadastrada","Peça não cadastrada","OK")))</f>
        <v>0</v>
      </c>
    </row>
    <row r="2693" spans="1:10">
      <c r="A2693" s="17"/>
      <c r="B2693" s="13"/>
      <c r="C2693" s="20"/>
      <c r="D2693" s="19"/>
      <c r="E2693" s="26">
        <f>IF($B2693="","",IFERROR(INDEX(PecDesc,MATCH($B2693,PecCod,0)),"Peça não cadastrada"))</f>
        <v>0</v>
      </c>
      <c r="F2693" s="27">
        <f>IF($B2693="","",IF($D2693&lt;&gt;"",$D2693,IFERROR(INDEX(PecPreco,MATCH($B2693,PecCod,0)),0)))</f>
        <v>0</v>
      </c>
      <c r="G2693" s="27">
        <f>IF(OR($B2693="",$C2693=""),"",$C2693*$F2693)</f>
        <v>0</v>
      </c>
      <c r="H2693" s="27">
        <f>IF(OR($B2693="",$C2693=""),"",$C2693*IFERROR(INDEX(PecCusto,MATCH($B2693,PecCod,0)),0))</f>
        <v>0</v>
      </c>
      <c r="I2693" s="32">
        <f>IF($A2693="","",IFERROR(INDEX(OSStatus,MATCH($A2693,OSNum,0)),"OS inexistente"))</f>
        <v>0</v>
      </c>
      <c r="J2693" s="32">
        <f>IF($A2693="","",IF($I2693="OS inexistente","OS inexistente",IF($E2693="Peça não cadastrada","Peça não cadastrada","OK")))</f>
        <v>0</v>
      </c>
    </row>
    <row r="2694" spans="1:10">
      <c r="A2694" s="17"/>
      <c r="B2694" s="13"/>
      <c r="C2694" s="20"/>
      <c r="D2694" s="19"/>
      <c r="E2694" s="26">
        <f>IF($B2694="","",IFERROR(INDEX(PecDesc,MATCH($B2694,PecCod,0)),"Peça não cadastrada"))</f>
        <v>0</v>
      </c>
      <c r="F2694" s="27">
        <f>IF($B2694="","",IF($D2694&lt;&gt;"",$D2694,IFERROR(INDEX(PecPreco,MATCH($B2694,PecCod,0)),0)))</f>
        <v>0</v>
      </c>
      <c r="G2694" s="27">
        <f>IF(OR($B2694="",$C2694=""),"",$C2694*$F2694)</f>
        <v>0</v>
      </c>
      <c r="H2694" s="27">
        <f>IF(OR($B2694="",$C2694=""),"",$C2694*IFERROR(INDEX(PecCusto,MATCH($B2694,PecCod,0)),0))</f>
        <v>0</v>
      </c>
      <c r="I2694" s="32">
        <f>IF($A2694="","",IFERROR(INDEX(OSStatus,MATCH($A2694,OSNum,0)),"OS inexistente"))</f>
        <v>0</v>
      </c>
      <c r="J2694" s="32">
        <f>IF($A2694="","",IF($I2694="OS inexistente","OS inexistente",IF($E2694="Peça não cadastrada","Peça não cadastrada","OK")))</f>
        <v>0</v>
      </c>
    </row>
    <row r="2695" spans="1:10">
      <c r="A2695" s="17"/>
      <c r="B2695" s="13"/>
      <c r="C2695" s="20"/>
      <c r="D2695" s="19"/>
      <c r="E2695" s="26">
        <f>IF($B2695="","",IFERROR(INDEX(PecDesc,MATCH($B2695,PecCod,0)),"Peça não cadastrada"))</f>
        <v>0</v>
      </c>
      <c r="F2695" s="27">
        <f>IF($B2695="","",IF($D2695&lt;&gt;"",$D2695,IFERROR(INDEX(PecPreco,MATCH($B2695,PecCod,0)),0)))</f>
        <v>0</v>
      </c>
      <c r="G2695" s="27">
        <f>IF(OR($B2695="",$C2695=""),"",$C2695*$F2695)</f>
        <v>0</v>
      </c>
      <c r="H2695" s="27">
        <f>IF(OR($B2695="",$C2695=""),"",$C2695*IFERROR(INDEX(PecCusto,MATCH($B2695,PecCod,0)),0))</f>
        <v>0</v>
      </c>
      <c r="I2695" s="32">
        <f>IF($A2695="","",IFERROR(INDEX(OSStatus,MATCH($A2695,OSNum,0)),"OS inexistente"))</f>
        <v>0</v>
      </c>
      <c r="J2695" s="32">
        <f>IF($A2695="","",IF($I2695="OS inexistente","OS inexistente",IF($E2695="Peça não cadastrada","Peça não cadastrada","OK")))</f>
        <v>0</v>
      </c>
    </row>
    <row r="2696" spans="1:10">
      <c r="A2696" s="17"/>
      <c r="B2696" s="13"/>
      <c r="C2696" s="20"/>
      <c r="D2696" s="19"/>
      <c r="E2696" s="26">
        <f>IF($B2696="","",IFERROR(INDEX(PecDesc,MATCH($B2696,PecCod,0)),"Peça não cadastrada"))</f>
        <v>0</v>
      </c>
      <c r="F2696" s="27">
        <f>IF($B2696="","",IF($D2696&lt;&gt;"",$D2696,IFERROR(INDEX(PecPreco,MATCH($B2696,PecCod,0)),0)))</f>
        <v>0</v>
      </c>
      <c r="G2696" s="27">
        <f>IF(OR($B2696="",$C2696=""),"",$C2696*$F2696)</f>
        <v>0</v>
      </c>
      <c r="H2696" s="27">
        <f>IF(OR($B2696="",$C2696=""),"",$C2696*IFERROR(INDEX(PecCusto,MATCH($B2696,PecCod,0)),0))</f>
        <v>0</v>
      </c>
      <c r="I2696" s="32">
        <f>IF($A2696="","",IFERROR(INDEX(OSStatus,MATCH($A2696,OSNum,0)),"OS inexistente"))</f>
        <v>0</v>
      </c>
      <c r="J2696" s="32">
        <f>IF($A2696="","",IF($I2696="OS inexistente","OS inexistente",IF($E2696="Peça não cadastrada","Peça não cadastrada","OK")))</f>
        <v>0</v>
      </c>
    </row>
    <row r="2697" spans="1:10">
      <c r="A2697" s="17"/>
      <c r="B2697" s="13"/>
      <c r="C2697" s="20"/>
      <c r="D2697" s="19"/>
      <c r="E2697" s="26">
        <f>IF($B2697="","",IFERROR(INDEX(PecDesc,MATCH($B2697,PecCod,0)),"Peça não cadastrada"))</f>
        <v>0</v>
      </c>
      <c r="F2697" s="27">
        <f>IF($B2697="","",IF($D2697&lt;&gt;"",$D2697,IFERROR(INDEX(PecPreco,MATCH($B2697,PecCod,0)),0)))</f>
        <v>0</v>
      </c>
      <c r="G2697" s="27">
        <f>IF(OR($B2697="",$C2697=""),"",$C2697*$F2697)</f>
        <v>0</v>
      </c>
      <c r="H2697" s="27">
        <f>IF(OR($B2697="",$C2697=""),"",$C2697*IFERROR(INDEX(PecCusto,MATCH($B2697,PecCod,0)),0))</f>
        <v>0</v>
      </c>
      <c r="I2697" s="32">
        <f>IF($A2697="","",IFERROR(INDEX(OSStatus,MATCH($A2697,OSNum,0)),"OS inexistente"))</f>
        <v>0</v>
      </c>
      <c r="J2697" s="32">
        <f>IF($A2697="","",IF($I2697="OS inexistente","OS inexistente",IF($E2697="Peça não cadastrada","Peça não cadastrada","OK")))</f>
        <v>0</v>
      </c>
    </row>
    <row r="2698" spans="1:10">
      <c r="A2698" s="17"/>
      <c r="B2698" s="13"/>
      <c r="C2698" s="20"/>
      <c r="D2698" s="19"/>
      <c r="E2698" s="26">
        <f>IF($B2698="","",IFERROR(INDEX(PecDesc,MATCH($B2698,PecCod,0)),"Peça não cadastrada"))</f>
        <v>0</v>
      </c>
      <c r="F2698" s="27">
        <f>IF($B2698="","",IF($D2698&lt;&gt;"",$D2698,IFERROR(INDEX(PecPreco,MATCH($B2698,PecCod,0)),0)))</f>
        <v>0</v>
      </c>
      <c r="G2698" s="27">
        <f>IF(OR($B2698="",$C2698=""),"",$C2698*$F2698)</f>
        <v>0</v>
      </c>
      <c r="H2698" s="27">
        <f>IF(OR($B2698="",$C2698=""),"",$C2698*IFERROR(INDEX(PecCusto,MATCH($B2698,PecCod,0)),0))</f>
        <v>0</v>
      </c>
      <c r="I2698" s="32">
        <f>IF($A2698="","",IFERROR(INDEX(OSStatus,MATCH($A2698,OSNum,0)),"OS inexistente"))</f>
        <v>0</v>
      </c>
      <c r="J2698" s="32">
        <f>IF($A2698="","",IF($I2698="OS inexistente","OS inexistente",IF($E2698="Peça não cadastrada","Peça não cadastrada","OK")))</f>
        <v>0</v>
      </c>
    </row>
    <row r="2699" spans="1:10">
      <c r="A2699" s="17"/>
      <c r="B2699" s="13"/>
      <c r="C2699" s="20"/>
      <c r="D2699" s="19"/>
      <c r="E2699" s="26">
        <f>IF($B2699="","",IFERROR(INDEX(PecDesc,MATCH($B2699,PecCod,0)),"Peça não cadastrada"))</f>
        <v>0</v>
      </c>
      <c r="F2699" s="27">
        <f>IF($B2699="","",IF($D2699&lt;&gt;"",$D2699,IFERROR(INDEX(PecPreco,MATCH($B2699,PecCod,0)),0)))</f>
        <v>0</v>
      </c>
      <c r="G2699" s="27">
        <f>IF(OR($B2699="",$C2699=""),"",$C2699*$F2699)</f>
        <v>0</v>
      </c>
      <c r="H2699" s="27">
        <f>IF(OR($B2699="",$C2699=""),"",$C2699*IFERROR(INDEX(PecCusto,MATCH($B2699,PecCod,0)),0))</f>
        <v>0</v>
      </c>
      <c r="I2699" s="32">
        <f>IF($A2699="","",IFERROR(INDEX(OSStatus,MATCH($A2699,OSNum,0)),"OS inexistente"))</f>
        <v>0</v>
      </c>
      <c r="J2699" s="32">
        <f>IF($A2699="","",IF($I2699="OS inexistente","OS inexistente",IF($E2699="Peça não cadastrada","Peça não cadastrada","OK")))</f>
        <v>0</v>
      </c>
    </row>
    <row r="2700" spans="1:10">
      <c r="A2700" s="17"/>
      <c r="B2700" s="13"/>
      <c r="C2700" s="20"/>
      <c r="D2700" s="19"/>
      <c r="E2700" s="26">
        <f>IF($B2700="","",IFERROR(INDEX(PecDesc,MATCH($B2700,PecCod,0)),"Peça não cadastrada"))</f>
        <v>0</v>
      </c>
      <c r="F2700" s="27">
        <f>IF($B2700="","",IF($D2700&lt;&gt;"",$D2700,IFERROR(INDEX(PecPreco,MATCH($B2700,PecCod,0)),0)))</f>
        <v>0</v>
      </c>
      <c r="G2700" s="27">
        <f>IF(OR($B2700="",$C2700=""),"",$C2700*$F2700)</f>
        <v>0</v>
      </c>
      <c r="H2700" s="27">
        <f>IF(OR($B2700="",$C2700=""),"",$C2700*IFERROR(INDEX(PecCusto,MATCH($B2700,PecCod,0)),0))</f>
        <v>0</v>
      </c>
      <c r="I2700" s="32">
        <f>IF($A2700="","",IFERROR(INDEX(OSStatus,MATCH($A2700,OSNum,0)),"OS inexistente"))</f>
        <v>0</v>
      </c>
      <c r="J2700" s="32">
        <f>IF($A2700="","",IF($I2700="OS inexistente","OS inexistente",IF($E2700="Peça não cadastrada","Peça não cadastrada","OK")))</f>
        <v>0</v>
      </c>
    </row>
    <row r="2701" spans="1:10">
      <c r="A2701" s="17"/>
      <c r="B2701" s="13"/>
      <c r="C2701" s="20"/>
      <c r="D2701" s="19"/>
      <c r="E2701" s="26">
        <f>IF($B2701="","",IFERROR(INDEX(PecDesc,MATCH($B2701,PecCod,0)),"Peça não cadastrada"))</f>
        <v>0</v>
      </c>
      <c r="F2701" s="27">
        <f>IF($B2701="","",IF($D2701&lt;&gt;"",$D2701,IFERROR(INDEX(PecPreco,MATCH($B2701,PecCod,0)),0)))</f>
        <v>0</v>
      </c>
      <c r="G2701" s="27">
        <f>IF(OR($B2701="",$C2701=""),"",$C2701*$F2701)</f>
        <v>0</v>
      </c>
      <c r="H2701" s="27">
        <f>IF(OR($B2701="",$C2701=""),"",$C2701*IFERROR(INDEX(PecCusto,MATCH($B2701,PecCod,0)),0))</f>
        <v>0</v>
      </c>
      <c r="I2701" s="32">
        <f>IF($A2701="","",IFERROR(INDEX(OSStatus,MATCH($A2701,OSNum,0)),"OS inexistente"))</f>
        <v>0</v>
      </c>
      <c r="J2701" s="32">
        <f>IF($A2701="","",IF($I2701="OS inexistente","OS inexistente",IF($E2701="Peça não cadastrada","Peça não cadastrada","OK")))</f>
        <v>0</v>
      </c>
    </row>
    <row r="2702" spans="1:10">
      <c r="A2702" s="17"/>
      <c r="B2702" s="13"/>
      <c r="C2702" s="20"/>
      <c r="D2702" s="19"/>
      <c r="E2702" s="26">
        <f>IF($B2702="","",IFERROR(INDEX(PecDesc,MATCH($B2702,PecCod,0)),"Peça não cadastrada"))</f>
        <v>0</v>
      </c>
      <c r="F2702" s="27">
        <f>IF($B2702="","",IF($D2702&lt;&gt;"",$D2702,IFERROR(INDEX(PecPreco,MATCH($B2702,PecCod,0)),0)))</f>
        <v>0</v>
      </c>
      <c r="G2702" s="27">
        <f>IF(OR($B2702="",$C2702=""),"",$C2702*$F2702)</f>
        <v>0</v>
      </c>
      <c r="H2702" s="27">
        <f>IF(OR($B2702="",$C2702=""),"",$C2702*IFERROR(INDEX(PecCusto,MATCH($B2702,PecCod,0)),0))</f>
        <v>0</v>
      </c>
      <c r="I2702" s="32">
        <f>IF($A2702="","",IFERROR(INDEX(OSStatus,MATCH($A2702,OSNum,0)),"OS inexistente"))</f>
        <v>0</v>
      </c>
      <c r="J2702" s="32">
        <f>IF($A2702="","",IF($I2702="OS inexistente","OS inexistente",IF($E2702="Peça não cadastrada","Peça não cadastrada","OK")))</f>
        <v>0</v>
      </c>
    </row>
    <row r="2703" spans="1:10">
      <c r="A2703" s="17"/>
      <c r="B2703" s="13"/>
      <c r="C2703" s="20"/>
      <c r="D2703" s="19"/>
      <c r="E2703" s="26">
        <f>IF($B2703="","",IFERROR(INDEX(PecDesc,MATCH($B2703,PecCod,0)),"Peça não cadastrada"))</f>
        <v>0</v>
      </c>
      <c r="F2703" s="27">
        <f>IF($B2703="","",IF($D2703&lt;&gt;"",$D2703,IFERROR(INDEX(PecPreco,MATCH($B2703,PecCod,0)),0)))</f>
        <v>0</v>
      </c>
      <c r="G2703" s="27">
        <f>IF(OR($B2703="",$C2703=""),"",$C2703*$F2703)</f>
        <v>0</v>
      </c>
      <c r="H2703" s="27">
        <f>IF(OR($B2703="",$C2703=""),"",$C2703*IFERROR(INDEX(PecCusto,MATCH($B2703,PecCod,0)),0))</f>
        <v>0</v>
      </c>
      <c r="I2703" s="32">
        <f>IF($A2703="","",IFERROR(INDEX(OSStatus,MATCH($A2703,OSNum,0)),"OS inexistente"))</f>
        <v>0</v>
      </c>
      <c r="J2703" s="32">
        <f>IF($A2703="","",IF($I2703="OS inexistente","OS inexistente",IF($E2703="Peça não cadastrada","Peça não cadastrada","OK")))</f>
        <v>0</v>
      </c>
    </row>
    <row r="2704" spans="1:10">
      <c r="A2704" s="17"/>
      <c r="B2704" s="13"/>
      <c r="C2704" s="20"/>
      <c r="D2704" s="19"/>
      <c r="E2704" s="26">
        <f>IF($B2704="","",IFERROR(INDEX(PecDesc,MATCH($B2704,PecCod,0)),"Peça não cadastrada"))</f>
        <v>0</v>
      </c>
      <c r="F2704" s="27">
        <f>IF($B2704="","",IF($D2704&lt;&gt;"",$D2704,IFERROR(INDEX(PecPreco,MATCH($B2704,PecCod,0)),0)))</f>
        <v>0</v>
      </c>
      <c r="G2704" s="27">
        <f>IF(OR($B2704="",$C2704=""),"",$C2704*$F2704)</f>
        <v>0</v>
      </c>
      <c r="H2704" s="27">
        <f>IF(OR($B2704="",$C2704=""),"",$C2704*IFERROR(INDEX(PecCusto,MATCH($B2704,PecCod,0)),0))</f>
        <v>0</v>
      </c>
      <c r="I2704" s="32">
        <f>IF($A2704="","",IFERROR(INDEX(OSStatus,MATCH($A2704,OSNum,0)),"OS inexistente"))</f>
        <v>0</v>
      </c>
      <c r="J2704" s="32">
        <f>IF($A2704="","",IF($I2704="OS inexistente","OS inexistente",IF($E2704="Peça não cadastrada","Peça não cadastrada","OK")))</f>
        <v>0</v>
      </c>
    </row>
    <row r="2705" spans="1:10">
      <c r="A2705" s="17"/>
      <c r="B2705" s="13"/>
      <c r="C2705" s="20"/>
      <c r="D2705" s="19"/>
      <c r="E2705" s="26">
        <f>IF($B2705="","",IFERROR(INDEX(PecDesc,MATCH($B2705,PecCod,0)),"Peça não cadastrada"))</f>
        <v>0</v>
      </c>
      <c r="F2705" s="27">
        <f>IF($B2705="","",IF($D2705&lt;&gt;"",$D2705,IFERROR(INDEX(PecPreco,MATCH($B2705,PecCod,0)),0)))</f>
        <v>0</v>
      </c>
      <c r="G2705" s="27">
        <f>IF(OR($B2705="",$C2705=""),"",$C2705*$F2705)</f>
        <v>0</v>
      </c>
      <c r="H2705" s="27">
        <f>IF(OR($B2705="",$C2705=""),"",$C2705*IFERROR(INDEX(PecCusto,MATCH($B2705,PecCod,0)),0))</f>
        <v>0</v>
      </c>
      <c r="I2705" s="32">
        <f>IF($A2705="","",IFERROR(INDEX(OSStatus,MATCH($A2705,OSNum,0)),"OS inexistente"))</f>
        <v>0</v>
      </c>
      <c r="J2705" s="32">
        <f>IF($A2705="","",IF($I2705="OS inexistente","OS inexistente",IF($E2705="Peça não cadastrada","Peça não cadastrada","OK")))</f>
        <v>0</v>
      </c>
    </row>
    <row r="2706" spans="1:10">
      <c r="A2706" s="17"/>
      <c r="B2706" s="13"/>
      <c r="C2706" s="20"/>
      <c r="D2706" s="19"/>
      <c r="E2706" s="26">
        <f>IF($B2706="","",IFERROR(INDEX(PecDesc,MATCH($B2706,PecCod,0)),"Peça não cadastrada"))</f>
        <v>0</v>
      </c>
      <c r="F2706" s="27">
        <f>IF($B2706="","",IF($D2706&lt;&gt;"",$D2706,IFERROR(INDEX(PecPreco,MATCH($B2706,PecCod,0)),0)))</f>
        <v>0</v>
      </c>
      <c r="G2706" s="27">
        <f>IF(OR($B2706="",$C2706=""),"",$C2706*$F2706)</f>
        <v>0</v>
      </c>
      <c r="H2706" s="27">
        <f>IF(OR($B2706="",$C2706=""),"",$C2706*IFERROR(INDEX(PecCusto,MATCH($B2706,PecCod,0)),0))</f>
        <v>0</v>
      </c>
      <c r="I2706" s="32">
        <f>IF($A2706="","",IFERROR(INDEX(OSStatus,MATCH($A2706,OSNum,0)),"OS inexistente"))</f>
        <v>0</v>
      </c>
      <c r="J2706" s="32">
        <f>IF($A2706="","",IF($I2706="OS inexistente","OS inexistente",IF($E2706="Peça não cadastrada","Peça não cadastrada","OK")))</f>
        <v>0</v>
      </c>
    </row>
    <row r="2707" spans="1:10">
      <c r="A2707" s="17"/>
      <c r="B2707" s="13"/>
      <c r="C2707" s="20"/>
      <c r="D2707" s="19"/>
      <c r="E2707" s="26">
        <f>IF($B2707="","",IFERROR(INDEX(PecDesc,MATCH($B2707,PecCod,0)),"Peça não cadastrada"))</f>
        <v>0</v>
      </c>
      <c r="F2707" s="27">
        <f>IF($B2707="","",IF($D2707&lt;&gt;"",$D2707,IFERROR(INDEX(PecPreco,MATCH($B2707,PecCod,0)),0)))</f>
        <v>0</v>
      </c>
      <c r="G2707" s="27">
        <f>IF(OR($B2707="",$C2707=""),"",$C2707*$F2707)</f>
        <v>0</v>
      </c>
      <c r="H2707" s="27">
        <f>IF(OR($B2707="",$C2707=""),"",$C2707*IFERROR(INDEX(PecCusto,MATCH($B2707,PecCod,0)),0))</f>
        <v>0</v>
      </c>
      <c r="I2707" s="32">
        <f>IF($A2707="","",IFERROR(INDEX(OSStatus,MATCH($A2707,OSNum,0)),"OS inexistente"))</f>
        <v>0</v>
      </c>
      <c r="J2707" s="32">
        <f>IF($A2707="","",IF($I2707="OS inexistente","OS inexistente",IF($E2707="Peça não cadastrada","Peça não cadastrada","OK")))</f>
        <v>0</v>
      </c>
    </row>
    <row r="2708" spans="1:10">
      <c r="A2708" s="17"/>
      <c r="B2708" s="13"/>
      <c r="C2708" s="20"/>
      <c r="D2708" s="19"/>
      <c r="E2708" s="26">
        <f>IF($B2708="","",IFERROR(INDEX(PecDesc,MATCH($B2708,PecCod,0)),"Peça não cadastrada"))</f>
        <v>0</v>
      </c>
      <c r="F2708" s="27">
        <f>IF($B2708="","",IF($D2708&lt;&gt;"",$D2708,IFERROR(INDEX(PecPreco,MATCH($B2708,PecCod,0)),0)))</f>
        <v>0</v>
      </c>
      <c r="G2708" s="27">
        <f>IF(OR($B2708="",$C2708=""),"",$C2708*$F2708)</f>
        <v>0</v>
      </c>
      <c r="H2708" s="27">
        <f>IF(OR($B2708="",$C2708=""),"",$C2708*IFERROR(INDEX(PecCusto,MATCH($B2708,PecCod,0)),0))</f>
        <v>0</v>
      </c>
      <c r="I2708" s="32">
        <f>IF($A2708="","",IFERROR(INDEX(OSStatus,MATCH($A2708,OSNum,0)),"OS inexistente"))</f>
        <v>0</v>
      </c>
      <c r="J2708" s="32">
        <f>IF($A2708="","",IF($I2708="OS inexistente","OS inexistente",IF($E2708="Peça não cadastrada","Peça não cadastrada","OK")))</f>
        <v>0</v>
      </c>
    </row>
    <row r="2709" spans="1:10">
      <c r="A2709" s="17"/>
      <c r="B2709" s="13"/>
      <c r="C2709" s="20"/>
      <c r="D2709" s="19"/>
      <c r="E2709" s="26">
        <f>IF($B2709="","",IFERROR(INDEX(PecDesc,MATCH($B2709,PecCod,0)),"Peça não cadastrada"))</f>
        <v>0</v>
      </c>
      <c r="F2709" s="27">
        <f>IF($B2709="","",IF($D2709&lt;&gt;"",$D2709,IFERROR(INDEX(PecPreco,MATCH($B2709,PecCod,0)),0)))</f>
        <v>0</v>
      </c>
      <c r="G2709" s="27">
        <f>IF(OR($B2709="",$C2709=""),"",$C2709*$F2709)</f>
        <v>0</v>
      </c>
      <c r="H2709" s="27">
        <f>IF(OR($B2709="",$C2709=""),"",$C2709*IFERROR(INDEX(PecCusto,MATCH($B2709,PecCod,0)),0))</f>
        <v>0</v>
      </c>
      <c r="I2709" s="32">
        <f>IF($A2709="","",IFERROR(INDEX(OSStatus,MATCH($A2709,OSNum,0)),"OS inexistente"))</f>
        <v>0</v>
      </c>
      <c r="J2709" s="32">
        <f>IF($A2709="","",IF($I2709="OS inexistente","OS inexistente",IF($E2709="Peça não cadastrada","Peça não cadastrada","OK")))</f>
        <v>0</v>
      </c>
    </row>
    <row r="2710" spans="1:10">
      <c r="A2710" s="17"/>
      <c r="B2710" s="13"/>
      <c r="C2710" s="20"/>
      <c r="D2710" s="19"/>
      <c r="E2710" s="26">
        <f>IF($B2710="","",IFERROR(INDEX(PecDesc,MATCH($B2710,PecCod,0)),"Peça não cadastrada"))</f>
        <v>0</v>
      </c>
      <c r="F2710" s="27">
        <f>IF($B2710="","",IF($D2710&lt;&gt;"",$D2710,IFERROR(INDEX(PecPreco,MATCH($B2710,PecCod,0)),0)))</f>
        <v>0</v>
      </c>
      <c r="G2710" s="27">
        <f>IF(OR($B2710="",$C2710=""),"",$C2710*$F2710)</f>
        <v>0</v>
      </c>
      <c r="H2710" s="27">
        <f>IF(OR($B2710="",$C2710=""),"",$C2710*IFERROR(INDEX(PecCusto,MATCH($B2710,PecCod,0)),0))</f>
        <v>0</v>
      </c>
      <c r="I2710" s="32">
        <f>IF($A2710="","",IFERROR(INDEX(OSStatus,MATCH($A2710,OSNum,0)),"OS inexistente"))</f>
        <v>0</v>
      </c>
      <c r="J2710" s="32">
        <f>IF($A2710="","",IF($I2710="OS inexistente","OS inexistente",IF($E2710="Peça não cadastrada","Peça não cadastrada","OK")))</f>
        <v>0</v>
      </c>
    </row>
    <row r="2711" spans="1:10">
      <c r="A2711" s="17"/>
      <c r="B2711" s="13"/>
      <c r="C2711" s="20"/>
      <c r="D2711" s="19"/>
      <c r="E2711" s="26">
        <f>IF($B2711="","",IFERROR(INDEX(PecDesc,MATCH($B2711,PecCod,0)),"Peça não cadastrada"))</f>
        <v>0</v>
      </c>
      <c r="F2711" s="27">
        <f>IF($B2711="","",IF($D2711&lt;&gt;"",$D2711,IFERROR(INDEX(PecPreco,MATCH($B2711,PecCod,0)),0)))</f>
        <v>0</v>
      </c>
      <c r="G2711" s="27">
        <f>IF(OR($B2711="",$C2711=""),"",$C2711*$F2711)</f>
        <v>0</v>
      </c>
      <c r="H2711" s="27">
        <f>IF(OR($B2711="",$C2711=""),"",$C2711*IFERROR(INDEX(PecCusto,MATCH($B2711,PecCod,0)),0))</f>
        <v>0</v>
      </c>
      <c r="I2711" s="32">
        <f>IF($A2711="","",IFERROR(INDEX(OSStatus,MATCH($A2711,OSNum,0)),"OS inexistente"))</f>
        <v>0</v>
      </c>
      <c r="J2711" s="32">
        <f>IF($A2711="","",IF($I2711="OS inexistente","OS inexistente",IF($E2711="Peça não cadastrada","Peça não cadastrada","OK")))</f>
        <v>0</v>
      </c>
    </row>
    <row r="2712" spans="1:10">
      <c r="A2712" s="17"/>
      <c r="B2712" s="13"/>
      <c r="C2712" s="20"/>
      <c r="D2712" s="19"/>
      <c r="E2712" s="26">
        <f>IF($B2712="","",IFERROR(INDEX(PecDesc,MATCH($B2712,PecCod,0)),"Peça não cadastrada"))</f>
        <v>0</v>
      </c>
      <c r="F2712" s="27">
        <f>IF($B2712="","",IF($D2712&lt;&gt;"",$D2712,IFERROR(INDEX(PecPreco,MATCH($B2712,PecCod,0)),0)))</f>
        <v>0</v>
      </c>
      <c r="G2712" s="27">
        <f>IF(OR($B2712="",$C2712=""),"",$C2712*$F2712)</f>
        <v>0</v>
      </c>
      <c r="H2712" s="27">
        <f>IF(OR($B2712="",$C2712=""),"",$C2712*IFERROR(INDEX(PecCusto,MATCH($B2712,PecCod,0)),0))</f>
        <v>0</v>
      </c>
      <c r="I2712" s="32">
        <f>IF($A2712="","",IFERROR(INDEX(OSStatus,MATCH($A2712,OSNum,0)),"OS inexistente"))</f>
        <v>0</v>
      </c>
      <c r="J2712" s="32">
        <f>IF($A2712="","",IF($I2712="OS inexistente","OS inexistente",IF($E2712="Peça não cadastrada","Peça não cadastrada","OK")))</f>
        <v>0</v>
      </c>
    </row>
    <row r="2713" spans="1:10">
      <c r="A2713" s="17"/>
      <c r="B2713" s="13"/>
      <c r="C2713" s="20"/>
      <c r="D2713" s="19"/>
      <c r="E2713" s="26">
        <f>IF($B2713="","",IFERROR(INDEX(PecDesc,MATCH($B2713,PecCod,0)),"Peça não cadastrada"))</f>
        <v>0</v>
      </c>
      <c r="F2713" s="27">
        <f>IF($B2713="","",IF($D2713&lt;&gt;"",$D2713,IFERROR(INDEX(PecPreco,MATCH($B2713,PecCod,0)),0)))</f>
        <v>0</v>
      </c>
      <c r="G2713" s="27">
        <f>IF(OR($B2713="",$C2713=""),"",$C2713*$F2713)</f>
        <v>0</v>
      </c>
      <c r="H2713" s="27">
        <f>IF(OR($B2713="",$C2713=""),"",$C2713*IFERROR(INDEX(PecCusto,MATCH($B2713,PecCod,0)),0))</f>
        <v>0</v>
      </c>
      <c r="I2713" s="32">
        <f>IF($A2713="","",IFERROR(INDEX(OSStatus,MATCH($A2713,OSNum,0)),"OS inexistente"))</f>
        <v>0</v>
      </c>
      <c r="J2713" s="32">
        <f>IF($A2713="","",IF($I2713="OS inexistente","OS inexistente",IF($E2713="Peça não cadastrada","Peça não cadastrada","OK")))</f>
        <v>0</v>
      </c>
    </row>
    <row r="2714" spans="1:10">
      <c r="A2714" s="17"/>
      <c r="B2714" s="13"/>
      <c r="C2714" s="20"/>
      <c r="D2714" s="19"/>
      <c r="E2714" s="26">
        <f>IF($B2714="","",IFERROR(INDEX(PecDesc,MATCH($B2714,PecCod,0)),"Peça não cadastrada"))</f>
        <v>0</v>
      </c>
      <c r="F2714" s="27">
        <f>IF($B2714="","",IF($D2714&lt;&gt;"",$D2714,IFERROR(INDEX(PecPreco,MATCH($B2714,PecCod,0)),0)))</f>
        <v>0</v>
      </c>
      <c r="G2714" s="27">
        <f>IF(OR($B2714="",$C2714=""),"",$C2714*$F2714)</f>
        <v>0</v>
      </c>
      <c r="H2714" s="27">
        <f>IF(OR($B2714="",$C2714=""),"",$C2714*IFERROR(INDEX(PecCusto,MATCH($B2714,PecCod,0)),0))</f>
        <v>0</v>
      </c>
      <c r="I2714" s="32">
        <f>IF($A2714="","",IFERROR(INDEX(OSStatus,MATCH($A2714,OSNum,0)),"OS inexistente"))</f>
        <v>0</v>
      </c>
      <c r="J2714" s="32">
        <f>IF($A2714="","",IF($I2714="OS inexistente","OS inexistente",IF($E2714="Peça não cadastrada","Peça não cadastrada","OK")))</f>
        <v>0</v>
      </c>
    </row>
    <row r="2715" spans="1:10">
      <c r="A2715" s="17"/>
      <c r="B2715" s="13"/>
      <c r="C2715" s="20"/>
      <c r="D2715" s="19"/>
      <c r="E2715" s="26">
        <f>IF($B2715="","",IFERROR(INDEX(PecDesc,MATCH($B2715,PecCod,0)),"Peça não cadastrada"))</f>
        <v>0</v>
      </c>
      <c r="F2715" s="27">
        <f>IF($B2715="","",IF($D2715&lt;&gt;"",$D2715,IFERROR(INDEX(PecPreco,MATCH($B2715,PecCod,0)),0)))</f>
        <v>0</v>
      </c>
      <c r="G2715" s="27">
        <f>IF(OR($B2715="",$C2715=""),"",$C2715*$F2715)</f>
        <v>0</v>
      </c>
      <c r="H2715" s="27">
        <f>IF(OR($B2715="",$C2715=""),"",$C2715*IFERROR(INDEX(PecCusto,MATCH($B2715,PecCod,0)),0))</f>
        <v>0</v>
      </c>
      <c r="I2715" s="32">
        <f>IF($A2715="","",IFERROR(INDEX(OSStatus,MATCH($A2715,OSNum,0)),"OS inexistente"))</f>
        <v>0</v>
      </c>
      <c r="J2715" s="32">
        <f>IF($A2715="","",IF($I2715="OS inexistente","OS inexistente",IF($E2715="Peça não cadastrada","Peça não cadastrada","OK")))</f>
        <v>0</v>
      </c>
    </row>
    <row r="2716" spans="1:10">
      <c r="A2716" s="17"/>
      <c r="B2716" s="13"/>
      <c r="C2716" s="20"/>
      <c r="D2716" s="19"/>
      <c r="E2716" s="26">
        <f>IF($B2716="","",IFERROR(INDEX(PecDesc,MATCH($B2716,PecCod,0)),"Peça não cadastrada"))</f>
        <v>0</v>
      </c>
      <c r="F2716" s="27">
        <f>IF($B2716="","",IF($D2716&lt;&gt;"",$D2716,IFERROR(INDEX(PecPreco,MATCH($B2716,PecCod,0)),0)))</f>
        <v>0</v>
      </c>
      <c r="G2716" s="27">
        <f>IF(OR($B2716="",$C2716=""),"",$C2716*$F2716)</f>
        <v>0</v>
      </c>
      <c r="H2716" s="27">
        <f>IF(OR($B2716="",$C2716=""),"",$C2716*IFERROR(INDEX(PecCusto,MATCH($B2716,PecCod,0)),0))</f>
        <v>0</v>
      </c>
      <c r="I2716" s="32">
        <f>IF($A2716="","",IFERROR(INDEX(OSStatus,MATCH($A2716,OSNum,0)),"OS inexistente"))</f>
        <v>0</v>
      </c>
      <c r="J2716" s="32">
        <f>IF($A2716="","",IF($I2716="OS inexistente","OS inexistente",IF($E2716="Peça não cadastrada","Peça não cadastrada","OK")))</f>
        <v>0</v>
      </c>
    </row>
    <row r="2717" spans="1:10">
      <c r="A2717" s="17"/>
      <c r="B2717" s="13"/>
      <c r="C2717" s="20"/>
      <c r="D2717" s="19"/>
      <c r="E2717" s="26">
        <f>IF($B2717="","",IFERROR(INDEX(PecDesc,MATCH($B2717,PecCod,0)),"Peça não cadastrada"))</f>
        <v>0</v>
      </c>
      <c r="F2717" s="27">
        <f>IF($B2717="","",IF($D2717&lt;&gt;"",$D2717,IFERROR(INDEX(PecPreco,MATCH($B2717,PecCod,0)),0)))</f>
        <v>0</v>
      </c>
      <c r="G2717" s="27">
        <f>IF(OR($B2717="",$C2717=""),"",$C2717*$F2717)</f>
        <v>0</v>
      </c>
      <c r="H2717" s="27">
        <f>IF(OR($B2717="",$C2717=""),"",$C2717*IFERROR(INDEX(PecCusto,MATCH($B2717,PecCod,0)),0))</f>
        <v>0</v>
      </c>
      <c r="I2717" s="32">
        <f>IF($A2717="","",IFERROR(INDEX(OSStatus,MATCH($A2717,OSNum,0)),"OS inexistente"))</f>
        <v>0</v>
      </c>
      <c r="J2717" s="32">
        <f>IF($A2717="","",IF($I2717="OS inexistente","OS inexistente",IF($E2717="Peça não cadastrada","Peça não cadastrada","OK")))</f>
        <v>0</v>
      </c>
    </row>
    <row r="2718" spans="1:10">
      <c r="A2718" s="17"/>
      <c r="B2718" s="13"/>
      <c r="C2718" s="20"/>
      <c r="D2718" s="19"/>
      <c r="E2718" s="26">
        <f>IF($B2718="","",IFERROR(INDEX(PecDesc,MATCH($B2718,PecCod,0)),"Peça não cadastrada"))</f>
        <v>0</v>
      </c>
      <c r="F2718" s="27">
        <f>IF($B2718="","",IF($D2718&lt;&gt;"",$D2718,IFERROR(INDEX(PecPreco,MATCH($B2718,PecCod,0)),0)))</f>
        <v>0</v>
      </c>
      <c r="G2718" s="27">
        <f>IF(OR($B2718="",$C2718=""),"",$C2718*$F2718)</f>
        <v>0</v>
      </c>
      <c r="H2718" s="27">
        <f>IF(OR($B2718="",$C2718=""),"",$C2718*IFERROR(INDEX(PecCusto,MATCH($B2718,PecCod,0)),0))</f>
        <v>0</v>
      </c>
      <c r="I2718" s="32">
        <f>IF($A2718="","",IFERROR(INDEX(OSStatus,MATCH($A2718,OSNum,0)),"OS inexistente"))</f>
        <v>0</v>
      </c>
      <c r="J2718" s="32">
        <f>IF($A2718="","",IF($I2718="OS inexistente","OS inexistente",IF($E2718="Peça não cadastrada","Peça não cadastrada","OK")))</f>
        <v>0</v>
      </c>
    </row>
    <row r="2719" spans="1:10">
      <c r="A2719" s="17"/>
      <c r="B2719" s="13"/>
      <c r="C2719" s="20"/>
      <c r="D2719" s="19"/>
      <c r="E2719" s="26">
        <f>IF($B2719="","",IFERROR(INDEX(PecDesc,MATCH($B2719,PecCod,0)),"Peça não cadastrada"))</f>
        <v>0</v>
      </c>
      <c r="F2719" s="27">
        <f>IF($B2719="","",IF($D2719&lt;&gt;"",$D2719,IFERROR(INDEX(PecPreco,MATCH($B2719,PecCod,0)),0)))</f>
        <v>0</v>
      </c>
      <c r="G2719" s="27">
        <f>IF(OR($B2719="",$C2719=""),"",$C2719*$F2719)</f>
        <v>0</v>
      </c>
      <c r="H2719" s="27">
        <f>IF(OR($B2719="",$C2719=""),"",$C2719*IFERROR(INDEX(PecCusto,MATCH($B2719,PecCod,0)),0))</f>
        <v>0</v>
      </c>
      <c r="I2719" s="32">
        <f>IF($A2719="","",IFERROR(INDEX(OSStatus,MATCH($A2719,OSNum,0)),"OS inexistente"))</f>
        <v>0</v>
      </c>
      <c r="J2719" s="32">
        <f>IF($A2719="","",IF($I2719="OS inexistente","OS inexistente",IF($E2719="Peça não cadastrada","Peça não cadastrada","OK")))</f>
        <v>0</v>
      </c>
    </row>
    <row r="2720" spans="1:10">
      <c r="A2720" s="17"/>
      <c r="B2720" s="13"/>
      <c r="C2720" s="20"/>
      <c r="D2720" s="19"/>
      <c r="E2720" s="26">
        <f>IF($B2720="","",IFERROR(INDEX(PecDesc,MATCH($B2720,PecCod,0)),"Peça não cadastrada"))</f>
        <v>0</v>
      </c>
      <c r="F2720" s="27">
        <f>IF($B2720="","",IF($D2720&lt;&gt;"",$D2720,IFERROR(INDEX(PecPreco,MATCH($B2720,PecCod,0)),0)))</f>
        <v>0</v>
      </c>
      <c r="G2720" s="27">
        <f>IF(OR($B2720="",$C2720=""),"",$C2720*$F2720)</f>
        <v>0</v>
      </c>
      <c r="H2720" s="27">
        <f>IF(OR($B2720="",$C2720=""),"",$C2720*IFERROR(INDEX(PecCusto,MATCH($B2720,PecCod,0)),0))</f>
        <v>0</v>
      </c>
      <c r="I2720" s="32">
        <f>IF($A2720="","",IFERROR(INDEX(OSStatus,MATCH($A2720,OSNum,0)),"OS inexistente"))</f>
        <v>0</v>
      </c>
      <c r="J2720" s="32">
        <f>IF($A2720="","",IF($I2720="OS inexistente","OS inexistente",IF($E2720="Peça não cadastrada","Peça não cadastrada","OK")))</f>
        <v>0</v>
      </c>
    </row>
    <row r="2721" spans="1:10">
      <c r="A2721" s="17"/>
      <c r="B2721" s="13"/>
      <c r="C2721" s="20"/>
      <c r="D2721" s="19"/>
      <c r="E2721" s="26">
        <f>IF($B2721="","",IFERROR(INDEX(PecDesc,MATCH($B2721,PecCod,0)),"Peça não cadastrada"))</f>
        <v>0</v>
      </c>
      <c r="F2721" s="27">
        <f>IF($B2721="","",IF($D2721&lt;&gt;"",$D2721,IFERROR(INDEX(PecPreco,MATCH($B2721,PecCod,0)),0)))</f>
        <v>0</v>
      </c>
      <c r="G2721" s="27">
        <f>IF(OR($B2721="",$C2721=""),"",$C2721*$F2721)</f>
        <v>0</v>
      </c>
      <c r="H2721" s="27">
        <f>IF(OR($B2721="",$C2721=""),"",$C2721*IFERROR(INDEX(PecCusto,MATCH($B2721,PecCod,0)),0))</f>
        <v>0</v>
      </c>
      <c r="I2721" s="32">
        <f>IF($A2721="","",IFERROR(INDEX(OSStatus,MATCH($A2721,OSNum,0)),"OS inexistente"))</f>
        <v>0</v>
      </c>
      <c r="J2721" s="32">
        <f>IF($A2721="","",IF($I2721="OS inexistente","OS inexistente",IF($E2721="Peça não cadastrada","Peça não cadastrada","OK")))</f>
        <v>0</v>
      </c>
    </row>
    <row r="2722" spans="1:10">
      <c r="A2722" s="17"/>
      <c r="B2722" s="13"/>
      <c r="C2722" s="20"/>
      <c r="D2722" s="19"/>
      <c r="E2722" s="26">
        <f>IF($B2722="","",IFERROR(INDEX(PecDesc,MATCH($B2722,PecCod,0)),"Peça não cadastrada"))</f>
        <v>0</v>
      </c>
      <c r="F2722" s="27">
        <f>IF($B2722="","",IF($D2722&lt;&gt;"",$D2722,IFERROR(INDEX(PecPreco,MATCH($B2722,PecCod,0)),0)))</f>
        <v>0</v>
      </c>
      <c r="G2722" s="27">
        <f>IF(OR($B2722="",$C2722=""),"",$C2722*$F2722)</f>
        <v>0</v>
      </c>
      <c r="H2722" s="27">
        <f>IF(OR($B2722="",$C2722=""),"",$C2722*IFERROR(INDEX(PecCusto,MATCH($B2722,PecCod,0)),0))</f>
        <v>0</v>
      </c>
      <c r="I2722" s="32">
        <f>IF($A2722="","",IFERROR(INDEX(OSStatus,MATCH($A2722,OSNum,0)),"OS inexistente"))</f>
        <v>0</v>
      </c>
      <c r="J2722" s="32">
        <f>IF($A2722="","",IF($I2722="OS inexistente","OS inexistente",IF($E2722="Peça não cadastrada","Peça não cadastrada","OK")))</f>
        <v>0</v>
      </c>
    </row>
    <row r="2723" spans="1:10">
      <c r="A2723" s="17"/>
      <c r="B2723" s="13"/>
      <c r="C2723" s="20"/>
      <c r="D2723" s="19"/>
      <c r="E2723" s="26">
        <f>IF($B2723="","",IFERROR(INDEX(PecDesc,MATCH($B2723,PecCod,0)),"Peça não cadastrada"))</f>
        <v>0</v>
      </c>
      <c r="F2723" s="27">
        <f>IF($B2723="","",IF($D2723&lt;&gt;"",$D2723,IFERROR(INDEX(PecPreco,MATCH($B2723,PecCod,0)),0)))</f>
        <v>0</v>
      </c>
      <c r="G2723" s="27">
        <f>IF(OR($B2723="",$C2723=""),"",$C2723*$F2723)</f>
        <v>0</v>
      </c>
      <c r="H2723" s="27">
        <f>IF(OR($B2723="",$C2723=""),"",$C2723*IFERROR(INDEX(PecCusto,MATCH($B2723,PecCod,0)),0))</f>
        <v>0</v>
      </c>
      <c r="I2723" s="32">
        <f>IF($A2723="","",IFERROR(INDEX(OSStatus,MATCH($A2723,OSNum,0)),"OS inexistente"))</f>
        <v>0</v>
      </c>
      <c r="J2723" s="32">
        <f>IF($A2723="","",IF($I2723="OS inexistente","OS inexistente",IF($E2723="Peça não cadastrada","Peça não cadastrada","OK")))</f>
        <v>0</v>
      </c>
    </row>
    <row r="2724" spans="1:10">
      <c r="A2724" s="17"/>
      <c r="B2724" s="13"/>
      <c r="C2724" s="20"/>
      <c r="D2724" s="19"/>
      <c r="E2724" s="26">
        <f>IF($B2724="","",IFERROR(INDEX(PecDesc,MATCH($B2724,PecCod,0)),"Peça não cadastrada"))</f>
        <v>0</v>
      </c>
      <c r="F2724" s="27">
        <f>IF($B2724="","",IF($D2724&lt;&gt;"",$D2724,IFERROR(INDEX(PecPreco,MATCH($B2724,PecCod,0)),0)))</f>
        <v>0</v>
      </c>
      <c r="G2724" s="27">
        <f>IF(OR($B2724="",$C2724=""),"",$C2724*$F2724)</f>
        <v>0</v>
      </c>
      <c r="H2724" s="27">
        <f>IF(OR($B2724="",$C2724=""),"",$C2724*IFERROR(INDEX(PecCusto,MATCH($B2724,PecCod,0)),0))</f>
        <v>0</v>
      </c>
      <c r="I2724" s="32">
        <f>IF($A2724="","",IFERROR(INDEX(OSStatus,MATCH($A2724,OSNum,0)),"OS inexistente"))</f>
        <v>0</v>
      </c>
      <c r="J2724" s="32">
        <f>IF($A2724="","",IF($I2724="OS inexistente","OS inexistente",IF($E2724="Peça não cadastrada","Peça não cadastrada","OK")))</f>
        <v>0</v>
      </c>
    </row>
    <row r="2725" spans="1:10">
      <c r="A2725" s="17"/>
      <c r="B2725" s="13"/>
      <c r="C2725" s="20"/>
      <c r="D2725" s="19"/>
      <c r="E2725" s="26">
        <f>IF($B2725="","",IFERROR(INDEX(PecDesc,MATCH($B2725,PecCod,0)),"Peça não cadastrada"))</f>
        <v>0</v>
      </c>
      <c r="F2725" s="27">
        <f>IF($B2725="","",IF($D2725&lt;&gt;"",$D2725,IFERROR(INDEX(PecPreco,MATCH($B2725,PecCod,0)),0)))</f>
        <v>0</v>
      </c>
      <c r="G2725" s="27">
        <f>IF(OR($B2725="",$C2725=""),"",$C2725*$F2725)</f>
        <v>0</v>
      </c>
      <c r="H2725" s="27">
        <f>IF(OR($B2725="",$C2725=""),"",$C2725*IFERROR(INDEX(PecCusto,MATCH($B2725,PecCod,0)),0))</f>
        <v>0</v>
      </c>
      <c r="I2725" s="32">
        <f>IF($A2725="","",IFERROR(INDEX(OSStatus,MATCH($A2725,OSNum,0)),"OS inexistente"))</f>
        <v>0</v>
      </c>
      <c r="J2725" s="32">
        <f>IF($A2725="","",IF($I2725="OS inexistente","OS inexistente",IF($E2725="Peça não cadastrada","Peça não cadastrada","OK")))</f>
        <v>0</v>
      </c>
    </row>
    <row r="2726" spans="1:10">
      <c r="A2726" s="17"/>
      <c r="B2726" s="13"/>
      <c r="C2726" s="20"/>
      <c r="D2726" s="19"/>
      <c r="E2726" s="26">
        <f>IF($B2726="","",IFERROR(INDEX(PecDesc,MATCH($B2726,PecCod,0)),"Peça não cadastrada"))</f>
        <v>0</v>
      </c>
      <c r="F2726" s="27">
        <f>IF($B2726="","",IF($D2726&lt;&gt;"",$D2726,IFERROR(INDEX(PecPreco,MATCH($B2726,PecCod,0)),0)))</f>
        <v>0</v>
      </c>
      <c r="G2726" s="27">
        <f>IF(OR($B2726="",$C2726=""),"",$C2726*$F2726)</f>
        <v>0</v>
      </c>
      <c r="H2726" s="27">
        <f>IF(OR($B2726="",$C2726=""),"",$C2726*IFERROR(INDEX(PecCusto,MATCH($B2726,PecCod,0)),0))</f>
        <v>0</v>
      </c>
      <c r="I2726" s="32">
        <f>IF($A2726="","",IFERROR(INDEX(OSStatus,MATCH($A2726,OSNum,0)),"OS inexistente"))</f>
        <v>0</v>
      </c>
      <c r="J2726" s="32">
        <f>IF($A2726="","",IF($I2726="OS inexistente","OS inexistente",IF($E2726="Peça não cadastrada","Peça não cadastrada","OK")))</f>
        <v>0</v>
      </c>
    </row>
    <row r="2727" spans="1:10">
      <c r="A2727" s="17"/>
      <c r="B2727" s="13"/>
      <c r="C2727" s="20"/>
      <c r="D2727" s="19"/>
      <c r="E2727" s="26">
        <f>IF($B2727="","",IFERROR(INDEX(PecDesc,MATCH($B2727,PecCod,0)),"Peça não cadastrada"))</f>
        <v>0</v>
      </c>
      <c r="F2727" s="27">
        <f>IF($B2727="","",IF($D2727&lt;&gt;"",$D2727,IFERROR(INDEX(PecPreco,MATCH($B2727,PecCod,0)),0)))</f>
        <v>0</v>
      </c>
      <c r="G2727" s="27">
        <f>IF(OR($B2727="",$C2727=""),"",$C2727*$F2727)</f>
        <v>0</v>
      </c>
      <c r="H2727" s="27">
        <f>IF(OR($B2727="",$C2727=""),"",$C2727*IFERROR(INDEX(PecCusto,MATCH($B2727,PecCod,0)),0))</f>
        <v>0</v>
      </c>
      <c r="I2727" s="32">
        <f>IF($A2727="","",IFERROR(INDEX(OSStatus,MATCH($A2727,OSNum,0)),"OS inexistente"))</f>
        <v>0</v>
      </c>
      <c r="J2727" s="32">
        <f>IF($A2727="","",IF($I2727="OS inexistente","OS inexistente",IF($E2727="Peça não cadastrada","Peça não cadastrada","OK")))</f>
        <v>0</v>
      </c>
    </row>
    <row r="2728" spans="1:10">
      <c r="A2728" s="17"/>
      <c r="B2728" s="13"/>
      <c r="C2728" s="20"/>
      <c r="D2728" s="19"/>
      <c r="E2728" s="26">
        <f>IF($B2728="","",IFERROR(INDEX(PecDesc,MATCH($B2728,PecCod,0)),"Peça não cadastrada"))</f>
        <v>0</v>
      </c>
      <c r="F2728" s="27">
        <f>IF($B2728="","",IF($D2728&lt;&gt;"",$D2728,IFERROR(INDEX(PecPreco,MATCH($B2728,PecCod,0)),0)))</f>
        <v>0</v>
      </c>
      <c r="G2728" s="27">
        <f>IF(OR($B2728="",$C2728=""),"",$C2728*$F2728)</f>
        <v>0</v>
      </c>
      <c r="H2728" s="27">
        <f>IF(OR($B2728="",$C2728=""),"",$C2728*IFERROR(INDEX(PecCusto,MATCH($B2728,PecCod,0)),0))</f>
        <v>0</v>
      </c>
      <c r="I2728" s="32">
        <f>IF($A2728="","",IFERROR(INDEX(OSStatus,MATCH($A2728,OSNum,0)),"OS inexistente"))</f>
        <v>0</v>
      </c>
      <c r="J2728" s="32">
        <f>IF($A2728="","",IF($I2728="OS inexistente","OS inexistente",IF($E2728="Peça não cadastrada","Peça não cadastrada","OK")))</f>
        <v>0</v>
      </c>
    </row>
    <row r="2729" spans="1:10">
      <c r="A2729" s="17"/>
      <c r="B2729" s="13"/>
      <c r="C2729" s="20"/>
      <c r="D2729" s="19"/>
      <c r="E2729" s="26">
        <f>IF($B2729="","",IFERROR(INDEX(PecDesc,MATCH($B2729,PecCod,0)),"Peça não cadastrada"))</f>
        <v>0</v>
      </c>
      <c r="F2729" s="27">
        <f>IF($B2729="","",IF($D2729&lt;&gt;"",$D2729,IFERROR(INDEX(PecPreco,MATCH($B2729,PecCod,0)),0)))</f>
        <v>0</v>
      </c>
      <c r="G2729" s="27">
        <f>IF(OR($B2729="",$C2729=""),"",$C2729*$F2729)</f>
        <v>0</v>
      </c>
      <c r="H2729" s="27">
        <f>IF(OR($B2729="",$C2729=""),"",$C2729*IFERROR(INDEX(PecCusto,MATCH($B2729,PecCod,0)),0))</f>
        <v>0</v>
      </c>
      <c r="I2729" s="32">
        <f>IF($A2729="","",IFERROR(INDEX(OSStatus,MATCH($A2729,OSNum,0)),"OS inexistente"))</f>
        <v>0</v>
      </c>
      <c r="J2729" s="32">
        <f>IF($A2729="","",IF($I2729="OS inexistente","OS inexistente",IF($E2729="Peça não cadastrada","Peça não cadastrada","OK")))</f>
        <v>0</v>
      </c>
    </row>
    <row r="2730" spans="1:10">
      <c r="A2730" s="17"/>
      <c r="B2730" s="13"/>
      <c r="C2730" s="20"/>
      <c r="D2730" s="19"/>
      <c r="E2730" s="26">
        <f>IF($B2730="","",IFERROR(INDEX(PecDesc,MATCH($B2730,PecCod,0)),"Peça não cadastrada"))</f>
        <v>0</v>
      </c>
      <c r="F2730" s="27">
        <f>IF($B2730="","",IF($D2730&lt;&gt;"",$D2730,IFERROR(INDEX(PecPreco,MATCH($B2730,PecCod,0)),0)))</f>
        <v>0</v>
      </c>
      <c r="G2730" s="27">
        <f>IF(OR($B2730="",$C2730=""),"",$C2730*$F2730)</f>
        <v>0</v>
      </c>
      <c r="H2730" s="27">
        <f>IF(OR($B2730="",$C2730=""),"",$C2730*IFERROR(INDEX(PecCusto,MATCH($B2730,PecCod,0)),0))</f>
        <v>0</v>
      </c>
      <c r="I2730" s="32">
        <f>IF($A2730="","",IFERROR(INDEX(OSStatus,MATCH($A2730,OSNum,0)),"OS inexistente"))</f>
        <v>0</v>
      </c>
      <c r="J2730" s="32">
        <f>IF($A2730="","",IF($I2730="OS inexistente","OS inexistente",IF($E2730="Peça não cadastrada","Peça não cadastrada","OK")))</f>
        <v>0</v>
      </c>
    </row>
    <row r="2731" spans="1:10">
      <c r="A2731" s="17"/>
      <c r="B2731" s="13"/>
      <c r="C2731" s="20"/>
      <c r="D2731" s="19"/>
      <c r="E2731" s="26">
        <f>IF($B2731="","",IFERROR(INDEX(PecDesc,MATCH($B2731,PecCod,0)),"Peça não cadastrada"))</f>
        <v>0</v>
      </c>
      <c r="F2731" s="27">
        <f>IF($B2731="","",IF($D2731&lt;&gt;"",$D2731,IFERROR(INDEX(PecPreco,MATCH($B2731,PecCod,0)),0)))</f>
        <v>0</v>
      </c>
      <c r="G2731" s="27">
        <f>IF(OR($B2731="",$C2731=""),"",$C2731*$F2731)</f>
        <v>0</v>
      </c>
      <c r="H2731" s="27">
        <f>IF(OR($B2731="",$C2731=""),"",$C2731*IFERROR(INDEX(PecCusto,MATCH($B2731,PecCod,0)),0))</f>
        <v>0</v>
      </c>
      <c r="I2731" s="32">
        <f>IF($A2731="","",IFERROR(INDEX(OSStatus,MATCH($A2731,OSNum,0)),"OS inexistente"))</f>
        <v>0</v>
      </c>
      <c r="J2731" s="32">
        <f>IF($A2731="","",IF($I2731="OS inexistente","OS inexistente",IF($E2731="Peça não cadastrada","Peça não cadastrada","OK")))</f>
        <v>0</v>
      </c>
    </row>
    <row r="2732" spans="1:10">
      <c r="A2732" s="17"/>
      <c r="B2732" s="13"/>
      <c r="C2732" s="20"/>
      <c r="D2732" s="19"/>
      <c r="E2732" s="26">
        <f>IF($B2732="","",IFERROR(INDEX(PecDesc,MATCH($B2732,PecCod,0)),"Peça não cadastrada"))</f>
        <v>0</v>
      </c>
      <c r="F2732" s="27">
        <f>IF($B2732="","",IF($D2732&lt;&gt;"",$D2732,IFERROR(INDEX(PecPreco,MATCH($B2732,PecCod,0)),0)))</f>
        <v>0</v>
      </c>
      <c r="G2732" s="27">
        <f>IF(OR($B2732="",$C2732=""),"",$C2732*$F2732)</f>
        <v>0</v>
      </c>
      <c r="H2732" s="27">
        <f>IF(OR($B2732="",$C2732=""),"",$C2732*IFERROR(INDEX(PecCusto,MATCH($B2732,PecCod,0)),0))</f>
        <v>0</v>
      </c>
      <c r="I2732" s="32">
        <f>IF($A2732="","",IFERROR(INDEX(OSStatus,MATCH($A2732,OSNum,0)),"OS inexistente"))</f>
        <v>0</v>
      </c>
      <c r="J2732" s="32">
        <f>IF($A2732="","",IF($I2732="OS inexistente","OS inexistente",IF($E2732="Peça não cadastrada","Peça não cadastrada","OK")))</f>
        <v>0</v>
      </c>
    </row>
    <row r="2733" spans="1:10">
      <c r="A2733" s="17"/>
      <c r="B2733" s="13"/>
      <c r="C2733" s="20"/>
      <c r="D2733" s="19"/>
      <c r="E2733" s="26">
        <f>IF($B2733="","",IFERROR(INDEX(PecDesc,MATCH($B2733,PecCod,0)),"Peça não cadastrada"))</f>
        <v>0</v>
      </c>
      <c r="F2733" s="27">
        <f>IF($B2733="","",IF($D2733&lt;&gt;"",$D2733,IFERROR(INDEX(PecPreco,MATCH($B2733,PecCod,0)),0)))</f>
        <v>0</v>
      </c>
      <c r="G2733" s="27">
        <f>IF(OR($B2733="",$C2733=""),"",$C2733*$F2733)</f>
        <v>0</v>
      </c>
      <c r="H2733" s="27">
        <f>IF(OR($B2733="",$C2733=""),"",$C2733*IFERROR(INDEX(PecCusto,MATCH($B2733,PecCod,0)),0))</f>
        <v>0</v>
      </c>
      <c r="I2733" s="32">
        <f>IF($A2733="","",IFERROR(INDEX(OSStatus,MATCH($A2733,OSNum,0)),"OS inexistente"))</f>
        <v>0</v>
      </c>
      <c r="J2733" s="32">
        <f>IF($A2733="","",IF($I2733="OS inexistente","OS inexistente",IF($E2733="Peça não cadastrada","Peça não cadastrada","OK")))</f>
        <v>0</v>
      </c>
    </row>
    <row r="2734" spans="1:10">
      <c r="A2734" s="17"/>
      <c r="B2734" s="13"/>
      <c r="C2734" s="20"/>
      <c r="D2734" s="19"/>
      <c r="E2734" s="26">
        <f>IF($B2734="","",IFERROR(INDEX(PecDesc,MATCH($B2734,PecCod,0)),"Peça não cadastrada"))</f>
        <v>0</v>
      </c>
      <c r="F2734" s="27">
        <f>IF($B2734="","",IF($D2734&lt;&gt;"",$D2734,IFERROR(INDEX(PecPreco,MATCH($B2734,PecCod,0)),0)))</f>
        <v>0</v>
      </c>
      <c r="G2734" s="27">
        <f>IF(OR($B2734="",$C2734=""),"",$C2734*$F2734)</f>
        <v>0</v>
      </c>
      <c r="H2734" s="27">
        <f>IF(OR($B2734="",$C2734=""),"",$C2734*IFERROR(INDEX(PecCusto,MATCH($B2734,PecCod,0)),0))</f>
        <v>0</v>
      </c>
      <c r="I2734" s="32">
        <f>IF($A2734="","",IFERROR(INDEX(OSStatus,MATCH($A2734,OSNum,0)),"OS inexistente"))</f>
        <v>0</v>
      </c>
      <c r="J2734" s="32">
        <f>IF($A2734="","",IF($I2734="OS inexistente","OS inexistente",IF($E2734="Peça não cadastrada","Peça não cadastrada","OK")))</f>
        <v>0</v>
      </c>
    </row>
    <row r="2735" spans="1:10">
      <c r="A2735" s="17"/>
      <c r="B2735" s="13"/>
      <c r="C2735" s="20"/>
      <c r="D2735" s="19"/>
      <c r="E2735" s="26">
        <f>IF($B2735="","",IFERROR(INDEX(PecDesc,MATCH($B2735,PecCod,0)),"Peça não cadastrada"))</f>
        <v>0</v>
      </c>
      <c r="F2735" s="27">
        <f>IF($B2735="","",IF($D2735&lt;&gt;"",$D2735,IFERROR(INDEX(PecPreco,MATCH($B2735,PecCod,0)),0)))</f>
        <v>0</v>
      </c>
      <c r="G2735" s="27">
        <f>IF(OR($B2735="",$C2735=""),"",$C2735*$F2735)</f>
        <v>0</v>
      </c>
      <c r="H2735" s="27">
        <f>IF(OR($B2735="",$C2735=""),"",$C2735*IFERROR(INDEX(PecCusto,MATCH($B2735,PecCod,0)),0))</f>
        <v>0</v>
      </c>
      <c r="I2735" s="32">
        <f>IF($A2735="","",IFERROR(INDEX(OSStatus,MATCH($A2735,OSNum,0)),"OS inexistente"))</f>
        <v>0</v>
      </c>
      <c r="J2735" s="32">
        <f>IF($A2735="","",IF($I2735="OS inexistente","OS inexistente",IF($E2735="Peça não cadastrada","Peça não cadastrada","OK")))</f>
        <v>0</v>
      </c>
    </row>
    <row r="2736" spans="1:10">
      <c r="A2736" s="17"/>
      <c r="B2736" s="13"/>
      <c r="C2736" s="20"/>
      <c r="D2736" s="19"/>
      <c r="E2736" s="26">
        <f>IF($B2736="","",IFERROR(INDEX(PecDesc,MATCH($B2736,PecCod,0)),"Peça não cadastrada"))</f>
        <v>0</v>
      </c>
      <c r="F2736" s="27">
        <f>IF($B2736="","",IF($D2736&lt;&gt;"",$D2736,IFERROR(INDEX(PecPreco,MATCH($B2736,PecCod,0)),0)))</f>
        <v>0</v>
      </c>
      <c r="G2736" s="27">
        <f>IF(OR($B2736="",$C2736=""),"",$C2736*$F2736)</f>
        <v>0</v>
      </c>
      <c r="H2736" s="27">
        <f>IF(OR($B2736="",$C2736=""),"",$C2736*IFERROR(INDEX(PecCusto,MATCH($B2736,PecCod,0)),0))</f>
        <v>0</v>
      </c>
      <c r="I2736" s="32">
        <f>IF($A2736="","",IFERROR(INDEX(OSStatus,MATCH($A2736,OSNum,0)),"OS inexistente"))</f>
        <v>0</v>
      </c>
      <c r="J2736" s="32">
        <f>IF($A2736="","",IF($I2736="OS inexistente","OS inexistente",IF($E2736="Peça não cadastrada","Peça não cadastrada","OK")))</f>
        <v>0</v>
      </c>
    </row>
    <row r="2737" spans="1:10">
      <c r="A2737" s="17"/>
      <c r="B2737" s="13"/>
      <c r="C2737" s="20"/>
      <c r="D2737" s="19"/>
      <c r="E2737" s="26">
        <f>IF($B2737="","",IFERROR(INDEX(PecDesc,MATCH($B2737,PecCod,0)),"Peça não cadastrada"))</f>
        <v>0</v>
      </c>
      <c r="F2737" s="27">
        <f>IF($B2737="","",IF($D2737&lt;&gt;"",$D2737,IFERROR(INDEX(PecPreco,MATCH($B2737,PecCod,0)),0)))</f>
        <v>0</v>
      </c>
      <c r="G2737" s="27">
        <f>IF(OR($B2737="",$C2737=""),"",$C2737*$F2737)</f>
        <v>0</v>
      </c>
      <c r="H2737" s="27">
        <f>IF(OR($B2737="",$C2737=""),"",$C2737*IFERROR(INDEX(PecCusto,MATCH($B2737,PecCod,0)),0))</f>
        <v>0</v>
      </c>
      <c r="I2737" s="32">
        <f>IF($A2737="","",IFERROR(INDEX(OSStatus,MATCH($A2737,OSNum,0)),"OS inexistente"))</f>
        <v>0</v>
      </c>
      <c r="J2737" s="32">
        <f>IF($A2737="","",IF($I2737="OS inexistente","OS inexistente",IF($E2737="Peça não cadastrada","Peça não cadastrada","OK")))</f>
        <v>0</v>
      </c>
    </row>
    <row r="2738" spans="1:10">
      <c r="A2738" s="17"/>
      <c r="B2738" s="13"/>
      <c r="C2738" s="20"/>
      <c r="D2738" s="19"/>
      <c r="E2738" s="26">
        <f>IF($B2738="","",IFERROR(INDEX(PecDesc,MATCH($B2738,PecCod,0)),"Peça não cadastrada"))</f>
        <v>0</v>
      </c>
      <c r="F2738" s="27">
        <f>IF($B2738="","",IF($D2738&lt;&gt;"",$D2738,IFERROR(INDEX(PecPreco,MATCH($B2738,PecCod,0)),0)))</f>
        <v>0</v>
      </c>
      <c r="G2738" s="27">
        <f>IF(OR($B2738="",$C2738=""),"",$C2738*$F2738)</f>
        <v>0</v>
      </c>
      <c r="H2738" s="27">
        <f>IF(OR($B2738="",$C2738=""),"",$C2738*IFERROR(INDEX(PecCusto,MATCH($B2738,PecCod,0)),0))</f>
        <v>0</v>
      </c>
      <c r="I2738" s="32">
        <f>IF($A2738="","",IFERROR(INDEX(OSStatus,MATCH($A2738,OSNum,0)),"OS inexistente"))</f>
        <v>0</v>
      </c>
      <c r="J2738" s="32">
        <f>IF($A2738="","",IF($I2738="OS inexistente","OS inexistente",IF($E2738="Peça não cadastrada","Peça não cadastrada","OK")))</f>
        <v>0</v>
      </c>
    </row>
    <row r="2739" spans="1:10">
      <c r="A2739" s="17"/>
      <c r="B2739" s="13"/>
      <c r="C2739" s="20"/>
      <c r="D2739" s="19"/>
      <c r="E2739" s="26">
        <f>IF($B2739="","",IFERROR(INDEX(PecDesc,MATCH($B2739,PecCod,0)),"Peça não cadastrada"))</f>
        <v>0</v>
      </c>
      <c r="F2739" s="27">
        <f>IF($B2739="","",IF($D2739&lt;&gt;"",$D2739,IFERROR(INDEX(PecPreco,MATCH($B2739,PecCod,0)),0)))</f>
        <v>0</v>
      </c>
      <c r="G2739" s="27">
        <f>IF(OR($B2739="",$C2739=""),"",$C2739*$F2739)</f>
        <v>0</v>
      </c>
      <c r="H2739" s="27">
        <f>IF(OR($B2739="",$C2739=""),"",$C2739*IFERROR(INDEX(PecCusto,MATCH($B2739,PecCod,0)),0))</f>
        <v>0</v>
      </c>
      <c r="I2739" s="32">
        <f>IF($A2739="","",IFERROR(INDEX(OSStatus,MATCH($A2739,OSNum,0)),"OS inexistente"))</f>
        <v>0</v>
      </c>
      <c r="J2739" s="32">
        <f>IF($A2739="","",IF($I2739="OS inexistente","OS inexistente",IF($E2739="Peça não cadastrada","Peça não cadastrada","OK")))</f>
        <v>0</v>
      </c>
    </row>
    <row r="2740" spans="1:10">
      <c r="A2740" s="17"/>
      <c r="B2740" s="13"/>
      <c r="C2740" s="20"/>
      <c r="D2740" s="19"/>
      <c r="E2740" s="26">
        <f>IF($B2740="","",IFERROR(INDEX(PecDesc,MATCH($B2740,PecCod,0)),"Peça não cadastrada"))</f>
        <v>0</v>
      </c>
      <c r="F2740" s="27">
        <f>IF($B2740="","",IF($D2740&lt;&gt;"",$D2740,IFERROR(INDEX(PecPreco,MATCH($B2740,PecCod,0)),0)))</f>
        <v>0</v>
      </c>
      <c r="G2740" s="27">
        <f>IF(OR($B2740="",$C2740=""),"",$C2740*$F2740)</f>
        <v>0</v>
      </c>
      <c r="H2740" s="27">
        <f>IF(OR($B2740="",$C2740=""),"",$C2740*IFERROR(INDEX(PecCusto,MATCH($B2740,PecCod,0)),0))</f>
        <v>0</v>
      </c>
      <c r="I2740" s="32">
        <f>IF($A2740="","",IFERROR(INDEX(OSStatus,MATCH($A2740,OSNum,0)),"OS inexistente"))</f>
        <v>0</v>
      </c>
      <c r="J2740" s="32">
        <f>IF($A2740="","",IF($I2740="OS inexistente","OS inexistente",IF($E2740="Peça não cadastrada","Peça não cadastrada","OK")))</f>
        <v>0</v>
      </c>
    </row>
    <row r="2741" spans="1:10">
      <c r="A2741" s="17"/>
      <c r="B2741" s="13"/>
      <c r="C2741" s="20"/>
      <c r="D2741" s="19"/>
      <c r="E2741" s="26">
        <f>IF($B2741="","",IFERROR(INDEX(PecDesc,MATCH($B2741,PecCod,0)),"Peça não cadastrada"))</f>
        <v>0</v>
      </c>
      <c r="F2741" s="27">
        <f>IF($B2741="","",IF($D2741&lt;&gt;"",$D2741,IFERROR(INDEX(PecPreco,MATCH($B2741,PecCod,0)),0)))</f>
        <v>0</v>
      </c>
      <c r="G2741" s="27">
        <f>IF(OR($B2741="",$C2741=""),"",$C2741*$F2741)</f>
        <v>0</v>
      </c>
      <c r="H2741" s="27">
        <f>IF(OR($B2741="",$C2741=""),"",$C2741*IFERROR(INDEX(PecCusto,MATCH($B2741,PecCod,0)),0))</f>
        <v>0</v>
      </c>
      <c r="I2741" s="32">
        <f>IF($A2741="","",IFERROR(INDEX(OSStatus,MATCH($A2741,OSNum,0)),"OS inexistente"))</f>
        <v>0</v>
      </c>
      <c r="J2741" s="32">
        <f>IF($A2741="","",IF($I2741="OS inexistente","OS inexistente",IF($E2741="Peça não cadastrada","Peça não cadastrada","OK")))</f>
        <v>0</v>
      </c>
    </row>
    <row r="2742" spans="1:10">
      <c r="A2742" s="17"/>
      <c r="B2742" s="13"/>
      <c r="C2742" s="20"/>
      <c r="D2742" s="19"/>
      <c r="E2742" s="26">
        <f>IF($B2742="","",IFERROR(INDEX(PecDesc,MATCH($B2742,PecCod,0)),"Peça não cadastrada"))</f>
        <v>0</v>
      </c>
      <c r="F2742" s="27">
        <f>IF($B2742="","",IF($D2742&lt;&gt;"",$D2742,IFERROR(INDEX(PecPreco,MATCH($B2742,PecCod,0)),0)))</f>
        <v>0</v>
      </c>
      <c r="G2742" s="27">
        <f>IF(OR($B2742="",$C2742=""),"",$C2742*$F2742)</f>
        <v>0</v>
      </c>
      <c r="H2742" s="27">
        <f>IF(OR($B2742="",$C2742=""),"",$C2742*IFERROR(INDEX(PecCusto,MATCH($B2742,PecCod,0)),0))</f>
        <v>0</v>
      </c>
      <c r="I2742" s="32">
        <f>IF($A2742="","",IFERROR(INDEX(OSStatus,MATCH($A2742,OSNum,0)),"OS inexistente"))</f>
        <v>0</v>
      </c>
      <c r="J2742" s="32">
        <f>IF($A2742="","",IF($I2742="OS inexistente","OS inexistente",IF($E2742="Peça não cadastrada","Peça não cadastrada","OK")))</f>
        <v>0</v>
      </c>
    </row>
    <row r="2743" spans="1:10">
      <c r="A2743" s="17"/>
      <c r="B2743" s="13"/>
      <c r="C2743" s="20"/>
      <c r="D2743" s="19"/>
      <c r="E2743" s="26">
        <f>IF($B2743="","",IFERROR(INDEX(PecDesc,MATCH($B2743,PecCod,0)),"Peça não cadastrada"))</f>
        <v>0</v>
      </c>
      <c r="F2743" s="27">
        <f>IF($B2743="","",IF($D2743&lt;&gt;"",$D2743,IFERROR(INDEX(PecPreco,MATCH($B2743,PecCod,0)),0)))</f>
        <v>0</v>
      </c>
      <c r="G2743" s="27">
        <f>IF(OR($B2743="",$C2743=""),"",$C2743*$F2743)</f>
        <v>0</v>
      </c>
      <c r="H2743" s="27">
        <f>IF(OR($B2743="",$C2743=""),"",$C2743*IFERROR(INDEX(PecCusto,MATCH($B2743,PecCod,0)),0))</f>
        <v>0</v>
      </c>
      <c r="I2743" s="32">
        <f>IF($A2743="","",IFERROR(INDEX(OSStatus,MATCH($A2743,OSNum,0)),"OS inexistente"))</f>
        <v>0</v>
      </c>
      <c r="J2743" s="32">
        <f>IF($A2743="","",IF($I2743="OS inexistente","OS inexistente",IF($E2743="Peça não cadastrada","Peça não cadastrada","OK")))</f>
        <v>0</v>
      </c>
    </row>
    <row r="2744" spans="1:10">
      <c r="A2744" s="17"/>
      <c r="B2744" s="13"/>
      <c r="C2744" s="20"/>
      <c r="D2744" s="19"/>
      <c r="E2744" s="26">
        <f>IF($B2744="","",IFERROR(INDEX(PecDesc,MATCH($B2744,PecCod,0)),"Peça não cadastrada"))</f>
        <v>0</v>
      </c>
      <c r="F2744" s="27">
        <f>IF($B2744="","",IF($D2744&lt;&gt;"",$D2744,IFERROR(INDEX(PecPreco,MATCH($B2744,PecCod,0)),0)))</f>
        <v>0</v>
      </c>
      <c r="G2744" s="27">
        <f>IF(OR($B2744="",$C2744=""),"",$C2744*$F2744)</f>
        <v>0</v>
      </c>
      <c r="H2744" s="27">
        <f>IF(OR($B2744="",$C2744=""),"",$C2744*IFERROR(INDEX(PecCusto,MATCH($B2744,PecCod,0)),0))</f>
        <v>0</v>
      </c>
      <c r="I2744" s="32">
        <f>IF($A2744="","",IFERROR(INDEX(OSStatus,MATCH($A2744,OSNum,0)),"OS inexistente"))</f>
        <v>0</v>
      </c>
      <c r="J2744" s="32">
        <f>IF($A2744="","",IF($I2744="OS inexistente","OS inexistente",IF($E2744="Peça não cadastrada","Peça não cadastrada","OK")))</f>
        <v>0</v>
      </c>
    </row>
    <row r="2745" spans="1:10">
      <c r="A2745" s="17"/>
      <c r="B2745" s="13"/>
      <c r="C2745" s="20"/>
      <c r="D2745" s="19"/>
      <c r="E2745" s="26">
        <f>IF($B2745="","",IFERROR(INDEX(PecDesc,MATCH($B2745,PecCod,0)),"Peça não cadastrada"))</f>
        <v>0</v>
      </c>
      <c r="F2745" s="27">
        <f>IF($B2745="","",IF($D2745&lt;&gt;"",$D2745,IFERROR(INDEX(PecPreco,MATCH($B2745,PecCod,0)),0)))</f>
        <v>0</v>
      </c>
      <c r="G2745" s="27">
        <f>IF(OR($B2745="",$C2745=""),"",$C2745*$F2745)</f>
        <v>0</v>
      </c>
      <c r="H2745" s="27">
        <f>IF(OR($B2745="",$C2745=""),"",$C2745*IFERROR(INDEX(PecCusto,MATCH($B2745,PecCod,0)),0))</f>
        <v>0</v>
      </c>
      <c r="I2745" s="32">
        <f>IF($A2745="","",IFERROR(INDEX(OSStatus,MATCH($A2745,OSNum,0)),"OS inexistente"))</f>
        <v>0</v>
      </c>
      <c r="J2745" s="32">
        <f>IF($A2745="","",IF($I2745="OS inexistente","OS inexistente",IF($E2745="Peça não cadastrada","Peça não cadastrada","OK")))</f>
        <v>0</v>
      </c>
    </row>
    <row r="2746" spans="1:10">
      <c r="A2746" s="17"/>
      <c r="B2746" s="13"/>
      <c r="C2746" s="20"/>
      <c r="D2746" s="19"/>
      <c r="E2746" s="26">
        <f>IF($B2746="","",IFERROR(INDEX(PecDesc,MATCH($B2746,PecCod,0)),"Peça não cadastrada"))</f>
        <v>0</v>
      </c>
      <c r="F2746" s="27">
        <f>IF($B2746="","",IF($D2746&lt;&gt;"",$D2746,IFERROR(INDEX(PecPreco,MATCH($B2746,PecCod,0)),0)))</f>
        <v>0</v>
      </c>
      <c r="G2746" s="27">
        <f>IF(OR($B2746="",$C2746=""),"",$C2746*$F2746)</f>
        <v>0</v>
      </c>
      <c r="H2746" s="27">
        <f>IF(OR($B2746="",$C2746=""),"",$C2746*IFERROR(INDEX(PecCusto,MATCH($B2746,PecCod,0)),0))</f>
        <v>0</v>
      </c>
      <c r="I2746" s="32">
        <f>IF($A2746="","",IFERROR(INDEX(OSStatus,MATCH($A2746,OSNum,0)),"OS inexistente"))</f>
        <v>0</v>
      </c>
      <c r="J2746" s="32">
        <f>IF($A2746="","",IF($I2746="OS inexistente","OS inexistente",IF($E2746="Peça não cadastrada","Peça não cadastrada","OK")))</f>
        <v>0</v>
      </c>
    </row>
    <row r="2747" spans="1:10">
      <c r="A2747" s="17"/>
      <c r="B2747" s="13"/>
      <c r="C2747" s="20"/>
      <c r="D2747" s="19"/>
      <c r="E2747" s="26">
        <f>IF($B2747="","",IFERROR(INDEX(PecDesc,MATCH($B2747,PecCod,0)),"Peça não cadastrada"))</f>
        <v>0</v>
      </c>
      <c r="F2747" s="27">
        <f>IF($B2747="","",IF($D2747&lt;&gt;"",$D2747,IFERROR(INDEX(PecPreco,MATCH($B2747,PecCod,0)),0)))</f>
        <v>0</v>
      </c>
      <c r="G2747" s="27">
        <f>IF(OR($B2747="",$C2747=""),"",$C2747*$F2747)</f>
        <v>0</v>
      </c>
      <c r="H2747" s="27">
        <f>IF(OR($B2747="",$C2747=""),"",$C2747*IFERROR(INDEX(PecCusto,MATCH($B2747,PecCod,0)),0))</f>
        <v>0</v>
      </c>
      <c r="I2747" s="32">
        <f>IF($A2747="","",IFERROR(INDEX(OSStatus,MATCH($A2747,OSNum,0)),"OS inexistente"))</f>
        <v>0</v>
      </c>
      <c r="J2747" s="32">
        <f>IF($A2747="","",IF($I2747="OS inexistente","OS inexistente",IF($E2747="Peça não cadastrada","Peça não cadastrada","OK")))</f>
        <v>0</v>
      </c>
    </row>
    <row r="2748" spans="1:10">
      <c r="A2748" s="17"/>
      <c r="B2748" s="13"/>
      <c r="C2748" s="20"/>
      <c r="D2748" s="19"/>
      <c r="E2748" s="26">
        <f>IF($B2748="","",IFERROR(INDEX(PecDesc,MATCH($B2748,PecCod,0)),"Peça não cadastrada"))</f>
        <v>0</v>
      </c>
      <c r="F2748" s="27">
        <f>IF($B2748="","",IF($D2748&lt;&gt;"",$D2748,IFERROR(INDEX(PecPreco,MATCH($B2748,PecCod,0)),0)))</f>
        <v>0</v>
      </c>
      <c r="G2748" s="27">
        <f>IF(OR($B2748="",$C2748=""),"",$C2748*$F2748)</f>
        <v>0</v>
      </c>
      <c r="H2748" s="27">
        <f>IF(OR($B2748="",$C2748=""),"",$C2748*IFERROR(INDEX(PecCusto,MATCH($B2748,PecCod,0)),0))</f>
        <v>0</v>
      </c>
      <c r="I2748" s="32">
        <f>IF($A2748="","",IFERROR(INDEX(OSStatus,MATCH($A2748,OSNum,0)),"OS inexistente"))</f>
        <v>0</v>
      </c>
      <c r="J2748" s="32">
        <f>IF($A2748="","",IF($I2748="OS inexistente","OS inexistente",IF($E2748="Peça não cadastrada","Peça não cadastrada","OK")))</f>
        <v>0</v>
      </c>
    </row>
    <row r="2749" spans="1:10">
      <c r="A2749" s="17"/>
      <c r="B2749" s="13"/>
      <c r="C2749" s="20"/>
      <c r="D2749" s="19"/>
      <c r="E2749" s="26">
        <f>IF($B2749="","",IFERROR(INDEX(PecDesc,MATCH($B2749,PecCod,0)),"Peça não cadastrada"))</f>
        <v>0</v>
      </c>
      <c r="F2749" s="27">
        <f>IF($B2749="","",IF($D2749&lt;&gt;"",$D2749,IFERROR(INDEX(PecPreco,MATCH($B2749,PecCod,0)),0)))</f>
        <v>0</v>
      </c>
      <c r="G2749" s="27">
        <f>IF(OR($B2749="",$C2749=""),"",$C2749*$F2749)</f>
        <v>0</v>
      </c>
      <c r="H2749" s="27">
        <f>IF(OR($B2749="",$C2749=""),"",$C2749*IFERROR(INDEX(PecCusto,MATCH($B2749,PecCod,0)),0))</f>
        <v>0</v>
      </c>
      <c r="I2749" s="32">
        <f>IF($A2749="","",IFERROR(INDEX(OSStatus,MATCH($A2749,OSNum,0)),"OS inexistente"))</f>
        <v>0</v>
      </c>
      <c r="J2749" s="32">
        <f>IF($A2749="","",IF($I2749="OS inexistente","OS inexistente",IF($E2749="Peça não cadastrada","Peça não cadastrada","OK")))</f>
        <v>0</v>
      </c>
    </row>
    <row r="2750" spans="1:10">
      <c r="A2750" s="17"/>
      <c r="B2750" s="13"/>
      <c r="C2750" s="20"/>
      <c r="D2750" s="19"/>
      <c r="E2750" s="26">
        <f>IF($B2750="","",IFERROR(INDEX(PecDesc,MATCH($B2750,PecCod,0)),"Peça não cadastrada"))</f>
        <v>0</v>
      </c>
      <c r="F2750" s="27">
        <f>IF($B2750="","",IF($D2750&lt;&gt;"",$D2750,IFERROR(INDEX(PecPreco,MATCH($B2750,PecCod,0)),0)))</f>
        <v>0</v>
      </c>
      <c r="G2750" s="27">
        <f>IF(OR($B2750="",$C2750=""),"",$C2750*$F2750)</f>
        <v>0</v>
      </c>
      <c r="H2750" s="27">
        <f>IF(OR($B2750="",$C2750=""),"",$C2750*IFERROR(INDEX(PecCusto,MATCH($B2750,PecCod,0)),0))</f>
        <v>0</v>
      </c>
      <c r="I2750" s="32">
        <f>IF($A2750="","",IFERROR(INDEX(OSStatus,MATCH($A2750,OSNum,0)),"OS inexistente"))</f>
        <v>0</v>
      </c>
      <c r="J2750" s="32">
        <f>IF($A2750="","",IF($I2750="OS inexistente","OS inexistente",IF($E2750="Peça não cadastrada","Peça não cadastrada","OK")))</f>
        <v>0</v>
      </c>
    </row>
    <row r="2751" spans="1:10">
      <c r="A2751" s="17"/>
      <c r="B2751" s="13"/>
      <c r="C2751" s="20"/>
      <c r="D2751" s="19"/>
      <c r="E2751" s="26">
        <f>IF($B2751="","",IFERROR(INDEX(PecDesc,MATCH($B2751,PecCod,0)),"Peça não cadastrada"))</f>
        <v>0</v>
      </c>
      <c r="F2751" s="27">
        <f>IF($B2751="","",IF($D2751&lt;&gt;"",$D2751,IFERROR(INDEX(PecPreco,MATCH($B2751,PecCod,0)),0)))</f>
        <v>0</v>
      </c>
      <c r="G2751" s="27">
        <f>IF(OR($B2751="",$C2751=""),"",$C2751*$F2751)</f>
        <v>0</v>
      </c>
      <c r="H2751" s="27">
        <f>IF(OR($B2751="",$C2751=""),"",$C2751*IFERROR(INDEX(PecCusto,MATCH($B2751,PecCod,0)),0))</f>
        <v>0</v>
      </c>
      <c r="I2751" s="32">
        <f>IF($A2751="","",IFERROR(INDEX(OSStatus,MATCH($A2751,OSNum,0)),"OS inexistente"))</f>
        <v>0</v>
      </c>
      <c r="J2751" s="32">
        <f>IF($A2751="","",IF($I2751="OS inexistente","OS inexistente",IF($E2751="Peça não cadastrada","Peça não cadastrada","OK")))</f>
        <v>0</v>
      </c>
    </row>
    <row r="2752" spans="1:10">
      <c r="A2752" s="17"/>
      <c r="B2752" s="13"/>
      <c r="C2752" s="20"/>
      <c r="D2752" s="19"/>
      <c r="E2752" s="26">
        <f>IF($B2752="","",IFERROR(INDEX(PecDesc,MATCH($B2752,PecCod,0)),"Peça não cadastrada"))</f>
        <v>0</v>
      </c>
      <c r="F2752" s="27">
        <f>IF($B2752="","",IF($D2752&lt;&gt;"",$D2752,IFERROR(INDEX(PecPreco,MATCH($B2752,PecCod,0)),0)))</f>
        <v>0</v>
      </c>
      <c r="G2752" s="27">
        <f>IF(OR($B2752="",$C2752=""),"",$C2752*$F2752)</f>
        <v>0</v>
      </c>
      <c r="H2752" s="27">
        <f>IF(OR($B2752="",$C2752=""),"",$C2752*IFERROR(INDEX(PecCusto,MATCH($B2752,PecCod,0)),0))</f>
        <v>0</v>
      </c>
      <c r="I2752" s="32">
        <f>IF($A2752="","",IFERROR(INDEX(OSStatus,MATCH($A2752,OSNum,0)),"OS inexistente"))</f>
        <v>0</v>
      </c>
      <c r="J2752" s="32">
        <f>IF($A2752="","",IF($I2752="OS inexistente","OS inexistente",IF($E2752="Peça não cadastrada","Peça não cadastrada","OK")))</f>
        <v>0</v>
      </c>
    </row>
    <row r="2753" spans="1:10">
      <c r="A2753" s="17"/>
      <c r="B2753" s="13"/>
      <c r="C2753" s="20"/>
      <c r="D2753" s="19"/>
      <c r="E2753" s="26">
        <f>IF($B2753="","",IFERROR(INDEX(PecDesc,MATCH($B2753,PecCod,0)),"Peça não cadastrada"))</f>
        <v>0</v>
      </c>
      <c r="F2753" s="27">
        <f>IF($B2753="","",IF($D2753&lt;&gt;"",$D2753,IFERROR(INDEX(PecPreco,MATCH($B2753,PecCod,0)),0)))</f>
        <v>0</v>
      </c>
      <c r="G2753" s="27">
        <f>IF(OR($B2753="",$C2753=""),"",$C2753*$F2753)</f>
        <v>0</v>
      </c>
      <c r="H2753" s="27">
        <f>IF(OR($B2753="",$C2753=""),"",$C2753*IFERROR(INDEX(PecCusto,MATCH($B2753,PecCod,0)),0))</f>
        <v>0</v>
      </c>
      <c r="I2753" s="32">
        <f>IF($A2753="","",IFERROR(INDEX(OSStatus,MATCH($A2753,OSNum,0)),"OS inexistente"))</f>
        <v>0</v>
      </c>
      <c r="J2753" s="32">
        <f>IF($A2753="","",IF($I2753="OS inexistente","OS inexistente",IF($E2753="Peça não cadastrada","Peça não cadastrada","OK")))</f>
        <v>0</v>
      </c>
    </row>
    <row r="2754" spans="1:10">
      <c r="A2754" s="17"/>
      <c r="B2754" s="13"/>
      <c r="C2754" s="20"/>
      <c r="D2754" s="19"/>
      <c r="E2754" s="26">
        <f>IF($B2754="","",IFERROR(INDEX(PecDesc,MATCH($B2754,PecCod,0)),"Peça não cadastrada"))</f>
        <v>0</v>
      </c>
      <c r="F2754" s="27">
        <f>IF($B2754="","",IF($D2754&lt;&gt;"",$D2754,IFERROR(INDEX(PecPreco,MATCH($B2754,PecCod,0)),0)))</f>
        <v>0</v>
      </c>
      <c r="G2754" s="27">
        <f>IF(OR($B2754="",$C2754=""),"",$C2754*$F2754)</f>
        <v>0</v>
      </c>
      <c r="H2754" s="27">
        <f>IF(OR($B2754="",$C2754=""),"",$C2754*IFERROR(INDEX(PecCusto,MATCH($B2754,PecCod,0)),0))</f>
        <v>0</v>
      </c>
      <c r="I2754" s="32">
        <f>IF($A2754="","",IFERROR(INDEX(OSStatus,MATCH($A2754,OSNum,0)),"OS inexistente"))</f>
        <v>0</v>
      </c>
      <c r="J2754" s="32">
        <f>IF($A2754="","",IF($I2754="OS inexistente","OS inexistente",IF($E2754="Peça não cadastrada","Peça não cadastrada","OK")))</f>
        <v>0</v>
      </c>
    </row>
    <row r="2755" spans="1:10">
      <c r="A2755" s="17"/>
      <c r="B2755" s="13"/>
      <c r="C2755" s="20"/>
      <c r="D2755" s="19"/>
      <c r="E2755" s="26">
        <f>IF($B2755="","",IFERROR(INDEX(PecDesc,MATCH($B2755,PecCod,0)),"Peça não cadastrada"))</f>
        <v>0</v>
      </c>
      <c r="F2755" s="27">
        <f>IF($B2755="","",IF($D2755&lt;&gt;"",$D2755,IFERROR(INDEX(PecPreco,MATCH($B2755,PecCod,0)),0)))</f>
        <v>0</v>
      </c>
      <c r="G2755" s="27">
        <f>IF(OR($B2755="",$C2755=""),"",$C2755*$F2755)</f>
        <v>0</v>
      </c>
      <c r="H2755" s="27">
        <f>IF(OR($B2755="",$C2755=""),"",$C2755*IFERROR(INDEX(PecCusto,MATCH($B2755,PecCod,0)),0))</f>
        <v>0</v>
      </c>
      <c r="I2755" s="32">
        <f>IF($A2755="","",IFERROR(INDEX(OSStatus,MATCH($A2755,OSNum,0)),"OS inexistente"))</f>
        <v>0</v>
      </c>
      <c r="J2755" s="32">
        <f>IF($A2755="","",IF($I2755="OS inexistente","OS inexistente",IF($E2755="Peça não cadastrada","Peça não cadastrada","OK")))</f>
        <v>0</v>
      </c>
    </row>
    <row r="2756" spans="1:10">
      <c r="A2756" s="17"/>
      <c r="B2756" s="13"/>
      <c r="C2756" s="20"/>
      <c r="D2756" s="19"/>
      <c r="E2756" s="26">
        <f>IF($B2756="","",IFERROR(INDEX(PecDesc,MATCH($B2756,PecCod,0)),"Peça não cadastrada"))</f>
        <v>0</v>
      </c>
      <c r="F2756" s="27">
        <f>IF($B2756="","",IF($D2756&lt;&gt;"",$D2756,IFERROR(INDEX(PecPreco,MATCH($B2756,PecCod,0)),0)))</f>
        <v>0</v>
      </c>
      <c r="G2756" s="27">
        <f>IF(OR($B2756="",$C2756=""),"",$C2756*$F2756)</f>
        <v>0</v>
      </c>
      <c r="H2756" s="27">
        <f>IF(OR($B2756="",$C2756=""),"",$C2756*IFERROR(INDEX(PecCusto,MATCH($B2756,PecCod,0)),0))</f>
        <v>0</v>
      </c>
      <c r="I2756" s="32">
        <f>IF($A2756="","",IFERROR(INDEX(OSStatus,MATCH($A2756,OSNum,0)),"OS inexistente"))</f>
        <v>0</v>
      </c>
      <c r="J2756" s="32">
        <f>IF($A2756="","",IF($I2756="OS inexistente","OS inexistente",IF($E2756="Peça não cadastrada","Peça não cadastrada","OK")))</f>
        <v>0</v>
      </c>
    </row>
    <row r="2757" spans="1:10">
      <c r="A2757" s="17"/>
      <c r="B2757" s="13"/>
      <c r="C2757" s="20"/>
      <c r="D2757" s="19"/>
      <c r="E2757" s="26">
        <f>IF($B2757="","",IFERROR(INDEX(PecDesc,MATCH($B2757,PecCod,0)),"Peça não cadastrada"))</f>
        <v>0</v>
      </c>
      <c r="F2757" s="27">
        <f>IF($B2757="","",IF($D2757&lt;&gt;"",$D2757,IFERROR(INDEX(PecPreco,MATCH($B2757,PecCod,0)),0)))</f>
        <v>0</v>
      </c>
      <c r="G2757" s="27">
        <f>IF(OR($B2757="",$C2757=""),"",$C2757*$F2757)</f>
        <v>0</v>
      </c>
      <c r="H2757" s="27">
        <f>IF(OR($B2757="",$C2757=""),"",$C2757*IFERROR(INDEX(PecCusto,MATCH($B2757,PecCod,0)),0))</f>
        <v>0</v>
      </c>
      <c r="I2757" s="32">
        <f>IF($A2757="","",IFERROR(INDEX(OSStatus,MATCH($A2757,OSNum,0)),"OS inexistente"))</f>
        <v>0</v>
      </c>
      <c r="J2757" s="32">
        <f>IF($A2757="","",IF($I2757="OS inexistente","OS inexistente",IF($E2757="Peça não cadastrada","Peça não cadastrada","OK")))</f>
        <v>0</v>
      </c>
    </row>
    <row r="2758" spans="1:10">
      <c r="A2758" s="17"/>
      <c r="B2758" s="13"/>
      <c r="C2758" s="20"/>
      <c r="D2758" s="19"/>
      <c r="E2758" s="26">
        <f>IF($B2758="","",IFERROR(INDEX(PecDesc,MATCH($B2758,PecCod,0)),"Peça não cadastrada"))</f>
        <v>0</v>
      </c>
      <c r="F2758" s="27">
        <f>IF($B2758="","",IF($D2758&lt;&gt;"",$D2758,IFERROR(INDEX(PecPreco,MATCH($B2758,PecCod,0)),0)))</f>
        <v>0</v>
      </c>
      <c r="G2758" s="27">
        <f>IF(OR($B2758="",$C2758=""),"",$C2758*$F2758)</f>
        <v>0</v>
      </c>
      <c r="H2758" s="27">
        <f>IF(OR($B2758="",$C2758=""),"",$C2758*IFERROR(INDEX(PecCusto,MATCH($B2758,PecCod,0)),0))</f>
        <v>0</v>
      </c>
      <c r="I2758" s="32">
        <f>IF($A2758="","",IFERROR(INDEX(OSStatus,MATCH($A2758,OSNum,0)),"OS inexistente"))</f>
        <v>0</v>
      </c>
      <c r="J2758" s="32">
        <f>IF($A2758="","",IF($I2758="OS inexistente","OS inexistente",IF($E2758="Peça não cadastrada","Peça não cadastrada","OK")))</f>
        <v>0</v>
      </c>
    </row>
    <row r="2759" spans="1:10">
      <c r="A2759" s="17"/>
      <c r="B2759" s="13"/>
      <c r="C2759" s="20"/>
      <c r="D2759" s="19"/>
      <c r="E2759" s="26">
        <f>IF($B2759="","",IFERROR(INDEX(PecDesc,MATCH($B2759,PecCod,0)),"Peça não cadastrada"))</f>
        <v>0</v>
      </c>
      <c r="F2759" s="27">
        <f>IF($B2759="","",IF($D2759&lt;&gt;"",$D2759,IFERROR(INDEX(PecPreco,MATCH($B2759,PecCod,0)),0)))</f>
        <v>0</v>
      </c>
      <c r="G2759" s="27">
        <f>IF(OR($B2759="",$C2759=""),"",$C2759*$F2759)</f>
        <v>0</v>
      </c>
      <c r="H2759" s="27">
        <f>IF(OR($B2759="",$C2759=""),"",$C2759*IFERROR(INDEX(PecCusto,MATCH($B2759,PecCod,0)),0))</f>
        <v>0</v>
      </c>
      <c r="I2759" s="32">
        <f>IF($A2759="","",IFERROR(INDEX(OSStatus,MATCH($A2759,OSNum,0)),"OS inexistente"))</f>
        <v>0</v>
      </c>
      <c r="J2759" s="32">
        <f>IF($A2759="","",IF($I2759="OS inexistente","OS inexistente",IF($E2759="Peça não cadastrada","Peça não cadastrada","OK")))</f>
        <v>0</v>
      </c>
    </row>
    <row r="2760" spans="1:10">
      <c r="A2760" s="17"/>
      <c r="B2760" s="13"/>
      <c r="C2760" s="20"/>
      <c r="D2760" s="19"/>
      <c r="E2760" s="26">
        <f>IF($B2760="","",IFERROR(INDEX(PecDesc,MATCH($B2760,PecCod,0)),"Peça não cadastrada"))</f>
        <v>0</v>
      </c>
      <c r="F2760" s="27">
        <f>IF($B2760="","",IF($D2760&lt;&gt;"",$D2760,IFERROR(INDEX(PecPreco,MATCH($B2760,PecCod,0)),0)))</f>
        <v>0</v>
      </c>
      <c r="G2760" s="27">
        <f>IF(OR($B2760="",$C2760=""),"",$C2760*$F2760)</f>
        <v>0</v>
      </c>
      <c r="H2760" s="27">
        <f>IF(OR($B2760="",$C2760=""),"",$C2760*IFERROR(INDEX(PecCusto,MATCH($B2760,PecCod,0)),0))</f>
        <v>0</v>
      </c>
      <c r="I2760" s="32">
        <f>IF($A2760="","",IFERROR(INDEX(OSStatus,MATCH($A2760,OSNum,0)),"OS inexistente"))</f>
        <v>0</v>
      </c>
      <c r="J2760" s="32">
        <f>IF($A2760="","",IF($I2760="OS inexistente","OS inexistente",IF($E2760="Peça não cadastrada","Peça não cadastrada","OK")))</f>
        <v>0</v>
      </c>
    </row>
    <row r="2761" spans="1:10">
      <c r="A2761" s="17"/>
      <c r="B2761" s="13"/>
      <c r="C2761" s="20"/>
      <c r="D2761" s="19"/>
      <c r="E2761" s="26">
        <f>IF($B2761="","",IFERROR(INDEX(PecDesc,MATCH($B2761,PecCod,0)),"Peça não cadastrada"))</f>
        <v>0</v>
      </c>
      <c r="F2761" s="27">
        <f>IF($B2761="","",IF($D2761&lt;&gt;"",$D2761,IFERROR(INDEX(PecPreco,MATCH($B2761,PecCod,0)),0)))</f>
        <v>0</v>
      </c>
      <c r="G2761" s="27">
        <f>IF(OR($B2761="",$C2761=""),"",$C2761*$F2761)</f>
        <v>0</v>
      </c>
      <c r="H2761" s="27">
        <f>IF(OR($B2761="",$C2761=""),"",$C2761*IFERROR(INDEX(PecCusto,MATCH($B2761,PecCod,0)),0))</f>
        <v>0</v>
      </c>
      <c r="I2761" s="32">
        <f>IF($A2761="","",IFERROR(INDEX(OSStatus,MATCH($A2761,OSNum,0)),"OS inexistente"))</f>
        <v>0</v>
      </c>
      <c r="J2761" s="32">
        <f>IF($A2761="","",IF($I2761="OS inexistente","OS inexistente",IF($E2761="Peça não cadastrada","Peça não cadastrada","OK")))</f>
        <v>0</v>
      </c>
    </row>
    <row r="2762" spans="1:10">
      <c r="A2762" s="17"/>
      <c r="B2762" s="13"/>
      <c r="C2762" s="20"/>
      <c r="D2762" s="19"/>
      <c r="E2762" s="26">
        <f>IF($B2762="","",IFERROR(INDEX(PecDesc,MATCH($B2762,PecCod,0)),"Peça não cadastrada"))</f>
        <v>0</v>
      </c>
      <c r="F2762" s="27">
        <f>IF($B2762="","",IF($D2762&lt;&gt;"",$D2762,IFERROR(INDEX(PecPreco,MATCH($B2762,PecCod,0)),0)))</f>
        <v>0</v>
      </c>
      <c r="G2762" s="27">
        <f>IF(OR($B2762="",$C2762=""),"",$C2762*$F2762)</f>
        <v>0</v>
      </c>
      <c r="H2762" s="27">
        <f>IF(OR($B2762="",$C2762=""),"",$C2762*IFERROR(INDEX(PecCusto,MATCH($B2762,PecCod,0)),0))</f>
        <v>0</v>
      </c>
      <c r="I2762" s="32">
        <f>IF($A2762="","",IFERROR(INDEX(OSStatus,MATCH($A2762,OSNum,0)),"OS inexistente"))</f>
        <v>0</v>
      </c>
      <c r="J2762" s="32">
        <f>IF($A2762="","",IF($I2762="OS inexistente","OS inexistente",IF($E2762="Peça não cadastrada","Peça não cadastrada","OK")))</f>
        <v>0</v>
      </c>
    </row>
    <row r="2763" spans="1:10">
      <c r="A2763" s="17"/>
      <c r="B2763" s="13"/>
      <c r="C2763" s="20"/>
      <c r="D2763" s="19"/>
      <c r="E2763" s="26">
        <f>IF($B2763="","",IFERROR(INDEX(PecDesc,MATCH($B2763,PecCod,0)),"Peça não cadastrada"))</f>
        <v>0</v>
      </c>
      <c r="F2763" s="27">
        <f>IF($B2763="","",IF($D2763&lt;&gt;"",$D2763,IFERROR(INDEX(PecPreco,MATCH($B2763,PecCod,0)),0)))</f>
        <v>0</v>
      </c>
      <c r="G2763" s="27">
        <f>IF(OR($B2763="",$C2763=""),"",$C2763*$F2763)</f>
        <v>0</v>
      </c>
      <c r="H2763" s="27">
        <f>IF(OR($B2763="",$C2763=""),"",$C2763*IFERROR(INDEX(PecCusto,MATCH($B2763,PecCod,0)),0))</f>
        <v>0</v>
      </c>
      <c r="I2763" s="32">
        <f>IF($A2763="","",IFERROR(INDEX(OSStatus,MATCH($A2763,OSNum,0)),"OS inexistente"))</f>
        <v>0</v>
      </c>
      <c r="J2763" s="32">
        <f>IF($A2763="","",IF($I2763="OS inexistente","OS inexistente",IF($E2763="Peça não cadastrada","Peça não cadastrada","OK")))</f>
        <v>0</v>
      </c>
    </row>
    <row r="2764" spans="1:10">
      <c r="A2764" s="17"/>
      <c r="B2764" s="13"/>
      <c r="C2764" s="20"/>
      <c r="D2764" s="19"/>
      <c r="E2764" s="26">
        <f>IF($B2764="","",IFERROR(INDEX(PecDesc,MATCH($B2764,PecCod,0)),"Peça não cadastrada"))</f>
        <v>0</v>
      </c>
      <c r="F2764" s="27">
        <f>IF($B2764="","",IF($D2764&lt;&gt;"",$D2764,IFERROR(INDEX(PecPreco,MATCH($B2764,PecCod,0)),0)))</f>
        <v>0</v>
      </c>
      <c r="G2764" s="27">
        <f>IF(OR($B2764="",$C2764=""),"",$C2764*$F2764)</f>
        <v>0</v>
      </c>
      <c r="H2764" s="27">
        <f>IF(OR($B2764="",$C2764=""),"",$C2764*IFERROR(INDEX(PecCusto,MATCH($B2764,PecCod,0)),0))</f>
        <v>0</v>
      </c>
      <c r="I2764" s="32">
        <f>IF($A2764="","",IFERROR(INDEX(OSStatus,MATCH($A2764,OSNum,0)),"OS inexistente"))</f>
        <v>0</v>
      </c>
      <c r="J2764" s="32">
        <f>IF($A2764="","",IF($I2764="OS inexistente","OS inexistente",IF($E2764="Peça não cadastrada","Peça não cadastrada","OK")))</f>
        <v>0</v>
      </c>
    </row>
    <row r="2765" spans="1:10">
      <c r="A2765" s="17"/>
      <c r="B2765" s="13"/>
      <c r="C2765" s="20"/>
      <c r="D2765" s="19"/>
      <c r="E2765" s="26">
        <f>IF($B2765="","",IFERROR(INDEX(PecDesc,MATCH($B2765,PecCod,0)),"Peça não cadastrada"))</f>
        <v>0</v>
      </c>
      <c r="F2765" s="27">
        <f>IF($B2765="","",IF($D2765&lt;&gt;"",$D2765,IFERROR(INDEX(PecPreco,MATCH($B2765,PecCod,0)),0)))</f>
        <v>0</v>
      </c>
      <c r="G2765" s="27">
        <f>IF(OR($B2765="",$C2765=""),"",$C2765*$F2765)</f>
        <v>0</v>
      </c>
      <c r="H2765" s="27">
        <f>IF(OR($B2765="",$C2765=""),"",$C2765*IFERROR(INDEX(PecCusto,MATCH($B2765,PecCod,0)),0))</f>
        <v>0</v>
      </c>
      <c r="I2765" s="32">
        <f>IF($A2765="","",IFERROR(INDEX(OSStatus,MATCH($A2765,OSNum,0)),"OS inexistente"))</f>
        <v>0</v>
      </c>
      <c r="J2765" s="32">
        <f>IF($A2765="","",IF($I2765="OS inexistente","OS inexistente",IF($E2765="Peça não cadastrada","Peça não cadastrada","OK")))</f>
        <v>0</v>
      </c>
    </row>
    <row r="2766" spans="1:10">
      <c r="A2766" s="17"/>
      <c r="B2766" s="13"/>
      <c r="C2766" s="20"/>
      <c r="D2766" s="19"/>
      <c r="E2766" s="26">
        <f>IF($B2766="","",IFERROR(INDEX(PecDesc,MATCH($B2766,PecCod,0)),"Peça não cadastrada"))</f>
        <v>0</v>
      </c>
      <c r="F2766" s="27">
        <f>IF($B2766="","",IF($D2766&lt;&gt;"",$D2766,IFERROR(INDEX(PecPreco,MATCH($B2766,PecCod,0)),0)))</f>
        <v>0</v>
      </c>
      <c r="G2766" s="27">
        <f>IF(OR($B2766="",$C2766=""),"",$C2766*$F2766)</f>
        <v>0</v>
      </c>
      <c r="H2766" s="27">
        <f>IF(OR($B2766="",$C2766=""),"",$C2766*IFERROR(INDEX(PecCusto,MATCH($B2766,PecCod,0)),0))</f>
        <v>0</v>
      </c>
      <c r="I2766" s="32">
        <f>IF($A2766="","",IFERROR(INDEX(OSStatus,MATCH($A2766,OSNum,0)),"OS inexistente"))</f>
        <v>0</v>
      </c>
      <c r="J2766" s="32">
        <f>IF($A2766="","",IF($I2766="OS inexistente","OS inexistente",IF($E2766="Peça não cadastrada","Peça não cadastrada","OK")))</f>
        <v>0</v>
      </c>
    </row>
    <row r="2767" spans="1:10">
      <c r="A2767" s="17"/>
      <c r="B2767" s="13"/>
      <c r="C2767" s="20"/>
      <c r="D2767" s="19"/>
      <c r="E2767" s="26">
        <f>IF($B2767="","",IFERROR(INDEX(PecDesc,MATCH($B2767,PecCod,0)),"Peça não cadastrada"))</f>
        <v>0</v>
      </c>
      <c r="F2767" s="27">
        <f>IF($B2767="","",IF($D2767&lt;&gt;"",$D2767,IFERROR(INDEX(PecPreco,MATCH($B2767,PecCod,0)),0)))</f>
        <v>0</v>
      </c>
      <c r="G2767" s="27">
        <f>IF(OR($B2767="",$C2767=""),"",$C2767*$F2767)</f>
        <v>0</v>
      </c>
      <c r="H2767" s="27">
        <f>IF(OR($B2767="",$C2767=""),"",$C2767*IFERROR(INDEX(PecCusto,MATCH($B2767,PecCod,0)),0))</f>
        <v>0</v>
      </c>
      <c r="I2767" s="32">
        <f>IF($A2767="","",IFERROR(INDEX(OSStatus,MATCH($A2767,OSNum,0)),"OS inexistente"))</f>
        <v>0</v>
      </c>
      <c r="J2767" s="32">
        <f>IF($A2767="","",IF($I2767="OS inexistente","OS inexistente",IF($E2767="Peça não cadastrada","Peça não cadastrada","OK")))</f>
        <v>0</v>
      </c>
    </row>
    <row r="2768" spans="1:10">
      <c r="A2768" s="17"/>
      <c r="B2768" s="13"/>
      <c r="C2768" s="20"/>
      <c r="D2768" s="19"/>
      <c r="E2768" s="26">
        <f>IF($B2768="","",IFERROR(INDEX(PecDesc,MATCH($B2768,PecCod,0)),"Peça não cadastrada"))</f>
        <v>0</v>
      </c>
      <c r="F2768" s="27">
        <f>IF($B2768="","",IF($D2768&lt;&gt;"",$D2768,IFERROR(INDEX(PecPreco,MATCH($B2768,PecCod,0)),0)))</f>
        <v>0</v>
      </c>
      <c r="G2768" s="27">
        <f>IF(OR($B2768="",$C2768=""),"",$C2768*$F2768)</f>
        <v>0</v>
      </c>
      <c r="H2768" s="27">
        <f>IF(OR($B2768="",$C2768=""),"",$C2768*IFERROR(INDEX(PecCusto,MATCH($B2768,PecCod,0)),0))</f>
        <v>0</v>
      </c>
      <c r="I2768" s="32">
        <f>IF($A2768="","",IFERROR(INDEX(OSStatus,MATCH($A2768,OSNum,0)),"OS inexistente"))</f>
        <v>0</v>
      </c>
      <c r="J2768" s="32">
        <f>IF($A2768="","",IF($I2768="OS inexistente","OS inexistente",IF($E2768="Peça não cadastrada","Peça não cadastrada","OK")))</f>
        <v>0</v>
      </c>
    </row>
    <row r="2769" spans="1:10">
      <c r="A2769" s="17"/>
      <c r="B2769" s="13"/>
      <c r="C2769" s="20"/>
      <c r="D2769" s="19"/>
      <c r="E2769" s="26">
        <f>IF($B2769="","",IFERROR(INDEX(PecDesc,MATCH($B2769,PecCod,0)),"Peça não cadastrada"))</f>
        <v>0</v>
      </c>
      <c r="F2769" s="27">
        <f>IF($B2769="","",IF($D2769&lt;&gt;"",$D2769,IFERROR(INDEX(PecPreco,MATCH($B2769,PecCod,0)),0)))</f>
        <v>0</v>
      </c>
      <c r="G2769" s="27">
        <f>IF(OR($B2769="",$C2769=""),"",$C2769*$F2769)</f>
        <v>0</v>
      </c>
      <c r="H2769" s="27">
        <f>IF(OR($B2769="",$C2769=""),"",$C2769*IFERROR(INDEX(PecCusto,MATCH($B2769,PecCod,0)),0))</f>
        <v>0</v>
      </c>
      <c r="I2769" s="32">
        <f>IF($A2769="","",IFERROR(INDEX(OSStatus,MATCH($A2769,OSNum,0)),"OS inexistente"))</f>
        <v>0</v>
      </c>
      <c r="J2769" s="32">
        <f>IF($A2769="","",IF($I2769="OS inexistente","OS inexistente",IF($E2769="Peça não cadastrada","Peça não cadastrada","OK")))</f>
        <v>0</v>
      </c>
    </row>
    <row r="2770" spans="1:10">
      <c r="A2770" s="17"/>
      <c r="B2770" s="13"/>
      <c r="C2770" s="20"/>
      <c r="D2770" s="19"/>
      <c r="E2770" s="26">
        <f>IF($B2770="","",IFERROR(INDEX(PecDesc,MATCH($B2770,PecCod,0)),"Peça não cadastrada"))</f>
        <v>0</v>
      </c>
      <c r="F2770" s="27">
        <f>IF($B2770="","",IF($D2770&lt;&gt;"",$D2770,IFERROR(INDEX(PecPreco,MATCH($B2770,PecCod,0)),0)))</f>
        <v>0</v>
      </c>
      <c r="G2770" s="27">
        <f>IF(OR($B2770="",$C2770=""),"",$C2770*$F2770)</f>
        <v>0</v>
      </c>
      <c r="H2770" s="27">
        <f>IF(OR($B2770="",$C2770=""),"",$C2770*IFERROR(INDEX(PecCusto,MATCH($B2770,PecCod,0)),0))</f>
        <v>0</v>
      </c>
      <c r="I2770" s="32">
        <f>IF($A2770="","",IFERROR(INDEX(OSStatus,MATCH($A2770,OSNum,0)),"OS inexistente"))</f>
        <v>0</v>
      </c>
      <c r="J2770" s="32">
        <f>IF($A2770="","",IF($I2770="OS inexistente","OS inexistente",IF($E2770="Peça não cadastrada","Peça não cadastrada","OK")))</f>
        <v>0</v>
      </c>
    </row>
    <row r="2771" spans="1:10">
      <c r="A2771" s="17"/>
      <c r="B2771" s="13"/>
      <c r="C2771" s="20"/>
      <c r="D2771" s="19"/>
      <c r="E2771" s="26">
        <f>IF($B2771="","",IFERROR(INDEX(PecDesc,MATCH($B2771,PecCod,0)),"Peça não cadastrada"))</f>
        <v>0</v>
      </c>
      <c r="F2771" s="27">
        <f>IF($B2771="","",IF($D2771&lt;&gt;"",$D2771,IFERROR(INDEX(PecPreco,MATCH($B2771,PecCod,0)),0)))</f>
        <v>0</v>
      </c>
      <c r="G2771" s="27">
        <f>IF(OR($B2771="",$C2771=""),"",$C2771*$F2771)</f>
        <v>0</v>
      </c>
      <c r="H2771" s="27">
        <f>IF(OR($B2771="",$C2771=""),"",$C2771*IFERROR(INDEX(PecCusto,MATCH($B2771,PecCod,0)),0))</f>
        <v>0</v>
      </c>
      <c r="I2771" s="32">
        <f>IF($A2771="","",IFERROR(INDEX(OSStatus,MATCH($A2771,OSNum,0)),"OS inexistente"))</f>
        <v>0</v>
      </c>
      <c r="J2771" s="32">
        <f>IF($A2771="","",IF($I2771="OS inexistente","OS inexistente",IF($E2771="Peça não cadastrada","Peça não cadastrada","OK")))</f>
        <v>0</v>
      </c>
    </row>
    <row r="2772" spans="1:10">
      <c r="A2772" s="17"/>
      <c r="B2772" s="13"/>
      <c r="C2772" s="20"/>
      <c r="D2772" s="19"/>
      <c r="E2772" s="26">
        <f>IF($B2772="","",IFERROR(INDEX(PecDesc,MATCH($B2772,PecCod,0)),"Peça não cadastrada"))</f>
        <v>0</v>
      </c>
      <c r="F2772" s="27">
        <f>IF($B2772="","",IF($D2772&lt;&gt;"",$D2772,IFERROR(INDEX(PecPreco,MATCH($B2772,PecCod,0)),0)))</f>
        <v>0</v>
      </c>
      <c r="G2772" s="27">
        <f>IF(OR($B2772="",$C2772=""),"",$C2772*$F2772)</f>
        <v>0</v>
      </c>
      <c r="H2772" s="27">
        <f>IF(OR($B2772="",$C2772=""),"",$C2772*IFERROR(INDEX(PecCusto,MATCH($B2772,PecCod,0)),0))</f>
        <v>0</v>
      </c>
      <c r="I2772" s="32">
        <f>IF($A2772="","",IFERROR(INDEX(OSStatus,MATCH($A2772,OSNum,0)),"OS inexistente"))</f>
        <v>0</v>
      </c>
      <c r="J2772" s="32">
        <f>IF($A2772="","",IF($I2772="OS inexistente","OS inexistente",IF($E2772="Peça não cadastrada","Peça não cadastrada","OK")))</f>
        <v>0</v>
      </c>
    </row>
    <row r="2773" spans="1:10">
      <c r="A2773" s="17"/>
      <c r="B2773" s="13"/>
      <c r="C2773" s="20"/>
      <c r="D2773" s="19"/>
      <c r="E2773" s="26">
        <f>IF($B2773="","",IFERROR(INDEX(PecDesc,MATCH($B2773,PecCod,0)),"Peça não cadastrada"))</f>
        <v>0</v>
      </c>
      <c r="F2773" s="27">
        <f>IF($B2773="","",IF($D2773&lt;&gt;"",$D2773,IFERROR(INDEX(PecPreco,MATCH($B2773,PecCod,0)),0)))</f>
        <v>0</v>
      </c>
      <c r="G2773" s="27">
        <f>IF(OR($B2773="",$C2773=""),"",$C2773*$F2773)</f>
        <v>0</v>
      </c>
      <c r="H2773" s="27">
        <f>IF(OR($B2773="",$C2773=""),"",$C2773*IFERROR(INDEX(PecCusto,MATCH($B2773,PecCod,0)),0))</f>
        <v>0</v>
      </c>
      <c r="I2773" s="32">
        <f>IF($A2773="","",IFERROR(INDEX(OSStatus,MATCH($A2773,OSNum,0)),"OS inexistente"))</f>
        <v>0</v>
      </c>
      <c r="J2773" s="32">
        <f>IF($A2773="","",IF($I2773="OS inexistente","OS inexistente",IF($E2773="Peça não cadastrada","Peça não cadastrada","OK")))</f>
        <v>0</v>
      </c>
    </row>
    <row r="2774" spans="1:10">
      <c r="A2774" s="17"/>
      <c r="B2774" s="13"/>
      <c r="C2774" s="20"/>
      <c r="D2774" s="19"/>
      <c r="E2774" s="26">
        <f>IF($B2774="","",IFERROR(INDEX(PecDesc,MATCH($B2774,PecCod,0)),"Peça não cadastrada"))</f>
        <v>0</v>
      </c>
      <c r="F2774" s="27">
        <f>IF($B2774="","",IF($D2774&lt;&gt;"",$D2774,IFERROR(INDEX(PecPreco,MATCH($B2774,PecCod,0)),0)))</f>
        <v>0</v>
      </c>
      <c r="G2774" s="27">
        <f>IF(OR($B2774="",$C2774=""),"",$C2774*$F2774)</f>
        <v>0</v>
      </c>
      <c r="H2774" s="27">
        <f>IF(OR($B2774="",$C2774=""),"",$C2774*IFERROR(INDEX(PecCusto,MATCH($B2774,PecCod,0)),0))</f>
        <v>0</v>
      </c>
      <c r="I2774" s="32">
        <f>IF($A2774="","",IFERROR(INDEX(OSStatus,MATCH($A2774,OSNum,0)),"OS inexistente"))</f>
        <v>0</v>
      </c>
      <c r="J2774" s="32">
        <f>IF($A2774="","",IF($I2774="OS inexistente","OS inexistente",IF($E2774="Peça não cadastrada","Peça não cadastrada","OK")))</f>
        <v>0</v>
      </c>
    </row>
    <row r="2775" spans="1:10">
      <c r="A2775" s="17"/>
      <c r="B2775" s="13"/>
      <c r="C2775" s="20"/>
      <c r="D2775" s="19"/>
      <c r="E2775" s="26">
        <f>IF($B2775="","",IFERROR(INDEX(PecDesc,MATCH($B2775,PecCod,0)),"Peça não cadastrada"))</f>
        <v>0</v>
      </c>
      <c r="F2775" s="27">
        <f>IF($B2775="","",IF($D2775&lt;&gt;"",$D2775,IFERROR(INDEX(PecPreco,MATCH($B2775,PecCod,0)),0)))</f>
        <v>0</v>
      </c>
      <c r="G2775" s="27">
        <f>IF(OR($B2775="",$C2775=""),"",$C2775*$F2775)</f>
        <v>0</v>
      </c>
      <c r="H2775" s="27">
        <f>IF(OR($B2775="",$C2775=""),"",$C2775*IFERROR(INDEX(PecCusto,MATCH($B2775,PecCod,0)),0))</f>
        <v>0</v>
      </c>
      <c r="I2775" s="32">
        <f>IF($A2775="","",IFERROR(INDEX(OSStatus,MATCH($A2775,OSNum,0)),"OS inexistente"))</f>
        <v>0</v>
      </c>
      <c r="J2775" s="32">
        <f>IF($A2775="","",IF($I2775="OS inexistente","OS inexistente",IF($E2775="Peça não cadastrada","Peça não cadastrada","OK")))</f>
        <v>0</v>
      </c>
    </row>
    <row r="2776" spans="1:10">
      <c r="A2776" s="17"/>
      <c r="B2776" s="13"/>
      <c r="C2776" s="20"/>
      <c r="D2776" s="19"/>
      <c r="E2776" s="26">
        <f>IF($B2776="","",IFERROR(INDEX(PecDesc,MATCH($B2776,PecCod,0)),"Peça não cadastrada"))</f>
        <v>0</v>
      </c>
      <c r="F2776" s="27">
        <f>IF($B2776="","",IF($D2776&lt;&gt;"",$D2776,IFERROR(INDEX(PecPreco,MATCH($B2776,PecCod,0)),0)))</f>
        <v>0</v>
      </c>
      <c r="G2776" s="27">
        <f>IF(OR($B2776="",$C2776=""),"",$C2776*$F2776)</f>
        <v>0</v>
      </c>
      <c r="H2776" s="27">
        <f>IF(OR($B2776="",$C2776=""),"",$C2776*IFERROR(INDEX(PecCusto,MATCH($B2776,PecCod,0)),0))</f>
        <v>0</v>
      </c>
      <c r="I2776" s="32">
        <f>IF($A2776="","",IFERROR(INDEX(OSStatus,MATCH($A2776,OSNum,0)),"OS inexistente"))</f>
        <v>0</v>
      </c>
      <c r="J2776" s="32">
        <f>IF($A2776="","",IF($I2776="OS inexistente","OS inexistente",IF($E2776="Peça não cadastrada","Peça não cadastrada","OK")))</f>
        <v>0</v>
      </c>
    </row>
    <row r="2777" spans="1:10">
      <c r="A2777" s="17"/>
      <c r="B2777" s="13"/>
      <c r="C2777" s="20"/>
      <c r="D2777" s="19"/>
      <c r="E2777" s="26">
        <f>IF($B2777="","",IFERROR(INDEX(PecDesc,MATCH($B2777,PecCod,0)),"Peça não cadastrada"))</f>
        <v>0</v>
      </c>
      <c r="F2777" s="27">
        <f>IF($B2777="","",IF($D2777&lt;&gt;"",$D2777,IFERROR(INDEX(PecPreco,MATCH($B2777,PecCod,0)),0)))</f>
        <v>0</v>
      </c>
      <c r="G2777" s="27">
        <f>IF(OR($B2777="",$C2777=""),"",$C2777*$F2777)</f>
        <v>0</v>
      </c>
      <c r="H2777" s="27">
        <f>IF(OR($B2777="",$C2777=""),"",$C2777*IFERROR(INDEX(PecCusto,MATCH($B2777,PecCod,0)),0))</f>
        <v>0</v>
      </c>
      <c r="I2777" s="32">
        <f>IF($A2777="","",IFERROR(INDEX(OSStatus,MATCH($A2777,OSNum,0)),"OS inexistente"))</f>
        <v>0</v>
      </c>
      <c r="J2777" s="32">
        <f>IF($A2777="","",IF($I2777="OS inexistente","OS inexistente",IF($E2777="Peça não cadastrada","Peça não cadastrada","OK")))</f>
        <v>0</v>
      </c>
    </row>
    <row r="2778" spans="1:10">
      <c r="A2778" s="17"/>
      <c r="B2778" s="13"/>
      <c r="C2778" s="20"/>
      <c r="D2778" s="19"/>
      <c r="E2778" s="26">
        <f>IF($B2778="","",IFERROR(INDEX(PecDesc,MATCH($B2778,PecCod,0)),"Peça não cadastrada"))</f>
        <v>0</v>
      </c>
      <c r="F2778" s="27">
        <f>IF($B2778="","",IF($D2778&lt;&gt;"",$D2778,IFERROR(INDEX(PecPreco,MATCH($B2778,PecCod,0)),0)))</f>
        <v>0</v>
      </c>
      <c r="G2778" s="27">
        <f>IF(OR($B2778="",$C2778=""),"",$C2778*$F2778)</f>
        <v>0</v>
      </c>
      <c r="H2778" s="27">
        <f>IF(OR($B2778="",$C2778=""),"",$C2778*IFERROR(INDEX(PecCusto,MATCH($B2778,PecCod,0)),0))</f>
        <v>0</v>
      </c>
      <c r="I2778" s="32">
        <f>IF($A2778="","",IFERROR(INDEX(OSStatus,MATCH($A2778,OSNum,0)),"OS inexistente"))</f>
        <v>0</v>
      </c>
      <c r="J2778" s="32">
        <f>IF($A2778="","",IF($I2778="OS inexistente","OS inexistente",IF($E2778="Peça não cadastrada","Peça não cadastrada","OK")))</f>
        <v>0</v>
      </c>
    </row>
    <row r="2779" spans="1:10">
      <c r="A2779" s="17"/>
      <c r="B2779" s="13"/>
      <c r="C2779" s="20"/>
      <c r="D2779" s="19"/>
      <c r="E2779" s="26">
        <f>IF($B2779="","",IFERROR(INDEX(PecDesc,MATCH($B2779,PecCod,0)),"Peça não cadastrada"))</f>
        <v>0</v>
      </c>
      <c r="F2779" s="27">
        <f>IF($B2779="","",IF($D2779&lt;&gt;"",$D2779,IFERROR(INDEX(PecPreco,MATCH($B2779,PecCod,0)),0)))</f>
        <v>0</v>
      </c>
      <c r="G2779" s="27">
        <f>IF(OR($B2779="",$C2779=""),"",$C2779*$F2779)</f>
        <v>0</v>
      </c>
      <c r="H2779" s="27">
        <f>IF(OR($B2779="",$C2779=""),"",$C2779*IFERROR(INDEX(PecCusto,MATCH($B2779,PecCod,0)),0))</f>
        <v>0</v>
      </c>
      <c r="I2779" s="32">
        <f>IF($A2779="","",IFERROR(INDEX(OSStatus,MATCH($A2779,OSNum,0)),"OS inexistente"))</f>
        <v>0</v>
      </c>
      <c r="J2779" s="32">
        <f>IF($A2779="","",IF($I2779="OS inexistente","OS inexistente",IF($E2779="Peça não cadastrada","Peça não cadastrada","OK")))</f>
        <v>0</v>
      </c>
    </row>
    <row r="2780" spans="1:10">
      <c r="A2780" s="17"/>
      <c r="B2780" s="13"/>
      <c r="C2780" s="20"/>
      <c r="D2780" s="19"/>
      <c r="E2780" s="26">
        <f>IF($B2780="","",IFERROR(INDEX(PecDesc,MATCH($B2780,PecCod,0)),"Peça não cadastrada"))</f>
        <v>0</v>
      </c>
      <c r="F2780" s="27">
        <f>IF($B2780="","",IF($D2780&lt;&gt;"",$D2780,IFERROR(INDEX(PecPreco,MATCH($B2780,PecCod,0)),0)))</f>
        <v>0</v>
      </c>
      <c r="G2780" s="27">
        <f>IF(OR($B2780="",$C2780=""),"",$C2780*$F2780)</f>
        <v>0</v>
      </c>
      <c r="H2780" s="27">
        <f>IF(OR($B2780="",$C2780=""),"",$C2780*IFERROR(INDEX(PecCusto,MATCH($B2780,PecCod,0)),0))</f>
        <v>0</v>
      </c>
      <c r="I2780" s="32">
        <f>IF($A2780="","",IFERROR(INDEX(OSStatus,MATCH($A2780,OSNum,0)),"OS inexistente"))</f>
        <v>0</v>
      </c>
      <c r="J2780" s="32">
        <f>IF($A2780="","",IF($I2780="OS inexistente","OS inexistente",IF($E2780="Peça não cadastrada","Peça não cadastrada","OK")))</f>
        <v>0</v>
      </c>
    </row>
    <row r="2781" spans="1:10">
      <c r="A2781" s="17"/>
      <c r="B2781" s="13"/>
      <c r="C2781" s="20"/>
      <c r="D2781" s="19"/>
      <c r="E2781" s="26">
        <f>IF($B2781="","",IFERROR(INDEX(PecDesc,MATCH($B2781,PecCod,0)),"Peça não cadastrada"))</f>
        <v>0</v>
      </c>
      <c r="F2781" s="27">
        <f>IF($B2781="","",IF($D2781&lt;&gt;"",$D2781,IFERROR(INDEX(PecPreco,MATCH($B2781,PecCod,0)),0)))</f>
        <v>0</v>
      </c>
      <c r="G2781" s="27">
        <f>IF(OR($B2781="",$C2781=""),"",$C2781*$F2781)</f>
        <v>0</v>
      </c>
      <c r="H2781" s="27">
        <f>IF(OR($B2781="",$C2781=""),"",$C2781*IFERROR(INDEX(PecCusto,MATCH($B2781,PecCod,0)),0))</f>
        <v>0</v>
      </c>
      <c r="I2781" s="32">
        <f>IF($A2781="","",IFERROR(INDEX(OSStatus,MATCH($A2781,OSNum,0)),"OS inexistente"))</f>
        <v>0</v>
      </c>
      <c r="J2781" s="32">
        <f>IF($A2781="","",IF($I2781="OS inexistente","OS inexistente",IF($E2781="Peça não cadastrada","Peça não cadastrada","OK")))</f>
        <v>0</v>
      </c>
    </row>
    <row r="2782" spans="1:10">
      <c r="A2782" s="17"/>
      <c r="B2782" s="13"/>
      <c r="C2782" s="20"/>
      <c r="D2782" s="19"/>
      <c r="E2782" s="26">
        <f>IF($B2782="","",IFERROR(INDEX(PecDesc,MATCH($B2782,PecCod,0)),"Peça não cadastrada"))</f>
        <v>0</v>
      </c>
      <c r="F2782" s="27">
        <f>IF($B2782="","",IF($D2782&lt;&gt;"",$D2782,IFERROR(INDEX(PecPreco,MATCH($B2782,PecCod,0)),0)))</f>
        <v>0</v>
      </c>
      <c r="G2782" s="27">
        <f>IF(OR($B2782="",$C2782=""),"",$C2782*$F2782)</f>
        <v>0</v>
      </c>
      <c r="H2782" s="27">
        <f>IF(OR($B2782="",$C2782=""),"",$C2782*IFERROR(INDEX(PecCusto,MATCH($B2782,PecCod,0)),0))</f>
        <v>0</v>
      </c>
      <c r="I2782" s="32">
        <f>IF($A2782="","",IFERROR(INDEX(OSStatus,MATCH($A2782,OSNum,0)),"OS inexistente"))</f>
        <v>0</v>
      </c>
      <c r="J2782" s="32">
        <f>IF($A2782="","",IF($I2782="OS inexistente","OS inexistente",IF($E2782="Peça não cadastrada","Peça não cadastrada","OK")))</f>
        <v>0</v>
      </c>
    </row>
    <row r="2783" spans="1:10">
      <c r="A2783" s="17"/>
      <c r="B2783" s="13"/>
      <c r="C2783" s="20"/>
      <c r="D2783" s="19"/>
      <c r="E2783" s="26">
        <f>IF($B2783="","",IFERROR(INDEX(PecDesc,MATCH($B2783,PecCod,0)),"Peça não cadastrada"))</f>
        <v>0</v>
      </c>
      <c r="F2783" s="27">
        <f>IF($B2783="","",IF($D2783&lt;&gt;"",$D2783,IFERROR(INDEX(PecPreco,MATCH($B2783,PecCod,0)),0)))</f>
        <v>0</v>
      </c>
      <c r="G2783" s="27">
        <f>IF(OR($B2783="",$C2783=""),"",$C2783*$F2783)</f>
        <v>0</v>
      </c>
      <c r="H2783" s="27">
        <f>IF(OR($B2783="",$C2783=""),"",$C2783*IFERROR(INDEX(PecCusto,MATCH($B2783,PecCod,0)),0))</f>
        <v>0</v>
      </c>
      <c r="I2783" s="32">
        <f>IF($A2783="","",IFERROR(INDEX(OSStatus,MATCH($A2783,OSNum,0)),"OS inexistente"))</f>
        <v>0</v>
      </c>
      <c r="J2783" s="32">
        <f>IF($A2783="","",IF($I2783="OS inexistente","OS inexistente",IF($E2783="Peça não cadastrada","Peça não cadastrada","OK")))</f>
        <v>0</v>
      </c>
    </row>
    <row r="2784" spans="1:10">
      <c r="A2784" s="17"/>
      <c r="B2784" s="13"/>
      <c r="C2784" s="20"/>
      <c r="D2784" s="19"/>
      <c r="E2784" s="26">
        <f>IF($B2784="","",IFERROR(INDEX(PecDesc,MATCH($B2784,PecCod,0)),"Peça não cadastrada"))</f>
        <v>0</v>
      </c>
      <c r="F2784" s="27">
        <f>IF($B2784="","",IF($D2784&lt;&gt;"",$D2784,IFERROR(INDEX(PecPreco,MATCH($B2784,PecCod,0)),0)))</f>
        <v>0</v>
      </c>
      <c r="G2784" s="27">
        <f>IF(OR($B2784="",$C2784=""),"",$C2784*$F2784)</f>
        <v>0</v>
      </c>
      <c r="H2784" s="27">
        <f>IF(OR($B2784="",$C2784=""),"",$C2784*IFERROR(INDEX(PecCusto,MATCH($B2784,PecCod,0)),0))</f>
        <v>0</v>
      </c>
      <c r="I2784" s="32">
        <f>IF($A2784="","",IFERROR(INDEX(OSStatus,MATCH($A2784,OSNum,0)),"OS inexistente"))</f>
        <v>0</v>
      </c>
      <c r="J2784" s="32">
        <f>IF($A2784="","",IF($I2784="OS inexistente","OS inexistente",IF($E2784="Peça não cadastrada","Peça não cadastrada","OK")))</f>
        <v>0</v>
      </c>
    </row>
    <row r="2785" spans="1:10">
      <c r="A2785" s="17"/>
      <c r="B2785" s="13"/>
      <c r="C2785" s="20"/>
      <c r="D2785" s="19"/>
      <c r="E2785" s="26">
        <f>IF($B2785="","",IFERROR(INDEX(PecDesc,MATCH($B2785,PecCod,0)),"Peça não cadastrada"))</f>
        <v>0</v>
      </c>
      <c r="F2785" s="27">
        <f>IF($B2785="","",IF($D2785&lt;&gt;"",$D2785,IFERROR(INDEX(PecPreco,MATCH($B2785,PecCod,0)),0)))</f>
        <v>0</v>
      </c>
      <c r="G2785" s="27">
        <f>IF(OR($B2785="",$C2785=""),"",$C2785*$F2785)</f>
        <v>0</v>
      </c>
      <c r="H2785" s="27">
        <f>IF(OR($B2785="",$C2785=""),"",$C2785*IFERROR(INDEX(PecCusto,MATCH($B2785,PecCod,0)),0))</f>
        <v>0</v>
      </c>
      <c r="I2785" s="32">
        <f>IF($A2785="","",IFERROR(INDEX(OSStatus,MATCH($A2785,OSNum,0)),"OS inexistente"))</f>
        <v>0</v>
      </c>
      <c r="J2785" s="32">
        <f>IF($A2785="","",IF($I2785="OS inexistente","OS inexistente",IF($E2785="Peça não cadastrada","Peça não cadastrada","OK")))</f>
        <v>0</v>
      </c>
    </row>
    <row r="2786" spans="1:10">
      <c r="A2786" s="17"/>
      <c r="B2786" s="13"/>
      <c r="C2786" s="20"/>
      <c r="D2786" s="19"/>
      <c r="E2786" s="26">
        <f>IF($B2786="","",IFERROR(INDEX(PecDesc,MATCH($B2786,PecCod,0)),"Peça não cadastrada"))</f>
        <v>0</v>
      </c>
      <c r="F2786" s="27">
        <f>IF($B2786="","",IF($D2786&lt;&gt;"",$D2786,IFERROR(INDEX(PecPreco,MATCH($B2786,PecCod,0)),0)))</f>
        <v>0</v>
      </c>
      <c r="G2786" s="27">
        <f>IF(OR($B2786="",$C2786=""),"",$C2786*$F2786)</f>
        <v>0</v>
      </c>
      <c r="H2786" s="27">
        <f>IF(OR($B2786="",$C2786=""),"",$C2786*IFERROR(INDEX(PecCusto,MATCH($B2786,PecCod,0)),0))</f>
        <v>0</v>
      </c>
      <c r="I2786" s="32">
        <f>IF($A2786="","",IFERROR(INDEX(OSStatus,MATCH($A2786,OSNum,0)),"OS inexistente"))</f>
        <v>0</v>
      </c>
      <c r="J2786" s="32">
        <f>IF($A2786="","",IF($I2786="OS inexistente","OS inexistente",IF($E2786="Peça não cadastrada","Peça não cadastrada","OK")))</f>
        <v>0</v>
      </c>
    </row>
    <row r="2787" spans="1:10">
      <c r="A2787" s="17"/>
      <c r="B2787" s="13"/>
      <c r="C2787" s="20"/>
      <c r="D2787" s="19"/>
      <c r="E2787" s="26">
        <f>IF($B2787="","",IFERROR(INDEX(PecDesc,MATCH($B2787,PecCod,0)),"Peça não cadastrada"))</f>
        <v>0</v>
      </c>
      <c r="F2787" s="27">
        <f>IF($B2787="","",IF($D2787&lt;&gt;"",$D2787,IFERROR(INDEX(PecPreco,MATCH($B2787,PecCod,0)),0)))</f>
        <v>0</v>
      </c>
      <c r="G2787" s="27">
        <f>IF(OR($B2787="",$C2787=""),"",$C2787*$F2787)</f>
        <v>0</v>
      </c>
      <c r="H2787" s="27">
        <f>IF(OR($B2787="",$C2787=""),"",$C2787*IFERROR(INDEX(PecCusto,MATCH($B2787,PecCod,0)),0))</f>
        <v>0</v>
      </c>
      <c r="I2787" s="32">
        <f>IF($A2787="","",IFERROR(INDEX(OSStatus,MATCH($A2787,OSNum,0)),"OS inexistente"))</f>
        <v>0</v>
      </c>
      <c r="J2787" s="32">
        <f>IF($A2787="","",IF($I2787="OS inexistente","OS inexistente",IF($E2787="Peça não cadastrada","Peça não cadastrada","OK")))</f>
        <v>0</v>
      </c>
    </row>
    <row r="2788" spans="1:10">
      <c r="A2788" s="17"/>
      <c r="B2788" s="13"/>
      <c r="C2788" s="20"/>
      <c r="D2788" s="19"/>
      <c r="E2788" s="26">
        <f>IF($B2788="","",IFERROR(INDEX(PecDesc,MATCH($B2788,PecCod,0)),"Peça não cadastrada"))</f>
        <v>0</v>
      </c>
      <c r="F2788" s="27">
        <f>IF($B2788="","",IF($D2788&lt;&gt;"",$D2788,IFERROR(INDEX(PecPreco,MATCH($B2788,PecCod,0)),0)))</f>
        <v>0</v>
      </c>
      <c r="G2788" s="27">
        <f>IF(OR($B2788="",$C2788=""),"",$C2788*$F2788)</f>
        <v>0</v>
      </c>
      <c r="H2788" s="27">
        <f>IF(OR($B2788="",$C2788=""),"",$C2788*IFERROR(INDEX(PecCusto,MATCH($B2788,PecCod,0)),0))</f>
        <v>0</v>
      </c>
      <c r="I2788" s="32">
        <f>IF($A2788="","",IFERROR(INDEX(OSStatus,MATCH($A2788,OSNum,0)),"OS inexistente"))</f>
        <v>0</v>
      </c>
      <c r="J2788" s="32">
        <f>IF($A2788="","",IF($I2788="OS inexistente","OS inexistente",IF($E2788="Peça não cadastrada","Peça não cadastrada","OK")))</f>
        <v>0</v>
      </c>
    </row>
    <row r="2789" spans="1:10">
      <c r="A2789" s="17"/>
      <c r="B2789" s="13"/>
      <c r="C2789" s="20"/>
      <c r="D2789" s="19"/>
      <c r="E2789" s="26">
        <f>IF($B2789="","",IFERROR(INDEX(PecDesc,MATCH($B2789,PecCod,0)),"Peça não cadastrada"))</f>
        <v>0</v>
      </c>
      <c r="F2789" s="27">
        <f>IF($B2789="","",IF($D2789&lt;&gt;"",$D2789,IFERROR(INDEX(PecPreco,MATCH($B2789,PecCod,0)),0)))</f>
        <v>0</v>
      </c>
      <c r="G2789" s="27">
        <f>IF(OR($B2789="",$C2789=""),"",$C2789*$F2789)</f>
        <v>0</v>
      </c>
      <c r="H2789" s="27">
        <f>IF(OR($B2789="",$C2789=""),"",$C2789*IFERROR(INDEX(PecCusto,MATCH($B2789,PecCod,0)),0))</f>
        <v>0</v>
      </c>
      <c r="I2789" s="32">
        <f>IF($A2789="","",IFERROR(INDEX(OSStatus,MATCH($A2789,OSNum,0)),"OS inexistente"))</f>
        <v>0</v>
      </c>
      <c r="J2789" s="32">
        <f>IF($A2789="","",IF($I2789="OS inexistente","OS inexistente",IF($E2789="Peça não cadastrada","Peça não cadastrada","OK")))</f>
        <v>0</v>
      </c>
    </row>
    <row r="2790" spans="1:10">
      <c r="A2790" s="17"/>
      <c r="B2790" s="13"/>
      <c r="C2790" s="20"/>
      <c r="D2790" s="19"/>
      <c r="E2790" s="26">
        <f>IF($B2790="","",IFERROR(INDEX(PecDesc,MATCH($B2790,PecCod,0)),"Peça não cadastrada"))</f>
        <v>0</v>
      </c>
      <c r="F2790" s="27">
        <f>IF($B2790="","",IF($D2790&lt;&gt;"",$D2790,IFERROR(INDEX(PecPreco,MATCH($B2790,PecCod,0)),0)))</f>
        <v>0</v>
      </c>
      <c r="G2790" s="27">
        <f>IF(OR($B2790="",$C2790=""),"",$C2790*$F2790)</f>
        <v>0</v>
      </c>
      <c r="H2790" s="27">
        <f>IF(OR($B2790="",$C2790=""),"",$C2790*IFERROR(INDEX(PecCusto,MATCH($B2790,PecCod,0)),0))</f>
        <v>0</v>
      </c>
      <c r="I2790" s="32">
        <f>IF($A2790="","",IFERROR(INDEX(OSStatus,MATCH($A2790,OSNum,0)),"OS inexistente"))</f>
        <v>0</v>
      </c>
      <c r="J2790" s="32">
        <f>IF($A2790="","",IF($I2790="OS inexistente","OS inexistente",IF($E2790="Peça não cadastrada","Peça não cadastrada","OK")))</f>
        <v>0</v>
      </c>
    </row>
    <row r="2791" spans="1:10">
      <c r="A2791" s="17"/>
      <c r="B2791" s="13"/>
      <c r="C2791" s="20"/>
      <c r="D2791" s="19"/>
      <c r="E2791" s="26">
        <f>IF($B2791="","",IFERROR(INDEX(PecDesc,MATCH($B2791,PecCod,0)),"Peça não cadastrada"))</f>
        <v>0</v>
      </c>
      <c r="F2791" s="27">
        <f>IF($B2791="","",IF($D2791&lt;&gt;"",$D2791,IFERROR(INDEX(PecPreco,MATCH($B2791,PecCod,0)),0)))</f>
        <v>0</v>
      </c>
      <c r="G2791" s="27">
        <f>IF(OR($B2791="",$C2791=""),"",$C2791*$F2791)</f>
        <v>0</v>
      </c>
      <c r="H2791" s="27">
        <f>IF(OR($B2791="",$C2791=""),"",$C2791*IFERROR(INDEX(PecCusto,MATCH($B2791,PecCod,0)),0))</f>
        <v>0</v>
      </c>
      <c r="I2791" s="32">
        <f>IF($A2791="","",IFERROR(INDEX(OSStatus,MATCH($A2791,OSNum,0)),"OS inexistente"))</f>
        <v>0</v>
      </c>
      <c r="J2791" s="32">
        <f>IF($A2791="","",IF($I2791="OS inexistente","OS inexistente",IF($E2791="Peça não cadastrada","Peça não cadastrada","OK")))</f>
        <v>0</v>
      </c>
    </row>
    <row r="2792" spans="1:10">
      <c r="A2792" s="17"/>
      <c r="B2792" s="13"/>
      <c r="C2792" s="20"/>
      <c r="D2792" s="19"/>
      <c r="E2792" s="26">
        <f>IF($B2792="","",IFERROR(INDEX(PecDesc,MATCH($B2792,PecCod,0)),"Peça não cadastrada"))</f>
        <v>0</v>
      </c>
      <c r="F2792" s="27">
        <f>IF($B2792="","",IF($D2792&lt;&gt;"",$D2792,IFERROR(INDEX(PecPreco,MATCH($B2792,PecCod,0)),0)))</f>
        <v>0</v>
      </c>
      <c r="G2792" s="27">
        <f>IF(OR($B2792="",$C2792=""),"",$C2792*$F2792)</f>
        <v>0</v>
      </c>
      <c r="H2792" s="27">
        <f>IF(OR($B2792="",$C2792=""),"",$C2792*IFERROR(INDEX(PecCusto,MATCH($B2792,PecCod,0)),0))</f>
        <v>0</v>
      </c>
      <c r="I2792" s="32">
        <f>IF($A2792="","",IFERROR(INDEX(OSStatus,MATCH($A2792,OSNum,0)),"OS inexistente"))</f>
        <v>0</v>
      </c>
      <c r="J2792" s="32">
        <f>IF($A2792="","",IF($I2792="OS inexistente","OS inexistente",IF($E2792="Peça não cadastrada","Peça não cadastrada","OK")))</f>
        <v>0</v>
      </c>
    </row>
    <row r="2793" spans="1:10">
      <c r="A2793" s="17"/>
      <c r="B2793" s="13"/>
      <c r="C2793" s="20"/>
      <c r="D2793" s="19"/>
      <c r="E2793" s="26">
        <f>IF($B2793="","",IFERROR(INDEX(PecDesc,MATCH($B2793,PecCod,0)),"Peça não cadastrada"))</f>
        <v>0</v>
      </c>
      <c r="F2793" s="27">
        <f>IF($B2793="","",IF($D2793&lt;&gt;"",$D2793,IFERROR(INDEX(PecPreco,MATCH($B2793,PecCod,0)),0)))</f>
        <v>0</v>
      </c>
      <c r="G2793" s="27">
        <f>IF(OR($B2793="",$C2793=""),"",$C2793*$F2793)</f>
        <v>0</v>
      </c>
      <c r="H2793" s="27">
        <f>IF(OR($B2793="",$C2793=""),"",$C2793*IFERROR(INDEX(PecCusto,MATCH($B2793,PecCod,0)),0))</f>
        <v>0</v>
      </c>
      <c r="I2793" s="32">
        <f>IF($A2793="","",IFERROR(INDEX(OSStatus,MATCH($A2793,OSNum,0)),"OS inexistente"))</f>
        <v>0</v>
      </c>
      <c r="J2793" s="32">
        <f>IF($A2793="","",IF($I2793="OS inexistente","OS inexistente",IF($E2793="Peça não cadastrada","Peça não cadastrada","OK")))</f>
        <v>0</v>
      </c>
    </row>
    <row r="2794" spans="1:10">
      <c r="A2794" s="17"/>
      <c r="B2794" s="13"/>
      <c r="C2794" s="20"/>
      <c r="D2794" s="19"/>
      <c r="E2794" s="26">
        <f>IF($B2794="","",IFERROR(INDEX(PecDesc,MATCH($B2794,PecCod,0)),"Peça não cadastrada"))</f>
        <v>0</v>
      </c>
      <c r="F2794" s="27">
        <f>IF($B2794="","",IF($D2794&lt;&gt;"",$D2794,IFERROR(INDEX(PecPreco,MATCH($B2794,PecCod,0)),0)))</f>
        <v>0</v>
      </c>
      <c r="G2794" s="27">
        <f>IF(OR($B2794="",$C2794=""),"",$C2794*$F2794)</f>
        <v>0</v>
      </c>
      <c r="H2794" s="27">
        <f>IF(OR($B2794="",$C2794=""),"",$C2794*IFERROR(INDEX(PecCusto,MATCH($B2794,PecCod,0)),0))</f>
        <v>0</v>
      </c>
      <c r="I2794" s="32">
        <f>IF($A2794="","",IFERROR(INDEX(OSStatus,MATCH($A2794,OSNum,0)),"OS inexistente"))</f>
        <v>0</v>
      </c>
      <c r="J2794" s="32">
        <f>IF($A2794="","",IF($I2794="OS inexistente","OS inexistente",IF($E2794="Peça não cadastrada","Peça não cadastrada","OK")))</f>
        <v>0</v>
      </c>
    </row>
    <row r="2795" spans="1:10">
      <c r="A2795" s="17"/>
      <c r="B2795" s="13"/>
      <c r="C2795" s="20"/>
      <c r="D2795" s="19"/>
      <c r="E2795" s="26">
        <f>IF($B2795="","",IFERROR(INDEX(PecDesc,MATCH($B2795,PecCod,0)),"Peça não cadastrada"))</f>
        <v>0</v>
      </c>
      <c r="F2795" s="27">
        <f>IF($B2795="","",IF($D2795&lt;&gt;"",$D2795,IFERROR(INDEX(PecPreco,MATCH($B2795,PecCod,0)),0)))</f>
        <v>0</v>
      </c>
      <c r="G2795" s="27">
        <f>IF(OR($B2795="",$C2795=""),"",$C2795*$F2795)</f>
        <v>0</v>
      </c>
      <c r="H2795" s="27">
        <f>IF(OR($B2795="",$C2795=""),"",$C2795*IFERROR(INDEX(PecCusto,MATCH($B2795,PecCod,0)),0))</f>
        <v>0</v>
      </c>
      <c r="I2795" s="32">
        <f>IF($A2795="","",IFERROR(INDEX(OSStatus,MATCH($A2795,OSNum,0)),"OS inexistente"))</f>
        <v>0</v>
      </c>
      <c r="J2795" s="32">
        <f>IF($A2795="","",IF($I2795="OS inexistente","OS inexistente",IF($E2795="Peça não cadastrada","Peça não cadastrada","OK")))</f>
        <v>0</v>
      </c>
    </row>
    <row r="2796" spans="1:10">
      <c r="A2796" s="17"/>
      <c r="B2796" s="13"/>
      <c r="C2796" s="20"/>
      <c r="D2796" s="19"/>
      <c r="E2796" s="26">
        <f>IF($B2796="","",IFERROR(INDEX(PecDesc,MATCH($B2796,PecCod,0)),"Peça não cadastrada"))</f>
        <v>0</v>
      </c>
      <c r="F2796" s="27">
        <f>IF($B2796="","",IF($D2796&lt;&gt;"",$D2796,IFERROR(INDEX(PecPreco,MATCH($B2796,PecCod,0)),0)))</f>
        <v>0</v>
      </c>
      <c r="G2796" s="27">
        <f>IF(OR($B2796="",$C2796=""),"",$C2796*$F2796)</f>
        <v>0</v>
      </c>
      <c r="H2796" s="27">
        <f>IF(OR($B2796="",$C2796=""),"",$C2796*IFERROR(INDEX(PecCusto,MATCH($B2796,PecCod,0)),0))</f>
        <v>0</v>
      </c>
      <c r="I2796" s="32">
        <f>IF($A2796="","",IFERROR(INDEX(OSStatus,MATCH($A2796,OSNum,0)),"OS inexistente"))</f>
        <v>0</v>
      </c>
      <c r="J2796" s="32">
        <f>IF($A2796="","",IF($I2796="OS inexistente","OS inexistente",IF($E2796="Peça não cadastrada","Peça não cadastrada","OK")))</f>
        <v>0</v>
      </c>
    </row>
    <row r="2797" spans="1:10">
      <c r="A2797" s="17"/>
      <c r="B2797" s="13"/>
      <c r="C2797" s="20"/>
      <c r="D2797" s="19"/>
      <c r="E2797" s="26">
        <f>IF($B2797="","",IFERROR(INDEX(PecDesc,MATCH($B2797,PecCod,0)),"Peça não cadastrada"))</f>
        <v>0</v>
      </c>
      <c r="F2797" s="27">
        <f>IF($B2797="","",IF($D2797&lt;&gt;"",$D2797,IFERROR(INDEX(PecPreco,MATCH($B2797,PecCod,0)),0)))</f>
        <v>0</v>
      </c>
      <c r="G2797" s="27">
        <f>IF(OR($B2797="",$C2797=""),"",$C2797*$F2797)</f>
        <v>0</v>
      </c>
      <c r="H2797" s="27">
        <f>IF(OR($B2797="",$C2797=""),"",$C2797*IFERROR(INDEX(PecCusto,MATCH($B2797,PecCod,0)),0))</f>
        <v>0</v>
      </c>
      <c r="I2797" s="32">
        <f>IF($A2797="","",IFERROR(INDEX(OSStatus,MATCH($A2797,OSNum,0)),"OS inexistente"))</f>
        <v>0</v>
      </c>
      <c r="J2797" s="32">
        <f>IF($A2797="","",IF($I2797="OS inexistente","OS inexistente",IF($E2797="Peça não cadastrada","Peça não cadastrada","OK")))</f>
        <v>0</v>
      </c>
    </row>
    <row r="2798" spans="1:10">
      <c r="A2798" s="17"/>
      <c r="B2798" s="13"/>
      <c r="C2798" s="20"/>
      <c r="D2798" s="19"/>
      <c r="E2798" s="26">
        <f>IF($B2798="","",IFERROR(INDEX(PecDesc,MATCH($B2798,PecCod,0)),"Peça não cadastrada"))</f>
        <v>0</v>
      </c>
      <c r="F2798" s="27">
        <f>IF($B2798="","",IF($D2798&lt;&gt;"",$D2798,IFERROR(INDEX(PecPreco,MATCH($B2798,PecCod,0)),0)))</f>
        <v>0</v>
      </c>
      <c r="G2798" s="27">
        <f>IF(OR($B2798="",$C2798=""),"",$C2798*$F2798)</f>
        <v>0</v>
      </c>
      <c r="H2798" s="27">
        <f>IF(OR($B2798="",$C2798=""),"",$C2798*IFERROR(INDEX(PecCusto,MATCH($B2798,PecCod,0)),0))</f>
        <v>0</v>
      </c>
      <c r="I2798" s="32">
        <f>IF($A2798="","",IFERROR(INDEX(OSStatus,MATCH($A2798,OSNum,0)),"OS inexistente"))</f>
        <v>0</v>
      </c>
      <c r="J2798" s="32">
        <f>IF($A2798="","",IF($I2798="OS inexistente","OS inexistente",IF($E2798="Peça não cadastrada","Peça não cadastrada","OK")))</f>
        <v>0</v>
      </c>
    </row>
    <row r="2799" spans="1:10">
      <c r="A2799" s="17"/>
      <c r="B2799" s="13"/>
      <c r="C2799" s="20"/>
      <c r="D2799" s="19"/>
      <c r="E2799" s="26">
        <f>IF($B2799="","",IFERROR(INDEX(PecDesc,MATCH($B2799,PecCod,0)),"Peça não cadastrada"))</f>
        <v>0</v>
      </c>
      <c r="F2799" s="27">
        <f>IF($B2799="","",IF($D2799&lt;&gt;"",$D2799,IFERROR(INDEX(PecPreco,MATCH($B2799,PecCod,0)),0)))</f>
        <v>0</v>
      </c>
      <c r="G2799" s="27">
        <f>IF(OR($B2799="",$C2799=""),"",$C2799*$F2799)</f>
        <v>0</v>
      </c>
      <c r="H2799" s="27">
        <f>IF(OR($B2799="",$C2799=""),"",$C2799*IFERROR(INDEX(PecCusto,MATCH($B2799,PecCod,0)),0))</f>
        <v>0</v>
      </c>
      <c r="I2799" s="32">
        <f>IF($A2799="","",IFERROR(INDEX(OSStatus,MATCH($A2799,OSNum,0)),"OS inexistente"))</f>
        <v>0</v>
      </c>
      <c r="J2799" s="32">
        <f>IF($A2799="","",IF($I2799="OS inexistente","OS inexistente",IF($E2799="Peça não cadastrada","Peça não cadastrada","OK")))</f>
        <v>0</v>
      </c>
    </row>
    <row r="2800" spans="1:10">
      <c r="A2800" s="17"/>
      <c r="B2800" s="13"/>
      <c r="C2800" s="20"/>
      <c r="D2800" s="19"/>
      <c r="E2800" s="26">
        <f>IF($B2800="","",IFERROR(INDEX(PecDesc,MATCH($B2800,PecCod,0)),"Peça não cadastrada"))</f>
        <v>0</v>
      </c>
      <c r="F2800" s="27">
        <f>IF($B2800="","",IF($D2800&lt;&gt;"",$D2800,IFERROR(INDEX(PecPreco,MATCH($B2800,PecCod,0)),0)))</f>
        <v>0</v>
      </c>
      <c r="G2800" s="27">
        <f>IF(OR($B2800="",$C2800=""),"",$C2800*$F2800)</f>
        <v>0</v>
      </c>
      <c r="H2800" s="27">
        <f>IF(OR($B2800="",$C2800=""),"",$C2800*IFERROR(INDEX(PecCusto,MATCH($B2800,PecCod,0)),0))</f>
        <v>0</v>
      </c>
      <c r="I2800" s="32">
        <f>IF($A2800="","",IFERROR(INDEX(OSStatus,MATCH($A2800,OSNum,0)),"OS inexistente"))</f>
        <v>0</v>
      </c>
      <c r="J2800" s="32">
        <f>IF($A2800="","",IF($I2800="OS inexistente","OS inexistente",IF($E2800="Peça não cadastrada","Peça não cadastrada","OK")))</f>
        <v>0</v>
      </c>
    </row>
    <row r="2801" spans="1:10">
      <c r="A2801" s="17"/>
      <c r="B2801" s="13"/>
      <c r="C2801" s="20"/>
      <c r="D2801" s="19"/>
      <c r="E2801" s="26">
        <f>IF($B2801="","",IFERROR(INDEX(PecDesc,MATCH($B2801,PecCod,0)),"Peça não cadastrada"))</f>
        <v>0</v>
      </c>
      <c r="F2801" s="27">
        <f>IF($B2801="","",IF($D2801&lt;&gt;"",$D2801,IFERROR(INDEX(PecPreco,MATCH($B2801,PecCod,0)),0)))</f>
        <v>0</v>
      </c>
      <c r="G2801" s="27">
        <f>IF(OR($B2801="",$C2801=""),"",$C2801*$F2801)</f>
        <v>0</v>
      </c>
      <c r="H2801" s="27">
        <f>IF(OR($B2801="",$C2801=""),"",$C2801*IFERROR(INDEX(PecCusto,MATCH($B2801,PecCod,0)),0))</f>
        <v>0</v>
      </c>
      <c r="I2801" s="32">
        <f>IF($A2801="","",IFERROR(INDEX(OSStatus,MATCH($A2801,OSNum,0)),"OS inexistente"))</f>
        <v>0</v>
      </c>
      <c r="J2801" s="32">
        <f>IF($A2801="","",IF($I2801="OS inexistente","OS inexistente",IF($E2801="Peça não cadastrada","Peça não cadastrada","OK")))</f>
        <v>0</v>
      </c>
    </row>
    <row r="2802" spans="1:10">
      <c r="A2802" s="17"/>
      <c r="B2802" s="13"/>
      <c r="C2802" s="20"/>
      <c r="D2802" s="19"/>
      <c r="E2802" s="26">
        <f>IF($B2802="","",IFERROR(INDEX(PecDesc,MATCH($B2802,PecCod,0)),"Peça não cadastrada"))</f>
        <v>0</v>
      </c>
      <c r="F2802" s="27">
        <f>IF($B2802="","",IF($D2802&lt;&gt;"",$D2802,IFERROR(INDEX(PecPreco,MATCH($B2802,PecCod,0)),0)))</f>
        <v>0</v>
      </c>
      <c r="G2802" s="27">
        <f>IF(OR($B2802="",$C2802=""),"",$C2802*$F2802)</f>
        <v>0</v>
      </c>
      <c r="H2802" s="27">
        <f>IF(OR($B2802="",$C2802=""),"",$C2802*IFERROR(INDEX(PecCusto,MATCH($B2802,PecCod,0)),0))</f>
        <v>0</v>
      </c>
      <c r="I2802" s="32">
        <f>IF($A2802="","",IFERROR(INDEX(OSStatus,MATCH($A2802,OSNum,0)),"OS inexistente"))</f>
        <v>0</v>
      </c>
      <c r="J2802" s="32">
        <f>IF($A2802="","",IF($I2802="OS inexistente","OS inexistente",IF($E2802="Peça não cadastrada","Peça não cadastrada","OK")))</f>
        <v>0</v>
      </c>
    </row>
    <row r="2803" spans="1:10">
      <c r="A2803" s="17"/>
      <c r="B2803" s="13"/>
      <c r="C2803" s="20"/>
      <c r="D2803" s="19"/>
      <c r="E2803" s="26">
        <f>IF($B2803="","",IFERROR(INDEX(PecDesc,MATCH($B2803,PecCod,0)),"Peça não cadastrada"))</f>
        <v>0</v>
      </c>
      <c r="F2803" s="27">
        <f>IF($B2803="","",IF($D2803&lt;&gt;"",$D2803,IFERROR(INDEX(PecPreco,MATCH($B2803,PecCod,0)),0)))</f>
        <v>0</v>
      </c>
      <c r="G2803" s="27">
        <f>IF(OR($B2803="",$C2803=""),"",$C2803*$F2803)</f>
        <v>0</v>
      </c>
      <c r="H2803" s="27">
        <f>IF(OR($B2803="",$C2803=""),"",$C2803*IFERROR(INDEX(PecCusto,MATCH($B2803,PecCod,0)),0))</f>
        <v>0</v>
      </c>
      <c r="I2803" s="32">
        <f>IF($A2803="","",IFERROR(INDEX(OSStatus,MATCH($A2803,OSNum,0)),"OS inexistente"))</f>
        <v>0</v>
      </c>
      <c r="J2803" s="32">
        <f>IF($A2803="","",IF($I2803="OS inexistente","OS inexistente",IF($E2803="Peça não cadastrada","Peça não cadastrada","OK")))</f>
        <v>0</v>
      </c>
    </row>
    <row r="2804" spans="1:10">
      <c r="A2804" s="17"/>
      <c r="B2804" s="13"/>
      <c r="C2804" s="20"/>
      <c r="D2804" s="19"/>
      <c r="E2804" s="26">
        <f>IF($B2804="","",IFERROR(INDEX(PecDesc,MATCH($B2804,PecCod,0)),"Peça não cadastrada"))</f>
        <v>0</v>
      </c>
      <c r="F2804" s="27">
        <f>IF($B2804="","",IF($D2804&lt;&gt;"",$D2804,IFERROR(INDEX(PecPreco,MATCH($B2804,PecCod,0)),0)))</f>
        <v>0</v>
      </c>
      <c r="G2804" s="27">
        <f>IF(OR($B2804="",$C2804=""),"",$C2804*$F2804)</f>
        <v>0</v>
      </c>
      <c r="H2804" s="27">
        <f>IF(OR($B2804="",$C2804=""),"",$C2804*IFERROR(INDEX(PecCusto,MATCH($B2804,PecCod,0)),0))</f>
        <v>0</v>
      </c>
      <c r="I2804" s="32">
        <f>IF($A2804="","",IFERROR(INDEX(OSStatus,MATCH($A2804,OSNum,0)),"OS inexistente"))</f>
        <v>0</v>
      </c>
      <c r="J2804" s="32">
        <f>IF($A2804="","",IF($I2804="OS inexistente","OS inexistente",IF($E2804="Peça não cadastrada","Peça não cadastrada","OK")))</f>
        <v>0</v>
      </c>
    </row>
    <row r="2805" spans="1:10">
      <c r="A2805" s="17"/>
      <c r="B2805" s="13"/>
      <c r="C2805" s="20"/>
      <c r="D2805" s="19"/>
      <c r="E2805" s="26">
        <f>IF($B2805="","",IFERROR(INDEX(PecDesc,MATCH($B2805,PecCod,0)),"Peça não cadastrada"))</f>
        <v>0</v>
      </c>
      <c r="F2805" s="27">
        <f>IF($B2805="","",IF($D2805&lt;&gt;"",$D2805,IFERROR(INDEX(PecPreco,MATCH($B2805,PecCod,0)),0)))</f>
        <v>0</v>
      </c>
      <c r="G2805" s="27">
        <f>IF(OR($B2805="",$C2805=""),"",$C2805*$F2805)</f>
        <v>0</v>
      </c>
      <c r="H2805" s="27">
        <f>IF(OR($B2805="",$C2805=""),"",$C2805*IFERROR(INDEX(PecCusto,MATCH($B2805,PecCod,0)),0))</f>
        <v>0</v>
      </c>
      <c r="I2805" s="32">
        <f>IF($A2805="","",IFERROR(INDEX(OSStatus,MATCH($A2805,OSNum,0)),"OS inexistente"))</f>
        <v>0</v>
      </c>
      <c r="J2805" s="32">
        <f>IF($A2805="","",IF($I2805="OS inexistente","OS inexistente",IF($E2805="Peça não cadastrada","Peça não cadastrada","OK")))</f>
        <v>0</v>
      </c>
    </row>
    <row r="2806" spans="1:10">
      <c r="A2806" s="17"/>
      <c r="B2806" s="13"/>
      <c r="C2806" s="20"/>
      <c r="D2806" s="19"/>
      <c r="E2806" s="26">
        <f>IF($B2806="","",IFERROR(INDEX(PecDesc,MATCH($B2806,PecCod,0)),"Peça não cadastrada"))</f>
        <v>0</v>
      </c>
      <c r="F2806" s="27">
        <f>IF($B2806="","",IF($D2806&lt;&gt;"",$D2806,IFERROR(INDEX(PecPreco,MATCH($B2806,PecCod,0)),0)))</f>
        <v>0</v>
      </c>
      <c r="G2806" s="27">
        <f>IF(OR($B2806="",$C2806=""),"",$C2806*$F2806)</f>
        <v>0</v>
      </c>
      <c r="H2806" s="27">
        <f>IF(OR($B2806="",$C2806=""),"",$C2806*IFERROR(INDEX(PecCusto,MATCH($B2806,PecCod,0)),0))</f>
        <v>0</v>
      </c>
      <c r="I2806" s="32">
        <f>IF($A2806="","",IFERROR(INDEX(OSStatus,MATCH($A2806,OSNum,0)),"OS inexistente"))</f>
        <v>0</v>
      </c>
      <c r="J2806" s="32">
        <f>IF($A2806="","",IF($I2806="OS inexistente","OS inexistente",IF($E2806="Peça não cadastrada","Peça não cadastrada","OK")))</f>
        <v>0</v>
      </c>
    </row>
    <row r="2807" spans="1:10">
      <c r="A2807" s="17"/>
      <c r="B2807" s="13"/>
      <c r="C2807" s="20"/>
      <c r="D2807" s="19"/>
      <c r="E2807" s="26">
        <f>IF($B2807="","",IFERROR(INDEX(PecDesc,MATCH($B2807,PecCod,0)),"Peça não cadastrada"))</f>
        <v>0</v>
      </c>
      <c r="F2807" s="27">
        <f>IF($B2807="","",IF($D2807&lt;&gt;"",$D2807,IFERROR(INDEX(PecPreco,MATCH($B2807,PecCod,0)),0)))</f>
        <v>0</v>
      </c>
      <c r="G2807" s="27">
        <f>IF(OR($B2807="",$C2807=""),"",$C2807*$F2807)</f>
        <v>0</v>
      </c>
      <c r="H2807" s="27">
        <f>IF(OR($B2807="",$C2807=""),"",$C2807*IFERROR(INDEX(PecCusto,MATCH($B2807,PecCod,0)),0))</f>
        <v>0</v>
      </c>
      <c r="I2807" s="32">
        <f>IF($A2807="","",IFERROR(INDEX(OSStatus,MATCH($A2807,OSNum,0)),"OS inexistente"))</f>
        <v>0</v>
      </c>
      <c r="J2807" s="32">
        <f>IF($A2807="","",IF($I2807="OS inexistente","OS inexistente",IF($E2807="Peça não cadastrada","Peça não cadastrada","OK")))</f>
        <v>0</v>
      </c>
    </row>
    <row r="2808" spans="1:10">
      <c r="A2808" s="17"/>
      <c r="B2808" s="13"/>
      <c r="C2808" s="20"/>
      <c r="D2808" s="19"/>
      <c r="E2808" s="26">
        <f>IF($B2808="","",IFERROR(INDEX(PecDesc,MATCH($B2808,PecCod,0)),"Peça não cadastrada"))</f>
        <v>0</v>
      </c>
      <c r="F2808" s="27">
        <f>IF($B2808="","",IF($D2808&lt;&gt;"",$D2808,IFERROR(INDEX(PecPreco,MATCH($B2808,PecCod,0)),0)))</f>
        <v>0</v>
      </c>
      <c r="G2808" s="27">
        <f>IF(OR($B2808="",$C2808=""),"",$C2808*$F2808)</f>
        <v>0</v>
      </c>
      <c r="H2808" s="27">
        <f>IF(OR($B2808="",$C2808=""),"",$C2808*IFERROR(INDEX(PecCusto,MATCH($B2808,PecCod,0)),0))</f>
        <v>0</v>
      </c>
      <c r="I2808" s="32">
        <f>IF($A2808="","",IFERROR(INDEX(OSStatus,MATCH($A2808,OSNum,0)),"OS inexistente"))</f>
        <v>0</v>
      </c>
      <c r="J2808" s="32">
        <f>IF($A2808="","",IF($I2808="OS inexistente","OS inexistente",IF($E2808="Peça não cadastrada","Peça não cadastrada","OK")))</f>
        <v>0</v>
      </c>
    </row>
    <row r="2809" spans="1:10">
      <c r="A2809" s="17"/>
      <c r="B2809" s="13"/>
      <c r="C2809" s="20"/>
      <c r="D2809" s="19"/>
      <c r="E2809" s="26">
        <f>IF($B2809="","",IFERROR(INDEX(PecDesc,MATCH($B2809,PecCod,0)),"Peça não cadastrada"))</f>
        <v>0</v>
      </c>
      <c r="F2809" s="27">
        <f>IF($B2809="","",IF($D2809&lt;&gt;"",$D2809,IFERROR(INDEX(PecPreco,MATCH($B2809,PecCod,0)),0)))</f>
        <v>0</v>
      </c>
      <c r="G2809" s="27">
        <f>IF(OR($B2809="",$C2809=""),"",$C2809*$F2809)</f>
        <v>0</v>
      </c>
      <c r="H2809" s="27">
        <f>IF(OR($B2809="",$C2809=""),"",$C2809*IFERROR(INDEX(PecCusto,MATCH($B2809,PecCod,0)),0))</f>
        <v>0</v>
      </c>
      <c r="I2809" s="32">
        <f>IF($A2809="","",IFERROR(INDEX(OSStatus,MATCH($A2809,OSNum,0)),"OS inexistente"))</f>
        <v>0</v>
      </c>
      <c r="J2809" s="32">
        <f>IF($A2809="","",IF($I2809="OS inexistente","OS inexistente",IF($E2809="Peça não cadastrada","Peça não cadastrada","OK")))</f>
        <v>0</v>
      </c>
    </row>
    <row r="2810" spans="1:10">
      <c r="A2810" s="17"/>
      <c r="B2810" s="13"/>
      <c r="C2810" s="20"/>
      <c r="D2810" s="19"/>
      <c r="E2810" s="26">
        <f>IF($B2810="","",IFERROR(INDEX(PecDesc,MATCH($B2810,PecCod,0)),"Peça não cadastrada"))</f>
        <v>0</v>
      </c>
      <c r="F2810" s="27">
        <f>IF($B2810="","",IF($D2810&lt;&gt;"",$D2810,IFERROR(INDEX(PecPreco,MATCH($B2810,PecCod,0)),0)))</f>
        <v>0</v>
      </c>
      <c r="G2810" s="27">
        <f>IF(OR($B2810="",$C2810=""),"",$C2810*$F2810)</f>
        <v>0</v>
      </c>
      <c r="H2810" s="27">
        <f>IF(OR($B2810="",$C2810=""),"",$C2810*IFERROR(INDEX(PecCusto,MATCH($B2810,PecCod,0)),0))</f>
        <v>0</v>
      </c>
      <c r="I2810" s="32">
        <f>IF($A2810="","",IFERROR(INDEX(OSStatus,MATCH($A2810,OSNum,0)),"OS inexistente"))</f>
        <v>0</v>
      </c>
      <c r="J2810" s="32">
        <f>IF($A2810="","",IF($I2810="OS inexistente","OS inexistente",IF($E2810="Peça não cadastrada","Peça não cadastrada","OK")))</f>
        <v>0</v>
      </c>
    </row>
    <row r="2811" spans="1:10">
      <c r="A2811" s="17"/>
      <c r="B2811" s="13"/>
      <c r="C2811" s="20"/>
      <c r="D2811" s="19"/>
      <c r="E2811" s="26">
        <f>IF($B2811="","",IFERROR(INDEX(PecDesc,MATCH($B2811,PecCod,0)),"Peça não cadastrada"))</f>
        <v>0</v>
      </c>
      <c r="F2811" s="27">
        <f>IF($B2811="","",IF($D2811&lt;&gt;"",$D2811,IFERROR(INDEX(PecPreco,MATCH($B2811,PecCod,0)),0)))</f>
        <v>0</v>
      </c>
      <c r="G2811" s="27">
        <f>IF(OR($B2811="",$C2811=""),"",$C2811*$F2811)</f>
        <v>0</v>
      </c>
      <c r="H2811" s="27">
        <f>IF(OR($B2811="",$C2811=""),"",$C2811*IFERROR(INDEX(PecCusto,MATCH($B2811,PecCod,0)),0))</f>
        <v>0</v>
      </c>
      <c r="I2811" s="32">
        <f>IF($A2811="","",IFERROR(INDEX(OSStatus,MATCH($A2811,OSNum,0)),"OS inexistente"))</f>
        <v>0</v>
      </c>
      <c r="J2811" s="32">
        <f>IF($A2811="","",IF($I2811="OS inexistente","OS inexistente",IF($E2811="Peça não cadastrada","Peça não cadastrada","OK")))</f>
        <v>0</v>
      </c>
    </row>
    <row r="2812" spans="1:10">
      <c r="A2812" s="17"/>
      <c r="B2812" s="13"/>
      <c r="C2812" s="20"/>
      <c r="D2812" s="19"/>
      <c r="E2812" s="26">
        <f>IF($B2812="","",IFERROR(INDEX(PecDesc,MATCH($B2812,PecCod,0)),"Peça não cadastrada"))</f>
        <v>0</v>
      </c>
      <c r="F2812" s="27">
        <f>IF($B2812="","",IF($D2812&lt;&gt;"",$D2812,IFERROR(INDEX(PecPreco,MATCH($B2812,PecCod,0)),0)))</f>
        <v>0</v>
      </c>
      <c r="G2812" s="27">
        <f>IF(OR($B2812="",$C2812=""),"",$C2812*$F2812)</f>
        <v>0</v>
      </c>
      <c r="H2812" s="27">
        <f>IF(OR($B2812="",$C2812=""),"",$C2812*IFERROR(INDEX(PecCusto,MATCH($B2812,PecCod,0)),0))</f>
        <v>0</v>
      </c>
      <c r="I2812" s="32">
        <f>IF($A2812="","",IFERROR(INDEX(OSStatus,MATCH($A2812,OSNum,0)),"OS inexistente"))</f>
        <v>0</v>
      </c>
      <c r="J2812" s="32">
        <f>IF($A2812="","",IF($I2812="OS inexistente","OS inexistente",IF($E2812="Peça não cadastrada","Peça não cadastrada","OK")))</f>
        <v>0</v>
      </c>
    </row>
    <row r="2813" spans="1:10">
      <c r="A2813" s="17"/>
      <c r="B2813" s="13"/>
      <c r="C2813" s="20"/>
      <c r="D2813" s="19"/>
      <c r="E2813" s="26">
        <f>IF($B2813="","",IFERROR(INDEX(PecDesc,MATCH($B2813,PecCod,0)),"Peça não cadastrada"))</f>
        <v>0</v>
      </c>
      <c r="F2813" s="27">
        <f>IF($B2813="","",IF($D2813&lt;&gt;"",$D2813,IFERROR(INDEX(PecPreco,MATCH($B2813,PecCod,0)),0)))</f>
        <v>0</v>
      </c>
      <c r="G2813" s="27">
        <f>IF(OR($B2813="",$C2813=""),"",$C2813*$F2813)</f>
        <v>0</v>
      </c>
      <c r="H2813" s="27">
        <f>IF(OR($B2813="",$C2813=""),"",$C2813*IFERROR(INDEX(PecCusto,MATCH($B2813,PecCod,0)),0))</f>
        <v>0</v>
      </c>
      <c r="I2813" s="32">
        <f>IF($A2813="","",IFERROR(INDEX(OSStatus,MATCH($A2813,OSNum,0)),"OS inexistente"))</f>
        <v>0</v>
      </c>
      <c r="J2813" s="32">
        <f>IF($A2813="","",IF($I2813="OS inexistente","OS inexistente",IF($E2813="Peça não cadastrada","Peça não cadastrada","OK")))</f>
        <v>0</v>
      </c>
    </row>
    <row r="2814" spans="1:10">
      <c r="A2814" s="17"/>
      <c r="B2814" s="13"/>
      <c r="C2814" s="20"/>
      <c r="D2814" s="19"/>
      <c r="E2814" s="26">
        <f>IF($B2814="","",IFERROR(INDEX(PecDesc,MATCH($B2814,PecCod,0)),"Peça não cadastrada"))</f>
        <v>0</v>
      </c>
      <c r="F2814" s="27">
        <f>IF($B2814="","",IF($D2814&lt;&gt;"",$D2814,IFERROR(INDEX(PecPreco,MATCH($B2814,PecCod,0)),0)))</f>
        <v>0</v>
      </c>
      <c r="G2814" s="27">
        <f>IF(OR($B2814="",$C2814=""),"",$C2814*$F2814)</f>
        <v>0</v>
      </c>
      <c r="H2814" s="27">
        <f>IF(OR($B2814="",$C2814=""),"",$C2814*IFERROR(INDEX(PecCusto,MATCH($B2814,PecCod,0)),0))</f>
        <v>0</v>
      </c>
      <c r="I2814" s="32">
        <f>IF($A2814="","",IFERROR(INDEX(OSStatus,MATCH($A2814,OSNum,0)),"OS inexistente"))</f>
        <v>0</v>
      </c>
      <c r="J2814" s="32">
        <f>IF($A2814="","",IF($I2814="OS inexistente","OS inexistente",IF($E2814="Peça não cadastrada","Peça não cadastrada","OK")))</f>
        <v>0</v>
      </c>
    </row>
    <row r="2815" spans="1:10">
      <c r="A2815" s="17"/>
      <c r="B2815" s="13"/>
      <c r="C2815" s="20"/>
      <c r="D2815" s="19"/>
      <c r="E2815" s="26">
        <f>IF($B2815="","",IFERROR(INDEX(PecDesc,MATCH($B2815,PecCod,0)),"Peça não cadastrada"))</f>
        <v>0</v>
      </c>
      <c r="F2815" s="27">
        <f>IF($B2815="","",IF($D2815&lt;&gt;"",$D2815,IFERROR(INDEX(PecPreco,MATCH($B2815,PecCod,0)),0)))</f>
        <v>0</v>
      </c>
      <c r="G2815" s="27">
        <f>IF(OR($B2815="",$C2815=""),"",$C2815*$F2815)</f>
        <v>0</v>
      </c>
      <c r="H2815" s="27">
        <f>IF(OR($B2815="",$C2815=""),"",$C2815*IFERROR(INDEX(PecCusto,MATCH($B2815,PecCod,0)),0))</f>
        <v>0</v>
      </c>
      <c r="I2815" s="32">
        <f>IF($A2815="","",IFERROR(INDEX(OSStatus,MATCH($A2815,OSNum,0)),"OS inexistente"))</f>
        <v>0</v>
      </c>
      <c r="J2815" s="32">
        <f>IF($A2815="","",IF($I2815="OS inexistente","OS inexistente",IF($E2815="Peça não cadastrada","Peça não cadastrada","OK")))</f>
        <v>0</v>
      </c>
    </row>
    <row r="2816" spans="1:10">
      <c r="A2816" s="17"/>
      <c r="B2816" s="13"/>
      <c r="C2816" s="20"/>
      <c r="D2816" s="19"/>
      <c r="E2816" s="26">
        <f>IF($B2816="","",IFERROR(INDEX(PecDesc,MATCH($B2816,PecCod,0)),"Peça não cadastrada"))</f>
        <v>0</v>
      </c>
      <c r="F2816" s="27">
        <f>IF($B2816="","",IF($D2816&lt;&gt;"",$D2816,IFERROR(INDEX(PecPreco,MATCH($B2816,PecCod,0)),0)))</f>
        <v>0</v>
      </c>
      <c r="G2816" s="27">
        <f>IF(OR($B2816="",$C2816=""),"",$C2816*$F2816)</f>
        <v>0</v>
      </c>
      <c r="H2816" s="27">
        <f>IF(OR($B2816="",$C2816=""),"",$C2816*IFERROR(INDEX(PecCusto,MATCH($B2816,PecCod,0)),0))</f>
        <v>0</v>
      </c>
      <c r="I2816" s="32">
        <f>IF($A2816="","",IFERROR(INDEX(OSStatus,MATCH($A2816,OSNum,0)),"OS inexistente"))</f>
        <v>0</v>
      </c>
      <c r="J2816" s="32">
        <f>IF($A2816="","",IF($I2816="OS inexistente","OS inexistente",IF($E2816="Peça não cadastrada","Peça não cadastrada","OK")))</f>
        <v>0</v>
      </c>
    </row>
    <row r="2817" spans="1:10">
      <c r="A2817" s="17"/>
      <c r="B2817" s="13"/>
      <c r="C2817" s="20"/>
      <c r="D2817" s="19"/>
      <c r="E2817" s="26">
        <f>IF($B2817="","",IFERROR(INDEX(PecDesc,MATCH($B2817,PecCod,0)),"Peça não cadastrada"))</f>
        <v>0</v>
      </c>
      <c r="F2817" s="27">
        <f>IF($B2817="","",IF($D2817&lt;&gt;"",$D2817,IFERROR(INDEX(PecPreco,MATCH($B2817,PecCod,0)),0)))</f>
        <v>0</v>
      </c>
      <c r="G2817" s="27">
        <f>IF(OR($B2817="",$C2817=""),"",$C2817*$F2817)</f>
        <v>0</v>
      </c>
      <c r="H2817" s="27">
        <f>IF(OR($B2817="",$C2817=""),"",$C2817*IFERROR(INDEX(PecCusto,MATCH($B2817,PecCod,0)),0))</f>
        <v>0</v>
      </c>
      <c r="I2817" s="32">
        <f>IF($A2817="","",IFERROR(INDEX(OSStatus,MATCH($A2817,OSNum,0)),"OS inexistente"))</f>
        <v>0</v>
      </c>
      <c r="J2817" s="32">
        <f>IF($A2817="","",IF($I2817="OS inexistente","OS inexistente",IF($E2817="Peça não cadastrada","Peça não cadastrada","OK")))</f>
        <v>0</v>
      </c>
    </row>
    <row r="2818" spans="1:10">
      <c r="A2818" s="17"/>
      <c r="B2818" s="13"/>
      <c r="C2818" s="20"/>
      <c r="D2818" s="19"/>
      <c r="E2818" s="26">
        <f>IF($B2818="","",IFERROR(INDEX(PecDesc,MATCH($B2818,PecCod,0)),"Peça não cadastrada"))</f>
        <v>0</v>
      </c>
      <c r="F2818" s="27">
        <f>IF($B2818="","",IF($D2818&lt;&gt;"",$D2818,IFERROR(INDEX(PecPreco,MATCH($B2818,PecCod,0)),0)))</f>
        <v>0</v>
      </c>
      <c r="G2818" s="27">
        <f>IF(OR($B2818="",$C2818=""),"",$C2818*$F2818)</f>
        <v>0</v>
      </c>
      <c r="H2818" s="27">
        <f>IF(OR($B2818="",$C2818=""),"",$C2818*IFERROR(INDEX(PecCusto,MATCH($B2818,PecCod,0)),0))</f>
        <v>0</v>
      </c>
      <c r="I2818" s="32">
        <f>IF($A2818="","",IFERROR(INDEX(OSStatus,MATCH($A2818,OSNum,0)),"OS inexistente"))</f>
        <v>0</v>
      </c>
      <c r="J2818" s="32">
        <f>IF($A2818="","",IF($I2818="OS inexistente","OS inexistente",IF($E2818="Peça não cadastrada","Peça não cadastrada","OK")))</f>
        <v>0</v>
      </c>
    </row>
    <row r="2819" spans="1:10">
      <c r="A2819" s="17"/>
      <c r="B2819" s="13"/>
      <c r="C2819" s="20"/>
      <c r="D2819" s="19"/>
      <c r="E2819" s="26">
        <f>IF($B2819="","",IFERROR(INDEX(PecDesc,MATCH($B2819,PecCod,0)),"Peça não cadastrada"))</f>
        <v>0</v>
      </c>
      <c r="F2819" s="27">
        <f>IF($B2819="","",IF($D2819&lt;&gt;"",$D2819,IFERROR(INDEX(PecPreco,MATCH($B2819,PecCod,0)),0)))</f>
        <v>0</v>
      </c>
      <c r="G2819" s="27">
        <f>IF(OR($B2819="",$C2819=""),"",$C2819*$F2819)</f>
        <v>0</v>
      </c>
      <c r="H2819" s="27">
        <f>IF(OR($B2819="",$C2819=""),"",$C2819*IFERROR(INDEX(PecCusto,MATCH($B2819,PecCod,0)),0))</f>
        <v>0</v>
      </c>
      <c r="I2819" s="32">
        <f>IF($A2819="","",IFERROR(INDEX(OSStatus,MATCH($A2819,OSNum,0)),"OS inexistente"))</f>
        <v>0</v>
      </c>
      <c r="J2819" s="32">
        <f>IF($A2819="","",IF($I2819="OS inexistente","OS inexistente",IF($E2819="Peça não cadastrada","Peça não cadastrada","OK")))</f>
        <v>0</v>
      </c>
    </row>
    <row r="2820" spans="1:10">
      <c r="A2820" s="17"/>
      <c r="B2820" s="13"/>
      <c r="C2820" s="20"/>
      <c r="D2820" s="19"/>
      <c r="E2820" s="26">
        <f>IF($B2820="","",IFERROR(INDEX(PecDesc,MATCH($B2820,PecCod,0)),"Peça não cadastrada"))</f>
        <v>0</v>
      </c>
      <c r="F2820" s="27">
        <f>IF($B2820="","",IF($D2820&lt;&gt;"",$D2820,IFERROR(INDEX(PecPreco,MATCH($B2820,PecCod,0)),0)))</f>
        <v>0</v>
      </c>
      <c r="G2820" s="27">
        <f>IF(OR($B2820="",$C2820=""),"",$C2820*$F2820)</f>
        <v>0</v>
      </c>
      <c r="H2820" s="27">
        <f>IF(OR($B2820="",$C2820=""),"",$C2820*IFERROR(INDEX(PecCusto,MATCH($B2820,PecCod,0)),0))</f>
        <v>0</v>
      </c>
      <c r="I2820" s="32">
        <f>IF($A2820="","",IFERROR(INDEX(OSStatus,MATCH($A2820,OSNum,0)),"OS inexistente"))</f>
        <v>0</v>
      </c>
      <c r="J2820" s="32">
        <f>IF($A2820="","",IF($I2820="OS inexistente","OS inexistente",IF($E2820="Peça não cadastrada","Peça não cadastrada","OK")))</f>
        <v>0</v>
      </c>
    </row>
    <row r="2821" spans="1:10">
      <c r="A2821" s="17"/>
      <c r="B2821" s="13"/>
      <c r="C2821" s="20"/>
      <c r="D2821" s="19"/>
      <c r="E2821" s="26">
        <f>IF($B2821="","",IFERROR(INDEX(PecDesc,MATCH($B2821,PecCod,0)),"Peça não cadastrada"))</f>
        <v>0</v>
      </c>
      <c r="F2821" s="27">
        <f>IF($B2821="","",IF($D2821&lt;&gt;"",$D2821,IFERROR(INDEX(PecPreco,MATCH($B2821,PecCod,0)),0)))</f>
        <v>0</v>
      </c>
      <c r="G2821" s="27">
        <f>IF(OR($B2821="",$C2821=""),"",$C2821*$F2821)</f>
        <v>0</v>
      </c>
      <c r="H2821" s="27">
        <f>IF(OR($B2821="",$C2821=""),"",$C2821*IFERROR(INDEX(PecCusto,MATCH($B2821,PecCod,0)),0))</f>
        <v>0</v>
      </c>
      <c r="I2821" s="32">
        <f>IF($A2821="","",IFERROR(INDEX(OSStatus,MATCH($A2821,OSNum,0)),"OS inexistente"))</f>
        <v>0</v>
      </c>
      <c r="J2821" s="32">
        <f>IF($A2821="","",IF($I2821="OS inexistente","OS inexistente",IF($E2821="Peça não cadastrada","Peça não cadastrada","OK")))</f>
        <v>0</v>
      </c>
    </row>
    <row r="2822" spans="1:10">
      <c r="A2822" s="17"/>
      <c r="B2822" s="13"/>
      <c r="C2822" s="20"/>
      <c r="D2822" s="19"/>
      <c r="E2822" s="26">
        <f>IF($B2822="","",IFERROR(INDEX(PecDesc,MATCH($B2822,PecCod,0)),"Peça não cadastrada"))</f>
        <v>0</v>
      </c>
      <c r="F2822" s="27">
        <f>IF($B2822="","",IF($D2822&lt;&gt;"",$D2822,IFERROR(INDEX(PecPreco,MATCH($B2822,PecCod,0)),0)))</f>
        <v>0</v>
      </c>
      <c r="G2822" s="27">
        <f>IF(OR($B2822="",$C2822=""),"",$C2822*$F2822)</f>
        <v>0</v>
      </c>
      <c r="H2822" s="27">
        <f>IF(OR($B2822="",$C2822=""),"",$C2822*IFERROR(INDEX(PecCusto,MATCH($B2822,PecCod,0)),0))</f>
        <v>0</v>
      </c>
      <c r="I2822" s="32">
        <f>IF($A2822="","",IFERROR(INDEX(OSStatus,MATCH($A2822,OSNum,0)),"OS inexistente"))</f>
        <v>0</v>
      </c>
      <c r="J2822" s="32">
        <f>IF($A2822="","",IF($I2822="OS inexistente","OS inexistente",IF($E2822="Peça não cadastrada","Peça não cadastrada","OK")))</f>
        <v>0</v>
      </c>
    </row>
    <row r="2823" spans="1:10">
      <c r="A2823" s="17"/>
      <c r="B2823" s="13"/>
      <c r="C2823" s="20"/>
      <c r="D2823" s="19"/>
      <c r="E2823" s="26">
        <f>IF($B2823="","",IFERROR(INDEX(PecDesc,MATCH($B2823,PecCod,0)),"Peça não cadastrada"))</f>
        <v>0</v>
      </c>
      <c r="F2823" s="27">
        <f>IF($B2823="","",IF($D2823&lt;&gt;"",$D2823,IFERROR(INDEX(PecPreco,MATCH($B2823,PecCod,0)),0)))</f>
        <v>0</v>
      </c>
      <c r="G2823" s="27">
        <f>IF(OR($B2823="",$C2823=""),"",$C2823*$F2823)</f>
        <v>0</v>
      </c>
      <c r="H2823" s="27">
        <f>IF(OR($B2823="",$C2823=""),"",$C2823*IFERROR(INDEX(PecCusto,MATCH($B2823,PecCod,0)),0))</f>
        <v>0</v>
      </c>
      <c r="I2823" s="32">
        <f>IF($A2823="","",IFERROR(INDEX(OSStatus,MATCH($A2823,OSNum,0)),"OS inexistente"))</f>
        <v>0</v>
      </c>
      <c r="J2823" s="32">
        <f>IF($A2823="","",IF($I2823="OS inexistente","OS inexistente",IF($E2823="Peça não cadastrada","Peça não cadastrada","OK")))</f>
        <v>0</v>
      </c>
    </row>
    <row r="2824" spans="1:10">
      <c r="A2824" s="17"/>
      <c r="B2824" s="13"/>
      <c r="C2824" s="20"/>
      <c r="D2824" s="19"/>
      <c r="E2824" s="26">
        <f>IF($B2824="","",IFERROR(INDEX(PecDesc,MATCH($B2824,PecCod,0)),"Peça não cadastrada"))</f>
        <v>0</v>
      </c>
      <c r="F2824" s="27">
        <f>IF($B2824="","",IF($D2824&lt;&gt;"",$D2824,IFERROR(INDEX(PecPreco,MATCH($B2824,PecCod,0)),0)))</f>
        <v>0</v>
      </c>
      <c r="G2824" s="27">
        <f>IF(OR($B2824="",$C2824=""),"",$C2824*$F2824)</f>
        <v>0</v>
      </c>
      <c r="H2824" s="27">
        <f>IF(OR($B2824="",$C2824=""),"",$C2824*IFERROR(INDEX(PecCusto,MATCH($B2824,PecCod,0)),0))</f>
        <v>0</v>
      </c>
      <c r="I2824" s="32">
        <f>IF($A2824="","",IFERROR(INDEX(OSStatus,MATCH($A2824,OSNum,0)),"OS inexistente"))</f>
        <v>0</v>
      </c>
      <c r="J2824" s="32">
        <f>IF($A2824="","",IF($I2824="OS inexistente","OS inexistente",IF($E2824="Peça não cadastrada","Peça não cadastrada","OK")))</f>
        <v>0</v>
      </c>
    </row>
    <row r="2825" spans="1:10">
      <c r="A2825" s="17"/>
      <c r="B2825" s="13"/>
      <c r="C2825" s="20"/>
      <c r="D2825" s="19"/>
      <c r="E2825" s="26">
        <f>IF($B2825="","",IFERROR(INDEX(PecDesc,MATCH($B2825,PecCod,0)),"Peça não cadastrada"))</f>
        <v>0</v>
      </c>
      <c r="F2825" s="27">
        <f>IF($B2825="","",IF($D2825&lt;&gt;"",$D2825,IFERROR(INDEX(PecPreco,MATCH($B2825,PecCod,0)),0)))</f>
        <v>0</v>
      </c>
      <c r="G2825" s="27">
        <f>IF(OR($B2825="",$C2825=""),"",$C2825*$F2825)</f>
        <v>0</v>
      </c>
      <c r="H2825" s="27">
        <f>IF(OR($B2825="",$C2825=""),"",$C2825*IFERROR(INDEX(PecCusto,MATCH($B2825,PecCod,0)),0))</f>
        <v>0</v>
      </c>
      <c r="I2825" s="32">
        <f>IF($A2825="","",IFERROR(INDEX(OSStatus,MATCH($A2825,OSNum,0)),"OS inexistente"))</f>
        <v>0</v>
      </c>
      <c r="J2825" s="32">
        <f>IF($A2825="","",IF($I2825="OS inexistente","OS inexistente",IF($E2825="Peça não cadastrada","Peça não cadastrada","OK")))</f>
        <v>0</v>
      </c>
    </row>
    <row r="2826" spans="1:10">
      <c r="A2826" s="17"/>
      <c r="B2826" s="13"/>
      <c r="C2826" s="20"/>
      <c r="D2826" s="19"/>
      <c r="E2826" s="26">
        <f>IF($B2826="","",IFERROR(INDEX(PecDesc,MATCH($B2826,PecCod,0)),"Peça não cadastrada"))</f>
        <v>0</v>
      </c>
      <c r="F2826" s="27">
        <f>IF($B2826="","",IF($D2826&lt;&gt;"",$D2826,IFERROR(INDEX(PecPreco,MATCH($B2826,PecCod,0)),0)))</f>
        <v>0</v>
      </c>
      <c r="G2826" s="27">
        <f>IF(OR($B2826="",$C2826=""),"",$C2826*$F2826)</f>
        <v>0</v>
      </c>
      <c r="H2826" s="27">
        <f>IF(OR($B2826="",$C2826=""),"",$C2826*IFERROR(INDEX(PecCusto,MATCH($B2826,PecCod,0)),0))</f>
        <v>0</v>
      </c>
      <c r="I2826" s="32">
        <f>IF($A2826="","",IFERROR(INDEX(OSStatus,MATCH($A2826,OSNum,0)),"OS inexistente"))</f>
        <v>0</v>
      </c>
      <c r="J2826" s="32">
        <f>IF($A2826="","",IF($I2826="OS inexistente","OS inexistente",IF($E2826="Peça não cadastrada","Peça não cadastrada","OK")))</f>
        <v>0</v>
      </c>
    </row>
    <row r="2827" spans="1:10">
      <c r="A2827" s="17"/>
      <c r="B2827" s="13"/>
      <c r="C2827" s="20"/>
      <c r="D2827" s="19"/>
      <c r="E2827" s="26">
        <f>IF($B2827="","",IFERROR(INDEX(PecDesc,MATCH($B2827,PecCod,0)),"Peça não cadastrada"))</f>
        <v>0</v>
      </c>
      <c r="F2827" s="27">
        <f>IF($B2827="","",IF($D2827&lt;&gt;"",$D2827,IFERROR(INDEX(PecPreco,MATCH($B2827,PecCod,0)),0)))</f>
        <v>0</v>
      </c>
      <c r="G2827" s="27">
        <f>IF(OR($B2827="",$C2827=""),"",$C2827*$F2827)</f>
        <v>0</v>
      </c>
      <c r="H2827" s="27">
        <f>IF(OR($B2827="",$C2827=""),"",$C2827*IFERROR(INDEX(PecCusto,MATCH($B2827,PecCod,0)),0))</f>
        <v>0</v>
      </c>
      <c r="I2827" s="32">
        <f>IF($A2827="","",IFERROR(INDEX(OSStatus,MATCH($A2827,OSNum,0)),"OS inexistente"))</f>
        <v>0</v>
      </c>
      <c r="J2827" s="32">
        <f>IF($A2827="","",IF($I2827="OS inexistente","OS inexistente",IF($E2827="Peça não cadastrada","Peça não cadastrada","OK")))</f>
        <v>0</v>
      </c>
    </row>
    <row r="2828" spans="1:10">
      <c r="A2828" s="17"/>
      <c r="B2828" s="13"/>
      <c r="C2828" s="20"/>
      <c r="D2828" s="19"/>
      <c r="E2828" s="26">
        <f>IF($B2828="","",IFERROR(INDEX(PecDesc,MATCH($B2828,PecCod,0)),"Peça não cadastrada"))</f>
        <v>0</v>
      </c>
      <c r="F2828" s="27">
        <f>IF($B2828="","",IF($D2828&lt;&gt;"",$D2828,IFERROR(INDEX(PecPreco,MATCH($B2828,PecCod,0)),0)))</f>
        <v>0</v>
      </c>
      <c r="G2828" s="27">
        <f>IF(OR($B2828="",$C2828=""),"",$C2828*$F2828)</f>
        <v>0</v>
      </c>
      <c r="H2828" s="27">
        <f>IF(OR($B2828="",$C2828=""),"",$C2828*IFERROR(INDEX(PecCusto,MATCH($B2828,PecCod,0)),0))</f>
        <v>0</v>
      </c>
      <c r="I2828" s="32">
        <f>IF($A2828="","",IFERROR(INDEX(OSStatus,MATCH($A2828,OSNum,0)),"OS inexistente"))</f>
        <v>0</v>
      </c>
      <c r="J2828" s="32">
        <f>IF($A2828="","",IF($I2828="OS inexistente","OS inexistente",IF($E2828="Peça não cadastrada","Peça não cadastrada","OK")))</f>
        <v>0</v>
      </c>
    </row>
    <row r="2829" spans="1:10">
      <c r="A2829" s="17"/>
      <c r="B2829" s="13"/>
      <c r="C2829" s="20"/>
      <c r="D2829" s="19"/>
      <c r="E2829" s="26">
        <f>IF($B2829="","",IFERROR(INDEX(PecDesc,MATCH($B2829,PecCod,0)),"Peça não cadastrada"))</f>
        <v>0</v>
      </c>
      <c r="F2829" s="27">
        <f>IF($B2829="","",IF($D2829&lt;&gt;"",$D2829,IFERROR(INDEX(PecPreco,MATCH($B2829,PecCod,0)),0)))</f>
        <v>0</v>
      </c>
      <c r="G2829" s="27">
        <f>IF(OR($B2829="",$C2829=""),"",$C2829*$F2829)</f>
        <v>0</v>
      </c>
      <c r="H2829" s="27">
        <f>IF(OR($B2829="",$C2829=""),"",$C2829*IFERROR(INDEX(PecCusto,MATCH($B2829,PecCod,0)),0))</f>
        <v>0</v>
      </c>
      <c r="I2829" s="32">
        <f>IF($A2829="","",IFERROR(INDEX(OSStatus,MATCH($A2829,OSNum,0)),"OS inexistente"))</f>
        <v>0</v>
      </c>
      <c r="J2829" s="32">
        <f>IF($A2829="","",IF($I2829="OS inexistente","OS inexistente",IF($E2829="Peça não cadastrada","Peça não cadastrada","OK")))</f>
        <v>0</v>
      </c>
    </row>
    <row r="2830" spans="1:10">
      <c r="A2830" s="17"/>
      <c r="B2830" s="13"/>
      <c r="C2830" s="20"/>
      <c r="D2830" s="19"/>
      <c r="E2830" s="26">
        <f>IF($B2830="","",IFERROR(INDEX(PecDesc,MATCH($B2830,PecCod,0)),"Peça não cadastrada"))</f>
        <v>0</v>
      </c>
      <c r="F2830" s="27">
        <f>IF($B2830="","",IF($D2830&lt;&gt;"",$D2830,IFERROR(INDEX(PecPreco,MATCH($B2830,PecCod,0)),0)))</f>
        <v>0</v>
      </c>
      <c r="G2830" s="27">
        <f>IF(OR($B2830="",$C2830=""),"",$C2830*$F2830)</f>
        <v>0</v>
      </c>
      <c r="H2830" s="27">
        <f>IF(OR($B2830="",$C2830=""),"",$C2830*IFERROR(INDEX(PecCusto,MATCH($B2830,PecCod,0)),0))</f>
        <v>0</v>
      </c>
      <c r="I2830" s="32">
        <f>IF($A2830="","",IFERROR(INDEX(OSStatus,MATCH($A2830,OSNum,0)),"OS inexistente"))</f>
        <v>0</v>
      </c>
      <c r="J2830" s="32">
        <f>IF($A2830="","",IF($I2830="OS inexistente","OS inexistente",IF($E2830="Peça não cadastrada","Peça não cadastrada","OK")))</f>
        <v>0</v>
      </c>
    </row>
    <row r="2831" spans="1:10">
      <c r="A2831" s="17"/>
      <c r="B2831" s="13"/>
      <c r="C2831" s="20"/>
      <c r="D2831" s="19"/>
      <c r="E2831" s="26">
        <f>IF($B2831="","",IFERROR(INDEX(PecDesc,MATCH($B2831,PecCod,0)),"Peça não cadastrada"))</f>
        <v>0</v>
      </c>
      <c r="F2831" s="27">
        <f>IF($B2831="","",IF($D2831&lt;&gt;"",$D2831,IFERROR(INDEX(PecPreco,MATCH($B2831,PecCod,0)),0)))</f>
        <v>0</v>
      </c>
      <c r="G2831" s="27">
        <f>IF(OR($B2831="",$C2831=""),"",$C2831*$F2831)</f>
        <v>0</v>
      </c>
      <c r="H2831" s="27">
        <f>IF(OR($B2831="",$C2831=""),"",$C2831*IFERROR(INDEX(PecCusto,MATCH($B2831,PecCod,0)),0))</f>
        <v>0</v>
      </c>
      <c r="I2831" s="32">
        <f>IF($A2831="","",IFERROR(INDEX(OSStatus,MATCH($A2831,OSNum,0)),"OS inexistente"))</f>
        <v>0</v>
      </c>
      <c r="J2831" s="32">
        <f>IF($A2831="","",IF($I2831="OS inexistente","OS inexistente",IF($E2831="Peça não cadastrada","Peça não cadastrada","OK")))</f>
        <v>0</v>
      </c>
    </row>
    <row r="2832" spans="1:10">
      <c r="A2832" s="17"/>
      <c r="B2832" s="13"/>
      <c r="C2832" s="20"/>
      <c r="D2832" s="19"/>
      <c r="E2832" s="26">
        <f>IF($B2832="","",IFERROR(INDEX(PecDesc,MATCH($B2832,PecCod,0)),"Peça não cadastrada"))</f>
        <v>0</v>
      </c>
      <c r="F2832" s="27">
        <f>IF($B2832="","",IF($D2832&lt;&gt;"",$D2832,IFERROR(INDEX(PecPreco,MATCH($B2832,PecCod,0)),0)))</f>
        <v>0</v>
      </c>
      <c r="G2832" s="27">
        <f>IF(OR($B2832="",$C2832=""),"",$C2832*$F2832)</f>
        <v>0</v>
      </c>
      <c r="H2832" s="27">
        <f>IF(OR($B2832="",$C2832=""),"",$C2832*IFERROR(INDEX(PecCusto,MATCH($B2832,PecCod,0)),0))</f>
        <v>0</v>
      </c>
      <c r="I2832" s="32">
        <f>IF($A2832="","",IFERROR(INDEX(OSStatus,MATCH($A2832,OSNum,0)),"OS inexistente"))</f>
        <v>0</v>
      </c>
      <c r="J2832" s="32">
        <f>IF($A2832="","",IF($I2832="OS inexistente","OS inexistente",IF($E2832="Peça não cadastrada","Peça não cadastrada","OK")))</f>
        <v>0</v>
      </c>
    </row>
    <row r="2833" spans="1:10">
      <c r="A2833" s="17"/>
      <c r="B2833" s="13"/>
      <c r="C2833" s="20"/>
      <c r="D2833" s="19"/>
      <c r="E2833" s="26">
        <f>IF($B2833="","",IFERROR(INDEX(PecDesc,MATCH($B2833,PecCod,0)),"Peça não cadastrada"))</f>
        <v>0</v>
      </c>
      <c r="F2833" s="27">
        <f>IF($B2833="","",IF($D2833&lt;&gt;"",$D2833,IFERROR(INDEX(PecPreco,MATCH($B2833,PecCod,0)),0)))</f>
        <v>0</v>
      </c>
      <c r="G2833" s="27">
        <f>IF(OR($B2833="",$C2833=""),"",$C2833*$F2833)</f>
        <v>0</v>
      </c>
      <c r="H2833" s="27">
        <f>IF(OR($B2833="",$C2833=""),"",$C2833*IFERROR(INDEX(PecCusto,MATCH($B2833,PecCod,0)),0))</f>
        <v>0</v>
      </c>
      <c r="I2833" s="32">
        <f>IF($A2833="","",IFERROR(INDEX(OSStatus,MATCH($A2833,OSNum,0)),"OS inexistente"))</f>
        <v>0</v>
      </c>
      <c r="J2833" s="32">
        <f>IF($A2833="","",IF($I2833="OS inexistente","OS inexistente",IF($E2833="Peça não cadastrada","Peça não cadastrada","OK")))</f>
        <v>0</v>
      </c>
    </row>
    <row r="2834" spans="1:10">
      <c r="A2834" s="17"/>
      <c r="B2834" s="13"/>
      <c r="C2834" s="20"/>
      <c r="D2834" s="19"/>
      <c r="E2834" s="26">
        <f>IF($B2834="","",IFERROR(INDEX(PecDesc,MATCH($B2834,PecCod,0)),"Peça não cadastrada"))</f>
        <v>0</v>
      </c>
      <c r="F2834" s="27">
        <f>IF($B2834="","",IF($D2834&lt;&gt;"",$D2834,IFERROR(INDEX(PecPreco,MATCH($B2834,PecCod,0)),0)))</f>
        <v>0</v>
      </c>
      <c r="G2834" s="27">
        <f>IF(OR($B2834="",$C2834=""),"",$C2834*$F2834)</f>
        <v>0</v>
      </c>
      <c r="H2834" s="27">
        <f>IF(OR($B2834="",$C2834=""),"",$C2834*IFERROR(INDEX(PecCusto,MATCH($B2834,PecCod,0)),0))</f>
        <v>0</v>
      </c>
      <c r="I2834" s="32">
        <f>IF($A2834="","",IFERROR(INDEX(OSStatus,MATCH($A2834,OSNum,0)),"OS inexistente"))</f>
        <v>0</v>
      </c>
      <c r="J2834" s="32">
        <f>IF($A2834="","",IF($I2834="OS inexistente","OS inexistente",IF($E2834="Peça não cadastrada","Peça não cadastrada","OK")))</f>
        <v>0</v>
      </c>
    </row>
    <row r="2835" spans="1:10">
      <c r="A2835" s="17"/>
      <c r="B2835" s="13"/>
      <c r="C2835" s="20"/>
      <c r="D2835" s="19"/>
      <c r="E2835" s="26">
        <f>IF($B2835="","",IFERROR(INDEX(PecDesc,MATCH($B2835,PecCod,0)),"Peça não cadastrada"))</f>
        <v>0</v>
      </c>
      <c r="F2835" s="27">
        <f>IF($B2835="","",IF($D2835&lt;&gt;"",$D2835,IFERROR(INDEX(PecPreco,MATCH($B2835,PecCod,0)),0)))</f>
        <v>0</v>
      </c>
      <c r="G2835" s="27">
        <f>IF(OR($B2835="",$C2835=""),"",$C2835*$F2835)</f>
        <v>0</v>
      </c>
      <c r="H2835" s="27">
        <f>IF(OR($B2835="",$C2835=""),"",$C2835*IFERROR(INDEX(PecCusto,MATCH($B2835,PecCod,0)),0))</f>
        <v>0</v>
      </c>
      <c r="I2835" s="32">
        <f>IF($A2835="","",IFERROR(INDEX(OSStatus,MATCH($A2835,OSNum,0)),"OS inexistente"))</f>
        <v>0</v>
      </c>
      <c r="J2835" s="32">
        <f>IF($A2835="","",IF($I2835="OS inexistente","OS inexistente",IF($E2835="Peça não cadastrada","Peça não cadastrada","OK")))</f>
        <v>0</v>
      </c>
    </row>
    <row r="2836" spans="1:10">
      <c r="A2836" s="17"/>
      <c r="B2836" s="13"/>
      <c r="C2836" s="20"/>
      <c r="D2836" s="19"/>
      <c r="E2836" s="26">
        <f>IF($B2836="","",IFERROR(INDEX(PecDesc,MATCH($B2836,PecCod,0)),"Peça não cadastrada"))</f>
        <v>0</v>
      </c>
      <c r="F2836" s="27">
        <f>IF($B2836="","",IF($D2836&lt;&gt;"",$D2836,IFERROR(INDEX(PecPreco,MATCH($B2836,PecCod,0)),0)))</f>
        <v>0</v>
      </c>
      <c r="G2836" s="27">
        <f>IF(OR($B2836="",$C2836=""),"",$C2836*$F2836)</f>
        <v>0</v>
      </c>
      <c r="H2836" s="27">
        <f>IF(OR($B2836="",$C2836=""),"",$C2836*IFERROR(INDEX(PecCusto,MATCH($B2836,PecCod,0)),0))</f>
        <v>0</v>
      </c>
      <c r="I2836" s="32">
        <f>IF($A2836="","",IFERROR(INDEX(OSStatus,MATCH($A2836,OSNum,0)),"OS inexistente"))</f>
        <v>0</v>
      </c>
      <c r="J2836" s="32">
        <f>IF($A2836="","",IF($I2836="OS inexistente","OS inexistente",IF($E2836="Peça não cadastrada","Peça não cadastrada","OK")))</f>
        <v>0</v>
      </c>
    </row>
    <row r="2837" spans="1:10">
      <c r="A2837" s="17"/>
      <c r="B2837" s="13"/>
      <c r="C2837" s="20"/>
      <c r="D2837" s="19"/>
      <c r="E2837" s="26">
        <f>IF($B2837="","",IFERROR(INDEX(PecDesc,MATCH($B2837,PecCod,0)),"Peça não cadastrada"))</f>
        <v>0</v>
      </c>
      <c r="F2837" s="27">
        <f>IF($B2837="","",IF($D2837&lt;&gt;"",$D2837,IFERROR(INDEX(PecPreco,MATCH($B2837,PecCod,0)),0)))</f>
        <v>0</v>
      </c>
      <c r="G2837" s="27">
        <f>IF(OR($B2837="",$C2837=""),"",$C2837*$F2837)</f>
        <v>0</v>
      </c>
      <c r="H2837" s="27">
        <f>IF(OR($B2837="",$C2837=""),"",$C2837*IFERROR(INDEX(PecCusto,MATCH($B2837,PecCod,0)),0))</f>
        <v>0</v>
      </c>
      <c r="I2837" s="32">
        <f>IF($A2837="","",IFERROR(INDEX(OSStatus,MATCH($A2837,OSNum,0)),"OS inexistente"))</f>
        <v>0</v>
      </c>
      <c r="J2837" s="32">
        <f>IF($A2837="","",IF($I2837="OS inexistente","OS inexistente",IF($E2837="Peça não cadastrada","Peça não cadastrada","OK")))</f>
        <v>0</v>
      </c>
    </row>
    <row r="2838" spans="1:10">
      <c r="A2838" s="17"/>
      <c r="B2838" s="13"/>
      <c r="C2838" s="20"/>
      <c r="D2838" s="19"/>
      <c r="E2838" s="26">
        <f>IF($B2838="","",IFERROR(INDEX(PecDesc,MATCH($B2838,PecCod,0)),"Peça não cadastrada"))</f>
        <v>0</v>
      </c>
      <c r="F2838" s="27">
        <f>IF($B2838="","",IF($D2838&lt;&gt;"",$D2838,IFERROR(INDEX(PecPreco,MATCH($B2838,PecCod,0)),0)))</f>
        <v>0</v>
      </c>
      <c r="G2838" s="27">
        <f>IF(OR($B2838="",$C2838=""),"",$C2838*$F2838)</f>
        <v>0</v>
      </c>
      <c r="H2838" s="27">
        <f>IF(OR($B2838="",$C2838=""),"",$C2838*IFERROR(INDEX(PecCusto,MATCH($B2838,PecCod,0)),0))</f>
        <v>0</v>
      </c>
      <c r="I2838" s="32">
        <f>IF($A2838="","",IFERROR(INDEX(OSStatus,MATCH($A2838,OSNum,0)),"OS inexistente"))</f>
        <v>0</v>
      </c>
      <c r="J2838" s="32">
        <f>IF($A2838="","",IF($I2838="OS inexistente","OS inexistente",IF($E2838="Peça não cadastrada","Peça não cadastrada","OK")))</f>
        <v>0</v>
      </c>
    </row>
    <row r="2839" spans="1:10">
      <c r="A2839" s="17"/>
      <c r="B2839" s="13"/>
      <c r="C2839" s="20"/>
      <c r="D2839" s="19"/>
      <c r="E2839" s="26">
        <f>IF($B2839="","",IFERROR(INDEX(PecDesc,MATCH($B2839,PecCod,0)),"Peça não cadastrada"))</f>
        <v>0</v>
      </c>
      <c r="F2839" s="27">
        <f>IF($B2839="","",IF($D2839&lt;&gt;"",$D2839,IFERROR(INDEX(PecPreco,MATCH($B2839,PecCod,0)),0)))</f>
        <v>0</v>
      </c>
      <c r="G2839" s="27">
        <f>IF(OR($B2839="",$C2839=""),"",$C2839*$F2839)</f>
        <v>0</v>
      </c>
      <c r="H2839" s="27">
        <f>IF(OR($B2839="",$C2839=""),"",$C2839*IFERROR(INDEX(PecCusto,MATCH($B2839,PecCod,0)),0))</f>
        <v>0</v>
      </c>
      <c r="I2839" s="32">
        <f>IF($A2839="","",IFERROR(INDEX(OSStatus,MATCH($A2839,OSNum,0)),"OS inexistente"))</f>
        <v>0</v>
      </c>
      <c r="J2839" s="32">
        <f>IF($A2839="","",IF($I2839="OS inexistente","OS inexistente",IF($E2839="Peça não cadastrada","Peça não cadastrada","OK")))</f>
        <v>0</v>
      </c>
    </row>
    <row r="2840" spans="1:10">
      <c r="A2840" s="17"/>
      <c r="B2840" s="13"/>
      <c r="C2840" s="20"/>
      <c r="D2840" s="19"/>
      <c r="E2840" s="26">
        <f>IF($B2840="","",IFERROR(INDEX(PecDesc,MATCH($B2840,PecCod,0)),"Peça não cadastrada"))</f>
        <v>0</v>
      </c>
      <c r="F2840" s="27">
        <f>IF($B2840="","",IF($D2840&lt;&gt;"",$D2840,IFERROR(INDEX(PecPreco,MATCH($B2840,PecCod,0)),0)))</f>
        <v>0</v>
      </c>
      <c r="G2840" s="27">
        <f>IF(OR($B2840="",$C2840=""),"",$C2840*$F2840)</f>
        <v>0</v>
      </c>
      <c r="H2840" s="27">
        <f>IF(OR($B2840="",$C2840=""),"",$C2840*IFERROR(INDEX(PecCusto,MATCH($B2840,PecCod,0)),0))</f>
        <v>0</v>
      </c>
      <c r="I2840" s="32">
        <f>IF($A2840="","",IFERROR(INDEX(OSStatus,MATCH($A2840,OSNum,0)),"OS inexistente"))</f>
        <v>0</v>
      </c>
      <c r="J2840" s="32">
        <f>IF($A2840="","",IF($I2840="OS inexistente","OS inexistente",IF($E2840="Peça não cadastrada","Peça não cadastrada","OK")))</f>
        <v>0</v>
      </c>
    </row>
    <row r="2841" spans="1:10">
      <c r="A2841" s="17"/>
      <c r="B2841" s="13"/>
      <c r="C2841" s="20"/>
      <c r="D2841" s="19"/>
      <c r="E2841" s="26">
        <f>IF($B2841="","",IFERROR(INDEX(PecDesc,MATCH($B2841,PecCod,0)),"Peça não cadastrada"))</f>
        <v>0</v>
      </c>
      <c r="F2841" s="27">
        <f>IF($B2841="","",IF($D2841&lt;&gt;"",$D2841,IFERROR(INDEX(PecPreco,MATCH($B2841,PecCod,0)),0)))</f>
        <v>0</v>
      </c>
      <c r="G2841" s="27">
        <f>IF(OR($B2841="",$C2841=""),"",$C2841*$F2841)</f>
        <v>0</v>
      </c>
      <c r="H2841" s="27">
        <f>IF(OR($B2841="",$C2841=""),"",$C2841*IFERROR(INDEX(PecCusto,MATCH($B2841,PecCod,0)),0))</f>
        <v>0</v>
      </c>
      <c r="I2841" s="32">
        <f>IF($A2841="","",IFERROR(INDEX(OSStatus,MATCH($A2841,OSNum,0)),"OS inexistente"))</f>
        <v>0</v>
      </c>
      <c r="J2841" s="32">
        <f>IF($A2841="","",IF($I2841="OS inexistente","OS inexistente",IF($E2841="Peça não cadastrada","Peça não cadastrada","OK")))</f>
        <v>0</v>
      </c>
    </row>
    <row r="2842" spans="1:10">
      <c r="A2842" s="17"/>
      <c r="B2842" s="13"/>
      <c r="C2842" s="20"/>
      <c r="D2842" s="19"/>
      <c r="E2842" s="26">
        <f>IF($B2842="","",IFERROR(INDEX(PecDesc,MATCH($B2842,PecCod,0)),"Peça não cadastrada"))</f>
        <v>0</v>
      </c>
      <c r="F2842" s="27">
        <f>IF($B2842="","",IF($D2842&lt;&gt;"",$D2842,IFERROR(INDEX(PecPreco,MATCH($B2842,PecCod,0)),0)))</f>
        <v>0</v>
      </c>
      <c r="G2842" s="27">
        <f>IF(OR($B2842="",$C2842=""),"",$C2842*$F2842)</f>
        <v>0</v>
      </c>
      <c r="H2842" s="27">
        <f>IF(OR($B2842="",$C2842=""),"",$C2842*IFERROR(INDEX(PecCusto,MATCH($B2842,PecCod,0)),0))</f>
        <v>0</v>
      </c>
      <c r="I2842" s="32">
        <f>IF($A2842="","",IFERROR(INDEX(OSStatus,MATCH($A2842,OSNum,0)),"OS inexistente"))</f>
        <v>0</v>
      </c>
      <c r="J2842" s="32">
        <f>IF($A2842="","",IF($I2842="OS inexistente","OS inexistente",IF($E2842="Peça não cadastrada","Peça não cadastrada","OK")))</f>
        <v>0</v>
      </c>
    </row>
    <row r="2843" spans="1:10">
      <c r="A2843" s="17"/>
      <c r="B2843" s="13"/>
      <c r="C2843" s="20"/>
      <c r="D2843" s="19"/>
      <c r="E2843" s="26">
        <f>IF($B2843="","",IFERROR(INDEX(PecDesc,MATCH($B2843,PecCod,0)),"Peça não cadastrada"))</f>
        <v>0</v>
      </c>
      <c r="F2843" s="27">
        <f>IF($B2843="","",IF($D2843&lt;&gt;"",$D2843,IFERROR(INDEX(PecPreco,MATCH($B2843,PecCod,0)),0)))</f>
        <v>0</v>
      </c>
      <c r="G2843" s="27">
        <f>IF(OR($B2843="",$C2843=""),"",$C2843*$F2843)</f>
        <v>0</v>
      </c>
      <c r="H2843" s="27">
        <f>IF(OR($B2843="",$C2843=""),"",$C2843*IFERROR(INDEX(PecCusto,MATCH($B2843,PecCod,0)),0))</f>
        <v>0</v>
      </c>
      <c r="I2843" s="32">
        <f>IF($A2843="","",IFERROR(INDEX(OSStatus,MATCH($A2843,OSNum,0)),"OS inexistente"))</f>
        <v>0</v>
      </c>
      <c r="J2843" s="32">
        <f>IF($A2843="","",IF($I2843="OS inexistente","OS inexistente",IF($E2843="Peça não cadastrada","Peça não cadastrada","OK")))</f>
        <v>0</v>
      </c>
    </row>
    <row r="2844" spans="1:10">
      <c r="A2844" s="17"/>
      <c r="B2844" s="13"/>
      <c r="C2844" s="20"/>
      <c r="D2844" s="19"/>
      <c r="E2844" s="26">
        <f>IF($B2844="","",IFERROR(INDEX(PecDesc,MATCH($B2844,PecCod,0)),"Peça não cadastrada"))</f>
        <v>0</v>
      </c>
      <c r="F2844" s="27">
        <f>IF($B2844="","",IF($D2844&lt;&gt;"",$D2844,IFERROR(INDEX(PecPreco,MATCH($B2844,PecCod,0)),0)))</f>
        <v>0</v>
      </c>
      <c r="G2844" s="27">
        <f>IF(OR($B2844="",$C2844=""),"",$C2844*$F2844)</f>
        <v>0</v>
      </c>
      <c r="H2844" s="27">
        <f>IF(OR($B2844="",$C2844=""),"",$C2844*IFERROR(INDEX(PecCusto,MATCH($B2844,PecCod,0)),0))</f>
        <v>0</v>
      </c>
      <c r="I2844" s="32">
        <f>IF($A2844="","",IFERROR(INDEX(OSStatus,MATCH($A2844,OSNum,0)),"OS inexistente"))</f>
        <v>0</v>
      </c>
      <c r="J2844" s="32">
        <f>IF($A2844="","",IF($I2844="OS inexistente","OS inexistente",IF($E2844="Peça não cadastrada","Peça não cadastrada","OK")))</f>
        <v>0</v>
      </c>
    </row>
    <row r="2845" spans="1:10">
      <c r="A2845" s="17"/>
      <c r="B2845" s="13"/>
      <c r="C2845" s="20"/>
      <c r="D2845" s="19"/>
      <c r="E2845" s="26">
        <f>IF($B2845="","",IFERROR(INDEX(PecDesc,MATCH($B2845,PecCod,0)),"Peça não cadastrada"))</f>
        <v>0</v>
      </c>
      <c r="F2845" s="27">
        <f>IF($B2845="","",IF($D2845&lt;&gt;"",$D2845,IFERROR(INDEX(PecPreco,MATCH($B2845,PecCod,0)),0)))</f>
        <v>0</v>
      </c>
      <c r="G2845" s="27">
        <f>IF(OR($B2845="",$C2845=""),"",$C2845*$F2845)</f>
        <v>0</v>
      </c>
      <c r="H2845" s="27">
        <f>IF(OR($B2845="",$C2845=""),"",$C2845*IFERROR(INDEX(PecCusto,MATCH($B2845,PecCod,0)),0))</f>
        <v>0</v>
      </c>
      <c r="I2845" s="32">
        <f>IF($A2845="","",IFERROR(INDEX(OSStatus,MATCH($A2845,OSNum,0)),"OS inexistente"))</f>
        <v>0</v>
      </c>
      <c r="J2845" s="32">
        <f>IF($A2845="","",IF($I2845="OS inexistente","OS inexistente",IF($E2845="Peça não cadastrada","Peça não cadastrada","OK")))</f>
        <v>0</v>
      </c>
    </row>
    <row r="2846" spans="1:10">
      <c r="A2846" s="17"/>
      <c r="B2846" s="13"/>
      <c r="C2846" s="20"/>
      <c r="D2846" s="19"/>
      <c r="E2846" s="26">
        <f>IF($B2846="","",IFERROR(INDEX(PecDesc,MATCH($B2846,PecCod,0)),"Peça não cadastrada"))</f>
        <v>0</v>
      </c>
      <c r="F2846" s="27">
        <f>IF($B2846="","",IF($D2846&lt;&gt;"",$D2846,IFERROR(INDEX(PecPreco,MATCH($B2846,PecCod,0)),0)))</f>
        <v>0</v>
      </c>
      <c r="G2846" s="27">
        <f>IF(OR($B2846="",$C2846=""),"",$C2846*$F2846)</f>
        <v>0</v>
      </c>
      <c r="H2846" s="27">
        <f>IF(OR($B2846="",$C2846=""),"",$C2846*IFERROR(INDEX(PecCusto,MATCH($B2846,PecCod,0)),0))</f>
        <v>0</v>
      </c>
      <c r="I2846" s="32">
        <f>IF($A2846="","",IFERROR(INDEX(OSStatus,MATCH($A2846,OSNum,0)),"OS inexistente"))</f>
        <v>0</v>
      </c>
      <c r="J2846" s="32">
        <f>IF($A2846="","",IF($I2846="OS inexistente","OS inexistente",IF($E2846="Peça não cadastrada","Peça não cadastrada","OK")))</f>
        <v>0</v>
      </c>
    </row>
    <row r="2847" spans="1:10">
      <c r="A2847" s="17"/>
      <c r="B2847" s="13"/>
      <c r="C2847" s="20"/>
      <c r="D2847" s="19"/>
      <c r="E2847" s="26">
        <f>IF($B2847="","",IFERROR(INDEX(PecDesc,MATCH($B2847,PecCod,0)),"Peça não cadastrada"))</f>
        <v>0</v>
      </c>
      <c r="F2847" s="27">
        <f>IF($B2847="","",IF($D2847&lt;&gt;"",$D2847,IFERROR(INDEX(PecPreco,MATCH($B2847,PecCod,0)),0)))</f>
        <v>0</v>
      </c>
      <c r="G2847" s="27">
        <f>IF(OR($B2847="",$C2847=""),"",$C2847*$F2847)</f>
        <v>0</v>
      </c>
      <c r="H2847" s="27">
        <f>IF(OR($B2847="",$C2847=""),"",$C2847*IFERROR(INDEX(PecCusto,MATCH($B2847,PecCod,0)),0))</f>
        <v>0</v>
      </c>
      <c r="I2847" s="32">
        <f>IF($A2847="","",IFERROR(INDEX(OSStatus,MATCH($A2847,OSNum,0)),"OS inexistente"))</f>
        <v>0</v>
      </c>
      <c r="J2847" s="32">
        <f>IF($A2847="","",IF($I2847="OS inexistente","OS inexistente",IF($E2847="Peça não cadastrada","Peça não cadastrada","OK")))</f>
        <v>0</v>
      </c>
    </row>
    <row r="2848" spans="1:10">
      <c r="A2848" s="17"/>
      <c r="B2848" s="13"/>
      <c r="C2848" s="20"/>
      <c r="D2848" s="19"/>
      <c r="E2848" s="26">
        <f>IF($B2848="","",IFERROR(INDEX(PecDesc,MATCH($B2848,PecCod,0)),"Peça não cadastrada"))</f>
        <v>0</v>
      </c>
      <c r="F2848" s="27">
        <f>IF($B2848="","",IF($D2848&lt;&gt;"",$D2848,IFERROR(INDEX(PecPreco,MATCH($B2848,PecCod,0)),0)))</f>
        <v>0</v>
      </c>
      <c r="G2848" s="27">
        <f>IF(OR($B2848="",$C2848=""),"",$C2848*$F2848)</f>
        <v>0</v>
      </c>
      <c r="H2848" s="27">
        <f>IF(OR($B2848="",$C2848=""),"",$C2848*IFERROR(INDEX(PecCusto,MATCH($B2848,PecCod,0)),0))</f>
        <v>0</v>
      </c>
      <c r="I2848" s="32">
        <f>IF($A2848="","",IFERROR(INDEX(OSStatus,MATCH($A2848,OSNum,0)),"OS inexistente"))</f>
        <v>0</v>
      </c>
      <c r="J2848" s="32">
        <f>IF($A2848="","",IF($I2848="OS inexistente","OS inexistente",IF($E2848="Peça não cadastrada","Peça não cadastrada","OK")))</f>
        <v>0</v>
      </c>
    </row>
    <row r="2849" spans="1:10">
      <c r="A2849" s="17"/>
      <c r="B2849" s="13"/>
      <c r="C2849" s="20"/>
      <c r="D2849" s="19"/>
      <c r="E2849" s="26">
        <f>IF($B2849="","",IFERROR(INDEX(PecDesc,MATCH($B2849,PecCod,0)),"Peça não cadastrada"))</f>
        <v>0</v>
      </c>
      <c r="F2849" s="27">
        <f>IF($B2849="","",IF($D2849&lt;&gt;"",$D2849,IFERROR(INDEX(PecPreco,MATCH($B2849,PecCod,0)),0)))</f>
        <v>0</v>
      </c>
      <c r="G2849" s="27">
        <f>IF(OR($B2849="",$C2849=""),"",$C2849*$F2849)</f>
        <v>0</v>
      </c>
      <c r="H2849" s="27">
        <f>IF(OR($B2849="",$C2849=""),"",$C2849*IFERROR(INDEX(PecCusto,MATCH($B2849,PecCod,0)),0))</f>
        <v>0</v>
      </c>
      <c r="I2849" s="32">
        <f>IF($A2849="","",IFERROR(INDEX(OSStatus,MATCH($A2849,OSNum,0)),"OS inexistente"))</f>
        <v>0</v>
      </c>
      <c r="J2849" s="32">
        <f>IF($A2849="","",IF($I2849="OS inexistente","OS inexistente",IF($E2849="Peça não cadastrada","Peça não cadastrada","OK")))</f>
        <v>0</v>
      </c>
    </row>
    <row r="2850" spans="1:10">
      <c r="A2850" s="17"/>
      <c r="B2850" s="13"/>
      <c r="C2850" s="20"/>
      <c r="D2850" s="19"/>
      <c r="E2850" s="26">
        <f>IF($B2850="","",IFERROR(INDEX(PecDesc,MATCH($B2850,PecCod,0)),"Peça não cadastrada"))</f>
        <v>0</v>
      </c>
      <c r="F2850" s="27">
        <f>IF($B2850="","",IF($D2850&lt;&gt;"",$D2850,IFERROR(INDEX(PecPreco,MATCH($B2850,PecCod,0)),0)))</f>
        <v>0</v>
      </c>
      <c r="G2850" s="27">
        <f>IF(OR($B2850="",$C2850=""),"",$C2850*$F2850)</f>
        <v>0</v>
      </c>
      <c r="H2850" s="27">
        <f>IF(OR($B2850="",$C2850=""),"",$C2850*IFERROR(INDEX(PecCusto,MATCH($B2850,PecCod,0)),0))</f>
        <v>0</v>
      </c>
      <c r="I2850" s="32">
        <f>IF($A2850="","",IFERROR(INDEX(OSStatus,MATCH($A2850,OSNum,0)),"OS inexistente"))</f>
        <v>0</v>
      </c>
      <c r="J2850" s="32">
        <f>IF($A2850="","",IF($I2850="OS inexistente","OS inexistente",IF($E2850="Peça não cadastrada","Peça não cadastrada","OK")))</f>
        <v>0</v>
      </c>
    </row>
    <row r="2851" spans="1:10">
      <c r="A2851" s="17"/>
      <c r="B2851" s="13"/>
      <c r="C2851" s="20"/>
      <c r="D2851" s="19"/>
      <c r="E2851" s="26">
        <f>IF($B2851="","",IFERROR(INDEX(PecDesc,MATCH($B2851,PecCod,0)),"Peça não cadastrada"))</f>
        <v>0</v>
      </c>
      <c r="F2851" s="27">
        <f>IF($B2851="","",IF($D2851&lt;&gt;"",$D2851,IFERROR(INDEX(PecPreco,MATCH($B2851,PecCod,0)),0)))</f>
        <v>0</v>
      </c>
      <c r="G2851" s="27">
        <f>IF(OR($B2851="",$C2851=""),"",$C2851*$F2851)</f>
        <v>0</v>
      </c>
      <c r="H2851" s="27">
        <f>IF(OR($B2851="",$C2851=""),"",$C2851*IFERROR(INDEX(PecCusto,MATCH($B2851,PecCod,0)),0))</f>
        <v>0</v>
      </c>
      <c r="I2851" s="32">
        <f>IF($A2851="","",IFERROR(INDEX(OSStatus,MATCH($A2851,OSNum,0)),"OS inexistente"))</f>
        <v>0</v>
      </c>
      <c r="J2851" s="32">
        <f>IF($A2851="","",IF($I2851="OS inexistente","OS inexistente",IF($E2851="Peça não cadastrada","Peça não cadastrada","OK")))</f>
        <v>0</v>
      </c>
    </row>
    <row r="2852" spans="1:10">
      <c r="A2852" s="17"/>
      <c r="B2852" s="13"/>
      <c r="C2852" s="20"/>
      <c r="D2852" s="19"/>
      <c r="E2852" s="26">
        <f>IF($B2852="","",IFERROR(INDEX(PecDesc,MATCH($B2852,PecCod,0)),"Peça não cadastrada"))</f>
        <v>0</v>
      </c>
      <c r="F2852" s="27">
        <f>IF($B2852="","",IF($D2852&lt;&gt;"",$D2852,IFERROR(INDEX(PecPreco,MATCH($B2852,PecCod,0)),0)))</f>
        <v>0</v>
      </c>
      <c r="G2852" s="27">
        <f>IF(OR($B2852="",$C2852=""),"",$C2852*$F2852)</f>
        <v>0</v>
      </c>
      <c r="H2852" s="27">
        <f>IF(OR($B2852="",$C2852=""),"",$C2852*IFERROR(INDEX(PecCusto,MATCH($B2852,PecCod,0)),0))</f>
        <v>0</v>
      </c>
      <c r="I2852" s="32">
        <f>IF($A2852="","",IFERROR(INDEX(OSStatus,MATCH($A2852,OSNum,0)),"OS inexistente"))</f>
        <v>0</v>
      </c>
      <c r="J2852" s="32">
        <f>IF($A2852="","",IF($I2852="OS inexistente","OS inexistente",IF($E2852="Peça não cadastrada","Peça não cadastrada","OK")))</f>
        <v>0</v>
      </c>
    </row>
    <row r="2853" spans="1:10">
      <c r="A2853" s="17"/>
      <c r="B2853" s="13"/>
      <c r="C2853" s="20"/>
      <c r="D2853" s="19"/>
      <c r="E2853" s="26">
        <f>IF($B2853="","",IFERROR(INDEX(PecDesc,MATCH($B2853,PecCod,0)),"Peça não cadastrada"))</f>
        <v>0</v>
      </c>
      <c r="F2853" s="27">
        <f>IF($B2853="","",IF($D2853&lt;&gt;"",$D2853,IFERROR(INDEX(PecPreco,MATCH($B2853,PecCod,0)),0)))</f>
        <v>0</v>
      </c>
      <c r="G2853" s="27">
        <f>IF(OR($B2853="",$C2853=""),"",$C2853*$F2853)</f>
        <v>0</v>
      </c>
      <c r="H2853" s="27">
        <f>IF(OR($B2853="",$C2853=""),"",$C2853*IFERROR(INDEX(PecCusto,MATCH($B2853,PecCod,0)),0))</f>
        <v>0</v>
      </c>
      <c r="I2853" s="32">
        <f>IF($A2853="","",IFERROR(INDEX(OSStatus,MATCH($A2853,OSNum,0)),"OS inexistente"))</f>
        <v>0</v>
      </c>
      <c r="J2853" s="32">
        <f>IF($A2853="","",IF($I2853="OS inexistente","OS inexistente",IF($E2853="Peça não cadastrada","Peça não cadastrada","OK")))</f>
        <v>0</v>
      </c>
    </row>
    <row r="2854" spans="1:10">
      <c r="A2854" s="17"/>
      <c r="B2854" s="13"/>
      <c r="C2854" s="20"/>
      <c r="D2854" s="19"/>
      <c r="E2854" s="26">
        <f>IF($B2854="","",IFERROR(INDEX(PecDesc,MATCH($B2854,PecCod,0)),"Peça não cadastrada"))</f>
        <v>0</v>
      </c>
      <c r="F2854" s="27">
        <f>IF($B2854="","",IF($D2854&lt;&gt;"",$D2854,IFERROR(INDEX(PecPreco,MATCH($B2854,PecCod,0)),0)))</f>
        <v>0</v>
      </c>
      <c r="G2854" s="27">
        <f>IF(OR($B2854="",$C2854=""),"",$C2854*$F2854)</f>
        <v>0</v>
      </c>
      <c r="H2854" s="27">
        <f>IF(OR($B2854="",$C2854=""),"",$C2854*IFERROR(INDEX(PecCusto,MATCH($B2854,PecCod,0)),0))</f>
        <v>0</v>
      </c>
      <c r="I2854" s="32">
        <f>IF($A2854="","",IFERROR(INDEX(OSStatus,MATCH($A2854,OSNum,0)),"OS inexistente"))</f>
        <v>0</v>
      </c>
      <c r="J2854" s="32">
        <f>IF($A2854="","",IF($I2854="OS inexistente","OS inexistente",IF($E2854="Peça não cadastrada","Peça não cadastrada","OK")))</f>
        <v>0</v>
      </c>
    </row>
    <row r="2855" spans="1:10">
      <c r="A2855" s="17"/>
      <c r="B2855" s="13"/>
      <c r="C2855" s="20"/>
      <c r="D2855" s="19"/>
      <c r="E2855" s="26">
        <f>IF($B2855="","",IFERROR(INDEX(PecDesc,MATCH($B2855,PecCod,0)),"Peça não cadastrada"))</f>
        <v>0</v>
      </c>
      <c r="F2855" s="27">
        <f>IF($B2855="","",IF($D2855&lt;&gt;"",$D2855,IFERROR(INDEX(PecPreco,MATCH($B2855,PecCod,0)),0)))</f>
        <v>0</v>
      </c>
      <c r="G2855" s="27">
        <f>IF(OR($B2855="",$C2855=""),"",$C2855*$F2855)</f>
        <v>0</v>
      </c>
      <c r="H2855" s="27">
        <f>IF(OR($B2855="",$C2855=""),"",$C2855*IFERROR(INDEX(PecCusto,MATCH($B2855,PecCod,0)),0))</f>
        <v>0</v>
      </c>
      <c r="I2855" s="32">
        <f>IF($A2855="","",IFERROR(INDEX(OSStatus,MATCH($A2855,OSNum,0)),"OS inexistente"))</f>
        <v>0</v>
      </c>
      <c r="J2855" s="32">
        <f>IF($A2855="","",IF($I2855="OS inexistente","OS inexistente",IF($E2855="Peça não cadastrada","Peça não cadastrada","OK")))</f>
        <v>0</v>
      </c>
    </row>
    <row r="2856" spans="1:10">
      <c r="A2856" s="17"/>
      <c r="B2856" s="13"/>
      <c r="C2856" s="20"/>
      <c r="D2856" s="19"/>
      <c r="E2856" s="26">
        <f>IF($B2856="","",IFERROR(INDEX(PecDesc,MATCH($B2856,PecCod,0)),"Peça não cadastrada"))</f>
        <v>0</v>
      </c>
      <c r="F2856" s="27">
        <f>IF($B2856="","",IF($D2856&lt;&gt;"",$D2856,IFERROR(INDEX(PecPreco,MATCH($B2856,PecCod,0)),0)))</f>
        <v>0</v>
      </c>
      <c r="G2856" s="27">
        <f>IF(OR($B2856="",$C2856=""),"",$C2856*$F2856)</f>
        <v>0</v>
      </c>
      <c r="H2856" s="27">
        <f>IF(OR($B2856="",$C2856=""),"",$C2856*IFERROR(INDEX(PecCusto,MATCH($B2856,PecCod,0)),0))</f>
        <v>0</v>
      </c>
      <c r="I2856" s="32">
        <f>IF($A2856="","",IFERROR(INDEX(OSStatus,MATCH($A2856,OSNum,0)),"OS inexistente"))</f>
        <v>0</v>
      </c>
      <c r="J2856" s="32">
        <f>IF($A2856="","",IF($I2856="OS inexistente","OS inexistente",IF($E2856="Peça não cadastrada","Peça não cadastrada","OK")))</f>
        <v>0</v>
      </c>
    </row>
    <row r="2857" spans="1:10">
      <c r="A2857" s="17"/>
      <c r="B2857" s="13"/>
      <c r="C2857" s="20"/>
      <c r="D2857" s="19"/>
      <c r="E2857" s="26">
        <f>IF($B2857="","",IFERROR(INDEX(PecDesc,MATCH($B2857,PecCod,0)),"Peça não cadastrada"))</f>
        <v>0</v>
      </c>
      <c r="F2857" s="27">
        <f>IF($B2857="","",IF($D2857&lt;&gt;"",$D2857,IFERROR(INDEX(PecPreco,MATCH($B2857,PecCod,0)),0)))</f>
        <v>0</v>
      </c>
      <c r="G2857" s="27">
        <f>IF(OR($B2857="",$C2857=""),"",$C2857*$F2857)</f>
        <v>0</v>
      </c>
      <c r="H2857" s="27">
        <f>IF(OR($B2857="",$C2857=""),"",$C2857*IFERROR(INDEX(PecCusto,MATCH($B2857,PecCod,0)),0))</f>
        <v>0</v>
      </c>
      <c r="I2857" s="32">
        <f>IF($A2857="","",IFERROR(INDEX(OSStatus,MATCH($A2857,OSNum,0)),"OS inexistente"))</f>
        <v>0</v>
      </c>
      <c r="J2857" s="32">
        <f>IF($A2857="","",IF($I2857="OS inexistente","OS inexistente",IF($E2857="Peça não cadastrada","Peça não cadastrada","OK")))</f>
        <v>0</v>
      </c>
    </row>
    <row r="2858" spans="1:10">
      <c r="A2858" s="17"/>
      <c r="B2858" s="13"/>
      <c r="C2858" s="20"/>
      <c r="D2858" s="19"/>
      <c r="E2858" s="26">
        <f>IF($B2858="","",IFERROR(INDEX(PecDesc,MATCH($B2858,PecCod,0)),"Peça não cadastrada"))</f>
        <v>0</v>
      </c>
      <c r="F2858" s="27">
        <f>IF($B2858="","",IF($D2858&lt;&gt;"",$D2858,IFERROR(INDEX(PecPreco,MATCH($B2858,PecCod,0)),0)))</f>
        <v>0</v>
      </c>
      <c r="G2858" s="27">
        <f>IF(OR($B2858="",$C2858=""),"",$C2858*$F2858)</f>
        <v>0</v>
      </c>
      <c r="H2858" s="27">
        <f>IF(OR($B2858="",$C2858=""),"",$C2858*IFERROR(INDEX(PecCusto,MATCH($B2858,PecCod,0)),0))</f>
        <v>0</v>
      </c>
      <c r="I2858" s="32">
        <f>IF($A2858="","",IFERROR(INDEX(OSStatus,MATCH($A2858,OSNum,0)),"OS inexistente"))</f>
        <v>0</v>
      </c>
      <c r="J2858" s="32">
        <f>IF($A2858="","",IF($I2858="OS inexistente","OS inexistente",IF($E2858="Peça não cadastrada","Peça não cadastrada","OK")))</f>
        <v>0</v>
      </c>
    </row>
    <row r="2859" spans="1:10">
      <c r="A2859" s="17"/>
      <c r="B2859" s="13"/>
      <c r="C2859" s="20"/>
      <c r="D2859" s="19"/>
      <c r="E2859" s="26">
        <f>IF($B2859="","",IFERROR(INDEX(PecDesc,MATCH($B2859,PecCod,0)),"Peça não cadastrada"))</f>
        <v>0</v>
      </c>
      <c r="F2859" s="27">
        <f>IF($B2859="","",IF($D2859&lt;&gt;"",$D2859,IFERROR(INDEX(PecPreco,MATCH($B2859,PecCod,0)),0)))</f>
        <v>0</v>
      </c>
      <c r="G2859" s="27">
        <f>IF(OR($B2859="",$C2859=""),"",$C2859*$F2859)</f>
        <v>0</v>
      </c>
      <c r="H2859" s="27">
        <f>IF(OR($B2859="",$C2859=""),"",$C2859*IFERROR(INDEX(PecCusto,MATCH($B2859,PecCod,0)),0))</f>
        <v>0</v>
      </c>
      <c r="I2859" s="32">
        <f>IF($A2859="","",IFERROR(INDEX(OSStatus,MATCH($A2859,OSNum,0)),"OS inexistente"))</f>
        <v>0</v>
      </c>
      <c r="J2859" s="32">
        <f>IF($A2859="","",IF($I2859="OS inexistente","OS inexistente",IF($E2859="Peça não cadastrada","Peça não cadastrada","OK")))</f>
        <v>0</v>
      </c>
    </row>
    <row r="2860" spans="1:10">
      <c r="A2860" s="17"/>
      <c r="B2860" s="13"/>
      <c r="C2860" s="20"/>
      <c r="D2860" s="19"/>
      <c r="E2860" s="26">
        <f>IF($B2860="","",IFERROR(INDEX(PecDesc,MATCH($B2860,PecCod,0)),"Peça não cadastrada"))</f>
        <v>0</v>
      </c>
      <c r="F2860" s="27">
        <f>IF($B2860="","",IF($D2860&lt;&gt;"",$D2860,IFERROR(INDEX(PecPreco,MATCH($B2860,PecCod,0)),0)))</f>
        <v>0</v>
      </c>
      <c r="G2860" s="27">
        <f>IF(OR($B2860="",$C2860=""),"",$C2860*$F2860)</f>
        <v>0</v>
      </c>
      <c r="H2860" s="27">
        <f>IF(OR($B2860="",$C2860=""),"",$C2860*IFERROR(INDEX(PecCusto,MATCH($B2860,PecCod,0)),0))</f>
        <v>0</v>
      </c>
      <c r="I2860" s="32">
        <f>IF($A2860="","",IFERROR(INDEX(OSStatus,MATCH($A2860,OSNum,0)),"OS inexistente"))</f>
        <v>0</v>
      </c>
      <c r="J2860" s="32">
        <f>IF($A2860="","",IF($I2860="OS inexistente","OS inexistente",IF($E2860="Peça não cadastrada","Peça não cadastrada","OK")))</f>
        <v>0</v>
      </c>
    </row>
    <row r="2861" spans="1:10">
      <c r="A2861" s="17"/>
      <c r="B2861" s="13"/>
      <c r="C2861" s="20"/>
      <c r="D2861" s="19"/>
      <c r="E2861" s="26">
        <f>IF($B2861="","",IFERROR(INDEX(PecDesc,MATCH($B2861,PecCod,0)),"Peça não cadastrada"))</f>
        <v>0</v>
      </c>
      <c r="F2861" s="27">
        <f>IF($B2861="","",IF($D2861&lt;&gt;"",$D2861,IFERROR(INDEX(PecPreco,MATCH($B2861,PecCod,0)),0)))</f>
        <v>0</v>
      </c>
      <c r="G2861" s="27">
        <f>IF(OR($B2861="",$C2861=""),"",$C2861*$F2861)</f>
        <v>0</v>
      </c>
      <c r="H2861" s="27">
        <f>IF(OR($B2861="",$C2861=""),"",$C2861*IFERROR(INDEX(PecCusto,MATCH($B2861,PecCod,0)),0))</f>
        <v>0</v>
      </c>
      <c r="I2861" s="32">
        <f>IF($A2861="","",IFERROR(INDEX(OSStatus,MATCH($A2861,OSNum,0)),"OS inexistente"))</f>
        <v>0</v>
      </c>
      <c r="J2861" s="32">
        <f>IF($A2861="","",IF($I2861="OS inexistente","OS inexistente",IF($E2861="Peça não cadastrada","Peça não cadastrada","OK")))</f>
        <v>0</v>
      </c>
    </row>
    <row r="2862" spans="1:10">
      <c r="A2862" s="17"/>
      <c r="B2862" s="13"/>
      <c r="C2862" s="20"/>
      <c r="D2862" s="19"/>
      <c r="E2862" s="26">
        <f>IF($B2862="","",IFERROR(INDEX(PecDesc,MATCH($B2862,PecCod,0)),"Peça não cadastrada"))</f>
        <v>0</v>
      </c>
      <c r="F2862" s="27">
        <f>IF($B2862="","",IF($D2862&lt;&gt;"",$D2862,IFERROR(INDEX(PecPreco,MATCH($B2862,PecCod,0)),0)))</f>
        <v>0</v>
      </c>
      <c r="G2862" s="27">
        <f>IF(OR($B2862="",$C2862=""),"",$C2862*$F2862)</f>
        <v>0</v>
      </c>
      <c r="H2862" s="27">
        <f>IF(OR($B2862="",$C2862=""),"",$C2862*IFERROR(INDEX(PecCusto,MATCH($B2862,PecCod,0)),0))</f>
        <v>0</v>
      </c>
      <c r="I2862" s="32">
        <f>IF($A2862="","",IFERROR(INDEX(OSStatus,MATCH($A2862,OSNum,0)),"OS inexistente"))</f>
        <v>0</v>
      </c>
      <c r="J2862" s="32">
        <f>IF($A2862="","",IF($I2862="OS inexistente","OS inexistente",IF($E2862="Peça não cadastrada","Peça não cadastrada","OK")))</f>
        <v>0</v>
      </c>
    </row>
    <row r="2863" spans="1:10">
      <c r="A2863" s="17"/>
      <c r="B2863" s="13"/>
      <c r="C2863" s="20"/>
      <c r="D2863" s="19"/>
      <c r="E2863" s="26">
        <f>IF($B2863="","",IFERROR(INDEX(PecDesc,MATCH($B2863,PecCod,0)),"Peça não cadastrada"))</f>
        <v>0</v>
      </c>
      <c r="F2863" s="27">
        <f>IF($B2863="","",IF($D2863&lt;&gt;"",$D2863,IFERROR(INDEX(PecPreco,MATCH($B2863,PecCod,0)),0)))</f>
        <v>0</v>
      </c>
      <c r="G2863" s="27">
        <f>IF(OR($B2863="",$C2863=""),"",$C2863*$F2863)</f>
        <v>0</v>
      </c>
      <c r="H2863" s="27">
        <f>IF(OR($B2863="",$C2863=""),"",$C2863*IFERROR(INDEX(PecCusto,MATCH($B2863,PecCod,0)),0))</f>
        <v>0</v>
      </c>
      <c r="I2863" s="32">
        <f>IF($A2863="","",IFERROR(INDEX(OSStatus,MATCH($A2863,OSNum,0)),"OS inexistente"))</f>
        <v>0</v>
      </c>
      <c r="J2863" s="32">
        <f>IF($A2863="","",IF($I2863="OS inexistente","OS inexistente",IF($E2863="Peça não cadastrada","Peça não cadastrada","OK")))</f>
        <v>0</v>
      </c>
    </row>
    <row r="2864" spans="1:10">
      <c r="A2864" s="17"/>
      <c r="B2864" s="13"/>
      <c r="C2864" s="20"/>
      <c r="D2864" s="19"/>
      <c r="E2864" s="26">
        <f>IF($B2864="","",IFERROR(INDEX(PecDesc,MATCH($B2864,PecCod,0)),"Peça não cadastrada"))</f>
        <v>0</v>
      </c>
      <c r="F2864" s="27">
        <f>IF($B2864="","",IF($D2864&lt;&gt;"",$D2864,IFERROR(INDEX(PecPreco,MATCH($B2864,PecCod,0)),0)))</f>
        <v>0</v>
      </c>
      <c r="G2864" s="27">
        <f>IF(OR($B2864="",$C2864=""),"",$C2864*$F2864)</f>
        <v>0</v>
      </c>
      <c r="H2864" s="27">
        <f>IF(OR($B2864="",$C2864=""),"",$C2864*IFERROR(INDEX(PecCusto,MATCH($B2864,PecCod,0)),0))</f>
        <v>0</v>
      </c>
      <c r="I2864" s="32">
        <f>IF($A2864="","",IFERROR(INDEX(OSStatus,MATCH($A2864,OSNum,0)),"OS inexistente"))</f>
        <v>0</v>
      </c>
      <c r="J2864" s="32">
        <f>IF($A2864="","",IF($I2864="OS inexistente","OS inexistente",IF($E2864="Peça não cadastrada","Peça não cadastrada","OK")))</f>
        <v>0</v>
      </c>
    </row>
    <row r="2865" spans="1:10">
      <c r="A2865" s="17"/>
      <c r="B2865" s="13"/>
      <c r="C2865" s="20"/>
      <c r="D2865" s="19"/>
      <c r="E2865" s="26">
        <f>IF($B2865="","",IFERROR(INDEX(PecDesc,MATCH($B2865,PecCod,0)),"Peça não cadastrada"))</f>
        <v>0</v>
      </c>
      <c r="F2865" s="27">
        <f>IF($B2865="","",IF($D2865&lt;&gt;"",$D2865,IFERROR(INDEX(PecPreco,MATCH($B2865,PecCod,0)),0)))</f>
        <v>0</v>
      </c>
      <c r="G2865" s="27">
        <f>IF(OR($B2865="",$C2865=""),"",$C2865*$F2865)</f>
        <v>0</v>
      </c>
      <c r="H2865" s="27">
        <f>IF(OR($B2865="",$C2865=""),"",$C2865*IFERROR(INDEX(PecCusto,MATCH($B2865,PecCod,0)),0))</f>
        <v>0</v>
      </c>
      <c r="I2865" s="32">
        <f>IF($A2865="","",IFERROR(INDEX(OSStatus,MATCH($A2865,OSNum,0)),"OS inexistente"))</f>
        <v>0</v>
      </c>
      <c r="J2865" s="32">
        <f>IF($A2865="","",IF($I2865="OS inexistente","OS inexistente",IF($E2865="Peça não cadastrada","Peça não cadastrada","OK")))</f>
        <v>0</v>
      </c>
    </row>
    <row r="2866" spans="1:10">
      <c r="A2866" s="17"/>
      <c r="B2866" s="13"/>
      <c r="C2866" s="20"/>
      <c r="D2866" s="19"/>
      <c r="E2866" s="26">
        <f>IF($B2866="","",IFERROR(INDEX(PecDesc,MATCH($B2866,PecCod,0)),"Peça não cadastrada"))</f>
        <v>0</v>
      </c>
      <c r="F2866" s="27">
        <f>IF($B2866="","",IF($D2866&lt;&gt;"",$D2866,IFERROR(INDEX(PecPreco,MATCH($B2866,PecCod,0)),0)))</f>
        <v>0</v>
      </c>
      <c r="G2866" s="27">
        <f>IF(OR($B2866="",$C2866=""),"",$C2866*$F2866)</f>
        <v>0</v>
      </c>
      <c r="H2866" s="27">
        <f>IF(OR($B2866="",$C2866=""),"",$C2866*IFERROR(INDEX(PecCusto,MATCH($B2866,PecCod,0)),0))</f>
        <v>0</v>
      </c>
      <c r="I2866" s="32">
        <f>IF($A2866="","",IFERROR(INDEX(OSStatus,MATCH($A2866,OSNum,0)),"OS inexistente"))</f>
        <v>0</v>
      </c>
      <c r="J2866" s="32">
        <f>IF($A2866="","",IF($I2866="OS inexistente","OS inexistente",IF($E2866="Peça não cadastrada","Peça não cadastrada","OK")))</f>
        <v>0</v>
      </c>
    </row>
    <row r="2867" spans="1:10">
      <c r="A2867" s="17"/>
      <c r="B2867" s="13"/>
      <c r="C2867" s="20"/>
      <c r="D2867" s="19"/>
      <c r="E2867" s="26">
        <f>IF($B2867="","",IFERROR(INDEX(PecDesc,MATCH($B2867,PecCod,0)),"Peça não cadastrada"))</f>
        <v>0</v>
      </c>
      <c r="F2867" s="27">
        <f>IF($B2867="","",IF($D2867&lt;&gt;"",$D2867,IFERROR(INDEX(PecPreco,MATCH($B2867,PecCod,0)),0)))</f>
        <v>0</v>
      </c>
      <c r="G2867" s="27">
        <f>IF(OR($B2867="",$C2867=""),"",$C2867*$F2867)</f>
        <v>0</v>
      </c>
      <c r="H2867" s="27">
        <f>IF(OR($B2867="",$C2867=""),"",$C2867*IFERROR(INDEX(PecCusto,MATCH($B2867,PecCod,0)),0))</f>
        <v>0</v>
      </c>
      <c r="I2867" s="32">
        <f>IF($A2867="","",IFERROR(INDEX(OSStatus,MATCH($A2867,OSNum,0)),"OS inexistente"))</f>
        <v>0</v>
      </c>
      <c r="J2867" s="32">
        <f>IF($A2867="","",IF($I2867="OS inexistente","OS inexistente",IF($E2867="Peça não cadastrada","Peça não cadastrada","OK")))</f>
        <v>0</v>
      </c>
    </row>
    <row r="2868" spans="1:10">
      <c r="A2868" s="17"/>
      <c r="B2868" s="13"/>
      <c r="C2868" s="20"/>
      <c r="D2868" s="19"/>
      <c r="E2868" s="26">
        <f>IF($B2868="","",IFERROR(INDEX(PecDesc,MATCH($B2868,PecCod,0)),"Peça não cadastrada"))</f>
        <v>0</v>
      </c>
      <c r="F2868" s="27">
        <f>IF($B2868="","",IF($D2868&lt;&gt;"",$D2868,IFERROR(INDEX(PecPreco,MATCH($B2868,PecCod,0)),0)))</f>
        <v>0</v>
      </c>
      <c r="G2868" s="27">
        <f>IF(OR($B2868="",$C2868=""),"",$C2868*$F2868)</f>
        <v>0</v>
      </c>
      <c r="H2868" s="27">
        <f>IF(OR($B2868="",$C2868=""),"",$C2868*IFERROR(INDEX(PecCusto,MATCH($B2868,PecCod,0)),0))</f>
        <v>0</v>
      </c>
      <c r="I2868" s="32">
        <f>IF($A2868="","",IFERROR(INDEX(OSStatus,MATCH($A2868,OSNum,0)),"OS inexistente"))</f>
        <v>0</v>
      </c>
      <c r="J2868" s="32">
        <f>IF($A2868="","",IF($I2868="OS inexistente","OS inexistente",IF($E2868="Peça não cadastrada","Peça não cadastrada","OK")))</f>
        <v>0</v>
      </c>
    </row>
    <row r="2869" spans="1:10">
      <c r="A2869" s="17"/>
      <c r="B2869" s="13"/>
      <c r="C2869" s="20"/>
      <c r="D2869" s="19"/>
      <c r="E2869" s="26">
        <f>IF($B2869="","",IFERROR(INDEX(PecDesc,MATCH($B2869,PecCod,0)),"Peça não cadastrada"))</f>
        <v>0</v>
      </c>
      <c r="F2869" s="27">
        <f>IF($B2869="","",IF($D2869&lt;&gt;"",$D2869,IFERROR(INDEX(PecPreco,MATCH($B2869,PecCod,0)),0)))</f>
        <v>0</v>
      </c>
      <c r="G2869" s="27">
        <f>IF(OR($B2869="",$C2869=""),"",$C2869*$F2869)</f>
        <v>0</v>
      </c>
      <c r="H2869" s="27">
        <f>IF(OR($B2869="",$C2869=""),"",$C2869*IFERROR(INDEX(PecCusto,MATCH($B2869,PecCod,0)),0))</f>
        <v>0</v>
      </c>
      <c r="I2869" s="32">
        <f>IF($A2869="","",IFERROR(INDEX(OSStatus,MATCH($A2869,OSNum,0)),"OS inexistente"))</f>
        <v>0</v>
      </c>
      <c r="J2869" s="32">
        <f>IF($A2869="","",IF($I2869="OS inexistente","OS inexistente",IF($E2869="Peça não cadastrada","Peça não cadastrada","OK")))</f>
        <v>0</v>
      </c>
    </row>
    <row r="2870" spans="1:10">
      <c r="A2870" s="17"/>
      <c r="B2870" s="13"/>
      <c r="C2870" s="20"/>
      <c r="D2870" s="19"/>
      <c r="E2870" s="26">
        <f>IF($B2870="","",IFERROR(INDEX(PecDesc,MATCH($B2870,PecCod,0)),"Peça não cadastrada"))</f>
        <v>0</v>
      </c>
      <c r="F2870" s="27">
        <f>IF($B2870="","",IF($D2870&lt;&gt;"",$D2870,IFERROR(INDEX(PecPreco,MATCH($B2870,PecCod,0)),0)))</f>
        <v>0</v>
      </c>
      <c r="G2870" s="27">
        <f>IF(OR($B2870="",$C2870=""),"",$C2870*$F2870)</f>
        <v>0</v>
      </c>
      <c r="H2870" s="27">
        <f>IF(OR($B2870="",$C2870=""),"",$C2870*IFERROR(INDEX(PecCusto,MATCH($B2870,PecCod,0)),0))</f>
        <v>0</v>
      </c>
      <c r="I2870" s="32">
        <f>IF($A2870="","",IFERROR(INDEX(OSStatus,MATCH($A2870,OSNum,0)),"OS inexistente"))</f>
        <v>0</v>
      </c>
      <c r="J2870" s="32">
        <f>IF($A2870="","",IF($I2870="OS inexistente","OS inexistente",IF($E2870="Peça não cadastrada","Peça não cadastrada","OK")))</f>
        <v>0</v>
      </c>
    </row>
    <row r="2871" spans="1:10">
      <c r="A2871" s="17"/>
      <c r="B2871" s="13"/>
      <c r="C2871" s="20"/>
      <c r="D2871" s="19"/>
      <c r="E2871" s="26">
        <f>IF($B2871="","",IFERROR(INDEX(PecDesc,MATCH($B2871,PecCod,0)),"Peça não cadastrada"))</f>
        <v>0</v>
      </c>
      <c r="F2871" s="27">
        <f>IF($B2871="","",IF($D2871&lt;&gt;"",$D2871,IFERROR(INDEX(PecPreco,MATCH($B2871,PecCod,0)),0)))</f>
        <v>0</v>
      </c>
      <c r="G2871" s="27">
        <f>IF(OR($B2871="",$C2871=""),"",$C2871*$F2871)</f>
        <v>0</v>
      </c>
      <c r="H2871" s="27">
        <f>IF(OR($B2871="",$C2871=""),"",$C2871*IFERROR(INDEX(PecCusto,MATCH($B2871,PecCod,0)),0))</f>
        <v>0</v>
      </c>
      <c r="I2871" s="32">
        <f>IF($A2871="","",IFERROR(INDEX(OSStatus,MATCH($A2871,OSNum,0)),"OS inexistente"))</f>
        <v>0</v>
      </c>
      <c r="J2871" s="32">
        <f>IF($A2871="","",IF($I2871="OS inexistente","OS inexistente",IF($E2871="Peça não cadastrada","Peça não cadastrada","OK")))</f>
        <v>0</v>
      </c>
    </row>
    <row r="2872" spans="1:10">
      <c r="A2872" s="17"/>
      <c r="B2872" s="13"/>
      <c r="C2872" s="20"/>
      <c r="D2872" s="19"/>
      <c r="E2872" s="26">
        <f>IF($B2872="","",IFERROR(INDEX(PecDesc,MATCH($B2872,PecCod,0)),"Peça não cadastrada"))</f>
        <v>0</v>
      </c>
      <c r="F2872" s="27">
        <f>IF($B2872="","",IF($D2872&lt;&gt;"",$D2872,IFERROR(INDEX(PecPreco,MATCH($B2872,PecCod,0)),0)))</f>
        <v>0</v>
      </c>
      <c r="G2872" s="27">
        <f>IF(OR($B2872="",$C2872=""),"",$C2872*$F2872)</f>
        <v>0</v>
      </c>
      <c r="H2872" s="27">
        <f>IF(OR($B2872="",$C2872=""),"",$C2872*IFERROR(INDEX(PecCusto,MATCH($B2872,PecCod,0)),0))</f>
        <v>0</v>
      </c>
      <c r="I2872" s="32">
        <f>IF($A2872="","",IFERROR(INDEX(OSStatus,MATCH($A2872,OSNum,0)),"OS inexistente"))</f>
        <v>0</v>
      </c>
      <c r="J2872" s="32">
        <f>IF($A2872="","",IF($I2872="OS inexistente","OS inexistente",IF($E2872="Peça não cadastrada","Peça não cadastrada","OK")))</f>
        <v>0</v>
      </c>
    </row>
    <row r="2873" spans="1:10">
      <c r="A2873" s="17"/>
      <c r="B2873" s="13"/>
      <c r="C2873" s="20"/>
      <c r="D2873" s="19"/>
      <c r="E2873" s="26">
        <f>IF($B2873="","",IFERROR(INDEX(PecDesc,MATCH($B2873,PecCod,0)),"Peça não cadastrada"))</f>
        <v>0</v>
      </c>
      <c r="F2873" s="27">
        <f>IF($B2873="","",IF($D2873&lt;&gt;"",$D2873,IFERROR(INDEX(PecPreco,MATCH($B2873,PecCod,0)),0)))</f>
        <v>0</v>
      </c>
      <c r="G2873" s="27">
        <f>IF(OR($B2873="",$C2873=""),"",$C2873*$F2873)</f>
        <v>0</v>
      </c>
      <c r="H2873" s="27">
        <f>IF(OR($B2873="",$C2873=""),"",$C2873*IFERROR(INDEX(PecCusto,MATCH($B2873,PecCod,0)),0))</f>
        <v>0</v>
      </c>
      <c r="I2873" s="32">
        <f>IF($A2873="","",IFERROR(INDEX(OSStatus,MATCH($A2873,OSNum,0)),"OS inexistente"))</f>
        <v>0</v>
      </c>
      <c r="J2873" s="32">
        <f>IF($A2873="","",IF($I2873="OS inexistente","OS inexistente",IF($E2873="Peça não cadastrada","Peça não cadastrada","OK")))</f>
        <v>0</v>
      </c>
    </row>
    <row r="2874" spans="1:10">
      <c r="A2874" s="17"/>
      <c r="B2874" s="13"/>
      <c r="C2874" s="20"/>
      <c r="D2874" s="19"/>
      <c r="E2874" s="26">
        <f>IF($B2874="","",IFERROR(INDEX(PecDesc,MATCH($B2874,PecCod,0)),"Peça não cadastrada"))</f>
        <v>0</v>
      </c>
      <c r="F2874" s="27">
        <f>IF($B2874="","",IF($D2874&lt;&gt;"",$D2874,IFERROR(INDEX(PecPreco,MATCH($B2874,PecCod,0)),0)))</f>
        <v>0</v>
      </c>
      <c r="G2874" s="27">
        <f>IF(OR($B2874="",$C2874=""),"",$C2874*$F2874)</f>
        <v>0</v>
      </c>
      <c r="H2874" s="27">
        <f>IF(OR($B2874="",$C2874=""),"",$C2874*IFERROR(INDEX(PecCusto,MATCH($B2874,PecCod,0)),0))</f>
        <v>0</v>
      </c>
      <c r="I2874" s="32">
        <f>IF($A2874="","",IFERROR(INDEX(OSStatus,MATCH($A2874,OSNum,0)),"OS inexistente"))</f>
        <v>0</v>
      </c>
      <c r="J2874" s="32">
        <f>IF($A2874="","",IF($I2874="OS inexistente","OS inexistente",IF($E2874="Peça não cadastrada","Peça não cadastrada","OK")))</f>
        <v>0</v>
      </c>
    </row>
    <row r="2875" spans="1:10">
      <c r="A2875" s="17"/>
      <c r="B2875" s="13"/>
      <c r="C2875" s="20"/>
      <c r="D2875" s="19"/>
      <c r="E2875" s="26">
        <f>IF($B2875="","",IFERROR(INDEX(PecDesc,MATCH($B2875,PecCod,0)),"Peça não cadastrada"))</f>
        <v>0</v>
      </c>
      <c r="F2875" s="27">
        <f>IF($B2875="","",IF($D2875&lt;&gt;"",$D2875,IFERROR(INDEX(PecPreco,MATCH($B2875,PecCod,0)),0)))</f>
        <v>0</v>
      </c>
      <c r="G2875" s="27">
        <f>IF(OR($B2875="",$C2875=""),"",$C2875*$F2875)</f>
        <v>0</v>
      </c>
      <c r="H2875" s="27">
        <f>IF(OR($B2875="",$C2875=""),"",$C2875*IFERROR(INDEX(PecCusto,MATCH($B2875,PecCod,0)),0))</f>
        <v>0</v>
      </c>
      <c r="I2875" s="32">
        <f>IF($A2875="","",IFERROR(INDEX(OSStatus,MATCH($A2875,OSNum,0)),"OS inexistente"))</f>
        <v>0</v>
      </c>
      <c r="J2875" s="32">
        <f>IF($A2875="","",IF($I2875="OS inexistente","OS inexistente",IF($E2875="Peça não cadastrada","Peça não cadastrada","OK")))</f>
        <v>0</v>
      </c>
    </row>
    <row r="2876" spans="1:10">
      <c r="A2876" s="17"/>
      <c r="B2876" s="13"/>
      <c r="C2876" s="20"/>
      <c r="D2876" s="19"/>
      <c r="E2876" s="26">
        <f>IF($B2876="","",IFERROR(INDEX(PecDesc,MATCH($B2876,PecCod,0)),"Peça não cadastrada"))</f>
        <v>0</v>
      </c>
      <c r="F2876" s="27">
        <f>IF($B2876="","",IF($D2876&lt;&gt;"",$D2876,IFERROR(INDEX(PecPreco,MATCH($B2876,PecCod,0)),0)))</f>
        <v>0</v>
      </c>
      <c r="G2876" s="27">
        <f>IF(OR($B2876="",$C2876=""),"",$C2876*$F2876)</f>
        <v>0</v>
      </c>
      <c r="H2876" s="27">
        <f>IF(OR($B2876="",$C2876=""),"",$C2876*IFERROR(INDEX(PecCusto,MATCH($B2876,PecCod,0)),0))</f>
        <v>0</v>
      </c>
      <c r="I2876" s="32">
        <f>IF($A2876="","",IFERROR(INDEX(OSStatus,MATCH($A2876,OSNum,0)),"OS inexistente"))</f>
        <v>0</v>
      </c>
      <c r="J2876" s="32">
        <f>IF($A2876="","",IF($I2876="OS inexistente","OS inexistente",IF($E2876="Peça não cadastrada","Peça não cadastrada","OK")))</f>
        <v>0</v>
      </c>
    </row>
    <row r="2877" spans="1:10">
      <c r="A2877" s="17"/>
      <c r="B2877" s="13"/>
      <c r="C2877" s="20"/>
      <c r="D2877" s="19"/>
      <c r="E2877" s="26">
        <f>IF($B2877="","",IFERROR(INDEX(PecDesc,MATCH($B2877,PecCod,0)),"Peça não cadastrada"))</f>
        <v>0</v>
      </c>
      <c r="F2877" s="27">
        <f>IF($B2877="","",IF($D2877&lt;&gt;"",$D2877,IFERROR(INDEX(PecPreco,MATCH($B2877,PecCod,0)),0)))</f>
        <v>0</v>
      </c>
      <c r="G2877" s="27">
        <f>IF(OR($B2877="",$C2877=""),"",$C2877*$F2877)</f>
        <v>0</v>
      </c>
      <c r="H2877" s="27">
        <f>IF(OR($B2877="",$C2877=""),"",$C2877*IFERROR(INDEX(PecCusto,MATCH($B2877,PecCod,0)),0))</f>
        <v>0</v>
      </c>
      <c r="I2877" s="32">
        <f>IF($A2877="","",IFERROR(INDEX(OSStatus,MATCH($A2877,OSNum,0)),"OS inexistente"))</f>
        <v>0</v>
      </c>
      <c r="J2877" s="32">
        <f>IF($A2877="","",IF($I2877="OS inexistente","OS inexistente",IF($E2877="Peça não cadastrada","Peça não cadastrada","OK")))</f>
        <v>0</v>
      </c>
    </row>
    <row r="2878" spans="1:10">
      <c r="A2878" s="17"/>
      <c r="B2878" s="13"/>
      <c r="C2878" s="20"/>
      <c r="D2878" s="19"/>
      <c r="E2878" s="26">
        <f>IF($B2878="","",IFERROR(INDEX(PecDesc,MATCH($B2878,PecCod,0)),"Peça não cadastrada"))</f>
        <v>0</v>
      </c>
      <c r="F2878" s="27">
        <f>IF($B2878="","",IF($D2878&lt;&gt;"",$D2878,IFERROR(INDEX(PecPreco,MATCH($B2878,PecCod,0)),0)))</f>
        <v>0</v>
      </c>
      <c r="G2878" s="27">
        <f>IF(OR($B2878="",$C2878=""),"",$C2878*$F2878)</f>
        <v>0</v>
      </c>
      <c r="H2878" s="27">
        <f>IF(OR($B2878="",$C2878=""),"",$C2878*IFERROR(INDEX(PecCusto,MATCH($B2878,PecCod,0)),0))</f>
        <v>0</v>
      </c>
      <c r="I2878" s="32">
        <f>IF($A2878="","",IFERROR(INDEX(OSStatus,MATCH($A2878,OSNum,0)),"OS inexistente"))</f>
        <v>0</v>
      </c>
      <c r="J2878" s="32">
        <f>IF($A2878="","",IF($I2878="OS inexistente","OS inexistente",IF($E2878="Peça não cadastrada","Peça não cadastrada","OK")))</f>
        <v>0</v>
      </c>
    </row>
    <row r="2879" spans="1:10">
      <c r="A2879" s="17"/>
      <c r="B2879" s="13"/>
      <c r="C2879" s="20"/>
      <c r="D2879" s="19"/>
      <c r="E2879" s="26">
        <f>IF($B2879="","",IFERROR(INDEX(PecDesc,MATCH($B2879,PecCod,0)),"Peça não cadastrada"))</f>
        <v>0</v>
      </c>
      <c r="F2879" s="27">
        <f>IF($B2879="","",IF($D2879&lt;&gt;"",$D2879,IFERROR(INDEX(PecPreco,MATCH($B2879,PecCod,0)),0)))</f>
        <v>0</v>
      </c>
      <c r="G2879" s="27">
        <f>IF(OR($B2879="",$C2879=""),"",$C2879*$F2879)</f>
        <v>0</v>
      </c>
      <c r="H2879" s="27">
        <f>IF(OR($B2879="",$C2879=""),"",$C2879*IFERROR(INDEX(PecCusto,MATCH($B2879,PecCod,0)),0))</f>
        <v>0</v>
      </c>
      <c r="I2879" s="32">
        <f>IF($A2879="","",IFERROR(INDEX(OSStatus,MATCH($A2879,OSNum,0)),"OS inexistente"))</f>
        <v>0</v>
      </c>
      <c r="J2879" s="32">
        <f>IF($A2879="","",IF($I2879="OS inexistente","OS inexistente",IF($E2879="Peça não cadastrada","Peça não cadastrada","OK")))</f>
        <v>0</v>
      </c>
    </row>
    <row r="2880" spans="1:10">
      <c r="A2880" s="17"/>
      <c r="B2880" s="13"/>
      <c r="C2880" s="20"/>
      <c r="D2880" s="19"/>
      <c r="E2880" s="26">
        <f>IF($B2880="","",IFERROR(INDEX(PecDesc,MATCH($B2880,PecCod,0)),"Peça não cadastrada"))</f>
        <v>0</v>
      </c>
      <c r="F2880" s="27">
        <f>IF($B2880="","",IF($D2880&lt;&gt;"",$D2880,IFERROR(INDEX(PecPreco,MATCH($B2880,PecCod,0)),0)))</f>
        <v>0</v>
      </c>
      <c r="G2880" s="27">
        <f>IF(OR($B2880="",$C2880=""),"",$C2880*$F2880)</f>
        <v>0</v>
      </c>
      <c r="H2880" s="27">
        <f>IF(OR($B2880="",$C2880=""),"",$C2880*IFERROR(INDEX(PecCusto,MATCH($B2880,PecCod,0)),0))</f>
        <v>0</v>
      </c>
      <c r="I2880" s="32">
        <f>IF($A2880="","",IFERROR(INDEX(OSStatus,MATCH($A2880,OSNum,0)),"OS inexistente"))</f>
        <v>0</v>
      </c>
      <c r="J2880" s="32">
        <f>IF($A2880="","",IF($I2880="OS inexistente","OS inexistente",IF($E2880="Peça não cadastrada","Peça não cadastrada","OK")))</f>
        <v>0</v>
      </c>
    </row>
    <row r="2881" spans="1:10">
      <c r="A2881" s="17"/>
      <c r="B2881" s="13"/>
      <c r="C2881" s="20"/>
      <c r="D2881" s="19"/>
      <c r="E2881" s="26">
        <f>IF($B2881="","",IFERROR(INDEX(PecDesc,MATCH($B2881,PecCod,0)),"Peça não cadastrada"))</f>
        <v>0</v>
      </c>
      <c r="F2881" s="27">
        <f>IF($B2881="","",IF($D2881&lt;&gt;"",$D2881,IFERROR(INDEX(PecPreco,MATCH($B2881,PecCod,0)),0)))</f>
        <v>0</v>
      </c>
      <c r="G2881" s="27">
        <f>IF(OR($B2881="",$C2881=""),"",$C2881*$F2881)</f>
        <v>0</v>
      </c>
      <c r="H2881" s="27">
        <f>IF(OR($B2881="",$C2881=""),"",$C2881*IFERROR(INDEX(PecCusto,MATCH($B2881,PecCod,0)),0))</f>
        <v>0</v>
      </c>
      <c r="I2881" s="32">
        <f>IF($A2881="","",IFERROR(INDEX(OSStatus,MATCH($A2881,OSNum,0)),"OS inexistente"))</f>
        <v>0</v>
      </c>
      <c r="J2881" s="32">
        <f>IF($A2881="","",IF($I2881="OS inexistente","OS inexistente",IF($E2881="Peça não cadastrada","Peça não cadastrada","OK")))</f>
        <v>0</v>
      </c>
    </row>
    <row r="2882" spans="1:10">
      <c r="A2882" s="17"/>
      <c r="B2882" s="13"/>
      <c r="C2882" s="20"/>
      <c r="D2882" s="19"/>
      <c r="E2882" s="26">
        <f>IF($B2882="","",IFERROR(INDEX(PecDesc,MATCH($B2882,PecCod,0)),"Peça não cadastrada"))</f>
        <v>0</v>
      </c>
      <c r="F2882" s="27">
        <f>IF($B2882="","",IF($D2882&lt;&gt;"",$D2882,IFERROR(INDEX(PecPreco,MATCH($B2882,PecCod,0)),0)))</f>
        <v>0</v>
      </c>
      <c r="G2882" s="27">
        <f>IF(OR($B2882="",$C2882=""),"",$C2882*$F2882)</f>
        <v>0</v>
      </c>
      <c r="H2882" s="27">
        <f>IF(OR($B2882="",$C2882=""),"",$C2882*IFERROR(INDEX(PecCusto,MATCH($B2882,PecCod,0)),0))</f>
        <v>0</v>
      </c>
      <c r="I2882" s="32">
        <f>IF($A2882="","",IFERROR(INDEX(OSStatus,MATCH($A2882,OSNum,0)),"OS inexistente"))</f>
        <v>0</v>
      </c>
      <c r="J2882" s="32">
        <f>IF($A2882="","",IF($I2882="OS inexistente","OS inexistente",IF($E2882="Peça não cadastrada","Peça não cadastrada","OK")))</f>
        <v>0</v>
      </c>
    </row>
    <row r="2883" spans="1:10">
      <c r="A2883" s="17"/>
      <c r="B2883" s="13"/>
      <c r="C2883" s="20"/>
      <c r="D2883" s="19"/>
      <c r="E2883" s="26">
        <f>IF($B2883="","",IFERROR(INDEX(PecDesc,MATCH($B2883,PecCod,0)),"Peça não cadastrada"))</f>
        <v>0</v>
      </c>
      <c r="F2883" s="27">
        <f>IF($B2883="","",IF($D2883&lt;&gt;"",$D2883,IFERROR(INDEX(PecPreco,MATCH($B2883,PecCod,0)),0)))</f>
        <v>0</v>
      </c>
      <c r="G2883" s="27">
        <f>IF(OR($B2883="",$C2883=""),"",$C2883*$F2883)</f>
        <v>0</v>
      </c>
      <c r="H2883" s="27">
        <f>IF(OR($B2883="",$C2883=""),"",$C2883*IFERROR(INDEX(PecCusto,MATCH($B2883,PecCod,0)),0))</f>
        <v>0</v>
      </c>
      <c r="I2883" s="32">
        <f>IF($A2883="","",IFERROR(INDEX(OSStatus,MATCH($A2883,OSNum,0)),"OS inexistente"))</f>
        <v>0</v>
      </c>
      <c r="J2883" s="32">
        <f>IF($A2883="","",IF($I2883="OS inexistente","OS inexistente",IF($E2883="Peça não cadastrada","Peça não cadastrada","OK")))</f>
        <v>0</v>
      </c>
    </row>
    <row r="2884" spans="1:10">
      <c r="A2884" s="17"/>
      <c r="B2884" s="13"/>
      <c r="C2884" s="20"/>
      <c r="D2884" s="19"/>
      <c r="E2884" s="26">
        <f>IF($B2884="","",IFERROR(INDEX(PecDesc,MATCH($B2884,PecCod,0)),"Peça não cadastrada"))</f>
        <v>0</v>
      </c>
      <c r="F2884" s="27">
        <f>IF($B2884="","",IF($D2884&lt;&gt;"",$D2884,IFERROR(INDEX(PecPreco,MATCH($B2884,PecCod,0)),0)))</f>
        <v>0</v>
      </c>
      <c r="G2884" s="27">
        <f>IF(OR($B2884="",$C2884=""),"",$C2884*$F2884)</f>
        <v>0</v>
      </c>
      <c r="H2884" s="27">
        <f>IF(OR($B2884="",$C2884=""),"",$C2884*IFERROR(INDEX(PecCusto,MATCH($B2884,PecCod,0)),0))</f>
        <v>0</v>
      </c>
      <c r="I2884" s="32">
        <f>IF($A2884="","",IFERROR(INDEX(OSStatus,MATCH($A2884,OSNum,0)),"OS inexistente"))</f>
        <v>0</v>
      </c>
      <c r="J2884" s="32">
        <f>IF($A2884="","",IF($I2884="OS inexistente","OS inexistente",IF($E2884="Peça não cadastrada","Peça não cadastrada","OK")))</f>
        <v>0</v>
      </c>
    </row>
    <row r="2885" spans="1:10">
      <c r="A2885" s="17"/>
      <c r="B2885" s="13"/>
      <c r="C2885" s="20"/>
      <c r="D2885" s="19"/>
      <c r="E2885" s="26">
        <f>IF($B2885="","",IFERROR(INDEX(PecDesc,MATCH($B2885,PecCod,0)),"Peça não cadastrada"))</f>
        <v>0</v>
      </c>
      <c r="F2885" s="27">
        <f>IF($B2885="","",IF($D2885&lt;&gt;"",$D2885,IFERROR(INDEX(PecPreco,MATCH($B2885,PecCod,0)),0)))</f>
        <v>0</v>
      </c>
      <c r="G2885" s="27">
        <f>IF(OR($B2885="",$C2885=""),"",$C2885*$F2885)</f>
        <v>0</v>
      </c>
      <c r="H2885" s="27">
        <f>IF(OR($B2885="",$C2885=""),"",$C2885*IFERROR(INDEX(PecCusto,MATCH($B2885,PecCod,0)),0))</f>
        <v>0</v>
      </c>
      <c r="I2885" s="32">
        <f>IF($A2885="","",IFERROR(INDEX(OSStatus,MATCH($A2885,OSNum,0)),"OS inexistente"))</f>
        <v>0</v>
      </c>
      <c r="J2885" s="32">
        <f>IF($A2885="","",IF($I2885="OS inexistente","OS inexistente",IF($E2885="Peça não cadastrada","Peça não cadastrada","OK")))</f>
        <v>0</v>
      </c>
    </row>
    <row r="2886" spans="1:10">
      <c r="A2886" s="17"/>
      <c r="B2886" s="13"/>
      <c r="C2886" s="20"/>
      <c r="D2886" s="19"/>
      <c r="E2886" s="26">
        <f>IF($B2886="","",IFERROR(INDEX(PecDesc,MATCH($B2886,PecCod,0)),"Peça não cadastrada"))</f>
        <v>0</v>
      </c>
      <c r="F2886" s="27">
        <f>IF($B2886="","",IF($D2886&lt;&gt;"",$D2886,IFERROR(INDEX(PecPreco,MATCH($B2886,PecCod,0)),0)))</f>
        <v>0</v>
      </c>
      <c r="G2886" s="27">
        <f>IF(OR($B2886="",$C2886=""),"",$C2886*$F2886)</f>
        <v>0</v>
      </c>
      <c r="H2886" s="27">
        <f>IF(OR($B2886="",$C2886=""),"",$C2886*IFERROR(INDEX(PecCusto,MATCH($B2886,PecCod,0)),0))</f>
        <v>0</v>
      </c>
      <c r="I2886" s="32">
        <f>IF($A2886="","",IFERROR(INDEX(OSStatus,MATCH($A2886,OSNum,0)),"OS inexistente"))</f>
        <v>0</v>
      </c>
      <c r="J2886" s="32">
        <f>IF($A2886="","",IF($I2886="OS inexistente","OS inexistente",IF($E2886="Peça não cadastrada","Peça não cadastrada","OK")))</f>
        <v>0</v>
      </c>
    </row>
    <row r="2887" spans="1:10">
      <c r="A2887" s="17"/>
      <c r="B2887" s="13"/>
      <c r="C2887" s="20"/>
      <c r="D2887" s="19"/>
      <c r="E2887" s="26">
        <f>IF($B2887="","",IFERROR(INDEX(PecDesc,MATCH($B2887,PecCod,0)),"Peça não cadastrada"))</f>
        <v>0</v>
      </c>
      <c r="F2887" s="27">
        <f>IF($B2887="","",IF($D2887&lt;&gt;"",$D2887,IFERROR(INDEX(PecPreco,MATCH($B2887,PecCod,0)),0)))</f>
        <v>0</v>
      </c>
      <c r="G2887" s="27">
        <f>IF(OR($B2887="",$C2887=""),"",$C2887*$F2887)</f>
        <v>0</v>
      </c>
      <c r="H2887" s="27">
        <f>IF(OR($B2887="",$C2887=""),"",$C2887*IFERROR(INDEX(PecCusto,MATCH($B2887,PecCod,0)),0))</f>
        <v>0</v>
      </c>
      <c r="I2887" s="32">
        <f>IF($A2887="","",IFERROR(INDEX(OSStatus,MATCH($A2887,OSNum,0)),"OS inexistente"))</f>
        <v>0</v>
      </c>
      <c r="J2887" s="32">
        <f>IF($A2887="","",IF($I2887="OS inexistente","OS inexistente",IF($E2887="Peça não cadastrada","Peça não cadastrada","OK")))</f>
        <v>0</v>
      </c>
    </row>
    <row r="2888" spans="1:10">
      <c r="A2888" s="17"/>
      <c r="B2888" s="13"/>
      <c r="C2888" s="20"/>
      <c r="D2888" s="19"/>
      <c r="E2888" s="26">
        <f>IF($B2888="","",IFERROR(INDEX(PecDesc,MATCH($B2888,PecCod,0)),"Peça não cadastrada"))</f>
        <v>0</v>
      </c>
      <c r="F2888" s="27">
        <f>IF($B2888="","",IF($D2888&lt;&gt;"",$D2888,IFERROR(INDEX(PecPreco,MATCH($B2888,PecCod,0)),0)))</f>
        <v>0</v>
      </c>
      <c r="G2888" s="27">
        <f>IF(OR($B2888="",$C2888=""),"",$C2888*$F2888)</f>
        <v>0</v>
      </c>
      <c r="H2888" s="27">
        <f>IF(OR($B2888="",$C2888=""),"",$C2888*IFERROR(INDEX(PecCusto,MATCH($B2888,PecCod,0)),0))</f>
        <v>0</v>
      </c>
      <c r="I2888" s="32">
        <f>IF($A2888="","",IFERROR(INDEX(OSStatus,MATCH($A2888,OSNum,0)),"OS inexistente"))</f>
        <v>0</v>
      </c>
      <c r="J2888" s="32">
        <f>IF($A2888="","",IF($I2888="OS inexistente","OS inexistente",IF($E2888="Peça não cadastrada","Peça não cadastrada","OK")))</f>
        <v>0</v>
      </c>
    </row>
    <row r="2889" spans="1:10">
      <c r="A2889" s="17"/>
      <c r="B2889" s="13"/>
      <c r="C2889" s="20"/>
      <c r="D2889" s="19"/>
      <c r="E2889" s="26">
        <f>IF($B2889="","",IFERROR(INDEX(PecDesc,MATCH($B2889,PecCod,0)),"Peça não cadastrada"))</f>
        <v>0</v>
      </c>
      <c r="F2889" s="27">
        <f>IF($B2889="","",IF($D2889&lt;&gt;"",$D2889,IFERROR(INDEX(PecPreco,MATCH($B2889,PecCod,0)),0)))</f>
        <v>0</v>
      </c>
      <c r="G2889" s="27">
        <f>IF(OR($B2889="",$C2889=""),"",$C2889*$F2889)</f>
        <v>0</v>
      </c>
      <c r="H2889" s="27">
        <f>IF(OR($B2889="",$C2889=""),"",$C2889*IFERROR(INDEX(PecCusto,MATCH($B2889,PecCod,0)),0))</f>
        <v>0</v>
      </c>
      <c r="I2889" s="32">
        <f>IF($A2889="","",IFERROR(INDEX(OSStatus,MATCH($A2889,OSNum,0)),"OS inexistente"))</f>
        <v>0</v>
      </c>
      <c r="J2889" s="32">
        <f>IF($A2889="","",IF($I2889="OS inexistente","OS inexistente",IF($E2889="Peça não cadastrada","Peça não cadastrada","OK")))</f>
        <v>0</v>
      </c>
    </row>
    <row r="2890" spans="1:10">
      <c r="A2890" s="17"/>
      <c r="B2890" s="13"/>
      <c r="C2890" s="20"/>
      <c r="D2890" s="19"/>
      <c r="E2890" s="26">
        <f>IF($B2890="","",IFERROR(INDEX(PecDesc,MATCH($B2890,PecCod,0)),"Peça não cadastrada"))</f>
        <v>0</v>
      </c>
      <c r="F2890" s="27">
        <f>IF($B2890="","",IF($D2890&lt;&gt;"",$D2890,IFERROR(INDEX(PecPreco,MATCH($B2890,PecCod,0)),0)))</f>
        <v>0</v>
      </c>
      <c r="G2890" s="27">
        <f>IF(OR($B2890="",$C2890=""),"",$C2890*$F2890)</f>
        <v>0</v>
      </c>
      <c r="H2890" s="27">
        <f>IF(OR($B2890="",$C2890=""),"",$C2890*IFERROR(INDEX(PecCusto,MATCH($B2890,PecCod,0)),0))</f>
        <v>0</v>
      </c>
      <c r="I2890" s="32">
        <f>IF($A2890="","",IFERROR(INDEX(OSStatus,MATCH($A2890,OSNum,0)),"OS inexistente"))</f>
        <v>0</v>
      </c>
      <c r="J2890" s="32">
        <f>IF($A2890="","",IF($I2890="OS inexistente","OS inexistente",IF($E2890="Peça não cadastrada","Peça não cadastrada","OK")))</f>
        <v>0</v>
      </c>
    </row>
    <row r="2891" spans="1:10">
      <c r="A2891" s="17"/>
      <c r="B2891" s="13"/>
      <c r="C2891" s="20"/>
      <c r="D2891" s="19"/>
      <c r="E2891" s="26">
        <f>IF($B2891="","",IFERROR(INDEX(PecDesc,MATCH($B2891,PecCod,0)),"Peça não cadastrada"))</f>
        <v>0</v>
      </c>
      <c r="F2891" s="27">
        <f>IF($B2891="","",IF($D2891&lt;&gt;"",$D2891,IFERROR(INDEX(PecPreco,MATCH($B2891,PecCod,0)),0)))</f>
        <v>0</v>
      </c>
      <c r="G2891" s="27">
        <f>IF(OR($B2891="",$C2891=""),"",$C2891*$F2891)</f>
        <v>0</v>
      </c>
      <c r="H2891" s="27">
        <f>IF(OR($B2891="",$C2891=""),"",$C2891*IFERROR(INDEX(PecCusto,MATCH($B2891,PecCod,0)),0))</f>
        <v>0</v>
      </c>
      <c r="I2891" s="32">
        <f>IF($A2891="","",IFERROR(INDEX(OSStatus,MATCH($A2891,OSNum,0)),"OS inexistente"))</f>
        <v>0</v>
      </c>
      <c r="J2891" s="32">
        <f>IF($A2891="","",IF($I2891="OS inexistente","OS inexistente",IF($E2891="Peça não cadastrada","Peça não cadastrada","OK")))</f>
        <v>0</v>
      </c>
    </row>
    <row r="2892" spans="1:10">
      <c r="A2892" s="17"/>
      <c r="B2892" s="13"/>
      <c r="C2892" s="20"/>
      <c r="D2892" s="19"/>
      <c r="E2892" s="26">
        <f>IF($B2892="","",IFERROR(INDEX(PecDesc,MATCH($B2892,PecCod,0)),"Peça não cadastrada"))</f>
        <v>0</v>
      </c>
      <c r="F2892" s="27">
        <f>IF($B2892="","",IF($D2892&lt;&gt;"",$D2892,IFERROR(INDEX(PecPreco,MATCH($B2892,PecCod,0)),0)))</f>
        <v>0</v>
      </c>
      <c r="G2892" s="27">
        <f>IF(OR($B2892="",$C2892=""),"",$C2892*$F2892)</f>
        <v>0</v>
      </c>
      <c r="H2892" s="27">
        <f>IF(OR($B2892="",$C2892=""),"",$C2892*IFERROR(INDEX(PecCusto,MATCH($B2892,PecCod,0)),0))</f>
        <v>0</v>
      </c>
      <c r="I2892" s="32">
        <f>IF($A2892="","",IFERROR(INDEX(OSStatus,MATCH($A2892,OSNum,0)),"OS inexistente"))</f>
        <v>0</v>
      </c>
      <c r="J2892" s="32">
        <f>IF($A2892="","",IF($I2892="OS inexistente","OS inexistente",IF($E2892="Peça não cadastrada","Peça não cadastrada","OK")))</f>
        <v>0</v>
      </c>
    </row>
    <row r="2893" spans="1:10">
      <c r="A2893" s="17"/>
      <c r="B2893" s="13"/>
      <c r="C2893" s="20"/>
      <c r="D2893" s="19"/>
      <c r="E2893" s="26">
        <f>IF($B2893="","",IFERROR(INDEX(PecDesc,MATCH($B2893,PecCod,0)),"Peça não cadastrada"))</f>
        <v>0</v>
      </c>
      <c r="F2893" s="27">
        <f>IF($B2893="","",IF($D2893&lt;&gt;"",$D2893,IFERROR(INDEX(PecPreco,MATCH($B2893,PecCod,0)),0)))</f>
        <v>0</v>
      </c>
      <c r="G2893" s="27">
        <f>IF(OR($B2893="",$C2893=""),"",$C2893*$F2893)</f>
        <v>0</v>
      </c>
      <c r="H2893" s="27">
        <f>IF(OR($B2893="",$C2893=""),"",$C2893*IFERROR(INDEX(PecCusto,MATCH($B2893,PecCod,0)),0))</f>
        <v>0</v>
      </c>
      <c r="I2893" s="32">
        <f>IF($A2893="","",IFERROR(INDEX(OSStatus,MATCH($A2893,OSNum,0)),"OS inexistente"))</f>
        <v>0</v>
      </c>
      <c r="J2893" s="32">
        <f>IF($A2893="","",IF($I2893="OS inexistente","OS inexistente",IF($E2893="Peça não cadastrada","Peça não cadastrada","OK")))</f>
        <v>0</v>
      </c>
    </row>
    <row r="2894" spans="1:10">
      <c r="A2894" s="17"/>
      <c r="B2894" s="13"/>
      <c r="C2894" s="20"/>
      <c r="D2894" s="19"/>
      <c r="E2894" s="26">
        <f>IF($B2894="","",IFERROR(INDEX(PecDesc,MATCH($B2894,PecCod,0)),"Peça não cadastrada"))</f>
        <v>0</v>
      </c>
      <c r="F2894" s="27">
        <f>IF($B2894="","",IF($D2894&lt;&gt;"",$D2894,IFERROR(INDEX(PecPreco,MATCH($B2894,PecCod,0)),0)))</f>
        <v>0</v>
      </c>
      <c r="G2894" s="27">
        <f>IF(OR($B2894="",$C2894=""),"",$C2894*$F2894)</f>
        <v>0</v>
      </c>
      <c r="H2894" s="27">
        <f>IF(OR($B2894="",$C2894=""),"",$C2894*IFERROR(INDEX(PecCusto,MATCH($B2894,PecCod,0)),0))</f>
        <v>0</v>
      </c>
      <c r="I2894" s="32">
        <f>IF($A2894="","",IFERROR(INDEX(OSStatus,MATCH($A2894,OSNum,0)),"OS inexistente"))</f>
        <v>0</v>
      </c>
      <c r="J2894" s="32">
        <f>IF($A2894="","",IF($I2894="OS inexistente","OS inexistente",IF($E2894="Peça não cadastrada","Peça não cadastrada","OK")))</f>
        <v>0</v>
      </c>
    </row>
    <row r="2895" spans="1:10">
      <c r="A2895" s="17"/>
      <c r="B2895" s="13"/>
      <c r="C2895" s="20"/>
      <c r="D2895" s="19"/>
      <c r="E2895" s="26">
        <f>IF($B2895="","",IFERROR(INDEX(PecDesc,MATCH($B2895,PecCod,0)),"Peça não cadastrada"))</f>
        <v>0</v>
      </c>
      <c r="F2895" s="27">
        <f>IF($B2895="","",IF($D2895&lt;&gt;"",$D2895,IFERROR(INDEX(PecPreco,MATCH($B2895,PecCod,0)),0)))</f>
        <v>0</v>
      </c>
      <c r="G2895" s="27">
        <f>IF(OR($B2895="",$C2895=""),"",$C2895*$F2895)</f>
        <v>0</v>
      </c>
      <c r="H2895" s="27">
        <f>IF(OR($B2895="",$C2895=""),"",$C2895*IFERROR(INDEX(PecCusto,MATCH($B2895,PecCod,0)),0))</f>
        <v>0</v>
      </c>
      <c r="I2895" s="32">
        <f>IF($A2895="","",IFERROR(INDEX(OSStatus,MATCH($A2895,OSNum,0)),"OS inexistente"))</f>
        <v>0</v>
      </c>
      <c r="J2895" s="32">
        <f>IF($A2895="","",IF($I2895="OS inexistente","OS inexistente",IF($E2895="Peça não cadastrada","Peça não cadastrada","OK")))</f>
        <v>0</v>
      </c>
    </row>
    <row r="2896" spans="1:10">
      <c r="A2896" s="17"/>
      <c r="B2896" s="13"/>
      <c r="C2896" s="20"/>
      <c r="D2896" s="19"/>
      <c r="E2896" s="26">
        <f>IF($B2896="","",IFERROR(INDEX(PecDesc,MATCH($B2896,PecCod,0)),"Peça não cadastrada"))</f>
        <v>0</v>
      </c>
      <c r="F2896" s="27">
        <f>IF($B2896="","",IF($D2896&lt;&gt;"",$D2896,IFERROR(INDEX(PecPreco,MATCH($B2896,PecCod,0)),0)))</f>
        <v>0</v>
      </c>
      <c r="G2896" s="27">
        <f>IF(OR($B2896="",$C2896=""),"",$C2896*$F2896)</f>
        <v>0</v>
      </c>
      <c r="H2896" s="27">
        <f>IF(OR($B2896="",$C2896=""),"",$C2896*IFERROR(INDEX(PecCusto,MATCH($B2896,PecCod,0)),0))</f>
        <v>0</v>
      </c>
      <c r="I2896" s="32">
        <f>IF($A2896="","",IFERROR(INDEX(OSStatus,MATCH($A2896,OSNum,0)),"OS inexistente"))</f>
        <v>0</v>
      </c>
      <c r="J2896" s="32">
        <f>IF($A2896="","",IF($I2896="OS inexistente","OS inexistente",IF($E2896="Peça não cadastrada","Peça não cadastrada","OK")))</f>
        <v>0</v>
      </c>
    </row>
    <row r="2897" spans="1:10">
      <c r="A2897" s="17"/>
      <c r="B2897" s="13"/>
      <c r="C2897" s="20"/>
      <c r="D2897" s="19"/>
      <c r="E2897" s="26">
        <f>IF($B2897="","",IFERROR(INDEX(PecDesc,MATCH($B2897,PecCod,0)),"Peça não cadastrada"))</f>
        <v>0</v>
      </c>
      <c r="F2897" s="27">
        <f>IF($B2897="","",IF($D2897&lt;&gt;"",$D2897,IFERROR(INDEX(PecPreco,MATCH($B2897,PecCod,0)),0)))</f>
        <v>0</v>
      </c>
      <c r="G2897" s="27">
        <f>IF(OR($B2897="",$C2897=""),"",$C2897*$F2897)</f>
        <v>0</v>
      </c>
      <c r="H2897" s="27">
        <f>IF(OR($B2897="",$C2897=""),"",$C2897*IFERROR(INDEX(PecCusto,MATCH($B2897,PecCod,0)),0))</f>
        <v>0</v>
      </c>
      <c r="I2897" s="32">
        <f>IF($A2897="","",IFERROR(INDEX(OSStatus,MATCH($A2897,OSNum,0)),"OS inexistente"))</f>
        <v>0</v>
      </c>
      <c r="J2897" s="32">
        <f>IF($A2897="","",IF($I2897="OS inexistente","OS inexistente",IF($E2897="Peça não cadastrada","Peça não cadastrada","OK")))</f>
        <v>0</v>
      </c>
    </row>
    <row r="2898" spans="1:10">
      <c r="A2898" s="17"/>
      <c r="B2898" s="13"/>
      <c r="C2898" s="20"/>
      <c r="D2898" s="19"/>
      <c r="E2898" s="26">
        <f>IF($B2898="","",IFERROR(INDEX(PecDesc,MATCH($B2898,PecCod,0)),"Peça não cadastrada"))</f>
        <v>0</v>
      </c>
      <c r="F2898" s="27">
        <f>IF($B2898="","",IF($D2898&lt;&gt;"",$D2898,IFERROR(INDEX(PecPreco,MATCH($B2898,PecCod,0)),0)))</f>
        <v>0</v>
      </c>
      <c r="G2898" s="27">
        <f>IF(OR($B2898="",$C2898=""),"",$C2898*$F2898)</f>
        <v>0</v>
      </c>
      <c r="H2898" s="27">
        <f>IF(OR($B2898="",$C2898=""),"",$C2898*IFERROR(INDEX(PecCusto,MATCH($B2898,PecCod,0)),0))</f>
        <v>0</v>
      </c>
      <c r="I2898" s="32">
        <f>IF($A2898="","",IFERROR(INDEX(OSStatus,MATCH($A2898,OSNum,0)),"OS inexistente"))</f>
        <v>0</v>
      </c>
      <c r="J2898" s="32">
        <f>IF($A2898="","",IF($I2898="OS inexistente","OS inexistente",IF($E2898="Peça não cadastrada","Peça não cadastrada","OK")))</f>
        <v>0</v>
      </c>
    </row>
    <row r="2899" spans="1:10">
      <c r="A2899" s="17"/>
      <c r="B2899" s="13"/>
      <c r="C2899" s="20"/>
      <c r="D2899" s="19"/>
      <c r="E2899" s="26">
        <f>IF($B2899="","",IFERROR(INDEX(PecDesc,MATCH($B2899,PecCod,0)),"Peça não cadastrada"))</f>
        <v>0</v>
      </c>
      <c r="F2899" s="27">
        <f>IF($B2899="","",IF($D2899&lt;&gt;"",$D2899,IFERROR(INDEX(PecPreco,MATCH($B2899,PecCod,0)),0)))</f>
        <v>0</v>
      </c>
      <c r="G2899" s="27">
        <f>IF(OR($B2899="",$C2899=""),"",$C2899*$F2899)</f>
        <v>0</v>
      </c>
      <c r="H2899" s="27">
        <f>IF(OR($B2899="",$C2899=""),"",$C2899*IFERROR(INDEX(PecCusto,MATCH($B2899,PecCod,0)),0))</f>
        <v>0</v>
      </c>
      <c r="I2899" s="32">
        <f>IF($A2899="","",IFERROR(INDEX(OSStatus,MATCH($A2899,OSNum,0)),"OS inexistente"))</f>
        <v>0</v>
      </c>
      <c r="J2899" s="32">
        <f>IF($A2899="","",IF($I2899="OS inexistente","OS inexistente",IF($E2899="Peça não cadastrada","Peça não cadastrada","OK")))</f>
        <v>0</v>
      </c>
    </row>
    <row r="2900" spans="1:10">
      <c r="A2900" s="17"/>
      <c r="B2900" s="13"/>
      <c r="C2900" s="20"/>
      <c r="D2900" s="19"/>
      <c r="E2900" s="26">
        <f>IF($B2900="","",IFERROR(INDEX(PecDesc,MATCH($B2900,PecCod,0)),"Peça não cadastrada"))</f>
        <v>0</v>
      </c>
      <c r="F2900" s="27">
        <f>IF($B2900="","",IF($D2900&lt;&gt;"",$D2900,IFERROR(INDEX(PecPreco,MATCH($B2900,PecCod,0)),0)))</f>
        <v>0</v>
      </c>
      <c r="G2900" s="27">
        <f>IF(OR($B2900="",$C2900=""),"",$C2900*$F2900)</f>
        <v>0</v>
      </c>
      <c r="H2900" s="27">
        <f>IF(OR($B2900="",$C2900=""),"",$C2900*IFERROR(INDEX(PecCusto,MATCH($B2900,PecCod,0)),0))</f>
        <v>0</v>
      </c>
      <c r="I2900" s="32">
        <f>IF($A2900="","",IFERROR(INDEX(OSStatus,MATCH($A2900,OSNum,0)),"OS inexistente"))</f>
        <v>0</v>
      </c>
      <c r="J2900" s="32">
        <f>IF($A2900="","",IF($I2900="OS inexistente","OS inexistente",IF($E2900="Peça não cadastrada","Peça não cadastrada","OK")))</f>
        <v>0</v>
      </c>
    </row>
    <row r="2901" spans="1:10">
      <c r="A2901" s="17"/>
      <c r="B2901" s="13"/>
      <c r="C2901" s="20"/>
      <c r="D2901" s="19"/>
      <c r="E2901" s="26">
        <f>IF($B2901="","",IFERROR(INDEX(PecDesc,MATCH($B2901,PecCod,0)),"Peça não cadastrada"))</f>
        <v>0</v>
      </c>
      <c r="F2901" s="27">
        <f>IF($B2901="","",IF($D2901&lt;&gt;"",$D2901,IFERROR(INDEX(PecPreco,MATCH($B2901,PecCod,0)),0)))</f>
        <v>0</v>
      </c>
      <c r="G2901" s="27">
        <f>IF(OR($B2901="",$C2901=""),"",$C2901*$F2901)</f>
        <v>0</v>
      </c>
      <c r="H2901" s="27">
        <f>IF(OR($B2901="",$C2901=""),"",$C2901*IFERROR(INDEX(PecCusto,MATCH($B2901,PecCod,0)),0))</f>
        <v>0</v>
      </c>
      <c r="I2901" s="32">
        <f>IF($A2901="","",IFERROR(INDEX(OSStatus,MATCH($A2901,OSNum,0)),"OS inexistente"))</f>
        <v>0</v>
      </c>
      <c r="J2901" s="32">
        <f>IF($A2901="","",IF($I2901="OS inexistente","OS inexistente",IF($E2901="Peça não cadastrada","Peça não cadastrada","OK")))</f>
        <v>0</v>
      </c>
    </row>
    <row r="2902" spans="1:10">
      <c r="A2902" s="17"/>
      <c r="B2902" s="13"/>
      <c r="C2902" s="20"/>
      <c r="D2902" s="19"/>
      <c r="E2902" s="26">
        <f>IF($B2902="","",IFERROR(INDEX(PecDesc,MATCH($B2902,PecCod,0)),"Peça não cadastrada"))</f>
        <v>0</v>
      </c>
      <c r="F2902" s="27">
        <f>IF($B2902="","",IF($D2902&lt;&gt;"",$D2902,IFERROR(INDEX(PecPreco,MATCH($B2902,PecCod,0)),0)))</f>
        <v>0</v>
      </c>
      <c r="G2902" s="27">
        <f>IF(OR($B2902="",$C2902=""),"",$C2902*$F2902)</f>
        <v>0</v>
      </c>
      <c r="H2902" s="27">
        <f>IF(OR($B2902="",$C2902=""),"",$C2902*IFERROR(INDEX(PecCusto,MATCH($B2902,PecCod,0)),0))</f>
        <v>0</v>
      </c>
      <c r="I2902" s="32">
        <f>IF($A2902="","",IFERROR(INDEX(OSStatus,MATCH($A2902,OSNum,0)),"OS inexistente"))</f>
        <v>0</v>
      </c>
      <c r="J2902" s="32">
        <f>IF($A2902="","",IF($I2902="OS inexistente","OS inexistente",IF($E2902="Peça não cadastrada","Peça não cadastrada","OK")))</f>
        <v>0</v>
      </c>
    </row>
    <row r="2903" spans="1:10">
      <c r="A2903" s="17"/>
      <c r="B2903" s="13"/>
      <c r="C2903" s="20"/>
      <c r="D2903" s="19"/>
      <c r="E2903" s="26">
        <f>IF($B2903="","",IFERROR(INDEX(PecDesc,MATCH($B2903,PecCod,0)),"Peça não cadastrada"))</f>
        <v>0</v>
      </c>
      <c r="F2903" s="27">
        <f>IF($B2903="","",IF($D2903&lt;&gt;"",$D2903,IFERROR(INDEX(PecPreco,MATCH($B2903,PecCod,0)),0)))</f>
        <v>0</v>
      </c>
      <c r="G2903" s="27">
        <f>IF(OR($B2903="",$C2903=""),"",$C2903*$F2903)</f>
        <v>0</v>
      </c>
      <c r="H2903" s="27">
        <f>IF(OR($B2903="",$C2903=""),"",$C2903*IFERROR(INDEX(PecCusto,MATCH($B2903,PecCod,0)),0))</f>
        <v>0</v>
      </c>
      <c r="I2903" s="32">
        <f>IF($A2903="","",IFERROR(INDEX(OSStatus,MATCH($A2903,OSNum,0)),"OS inexistente"))</f>
        <v>0</v>
      </c>
      <c r="J2903" s="32">
        <f>IF($A2903="","",IF($I2903="OS inexistente","OS inexistente",IF($E2903="Peça não cadastrada","Peça não cadastrada","OK")))</f>
        <v>0</v>
      </c>
    </row>
    <row r="2904" spans="1:10">
      <c r="A2904" s="17"/>
      <c r="B2904" s="13"/>
      <c r="C2904" s="20"/>
      <c r="D2904" s="19"/>
      <c r="E2904" s="26">
        <f>IF($B2904="","",IFERROR(INDEX(PecDesc,MATCH($B2904,PecCod,0)),"Peça não cadastrada"))</f>
        <v>0</v>
      </c>
      <c r="F2904" s="27">
        <f>IF($B2904="","",IF($D2904&lt;&gt;"",$D2904,IFERROR(INDEX(PecPreco,MATCH($B2904,PecCod,0)),0)))</f>
        <v>0</v>
      </c>
      <c r="G2904" s="27">
        <f>IF(OR($B2904="",$C2904=""),"",$C2904*$F2904)</f>
        <v>0</v>
      </c>
      <c r="H2904" s="27">
        <f>IF(OR($B2904="",$C2904=""),"",$C2904*IFERROR(INDEX(PecCusto,MATCH($B2904,PecCod,0)),0))</f>
        <v>0</v>
      </c>
      <c r="I2904" s="32">
        <f>IF($A2904="","",IFERROR(INDEX(OSStatus,MATCH($A2904,OSNum,0)),"OS inexistente"))</f>
        <v>0</v>
      </c>
      <c r="J2904" s="32">
        <f>IF($A2904="","",IF($I2904="OS inexistente","OS inexistente",IF($E2904="Peça não cadastrada","Peça não cadastrada","OK")))</f>
        <v>0</v>
      </c>
    </row>
    <row r="2905" spans="1:10">
      <c r="A2905" s="17"/>
      <c r="B2905" s="13"/>
      <c r="C2905" s="20"/>
      <c r="D2905" s="19"/>
      <c r="E2905" s="26">
        <f>IF($B2905="","",IFERROR(INDEX(PecDesc,MATCH($B2905,PecCod,0)),"Peça não cadastrada"))</f>
        <v>0</v>
      </c>
      <c r="F2905" s="27">
        <f>IF($B2905="","",IF($D2905&lt;&gt;"",$D2905,IFERROR(INDEX(PecPreco,MATCH($B2905,PecCod,0)),0)))</f>
        <v>0</v>
      </c>
      <c r="G2905" s="27">
        <f>IF(OR($B2905="",$C2905=""),"",$C2905*$F2905)</f>
        <v>0</v>
      </c>
      <c r="H2905" s="27">
        <f>IF(OR($B2905="",$C2905=""),"",$C2905*IFERROR(INDEX(PecCusto,MATCH($B2905,PecCod,0)),0))</f>
        <v>0</v>
      </c>
      <c r="I2905" s="32">
        <f>IF($A2905="","",IFERROR(INDEX(OSStatus,MATCH($A2905,OSNum,0)),"OS inexistente"))</f>
        <v>0</v>
      </c>
      <c r="J2905" s="32">
        <f>IF($A2905="","",IF($I2905="OS inexistente","OS inexistente",IF($E2905="Peça não cadastrada","Peça não cadastrada","OK")))</f>
        <v>0</v>
      </c>
    </row>
    <row r="2906" spans="1:10">
      <c r="A2906" s="17"/>
      <c r="B2906" s="13"/>
      <c r="C2906" s="20"/>
      <c r="D2906" s="19"/>
      <c r="E2906" s="26">
        <f>IF($B2906="","",IFERROR(INDEX(PecDesc,MATCH($B2906,PecCod,0)),"Peça não cadastrada"))</f>
        <v>0</v>
      </c>
      <c r="F2906" s="27">
        <f>IF($B2906="","",IF($D2906&lt;&gt;"",$D2906,IFERROR(INDEX(PecPreco,MATCH($B2906,PecCod,0)),0)))</f>
        <v>0</v>
      </c>
      <c r="G2906" s="27">
        <f>IF(OR($B2906="",$C2906=""),"",$C2906*$F2906)</f>
        <v>0</v>
      </c>
      <c r="H2906" s="27">
        <f>IF(OR($B2906="",$C2906=""),"",$C2906*IFERROR(INDEX(PecCusto,MATCH($B2906,PecCod,0)),0))</f>
        <v>0</v>
      </c>
      <c r="I2906" s="32">
        <f>IF($A2906="","",IFERROR(INDEX(OSStatus,MATCH($A2906,OSNum,0)),"OS inexistente"))</f>
        <v>0</v>
      </c>
      <c r="J2906" s="32">
        <f>IF($A2906="","",IF($I2906="OS inexistente","OS inexistente",IF($E2906="Peça não cadastrada","Peça não cadastrada","OK")))</f>
        <v>0</v>
      </c>
    </row>
    <row r="2907" spans="1:10">
      <c r="A2907" s="17"/>
      <c r="B2907" s="13"/>
      <c r="C2907" s="20"/>
      <c r="D2907" s="19"/>
      <c r="E2907" s="26">
        <f>IF($B2907="","",IFERROR(INDEX(PecDesc,MATCH($B2907,PecCod,0)),"Peça não cadastrada"))</f>
        <v>0</v>
      </c>
      <c r="F2907" s="27">
        <f>IF($B2907="","",IF($D2907&lt;&gt;"",$D2907,IFERROR(INDEX(PecPreco,MATCH($B2907,PecCod,0)),0)))</f>
        <v>0</v>
      </c>
      <c r="G2907" s="27">
        <f>IF(OR($B2907="",$C2907=""),"",$C2907*$F2907)</f>
        <v>0</v>
      </c>
      <c r="H2907" s="27">
        <f>IF(OR($B2907="",$C2907=""),"",$C2907*IFERROR(INDEX(PecCusto,MATCH($B2907,PecCod,0)),0))</f>
        <v>0</v>
      </c>
      <c r="I2907" s="32">
        <f>IF($A2907="","",IFERROR(INDEX(OSStatus,MATCH($A2907,OSNum,0)),"OS inexistente"))</f>
        <v>0</v>
      </c>
      <c r="J2907" s="32">
        <f>IF($A2907="","",IF($I2907="OS inexistente","OS inexistente",IF($E2907="Peça não cadastrada","Peça não cadastrada","OK")))</f>
        <v>0</v>
      </c>
    </row>
    <row r="2908" spans="1:10">
      <c r="A2908" s="17"/>
      <c r="B2908" s="13"/>
      <c r="C2908" s="20"/>
      <c r="D2908" s="19"/>
      <c r="E2908" s="26">
        <f>IF($B2908="","",IFERROR(INDEX(PecDesc,MATCH($B2908,PecCod,0)),"Peça não cadastrada"))</f>
        <v>0</v>
      </c>
      <c r="F2908" s="27">
        <f>IF($B2908="","",IF($D2908&lt;&gt;"",$D2908,IFERROR(INDEX(PecPreco,MATCH($B2908,PecCod,0)),0)))</f>
        <v>0</v>
      </c>
      <c r="G2908" s="27">
        <f>IF(OR($B2908="",$C2908=""),"",$C2908*$F2908)</f>
        <v>0</v>
      </c>
      <c r="H2908" s="27">
        <f>IF(OR($B2908="",$C2908=""),"",$C2908*IFERROR(INDEX(PecCusto,MATCH($B2908,PecCod,0)),0))</f>
        <v>0</v>
      </c>
      <c r="I2908" s="32">
        <f>IF($A2908="","",IFERROR(INDEX(OSStatus,MATCH($A2908,OSNum,0)),"OS inexistente"))</f>
        <v>0</v>
      </c>
      <c r="J2908" s="32">
        <f>IF($A2908="","",IF($I2908="OS inexistente","OS inexistente",IF($E2908="Peça não cadastrada","Peça não cadastrada","OK")))</f>
        <v>0</v>
      </c>
    </row>
    <row r="2909" spans="1:10">
      <c r="A2909" s="17"/>
      <c r="B2909" s="13"/>
      <c r="C2909" s="20"/>
      <c r="D2909" s="19"/>
      <c r="E2909" s="26">
        <f>IF($B2909="","",IFERROR(INDEX(PecDesc,MATCH($B2909,PecCod,0)),"Peça não cadastrada"))</f>
        <v>0</v>
      </c>
      <c r="F2909" s="27">
        <f>IF($B2909="","",IF($D2909&lt;&gt;"",$D2909,IFERROR(INDEX(PecPreco,MATCH($B2909,PecCod,0)),0)))</f>
        <v>0</v>
      </c>
      <c r="G2909" s="27">
        <f>IF(OR($B2909="",$C2909=""),"",$C2909*$F2909)</f>
        <v>0</v>
      </c>
      <c r="H2909" s="27">
        <f>IF(OR($B2909="",$C2909=""),"",$C2909*IFERROR(INDEX(PecCusto,MATCH($B2909,PecCod,0)),0))</f>
        <v>0</v>
      </c>
      <c r="I2909" s="32">
        <f>IF($A2909="","",IFERROR(INDEX(OSStatus,MATCH($A2909,OSNum,0)),"OS inexistente"))</f>
        <v>0</v>
      </c>
      <c r="J2909" s="32">
        <f>IF($A2909="","",IF($I2909="OS inexistente","OS inexistente",IF($E2909="Peça não cadastrada","Peça não cadastrada","OK")))</f>
        <v>0</v>
      </c>
    </row>
    <row r="2910" spans="1:10">
      <c r="A2910" s="17"/>
      <c r="B2910" s="13"/>
      <c r="C2910" s="20"/>
      <c r="D2910" s="19"/>
      <c r="E2910" s="26">
        <f>IF($B2910="","",IFERROR(INDEX(PecDesc,MATCH($B2910,PecCod,0)),"Peça não cadastrada"))</f>
        <v>0</v>
      </c>
      <c r="F2910" s="27">
        <f>IF($B2910="","",IF($D2910&lt;&gt;"",$D2910,IFERROR(INDEX(PecPreco,MATCH($B2910,PecCod,0)),0)))</f>
        <v>0</v>
      </c>
      <c r="G2910" s="27">
        <f>IF(OR($B2910="",$C2910=""),"",$C2910*$F2910)</f>
        <v>0</v>
      </c>
      <c r="H2910" s="27">
        <f>IF(OR($B2910="",$C2910=""),"",$C2910*IFERROR(INDEX(PecCusto,MATCH($B2910,PecCod,0)),0))</f>
        <v>0</v>
      </c>
      <c r="I2910" s="32">
        <f>IF($A2910="","",IFERROR(INDEX(OSStatus,MATCH($A2910,OSNum,0)),"OS inexistente"))</f>
        <v>0</v>
      </c>
      <c r="J2910" s="32">
        <f>IF($A2910="","",IF($I2910="OS inexistente","OS inexistente",IF($E2910="Peça não cadastrada","Peça não cadastrada","OK")))</f>
        <v>0</v>
      </c>
    </row>
    <row r="2911" spans="1:10">
      <c r="A2911" s="17"/>
      <c r="B2911" s="13"/>
      <c r="C2911" s="20"/>
      <c r="D2911" s="19"/>
      <c r="E2911" s="26">
        <f>IF($B2911="","",IFERROR(INDEX(PecDesc,MATCH($B2911,PecCod,0)),"Peça não cadastrada"))</f>
        <v>0</v>
      </c>
      <c r="F2911" s="27">
        <f>IF($B2911="","",IF($D2911&lt;&gt;"",$D2911,IFERROR(INDEX(PecPreco,MATCH($B2911,PecCod,0)),0)))</f>
        <v>0</v>
      </c>
      <c r="G2911" s="27">
        <f>IF(OR($B2911="",$C2911=""),"",$C2911*$F2911)</f>
        <v>0</v>
      </c>
      <c r="H2911" s="27">
        <f>IF(OR($B2911="",$C2911=""),"",$C2911*IFERROR(INDEX(PecCusto,MATCH($B2911,PecCod,0)),0))</f>
        <v>0</v>
      </c>
      <c r="I2911" s="32">
        <f>IF($A2911="","",IFERROR(INDEX(OSStatus,MATCH($A2911,OSNum,0)),"OS inexistente"))</f>
        <v>0</v>
      </c>
      <c r="J2911" s="32">
        <f>IF($A2911="","",IF($I2911="OS inexistente","OS inexistente",IF($E2911="Peça não cadastrada","Peça não cadastrada","OK")))</f>
        <v>0</v>
      </c>
    </row>
    <row r="2912" spans="1:10">
      <c r="A2912" s="17"/>
      <c r="B2912" s="13"/>
      <c r="C2912" s="20"/>
      <c r="D2912" s="19"/>
      <c r="E2912" s="26">
        <f>IF($B2912="","",IFERROR(INDEX(PecDesc,MATCH($B2912,PecCod,0)),"Peça não cadastrada"))</f>
        <v>0</v>
      </c>
      <c r="F2912" s="27">
        <f>IF($B2912="","",IF($D2912&lt;&gt;"",$D2912,IFERROR(INDEX(PecPreco,MATCH($B2912,PecCod,0)),0)))</f>
        <v>0</v>
      </c>
      <c r="G2912" s="27">
        <f>IF(OR($B2912="",$C2912=""),"",$C2912*$F2912)</f>
        <v>0</v>
      </c>
      <c r="H2912" s="27">
        <f>IF(OR($B2912="",$C2912=""),"",$C2912*IFERROR(INDEX(PecCusto,MATCH($B2912,PecCod,0)),0))</f>
        <v>0</v>
      </c>
      <c r="I2912" s="32">
        <f>IF($A2912="","",IFERROR(INDEX(OSStatus,MATCH($A2912,OSNum,0)),"OS inexistente"))</f>
        <v>0</v>
      </c>
      <c r="J2912" s="32">
        <f>IF($A2912="","",IF($I2912="OS inexistente","OS inexistente",IF($E2912="Peça não cadastrada","Peça não cadastrada","OK")))</f>
        <v>0</v>
      </c>
    </row>
    <row r="2913" spans="1:10">
      <c r="A2913" s="17"/>
      <c r="B2913" s="13"/>
      <c r="C2913" s="20"/>
      <c r="D2913" s="19"/>
      <c r="E2913" s="26">
        <f>IF($B2913="","",IFERROR(INDEX(PecDesc,MATCH($B2913,PecCod,0)),"Peça não cadastrada"))</f>
        <v>0</v>
      </c>
      <c r="F2913" s="27">
        <f>IF($B2913="","",IF($D2913&lt;&gt;"",$D2913,IFERROR(INDEX(PecPreco,MATCH($B2913,PecCod,0)),0)))</f>
        <v>0</v>
      </c>
      <c r="G2913" s="27">
        <f>IF(OR($B2913="",$C2913=""),"",$C2913*$F2913)</f>
        <v>0</v>
      </c>
      <c r="H2913" s="27">
        <f>IF(OR($B2913="",$C2913=""),"",$C2913*IFERROR(INDEX(PecCusto,MATCH($B2913,PecCod,0)),0))</f>
        <v>0</v>
      </c>
      <c r="I2913" s="32">
        <f>IF($A2913="","",IFERROR(INDEX(OSStatus,MATCH($A2913,OSNum,0)),"OS inexistente"))</f>
        <v>0</v>
      </c>
      <c r="J2913" s="32">
        <f>IF($A2913="","",IF($I2913="OS inexistente","OS inexistente",IF($E2913="Peça não cadastrada","Peça não cadastrada","OK")))</f>
        <v>0</v>
      </c>
    </row>
    <row r="2914" spans="1:10">
      <c r="A2914" s="17"/>
      <c r="B2914" s="13"/>
      <c r="C2914" s="20"/>
      <c r="D2914" s="19"/>
      <c r="E2914" s="26">
        <f>IF($B2914="","",IFERROR(INDEX(PecDesc,MATCH($B2914,PecCod,0)),"Peça não cadastrada"))</f>
        <v>0</v>
      </c>
      <c r="F2914" s="27">
        <f>IF($B2914="","",IF($D2914&lt;&gt;"",$D2914,IFERROR(INDEX(PecPreco,MATCH($B2914,PecCod,0)),0)))</f>
        <v>0</v>
      </c>
      <c r="G2914" s="27">
        <f>IF(OR($B2914="",$C2914=""),"",$C2914*$F2914)</f>
        <v>0</v>
      </c>
      <c r="H2914" s="27">
        <f>IF(OR($B2914="",$C2914=""),"",$C2914*IFERROR(INDEX(PecCusto,MATCH($B2914,PecCod,0)),0))</f>
        <v>0</v>
      </c>
      <c r="I2914" s="32">
        <f>IF($A2914="","",IFERROR(INDEX(OSStatus,MATCH($A2914,OSNum,0)),"OS inexistente"))</f>
        <v>0</v>
      </c>
      <c r="J2914" s="32">
        <f>IF($A2914="","",IF($I2914="OS inexistente","OS inexistente",IF($E2914="Peça não cadastrada","Peça não cadastrada","OK")))</f>
        <v>0</v>
      </c>
    </row>
    <row r="2915" spans="1:10">
      <c r="A2915" s="17"/>
      <c r="B2915" s="13"/>
      <c r="C2915" s="20"/>
      <c r="D2915" s="19"/>
      <c r="E2915" s="26">
        <f>IF($B2915="","",IFERROR(INDEX(PecDesc,MATCH($B2915,PecCod,0)),"Peça não cadastrada"))</f>
        <v>0</v>
      </c>
      <c r="F2915" s="27">
        <f>IF($B2915="","",IF($D2915&lt;&gt;"",$D2915,IFERROR(INDEX(PecPreco,MATCH($B2915,PecCod,0)),0)))</f>
        <v>0</v>
      </c>
      <c r="G2915" s="27">
        <f>IF(OR($B2915="",$C2915=""),"",$C2915*$F2915)</f>
        <v>0</v>
      </c>
      <c r="H2915" s="27">
        <f>IF(OR($B2915="",$C2915=""),"",$C2915*IFERROR(INDEX(PecCusto,MATCH($B2915,PecCod,0)),0))</f>
        <v>0</v>
      </c>
      <c r="I2915" s="32">
        <f>IF($A2915="","",IFERROR(INDEX(OSStatus,MATCH($A2915,OSNum,0)),"OS inexistente"))</f>
        <v>0</v>
      </c>
      <c r="J2915" s="32">
        <f>IF($A2915="","",IF($I2915="OS inexistente","OS inexistente",IF($E2915="Peça não cadastrada","Peça não cadastrada","OK")))</f>
        <v>0</v>
      </c>
    </row>
    <row r="2916" spans="1:10">
      <c r="A2916" s="17"/>
      <c r="B2916" s="13"/>
      <c r="C2916" s="20"/>
      <c r="D2916" s="19"/>
      <c r="E2916" s="26">
        <f>IF($B2916="","",IFERROR(INDEX(PecDesc,MATCH($B2916,PecCod,0)),"Peça não cadastrada"))</f>
        <v>0</v>
      </c>
      <c r="F2916" s="27">
        <f>IF($B2916="","",IF($D2916&lt;&gt;"",$D2916,IFERROR(INDEX(PecPreco,MATCH($B2916,PecCod,0)),0)))</f>
        <v>0</v>
      </c>
      <c r="G2916" s="27">
        <f>IF(OR($B2916="",$C2916=""),"",$C2916*$F2916)</f>
        <v>0</v>
      </c>
      <c r="H2916" s="27">
        <f>IF(OR($B2916="",$C2916=""),"",$C2916*IFERROR(INDEX(PecCusto,MATCH($B2916,PecCod,0)),0))</f>
        <v>0</v>
      </c>
      <c r="I2916" s="32">
        <f>IF($A2916="","",IFERROR(INDEX(OSStatus,MATCH($A2916,OSNum,0)),"OS inexistente"))</f>
        <v>0</v>
      </c>
      <c r="J2916" s="32">
        <f>IF($A2916="","",IF($I2916="OS inexistente","OS inexistente",IF($E2916="Peça não cadastrada","Peça não cadastrada","OK")))</f>
        <v>0</v>
      </c>
    </row>
    <row r="2917" spans="1:10">
      <c r="A2917" s="17"/>
      <c r="B2917" s="13"/>
      <c r="C2917" s="20"/>
      <c r="D2917" s="19"/>
      <c r="E2917" s="26">
        <f>IF($B2917="","",IFERROR(INDEX(PecDesc,MATCH($B2917,PecCod,0)),"Peça não cadastrada"))</f>
        <v>0</v>
      </c>
      <c r="F2917" s="27">
        <f>IF($B2917="","",IF($D2917&lt;&gt;"",$D2917,IFERROR(INDEX(PecPreco,MATCH($B2917,PecCod,0)),0)))</f>
        <v>0</v>
      </c>
      <c r="G2917" s="27">
        <f>IF(OR($B2917="",$C2917=""),"",$C2917*$F2917)</f>
        <v>0</v>
      </c>
      <c r="H2917" s="27">
        <f>IF(OR($B2917="",$C2917=""),"",$C2917*IFERROR(INDEX(PecCusto,MATCH($B2917,PecCod,0)),0))</f>
        <v>0</v>
      </c>
      <c r="I2917" s="32">
        <f>IF($A2917="","",IFERROR(INDEX(OSStatus,MATCH($A2917,OSNum,0)),"OS inexistente"))</f>
        <v>0</v>
      </c>
      <c r="J2917" s="32">
        <f>IF($A2917="","",IF($I2917="OS inexistente","OS inexistente",IF($E2917="Peça não cadastrada","Peça não cadastrada","OK")))</f>
        <v>0</v>
      </c>
    </row>
    <row r="2918" spans="1:10">
      <c r="A2918" s="17"/>
      <c r="B2918" s="13"/>
      <c r="C2918" s="20"/>
      <c r="D2918" s="19"/>
      <c r="E2918" s="26">
        <f>IF($B2918="","",IFERROR(INDEX(PecDesc,MATCH($B2918,PecCod,0)),"Peça não cadastrada"))</f>
        <v>0</v>
      </c>
      <c r="F2918" s="27">
        <f>IF($B2918="","",IF($D2918&lt;&gt;"",$D2918,IFERROR(INDEX(PecPreco,MATCH($B2918,PecCod,0)),0)))</f>
        <v>0</v>
      </c>
      <c r="G2918" s="27">
        <f>IF(OR($B2918="",$C2918=""),"",$C2918*$F2918)</f>
        <v>0</v>
      </c>
      <c r="H2918" s="27">
        <f>IF(OR($B2918="",$C2918=""),"",$C2918*IFERROR(INDEX(PecCusto,MATCH($B2918,PecCod,0)),0))</f>
        <v>0</v>
      </c>
      <c r="I2918" s="32">
        <f>IF($A2918="","",IFERROR(INDEX(OSStatus,MATCH($A2918,OSNum,0)),"OS inexistente"))</f>
        <v>0</v>
      </c>
      <c r="J2918" s="32">
        <f>IF($A2918="","",IF($I2918="OS inexistente","OS inexistente",IF($E2918="Peça não cadastrada","Peça não cadastrada","OK")))</f>
        <v>0</v>
      </c>
    </row>
    <row r="2919" spans="1:10">
      <c r="A2919" s="17"/>
      <c r="B2919" s="13"/>
      <c r="C2919" s="20"/>
      <c r="D2919" s="19"/>
      <c r="E2919" s="26">
        <f>IF($B2919="","",IFERROR(INDEX(PecDesc,MATCH($B2919,PecCod,0)),"Peça não cadastrada"))</f>
        <v>0</v>
      </c>
      <c r="F2919" s="27">
        <f>IF($B2919="","",IF($D2919&lt;&gt;"",$D2919,IFERROR(INDEX(PecPreco,MATCH($B2919,PecCod,0)),0)))</f>
        <v>0</v>
      </c>
      <c r="G2919" s="27">
        <f>IF(OR($B2919="",$C2919=""),"",$C2919*$F2919)</f>
        <v>0</v>
      </c>
      <c r="H2919" s="27">
        <f>IF(OR($B2919="",$C2919=""),"",$C2919*IFERROR(INDEX(PecCusto,MATCH($B2919,PecCod,0)),0))</f>
        <v>0</v>
      </c>
      <c r="I2919" s="32">
        <f>IF($A2919="","",IFERROR(INDEX(OSStatus,MATCH($A2919,OSNum,0)),"OS inexistente"))</f>
        <v>0</v>
      </c>
      <c r="J2919" s="32">
        <f>IF($A2919="","",IF($I2919="OS inexistente","OS inexistente",IF($E2919="Peça não cadastrada","Peça não cadastrada","OK")))</f>
        <v>0</v>
      </c>
    </row>
    <row r="2920" spans="1:10">
      <c r="A2920" s="17"/>
      <c r="B2920" s="13"/>
      <c r="C2920" s="20"/>
      <c r="D2920" s="19"/>
      <c r="E2920" s="26">
        <f>IF($B2920="","",IFERROR(INDEX(PecDesc,MATCH($B2920,PecCod,0)),"Peça não cadastrada"))</f>
        <v>0</v>
      </c>
      <c r="F2920" s="27">
        <f>IF($B2920="","",IF($D2920&lt;&gt;"",$D2920,IFERROR(INDEX(PecPreco,MATCH($B2920,PecCod,0)),0)))</f>
        <v>0</v>
      </c>
      <c r="G2920" s="27">
        <f>IF(OR($B2920="",$C2920=""),"",$C2920*$F2920)</f>
        <v>0</v>
      </c>
      <c r="H2920" s="27">
        <f>IF(OR($B2920="",$C2920=""),"",$C2920*IFERROR(INDEX(PecCusto,MATCH($B2920,PecCod,0)),0))</f>
        <v>0</v>
      </c>
      <c r="I2920" s="32">
        <f>IF($A2920="","",IFERROR(INDEX(OSStatus,MATCH($A2920,OSNum,0)),"OS inexistente"))</f>
        <v>0</v>
      </c>
      <c r="J2920" s="32">
        <f>IF($A2920="","",IF($I2920="OS inexistente","OS inexistente",IF($E2920="Peça não cadastrada","Peça não cadastrada","OK")))</f>
        <v>0</v>
      </c>
    </row>
    <row r="2921" spans="1:10">
      <c r="A2921" s="17"/>
      <c r="B2921" s="13"/>
      <c r="C2921" s="20"/>
      <c r="D2921" s="19"/>
      <c r="E2921" s="26">
        <f>IF($B2921="","",IFERROR(INDEX(PecDesc,MATCH($B2921,PecCod,0)),"Peça não cadastrada"))</f>
        <v>0</v>
      </c>
      <c r="F2921" s="27">
        <f>IF($B2921="","",IF($D2921&lt;&gt;"",$D2921,IFERROR(INDEX(PecPreco,MATCH($B2921,PecCod,0)),0)))</f>
        <v>0</v>
      </c>
      <c r="G2921" s="27">
        <f>IF(OR($B2921="",$C2921=""),"",$C2921*$F2921)</f>
        <v>0</v>
      </c>
      <c r="H2921" s="27">
        <f>IF(OR($B2921="",$C2921=""),"",$C2921*IFERROR(INDEX(PecCusto,MATCH($B2921,PecCod,0)),0))</f>
        <v>0</v>
      </c>
      <c r="I2921" s="32">
        <f>IF($A2921="","",IFERROR(INDEX(OSStatus,MATCH($A2921,OSNum,0)),"OS inexistente"))</f>
        <v>0</v>
      </c>
      <c r="J2921" s="32">
        <f>IF($A2921="","",IF($I2921="OS inexistente","OS inexistente",IF($E2921="Peça não cadastrada","Peça não cadastrada","OK")))</f>
        <v>0</v>
      </c>
    </row>
    <row r="2922" spans="1:10">
      <c r="A2922" s="17"/>
      <c r="B2922" s="13"/>
      <c r="C2922" s="20"/>
      <c r="D2922" s="19"/>
      <c r="E2922" s="26">
        <f>IF($B2922="","",IFERROR(INDEX(PecDesc,MATCH($B2922,PecCod,0)),"Peça não cadastrada"))</f>
        <v>0</v>
      </c>
      <c r="F2922" s="27">
        <f>IF($B2922="","",IF($D2922&lt;&gt;"",$D2922,IFERROR(INDEX(PecPreco,MATCH($B2922,PecCod,0)),0)))</f>
        <v>0</v>
      </c>
      <c r="G2922" s="27">
        <f>IF(OR($B2922="",$C2922=""),"",$C2922*$F2922)</f>
        <v>0</v>
      </c>
      <c r="H2922" s="27">
        <f>IF(OR($B2922="",$C2922=""),"",$C2922*IFERROR(INDEX(PecCusto,MATCH($B2922,PecCod,0)),0))</f>
        <v>0</v>
      </c>
      <c r="I2922" s="32">
        <f>IF($A2922="","",IFERROR(INDEX(OSStatus,MATCH($A2922,OSNum,0)),"OS inexistente"))</f>
        <v>0</v>
      </c>
      <c r="J2922" s="32">
        <f>IF($A2922="","",IF($I2922="OS inexistente","OS inexistente",IF($E2922="Peça não cadastrada","Peça não cadastrada","OK")))</f>
        <v>0</v>
      </c>
    </row>
    <row r="2923" spans="1:10">
      <c r="A2923" s="17"/>
      <c r="B2923" s="13"/>
      <c r="C2923" s="20"/>
      <c r="D2923" s="19"/>
      <c r="E2923" s="26">
        <f>IF($B2923="","",IFERROR(INDEX(PecDesc,MATCH($B2923,PecCod,0)),"Peça não cadastrada"))</f>
        <v>0</v>
      </c>
      <c r="F2923" s="27">
        <f>IF($B2923="","",IF($D2923&lt;&gt;"",$D2923,IFERROR(INDEX(PecPreco,MATCH($B2923,PecCod,0)),0)))</f>
        <v>0</v>
      </c>
      <c r="G2923" s="27">
        <f>IF(OR($B2923="",$C2923=""),"",$C2923*$F2923)</f>
        <v>0</v>
      </c>
      <c r="H2923" s="27">
        <f>IF(OR($B2923="",$C2923=""),"",$C2923*IFERROR(INDEX(PecCusto,MATCH($B2923,PecCod,0)),0))</f>
        <v>0</v>
      </c>
      <c r="I2923" s="32">
        <f>IF($A2923="","",IFERROR(INDEX(OSStatus,MATCH($A2923,OSNum,0)),"OS inexistente"))</f>
        <v>0</v>
      </c>
      <c r="J2923" s="32">
        <f>IF($A2923="","",IF($I2923="OS inexistente","OS inexistente",IF($E2923="Peça não cadastrada","Peça não cadastrada","OK")))</f>
        <v>0</v>
      </c>
    </row>
    <row r="2924" spans="1:10">
      <c r="A2924" s="17"/>
      <c r="B2924" s="13"/>
      <c r="C2924" s="20"/>
      <c r="D2924" s="19"/>
      <c r="E2924" s="26">
        <f>IF($B2924="","",IFERROR(INDEX(PecDesc,MATCH($B2924,PecCod,0)),"Peça não cadastrada"))</f>
        <v>0</v>
      </c>
      <c r="F2924" s="27">
        <f>IF($B2924="","",IF($D2924&lt;&gt;"",$D2924,IFERROR(INDEX(PecPreco,MATCH($B2924,PecCod,0)),0)))</f>
        <v>0</v>
      </c>
      <c r="G2924" s="27">
        <f>IF(OR($B2924="",$C2924=""),"",$C2924*$F2924)</f>
        <v>0</v>
      </c>
      <c r="H2924" s="27">
        <f>IF(OR($B2924="",$C2924=""),"",$C2924*IFERROR(INDEX(PecCusto,MATCH($B2924,PecCod,0)),0))</f>
        <v>0</v>
      </c>
      <c r="I2924" s="32">
        <f>IF($A2924="","",IFERROR(INDEX(OSStatus,MATCH($A2924,OSNum,0)),"OS inexistente"))</f>
        <v>0</v>
      </c>
      <c r="J2924" s="32">
        <f>IF($A2924="","",IF($I2924="OS inexistente","OS inexistente",IF($E2924="Peça não cadastrada","Peça não cadastrada","OK")))</f>
        <v>0</v>
      </c>
    </row>
    <row r="2925" spans="1:10">
      <c r="A2925" s="17"/>
      <c r="B2925" s="13"/>
      <c r="C2925" s="20"/>
      <c r="D2925" s="19"/>
      <c r="E2925" s="26">
        <f>IF($B2925="","",IFERROR(INDEX(PecDesc,MATCH($B2925,PecCod,0)),"Peça não cadastrada"))</f>
        <v>0</v>
      </c>
      <c r="F2925" s="27">
        <f>IF($B2925="","",IF($D2925&lt;&gt;"",$D2925,IFERROR(INDEX(PecPreco,MATCH($B2925,PecCod,0)),0)))</f>
        <v>0</v>
      </c>
      <c r="G2925" s="27">
        <f>IF(OR($B2925="",$C2925=""),"",$C2925*$F2925)</f>
        <v>0</v>
      </c>
      <c r="H2925" s="27">
        <f>IF(OR($B2925="",$C2925=""),"",$C2925*IFERROR(INDEX(PecCusto,MATCH($B2925,PecCod,0)),0))</f>
        <v>0</v>
      </c>
      <c r="I2925" s="32">
        <f>IF($A2925="","",IFERROR(INDEX(OSStatus,MATCH($A2925,OSNum,0)),"OS inexistente"))</f>
        <v>0</v>
      </c>
      <c r="J2925" s="32">
        <f>IF($A2925="","",IF($I2925="OS inexistente","OS inexistente",IF($E2925="Peça não cadastrada","Peça não cadastrada","OK")))</f>
        <v>0</v>
      </c>
    </row>
    <row r="2926" spans="1:10">
      <c r="A2926" s="17"/>
      <c r="B2926" s="13"/>
      <c r="C2926" s="20"/>
      <c r="D2926" s="19"/>
      <c r="E2926" s="26">
        <f>IF($B2926="","",IFERROR(INDEX(PecDesc,MATCH($B2926,PecCod,0)),"Peça não cadastrada"))</f>
        <v>0</v>
      </c>
      <c r="F2926" s="27">
        <f>IF($B2926="","",IF($D2926&lt;&gt;"",$D2926,IFERROR(INDEX(PecPreco,MATCH($B2926,PecCod,0)),0)))</f>
        <v>0</v>
      </c>
      <c r="G2926" s="27">
        <f>IF(OR($B2926="",$C2926=""),"",$C2926*$F2926)</f>
        <v>0</v>
      </c>
      <c r="H2926" s="27">
        <f>IF(OR($B2926="",$C2926=""),"",$C2926*IFERROR(INDEX(PecCusto,MATCH($B2926,PecCod,0)),0))</f>
        <v>0</v>
      </c>
      <c r="I2926" s="32">
        <f>IF($A2926="","",IFERROR(INDEX(OSStatus,MATCH($A2926,OSNum,0)),"OS inexistente"))</f>
        <v>0</v>
      </c>
      <c r="J2926" s="32">
        <f>IF($A2926="","",IF($I2926="OS inexistente","OS inexistente",IF($E2926="Peça não cadastrada","Peça não cadastrada","OK")))</f>
        <v>0</v>
      </c>
    </row>
    <row r="2927" spans="1:10">
      <c r="A2927" s="17"/>
      <c r="B2927" s="13"/>
      <c r="C2927" s="20"/>
      <c r="D2927" s="19"/>
      <c r="E2927" s="26">
        <f>IF($B2927="","",IFERROR(INDEX(PecDesc,MATCH($B2927,PecCod,0)),"Peça não cadastrada"))</f>
        <v>0</v>
      </c>
      <c r="F2927" s="27">
        <f>IF($B2927="","",IF($D2927&lt;&gt;"",$D2927,IFERROR(INDEX(PecPreco,MATCH($B2927,PecCod,0)),0)))</f>
        <v>0</v>
      </c>
      <c r="G2927" s="27">
        <f>IF(OR($B2927="",$C2927=""),"",$C2927*$F2927)</f>
        <v>0</v>
      </c>
      <c r="H2927" s="27">
        <f>IF(OR($B2927="",$C2927=""),"",$C2927*IFERROR(INDEX(PecCusto,MATCH($B2927,PecCod,0)),0))</f>
        <v>0</v>
      </c>
      <c r="I2927" s="32">
        <f>IF($A2927="","",IFERROR(INDEX(OSStatus,MATCH($A2927,OSNum,0)),"OS inexistente"))</f>
        <v>0</v>
      </c>
      <c r="J2927" s="32">
        <f>IF($A2927="","",IF($I2927="OS inexistente","OS inexistente",IF($E2927="Peça não cadastrada","Peça não cadastrada","OK")))</f>
        <v>0</v>
      </c>
    </row>
    <row r="2928" spans="1:10">
      <c r="A2928" s="17"/>
      <c r="B2928" s="13"/>
      <c r="C2928" s="20"/>
      <c r="D2928" s="19"/>
      <c r="E2928" s="26">
        <f>IF($B2928="","",IFERROR(INDEX(PecDesc,MATCH($B2928,PecCod,0)),"Peça não cadastrada"))</f>
        <v>0</v>
      </c>
      <c r="F2928" s="27">
        <f>IF($B2928="","",IF($D2928&lt;&gt;"",$D2928,IFERROR(INDEX(PecPreco,MATCH($B2928,PecCod,0)),0)))</f>
        <v>0</v>
      </c>
      <c r="G2928" s="27">
        <f>IF(OR($B2928="",$C2928=""),"",$C2928*$F2928)</f>
        <v>0</v>
      </c>
      <c r="H2928" s="27">
        <f>IF(OR($B2928="",$C2928=""),"",$C2928*IFERROR(INDEX(PecCusto,MATCH($B2928,PecCod,0)),0))</f>
        <v>0</v>
      </c>
      <c r="I2928" s="32">
        <f>IF($A2928="","",IFERROR(INDEX(OSStatus,MATCH($A2928,OSNum,0)),"OS inexistente"))</f>
        <v>0</v>
      </c>
      <c r="J2928" s="32">
        <f>IF($A2928="","",IF($I2928="OS inexistente","OS inexistente",IF($E2928="Peça não cadastrada","Peça não cadastrada","OK")))</f>
        <v>0</v>
      </c>
    </row>
    <row r="2929" spans="1:10">
      <c r="A2929" s="17"/>
      <c r="B2929" s="13"/>
      <c r="C2929" s="20"/>
      <c r="D2929" s="19"/>
      <c r="E2929" s="26">
        <f>IF($B2929="","",IFERROR(INDEX(PecDesc,MATCH($B2929,PecCod,0)),"Peça não cadastrada"))</f>
        <v>0</v>
      </c>
      <c r="F2929" s="27">
        <f>IF($B2929="","",IF($D2929&lt;&gt;"",$D2929,IFERROR(INDEX(PecPreco,MATCH($B2929,PecCod,0)),0)))</f>
        <v>0</v>
      </c>
      <c r="G2929" s="27">
        <f>IF(OR($B2929="",$C2929=""),"",$C2929*$F2929)</f>
        <v>0</v>
      </c>
      <c r="H2929" s="27">
        <f>IF(OR($B2929="",$C2929=""),"",$C2929*IFERROR(INDEX(PecCusto,MATCH($B2929,PecCod,0)),0))</f>
        <v>0</v>
      </c>
      <c r="I2929" s="32">
        <f>IF($A2929="","",IFERROR(INDEX(OSStatus,MATCH($A2929,OSNum,0)),"OS inexistente"))</f>
        <v>0</v>
      </c>
      <c r="J2929" s="32">
        <f>IF($A2929="","",IF($I2929="OS inexistente","OS inexistente",IF($E2929="Peça não cadastrada","Peça não cadastrada","OK")))</f>
        <v>0</v>
      </c>
    </row>
    <row r="2930" spans="1:10">
      <c r="A2930" s="17"/>
      <c r="B2930" s="13"/>
      <c r="C2930" s="20"/>
      <c r="D2930" s="19"/>
      <c r="E2930" s="26">
        <f>IF($B2930="","",IFERROR(INDEX(PecDesc,MATCH($B2930,PecCod,0)),"Peça não cadastrada"))</f>
        <v>0</v>
      </c>
      <c r="F2930" s="27">
        <f>IF($B2930="","",IF($D2930&lt;&gt;"",$D2930,IFERROR(INDEX(PecPreco,MATCH($B2930,PecCod,0)),0)))</f>
        <v>0</v>
      </c>
      <c r="G2930" s="27">
        <f>IF(OR($B2930="",$C2930=""),"",$C2930*$F2930)</f>
        <v>0</v>
      </c>
      <c r="H2930" s="27">
        <f>IF(OR($B2930="",$C2930=""),"",$C2930*IFERROR(INDEX(PecCusto,MATCH($B2930,PecCod,0)),0))</f>
        <v>0</v>
      </c>
      <c r="I2930" s="32">
        <f>IF($A2930="","",IFERROR(INDEX(OSStatus,MATCH($A2930,OSNum,0)),"OS inexistente"))</f>
        <v>0</v>
      </c>
      <c r="J2930" s="32">
        <f>IF($A2930="","",IF($I2930="OS inexistente","OS inexistente",IF($E2930="Peça não cadastrada","Peça não cadastrada","OK")))</f>
        <v>0</v>
      </c>
    </row>
    <row r="2931" spans="1:10">
      <c r="A2931" s="17"/>
      <c r="B2931" s="13"/>
      <c r="C2931" s="20"/>
      <c r="D2931" s="19"/>
      <c r="E2931" s="26">
        <f>IF($B2931="","",IFERROR(INDEX(PecDesc,MATCH($B2931,PecCod,0)),"Peça não cadastrada"))</f>
        <v>0</v>
      </c>
      <c r="F2931" s="27">
        <f>IF($B2931="","",IF($D2931&lt;&gt;"",$D2931,IFERROR(INDEX(PecPreco,MATCH($B2931,PecCod,0)),0)))</f>
        <v>0</v>
      </c>
      <c r="G2931" s="27">
        <f>IF(OR($B2931="",$C2931=""),"",$C2931*$F2931)</f>
        <v>0</v>
      </c>
      <c r="H2931" s="27">
        <f>IF(OR($B2931="",$C2931=""),"",$C2931*IFERROR(INDEX(PecCusto,MATCH($B2931,PecCod,0)),0))</f>
        <v>0</v>
      </c>
      <c r="I2931" s="32">
        <f>IF($A2931="","",IFERROR(INDEX(OSStatus,MATCH($A2931,OSNum,0)),"OS inexistente"))</f>
        <v>0</v>
      </c>
      <c r="J2931" s="32">
        <f>IF($A2931="","",IF($I2931="OS inexistente","OS inexistente",IF($E2931="Peça não cadastrada","Peça não cadastrada","OK")))</f>
        <v>0</v>
      </c>
    </row>
    <row r="2932" spans="1:10">
      <c r="A2932" s="17"/>
      <c r="B2932" s="13"/>
      <c r="C2932" s="20"/>
      <c r="D2932" s="19"/>
      <c r="E2932" s="26">
        <f>IF($B2932="","",IFERROR(INDEX(PecDesc,MATCH($B2932,PecCod,0)),"Peça não cadastrada"))</f>
        <v>0</v>
      </c>
      <c r="F2932" s="27">
        <f>IF($B2932="","",IF($D2932&lt;&gt;"",$D2932,IFERROR(INDEX(PecPreco,MATCH($B2932,PecCod,0)),0)))</f>
        <v>0</v>
      </c>
      <c r="G2932" s="27">
        <f>IF(OR($B2932="",$C2932=""),"",$C2932*$F2932)</f>
        <v>0</v>
      </c>
      <c r="H2932" s="27">
        <f>IF(OR($B2932="",$C2932=""),"",$C2932*IFERROR(INDEX(PecCusto,MATCH($B2932,PecCod,0)),0))</f>
        <v>0</v>
      </c>
      <c r="I2932" s="32">
        <f>IF($A2932="","",IFERROR(INDEX(OSStatus,MATCH($A2932,OSNum,0)),"OS inexistente"))</f>
        <v>0</v>
      </c>
      <c r="J2932" s="32">
        <f>IF($A2932="","",IF($I2932="OS inexistente","OS inexistente",IF($E2932="Peça não cadastrada","Peça não cadastrada","OK")))</f>
        <v>0</v>
      </c>
    </row>
    <row r="2933" spans="1:10">
      <c r="A2933" s="17"/>
      <c r="B2933" s="13"/>
      <c r="C2933" s="20"/>
      <c r="D2933" s="19"/>
      <c r="E2933" s="26">
        <f>IF($B2933="","",IFERROR(INDEX(PecDesc,MATCH($B2933,PecCod,0)),"Peça não cadastrada"))</f>
        <v>0</v>
      </c>
      <c r="F2933" s="27">
        <f>IF($B2933="","",IF($D2933&lt;&gt;"",$D2933,IFERROR(INDEX(PecPreco,MATCH($B2933,PecCod,0)),0)))</f>
        <v>0</v>
      </c>
      <c r="G2933" s="27">
        <f>IF(OR($B2933="",$C2933=""),"",$C2933*$F2933)</f>
        <v>0</v>
      </c>
      <c r="H2933" s="27">
        <f>IF(OR($B2933="",$C2933=""),"",$C2933*IFERROR(INDEX(PecCusto,MATCH($B2933,PecCod,0)),0))</f>
        <v>0</v>
      </c>
      <c r="I2933" s="32">
        <f>IF($A2933="","",IFERROR(INDEX(OSStatus,MATCH($A2933,OSNum,0)),"OS inexistente"))</f>
        <v>0</v>
      </c>
      <c r="J2933" s="32">
        <f>IF($A2933="","",IF($I2933="OS inexistente","OS inexistente",IF($E2933="Peça não cadastrada","Peça não cadastrada","OK")))</f>
        <v>0</v>
      </c>
    </row>
    <row r="2934" spans="1:10">
      <c r="A2934" s="17"/>
      <c r="B2934" s="13"/>
      <c r="C2934" s="20"/>
      <c r="D2934" s="19"/>
      <c r="E2934" s="26">
        <f>IF($B2934="","",IFERROR(INDEX(PecDesc,MATCH($B2934,PecCod,0)),"Peça não cadastrada"))</f>
        <v>0</v>
      </c>
      <c r="F2934" s="27">
        <f>IF($B2934="","",IF($D2934&lt;&gt;"",$D2934,IFERROR(INDEX(PecPreco,MATCH($B2934,PecCod,0)),0)))</f>
        <v>0</v>
      </c>
      <c r="G2934" s="27">
        <f>IF(OR($B2934="",$C2934=""),"",$C2934*$F2934)</f>
        <v>0</v>
      </c>
      <c r="H2934" s="27">
        <f>IF(OR($B2934="",$C2934=""),"",$C2934*IFERROR(INDEX(PecCusto,MATCH($B2934,PecCod,0)),0))</f>
        <v>0</v>
      </c>
      <c r="I2934" s="32">
        <f>IF($A2934="","",IFERROR(INDEX(OSStatus,MATCH($A2934,OSNum,0)),"OS inexistente"))</f>
        <v>0</v>
      </c>
      <c r="J2934" s="32">
        <f>IF($A2934="","",IF($I2934="OS inexistente","OS inexistente",IF($E2934="Peça não cadastrada","Peça não cadastrada","OK")))</f>
        <v>0</v>
      </c>
    </row>
    <row r="2935" spans="1:10">
      <c r="A2935" s="17"/>
      <c r="B2935" s="13"/>
      <c r="C2935" s="20"/>
      <c r="D2935" s="19"/>
      <c r="E2935" s="26">
        <f>IF($B2935="","",IFERROR(INDEX(PecDesc,MATCH($B2935,PecCod,0)),"Peça não cadastrada"))</f>
        <v>0</v>
      </c>
      <c r="F2935" s="27">
        <f>IF($B2935="","",IF($D2935&lt;&gt;"",$D2935,IFERROR(INDEX(PecPreco,MATCH($B2935,PecCod,0)),0)))</f>
        <v>0</v>
      </c>
      <c r="G2935" s="27">
        <f>IF(OR($B2935="",$C2935=""),"",$C2935*$F2935)</f>
        <v>0</v>
      </c>
      <c r="H2935" s="27">
        <f>IF(OR($B2935="",$C2935=""),"",$C2935*IFERROR(INDEX(PecCusto,MATCH($B2935,PecCod,0)),0))</f>
        <v>0</v>
      </c>
      <c r="I2935" s="32">
        <f>IF($A2935="","",IFERROR(INDEX(OSStatus,MATCH($A2935,OSNum,0)),"OS inexistente"))</f>
        <v>0</v>
      </c>
      <c r="J2935" s="32">
        <f>IF($A2935="","",IF($I2935="OS inexistente","OS inexistente",IF($E2935="Peça não cadastrada","Peça não cadastrada","OK")))</f>
        <v>0</v>
      </c>
    </row>
    <row r="2936" spans="1:10">
      <c r="A2936" s="17"/>
      <c r="B2936" s="13"/>
      <c r="C2936" s="20"/>
      <c r="D2936" s="19"/>
      <c r="E2936" s="26">
        <f>IF($B2936="","",IFERROR(INDEX(PecDesc,MATCH($B2936,PecCod,0)),"Peça não cadastrada"))</f>
        <v>0</v>
      </c>
      <c r="F2936" s="27">
        <f>IF($B2936="","",IF($D2936&lt;&gt;"",$D2936,IFERROR(INDEX(PecPreco,MATCH($B2936,PecCod,0)),0)))</f>
        <v>0</v>
      </c>
      <c r="G2936" s="27">
        <f>IF(OR($B2936="",$C2936=""),"",$C2936*$F2936)</f>
        <v>0</v>
      </c>
      <c r="H2936" s="27">
        <f>IF(OR($B2936="",$C2936=""),"",$C2936*IFERROR(INDEX(PecCusto,MATCH($B2936,PecCod,0)),0))</f>
        <v>0</v>
      </c>
      <c r="I2936" s="32">
        <f>IF($A2936="","",IFERROR(INDEX(OSStatus,MATCH($A2936,OSNum,0)),"OS inexistente"))</f>
        <v>0</v>
      </c>
      <c r="J2936" s="32">
        <f>IF($A2936="","",IF($I2936="OS inexistente","OS inexistente",IF($E2936="Peça não cadastrada","Peça não cadastrada","OK")))</f>
        <v>0</v>
      </c>
    </row>
    <row r="2937" spans="1:10">
      <c r="A2937" s="17"/>
      <c r="B2937" s="13"/>
      <c r="C2937" s="20"/>
      <c r="D2937" s="19"/>
      <c r="E2937" s="26">
        <f>IF($B2937="","",IFERROR(INDEX(PecDesc,MATCH($B2937,PecCod,0)),"Peça não cadastrada"))</f>
        <v>0</v>
      </c>
      <c r="F2937" s="27">
        <f>IF($B2937="","",IF($D2937&lt;&gt;"",$D2937,IFERROR(INDEX(PecPreco,MATCH($B2937,PecCod,0)),0)))</f>
        <v>0</v>
      </c>
      <c r="G2937" s="27">
        <f>IF(OR($B2937="",$C2937=""),"",$C2937*$F2937)</f>
        <v>0</v>
      </c>
      <c r="H2937" s="27">
        <f>IF(OR($B2937="",$C2937=""),"",$C2937*IFERROR(INDEX(PecCusto,MATCH($B2937,PecCod,0)),0))</f>
        <v>0</v>
      </c>
      <c r="I2937" s="32">
        <f>IF($A2937="","",IFERROR(INDEX(OSStatus,MATCH($A2937,OSNum,0)),"OS inexistente"))</f>
        <v>0</v>
      </c>
      <c r="J2937" s="32">
        <f>IF($A2937="","",IF($I2937="OS inexistente","OS inexistente",IF($E2937="Peça não cadastrada","Peça não cadastrada","OK")))</f>
        <v>0</v>
      </c>
    </row>
    <row r="2938" spans="1:10">
      <c r="A2938" s="17"/>
      <c r="B2938" s="13"/>
      <c r="C2938" s="20"/>
      <c r="D2938" s="19"/>
      <c r="E2938" s="26">
        <f>IF($B2938="","",IFERROR(INDEX(PecDesc,MATCH($B2938,PecCod,0)),"Peça não cadastrada"))</f>
        <v>0</v>
      </c>
      <c r="F2938" s="27">
        <f>IF($B2938="","",IF($D2938&lt;&gt;"",$D2938,IFERROR(INDEX(PecPreco,MATCH($B2938,PecCod,0)),0)))</f>
        <v>0</v>
      </c>
      <c r="G2938" s="27">
        <f>IF(OR($B2938="",$C2938=""),"",$C2938*$F2938)</f>
        <v>0</v>
      </c>
      <c r="H2938" s="27">
        <f>IF(OR($B2938="",$C2938=""),"",$C2938*IFERROR(INDEX(PecCusto,MATCH($B2938,PecCod,0)),0))</f>
        <v>0</v>
      </c>
      <c r="I2938" s="32">
        <f>IF($A2938="","",IFERROR(INDEX(OSStatus,MATCH($A2938,OSNum,0)),"OS inexistente"))</f>
        <v>0</v>
      </c>
      <c r="J2938" s="32">
        <f>IF($A2938="","",IF($I2938="OS inexistente","OS inexistente",IF($E2938="Peça não cadastrada","Peça não cadastrada","OK")))</f>
        <v>0</v>
      </c>
    </row>
    <row r="2939" spans="1:10">
      <c r="A2939" s="17"/>
      <c r="B2939" s="13"/>
      <c r="C2939" s="20"/>
      <c r="D2939" s="19"/>
      <c r="E2939" s="26">
        <f>IF($B2939="","",IFERROR(INDEX(PecDesc,MATCH($B2939,PecCod,0)),"Peça não cadastrada"))</f>
        <v>0</v>
      </c>
      <c r="F2939" s="27">
        <f>IF($B2939="","",IF($D2939&lt;&gt;"",$D2939,IFERROR(INDEX(PecPreco,MATCH($B2939,PecCod,0)),0)))</f>
        <v>0</v>
      </c>
      <c r="G2939" s="27">
        <f>IF(OR($B2939="",$C2939=""),"",$C2939*$F2939)</f>
        <v>0</v>
      </c>
      <c r="H2939" s="27">
        <f>IF(OR($B2939="",$C2939=""),"",$C2939*IFERROR(INDEX(PecCusto,MATCH($B2939,PecCod,0)),0))</f>
        <v>0</v>
      </c>
      <c r="I2939" s="32">
        <f>IF($A2939="","",IFERROR(INDEX(OSStatus,MATCH($A2939,OSNum,0)),"OS inexistente"))</f>
        <v>0</v>
      </c>
      <c r="J2939" s="32">
        <f>IF($A2939="","",IF($I2939="OS inexistente","OS inexistente",IF($E2939="Peça não cadastrada","Peça não cadastrada","OK")))</f>
        <v>0</v>
      </c>
    </row>
    <row r="2940" spans="1:10">
      <c r="A2940" s="17"/>
      <c r="B2940" s="13"/>
      <c r="C2940" s="20"/>
      <c r="D2940" s="19"/>
      <c r="E2940" s="26">
        <f>IF($B2940="","",IFERROR(INDEX(PecDesc,MATCH($B2940,PecCod,0)),"Peça não cadastrada"))</f>
        <v>0</v>
      </c>
      <c r="F2940" s="27">
        <f>IF($B2940="","",IF($D2940&lt;&gt;"",$D2940,IFERROR(INDEX(PecPreco,MATCH($B2940,PecCod,0)),0)))</f>
        <v>0</v>
      </c>
      <c r="G2940" s="27">
        <f>IF(OR($B2940="",$C2940=""),"",$C2940*$F2940)</f>
        <v>0</v>
      </c>
      <c r="H2940" s="27">
        <f>IF(OR($B2940="",$C2940=""),"",$C2940*IFERROR(INDEX(PecCusto,MATCH($B2940,PecCod,0)),0))</f>
        <v>0</v>
      </c>
      <c r="I2940" s="32">
        <f>IF($A2940="","",IFERROR(INDEX(OSStatus,MATCH($A2940,OSNum,0)),"OS inexistente"))</f>
        <v>0</v>
      </c>
      <c r="J2940" s="32">
        <f>IF($A2940="","",IF($I2940="OS inexistente","OS inexistente",IF($E2940="Peça não cadastrada","Peça não cadastrada","OK")))</f>
        <v>0</v>
      </c>
    </row>
    <row r="2941" spans="1:10">
      <c r="A2941" s="17"/>
      <c r="B2941" s="13"/>
      <c r="C2941" s="20"/>
      <c r="D2941" s="19"/>
      <c r="E2941" s="26">
        <f>IF($B2941="","",IFERROR(INDEX(PecDesc,MATCH($B2941,PecCod,0)),"Peça não cadastrada"))</f>
        <v>0</v>
      </c>
      <c r="F2941" s="27">
        <f>IF($B2941="","",IF($D2941&lt;&gt;"",$D2941,IFERROR(INDEX(PecPreco,MATCH($B2941,PecCod,0)),0)))</f>
        <v>0</v>
      </c>
      <c r="G2941" s="27">
        <f>IF(OR($B2941="",$C2941=""),"",$C2941*$F2941)</f>
        <v>0</v>
      </c>
      <c r="H2941" s="27">
        <f>IF(OR($B2941="",$C2941=""),"",$C2941*IFERROR(INDEX(PecCusto,MATCH($B2941,PecCod,0)),0))</f>
        <v>0</v>
      </c>
      <c r="I2941" s="32">
        <f>IF($A2941="","",IFERROR(INDEX(OSStatus,MATCH($A2941,OSNum,0)),"OS inexistente"))</f>
        <v>0</v>
      </c>
      <c r="J2941" s="32">
        <f>IF($A2941="","",IF($I2941="OS inexistente","OS inexistente",IF($E2941="Peça não cadastrada","Peça não cadastrada","OK")))</f>
        <v>0</v>
      </c>
    </row>
    <row r="2942" spans="1:10">
      <c r="A2942" s="17"/>
      <c r="B2942" s="13"/>
      <c r="C2942" s="20"/>
      <c r="D2942" s="19"/>
      <c r="E2942" s="26">
        <f>IF($B2942="","",IFERROR(INDEX(PecDesc,MATCH($B2942,PecCod,0)),"Peça não cadastrada"))</f>
        <v>0</v>
      </c>
      <c r="F2942" s="27">
        <f>IF($B2942="","",IF($D2942&lt;&gt;"",$D2942,IFERROR(INDEX(PecPreco,MATCH($B2942,PecCod,0)),0)))</f>
        <v>0</v>
      </c>
      <c r="G2942" s="27">
        <f>IF(OR($B2942="",$C2942=""),"",$C2942*$F2942)</f>
        <v>0</v>
      </c>
      <c r="H2942" s="27">
        <f>IF(OR($B2942="",$C2942=""),"",$C2942*IFERROR(INDEX(PecCusto,MATCH($B2942,PecCod,0)),0))</f>
        <v>0</v>
      </c>
      <c r="I2942" s="32">
        <f>IF($A2942="","",IFERROR(INDEX(OSStatus,MATCH($A2942,OSNum,0)),"OS inexistente"))</f>
        <v>0</v>
      </c>
      <c r="J2942" s="32">
        <f>IF($A2942="","",IF($I2942="OS inexistente","OS inexistente",IF($E2942="Peça não cadastrada","Peça não cadastrada","OK")))</f>
        <v>0</v>
      </c>
    </row>
    <row r="2943" spans="1:10">
      <c r="A2943" s="17"/>
      <c r="B2943" s="13"/>
      <c r="C2943" s="20"/>
      <c r="D2943" s="19"/>
      <c r="E2943" s="26">
        <f>IF($B2943="","",IFERROR(INDEX(PecDesc,MATCH($B2943,PecCod,0)),"Peça não cadastrada"))</f>
        <v>0</v>
      </c>
      <c r="F2943" s="27">
        <f>IF($B2943="","",IF($D2943&lt;&gt;"",$D2943,IFERROR(INDEX(PecPreco,MATCH($B2943,PecCod,0)),0)))</f>
        <v>0</v>
      </c>
      <c r="G2943" s="27">
        <f>IF(OR($B2943="",$C2943=""),"",$C2943*$F2943)</f>
        <v>0</v>
      </c>
      <c r="H2943" s="27">
        <f>IF(OR($B2943="",$C2943=""),"",$C2943*IFERROR(INDEX(PecCusto,MATCH($B2943,PecCod,0)),0))</f>
        <v>0</v>
      </c>
      <c r="I2943" s="32">
        <f>IF($A2943="","",IFERROR(INDEX(OSStatus,MATCH($A2943,OSNum,0)),"OS inexistente"))</f>
        <v>0</v>
      </c>
      <c r="J2943" s="32">
        <f>IF($A2943="","",IF($I2943="OS inexistente","OS inexistente",IF($E2943="Peça não cadastrada","Peça não cadastrada","OK")))</f>
        <v>0</v>
      </c>
    </row>
    <row r="2944" spans="1:10">
      <c r="A2944" s="17"/>
      <c r="B2944" s="13"/>
      <c r="C2944" s="20"/>
      <c r="D2944" s="19"/>
      <c r="E2944" s="26">
        <f>IF($B2944="","",IFERROR(INDEX(PecDesc,MATCH($B2944,PecCod,0)),"Peça não cadastrada"))</f>
        <v>0</v>
      </c>
      <c r="F2944" s="27">
        <f>IF($B2944="","",IF($D2944&lt;&gt;"",$D2944,IFERROR(INDEX(PecPreco,MATCH($B2944,PecCod,0)),0)))</f>
        <v>0</v>
      </c>
      <c r="G2944" s="27">
        <f>IF(OR($B2944="",$C2944=""),"",$C2944*$F2944)</f>
        <v>0</v>
      </c>
      <c r="H2944" s="27">
        <f>IF(OR($B2944="",$C2944=""),"",$C2944*IFERROR(INDEX(PecCusto,MATCH($B2944,PecCod,0)),0))</f>
        <v>0</v>
      </c>
      <c r="I2944" s="32">
        <f>IF($A2944="","",IFERROR(INDEX(OSStatus,MATCH($A2944,OSNum,0)),"OS inexistente"))</f>
        <v>0</v>
      </c>
      <c r="J2944" s="32">
        <f>IF($A2944="","",IF($I2944="OS inexistente","OS inexistente",IF($E2944="Peça não cadastrada","Peça não cadastrada","OK")))</f>
        <v>0</v>
      </c>
    </row>
    <row r="2945" spans="1:10">
      <c r="A2945" s="17"/>
      <c r="B2945" s="13"/>
      <c r="C2945" s="20"/>
      <c r="D2945" s="19"/>
      <c r="E2945" s="26">
        <f>IF($B2945="","",IFERROR(INDEX(PecDesc,MATCH($B2945,PecCod,0)),"Peça não cadastrada"))</f>
        <v>0</v>
      </c>
      <c r="F2945" s="27">
        <f>IF($B2945="","",IF($D2945&lt;&gt;"",$D2945,IFERROR(INDEX(PecPreco,MATCH($B2945,PecCod,0)),0)))</f>
        <v>0</v>
      </c>
      <c r="G2945" s="27">
        <f>IF(OR($B2945="",$C2945=""),"",$C2945*$F2945)</f>
        <v>0</v>
      </c>
      <c r="H2945" s="27">
        <f>IF(OR($B2945="",$C2945=""),"",$C2945*IFERROR(INDEX(PecCusto,MATCH($B2945,PecCod,0)),0))</f>
        <v>0</v>
      </c>
      <c r="I2945" s="32">
        <f>IF($A2945="","",IFERROR(INDEX(OSStatus,MATCH($A2945,OSNum,0)),"OS inexistente"))</f>
        <v>0</v>
      </c>
      <c r="J2945" s="32">
        <f>IF($A2945="","",IF($I2945="OS inexistente","OS inexistente",IF($E2945="Peça não cadastrada","Peça não cadastrada","OK")))</f>
        <v>0</v>
      </c>
    </row>
    <row r="2946" spans="1:10">
      <c r="A2946" s="17"/>
      <c r="B2946" s="13"/>
      <c r="C2946" s="20"/>
      <c r="D2946" s="19"/>
      <c r="E2946" s="26">
        <f>IF($B2946="","",IFERROR(INDEX(PecDesc,MATCH($B2946,PecCod,0)),"Peça não cadastrada"))</f>
        <v>0</v>
      </c>
      <c r="F2946" s="27">
        <f>IF($B2946="","",IF($D2946&lt;&gt;"",$D2946,IFERROR(INDEX(PecPreco,MATCH($B2946,PecCod,0)),0)))</f>
        <v>0</v>
      </c>
      <c r="G2946" s="27">
        <f>IF(OR($B2946="",$C2946=""),"",$C2946*$F2946)</f>
        <v>0</v>
      </c>
      <c r="H2946" s="27">
        <f>IF(OR($B2946="",$C2946=""),"",$C2946*IFERROR(INDEX(PecCusto,MATCH($B2946,PecCod,0)),0))</f>
        <v>0</v>
      </c>
      <c r="I2946" s="32">
        <f>IF($A2946="","",IFERROR(INDEX(OSStatus,MATCH($A2946,OSNum,0)),"OS inexistente"))</f>
        <v>0</v>
      </c>
      <c r="J2946" s="32">
        <f>IF($A2946="","",IF($I2946="OS inexistente","OS inexistente",IF($E2946="Peça não cadastrada","Peça não cadastrada","OK")))</f>
        <v>0</v>
      </c>
    </row>
    <row r="2947" spans="1:10">
      <c r="A2947" s="17"/>
      <c r="B2947" s="13"/>
      <c r="C2947" s="20"/>
      <c r="D2947" s="19"/>
      <c r="E2947" s="26">
        <f>IF($B2947="","",IFERROR(INDEX(PecDesc,MATCH($B2947,PecCod,0)),"Peça não cadastrada"))</f>
        <v>0</v>
      </c>
      <c r="F2947" s="27">
        <f>IF($B2947="","",IF($D2947&lt;&gt;"",$D2947,IFERROR(INDEX(PecPreco,MATCH($B2947,PecCod,0)),0)))</f>
        <v>0</v>
      </c>
      <c r="G2947" s="27">
        <f>IF(OR($B2947="",$C2947=""),"",$C2947*$F2947)</f>
        <v>0</v>
      </c>
      <c r="H2947" s="27">
        <f>IF(OR($B2947="",$C2947=""),"",$C2947*IFERROR(INDEX(PecCusto,MATCH($B2947,PecCod,0)),0))</f>
        <v>0</v>
      </c>
      <c r="I2947" s="32">
        <f>IF($A2947="","",IFERROR(INDEX(OSStatus,MATCH($A2947,OSNum,0)),"OS inexistente"))</f>
        <v>0</v>
      </c>
      <c r="J2947" s="32">
        <f>IF($A2947="","",IF($I2947="OS inexistente","OS inexistente",IF($E2947="Peça não cadastrada","Peça não cadastrada","OK")))</f>
        <v>0</v>
      </c>
    </row>
    <row r="2948" spans="1:10">
      <c r="A2948" s="17"/>
      <c r="B2948" s="13"/>
      <c r="C2948" s="20"/>
      <c r="D2948" s="19"/>
      <c r="E2948" s="26">
        <f>IF($B2948="","",IFERROR(INDEX(PecDesc,MATCH($B2948,PecCod,0)),"Peça não cadastrada"))</f>
        <v>0</v>
      </c>
      <c r="F2948" s="27">
        <f>IF($B2948="","",IF($D2948&lt;&gt;"",$D2948,IFERROR(INDEX(PecPreco,MATCH($B2948,PecCod,0)),0)))</f>
        <v>0</v>
      </c>
      <c r="G2948" s="27">
        <f>IF(OR($B2948="",$C2948=""),"",$C2948*$F2948)</f>
        <v>0</v>
      </c>
      <c r="H2948" s="27">
        <f>IF(OR($B2948="",$C2948=""),"",$C2948*IFERROR(INDEX(PecCusto,MATCH($B2948,PecCod,0)),0))</f>
        <v>0</v>
      </c>
      <c r="I2948" s="32">
        <f>IF($A2948="","",IFERROR(INDEX(OSStatus,MATCH($A2948,OSNum,0)),"OS inexistente"))</f>
        <v>0</v>
      </c>
      <c r="J2948" s="32">
        <f>IF($A2948="","",IF($I2948="OS inexistente","OS inexistente",IF($E2948="Peça não cadastrada","Peça não cadastrada","OK")))</f>
        <v>0</v>
      </c>
    </row>
    <row r="2949" spans="1:10">
      <c r="A2949" s="17"/>
      <c r="B2949" s="13"/>
      <c r="C2949" s="20"/>
      <c r="D2949" s="19"/>
      <c r="E2949" s="26">
        <f>IF($B2949="","",IFERROR(INDEX(PecDesc,MATCH($B2949,PecCod,0)),"Peça não cadastrada"))</f>
        <v>0</v>
      </c>
      <c r="F2949" s="27">
        <f>IF($B2949="","",IF($D2949&lt;&gt;"",$D2949,IFERROR(INDEX(PecPreco,MATCH($B2949,PecCod,0)),0)))</f>
        <v>0</v>
      </c>
      <c r="G2949" s="27">
        <f>IF(OR($B2949="",$C2949=""),"",$C2949*$F2949)</f>
        <v>0</v>
      </c>
      <c r="H2949" s="27">
        <f>IF(OR($B2949="",$C2949=""),"",$C2949*IFERROR(INDEX(PecCusto,MATCH($B2949,PecCod,0)),0))</f>
        <v>0</v>
      </c>
      <c r="I2949" s="32">
        <f>IF($A2949="","",IFERROR(INDEX(OSStatus,MATCH($A2949,OSNum,0)),"OS inexistente"))</f>
        <v>0</v>
      </c>
      <c r="J2949" s="32">
        <f>IF($A2949="","",IF($I2949="OS inexistente","OS inexistente",IF($E2949="Peça não cadastrada","Peça não cadastrada","OK")))</f>
        <v>0</v>
      </c>
    </row>
    <row r="2950" spans="1:10">
      <c r="A2950" s="17"/>
      <c r="B2950" s="13"/>
      <c r="C2950" s="20"/>
      <c r="D2950" s="19"/>
      <c r="E2950" s="26">
        <f>IF($B2950="","",IFERROR(INDEX(PecDesc,MATCH($B2950,PecCod,0)),"Peça não cadastrada"))</f>
        <v>0</v>
      </c>
      <c r="F2950" s="27">
        <f>IF($B2950="","",IF($D2950&lt;&gt;"",$D2950,IFERROR(INDEX(PecPreco,MATCH($B2950,PecCod,0)),0)))</f>
        <v>0</v>
      </c>
      <c r="G2950" s="27">
        <f>IF(OR($B2950="",$C2950=""),"",$C2950*$F2950)</f>
        <v>0</v>
      </c>
      <c r="H2950" s="27">
        <f>IF(OR($B2950="",$C2950=""),"",$C2950*IFERROR(INDEX(PecCusto,MATCH($B2950,PecCod,0)),0))</f>
        <v>0</v>
      </c>
      <c r="I2950" s="32">
        <f>IF($A2950="","",IFERROR(INDEX(OSStatus,MATCH($A2950,OSNum,0)),"OS inexistente"))</f>
        <v>0</v>
      </c>
      <c r="J2950" s="32">
        <f>IF($A2950="","",IF($I2950="OS inexistente","OS inexistente",IF($E2950="Peça não cadastrada","Peça não cadastrada","OK")))</f>
        <v>0</v>
      </c>
    </row>
    <row r="2951" spans="1:10">
      <c r="A2951" s="17"/>
      <c r="B2951" s="13"/>
      <c r="C2951" s="20"/>
      <c r="D2951" s="19"/>
      <c r="E2951" s="26">
        <f>IF($B2951="","",IFERROR(INDEX(PecDesc,MATCH($B2951,PecCod,0)),"Peça não cadastrada"))</f>
        <v>0</v>
      </c>
      <c r="F2951" s="27">
        <f>IF($B2951="","",IF($D2951&lt;&gt;"",$D2951,IFERROR(INDEX(PecPreco,MATCH($B2951,PecCod,0)),0)))</f>
        <v>0</v>
      </c>
      <c r="G2951" s="27">
        <f>IF(OR($B2951="",$C2951=""),"",$C2951*$F2951)</f>
        <v>0</v>
      </c>
      <c r="H2951" s="27">
        <f>IF(OR($B2951="",$C2951=""),"",$C2951*IFERROR(INDEX(PecCusto,MATCH($B2951,PecCod,0)),0))</f>
        <v>0</v>
      </c>
      <c r="I2951" s="32">
        <f>IF($A2951="","",IFERROR(INDEX(OSStatus,MATCH($A2951,OSNum,0)),"OS inexistente"))</f>
        <v>0</v>
      </c>
      <c r="J2951" s="32">
        <f>IF($A2951="","",IF($I2951="OS inexistente","OS inexistente",IF($E2951="Peça não cadastrada","Peça não cadastrada","OK")))</f>
        <v>0</v>
      </c>
    </row>
    <row r="2952" spans="1:10">
      <c r="A2952" s="17"/>
      <c r="B2952" s="13"/>
      <c r="C2952" s="20"/>
      <c r="D2952" s="19"/>
      <c r="E2952" s="26">
        <f>IF($B2952="","",IFERROR(INDEX(PecDesc,MATCH($B2952,PecCod,0)),"Peça não cadastrada"))</f>
        <v>0</v>
      </c>
      <c r="F2952" s="27">
        <f>IF($B2952="","",IF($D2952&lt;&gt;"",$D2952,IFERROR(INDEX(PecPreco,MATCH($B2952,PecCod,0)),0)))</f>
        <v>0</v>
      </c>
      <c r="G2952" s="27">
        <f>IF(OR($B2952="",$C2952=""),"",$C2952*$F2952)</f>
        <v>0</v>
      </c>
      <c r="H2952" s="27">
        <f>IF(OR($B2952="",$C2952=""),"",$C2952*IFERROR(INDEX(PecCusto,MATCH($B2952,PecCod,0)),0))</f>
        <v>0</v>
      </c>
      <c r="I2952" s="32">
        <f>IF($A2952="","",IFERROR(INDEX(OSStatus,MATCH($A2952,OSNum,0)),"OS inexistente"))</f>
        <v>0</v>
      </c>
      <c r="J2952" s="32">
        <f>IF($A2952="","",IF($I2952="OS inexistente","OS inexistente",IF($E2952="Peça não cadastrada","Peça não cadastrada","OK")))</f>
        <v>0</v>
      </c>
    </row>
    <row r="2953" spans="1:10">
      <c r="A2953" s="17"/>
      <c r="B2953" s="13"/>
      <c r="C2953" s="20"/>
      <c r="D2953" s="19"/>
      <c r="E2953" s="26">
        <f>IF($B2953="","",IFERROR(INDEX(PecDesc,MATCH($B2953,PecCod,0)),"Peça não cadastrada"))</f>
        <v>0</v>
      </c>
      <c r="F2953" s="27">
        <f>IF($B2953="","",IF($D2953&lt;&gt;"",$D2953,IFERROR(INDEX(PecPreco,MATCH($B2953,PecCod,0)),0)))</f>
        <v>0</v>
      </c>
      <c r="G2953" s="27">
        <f>IF(OR($B2953="",$C2953=""),"",$C2953*$F2953)</f>
        <v>0</v>
      </c>
      <c r="H2953" s="27">
        <f>IF(OR($B2953="",$C2953=""),"",$C2953*IFERROR(INDEX(PecCusto,MATCH($B2953,PecCod,0)),0))</f>
        <v>0</v>
      </c>
      <c r="I2953" s="32">
        <f>IF($A2953="","",IFERROR(INDEX(OSStatus,MATCH($A2953,OSNum,0)),"OS inexistente"))</f>
        <v>0</v>
      </c>
      <c r="J2953" s="32">
        <f>IF($A2953="","",IF($I2953="OS inexistente","OS inexistente",IF($E2953="Peça não cadastrada","Peça não cadastrada","OK")))</f>
        <v>0</v>
      </c>
    </row>
    <row r="2954" spans="1:10">
      <c r="A2954" s="17"/>
      <c r="B2954" s="13"/>
      <c r="C2954" s="20"/>
      <c r="D2954" s="19"/>
      <c r="E2954" s="26">
        <f>IF($B2954="","",IFERROR(INDEX(PecDesc,MATCH($B2954,PecCod,0)),"Peça não cadastrada"))</f>
        <v>0</v>
      </c>
      <c r="F2954" s="27">
        <f>IF($B2954="","",IF($D2954&lt;&gt;"",$D2954,IFERROR(INDEX(PecPreco,MATCH($B2954,PecCod,0)),0)))</f>
        <v>0</v>
      </c>
      <c r="G2954" s="27">
        <f>IF(OR($B2954="",$C2954=""),"",$C2954*$F2954)</f>
        <v>0</v>
      </c>
      <c r="H2954" s="27">
        <f>IF(OR($B2954="",$C2954=""),"",$C2954*IFERROR(INDEX(PecCusto,MATCH($B2954,PecCod,0)),0))</f>
        <v>0</v>
      </c>
      <c r="I2954" s="32">
        <f>IF($A2954="","",IFERROR(INDEX(OSStatus,MATCH($A2954,OSNum,0)),"OS inexistente"))</f>
        <v>0</v>
      </c>
      <c r="J2954" s="32">
        <f>IF($A2954="","",IF($I2954="OS inexistente","OS inexistente",IF($E2954="Peça não cadastrada","Peça não cadastrada","OK")))</f>
        <v>0</v>
      </c>
    </row>
    <row r="2955" spans="1:10">
      <c r="A2955" s="17"/>
      <c r="B2955" s="13"/>
      <c r="C2955" s="20"/>
      <c r="D2955" s="19"/>
      <c r="E2955" s="26">
        <f>IF($B2955="","",IFERROR(INDEX(PecDesc,MATCH($B2955,PecCod,0)),"Peça não cadastrada"))</f>
        <v>0</v>
      </c>
      <c r="F2955" s="27">
        <f>IF($B2955="","",IF($D2955&lt;&gt;"",$D2955,IFERROR(INDEX(PecPreco,MATCH($B2955,PecCod,0)),0)))</f>
        <v>0</v>
      </c>
      <c r="G2955" s="27">
        <f>IF(OR($B2955="",$C2955=""),"",$C2955*$F2955)</f>
        <v>0</v>
      </c>
      <c r="H2955" s="27">
        <f>IF(OR($B2955="",$C2955=""),"",$C2955*IFERROR(INDEX(PecCusto,MATCH($B2955,PecCod,0)),0))</f>
        <v>0</v>
      </c>
      <c r="I2955" s="32">
        <f>IF($A2955="","",IFERROR(INDEX(OSStatus,MATCH($A2955,OSNum,0)),"OS inexistente"))</f>
        <v>0</v>
      </c>
      <c r="J2955" s="32">
        <f>IF($A2955="","",IF($I2955="OS inexistente","OS inexistente",IF($E2955="Peça não cadastrada","Peça não cadastrada","OK")))</f>
        <v>0</v>
      </c>
    </row>
    <row r="2956" spans="1:10">
      <c r="A2956" s="17"/>
      <c r="B2956" s="13"/>
      <c r="C2956" s="20"/>
      <c r="D2956" s="19"/>
      <c r="E2956" s="26">
        <f>IF($B2956="","",IFERROR(INDEX(PecDesc,MATCH($B2956,PecCod,0)),"Peça não cadastrada"))</f>
        <v>0</v>
      </c>
      <c r="F2956" s="27">
        <f>IF($B2956="","",IF($D2956&lt;&gt;"",$D2956,IFERROR(INDEX(PecPreco,MATCH($B2956,PecCod,0)),0)))</f>
        <v>0</v>
      </c>
      <c r="G2956" s="27">
        <f>IF(OR($B2956="",$C2956=""),"",$C2956*$F2956)</f>
        <v>0</v>
      </c>
      <c r="H2956" s="27">
        <f>IF(OR($B2956="",$C2956=""),"",$C2956*IFERROR(INDEX(PecCusto,MATCH($B2956,PecCod,0)),0))</f>
        <v>0</v>
      </c>
      <c r="I2956" s="32">
        <f>IF($A2956="","",IFERROR(INDEX(OSStatus,MATCH($A2956,OSNum,0)),"OS inexistente"))</f>
        <v>0</v>
      </c>
      <c r="J2956" s="32">
        <f>IF($A2956="","",IF($I2956="OS inexistente","OS inexistente",IF($E2956="Peça não cadastrada","Peça não cadastrada","OK")))</f>
        <v>0</v>
      </c>
    </row>
    <row r="2957" spans="1:10">
      <c r="A2957" s="17"/>
      <c r="B2957" s="13"/>
      <c r="C2957" s="20"/>
      <c r="D2957" s="19"/>
      <c r="E2957" s="26">
        <f>IF($B2957="","",IFERROR(INDEX(PecDesc,MATCH($B2957,PecCod,0)),"Peça não cadastrada"))</f>
        <v>0</v>
      </c>
      <c r="F2957" s="27">
        <f>IF($B2957="","",IF($D2957&lt;&gt;"",$D2957,IFERROR(INDEX(PecPreco,MATCH($B2957,PecCod,0)),0)))</f>
        <v>0</v>
      </c>
      <c r="G2957" s="27">
        <f>IF(OR($B2957="",$C2957=""),"",$C2957*$F2957)</f>
        <v>0</v>
      </c>
      <c r="H2957" s="27">
        <f>IF(OR($B2957="",$C2957=""),"",$C2957*IFERROR(INDEX(PecCusto,MATCH($B2957,PecCod,0)),0))</f>
        <v>0</v>
      </c>
      <c r="I2957" s="32">
        <f>IF($A2957="","",IFERROR(INDEX(OSStatus,MATCH($A2957,OSNum,0)),"OS inexistente"))</f>
        <v>0</v>
      </c>
      <c r="J2957" s="32">
        <f>IF($A2957="","",IF($I2957="OS inexistente","OS inexistente",IF($E2957="Peça não cadastrada","Peça não cadastrada","OK")))</f>
        <v>0</v>
      </c>
    </row>
    <row r="2958" spans="1:10">
      <c r="A2958" s="17"/>
      <c r="B2958" s="13"/>
      <c r="C2958" s="20"/>
      <c r="D2958" s="19"/>
      <c r="E2958" s="26">
        <f>IF($B2958="","",IFERROR(INDEX(PecDesc,MATCH($B2958,PecCod,0)),"Peça não cadastrada"))</f>
        <v>0</v>
      </c>
      <c r="F2958" s="27">
        <f>IF($B2958="","",IF($D2958&lt;&gt;"",$D2958,IFERROR(INDEX(PecPreco,MATCH($B2958,PecCod,0)),0)))</f>
        <v>0</v>
      </c>
      <c r="G2958" s="27">
        <f>IF(OR($B2958="",$C2958=""),"",$C2958*$F2958)</f>
        <v>0</v>
      </c>
      <c r="H2958" s="27">
        <f>IF(OR($B2958="",$C2958=""),"",$C2958*IFERROR(INDEX(PecCusto,MATCH($B2958,PecCod,0)),0))</f>
        <v>0</v>
      </c>
      <c r="I2958" s="32">
        <f>IF($A2958="","",IFERROR(INDEX(OSStatus,MATCH($A2958,OSNum,0)),"OS inexistente"))</f>
        <v>0</v>
      </c>
      <c r="J2958" s="32">
        <f>IF($A2958="","",IF($I2958="OS inexistente","OS inexistente",IF($E2958="Peça não cadastrada","Peça não cadastrada","OK")))</f>
        <v>0</v>
      </c>
    </row>
    <row r="2959" spans="1:10">
      <c r="A2959" s="17"/>
      <c r="B2959" s="13"/>
      <c r="C2959" s="20"/>
      <c r="D2959" s="19"/>
      <c r="E2959" s="26">
        <f>IF($B2959="","",IFERROR(INDEX(PecDesc,MATCH($B2959,PecCod,0)),"Peça não cadastrada"))</f>
        <v>0</v>
      </c>
      <c r="F2959" s="27">
        <f>IF($B2959="","",IF($D2959&lt;&gt;"",$D2959,IFERROR(INDEX(PecPreco,MATCH($B2959,PecCod,0)),0)))</f>
        <v>0</v>
      </c>
      <c r="G2959" s="27">
        <f>IF(OR($B2959="",$C2959=""),"",$C2959*$F2959)</f>
        <v>0</v>
      </c>
      <c r="H2959" s="27">
        <f>IF(OR($B2959="",$C2959=""),"",$C2959*IFERROR(INDEX(PecCusto,MATCH($B2959,PecCod,0)),0))</f>
        <v>0</v>
      </c>
      <c r="I2959" s="32">
        <f>IF($A2959="","",IFERROR(INDEX(OSStatus,MATCH($A2959,OSNum,0)),"OS inexistente"))</f>
        <v>0</v>
      </c>
      <c r="J2959" s="32">
        <f>IF($A2959="","",IF($I2959="OS inexistente","OS inexistente",IF($E2959="Peça não cadastrada","Peça não cadastrada","OK")))</f>
        <v>0</v>
      </c>
    </row>
    <row r="2960" spans="1:10">
      <c r="A2960" s="17"/>
      <c r="B2960" s="13"/>
      <c r="C2960" s="20"/>
      <c r="D2960" s="19"/>
      <c r="E2960" s="26">
        <f>IF($B2960="","",IFERROR(INDEX(PecDesc,MATCH($B2960,PecCod,0)),"Peça não cadastrada"))</f>
        <v>0</v>
      </c>
      <c r="F2960" s="27">
        <f>IF($B2960="","",IF($D2960&lt;&gt;"",$D2960,IFERROR(INDEX(PecPreco,MATCH($B2960,PecCod,0)),0)))</f>
        <v>0</v>
      </c>
      <c r="G2960" s="27">
        <f>IF(OR($B2960="",$C2960=""),"",$C2960*$F2960)</f>
        <v>0</v>
      </c>
      <c r="H2960" s="27">
        <f>IF(OR($B2960="",$C2960=""),"",$C2960*IFERROR(INDEX(PecCusto,MATCH($B2960,PecCod,0)),0))</f>
        <v>0</v>
      </c>
      <c r="I2960" s="32">
        <f>IF($A2960="","",IFERROR(INDEX(OSStatus,MATCH($A2960,OSNum,0)),"OS inexistente"))</f>
        <v>0</v>
      </c>
      <c r="J2960" s="32">
        <f>IF($A2960="","",IF($I2960="OS inexistente","OS inexistente",IF($E2960="Peça não cadastrada","Peça não cadastrada","OK")))</f>
        <v>0</v>
      </c>
    </row>
    <row r="2961" spans="1:10">
      <c r="A2961" s="17"/>
      <c r="B2961" s="13"/>
      <c r="C2961" s="20"/>
      <c r="D2961" s="19"/>
      <c r="E2961" s="26">
        <f>IF($B2961="","",IFERROR(INDEX(PecDesc,MATCH($B2961,PecCod,0)),"Peça não cadastrada"))</f>
        <v>0</v>
      </c>
      <c r="F2961" s="27">
        <f>IF($B2961="","",IF($D2961&lt;&gt;"",$D2961,IFERROR(INDEX(PecPreco,MATCH($B2961,PecCod,0)),0)))</f>
        <v>0</v>
      </c>
      <c r="G2961" s="27">
        <f>IF(OR($B2961="",$C2961=""),"",$C2961*$F2961)</f>
        <v>0</v>
      </c>
      <c r="H2961" s="27">
        <f>IF(OR($B2961="",$C2961=""),"",$C2961*IFERROR(INDEX(PecCusto,MATCH($B2961,PecCod,0)),0))</f>
        <v>0</v>
      </c>
      <c r="I2961" s="32">
        <f>IF($A2961="","",IFERROR(INDEX(OSStatus,MATCH($A2961,OSNum,0)),"OS inexistente"))</f>
        <v>0</v>
      </c>
      <c r="J2961" s="32">
        <f>IF($A2961="","",IF($I2961="OS inexistente","OS inexistente",IF($E2961="Peça não cadastrada","Peça não cadastrada","OK")))</f>
        <v>0</v>
      </c>
    </row>
    <row r="2962" spans="1:10">
      <c r="A2962" s="17"/>
      <c r="B2962" s="13"/>
      <c r="C2962" s="20"/>
      <c r="D2962" s="19"/>
      <c r="E2962" s="26">
        <f>IF($B2962="","",IFERROR(INDEX(PecDesc,MATCH($B2962,PecCod,0)),"Peça não cadastrada"))</f>
        <v>0</v>
      </c>
      <c r="F2962" s="27">
        <f>IF($B2962="","",IF($D2962&lt;&gt;"",$D2962,IFERROR(INDEX(PecPreco,MATCH($B2962,PecCod,0)),0)))</f>
        <v>0</v>
      </c>
      <c r="G2962" s="27">
        <f>IF(OR($B2962="",$C2962=""),"",$C2962*$F2962)</f>
        <v>0</v>
      </c>
      <c r="H2962" s="27">
        <f>IF(OR($B2962="",$C2962=""),"",$C2962*IFERROR(INDEX(PecCusto,MATCH($B2962,PecCod,0)),0))</f>
        <v>0</v>
      </c>
      <c r="I2962" s="32">
        <f>IF($A2962="","",IFERROR(INDEX(OSStatus,MATCH($A2962,OSNum,0)),"OS inexistente"))</f>
        <v>0</v>
      </c>
      <c r="J2962" s="32">
        <f>IF($A2962="","",IF($I2962="OS inexistente","OS inexistente",IF($E2962="Peça não cadastrada","Peça não cadastrada","OK")))</f>
        <v>0</v>
      </c>
    </row>
    <row r="2963" spans="1:10">
      <c r="A2963" s="17"/>
      <c r="B2963" s="13"/>
      <c r="C2963" s="20"/>
      <c r="D2963" s="19"/>
      <c r="E2963" s="26">
        <f>IF($B2963="","",IFERROR(INDEX(PecDesc,MATCH($B2963,PecCod,0)),"Peça não cadastrada"))</f>
        <v>0</v>
      </c>
      <c r="F2963" s="27">
        <f>IF($B2963="","",IF($D2963&lt;&gt;"",$D2963,IFERROR(INDEX(PecPreco,MATCH($B2963,PecCod,0)),0)))</f>
        <v>0</v>
      </c>
      <c r="G2963" s="27">
        <f>IF(OR($B2963="",$C2963=""),"",$C2963*$F2963)</f>
        <v>0</v>
      </c>
      <c r="H2963" s="27">
        <f>IF(OR($B2963="",$C2963=""),"",$C2963*IFERROR(INDEX(PecCusto,MATCH($B2963,PecCod,0)),0))</f>
        <v>0</v>
      </c>
      <c r="I2963" s="32">
        <f>IF($A2963="","",IFERROR(INDEX(OSStatus,MATCH($A2963,OSNum,0)),"OS inexistente"))</f>
        <v>0</v>
      </c>
      <c r="J2963" s="32">
        <f>IF($A2963="","",IF($I2963="OS inexistente","OS inexistente",IF($E2963="Peça não cadastrada","Peça não cadastrada","OK")))</f>
        <v>0</v>
      </c>
    </row>
    <row r="2964" spans="1:10">
      <c r="A2964" s="17"/>
      <c r="B2964" s="13"/>
      <c r="C2964" s="20"/>
      <c r="D2964" s="19"/>
      <c r="E2964" s="26">
        <f>IF($B2964="","",IFERROR(INDEX(PecDesc,MATCH($B2964,PecCod,0)),"Peça não cadastrada"))</f>
        <v>0</v>
      </c>
      <c r="F2964" s="27">
        <f>IF($B2964="","",IF($D2964&lt;&gt;"",$D2964,IFERROR(INDEX(PecPreco,MATCH($B2964,PecCod,0)),0)))</f>
        <v>0</v>
      </c>
      <c r="G2964" s="27">
        <f>IF(OR($B2964="",$C2964=""),"",$C2964*$F2964)</f>
        <v>0</v>
      </c>
      <c r="H2964" s="27">
        <f>IF(OR($B2964="",$C2964=""),"",$C2964*IFERROR(INDEX(PecCusto,MATCH($B2964,PecCod,0)),0))</f>
        <v>0</v>
      </c>
      <c r="I2964" s="32">
        <f>IF($A2964="","",IFERROR(INDEX(OSStatus,MATCH($A2964,OSNum,0)),"OS inexistente"))</f>
        <v>0</v>
      </c>
      <c r="J2964" s="32">
        <f>IF($A2964="","",IF($I2964="OS inexistente","OS inexistente",IF($E2964="Peça não cadastrada","Peça não cadastrada","OK")))</f>
        <v>0</v>
      </c>
    </row>
    <row r="2965" spans="1:10">
      <c r="A2965" s="17"/>
      <c r="B2965" s="13"/>
      <c r="C2965" s="20"/>
      <c r="D2965" s="19"/>
      <c r="E2965" s="26">
        <f>IF($B2965="","",IFERROR(INDEX(PecDesc,MATCH($B2965,PecCod,0)),"Peça não cadastrada"))</f>
        <v>0</v>
      </c>
      <c r="F2965" s="27">
        <f>IF($B2965="","",IF($D2965&lt;&gt;"",$D2965,IFERROR(INDEX(PecPreco,MATCH($B2965,PecCod,0)),0)))</f>
        <v>0</v>
      </c>
      <c r="G2965" s="27">
        <f>IF(OR($B2965="",$C2965=""),"",$C2965*$F2965)</f>
        <v>0</v>
      </c>
      <c r="H2965" s="27">
        <f>IF(OR($B2965="",$C2965=""),"",$C2965*IFERROR(INDEX(PecCusto,MATCH($B2965,PecCod,0)),0))</f>
        <v>0</v>
      </c>
      <c r="I2965" s="32">
        <f>IF($A2965="","",IFERROR(INDEX(OSStatus,MATCH($A2965,OSNum,0)),"OS inexistente"))</f>
        <v>0</v>
      </c>
      <c r="J2965" s="32">
        <f>IF($A2965="","",IF($I2965="OS inexistente","OS inexistente",IF($E2965="Peça não cadastrada","Peça não cadastrada","OK")))</f>
        <v>0</v>
      </c>
    </row>
    <row r="2966" spans="1:10">
      <c r="A2966" s="17"/>
      <c r="B2966" s="13"/>
      <c r="C2966" s="20"/>
      <c r="D2966" s="19"/>
      <c r="E2966" s="26">
        <f>IF($B2966="","",IFERROR(INDEX(PecDesc,MATCH($B2966,PecCod,0)),"Peça não cadastrada"))</f>
        <v>0</v>
      </c>
      <c r="F2966" s="27">
        <f>IF($B2966="","",IF($D2966&lt;&gt;"",$D2966,IFERROR(INDEX(PecPreco,MATCH($B2966,PecCod,0)),0)))</f>
        <v>0</v>
      </c>
      <c r="G2966" s="27">
        <f>IF(OR($B2966="",$C2966=""),"",$C2966*$F2966)</f>
        <v>0</v>
      </c>
      <c r="H2966" s="27">
        <f>IF(OR($B2966="",$C2966=""),"",$C2966*IFERROR(INDEX(PecCusto,MATCH($B2966,PecCod,0)),0))</f>
        <v>0</v>
      </c>
      <c r="I2966" s="32">
        <f>IF($A2966="","",IFERROR(INDEX(OSStatus,MATCH($A2966,OSNum,0)),"OS inexistente"))</f>
        <v>0</v>
      </c>
      <c r="J2966" s="32">
        <f>IF($A2966="","",IF($I2966="OS inexistente","OS inexistente",IF($E2966="Peça não cadastrada","Peça não cadastrada","OK")))</f>
        <v>0</v>
      </c>
    </row>
    <row r="2967" spans="1:10">
      <c r="A2967" s="17"/>
      <c r="B2967" s="13"/>
      <c r="C2967" s="20"/>
      <c r="D2967" s="19"/>
      <c r="E2967" s="26">
        <f>IF($B2967="","",IFERROR(INDEX(PecDesc,MATCH($B2967,PecCod,0)),"Peça não cadastrada"))</f>
        <v>0</v>
      </c>
      <c r="F2967" s="27">
        <f>IF($B2967="","",IF($D2967&lt;&gt;"",$D2967,IFERROR(INDEX(PecPreco,MATCH($B2967,PecCod,0)),0)))</f>
        <v>0</v>
      </c>
      <c r="G2967" s="27">
        <f>IF(OR($B2967="",$C2967=""),"",$C2967*$F2967)</f>
        <v>0</v>
      </c>
      <c r="H2967" s="27">
        <f>IF(OR($B2967="",$C2967=""),"",$C2967*IFERROR(INDEX(PecCusto,MATCH($B2967,PecCod,0)),0))</f>
        <v>0</v>
      </c>
      <c r="I2967" s="32">
        <f>IF($A2967="","",IFERROR(INDEX(OSStatus,MATCH($A2967,OSNum,0)),"OS inexistente"))</f>
        <v>0</v>
      </c>
      <c r="J2967" s="32">
        <f>IF($A2967="","",IF($I2967="OS inexistente","OS inexistente",IF($E2967="Peça não cadastrada","Peça não cadastrada","OK")))</f>
        <v>0</v>
      </c>
    </row>
    <row r="2968" spans="1:10">
      <c r="A2968" s="17"/>
      <c r="B2968" s="13"/>
      <c r="C2968" s="20"/>
      <c r="D2968" s="19"/>
      <c r="E2968" s="26">
        <f>IF($B2968="","",IFERROR(INDEX(PecDesc,MATCH($B2968,PecCod,0)),"Peça não cadastrada"))</f>
        <v>0</v>
      </c>
      <c r="F2968" s="27">
        <f>IF($B2968="","",IF($D2968&lt;&gt;"",$D2968,IFERROR(INDEX(PecPreco,MATCH($B2968,PecCod,0)),0)))</f>
        <v>0</v>
      </c>
      <c r="G2968" s="27">
        <f>IF(OR($B2968="",$C2968=""),"",$C2968*$F2968)</f>
        <v>0</v>
      </c>
      <c r="H2968" s="27">
        <f>IF(OR($B2968="",$C2968=""),"",$C2968*IFERROR(INDEX(PecCusto,MATCH($B2968,PecCod,0)),0))</f>
        <v>0</v>
      </c>
      <c r="I2968" s="32">
        <f>IF($A2968="","",IFERROR(INDEX(OSStatus,MATCH($A2968,OSNum,0)),"OS inexistente"))</f>
        <v>0</v>
      </c>
      <c r="J2968" s="32">
        <f>IF($A2968="","",IF($I2968="OS inexistente","OS inexistente",IF($E2968="Peça não cadastrada","Peça não cadastrada","OK")))</f>
        <v>0</v>
      </c>
    </row>
    <row r="2969" spans="1:10">
      <c r="A2969" s="17"/>
      <c r="B2969" s="13"/>
      <c r="C2969" s="20"/>
      <c r="D2969" s="19"/>
      <c r="E2969" s="26">
        <f>IF($B2969="","",IFERROR(INDEX(PecDesc,MATCH($B2969,PecCod,0)),"Peça não cadastrada"))</f>
        <v>0</v>
      </c>
      <c r="F2969" s="27">
        <f>IF($B2969="","",IF($D2969&lt;&gt;"",$D2969,IFERROR(INDEX(PecPreco,MATCH($B2969,PecCod,0)),0)))</f>
        <v>0</v>
      </c>
      <c r="G2969" s="27">
        <f>IF(OR($B2969="",$C2969=""),"",$C2969*$F2969)</f>
        <v>0</v>
      </c>
      <c r="H2969" s="27">
        <f>IF(OR($B2969="",$C2969=""),"",$C2969*IFERROR(INDEX(PecCusto,MATCH($B2969,PecCod,0)),0))</f>
        <v>0</v>
      </c>
      <c r="I2969" s="32">
        <f>IF($A2969="","",IFERROR(INDEX(OSStatus,MATCH($A2969,OSNum,0)),"OS inexistente"))</f>
        <v>0</v>
      </c>
      <c r="J2969" s="32">
        <f>IF($A2969="","",IF($I2969="OS inexistente","OS inexistente",IF($E2969="Peça não cadastrada","Peça não cadastrada","OK")))</f>
        <v>0</v>
      </c>
    </row>
    <row r="2970" spans="1:10">
      <c r="A2970" s="17"/>
      <c r="B2970" s="13"/>
      <c r="C2970" s="20"/>
      <c r="D2970" s="19"/>
      <c r="E2970" s="26">
        <f>IF($B2970="","",IFERROR(INDEX(PecDesc,MATCH($B2970,PecCod,0)),"Peça não cadastrada"))</f>
        <v>0</v>
      </c>
      <c r="F2970" s="27">
        <f>IF($B2970="","",IF($D2970&lt;&gt;"",$D2970,IFERROR(INDEX(PecPreco,MATCH($B2970,PecCod,0)),0)))</f>
        <v>0</v>
      </c>
      <c r="G2970" s="27">
        <f>IF(OR($B2970="",$C2970=""),"",$C2970*$F2970)</f>
        <v>0</v>
      </c>
      <c r="H2970" s="27">
        <f>IF(OR($B2970="",$C2970=""),"",$C2970*IFERROR(INDEX(PecCusto,MATCH($B2970,PecCod,0)),0))</f>
        <v>0</v>
      </c>
      <c r="I2970" s="32">
        <f>IF($A2970="","",IFERROR(INDEX(OSStatus,MATCH($A2970,OSNum,0)),"OS inexistente"))</f>
        <v>0</v>
      </c>
      <c r="J2970" s="32">
        <f>IF($A2970="","",IF($I2970="OS inexistente","OS inexistente",IF($E2970="Peça não cadastrada","Peça não cadastrada","OK")))</f>
        <v>0</v>
      </c>
    </row>
    <row r="2971" spans="1:10">
      <c r="A2971" s="17"/>
      <c r="B2971" s="13"/>
      <c r="C2971" s="20"/>
      <c r="D2971" s="19"/>
      <c r="E2971" s="26">
        <f>IF($B2971="","",IFERROR(INDEX(PecDesc,MATCH($B2971,PecCod,0)),"Peça não cadastrada"))</f>
        <v>0</v>
      </c>
      <c r="F2971" s="27">
        <f>IF($B2971="","",IF($D2971&lt;&gt;"",$D2971,IFERROR(INDEX(PecPreco,MATCH($B2971,PecCod,0)),0)))</f>
        <v>0</v>
      </c>
      <c r="G2971" s="27">
        <f>IF(OR($B2971="",$C2971=""),"",$C2971*$F2971)</f>
        <v>0</v>
      </c>
      <c r="H2971" s="27">
        <f>IF(OR($B2971="",$C2971=""),"",$C2971*IFERROR(INDEX(PecCusto,MATCH($B2971,PecCod,0)),0))</f>
        <v>0</v>
      </c>
      <c r="I2971" s="32">
        <f>IF($A2971="","",IFERROR(INDEX(OSStatus,MATCH($A2971,OSNum,0)),"OS inexistente"))</f>
        <v>0</v>
      </c>
      <c r="J2971" s="32">
        <f>IF($A2971="","",IF($I2971="OS inexistente","OS inexistente",IF($E2971="Peça não cadastrada","Peça não cadastrada","OK")))</f>
        <v>0</v>
      </c>
    </row>
    <row r="2972" spans="1:10">
      <c r="A2972" s="17"/>
      <c r="B2972" s="13"/>
      <c r="C2972" s="20"/>
      <c r="D2972" s="19"/>
      <c r="E2972" s="26">
        <f>IF($B2972="","",IFERROR(INDEX(PecDesc,MATCH($B2972,PecCod,0)),"Peça não cadastrada"))</f>
        <v>0</v>
      </c>
      <c r="F2972" s="27">
        <f>IF($B2972="","",IF($D2972&lt;&gt;"",$D2972,IFERROR(INDEX(PecPreco,MATCH($B2972,PecCod,0)),0)))</f>
        <v>0</v>
      </c>
      <c r="G2972" s="27">
        <f>IF(OR($B2972="",$C2972=""),"",$C2972*$F2972)</f>
        <v>0</v>
      </c>
      <c r="H2972" s="27">
        <f>IF(OR($B2972="",$C2972=""),"",$C2972*IFERROR(INDEX(PecCusto,MATCH($B2972,PecCod,0)),0))</f>
        <v>0</v>
      </c>
      <c r="I2972" s="32">
        <f>IF($A2972="","",IFERROR(INDEX(OSStatus,MATCH($A2972,OSNum,0)),"OS inexistente"))</f>
        <v>0</v>
      </c>
      <c r="J2972" s="32">
        <f>IF($A2972="","",IF($I2972="OS inexistente","OS inexistente",IF($E2972="Peça não cadastrada","Peça não cadastrada","OK")))</f>
        <v>0</v>
      </c>
    </row>
    <row r="2973" spans="1:10">
      <c r="A2973" s="17"/>
      <c r="B2973" s="13"/>
      <c r="C2973" s="20"/>
      <c r="D2973" s="19"/>
      <c r="E2973" s="26">
        <f>IF($B2973="","",IFERROR(INDEX(PecDesc,MATCH($B2973,PecCod,0)),"Peça não cadastrada"))</f>
        <v>0</v>
      </c>
      <c r="F2973" s="27">
        <f>IF($B2973="","",IF($D2973&lt;&gt;"",$D2973,IFERROR(INDEX(PecPreco,MATCH($B2973,PecCod,0)),0)))</f>
        <v>0</v>
      </c>
      <c r="G2973" s="27">
        <f>IF(OR($B2973="",$C2973=""),"",$C2973*$F2973)</f>
        <v>0</v>
      </c>
      <c r="H2973" s="27">
        <f>IF(OR($B2973="",$C2973=""),"",$C2973*IFERROR(INDEX(PecCusto,MATCH($B2973,PecCod,0)),0))</f>
        <v>0</v>
      </c>
      <c r="I2973" s="32">
        <f>IF($A2973="","",IFERROR(INDEX(OSStatus,MATCH($A2973,OSNum,0)),"OS inexistente"))</f>
        <v>0</v>
      </c>
      <c r="J2973" s="32">
        <f>IF($A2973="","",IF($I2973="OS inexistente","OS inexistente",IF($E2973="Peça não cadastrada","Peça não cadastrada","OK")))</f>
        <v>0</v>
      </c>
    </row>
    <row r="2974" spans="1:10">
      <c r="A2974" s="17"/>
      <c r="B2974" s="13"/>
      <c r="C2974" s="20"/>
      <c r="D2974" s="19"/>
      <c r="E2974" s="26">
        <f>IF($B2974="","",IFERROR(INDEX(PecDesc,MATCH($B2974,PecCod,0)),"Peça não cadastrada"))</f>
        <v>0</v>
      </c>
      <c r="F2974" s="27">
        <f>IF($B2974="","",IF($D2974&lt;&gt;"",$D2974,IFERROR(INDEX(PecPreco,MATCH($B2974,PecCod,0)),0)))</f>
        <v>0</v>
      </c>
      <c r="G2974" s="27">
        <f>IF(OR($B2974="",$C2974=""),"",$C2974*$F2974)</f>
        <v>0</v>
      </c>
      <c r="H2974" s="27">
        <f>IF(OR($B2974="",$C2974=""),"",$C2974*IFERROR(INDEX(PecCusto,MATCH($B2974,PecCod,0)),0))</f>
        <v>0</v>
      </c>
      <c r="I2974" s="32">
        <f>IF($A2974="","",IFERROR(INDEX(OSStatus,MATCH($A2974,OSNum,0)),"OS inexistente"))</f>
        <v>0</v>
      </c>
      <c r="J2974" s="32">
        <f>IF($A2974="","",IF($I2974="OS inexistente","OS inexistente",IF($E2974="Peça não cadastrada","Peça não cadastrada","OK")))</f>
        <v>0</v>
      </c>
    </row>
    <row r="2975" spans="1:10">
      <c r="A2975" s="17"/>
      <c r="B2975" s="13"/>
      <c r="C2975" s="20"/>
      <c r="D2975" s="19"/>
      <c r="E2975" s="26">
        <f>IF($B2975="","",IFERROR(INDEX(PecDesc,MATCH($B2975,PecCod,0)),"Peça não cadastrada"))</f>
        <v>0</v>
      </c>
      <c r="F2975" s="27">
        <f>IF($B2975="","",IF($D2975&lt;&gt;"",$D2975,IFERROR(INDEX(PecPreco,MATCH($B2975,PecCod,0)),0)))</f>
        <v>0</v>
      </c>
      <c r="G2975" s="27">
        <f>IF(OR($B2975="",$C2975=""),"",$C2975*$F2975)</f>
        <v>0</v>
      </c>
      <c r="H2975" s="27">
        <f>IF(OR($B2975="",$C2975=""),"",$C2975*IFERROR(INDEX(PecCusto,MATCH($B2975,PecCod,0)),0))</f>
        <v>0</v>
      </c>
      <c r="I2975" s="32">
        <f>IF($A2975="","",IFERROR(INDEX(OSStatus,MATCH($A2975,OSNum,0)),"OS inexistente"))</f>
        <v>0</v>
      </c>
      <c r="J2975" s="32">
        <f>IF($A2975="","",IF($I2975="OS inexistente","OS inexistente",IF($E2975="Peça não cadastrada","Peça não cadastrada","OK")))</f>
        <v>0</v>
      </c>
    </row>
    <row r="2976" spans="1:10">
      <c r="A2976" s="17"/>
      <c r="B2976" s="13"/>
      <c r="C2976" s="20"/>
      <c r="D2976" s="19"/>
      <c r="E2976" s="26">
        <f>IF($B2976="","",IFERROR(INDEX(PecDesc,MATCH($B2976,PecCod,0)),"Peça não cadastrada"))</f>
        <v>0</v>
      </c>
      <c r="F2976" s="27">
        <f>IF($B2976="","",IF($D2976&lt;&gt;"",$D2976,IFERROR(INDEX(PecPreco,MATCH($B2976,PecCod,0)),0)))</f>
        <v>0</v>
      </c>
      <c r="G2976" s="27">
        <f>IF(OR($B2976="",$C2976=""),"",$C2976*$F2976)</f>
        <v>0</v>
      </c>
      <c r="H2976" s="27">
        <f>IF(OR($B2976="",$C2976=""),"",$C2976*IFERROR(INDEX(PecCusto,MATCH($B2976,PecCod,0)),0))</f>
        <v>0</v>
      </c>
      <c r="I2976" s="32">
        <f>IF($A2976="","",IFERROR(INDEX(OSStatus,MATCH($A2976,OSNum,0)),"OS inexistente"))</f>
        <v>0</v>
      </c>
      <c r="J2976" s="32">
        <f>IF($A2976="","",IF($I2976="OS inexistente","OS inexistente",IF($E2976="Peça não cadastrada","Peça não cadastrada","OK")))</f>
        <v>0</v>
      </c>
    </row>
    <row r="2977" spans="1:10">
      <c r="A2977" s="17"/>
      <c r="B2977" s="13"/>
      <c r="C2977" s="20"/>
      <c r="D2977" s="19"/>
      <c r="E2977" s="26">
        <f>IF($B2977="","",IFERROR(INDEX(PecDesc,MATCH($B2977,PecCod,0)),"Peça não cadastrada"))</f>
        <v>0</v>
      </c>
      <c r="F2977" s="27">
        <f>IF($B2977="","",IF($D2977&lt;&gt;"",$D2977,IFERROR(INDEX(PecPreco,MATCH($B2977,PecCod,0)),0)))</f>
        <v>0</v>
      </c>
      <c r="G2977" s="27">
        <f>IF(OR($B2977="",$C2977=""),"",$C2977*$F2977)</f>
        <v>0</v>
      </c>
      <c r="H2977" s="27">
        <f>IF(OR($B2977="",$C2977=""),"",$C2977*IFERROR(INDEX(PecCusto,MATCH($B2977,PecCod,0)),0))</f>
        <v>0</v>
      </c>
      <c r="I2977" s="32">
        <f>IF($A2977="","",IFERROR(INDEX(OSStatus,MATCH($A2977,OSNum,0)),"OS inexistente"))</f>
        <v>0</v>
      </c>
      <c r="J2977" s="32">
        <f>IF($A2977="","",IF($I2977="OS inexistente","OS inexistente",IF($E2977="Peça não cadastrada","Peça não cadastrada","OK")))</f>
        <v>0</v>
      </c>
    </row>
    <row r="2978" spans="1:10">
      <c r="A2978" s="17"/>
      <c r="B2978" s="13"/>
      <c r="C2978" s="20"/>
      <c r="D2978" s="19"/>
      <c r="E2978" s="26">
        <f>IF($B2978="","",IFERROR(INDEX(PecDesc,MATCH($B2978,PecCod,0)),"Peça não cadastrada"))</f>
        <v>0</v>
      </c>
      <c r="F2978" s="27">
        <f>IF($B2978="","",IF($D2978&lt;&gt;"",$D2978,IFERROR(INDEX(PecPreco,MATCH($B2978,PecCod,0)),0)))</f>
        <v>0</v>
      </c>
      <c r="G2978" s="27">
        <f>IF(OR($B2978="",$C2978=""),"",$C2978*$F2978)</f>
        <v>0</v>
      </c>
      <c r="H2978" s="27">
        <f>IF(OR($B2978="",$C2978=""),"",$C2978*IFERROR(INDEX(PecCusto,MATCH($B2978,PecCod,0)),0))</f>
        <v>0</v>
      </c>
      <c r="I2978" s="32">
        <f>IF($A2978="","",IFERROR(INDEX(OSStatus,MATCH($A2978,OSNum,0)),"OS inexistente"))</f>
        <v>0</v>
      </c>
      <c r="J2978" s="32">
        <f>IF($A2978="","",IF($I2978="OS inexistente","OS inexistente",IF($E2978="Peça não cadastrada","Peça não cadastrada","OK")))</f>
        <v>0</v>
      </c>
    </row>
    <row r="2979" spans="1:10">
      <c r="A2979" s="17"/>
      <c r="B2979" s="13"/>
      <c r="C2979" s="20"/>
      <c r="D2979" s="19"/>
      <c r="E2979" s="26">
        <f>IF($B2979="","",IFERROR(INDEX(PecDesc,MATCH($B2979,PecCod,0)),"Peça não cadastrada"))</f>
        <v>0</v>
      </c>
      <c r="F2979" s="27">
        <f>IF($B2979="","",IF($D2979&lt;&gt;"",$D2979,IFERROR(INDEX(PecPreco,MATCH($B2979,PecCod,0)),0)))</f>
        <v>0</v>
      </c>
      <c r="G2979" s="27">
        <f>IF(OR($B2979="",$C2979=""),"",$C2979*$F2979)</f>
        <v>0</v>
      </c>
      <c r="H2979" s="27">
        <f>IF(OR($B2979="",$C2979=""),"",$C2979*IFERROR(INDEX(PecCusto,MATCH($B2979,PecCod,0)),0))</f>
        <v>0</v>
      </c>
      <c r="I2979" s="32">
        <f>IF($A2979="","",IFERROR(INDEX(OSStatus,MATCH($A2979,OSNum,0)),"OS inexistente"))</f>
        <v>0</v>
      </c>
      <c r="J2979" s="32">
        <f>IF($A2979="","",IF($I2979="OS inexistente","OS inexistente",IF($E2979="Peça não cadastrada","Peça não cadastrada","OK")))</f>
        <v>0</v>
      </c>
    </row>
    <row r="2980" spans="1:10">
      <c r="A2980" s="17"/>
      <c r="B2980" s="13"/>
      <c r="C2980" s="20"/>
      <c r="D2980" s="19"/>
      <c r="E2980" s="26">
        <f>IF($B2980="","",IFERROR(INDEX(PecDesc,MATCH($B2980,PecCod,0)),"Peça não cadastrada"))</f>
        <v>0</v>
      </c>
      <c r="F2980" s="27">
        <f>IF($B2980="","",IF($D2980&lt;&gt;"",$D2980,IFERROR(INDEX(PecPreco,MATCH($B2980,PecCod,0)),0)))</f>
        <v>0</v>
      </c>
      <c r="G2980" s="27">
        <f>IF(OR($B2980="",$C2980=""),"",$C2980*$F2980)</f>
        <v>0</v>
      </c>
      <c r="H2980" s="27">
        <f>IF(OR($B2980="",$C2980=""),"",$C2980*IFERROR(INDEX(PecCusto,MATCH($B2980,PecCod,0)),0))</f>
        <v>0</v>
      </c>
      <c r="I2980" s="32">
        <f>IF($A2980="","",IFERROR(INDEX(OSStatus,MATCH($A2980,OSNum,0)),"OS inexistente"))</f>
        <v>0</v>
      </c>
      <c r="J2980" s="32">
        <f>IF($A2980="","",IF($I2980="OS inexistente","OS inexistente",IF($E2980="Peça não cadastrada","Peça não cadastrada","OK")))</f>
        <v>0</v>
      </c>
    </row>
    <row r="2981" spans="1:10">
      <c r="A2981" s="17"/>
      <c r="B2981" s="13"/>
      <c r="C2981" s="20"/>
      <c r="D2981" s="19"/>
      <c r="E2981" s="26">
        <f>IF($B2981="","",IFERROR(INDEX(PecDesc,MATCH($B2981,PecCod,0)),"Peça não cadastrada"))</f>
        <v>0</v>
      </c>
      <c r="F2981" s="27">
        <f>IF($B2981="","",IF($D2981&lt;&gt;"",$D2981,IFERROR(INDEX(PecPreco,MATCH($B2981,PecCod,0)),0)))</f>
        <v>0</v>
      </c>
      <c r="G2981" s="27">
        <f>IF(OR($B2981="",$C2981=""),"",$C2981*$F2981)</f>
        <v>0</v>
      </c>
      <c r="H2981" s="27">
        <f>IF(OR($B2981="",$C2981=""),"",$C2981*IFERROR(INDEX(PecCusto,MATCH($B2981,PecCod,0)),0))</f>
        <v>0</v>
      </c>
      <c r="I2981" s="32">
        <f>IF($A2981="","",IFERROR(INDEX(OSStatus,MATCH($A2981,OSNum,0)),"OS inexistente"))</f>
        <v>0</v>
      </c>
      <c r="J2981" s="32">
        <f>IF($A2981="","",IF($I2981="OS inexistente","OS inexistente",IF($E2981="Peça não cadastrada","Peça não cadastrada","OK")))</f>
        <v>0</v>
      </c>
    </row>
    <row r="2982" spans="1:10">
      <c r="A2982" s="17"/>
      <c r="B2982" s="13"/>
      <c r="C2982" s="20"/>
      <c r="D2982" s="19"/>
      <c r="E2982" s="26">
        <f>IF($B2982="","",IFERROR(INDEX(PecDesc,MATCH($B2982,PecCod,0)),"Peça não cadastrada"))</f>
        <v>0</v>
      </c>
      <c r="F2982" s="27">
        <f>IF($B2982="","",IF($D2982&lt;&gt;"",$D2982,IFERROR(INDEX(PecPreco,MATCH($B2982,PecCod,0)),0)))</f>
        <v>0</v>
      </c>
      <c r="G2982" s="27">
        <f>IF(OR($B2982="",$C2982=""),"",$C2982*$F2982)</f>
        <v>0</v>
      </c>
      <c r="H2982" s="27">
        <f>IF(OR($B2982="",$C2982=""),"",$C2982*IFERROR(INDEX(PecCusto,MATCH($B2982,PecCod,0)),0))</f>
        <v>0</v>
      </c>
      <c r="I2982" s="32">
        <f>IF($A2982="","",IFERROR(INDEX(OSStatus,MATCH($A2982,OSNum,0)),"OS inexistente"))</f>
        <v>0</v>
      </c>
      <c r="J2982" s="32">
        <f>IF($A2982="","",IF($I2982="OS inexistente","OS inexistente",IF($E2982="Peça não cadastrada","Peça não cadastrada","OK")))</f>
        <v>0</v>
      </c>
    </row>
    <row r="2983" spans="1:10">
      <c r="A2983" s="17"/>
      <c r="B2983" s="13"/>
      <c r="C2983" s="20"/>
      <c r="D2983" s="19"/>
      <c r="E2983" s="26">
        <f>IF($B2983="","",IFERROR(INDEX(PecDesc,MATCH($B2983,PecCod,0)),"Peça não cadastrada"))</f>
        <v>0</v>
      </c>
      <c r="F2983" s="27">
        <f>IF($B2983="","",IF($D2983&lt;&gt;"",$D2983,IFERROR(INDEX(PecPreco,MATCH($B2983,PecCod,0)),0)))</f>
        <v>0</v>
      </c>
      <c r="G2983" s="27">
        <f>IF(OR($B2983="",$C2983=""),"",$C2983*$F2983)</f>
        <v>0</v>
      </c>
      <c r="H2983" s="27">
        <f>IF(OR($B2983="",$C2983=""),"",$C2983*IFERROR(INDEX(PecCusto,MATCH($B2983,PecCod,0)),0))</f>
        <v>0</v>
      </c>
      <c r="I2983" s="32">
        <f>IF($A2983="","",IFERROR(INDEX(OSStatus,MATCH($A2983,OSNum,0)),"OS inexistente"))</f>
        <v>0</v>
      </c>
      <c r="J2983" s="32">
        <f>IF($A2983="","",IF($I2983="OS inexistente","OS inexistente",IF($E2983="Peça não cadastrada","Peça não cadastrada","OK")))</f>
        <v>0</v>
      </c>
    </row>
    <row r="2984" spans="1:10">
      <c r="A2984" s="17"/>
      <c r="B2984" s="13"/>
      <c r="C2984" s="20"/>
      <c r="D2984" s="19"/>
      <c r="E2984" s="26">
        <f>IF($B2984="","",IFERROR(INDEX(PecDesc,MATCH($B2984,PecCod,0)),"Peça não cadastrada"))</f>
        <v>0</v>
      </c>
      <c r="F2984" s="27">
        <f>IF($B2984="","",IF($D2984&lt;&gt;"",$D2984,IFERROR(INDEX(PecPreco,MATCH($B2984,PecCod,0)),0)))</f>
        <v>0</v>
      </c>
      <c r="G2984" s="27">
        <f>IF(OR($B2984="",$C2984=""),"",$C2984*$F2984)</f>
        <v>0</v>
      </c>
      <c r="H2984" s="27">
        <f>IF(OR($B2984="",$C2984=""),"",$C2984*IFERROR(INDEX(PecCusto,MATCH($B2984,PecCod,0)),0))</f>
        <v>0</v>
      </c>
      <c r="I2984" s="32">
        <f>IF($A2984="","",IFERROR(INDEX(OSStatus,MATCH($A2984,OSNum,0)),"OS inexistente"))</f>
        <v>0</v>
      </c>
      <c r="J2984" s="32">
        <f>IF($A2984="","",IF($I2984="OS inexistente","OS inexistente",IF($E2984="Peça não cadastrada","Peça não cadastrada","OK")))</f>
        <v>0</v>
      </c>
    </row>
    <row r="2985" spans="1:10">
      <c r="A2985" s="17"/>
      <c r="B2985" s="13"/>
      <c r="C2985" s="20"/>
      <c r="D2985" s="19"/>
      <c r="E2985" s="26">
        <f>IF($B2985="","",IFERROR(INDEX(PecDesc,MATCH($B2985,PecCod,0)),"Peça não cadastrada"))</f>
        <v>0</v>
      </c>
      <c r="F2985" s="27">
        <f>IF($B2985="","",IF($D2985&lt;&gt;"",$D2985,IFERROR(INDEX(PecPreco,MATCH($B2985,PecCod,0)),0)))</f>
        <v>0</v>
      </c>
      <c r="G2985" s="27">
        <f>IF(OR($B2985="",$C2985=""),"",$C2985*$F2985)</f>
        <v>0</v>
      </c>
      <c r="H2985" s="27">
        <f>IF(OR($B2985="",$C2985=""),"",$C2985*IFERROR(INDEX(PecCusto,MATCH($B2985,PecCod,0)),0))</f>
        <v>0</v>
      </c>
      <c r="I2985" s="32">
        <f>IF($A2985="","",IFERROR(INDEX(OSStatus,MATCH($A2985,OSNum,0)),"OS inexistente"))</f>
        <v>0</v>
      </c>
      <c r="J2985" s="32">
        <f>IF($A2985="","",IF($I2985="OS inexistente","OS inexistente",IF($E2985="Peça não cadastrada","Peça não cadastrada","OK")))</f>
        <v>0</v>
      </c>
    </row>
    <row r="2986" spans="1:10">
      <c r="A2986" s="17"/>
      <c r="B2986" s="13"/>
      <c r="C2986" s="20"/>
      <c r="D2986" s="19"/>
      <c r="E2986" s="26">
        <f>IF($B2986="","",IFERROR(INDEX(PecDesc,MATCH($B2986,PecCod,0)),"Peça não cadastrada"))</f>
        <v>0</v>
      </c>
      <c r="F2986" s="27">
        <f>IF($B2986="","",IF($D2986&lt;&gt;"",$D2986,IFERROR(INDEX(PecPreco,MATCH($B2986,PecCod,0)),0)))</f>
        <v>0</v>
      </c>
      <c r="G2986" s="27">
        <f>IF(OR($B2986="",$C2986=""),"",$C2986*$F2986)</f>
        <v>0</v>
      </c>
      <c r="H2986" s="27">
        <f>IF(OR($B2986="",$C2986=""),"",$C2986*IFERROR(INDEX(PecCusto,MATCH($B2986,PecCod,0)),0))</f>
        <v>0</v>
      </c>
      <c r="I2986" s="32">
        <f>IF($A2986="","",IFERROR(INDEX(OSStatus,MATCH($A2986,OSNum,0)),"OS inexistente"))</f>
        <v>0</v>
      </c>
      <c r="J2986" s="32">
        <f>IF($A2986="","",IF($I2986="OS inexistente","OS inexistente",IF($E2986="Peça não cadastrada","Peça não cadastrada","OK")))</f>
        <v>0</v>
      </c>
    </row>
    <row r="2987" spans="1:10">
      <c r="A2987" s="17"/>
      <c r="B2987" s="13"/>
      <c r="C2987" s="20"/>
      <c r="D2987" s="19"/>
      <c r="E2987" s="26">
        <f>IF($B2987="","",IFERROR(INDEX(PecDesc,MATCH($B2987,PecCod,0)),"Peça não cadastrada"))</f>
        <v>0</v>
      </c>
      <c r="F2987" s="27">
        <f>IF($B2987="","",IF($D2987&lt;&gt;"",$D2987,IFERROR(INDEX(PecPreco,MATCH($B2987,PecCod,0)),0)))</f>
        <v>0</v>
      </c>
      <c r="G2987" s="27">
        <f>IF(OR($B2987="",$C2987=""),"",$C2987*$F2987)</f>
        <v>0</v>
      </c>
      <c r="H2987" s="27">
        <f>IF(OR($B2987="",$C2987=""),"",$C2987*IFERROR(INDEX(PecCusto,MATCH($B2987,PecCod,0)),0))</f>
        <v>0</v>
      </c>
      <c r="I2987" s="32">
        <f>IF($A2987="","",IFERROR(INDEX(OSStatus,MATCH($A2987,OSNum,0)),"OS inexistente"))</f>
        <v>0</v>
      </c>
      <c r="J2987" s="32">
        <f>IF($A2987="","",IF($I2987="OS inexistente","OS inexistente",IF($E2987="Peça não cadastrada","Peça não cadastrada","OK")))</f>
        <v>0</v>
      </c>
    </row>
    <row r="2988" spans="1:10">
      <c r="A2988" s="17"/>
      <c r="B2988" s="13"/>
      <c r="C2988" s="20"/>
      <c r="D2988" s="19"/>
      <c r="E2988" s="26">
        <f>IF($B2988="","",IFERROR(INDEX(PecDesc,MATCH($B2988,PecCod,0)),"Peça não cadastrada"))</f>
        <v>0</v>
      </c>
      <c r="F2988" s="27">
        <f>IF($B2988="","",IF($D2988&lt;&gt;"",$D2988,IFERROR(INDEX(PecPreco,MATCH($B2988,PecCod,0)),0)))</f>
        <v>0</v>
      </c>
      <c r="G2988" s="27">
        <f>IF(OR($B2988="",$C2988=""),"",$C2988*$F2988)</f>
        <v>0</v>
      </c>
      <c r="H2988" s="27">
        <f>IF(OR($B2988="",$C2988=""),"",$C2988*IFERROR(INDEX(PecCusto,MATCH($B2988,PecCod,0)),0))</f>
        <v>0</v>
      </c>
      <c r="I2988" s="32">
        <f>IF($A2988="","",IFERROR(INDEX(OSStatus,MATCH($A2988,OSNum,0)),"OS inexistente"))</f>
        <v>0</v>
      </c>
      <c r="J2988" s="32">
        <f>IF($A2988="","",IF($I2988="OS inexistente","OS inexistente",IF($E2988="Peça não cadastrada","Peça não cadastrada","OK")))</f>
        <v>0</v>
      </c>
    </row>
    <row r="2989" spans="1:10">
      <c r="A2989" s="17"/>
      <c r="B2989" s="13"/>
      <c r="C2989" s="20"/>
      <c r="D2989" s="19"/>
      <c r="E2989" s="26">
        <f>IF($B2989="","",IFERROR(INDEX(PecDesc,MATCH($B2989,PecCod,0)),"Peça não cadastrada"))</f>
        <v>0</v>
      </c>
      <c r="F2989" s="27">
        <f>IF($B2989="","",IF($D2989&lt;&gt;"",$D2989,IFERROR(INDEX(PecPreco,MATCH($B2989,PecCod,0)),0)))</f>
        <v>0</v>
      </c>
      <c r="G2989" s="27">
        <f>IF(OR($B2989="",$C2989=""),"",$C2989*$F2989)</f>
        <v>0</v>
      </c>
      <c r="H2989" s="27">
        <f>IF(OR($B2989="",$C2989=""),"",$C2989*IFERROR(INDEX(PecCusto,MATCH($B2989,PecCod,0)),0))</f>
        <v>0</v>
      </c>
      <c r="I2989" s="32">
        <f>IF($A2989="","",IFERROR(INDEX(OSStatus,MATCH($A2989,OSNum,0)),"OS inexistente"))</f>
        <v>0</v>
      </c>
      <c r="J2989" s="32">
        <f>IF($A2989="","",IF($I2989="OS inexistente","OS inexistente",IF($E2989="Peça não cadastrada","Peça não cadastrada","OK")))</f>
        <v>0</v>
      </c>
    </row>
    <row r="2990" spans="1:10">
      <c r="A2990" s="17"/>
      <c r="B2990" s="13"/>
      <c r="C2990" s="20"/>
      <c r="D2990" s="19"/>
      <c r="E2990" s="26">
        <f>IF($B2990="","",IFERROR(INDEX(PecDesc,MATCH($B2990,PecCod,0)),"Peça não cadastrada"))</f>
        <v>0</v>
      </c>
      <c r="F2990" s="27">
        <f>IF($B2990="","",IF($D2990&lt;&gt;"",$D2990,IFERROR(INDEX(PecPreco,MATCH($B2990,PecCod,0)),0)))</f>
        <v>0</v>
      </c>
      <c r="G2990" s="27">
        <f>IF(OR($B2990="",$C2990=""),"",$C2990*$F2990)</f>
        <v>0</v>
      </c>
      <c r="H2990" s="27">
        <f>IF(OR($B2990="",$C2990=""),"",$C2990*IFERROR(INDEX(PecCusto,MATCH($B2990,PecCod,0)),0))</f>
        <v>0</v>
      </c>
      <c r="I2990" s="32">
        <f>IF($A2990="","",IFERROR(INDEX(OSStatus,MATCH($A2990,OSNum,0)),"OS inexistente"))</f>
        <v>0</v>
      </c>
      <c r="J2990" s="32">
        <f>IF($A2990="","",IF($I2990="OS inexistente","OS inexistente",IF($E2990="Peça não cadastrada","Peça não cadastrada","OK")))</f>
        <v>0</v>
      </c>
    </row>
    <row r="2991" spans="1:10">
      <c r="A2991" s="17"/>
      <c r="B2991" s="13"/>
      <c r="C2991" s="20"/>
      <c r="D2991" s="19"/>
      <c r="E2991" s="26">
        <f>IF($B2991="","",IFERROR(INDEX(PecDesc,MATCH($B2991,PecCod,0)),"Peça não cadastrada"))</f>
        <v>0</v>
      </c>
      <c r="F2991" s="27">
        <f>IF($B2991="","",IF($D2991&lt;&gt;"",$D2991,IFERROR(INDEX(PecPreco,MATCH($B2991,PecCod,0)),0)))</f>
        <v>0</v>
      </c>
      <c r="G2991" s="27">
        <f>IF(OR($B2991="",$C2991=""),"",$C2991*$F2991)</f>
        <v>0</v>
      </c>
      <c r="H2991" s="27">
        <f>IF(OR($B2991="",$C2991=""),"",$C2991*IFERROR(INDEX(PecCusto,MATCH($B2991,PecCod,0)),0))</f>
        <v>0</v>
      </c>
      <c r="I2991" s="32">
        <f>IF($A2991="","",IFERROR(INDEX(OSStatus,MATCH($A2991,OSNum,0)),"OS inexistente"))</f>
        <v>0</v>
      </c>
      <c r="J2991" s="32">
        <f>IF($A2991="","",IF($I2991="OS inexistente","OS inexistente",IF($E2991="Peça não cadastrada","Peça não cadastrada","OK")))</f>
        <v>0</v>
      </c>
    </row>
    <row r="2992" spans="1:10">
      <c r="A2992" s="17"/>
      <c r="B2992" s="13"/>
      <c r="C2992" s="20"/>
      <c r="D2992" s="19"/>
      <c r="E2992" s="26">
        <f>IF($B2992="","",IFERROR(INDEX(PecDesc,MATCH($B2992,PecCod,0)),"Peça não cadastrada"))</f>
        <v>0</v>
      </c>
      <c r="F2992" s="27">
        <f>IF($B2992="","",IF($D2992&lt;&gt;"",$D2992,IFERROR(INDEX(PecPreco,MATCH($B2992,PecCod,0)),0)))</f>
        <v>0</v>
      </c>
      <c r="G2992" s="27">
        <f>IF(OR($B2992="",$C2992=""),"",$C2992*$F2992)</f>
        <v>0</v>
      </c>
      <c r="H2992" s="27">
        <f>IF(OR($B2992="",$C2992=""),"",$C2992*IFERROR(INDEX(PecCusto,MATCH($B2992,PecCod,0)),0))</f>
        <v>0</v>
      </c>
      <c r="I2992" s="32">
        <f>IF($A2992="","",IFERROR(INDEX(OSStatus,MATCH($A2992,OSNum,0)),"OS inexistente"))</f>
        <v>0</v>
      </c>
      <c r="J2992" s="32">
        <f>IF($A2992="","",IF($I2992="OS inexistente","OS inexistente",IF($E2992="Peça não cadastrada","Peça não cadastrada","OK")))</f>
        <v>0</v>
      </c>
    </row>
    <row r="2993" spans="1:10">
      <c r="A2993" s="17"/>
      <c r="B2993" s="13"/>
      <c r="C2993" s="20"/>
      <c r="D2993" s="19"/>
      <c r="E2993" s="26">
        <f>IF($B2993="","",IFERROR(INDEX(PecDesc,MATCH($B2993,PecCod,0)),"Peça não cadastrada"))</f>
        <v>0</v>
      </c>
      <c r="F2993" s="27">
        <f>IF($B2993="","",IF($D2993&lt;&gt;"",$D2993,IFERROR(INDEX(PecPreco,MATCH($B2993,PecCod,0)),0)))</f>
        <v>0</v>
      </c>
      <c r="G2993" s="27">
        <f>IF(OR($B2993="",$C2993=""),"",$C2993*$F2993)</f>
        <v>0</v>
      </c>
      <c r="H2993" s="27">
        <f>IF(OR($B2993="",$C2993=""),"",$C2993*IFERROR(INDEX(PecCusto,MATCH($B2993,PecCod,0)),0))</f>
        <v>0</v>
      </c>
      <c r="I2993" s="32">
        <f>IF($A2993="","",IFERROR(INDEX(OSStatus,MATCH($A2993,OSNum,0)),"OS inexistente"))</f>
        <v>0</v>
      </c>
      <c r="J2993" s="32">
        <f>IF($A2993="","",IF($I2993="OS inexistente","OS inexistente",IF($E2993="Peça não cadastrada","Peça não cadastrada","OK")))</f>
        <v>0</v>
      </c>
    </row>
    <row r="2994" spans="1:10">
      <c r="A2994" s="17"/>
      <c r="B2994" s="13"/>
      <c r="C2994" s="20"/>
      <c r="D2994" s="19"/>
      <c r="E2994" s="26">
        <f>IF($B2994="","",IFERROR(INDEX(PecDesc,MATCH($B2994,PecCod,0)),"Peça não cadastrada"))</f>
        <v>0</v>
      </c>
      <c r="F2994" s="27">
        <f>IF($B2994="","",IF($D2994&lt;&gt;"",$D2994,IFERROR(INDEX(PecPreco,MATCH($B2994,PecCod,0)),0)))</f>
        <v>0</v>
      </c>
      <c r="G2994" s="27">
        <f>IF(OR($B2994="",$C2994=""),"",$C2994*$F2994)</f>
        <v>0</v>
      </c>
      <c r="H2994" s="27">
        <f>IF(OR($B2994="",$C2994=""),"",$C2994*IFERROR(INDEX(PecCusto,MATCH($B2994,PecCod,0)),0))</f>
        <v>0</v>
      </c>
      <c r="I2994" s="32">
        <f>IF($A2994="","",IFERROR(INDEX(OSStatus,MATCH($A2994,OSNum,0)),"OS inexistente"))</f>
        <v>0</v>
      </c>
      <c r="J2994" s="32">
        <f>IF($A2994="","",IF($I2994="OS inexistente","OS inexistente",IF($E2994="Peça não cadastrada","Peça não cadastrada","OK")))</f>
        <v>0</v>
      </c>
    </row>
    <row r="2995" spans="1:10">
      <c r="A2995" s="17"/>
      <c r="B2995" s="13"/>
      <c r="C2995" s="20"/>
      <c r="D2995" s="19"/>
      <c r="E2995" s="26">
        <f>IF($B2995="","",IFERROR(INDEX(PecDesc,MATCH($B2995,PecCod,0)),"Peça não cadastrada"))</f>
        <v>0</v>
      </c>
      <c r="F2995" s="27">
        <f>IF($B2995="","",IF($D2995&lt;&gt;"",$D2995,IFERROR(INDEX(PecPreco,MATCH($B2995,PecCod,0)),0)))</f>
        <v>0</v>
      </c>
      <c r="G2995" s="27">
        <f>IF(OR($B2995="",$C2995=""),"",$C2995*$F2995)</f>
        <v>0</v>
      </c>
      <c r="H2995" s="27">
        <f>IF(OR($B2995="",$C2995=""),"",$C2995*IFERROR(INDEX(PecCusto,MATCH($B2995,PecCod,0)),0))</f>
        <v>0</v>
      </c>
      <c r="I2995" s="32">
        <f>IF($A2995="","",IFERROR(INDEX(OSStatus,MATCH($A2995,OSNum,0)),"OS inexistente"))</f>
        <v>0</v>
      </c>
      <c r="J2995" s="32">
        <f>IF($A2995="","",IF($I2995="OS inexistente","OS inexistente",IF($E2995="Peça não cadastrada","Peça não cadastrada","OK")))</f>
        <v>0</v>
      </c>
    </row>
    <row r="2996" spans="1:10">
      <c r="A2996" s="17"/>
      <c r="B2996" s="13"/>
      <c r="C2996" s="20"/>
      <c r="D2996" s="19"/>
      <c r="E2996" s="26">
        <f>IF($B2996="","",IFERROR(INDEX(PecDesc,MATCH($B2996,PecCod,0)),"Peça não cadastrada"))</f>
        <v>0</v>
      </c>
      <c r="F2996" s="27">
        <f>IF($B2996="","",IF($D2996&lt;&gt;"",$D2996,IFERROR(INDEX(PecPreco,MATCH($B2996,PecCod,0)),0)))</f>
        <v>0</v>
      </c>
      <c r="G2996" s="27">
        <f>IF(OR($B2996="",$C2996=""),"",$C2996*$F2996)</f>
        <v>0</v>
      </c>
      <c r="H2996" s="27">
        <f>IF(OR($B2996="",$C2996=""),"",$C2996*IFERROR(INDEX(PecCusto,MATCH($B2996,PecCod,0)),0))</f>
        <v>0</v>
      </c>
      <c r="I2996" s="32">
        <f>IF($A2996="","",IFERROR(INDEX(OSStatus,MATCH($A2996,OSNum,0)),"OS inexistente"))</f>
        <v>0</v>
      </c>
      <c r="J2996" s="32">
        <f>IF($A2996="","",IF($I2996="OS inexistente","OS inexistente",IF($E2996="Peça não cadastrada","Peça não cadastrada","OK")))</f>
        <v>0</v>
      </c>
    </row>
    <row r="2997" spans="1:10">
      <c r="A2997" s="17"/>
      <c r="B2997" s="13"/>
      <c r="C2997" s="20"/>
      <c r="D2997" s="19"/>
      <c r="E2997" s="26">
        <f>IF($B2997="","",IFERROR(INDEX(PecDesc,MATCH($B2997,PecCod,0)),"Peça não cadastrada"))</f>
        <v>0</v>
      </c>
      <c r="F2997" s="27">
        <f>IF($B2997="","",IF($D2997&lt;&gt;"",$D2997,IFERROR(INDEX(PecPreco,MATCH($B2997,PecCod,0)),0)))</f>
        <v>0</v>
      </c>
      <c r="G2997" s="27">
        <f>IF(OR($B2997="",$C2997=""),"",$C2997*$F2997)</f>
        <v>0</v>
      </c>
      <c r="H2997" s="27">
        <f>IF(OR($B2997="",$C2997=""),"",$C2997*IFERROR(INDEX(PecCusto,MATCH($B2997,PecCod,0)),0))</f>
        <v>0</v>
      </c>
      <c r="I2997" s="32">
        <f>IF($A2997="","",IFERROR(INDEX(OSStatus,MATCH($A2997,OSNum,0)),"OS inexistente"))</f>
        <v>0</v>
      </c>
      <c r="J2997" s="32">
        <f>IF($A2997="","",IF($I2997="OS inexistente","OS inexistente",IF($E2997="Peça não cadastrada","Peça não cadastrada","OK")))</f>
        <v>0</v>
      </c>
    </row>
    <row r="2998" spans="1:10">
      <c r="A2998" s="17"/>
      <c r="B2998" s="13"/>
      <c r="C2998" s="20"/>
      <c r="D2998" s="19"/>
      <c r="E2998" s="26">
        <f>IF($B2998="","",IFERROR(INDEX(PecDesc,MATCH($B2998,PecCod,0)),"Peça não cadastrada"))</f>
        <v>0</v>
      </c>
      <c r="F2998" s="27">
        <f>IF($B2998="","",IF($D2998&lt;&gt;"",$D2998,IFERROR(INDEX(PecPreco,MATCH($B2998,PecCod,0)),0)))</f>
        <v>0</v>
      </c>
      <c r="G2998" s="27">
        <f>IF(OR($B2998="",$C2998=""),"",$C2998*$F2998)</f>
        <v>0</v>
      </c>
      <c r="H2998" s="27">
        <f>IF(OR($B2998="",$C2998=""),"",$C2998*IFERROR(INDEX(PecCusto,MATCH($B2998,PecCod,0)),0))</f>
        <v>0</v>
      </c>
      <c r="I2998" s="32">
        <f>IF($A2998="","",IFERROR(INDEX(OSStatus,MATCH($A2998,OSNum,0)),"OS inexistente"))</f>
        <v>0</v>
      </c>
      <c r="J2998" s="32">
        <f>IF($A2998="","",IF($I2998="OS inexistente","OS inexistente",IF($E2998="Peça não cadastrada","Peça não cadastrada","OK")))</f>
        <v>0</v>
      </c>
    </row>
    <row r="2999" spans="1:10">
      <c r="A2999" s="17"/>
      <c r="B2999" s="13"/>
      <c r="C2999" s="20"/>
      <c r="D2999" s="19"/>
      <c r="E2999" s="26">
        <f>IF($B2999="","",IFERROR(INDEX(PecDesc,MATCH($B2999,PecCod,0)),"Peça não cadastrada"))</f>
        <v>0</v>
      </c>
      <c r="F2999" s="27">
        <f>IF($B2999="","",IF($D2999&lt;&gt;"",$D2999,IFERROR(INDEX(PecPreco,MATCH($B2999,PecCod,0)),0)))</f>
        <v>0</v>
      </c>
      <c r="G2999" s="27">
        <f>IF(OR($B2999="",$C2999=""),"",$C2999*$F2999)</f>
        <v>0</v>
      </c>
      <c r="H2999" s="27">
        <f>IF(OR($B2999="",$C2999=""),"",$C2999*IFERROR(INDEX(PecCusto,MATCH($B2999,PecCod,0)),0))</f>
        <v>0</v>
      </c>
      <c r="I2999" s="32">
        <f>IF($A2999="","",IFERROR(INDEX(OSStatus,MATCH($A2999,OSNum,0)),"OS inexistente"))</f>
        <v>0</v>
      </c>
      <c r="J2999" s="32">
        <f>IF($A2999="","",IF($I2999="OS inexistente","OS inexistente",IF($E2999="Peça não cadastrada","Peça não cadastrada","OK")))</f>
        <v>0</v>
      </c>
    </row>
    <row r="3000" spans="1:10">
      <c r="A3000" s="17"/>
      <c r="B3000" s="13"/>
      <c r="C3000" s="20"/>
      <c r="D3000" s="19"/>
      <c r="E3000" s="26">
        <f>IF($B3000="","",IFERROR(INDEX(PecDesc,MATCH($B3000,PecCod,0)),"Peça não cadastrada"))</f>
        <v>0</v>
      </c>
      <c r="F3000" s="27">
        <f>IF($B3000="","",IF($D3000&lt;&gt;"",$D3000,IFERROR(INDEX(PecPreco,MATCH($B3000,PecCod,0)),0)))</f>
        <v>0</v>
      </c>
      <c r="G3000" s="27">
        <f>IF(OR($B3000="",$C3000=""),"",$C3000*$F3000)</f>
        <v>0</v>
      </c>
      <c r="H3000" s="27">
        <f>IF(OR($B3000="",$C3000=""),"",$C3000*IFERROR(INDEX(PecCusto,MATCH($B3000,PecCod,0)),0))</f>
        <v>0</v>
      </c>
      <c r="I3000" s="32">
        <f>IF($A3000="","",IFERROR(INDEX(OSStatus,MATCH($A3000,OSNum,0)),"OS inexistente"))</f>
        <v>0</v>
      </c>
      <c r="J3000" s="32">
        <f>IF($A3000="","",IF($I3000="OS inexistente","OS inexistente",IF($E3000="Peça não cadastrada","Peça não cadastrada","OK")))</f>
        <v>0</v>
      </c>
    </row>
    <row r="3001" spans="1:10">
      <c r="A3001" s="17"/>
      <c r="B3001" s="13"/>
      <c r="C3001" s="20"/>
      <c r="D3001" s="19"/>
      <c r="E3001" s="26">
        <f>IF($B3001="","",IFERROR(INDEX(PecDesc,MATCH($B3001,PecCod,0)),"Peça não cadastrada"))</f>
        <v>0</v>
      </c>
      <c r="F3001" s="27">
        <f>IF($B3001="","",IF($D3001&lt;&gt;"",$D3001,IFERROR(INDEX(PecPreco,MATCH($B3001,PecCod,0)),0)))</f>
        <v>0</v>
      </c>
      <c r="G3001" s="27">
        <f>IF(OR($B3001="",$C3001=""),"",$C3001*$F3001)</f>
        <v>0</v>
      </c>
      <c r="H3001" s="27">
        <f>IF(OR($B3001="",$C3001=""),"",$C3001*IFERROR(INDEX(PecCusto,MATCH($B3001,PecCod,0)),0))</f>
        <v>0</v>
      </c>
      <c r="I3001" s="32">
        <f>IF($A3001="","",IFERROR(INDEX(OSStatus,MATCH($A3001,OSNum,0)),"OS inexistente"))</f>
        <v>0</v>
      </c>
      <c r="J3001" s="32">
        <f>IF($A3001="","",IF($I3001="OS inexistente","OS inexistente",IF($E3001="Peça não cadastrada","Peça não cadastrada","OK")))</f>
        <v>0</v>
      </c>
    </row>
    <row r="3002" spans="1:10">
      <c r="A3002" s="17"/>
      <c r="B3002" s="13"/>
      <c r="C3002" s="20"/>
      <c r="D3002" s="19"/>
      <c r="E3002" s="26">
        <f>IF($B3002="","",IFERROR(INDEX(PecDesc,MATCH($B3002,PecCod,0)),"Peça não cadastrada"))</f>
        <v>0</v>
      </c>
      <c r="F3002" s="27">
        <f>IF($B3002="","",IF($D3002&lt;&gt;"",$D3002,IFERROR(INDEX(PecPreco,MATCH($B3002,PecCod,0)),0)))</f>
        <v>0</v>
      </c>
      <c r="G3002" s="27">
        <f>IF(OR($B3002="",$C3002=""),"",$C3002*$F3002)</f>
        <v>0</v>
      </c>
      <c r="H3002" s="27">
        <f>IF(OR($B3002="",$C3002=""),"",$C3002*IFERROR(INDEX(PecCusto,MATCH($B3002,PecCod,0)),0))</f>
        <v>0</v>
      </c>
      <c r="I3002" s="32">
        <f>IF($A3002="","",IFERROR(INDEX(OSStatus,MATCH($A3002,OSNum,0)),"OS inexistente"))</f>
        <v>0</v>
      </c>
      <c r="J3002" s="32">
        <f>IF($A3002="","",IF($I3002="OS inexistente","OS inexistente",IF($E3002="Peça não cadastrada","Peça não cadastrada","OK")))</f>
        <v>0</v>
      </c>
    </row>
    <row r="3003" spans="1:10">
      <c r="A3003" s="17"/>
      <c r="B3003" s="13"/>
      <c r="C3003" s="20"/>
      <c r="D3003" s="19"/>
      <c r="E3003" s="26">
        <f>IF($B3003="","",IFERROR(INDEX(PecDesc,MATCH($B3003,PecCod,0)),"Peça não cadastrada"))</f>
        <v>0</v>
      </c>
      <c r="F3003" s="27">
        <f>IF($B3003="","",IF($D3003&lt;&gt;"",$D3003,IFERROR(INDEX(PecPreco,MATCH($B3003,PecCod,0)),0)))</f>
        <v>0</v>
      </c>
      <c r="G3003" s="27">
        <f>IF(OR($B3003="",$C3003=""),"",$C3003*$F3003)</f>
        <v>0</v>
      </c>
      <c r="H3003" s="27">
        <f>IF(OR($B3003="",$C3003=""),"",$C3003*IFERROR(INDEX(PecCusto,MATCH($B3003,PecCod,0)),0))</f>
        <v>0</v>
      </c>
      <c r="I3003" s="32">
        <f>IF($A3003="","",IFERROR(INDEX(OSStatus,MATCH($A3003,OSNum,0)),"OS inexistente"))</f>
        <v>0</v>
      </c>
      <c r="J3003" s="32">
        <f>IF($A3003="","",IF($I3003="OS inexistente","OS inexistente",IF($E3003="Peça não cadastrada","Peça não cadastrada","OK")))</f>
        <v>0</v>
      </c>
    </row>
    <row r="3004" spans="1:10">
      <c r="A3004" s="17"/>
      <c r="B3004" s="13"/>
      <c r="C3004" s="20"/>
      <c r="D3004" s="19"/>
      <c r="E3004" s="26">
        <f>IF($B3004="","",IFERROR(INDEX(PecDesc,MATCH($B3004,PecCod,0)),"Peça não cadastrada"))</f>
        <v>0</v>
      </c>
      <c r="F3004" s="27">
        <f>IF($B3004="","",IF($D3004&lt;&gt;"",$D3004,IFERROR(INDEX(PecPreco,MATCH($B3004,PecCod,0)),0)))</f>
        <v>0</v>
      </c>
      <c r="G3004" s="27">
        <f>IF(OR($B3004="",$C3004=""),"",$C3004*$F3004)</f>
        <v>0</v>
      </c>
      <c r="H3004" s="27">
        <f>IF(OR($B3004="",$C3004=""),"",$C3004*IFERROR(INDEX(PecCusto,MATCH($B3004,PecCod,0)),0))</f>
        <v>0</v>
      </c>
      <c r="I3004" s="32">
        <f>IF($A3004="","",IFERROR(INDEX(OSStatus,MATCH($A3004,OSNum,0)),"OS inexistente"))</f>
        <v>0</v>
      </c>
      <c r="J3004" s="32">
        <f>IF($A3004="","",IF($I3004="OS inexistente","OS inexistente",IF($E3004="Peça não cadastrada","Peça não cadastrada","OK")))</f>
        <v>0</v>
      </c>
    </row>
  </sheetData>
  <autoFilter ref="A4:J3004"/>
  <mergeCells count="2">
    <mergeCell ref="A1:J1"/>
    <mergeCell ref="A2:J2"/>
  </mergeCells>
  <conditionalFormatting sqref="J5:J3004">
    <cfRule type="cellIs" dxfId="8" priority="1" operator="notEqual">
      <formula>"OK"</formula>
    </cfRule>
  </conditionalFormatting>
  <dataValidations count="2">
    <dataValidation type="list" allowBlank="1" showInputMessage="1" showErrorMessage="1" errorTitle="Valor inválido" error="Escolha um item da lista." sqref="B5:B3004">
      <formula1>PecCod</formula1>
    </dataValidation>
    <dataValidation type="decimal" operator="greaterThanOrEqual" allowBlank="1" showInputMessage="1" showErrorMessage="1" errorTitle="Valor inválido" error="Digite um número maior ou igual a 0." sqref="C5:D30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Ordem de Serviço para Oficinas&amp;R&amp;8Página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I32"/>
  <sheetViews>
    <sheetView showGridLines="0" workbookViewId="0"/>
  </sheetViews>
  <sheetFormatPr defaultRowHeight="15"/>
  <cols>
    <col min="1" max="1" width="5.7109375" customWidth="1"/>
    <col min="2" max="2" width="10.7109375" customWidth="1"/>
    <col min="3" max="3" width="14.7109375" customWidth="1"/>
    <col min="4" max="5" width="11.7109375" customWidth="1"/>
    <col min="6" max="6" width="34.7109375" customWidth="1"/>
    <col min="7" max="7" width="14.7109375" customWidth="1"/>
    <col min="8" max="8" width="16.7109375" customWidth="1"/>
    <col min="9" max="9" width="14.7109375" customWidth="1"/>
  </cols>
  <sheetData>
    <row r="1" spans="1:9" ht="36" customHeight="1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134</v>
      </c>
      <c r="B2" s="2"/>
      <c r="C2" s="2"/>
      <c r="D2" s="2"/>
      <c r="E2" s="2"/>
      <c r="F2" s="2"/>
      <c r="G2" s="2"/>
      <c r="H2" s="2"/>
      <c r="I2" s="2"/>
    </row>
    <row r="4" spans="1:9">
      <c r="B4" s="12" t="s">
        <v>135</v>
      </c>
      <c r="C4" s="35"/>
      <c r="D4" s="12" t="s">
        <v>136</v>
      </c>
      <c r="E4" s="26">
        <f>IFERROR(INDEX(VeicCli,MATCH($C$4,VeicPlaca,0)),"")</f>
        <v>0</v>
      </c>
      <c r="F4" s="26"/>
      <c r="H4" s="12" t="s">
        <v>138</v>
      </c>
      <c r="I4" s="22">
        <f>COUNTIF(OS!$C$5:$C$1004,$C$4)</f>
        <v>0</v>
      </c>
    </row>
    <row r="5" spans="1:9">
      <c r="D5" s="12" t="s">
        <v>137</v>
      </c>
      <c r="E5" s="26">
        <f>IFERROR(INDEX(VeicModelo,MATCH($C$4,VeicPlaca,0)),"")</f>
        <v>0</v>
      </c>
      <c r="F5" s="26"/>
      <c r="H5" s="12" t="s">
        <v>139</v>
      </c>
      <c r="I5" s="27">
        <f>SUMIFS(OS!$R$5:$R$1004,OS!$C$5:$C$1004,$C$4,OS!$I$5:$I$1004,"&lt;&gt;Cancelada",OS!$I$5:$I$1004,"&lt;&gt;Orçamento")</f>
        <v>0</v>
      </c>
    </row>
    <row r="7" spans="1:9" ht="24" customHeight="1">
      <c r="A7" s="10" t="s">
        <v>140</v>
      </c>
      <c r="B7" s="10" t="s">
        <v>103</v>
      </c>
      <c r="C7" s="10" t="s">
        <v>94</v>
      </c>
      <c r="D7" s="10" t="s">
        <v>105</v>
      </c>
      <c r="E7" s="10" t="s">
        <v>108</v>
      </c>
      <c r="F7" s="10" t="s">
        <v>141</v>
      </c>
      <c r="G7" s="10" t="s">
        <v>107</v>
      </c>
      <c r="H7" s="10" t="s">
        <v>100</v>
      </c>
    </row>
    <row r="8" spans="1:9">
      <c r="A8" s="36">
        <v>1</v>
      </c>
      <c r="B8" s="37">
        <f>IFERROR(INDEX(OS!$A$5:$A$1004,MATCH($A8,OS!$AA$5:$AA$1004,0)),"")</f>
        <v>0</v>
      </c>
      <c r="C8" s="14">
        <f>IFERROR(INDEX(OS!$B$5:$B$1004,MATCH($A8,OS!$AA$5:$AA$1004,0)),"")</f>
        <v>0</v>
      </c>
      <c r="D8" s="22">
        <f>IFERROR(INDEX(OS!$F$5:$F$1004,MATCH($A8,OS!$AA$5:$AA$1004,0)),"")</f>
        <v>0</v>
      </c>
      <c r="E8" s="26">
        <f>IFERROR(INDEX(OS!$I$5:$I$1004,MATCH($A8,OS!$AA$5:$AA$1004,0))&amp;"","")</f>
        <v>0</v>
      </c>
      <c r="F8" s="26">
        <f>IFERROR(INDEX(OS!$G$5:$G$1004,MATCH($A8,OS!$AA$5:$AA$1004,0))&amp;"","")</f>
        <v>0</v>
      </c>
      <c r="G8" s="26">
        <f>IFERROR(INDEX(OS!$H$5:$H$1004,MATCH($A8,OS!$AA$5:$AA$1004,0))&amp;"","")</f>
        <v>0</v>
      </c>
      <c r="H8" s="27">
        <f>IFERROR(INDEX(OS!$R$5:$R$1004,MATCH($A8,OS!$AA$5:$AA$1004,0)),"")</f>
        <v>0</v>
      </c>
    </row>
    <row r="9" spans="1:9">
      <c r="A9" s="36">
        <v>2</v>
      </c>
      <c r="B9" s="37">
        <f>IFERROR(INDEX(OS!$A$5:$A$1004,MATCH($A9,OS!$AA$5:$AA$1004,0)),"")</f>
        <v>0</v>
      </c>
      <c r="C9" s="14">
        <f>IFERROR(INDEX(OS!$B$5:$B$1004,MATCH($A9,OS!$AA$5:$AA$1004,0)),"")</f>
        <v>0</v>
      </c>
      <c r="D9" s="22">
        <f>IFERROR(INDEX(OS!$F$5:$F$1004,MATCH($A9,OS!$AA$5:$AA$1004,0)),"")</f>
        <v>0</v>
      </c>
      <c r="E9" s="26">
        <f>IFERROR(INDEX(OS!$I$5:$I$1004,MATCH($A9,OS!$AA$5:$AA$1004,0))&amp;"","")</f>
        <v>0</v>
      </c>
      <c r="F9" s="26">
        <f>IFERROR(INDEX(OS!$G$5:$G$1004,MATCH($A9,OS!$AA$5:$AA$1004,0))&amp;"","")</f>
        <v>0</v>
      </c>
      <c r="G9" s="26">
        <f>IFERROR(INDEX(OS!$H$5:$H$1004,MATCH($A9,OS!$AA$5:$AA$1004,0))&amp;"","")</f>
        <v>0</v>
      </c>
      <c r="H9" s="27">
        <f>IFERROR(INDEX(OS!$R$5:$R$1004,MATCH($A9,OS!$AA$5:$AA$1004,0)),"")</f>
        <v>0</v>
      </c>
    </row>
    <row r="10" spans="1:9">
      <c r="A10" s="36">
        <v>3</v>
      </c>
      <c r="B10" s="37">
        <f>IFERROR(INDEX(OS!$A$5:$A$1004,MATCH($A10,OS!$AA$5:$AA$1004,0)),"")</f>
        <v>0</v>
      </c>
      <c r="C10" s="14">
        <f>IFERROR(INDEX(OS!$B$5:$B$1004,MATCH($A10,OS!$AA$5:$AA$1004,0)),"")</f>
        <v>0</v>
      </c>
      <c r="D10" s="22">
        <f>IFERROR(INDEX(OS!$F$5:$F$1004,MATCH($A10,OS!$AA$5:$AA$1004,0)),"")</f>
        <v>0</v>
      </c>
      <c r="E10" s="26">
        <f>IFERROR(INDEX(OS!$I$5:$I$1004,MATCH($A10,OS!$AA$5:$AA$1004,0))&amp;"","")</f>
        <v>0</v>
      </c>
      <c r="F10" s="26">
        <f>IFERROR(INDEX(OS!$G$5:$G$1004,MATCH($A10,OS!$AA$5:$AA$1004,0))&amp;"","")</f>
        <v>0</v>
      </c>
      <c r="G10" s="26">
        <f>IFERROR(INDEX(OS!$H$5:$H$1004,MATCH($A10,OS!$AA$5:$AA$1004,0))&amp;"","")</f>
        <v>0</v>
      </c>
      <c r="H10" s="27">
        <f>IFERROR(INDEX(OS!$R$5:$R$1004,MATCH($A10,OS!$AA$5:$AA$1004,0)),"")</f>
        <v>0</v>
      </c>
    </row>
    <row r="11" spans="1:9">
      <c r="A11" s="36">
        <v>4</v>
      </c>
      <c r="B11" s="37">
        <f>IFERROR(INDEX(OS!$A$5:$A$1004,MATCH($A11,OS!$AA$5:$AA$1004,0)),"")</f>
        <v>0</v>
      </c>
      <c r="C11" s="14">
        <f>IFERROR(INDEX(OS!$B$5:$B$1004,MATCH($A11,OS!$AA$5:$AA$1004,0)),"")</f>
        <v>0</v>
      </c>
      <c r="D11" s="22">
        <f>IFERROR(INDEX(OS!$F$5:$F$1004,MATCH($A11,OS!$AA$5:$AA$1004,0)),"")</f>
        <v>0</v>
      </c>
      <c r="E11" s="26">
        <f>IFERROR(INDEX(OS!$I$5:$I$1004,MATCH($A11,OS!$AA$5:$AA$1004,0))&amp;"","")</f>
        <v>0</v>
      </c>
      <c r="F11" s="26">
        <f>IFERROR(INDEX(OS!$G$5:$G$1004,MATCH($A11,OS!$AA$5:$AA$1004,0))&amp;"","")</f>
        <v>0</v>
      </c>
      <c r="G11" s="26">
        <f>IFERROR(INDEX(OS!$H$5:$H$1004,MATCH($A11,OS!$AA$5:$AA$1004,0))&amp;"","")</f>
        <v>0</v>
      </c>
      <c r="H11" s="27">
        <f>IFERROR(INDEX(OS!$R$5:$R$1004,MATCH($A11,OS!$AA$5:$AA$1004,0)),"")</f>
        <v>0</v>
      </c>
    </row>
    <row r="12" spans="1:9">
      <c r="A12" s="36">
        <v>5</v>
      </c>
      <c r="B12" s="37">
        <f>IFERROR(INDEX(OS!$A$5:$A$1004,MATCH($A12,OS!$AA$5:$AA$1004,0)),"")</f>
        <v>0</v>
      </c>
      <c r="C12" s="14">
        <f>IFERROR(INDEX(OS!$B$5:$B$1004,MATCH($A12,OS!$AA$5:$AA$1004,0)),"")</f>
        <v>0</v>
      </c>
      <c r="D12" s="22">
        <f>IFERROR(INDEX(OS!$F$5:$F$1004,MATCH($A12,OS!$AA$5:$AA$1004,0)),"")</f>
        <v>0</v>
      </c>
      <c r="E12" s="26">
        <f>IFERROR(INDEX(OS!$I$5:$I$1004,MATCH($A12,OS!$AA$5:$AA$1004,0))&amp;"","")</f>
        <v>0</v>
      </c>
      <c r="F12" s="26">
        <f>IFERROR(INDEX(OS!$G$5:$G$1004,MATCH($A12,OS!$AA$5:$AA$1004,0))&amp;"","")</f>
        <v>0</v>
      </c>
      <c r="G12" s="26">
        <f>IFERROR(INDEX(OS!$H$5:$H$1004,MATCH($A12,OS!$AA$5:$AA$1004,0))&amp;"","")</f>
        <v>0</v>
      </c>
      <c r="H12" s="27">
        <f>IFERROR(INDEX(OS!$R$5:$R$1004,MATCH($A12,OS!$AA$5:$AA$1004,0)),"")</f>
        <v>0</v>
      </c>
    </row>
    <row r="13" spans="1:9">
      <c r="A13" s="36">
        <v>6</v>
      </c>
      <c r="B13" s="37">
        <f>IFERROR(INDEX(OS!$A$5:$A$1004,MATCH($A13,OS!$AA$5:$AA$1004,0)),"")</f>
        <v>0</v>
      </c>
      <c r="C13" s="14">
        <f>IFERROR(INDEX(OS!$B$5:$B$1004,MATCH($A13,OS!$AA$5:$AA$1004,0)),"")</f>
        <v>0</v>
      </c>
      <c r="D13" s="22">
        <f>IFERROR(INDEX(OS!$F$5:$F$1004,MATCH($A13,OS!$AA$5:$AA$1004,0)),"")</f>
        <v>0</v>
      </c>
      <c r="E13" s="26">
        <f>IFERROR(INDEX(OS!$I$5:$I$1004,MATCH($A13,OS!$AA$5:$AA$1004,0))&amp;"","")</f>
        <v>0</v>
      </c>
      <c r="F13" s="26">
        <f>IFERROR(INDEX(OS!$G$5:$G$1004,MATCH($A13,OS!$AA$5:$AA$1004,0))&amp;"","")</f>
        <v>0</v>
      </c>
      <c r="G13" s="26">
        <f>IFERROR(INDEX(OS!$H$5:$H$1004,MATCH($A13,OS!$AA$5:$AA$1004,0))&amp;"","")</f>
        <v>0</v>
      </c>
      <c r="H13" s="27">
        <f>IFERROR(INDEX(OS!$R$5:$R$1004,MATCH($A13,OS!$AA$5:$AA$1004,0)),"")</f>
        <v>0</v>
      </c>
    </row>
    <row r="14" spans="1:9">
      <c r="A14" s="36">
        <v>7</v>
      </c>
      <c r="B14" s="37">
        <f>IFERROR(INDEX(OS!$A$5:$A$1004,MATCH($A14,OS!$AA$5:$AA$1004,0)),"")</f>
        <v>0</v>
      </c>
      <c r="C14" s="14">
        <f>IFERROR(INDEX(OS!$B$5:$B$1004,MATCH($A14,OS!$AA$5:$AA$1004,0)),"")</f>
        <v>0</v>
      </c>
      <c r="D14" s="22">
        <f>IFERROR(INDEX(OS!$F$5:$F$1004,MATCH($A14,OS!$AA$5:$AA$1004,0)),"")</f>
        <v>0</v>
      </c>
      <c r="E14" s="26">
        <f>IFERROR(INDEX(OS!$I$5:$I$1004,MATCH($A14,OS!$AA$5:$AA$1004,0))&amp;"","")</f>
        <v>0</v>
      </c>
      <c r="F14" s="26">
        <f>IFERROR(INDEX(OS!$G$5:$G$1004,MATCH($A14,OS!$AA$5:$AA$1004,0))&amp;"","")</f>
        <v>0</v>
      </c>
      <c r="G14" s="26">
        <f>IFERROR(INDEX(OS!$H$5:$H$1004,MATCH($A14,OS!$AA$5:$AA$1004,0))&amp;"","")</f>
        <v>0</v>
      </c>
      <c r="H14" s="27">
        <f>IFERROR(INDEX(OS!$R$5:$R$1004,MATCH($A14,OS!$AA$5:$AA$1004,0)),"")</f>
        <v>0</v>
      </c>
    </row>
    <row r="15" spans="1:9">
      <c r="A15" s="36">
        <v>8</v>
      </c>
      <c r="B15" s="37">
        <f>IFERROR(INDEX(OS!$A$5:$A$1004,MATCH($A15,OS!$AA$5:$AA$1004,0)),"")</f>
        <v>0</v>
      </c>
      <c r="C15" s="14">
        <f>IFERROR(INDEX(OS!$B$5:$B$1004,MATCH($A15,OS!$AA$5:$AA$1004,0)),"")</f>
        <v>0</v>
      </c>
      <c r="D15" s="22">
        <f>IFERROR(INDEX(OS!$F$5:$F$1004,MATCH($A15,OS!$AA$5:$AA$1004,0)),"")</f>
        <v>0</v>
      </c>
      <c r="E15" s="26">
        <f>IFERROR(INDEX(OS!$I$5:$I$1004,MATCH($A15,OS!$AA$5:$AA$1004,0))&amp;"","")</f>
        <v>0</v>
      </c>
      <c r="F15" s="26">
        <f>IFERROR(INDEX(OS!$G$5:$G$1004,MATCH($A15,OS!$AA$5:$AA$1004,0))&amp;"","")</f>
        <v>0</v>
      </c>
      <c r="G15" s="26">
        <f>IFERROR(INDEX(OS!$H$5:$H$1004,MATCH($A15,OS!$AA$5:$AA$1004,0))&amp;"","")</f>
        <v>0</v>
      </c>
      <c r="H15" s="27">
        <f>IFERROR(INDEX(OS!$R$5:$R$1004,MATCH($A15,OS!$AA$5:$AA$1004,0)),"")</f>
        <v>0</v>
      </c>
    </row>
    <row r="16" spans="1:9">
      <c r="A16" s="36">
        <v>9</v>
      </c>
      <c r="B16" s="37">
        <f>IFERROR(INDEX(OS!$A$5:$A$1004,MATCH($A16,OS!$AA$5:$AA$1004,0)),"")</f>
        <v>0</v>
      </c>
      <c r="C16" s="14">
        <f>IFERROR(INDEX(OS!$B$5:$B$1004,MATCH($A16,OS!$AA$5:$AA$1004,0)),"")</f>
        <v>0</v>
      </c>
      <c r="D16" s="22">
        <f>IFERROR(INDEX(OS!$F$5:$F$1004,MATCH($A16,OS!$AA$5:$AA$1004,0)),"")</f>
        <v>0</v>
      </c>
      <c r="E16" s="26">
        <f>IFERROR(INDEX(OS!$I$5:$I$1004,MATCH($A16,OS!$AA$5:$AA$1004,0))&amp;"","")</f>
        <v>0</v>
      </c>
      <c r="F16" s="26">
        <f>IFERROR(INDEX(OS!$G$5:$G$1004,MATCH($A16,OS!$AA$5:$AA$1004,0))&amp;"","")</f>
        <v>0</v>
      </c>
      <c r="G16" s="26">
        <f>IFERROR(INDEX(OS!$H$5:$H$1004,MATCH($A16,OS!$AA$5:$AA$1004,0))&amp;"","")</f>
        <v>0</v>
      </c>
      <c r="H16" s="27">
        <f>IFERROR(INDEX(OS!$R$5:$R$1004,MATCH($A16,OS!$AA$5:$AA$1004,0)),"")</f>
        <v>0</v>
      </c>
    </row>
    <row r="17" spans="1:8">
      <c r="A17" s="36">
        <v>10</v>
      </c>
      <c r="B17" s="37">
        <f>IFERROR(INDEX(OS!$A$5:$A$1004,MATCH($A17,OS!$AA$5:$AA$1004,0)),"")</f>
        <v>0</v>
      </c>
      <c r="C17" s="14">
        <f>IFERROR(INDEX(OS!$B$5:$B$1004,MATCH($A17,OS!$AA$5:$AA$1004,0)),"")</f>
        <v>0</v>
      </c>
      <c r="D17" s="22">
        <f>IFERROR(INDEX(OS!$F$5:$F$1004,MATCH($A17,OS!$AA$5:$AA$1004,0)),"")</f>
        <v>0</v>
      </c>
      <c r="E17" s="26">
        <f>IFERROR(INDEX(OS!$I$5:$I$1004,MATCH($A17,OS!$AA$5:$AA$1004,0))&amp;"","")</f>
        <v>0</v>
      </c>
      <c r="F17" s="26">
        <f>IFERROR(INDEX(OS!$G$5:$G$1004,MATCH($A17,OS!$AA$5:$AA$1004,0))&amp;"","")</f>
        <v>0</v>
      </c>
      <c r="G17" s="26">
        <f>IFERROR(INDEX(OS!$H$5:$H$1004,MATCH($A17,OS!$AA$5:$AA$1004,0))&amp;"","")</f>
        <v>0</v>
      </c>
      <c r="H17" s="27">
        <f>IFERROR(INDEX(OS!$R$5:$R$1004,MATCH($A17,OS!$AA$5:$AA$1004,0)),"")</f>
        <v>0</v>
      </c>
    </row>
    <row r="18" spans="1:8">
      <c r="A18" s="36">
        <v>11</v>
      </c>
      <c r="B18" s="37">
        <f>IFERROR(INDEX(OS!$A$5:$A$1004,MATCH($A18,OS!$AA$5:$AA$1004,0)),"")</f>
        <v>0</v>
      </c>
      <c r="C18" s="14">
        <f>IFERROR(INDEX(OS!$B$5:$B$1004,MATCH($A18,OS!$AA$5:$AA$1004,0)),"")</f>
        <v>0</v>
      </c>
      <c r="D18" s="22">
        <f>IFERROR(INDEX(OS!$F$5:$F$1004,MATCH($A18,OS!$AA$5:$AA$1004,0)),"")</f>
        <v>0</v>
      </c>
      <c r="E18" s="26">
        <f>IFERROR(INDEX(OS!$I$5:$I$1004,MATCH($A18,OS!$AA$5:$AA$1004,0))&amp;"","")</f>
        <v>0</v>
      </c>
      <c r="F18" s="26">
        <f>IFERROR(INDEX(OS!$G$5:$G$1004,MATCH($A18,OS!$AA$5:$AA$1004,0))&amp;"","")</f>
        <v>0</v>
      </c>
      <c r="G18" s="26">
        <f>IFERROR(INDEX(OS!$H$5:$H$1004,MATCH($A18,OS!$AA$5:$AA$1004,0))&amp;"","")</f>
        <v>0</v>
      </c>
      <c r="H18" s="27">
        <f>IFERROR(INDEX(OS!$R$5:$R$1004,MATCH($A18,OS!$AA$5:$AA$1004,0)),"")</f>
        <v>0</v>
      </c>
    </row>
    <row r="19" spans="1:8">
      <c r="A19" s="36">
        <v>12</v>
      </c>
      <c r="B19" s="37">
        <f>IFERROR(INDEX(OS!$A$5:$A$1004,MATCH($A19,OS!$AA$5:$AA$1004,0)),"")</f>
        <v>0</v>
      </c>
      <c r="C19" s="14">
        <f>IFERROR(INDEX(OS!$B$5:$B$1004,MATCH($A19,OS!$AA$5:$AA$1004,0)),"")</f>
        <v>0</v>
      </c>
      <c r="D19" s="22">
        <f>IFERROR(INDEX(OS!$F$5:$F$1004,MATCH($A19,OS!$AA$5:$AA$1004,0)),"")</f>
        <v>0</v>
      </c>
      <c r="E19" s="26">
        <f>IFERROR(INDEX(OS!$I$5:$I$1004,MATCH($A19,OS!$AA$5:$AA$1004,0))&amp;"","")</f>
        <v>0</v>
      </c>
      <c r="F19" s="26">
        <f>IFERROR(INDEX(OS!$G$5:$G$1004,MATCH($A19,OS!$AA$5:$AA$1004,0))&amp;"","")</f>
        <v>0</v>
      </c>
      <c r="G19" s="26">
        <f>IFERROR(INDEX(OS!$H$5:$H$1004,MATCH($A19,OS!$AA$5:$AA$1004,0))&amp;"","")</f>
        <v>0</v>
      </c>
      <c r="H19" s="27">
        <f>IFERROR(INDEX(OS!$R$5:$R$1004,MATCH($A19,OS!$AA$5:$AA$1004,0)),"")</f>
        <v>0</v>
      </c>
    </row>
    <row r="20" spans="1:8">
      <c r="A20" s="36">
        <v>13</v>
      </c>
      <c r="B20" s="37">
        <f>IFERROR(INDEX(OS!$A$5:$A$1004,MATCH($A20,OS!$AA$5:$AA$1004,0)),"")</f>
        <v>0</v>
      </c>
      <c r="C20" s="14">
        <f>IFERROR(INDEX(OS!$B$5:$B$1004,MATCH($A20,OS!$AA$5:$AA$1004,0)),"")</f>
        <v>0</v>
      </c>
      <c r="D20" s="22">
        <f>IFERROR(INDEX(OS!$F$5:$F$1004,MATCH($A20,OS!$AA$5:$AA$1004,0)),"")</f>
        <v>0</v>
      </c>
      <c r="E20" s="26">
        <f>IFERROR(INDEX(OS!$I$5:$I$1004,MATCH($A20,OS!$AA$5:$AA$1004,0))&amp;"","")</f>
        <v>0</v>
      </c>
      <c r="F20" s="26">
        <f>IFERROR(INDEX(OS!$G$5:$G$1004,MATCH($A20,OS!$AA$5:$AA$1004,0))&amp;"","")</f>
        <v>0</v>
      </c>
      <c r="G20" s="26">
        <f>IFERROR(INDEX(OS!$H$5:$H$1004,MATCH($A20,OS!$AA$5:$AA$1004,0))&amp;"","")</f>
        <v>0</v>
      </c>
      <c r="H20" s="27">
        <f>IFERROR(INDEX(OS!$R$5:$R$1004,MATCH($A20,OS!$AA$5:$AA$1004,0)),"")</f>
        <v>0</v>
      </c>
    </row>
    <row r="21" spans="1:8">
      <c r="A21" s="36">
        <v>14</v>
      </c>
      <c r="B21" s="37">
        <f>IFERROR(INDEX(OS!$A$5:$A$1004,MATCH($A21,OS!$AA$5:$AA$1004,0)),"")</f>
        <v>0</v>
      </c>
      <c r="C21" s="14">
        <f>IFERROR(INDEX(OS!$B$5:$B$1004,MATCH($A21,OS!$AA$5:$AA$1004,0)),"")</f>
        <v>0</v>
      </c>
      <c r="D21" s="22">
        <f>IFERROR(INDEX(OS!$F$5:$F$1004,MATCH($A21,OS!$AA$5:$AA$1004,0)),"")</f>
        <v>0</v>
      </c>
      <c r="E21" s="26">
        <f>IFERROR(INDEX(OS!$I$5:$I$1004,MATCH($A21,OS!$AA$5:$AA$1004,0))&amp;"","")</f>
        <v>0</v>
      </c>
      <c r="F21" s="26">
        <f>IFERROR(INDEX(OS!$G$5:$G$1004,MATCH($A21,OS!$AA$5:$AA$1004,0))&amp;"","")</f>
        <v>0</v>
      </c>
      <c r="G21" s="26">
        <f>IFERROR(INDEX(OS!$H$5:$H$1004,MATCH($A21,OS!$AA$5:$AA$1004,0))&amp;"","")</f>
        <v>0</v>
      </c>
      <c r="H21" s="27">
        <f>IFERROR(INDEX(OS!$R$5:$R$1004,MATCH($A21,OS!$AA$5:$AA$1004,0)),"")</f>
        <v>0</v>
      </c>
    </row>
    <row r="22" spans="1:8">
      <c r="A22" s="36">
        <v>15</v>
      </c>
      <c r="B22" s="37">
        <f>IFERROR(INDEX(OS!$A$5:$A$1004,MATCH($A22,OS!$AA$5:$AA$1004,0)),"")</f>
        <v>0</v>
      </c>
      <c r="C22" s="14">
        <f>IFERROR(INDEX(OS!$B$5:$B$1004,MATCH($A22,OS!$AA$5:$AA$1004,0)),"")</f>
        <v>0</v>
      </c>
      <c r="D22" s="22">
        <f>IFERROR(INDEX(OS!$F$5:$F$1004,MATCH($A22,OS!$AA$5:$AA$1004,0)),"")</f>
        <v>0</v>
      </c>
      <c r="E22" s="26">
        <f>IFERROR(INDEX(OS!$I$5:$I$1004,MATCH($A22,OS!$AA$5:$AA$1004,0))&amp;"","")</f>
        <v>0</v>
      </c>
      <c r="F22" s="26">
        <f>IFERROR(INDEX(OS!$G$5:$G$1004,MATCH($A22,OS!$AA$5:$AA$1004,0))&amp;"","")</f>
        <v>0</v>
      </c>
      <c r="G22" s="26">
        <f>IFERROR(INDEX(OS!$H$5:$H$1004,MATCH($A22,OS!$AA$5:$AA$1004,0))&amp;"","")</f>
        <v>0</v>
      </c>
      <c r="H22" s="27">
        <f>IFERROR(INDEX(OS!$R$5:$R$1004,MATCH($A22,OS!$AA$5:$AA$1004,0)),"")</f>
        <v>0</v>
      </c>
    </row>
    <row r="23" spans="1:8">
      <c r="A23" s="36">
        <v>16</v>
      </c>
      <c r="B23" s="37">
        <f>IFERROR(INDEX(OS!$A$5:$A$1004,MATCH($A23,OS!$AA$5:$AA$1004,0)),"")</f>
        <v>0</v>
      </c>
      <c r="C23" s="14">
        <f>IFERROR(INDEX(OS!$B$5:$B$1004,MATCH($A23,OS!$AA$5:$AA$1004,0)),"")</f>
        <v>0</v>
      </c>
      <c r="D23" s="22">
        <f>IFERROR(INDEX(OS!$F$5:$F$1004,MATCH($A23,OS!$AA$5:$AA$1004,0)),"")</f>
        <v>0</v>
      </c>
      <c r="E23" s="26">
        <f>IFERROR(INDEX(OS!$I$5:$I$1004,MATCH($A23,OS!$AA$5:$AA$1004,0))&amp;"","")</f>
        <v>0</v>
      </c>
      <c r="F23" s="26">
        <f>IFERROR(INDEX(OS!$G$5:$G$1004,MATCH($A23,OS!$AA$5:$AA$1004,0))&amp;"","")</f>
        <v>0</v>
      </c>
      <c r="G23" s="26">
        <f>IFERROR(INDEX(OS!$H$5:$H$1004,MATCH($A23,OS!$AA$5:$AA$1004,0))&amp;"","")</f>
        <v>0</v>
      </c>
      <c r="H23" s="27">
        <f>IFERROR(INDEX(OS!$R$5:$R$1004,MATCH($A23,OS!$AA$5:$AA$1004,0)),"")</f>
        <v>0</v>
      </c>
    </row>
    <row r="24" spans="1:8">
      <c r="A24" s="36">
        <v>17</v>
      </c>
      <c r="B24" s="37">
        <f>IFERROR(INDEX(OS!$A$5:$A$1004,MATCH($A24,OS!$AA$5:$AA$1004,0)),"")</f>
        <v>0</v>
      </c>
      <c r="C24" s="14">
        <f>IFERROR(INDEX(OS!$B$5:$B$1004,MATCH($A24,OS!$AA$5:$AA$1004,0)),"")</f>
        <v>0</v>
      </c>
      <c r="D24" s="22">
        <f>IFERROR(INDEX(OS!$F$5:$F$1004,MATCH($A24,OS!$AA$5:$AA$1004,0)),"")</f>
        <v>0</v>
      </c>
      <c r="E24" s="26">
        <f>IFERROR(INDEX(OS!$I$5:$I$1004,MATCH($A24,OS!$AA$5:$AA$1004,0))&amp;"","")</f>
        <v>0</v>
      </c>
      <c r="F24" s="26">
        <f>IFERROR(INDEX(OS!$G$5:$G$1004,MATCH($A24,OS!$AA$5:$AA$1004,0))&amp;"","")</f>
        <v>0</v>
      </c>
      <c r="G24" s="26">
        <f>IFERROR(INDEX(OS!$H$5:$H$1004,MATCH($A24,OS!$AA$5:$AA$1004,0))&amp;"","")</f>
        <v>0</v>
      </c>
      <c r="H24" s="27">
        <f>IFERROR(INDEX(OS!$R$5:$R$1004,MATCH($A24,OS!$AA$5:$AA$1004,0)),"")</f>
        <v>0</v>
      </c>
    </row>
    <row r="25" spans="1:8">
      <c r="A25" s="36">
        <v>18</v>
      </c>
      <c r="B25" s="37">
        <f>IFERROR(INDEX(OS!$A$5:$A$1004,MATCH($A25,OS!$AA$5:$AA$1004,0)),"")</f>
        <v>0</v>
      </c>
      <c r="C25" s="14">
        <f>IFERROR(INDEX(OS!$B$5:$B$1004,MATCH($A25,OS!$AA$5:$AA$1004,0)),"")</f>
        <v>0</v>
      </c>
      <c r="D25" s="22">
        <f>IFERROR(INDEX(OS!$F$5:$F$1004,MATCH($A25,OS!$AA$5:$AA$1004,0)),"")</f>
        <v>0</v>
      </c>
      <c r="E25" s="26">
        <f>IFERROR(INDEX(OS!$I$5:$I$1004,MATCH($A25,OS!$AA$5:$AA$1004,0))&amp;"","")</f>
        <v>0</v>
      </c>
      <c r="F25" s="26">
        <f>IFERROR(INDEX(OS!$G$5:$G$1004,MATCH($A25,OS!$AA$5:$AA$1004,0))&amp;"","")</f>
        <v>0</v>
      </c>
      <c r="G25" s="26">
        <f>IFERROR(INDEX(OS!$H$5:$H$1004,MATCH($A25,OS!$AA$5:$AA$1004,0))&amp;"","")</f>
        <v>0</v>
      </c>
      <c r="H25" s="27">
        <f>IFERROR(INDEX(OS!$R$5:$R$1004,MATCH($A25,OS!$AA$5:$AA$1004,0)),"")</f>
        <v>0</v>
      </c>
    </row>
    <row r="26" spans="1:8">
      <c r="A26" s="36">
        <v>19</v>
      </c>
      <c r="B26" s="37">
        <f>IFERROR(INDEX(OS!$A$5:$A$1004,MATCH($A26,OS!$AA$5:$AA$1004,0)),"")</f>
        <v>0</v>
      </c>
      <c r="C26" s="14">
        <f>IFERROR(INDEX(OS!$B$5:$B$1004,MATCH($A26,OS!$AA$5:$AA$1004,0)),"")</f>
        <v>0</v>
      </c>
      <c r="D26" s="22">
        <f>IFERROR(INDEX(OS!$F$5:$F$1004,MATCH($A26,OS!$AA$5:$AA$1004,0)),"")</f>
        <v>0</v>
      </c>
      <c r="E26" s="26">
        <f>IFERROR(INDEX(OS!$I$5:$I$1004,MATCH($A26,OS!$AA$5:$AA$1004,0))&amp;"","")</f>
        <v>0</v>
      </c>
      <c r="F26" s="26">
        <f>IFERROR(INDEX(OS!$G$5:$G$1004,MATCH($A26,OS!$AA$5:$AA$1004,0))&amp;"","")</f>
        <v>0</v>
      </c>
      <c r="G26" s="26">
        <f>IFERROR(INDEX(OS!$H$5:$H$1004,MATCH($A26,OS!$AA$5:$AA$1004,0))&amp;"","")</f>
        <v>0</v>
      </c>
      <c r="H26" s="27">
        <f>IFERROR(INDEX(OS!$R$5:$R$1004,MATCH($A26,OS!$AA$5:$AA$1004,0)),"")</f>
        <v>0</v>
      </c>
    </row>
    <row r="27" spans="1:8">
      <c r="A27" s="36">
        <v>20</v>
      </c>
      <c r="B27" s="37">
        <f>IFERROR(INDEX(OS!$A$5:$A$1004,MATCH($A27,OS!$AA$5:$AA$1004,0)),"")</f>
        <v>0</v>
      </c>
      <c r="C27" s="14">
        <f>IFERROR(INDEX(OS!$B$5:$B$1004,MATCH($A27,OS!$AA$5:$AA$1004,0)),"")</f>
        <v>0</v>
      </c>
      <c r="D27" s="22">
        <f>IFERROR(INDEX(OS!$F$5:$F$1004,MATCH($A27,OS!$AA$5:$AA$1004,0)),"")</f>
        <v>0</v>
      </c>
      <c r="E27" s="26">
        <f>IFERROR(INDEX(OS!$I$5:$I$1004,MATCH($A27,OS!$AA$5:$AA$1004,0))&amp;"","")</f>
        <v>0</v>
      </c>
      <c r="F27" s="26">
        <f>IFERROR(INDEX(OS!$G$5:$G$1004,MATCH($A27,OS!$AA$5:$AA$1004,0))&amp;"","")</f>
        <v>0</v>
      </c>
      <c r="G27" s="26">
        <f>IFERROR(INDEX(OS!$H$5:$H$1004,MATCH($A27,OS!$AA$5:$AA$1004,0))&amp;"","")</f>
        <v>0</v>
      </c>
      <c r="H27" s="27">
        <f>IFERROR(INDEX(OS!$R$5:$R$1004,MATCH($A27,OS!$AA$5:$AA$1004,0)),"")</f>
        <v>0</v>
      </c>
    </row>
    <row r="28" spans="1:8">
      <c r="A28" s="36">
        <v>21</v>
      </c>
      <c r="B28" s="37">
        <f>IFERROR(INDEX(OS!$A$5:$A$1004,MATCH($A28,OS!$AA$5:$AA$1004,0)),"")</f>
        <v>0</v>
      </c>
      <c r="C28" s="14">
        <f>IFERROR(INDEX(OS!$B$5:$B$1004,MATCH($A28,OS!$AA$5:$AA$1004,0)),"")</f>
        <v>0</v>
      </c>
      <c r="D28" s="22">
        <f>IFERROR(INDEX(OS!$F$5:$F$1004,MATCH($A28,OS!$AA$5:$AA$1004,0)),"")</f>
        <v>0</v>
      </c>
      <c r="E28" s="26">
        <f>IFERROR(INDEX(OS!$I$5:$I$1004,MATCH($A28,OS!$AA$5:$AA$1004,0))&amp;"","")</f>
        <v>0</v>
      </c>
      <c r="F28" s="26">
        <f>IFERROR(INDEX(OS!$G$5:$G$1004,MATCH($A28,OS!$AA$5:$AA$1004,0))&amp;"","")</f>
        <v>0</v>
      </c>
      <c r="G28" s="26">
        <f>IFERROR(INDEX(OS!$H$5:$H$1004,MATCH($A28,OS!$AA$5:$AA$1004,0))&amp;"","")</f>
        <v>0</v>
      </c>
      <c r="H28" s="27">
        <f>IFERROR(INDEX(OS!$R$5:$R$1004,MATCH($A28,OS!$AA$5:$AA$1004,0)),"")</f>
        <v>0</v>
      </c>
    </row>
    <row r="29" spans="1:8">
      <c r="A29" s="36">
        <v>22</v>
      </c>
      <c r="B29" s="37">
        <f>IFERROR(INDEX(OS!$A$5:$A$1004,MATCH($A29,OS!$AA$5:$AA$1004,0)),"")</f>
        <v>0</v>
      </c>
      <c r="C29" s="14">
        <f>IFERROR(INDEX(OS!$B$5:$B$1004,MATCH($A29,OS!$AA$5:$AA$1004,0)),"")</f>
        <v>0</v>
      </c>
      <c r="D29" s="22">
        <f>IFERROR(INDEX(OS!$F$5:$F$1004,MATCH($A29,OS!$AA$5:$AA$1004,0)),"")</f>
        <v>0</v>
      </c>
      <c r="E29" s="26">
        <f>IFERROR(INDEX(OS!$I$5:$I$1004,MATCH($A29,OS!$AA$5:$AA$1004,0))&amp;"","")</f>
        <v>0</v>
      </c>
      <c r="F29" s="26">
        <f>IFERROR(INDEX(OS!$G$5:$G$1004,MATCH($A29,OS!$AA$5:$AA$1004,0))&amp;"","")</f>
        <v>0</v>
      </c>
      <c r="G29" s="26">
        <f>IFERROR(INDEX(OS!$H$5:$H$1004,MATCH($A29,OS!$AA$5:$AA$1004,0))&amp;"","")</f>
        <v>0</v>
      </c>
      <c r="H29" s="27">
        <f>IFERROR(INDEX(OS!$R$5:$R$1004,MATCH($A29,OS!$AA$5:$AA$1004,0)),"")</f>
        <v>0</v>
      </c>
    </row>
    <row r="30" spans="1:8">
      <c r="A30" s="36">
        <v>23</v>
      </c>
      <c r="B30" s="37">
        <f>IFERROR(INDEX(OS!$A$5:$A$1004,MATCH($A30,OS!$AA$5:$AA$1004,0)),"")</f>
        <v>0</v>
      </c>
      <c r="C30" s="14">
        <f>IFERROR(INDEX(OS!$B$5:$B$1004,MATCH($A30,OS!$AA$5:$AA$1004,0)),"")</f>
        <v>0</v>
      </c>
      <c r="D30" s="22">
        <f>IFERROR(INDEX(OS!$F$5:$F$1004,MATCH($A30,OS!$AA$5:$AA$1004,0)),"")</f>
        <v>0</v>
      </c>
      <c r="E30" s="26">
        <f>IFERROR(INDEX(OS!$I$5:$I$1004,MATCH($A30,OS!$AA$5:$AA$1004,0))&amp;"","")</f>
        <v>0</v>
      </c>
      <c r="F30" s="26">
        <f>IFERROR(INDEX(OS!$G$5:$G$1004,MATCH($A30,OS!$AA$5:$AA$1004,0))&amp;"","")</f>
        <v>0</v>
      </c>
      <c r="G30" s="26">
        <f>IFERROR(INDEX(OS!$H$5:$H$1004,MATCH($A30,OS!$AA$5:$AA$1004,0))&amp;"","")</f>
        <v>0</v>
      </c>
      <c r="H30" s="27">
        <f>IFERROR(INDEX(OS!$R$5:$R$1004,MATCH($A30,OS!$AA$5:$AA$1004,0)),"")</f>
        <v>0</v>
      </c>
    </row>
    <row r="31" spans="1:8">
      <c r="A31" s="36">
        <v>24</v>
      </c>
      <c r="B31" s="37">
        <f>IFERROR(INDEX(OS!$A$5:$A$1004,MATCH($A31,OS!$AA$5:$AA$1004,0)),"")</f>
        <v>0</v>
      </c>
      <c r="C31" s="14">
        <f>IFERROR(INDEX(OS!$B$5:$B$1004,MATCH($A31,OS!$AA$5:$AA$1004,0)),"")</f>
        <v>0</v>
      </c>
      <c r="D31" s="22">
        <f>IFERROR(INDEX(OS!$F$5:$F$1004,MATCH($A31,OS!$AA$5:$AA$1004,0)),"")</f>
        <v>0</v>
      </c>
      <c r="E31" s="26">
        <f>IFERROR(INDEX(OS!$I$5:$I$1004,MATCH($A31,OS!$AA$5:$AA$1004,0))&amp;"","")</f>
        <v>0</v>
      </c>
      <c r="F31" s="26">
        <f>IFERROR(INDEX(OS!$G$5:$G$1004,MATCH($A31,OS!$AA$5:$AA$1004,0))&amp;"","")</f>
        <v>0</v>
      </c>
      <c r="G31" s="26">
        <f>IFERROR(INDEX(OS!$H$5:$H$1004,MATCH($A31,OS!$AA$5:$AA$1004,0))&amp;"","")</f>
        <v>0</v>
      </c>
      <c r="H31" s="27">
        <f>IFERROR(INDEX(OS!$R$5:$R$1004,MATCH($A31,OS!$AA$5:$AA$1004,0)),"")</f>
        <v>0</v>
      </c>
    </row>
    <row r="32" spans="1:8">
      <c r="A32" s="36">
        <v>25</v>
      </c>
      <c r="B32" s="37">
        <f>IFERROR(INDEX(OS!$A$5:$A$1004,MATCH($A32,OS!$AA$5:$AA$1004,0)),"")</f>
        <v>0</v>
      </c>
      <c r="C32" s="14">
        <f>IFERROR(INDEX(OS!$B$5:$B$1004,MATCH($A32,OS!$AA$5:$AA$1004,0)),"")</f>
        <v>0</v>
      </c>
      <c r="D32" s="22">
        <f>IFERROR(INDEX(OS!$F$5:$F$1004,MATCH($A32,OS!$AA$5:$AA$1004,0)),"")</f>
        <v>0</v>
      </c>
      <c r="E32" s="26">
        <f>IFERROR(INDEX(OS!$I$5:$I$1004,MATCH($A32,OS!$AA$5:$AA$1004,0))&amp;"","")</f>
        <v>0</v>
      </c>
      <c r="F32" s="26">
        <f>IFERROR(INDEX(OS!$G$5:$G$1004,MATCH($A32,OS!$AA$5:$AA$1004,0))&amp;"","")</f>
        <v>0</v>
      </c>
      <c r="G32" s="26">
        <f>IFERROR(INDEX(OS!$H$5:$H$1004,MATCH($A32,OS!$AA$5:$AA$1004,0))&amp;"","")</f>
        <v>0</v>
      </c>
      <c r="H32" s="27">
        <f>IFERROR(INDEX(OS!$R$5:$R$1004,MATCH($A32,OS!$AA$5:$AA$1004,0)),"")</f>
        <v>0</v>
      </c>
    </row>
  </sheetData>
  <sheetProtection sheet="1" objects="1" scenarios="1"/>
  <mergeCells count="4">
    <mergeCell ref="A1:I1"/>
    <mergeCell ref="A2:I2"/>
    <mergeCell ref="E4:F4"/>
    <mergeCell ref="E5:F5"/>
  </mergeCells>
  <dataValidations count="1">
    <dataValidation type="list" allowBlank="1" showInputMessage="1" showErrorMessage="1" errorTitle="Valor inválido" error="Escolha um item da lista." sqref="C4">
      <formula1>VeicPlaca</formula1>
    </dataValidation>
  </dataValidations>
  <pageMargins left="0.7" right="0.7" top="0.75" bottom="0.75" header="0.3" footer="0.3"/>
  <pageSetup paperSize="9" orientation="landscape"/>
  <headerFooter>
    <oddFooter>&amp;L&amp;8Carvex XLS - Ordem de Serviço para Oficinas&amp;R&amp;8Página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6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</row>
    <row r="4" spans="1:10" ht="24" customHeight="1">
      <c r="A4" s="38" t="s">
        <v>144</v>
      </c>
      <c r="B4" s="38"/>
      <c r="C4" s="38" t="s">
        <v>145</v>
      </c>
      <c r="D4" s="38"/>
      <c r="E4" s="38" t="s">
        <v>146</v>
      </c>
      <c r="F4" s="38"/>
      <c r="G4" s="38" t="s">
        <v>147</v>
      </c>
      <c r="H4" s="38"/>
      <c r="I4" s="38" t="s">
        <v>148</v>
      </c>
      <c r="J4" s="38"/>
    </row>
    <row r="5" spans="1:10" ht="32" customHeight="1">
      <c r="A5" s="39">
        <f>SUMIFS(OS!$R$5:$R$1004,OS!$Z$5:$Z$1004,DATE(YEAR(Hoje),MONTH(Hoje),1))</f>
        <v>0</v>
      </c>
      <c r="B5" s="39"/>
      <c r="C5" s="40">
        <f>COUNTIFS(OS!$Z$5:$Z$1004,DATE(YEAR(Hoje),MONTH(Hoje),1))</f>
        <v>0</v>
      </c>
      <c r="D5" s="40"/>
      <c r="E5" s="39">
        <f>IFERROR(A5/C5,0)</f>
        <v>0</v>
      </c>
      <c r="F5" s="39"/>
      <c r="G5" s="39">
        <f>SUMIFS(OS!$U$5:$U$1004,OS!$Z$5:$Z$1004,DATE(YEAR(Hoje),MONTH(Hoje),1))</f>
        <v>0</v>
      </c>
      <c r="H5" s="39"/>
      <c r="I5" s="41">
        <f>IFERROR(G5/A5,0)</f>
        <v>0</v>
      </c>
      <c r="J5" s="41"/>
    </row>
    <row r="7" spans="1:10" ht="24" customHeight="1">
      <c r="A7" s="38" t="s">
        <v>149</v>
      </c>
      <c r="B7" s="38"/>
      <c r="C7" s="38" t="s">
        <v>150</v>
      </c>
      <c r="D7" s="38"/>
      <c r="E7" s="38" t="s">
        <v>151</v>
      </c>
      <c r="F7" s="38"/>
      <c r="G7" s="38" t="s">
        <v>152</v>
      </c>
      <c r="H7" s="38"/>
      <c r="I7" s="38" t="s">
        <v>153</v>
      </c>
      <c r="J7" s="38"/>
    </row>
    <row r="8" spans="1:10" ht="32" customHeight="1">
      <c r="A8" s="40">
        <f>COUNTIF(OS!$I$5:$I$1004,"Aprovado")+COUNTIF(OS!$I$5:$I$1004,"Em execução")+COUNTIF(OS!$I$5:$I$1004,"Aguardando peça")</f>
        <v>0</v>
      </c>
      <c r="B8" s="40"/>
      <c r="C8" s="42">
        <f>COUNTIF(OS!$I$5:$I$1004,"Aguardando peça")</f>
        <v>0</v>
      </c>
      <c r="D8" s="42"/>
      <c r="E8" s="43">
        <f>SUM(OS!$W$5:$W$1004)</f>
        <v>0</v>
      </c>
      <c r="F8" s="43"/>
      <c r="G8" s="44">
        <f>COUNTIF(OS!$Y$5:$Y$1004,"ATRASADA")</f>
        <v>0</v>
      </c>
      <c r="H8" s="44"/>
      <c r="I8" s="39">
        <f>SUMIFS(OS!$R$5:$R$1004,OS!$I$5:$I$1004,"Orçamento")</f>
        <v>0</v>
      </c>
      <c r="J8" s="39"/>
    </row>
    <row r="10" spans="1:10" ht="24" customHeight="1">
      <c r="A10" s="38" t="s">
        <v>154</v>
      </c>
      <c r="B10" s="38"/>
      <c r="C10" s="38" t="s">
        <v>155</v>
      </c>
      <c r="D10" s="38"/>
      <c r="E10" s="38" t="s">
        <v>156</v>
      </c>
      <c r="F10" s="38"/>
      <c r="G10" s="38" t="s">
        <v>157</v>
      </c>
      <c r="H10" s="38"/>
      <c r="I10" s="38" t="s">
        <v>158</v>
      </c>
      <c r="J10" s="38"/>
    </row>
    <row r="11" spans="1:10" ht="32" customHeight="1">
      <c r="A11" s="44">
        <f>COUNTIF(Peças!$K$5:$K$504,"RUPTURA")</f>
        <v>0</v>
      </c>
      <c r="B11" s="44"/>
      <c r="C11" s="42">
        <f>COUNTIF(Peças!$K$5:$K$504,"REPOR")</f>
        <v>0</v>
      </c>
      <c r="D11" s="42"/>
      <c r="E11" s="39">
        <f>SUMPRODUCT(Peças!$J$5:$J$504,Peças!$C$5:$C$504)</f>
        <v>0</v>
      </c>
      <c r="F11" s="39"/>
      <c r="G11" s="40">
        <f>SUMPRODUCT(--(Clientes!$A$5:$A$304&lt;&gt;""))</f>
        <v>0</v>
      </c>
      <c r="H11" s="40"/>
      <c r="I11" s="40">
        <f>SUMPRODUCT(--(VeicPlaca&lt;&gt;""))</f>
        <v>0</v>
      </c>
      <c r="J11" s="40"/>
    </row>
    <row r="13" spans="1:10">
      <c r="A13" s="3" t="s">
        <v>159</v>
      </c>
      <c r="B13" s="3"/>
      <c r="C13" s="3"/>
      <c r="D13" s="3"/>
      <c r="E13" s="3"/>
      <c r="F13" s="3" t="s">
        <v>164</v>
      </c>
      <c r="G13" s="3"/>
      <c r="H13" s="3"/>
      <c r="I13" s="3"/>
      <c r="J13" s="3"/>
    </row>
    <row r="14" spans="1:10" ht="22" customHeight="1">
      <c r="A14" s="10" t="s">
        <v>160</v>
      </c>
      <c r="B14" s="10" t="s">
        <v>161</v>
      </c>
      <c r="C14" s="10" t="s">
        <v>162</v>
      </c>
      <c r="D14" s="10" t="s">
        <v>163</v>
      </c>
      <c r="F14" s="10" t="s">
        <v>107</v>
      </c>
      <c r="G14" s="10"/>
      <c r="H14" s="10" t="s">
        <v>163</v>
      </c>
      <c r="I14" s="10" t="s">
        <v>165</v>
      </c>
      <c r="J14" s="10" t="s">
        <v>166</v>
      </c>
    </row>
    <row r="15" spans="1:10">
      <c r="A15" s="45">
        <f>DATE(YEAR(Hoje),1,1)</f>
        <v>46023.0</v>
      </c>
      <c r="B15" s="27">
        <f>SUMIFS(OS!$R$5:$R$1004,OS!$Z$5:$Z$1004,A15)</f>
        <v>0</v>
      </c>
      <c r="C15" s="27">
        <f>SUMIFS(OS!$U$5:$U$1004,OS!$Z$5:$Z$1004,A15)</f>
        <v>0</v>
      </c>
      <c r="D15" s="22">
        <f>COUNTIFS(OS!$Z$5:$Z$1004,A15)</f>
        <v>0</v>
      </c>
      <c r="F15" s="26">
        <f>IF(INDEX(Mecanicos,1)="","",INDEX(Mecanicos,1))</f>
        <v>0</v>
      </c>
      <c r="G15" s="26"/>
      <c r="H15" s="22">
        <f>IF($F15="","",COUNTIFS(OS!$H$5:$H$1004,$F15,OS!$Z$5:$Z$1004,DATE(YEAR(Hoje),MONTH(Hoje),1)))</f>
        <v>0</v>
      </c>
      <c r="I15" s="27">
        <f>IF($F15="","",SUMIFS(OS!$P$5:$P$1004,OS!$H$5:$H$1004,$F15,OS!$Z$5:$Z$1004,DATE(YEAR(Hoje),MONTH(Hoje),1)))</f>
        <v>0</v>
      </c>
      <c r="J15" s="27">
        <f>IF($F15="","",SUMIFS(OS!$T$5:$T$1004,OS!$H$5:$H$1004,$F15,OS!$Z$5:$Z$1004,DATE(YEAR(Hoje),MONTH(Hoje),1)))</f>
        <v>0</v>
      </c>
    </row>
    <row r="16" spans="1:10">
      <c r="A16" s="45">
        <f>DATE(YEAR(Hoje),2,1)</f>
        <v>46054.0</v>
      </c>
      <c r="B16" s="27">
        <f>SUMIFS(OS!$R$5:$R$1004,OS!$Z$5:$Z$1004,A16)</f>
        <v>0</v>
      </c>
      <c r="C16" s="27">
        <f>SUMIFS(OS!$U$5:$U$1004,OS!$Z$5:$Z$1004,A16)</f>
        <v>0</v>
      </c>
      <c r="D16" s="22">
        <f>COUNTIFS(OS!$Z$5:$Z$1004,A16)</f>
        <v>0</v>
      </c>
      <c r="F16" s="26">
        <f>IF(INDEX(Mecanicos,2)="","",INDEX(Mecanicos,2))</f>
        <v>0</v>
      </c>
      <c r="G16" s="26"/>
      <c r="H16" s="22">
        <f>IF($F16="","",COUNTIFS(OS!$H$5:$H$1004,$F16,OS!$Z$5:$Z$1004,DATE(YEAR(Hoje),MONTH(Hoje),1)))</f>
        <v>0</v>
      </c>
      <c r="I16" s="27">
        <f>IF($F16="","",SUMIFS(OS!$P$5:$P$1004,OS!$H$5:$H$1004,$F16,OS!$Z$5:$Z$1004,DATE(YEAR(Hoje),MONTH(Hoje),1)))</f>
        <v>0</v>
      </c>
      <c r="J16" s="27">
        <f>IF($F16="","",SUMIFS(OS!$T$5:$T$1004,OS!$H$5:$H$1004,$F16,OS!$Z$5:$Z$1004,DATE(YEAR(Hoje),MONTH(Hoje),1)))</f>
        <v>0</v>
      </c>
    </row>
    <row r="17" spans="1:10">
      <c r="A17" s="45">
        <f>DATE(YEAR(Hoje),3,1)</f>
        <v>46082.0</v>
      </c>
      <c r="B17" s="27">
        <f>SUMIFS(OS!$R$5:$R$1004,OS!$Z$5:$Z$1004,A17)</f>
        <v>0</v>
      </c>
      <c r="C17" s="27">
        <f>SUMIFS(OS!$U$5:$U$1004,OS!$Z$5:$Z$1004,A17)</f>
        <v>0</v>
      </c>
      <c r="D17" s="22">
        <f>COUNTIFS(OS!$Z$5:$Z$1004,A17)</f>
        <v>0</v>
      </c>
      <c r="F17" s="26">
        <f>IF(INDEX(Mecanicos,3)="","",INDEX(Mecanicos,3))</f>
        <v>0</v>
      </c>
      <c r="G17" s="26"/>
      <c r="H17" s="22">
        <f>IF($F17="","",COUNTIFS(OS!$H$5:$H$1004,$F17,OS!$Z$5:$Z$1004,DATE(YEAR(Hoje),MONTH(Hoje),1)))</f>
        <v>0</v>
      </c>
      <c r="I17" s="27">
        <f>IF($F17="","",SUMIFS(OS!$P$5:$P$1004,OS!$H$5:$H$1004,$F17,OS!$Z$5:$Z$1004,DATE(YEAR(Hoje),MONTH(Hoje),1)))</f>
        <v>0</v>
      </c>
      <c r="J17" s="27">
        <f>IF($F17="","",SUMIFS(OS!$T$5:$T$1004,OS!$H$5:$H$1004,$F17,OS!$Z$5:$Z$1004,DATE(YEAR(Hoje),MONTH(Hoje),1)))</f>
        <v>0</v>
      </c>
    </row>
    <row r="18" spans="1:10">
      <c r="A18" s="45">
        <f>DATE(YEAR(Hoje),4,1)</f>
        <v>46113.0</v>
      </c>
      <c r="B18" s="27">
        <f>SUMIFS(OS!$R$5:$R$1004,OS!$Z$5:$Z$1004,A18)</f>
        <v>0</v>
      </c>
      <c r="C18" s="27">
        <f>SUMIFS(OS!$U$5:$U$1004,OS!$Z$5:$Z$1004,A18)</f>
        <v>0</v>
      </c>
      <c r="D18" s="22">
        <f>COUNTIFS(OS!$Z$5:$Z$1004,A18)</f>
        <v>0</v>
      </c>
      <c r="F18" s="26">
        <f>IF(INDEX(Mecanicos,4)="","",INDEX(Mecanicos,4))</f>
        <v>0</v>
      </c>
      <c r="G18" s="26"/>
      <c r="H18" s="22">
        <f>IF($F18="","",COUNTIFS(OS!$H$5:$H$1004,$F18,OS!$Z$5:$Z$1004,DATE(YEAR(Hoje),MONTH(Hoje),1)))</f>
        <v>0</v>
      </c>
      <c r="I18" s="27">
        <f>IF($F18="","",SUMIFS(OS!$P$5:$P$1004,OS!$H$5:$H$1004,$F18,OS!$Z$5:$Z$1004,DATE(YEAR(Hoje),MONTH(Hoje),1)))</f>
        <v>0</v>
      </c>
      <c r="J18" s="27">
        <f>IF($F18="","",SUMIFS(OS!$T$5:$T$1004,OS!$H$5:$H$1004,$F18,OS!$Z$5:$Z$1004,DATE(YEAR(Hoje),MONTH(Hoje),1)))</f>
        <v>0</v>
      </c>
    </row>
    <row r="19" spans="1:10">
      <c r="A19" s="45">
        <f>DATE(YEAR(Hoje),5,1)</f>
        <v>46143.0</v>
      </c>
      <c r="B19" s="27">
        <f>SUMIFS(OS!$R$5:$R$1004,OS!$Z$5:$Z$1004,A19)</f>
        <v>0</v>
      </c>
      <c r="C19" s="27">
        <f>SUMIFS(OS!$U$5:$U$1004,OS!$Z$5:$Z$1004,A19)</f>
        <v>0</v>
      </c>
      <c r="D19" s="22">
        <f>COUNTIFS(OS!$Z$5:$Z$1004,A19)</f>
        <v>0</v>
      </c>
      <c r="F19" s="26">
        <f>IF(INDEX(Mecanicos,5)="","",INDEX(Mecanicos,5))</f>
        <v>0</v>
      </c>
      <c r="G19" s="26"/>
      <c r="H19" s="22">
        <f>IF($F19="","",COUNTIFS(OS!$H$5:$H$1004,$F19,OS!$Z$5:$Z$1004,DATE(YEAR(Hoje),MONTH(Hoje),1)))</f>
        <v>0</v>
      </c>
      <c r="I19" s="27">
        <f>IF($F19="","",SUMIFS(OS!$P$5:$P$1004,OS!$H$5:$H$1004,$F19,OS!$Z$5:$Z$1004,DATE(YEAR(Hoje),MONTH(Hoje),1)))</f>
        <v>0</v>
      </c>
      <c r="J19" s="27">
        <f>IF($F19="","",SUMIFS(OS!$T$5:$T$1004,OS!$H$5:$H$1004,$F19,OS!$Z$5:$Z$1004,DATE(YEAR(Hoje),MONTH(Hoje),1)))</f>
        <v>0</v>
      </c>
    </row>
    <row r="20" spans="1:10">
      <c r="A20" s="45">
        <f>DATE(YEAR(Hoje),6,1)</f>
        <v>46174.0</v>
      </c>
      <c r="B20" s="27">
        <f>SUMIFS(OS!$R$5:$R$1004,OS!$Z$5:$Z$1004,A20)</f>
        <v>0</v>
      </c>
      <c r="C20" s="27">
        <f>SUMIFS(OS!$U$5:$U$1004,OS!$Z$5:$Z$1004,A20)</f>
        <v>0</v>
      </c>
      <c r="D20" s="22">
        <f>COUNTIFS(OS!$Z$5:$Z$1004,A20)</f>
        <v>0</v>
      </c>
      <c r="F20" s="26">
        <f>IF(INDEX(Mecanicos,6)="","",INDEX(Mecanicos,6))</f>
        <v>0</v>
      </c>
      <c r="G20" s="26"/>
      <c r="H20" s="22">
        <f>IF($F20="","",COUNTIFS(OS!$H$5:$H$1004,$F20,OS!$Z$5:$Z$1004,DATE(YEAR(Hoje),MONTH(Hoje),1)))</f>
        <v>0</v>
      </c>
      <c r="I20" s="27">
        <f>IF($F20="","",SUMIFS(OS!$P$5:$P$1004,OS!$H$5:$H$1004,$F20,OS!$Z$5:$Z$1004,DATE(YEAR(Hoje),MONTH(Hoje),1)))</f>
        <v>0</v>
      </c>
      <c r="J20" s="27">
        <f>IF($F20="","",SUMIFS(OS!$T$5:$T$1004,OS!$H$5:$H$1004,$F20,OS!$Z$5:$Z$1004,DATE(YEAR(Hoje),MONTH(Hoje),1)))</f>
        <v>0</v>
      </c>
    </row>
    <row r="21" spans="1:10">
      <c r="A21" s="45">
        <f>DATE(YEAR(Hoje),7,1)</f>
        <v>46204.0</v>
      </c>
      <c r="B21" s="27">
        <f>SUMIFS(OS!$R$5:$R$1004,OS!$Z$5:$Z$1004,A21)</f>
        <v>0</v>
      </c>
      <c r="C21" s="27">
        <f>SUMIFS(OS!$U$5:$U$1004,OS!$Z$5:$Z$1004,A21)</f>
        <v>0</v>
      </c>
      <c r="D21" s="22">
        <f>COUNTIFS(OS!$Z$5:$Z$1004,A21)</f>
        <v>0</v>
      </c>
      <c r="F21" s="26">
        <f>IF(INDEX(Mecanicos,7)="","",INDEX(Mecanicos,7))</f>
        <v>0</v>
      </c>
      <c r="G21" s="26"/>
      <c r="H21" s="22">
        <f>IF($F21="","",COUNTIFS(OS!$H$5:$H$1004,$F21,OS!$Z$5:$Z$1004,DATE(YEAR(Hoje),MONTH(Hoje),1)))</f>
        <v>0</v>
      </c>
      <c r="I21" s="27">
        <f>IF($F21="","",SUMIFS(OS!$P$5:$P$1004,OS!$H$5:$H$1004,$F21,OS!$Z$5:$Z$1004,DATE(YEAR(Hoje),MONTH(Hoje),1)))</f>
        <v>0</v>
      </c>
      <c r="J21" s="27">
        <f>IF($F21="","",SUMIFS(OS!$T$5:$T$1004,OS!$H$5:$H$1004,$F21,OS!$Z$5:$Z$1004,DATE(YEAR(Hoje),MONTH(Hoje),1)))</f>
        <v>0</v>
      </c>
    </row>
    <row r="22" spans="1:10">
      <c r="A22" s="45">
        <f>DATE(YEAR(Hoje),8,1)</f>
        <v>46235.0</v>
      </c>
      <c r="B22" s="27">
        <f>SUMIFS(OS!$R$5:$R$1004,OS!$Z$5:$Z$1004,A22)</f>
        <v>0</v>
      </c>
      <c r="C22" s="27">
        <f>SUMIFS(OS!$U$5:$U$1004,OS!$Z$5:$Z$1004,A22)</f>
        <v>0</v>
      </c>
      <c r="D22" s="22">
        <f>COUNTIFS(OS!$Z$5:$Z$1004,A22)</f>
        <v>0</v>
      </c>
      <c r="F22" s="26">
        <f>IF(INDEX(Mecanicos,8)="","",INDEX(Mecanicos,8))</f>
        <v>0</v>
      </c>
      <c r="G22" s="26"/>
      <c r="H22" s="22">
        <f>IF($F22="","",COUNTIFS(OS!$H$5:$H$1004,$F22,OS!$Z$5:$Z$1004,DATE(YEAR(Hoje),MONTH(Hoje),1)))</f>
        <v>0</v>
      </c>
      <c r="I22" s="27">
        <f>IF($F22="","",SUMIFS(OS!$P$5:$P$1004,OS!$H$5:$H$1004,$F22,OS!$Z$5:$Z$1004,DATE(YEAR(Hoje),MONTH(Hoje),1)))</f>
        <v>0</v>
      </c>
      <c r="J22" s="27">
        <f>IF($F22="","",SUMIFS(OS!$T$5:$T$1004,OS!$H$5:$H$1004,$F22,OS!$Z$5:$Z$1004,DATE(YEAR(Hoje),MONTH(Hoje),1)))</f>
        <v>0</v>
      </c>
    </row>
    <row r="23" spans="1:10">
      <c r="A23" s="45">
        <f>DATE(YEAR(Hoje),9,1)</f>
        <v>46266.0</v>
      </c>
      <c r="B23" s="27">
        <f>SUMIFS(OS!$R$5:$R$1004,OS!$Z$5:$Z$1004,A23)</f>
        <v>0</v>
      </c>
      <c r="C23" s="27">
        <f>SUMIFS(OS!$U$5:$U$1004,OS!$Z$5:$Z$1004,A23)</f>
        <v>0</v>
      </c>
      <c r="D23" s="22">
        <f>COUNTIFS(OS!$Z$5:$Z$1004,A23)</f>
        <v>0</v>
      </c>
      <c r="F23" s="26">
        <f>IF(INDEX(Mecanicos,9)="","",INDEX(Mecanicos,9))</f>
        <v>0</v>
      </c>
      <c r="G23" s="26"/>
      <c r="H23" s="22">
        <f>IF($F23="","",COUNTIFS(OS!$H$5:$H$1004,$F23,OS!$Z$5:$Z$1004,DATE(YEAR(Hoje),MONTH(Hoje),1)))</f>
        <v>0</v>
      </c>
      <c r="I23" s="27">
        <f>IF($F23="","",SUMIFS(OS!$P$5:$P$1004,OS!$H$5:$H$1004,$F23,OS!$Z$5:$Z$1004,DATE(YEAR(Hoje),MONTH(Hoje),1)))</f>
        <v>0</v>
      </c>
      <c r="J23" s="27">
        <f>IF($F23="","",SUMIFS(OS!$T$5:$T$1004,OS!$H$5:$H$1004,$F23,OS!$Z$5:$Z$1004,DATE(YEAR(Hoje),MONTH(Hoje),1)))</f>
        <v>0</v>
      </c>
    </row>
    <row r="24" spans="1:10">
      <c r="A24" s="45">
        <f>DATE(YEAR(Hoje),10,1)</f>
        <v>46296.0</v>
      </c>
      <c r="B24" s="27">
        <f>SUMIFS(OS!$R$5:$R$1004,OS!$Z$5:$Z$1004,A24)</f>
        <v>0</v>
      </c>
      <c r="C24" s="27">
        <f>SUMIFS(OS!$U$5:$U$1004,OS!$Z$5:$Z$1004,A24)</f>
        <v>0</v>
      </c>
      <c r="D24" s="22">
        <f>COUNTIFS(OS!$Z$5:$Z$1004,A24)</f>
        <v>0</v>
      </c>
      <c r="F24" s="26">
        <f>IF(INDEX(Mecanicos,10)="","",INDEX(Mecanicos,10))</f>
        <v>0</v>
      </c>
      <c r="G24" s="26"/>
      <c r="H24" s="22">
        <f>IF($F24="","",COUNTIFS(OS!$H$5:$H$1004,$F24,OS!$Z$5:$Z$1004,DATE(YEAR(Hoje),MONTH(Hoje),1)))</f>
        <v>0</v>
      </c>
      <c r="I24" s="27">
        <f>IF($F24="","",SUMIFS(OS!$P$5:$P$1004,OS!$H$5:$H$1004,$F24,OS!$Z$5:$Z$1004,DATE(YEAR(Hoje),MONTH(Hoje),1)))</f>
        <v>0</v>
      </c>
      <c r="J24" s="27">
        <f>IF($F24="","",SUMIFS(OS!$T$5:$T$1004,OS!$H$5:$H$1004,$F24,OS!$Z$5:$Z$1004,DATE(YEAR(Hoje),MONTH(Hoje),1)))</f>
        <v>0</v>
      </c>
    </row>
    <row r="25" spans="1:10">
      <c r="A25" s="45">
        <f>DATE(YEAR(Hoje),11,1)</f>
        <v>46327.0</v>
      </c>
      <c r="B25" s="27">
        <f>SUMIFS(OS!$R$5:$R$1004,OS!$Z$5:$Z$1004,A25)</f>
        <v>0</v>
      </c>
      <c r="C25" s="27">
        <f>SUMIFS(OS!$U$5:$U$1004,OS!$Z$5:$Z$1004,A25)</f>
        <v>0</v>
      </c>
      <c r="D25" s="22">
        <f>COUNTIFS(OS!$Z$5:$Z$1004,A25)</f>
        <v>0</v>
      </c>
    </row>
    <row r="26" spans="1:10">
      <c r="A26" s="45">
        <f>DATE(YEAR(Hoje),12,1)</f>
        <v>46357.0</v>
      </c>
      <c r="B26" s="27">
        <f>SUMIFS(OS!$R$5:$R$1004,OS!$Z$5:$Z$1004,A26)</f>
        <v>0</v>
      </c>
      <c r="C26" s="27">
        <f>SUMIFS(OS!$U$5:$U$1004,OS!$Z$5:$Z$1004,A26)</f>
        <v>0</v>
      </c>
      <c r="D26" s="22">
        <f>COUNTIFS(OS!$Z$5:$Z$1004,A26)</f>
        <v>0</v>
      </c>
    </row>
  </sheetData>
  <sheetProtection sheet="1" objects="1" scenarios="1"/>
  <mergeCells count="4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B10"/>
    <mergeCell ref="A11:B11"/>
    <mergeCell ref="C10:D10"/>
    <mergeCell ref="C11:D11"/>
    <mergeCell ref="E10:F10"/>
    <mergeCell ref="E11:F11"/>
    <mergeCell ref="G10:H10"/>
    <mergeCell ref="G11:H11"/>
    <mergeCell ref="I10:J10"/>
    <mergeCell ref="I11:J11"/>
    <mergeCell ref="A13:E13"/>
    <mergeCell ref="F13:J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</mergeCells>
  <pageMargins left="0.7" right="0.7" top="0.75" bottom="0.75" header="0.3" footer="0.3"/>
  <pageSetup paperSize="9" orientation="landscape"/>
  <headerFooter>
    <oddFooter>&amp;L&amp;8Carvex XLS - Ordem de Serviço para Oficinas&amp;R&amp;8Página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27</vt:i4>
      </vt:variant>
    </vt:vector>
  </HeadingPairs>
  <TitlesOfParts>
    <vt:vector size="37" baseType="lpstr">
      <vt:lpstr>Início</vt:lpstr>
      <vt:lpstr>Config</vt:lpstr>
      <vt:lpstr>Clientes</vt:lpstr>
      <vt:lpstr>Veículos</vt:lpstr>
      <vt:lpstr>Peças</vt:lpstr>
      <vt:lpstr>Entradas</vt:lpstr>
      <vt:lpstr>OS</vt:lpstr>
      <vt:lpstr>Itens da OS</vt:lpstr>
      <vt:lpstr>Histórico</vt:lpstr>
      <vt:lpstr>Dashboard</vt:lpstr>
      <vt:lpstr>CliNome</vt:lpstr>
      <vt:lpstr>ComMec</vt:lpstr>
      <vt:lpstr>EntCod</vt:lpstr>
      <vt:lpstr>EntQtd</vt:lpstr>
      <vt:lpstr>Formas</vt:lpstr>
      <vt:lpstr>HistPlaca</vt:lpstr>
      <vt:lpstr>Hoje</vt:lpstr>
      <vt:lpstr>ItCod</vt:lpstr>
      <vt:lpstr>ItCusto</vt:lpstr>
      <vt:lpstr>ItOS</vt:lpstr>
      <vt:lpstr>ItQtd</vt:lpstr>
      <vt:lpstr>ItStatus</vt:lpstr>
      <vt:lpstr>ItTotal</vt:lpstr>
      <vt:lpstr>MarkupPeca</vt:lpstr>
      <vt:lpstr>Mecanicos</vt:lpstr>
      <vt:lpstr>OSNum</vt:lpstr>
      <vt:lpstr>OSStatus</vt:lpstr>
      <vt:lpstr>PecCod</vt:lpstr>
      <vt:lpstr>PecCusto</vt:lpstr>
      <vt:lpstr>PecDesc</vt:lpstr>
      <vt:lpstr>PecPreco</vt:lpstr>
      <vt:lpstr>PrazoMax</vt:lpstr>
      <vt:lpstr>StatusOS</vt:lpstr>
      <vt:lpstr>ValorHora</vt:lpstr>
      <vt:lpstr>VeicCli</vt:lpstr>
      <vt:lpstr>VeicModelo</vt:lpstr>
      <vt:lpstr>VeicPlaca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Ordem de Serviço para Oficinas</dc:title>
  <dc:creator>Carvex XLS</dc:creator>
  <dc:description>Planilha empresarial Carvex XLS</dc:description>
  <cp:lastModifiedBy>Carvex XLS</cp:lastModifiedBy>
  <dcterms:created xsi:type="dcterms:W3CDTF">2026-10-08T12:40:41Z</dcterms:created>
  <dcterms:modified xsi:type="dcterms:W3CDTF">2026-10-08T12:40:41Z</dcterms:modified>
</cp:coreProperties>
</file>