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Leads" sheetId="3" r:id="rId3"/>
    <sheet name="Agenda" sheetId="4" r:id="rId4"/>
    <sheet name="Funil" sheetId="5" r:id="rId5"/>
    <sheet name="Vendedores" sheetId="6" r:id="rId6"/>
    <sheet name="Dashboard" sheetId="7" r:id="rId7"/>
  </sheets>
  <definedNames>
    <definedName name="_xlnm._FilterDatabase" localSheetId="2" hidden="1">Leads!$A$4:$T$1004</definedName>
    <definedName name="DiasSC">Config!$C$6</definedName>
    <definedName name="EtapaProb">Config!$C$10:$C$15</definedName>
    <definedName name="Etapas">Config!$B$10:$B$15</definedName>
    <definedName name="Hoje">Config!$C$5</definedName>
    <definedName name="Motivos">Config!$J$5:$J$14</definedName>
    <definedName name="Origens">Config!$E$5:$E$14</definedName>
    <definedName name="Vendedores">Config!$G$5:$G$14</definedName>
  </definedNames>
  <calcPr calcId="124519" fullCalcOnLoad="1"/>
</workbook>
</file>

<file path=xl/sharedStrings.xml><?xml version="1.0" encoding="utf-8"?>
<sst xmlns="http://schemas.openxmlformats.org/spreadsheetml/2006/main" count="154" uniqueCount="135">
  <si>
    <t>CRM e Funil de Vendas</t>
  </si>
  <si>
    <t>Carvex XLS · Nenhum lead esquecido, nenhuma venda perdida por falta de follow-up</t>
  </si>
  <si>
    <t>O que esta planilha faz</t>
  </si>
  <si>
    <t>Cadastre seus leads, acompanhe cada um pelas etapas do funil e marque o próximo contato. A planilha mostra a agenda de follow-up do dia, o valor previsto de vendas, a conversão por origem, o ranking dos vendedores e o cumprimento da meta do mês.</t>
  </si>
  <si>
    <t>Como começar (5 minutos)</t>
  </si>
  <si>
    <t>1. Config</t>
  </si>
  <si>
    <t>Ajuste as etapas e suas probabilidades, as origens dos leads, os vendedores e a meta mensal de cada um.</t>
  </si>
  <si>
    <t>2. Cadastre os leads</t>
  </si>
  <si>
    <t>Na aba Leads, uma linha por lead: data de entrada, nome, contato, origem, vendedor, etapa e valor potencial.</t>
  </si>
  <si>
    <t>3. Marque o próximo contato</t>
  </si>
  <si>
    <t>Preencha 'Último contato' e 'Próximo follow-up'. A coluna Follow-up avisa ATRASADO, HOJE ou Em dia.</t>
  </si>
  <si>
    <t>4. Abra a Agenda todo dia</t>
  </si>
  <si>
    <t>A aba Agenda lista só quem precisa de contato hoje ou está atrasado.</t>
  </si>
  <si>
    <t>5. Feche com data e motivo</t>
  </si>
  <si>
    <t>Ao mudar a etapa para Ganho ou Perdido, preencha a data de fechamento (e o motivo, se perdeu).</t>
  </si>
  <si>
    <t>Mapa das abas (clique para ir)</t>
  </si>
  <si>
    <t>Config</t>
  </si>
  <si>
    <t>Etapas do funil, origens, vendedores, metas e motivos de perda.</t>
  </si>
  <si>
    <t>Leads</t>
  </si>
  <si>
    <t>Cadastro e acompanhamento (até 1.000 leads).</t>
  </si>
  <si>
    <t>Agenda</t>
  </si>
  <si>
    <t>Follow-ups de hoje e atrasados.</t>
  </si>
  <si>
    <t>Funil</t>
  </si>
  <si>
    <t>Leads por etapa, conversão por origem e motivos de perda.</t>
  </si>
  <si>
    <t>Vendedores</t>
  </si>
  <si>
    <t>Ranking, conversão e meta de cada vendedor.</t>
  </si>
  <si>
    <t>Dashboard</t>
  </si>
  <si>
    <t>Indicadores e gráficos.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</si>
  <si>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</si>
  <si>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</si>
  <si>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</si>
  <si>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</si>
  <si>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</si>
  <si>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</si>
  <si>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</si>
  <si>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</si>
  <si>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Não renomeie as etapas 'Ganho' e 'Perdido': a planilha as usa nos cálculos. As demais etapas podem ser renomeadas.</t>
  </si>
  <si>
    <t>• A probabilidade de cada etapa é uma estimativa sua; ajuste conforme seu histórico de fechamento.</t>
  </si>
  <si>
    <t>• A data de fechamento é obrigatória para Ganho/Perdido; sem ela a venda não entra nos relatórios do mês.</t>
  </si>
  <si>
    <t>Carvex XLS · CRM e Funil de Vendas com Follow-up · versão 1.0 · Dúvidas: consulte o TUTORIAL.md e o MANUAL.md que acompanham o produto.</t>
  </si>
  <si>
    <t>Configurações</t>
  </si>
  <si>
    <t>Preencha as células amarelas.</t>
  </si>
  <si>
    <t>Empresa</t>
  </si>
  <si>
    <t>Data de hoje (referência)</t>
  </si>
  <si>
    <t>Dias sem contato para alertar</t>
  </si>
  <si>
    <t>Etapa do funil</t>
  </si>
  <si>
    <t>Probabilidade</t>
  </si>
  <si>
    <t>Novo</t>
  </si>
  <si>
    <t>Contato feito</t>
  </si>
  <si>
    <t>Proposta enviada</t>
  </si>
  <si>
    <t>Negociação</t>
  </si>
  <si>
    <t>Ganho</t>
  </si>
  <si>
    <t>Perdido</t>
  </si>
  <si>
    <t>Origens dos leads</t>
  </si>
  <si>
    <t>Indicação</t>
  </si>
  <si>
    <t>Instagram</t>
  </si>
  <si>
    <t>Google</t>
  </si>
  <si>
    <t>WhatsApp</t>
  </si>
  <si>
    <t>Site</t>
  </si>
  <si>
    <t>Evento</t>
  </si>
  <si>
    <t>Outros</t>
  </si>
  <si>
    <t>Meta mensal (R$)</t>
  </si>
  <si>
    <t>Motivos de perda</t>
  </si>
  <si>
    <t>Preço</t>
  </si>
  <si>
    <t>Fechou com concorrente</t>
  </si>
  <si>
    <t>Sem resposta</t>
  </si>
  <si>
    <t>Sem orçamento</t>
  </si>
  <si>
    <t>Prazo</t>
  </si>
  <si>
    <t>Outro</t>
  </si>
  <si>
    <t>Uma linha por lead. Atualize etapa, último contato e próximo follow-up sempre que falar com o cliente.</t>
  </si>
  <si>
    <t>Nº</t>
  </si>
  <si>
    <t>Data de entrada</t>
  </si>
  <si>
    <t>Lead (nome / empresa)</t>
  </si>
  <si>
    <t>Contato</t>
  </si>
  <si>
    <t>Origem</t>
  </si>
  <si>
    <t>Vendedor</t>
  </si>
  <si>
    <t>Etapa</t>
  </si>
  <si>
    <t>Valor potencial (R$)</t>
  </si>
  <si>
    <t>Último contato</t>
  </si>
  <si>
    <t>Próximo follow-up</t>
  </si>
  <si>
    <t>Data de fechamento</t>
  </si>
  <si>
    <t>Motivo da perda</t>
  </si>
  <si>
    <t>Observações</t>
  </si>
  <si>
    <t>Prob.</t>
  </si>
  <si>
    <t>Valor ponderado</t>
  </si>
  <si>
    <t>Situação</t>
  </si>
  <si>
    <t>Dias sem contato</t>
  </si>
  <si>
    <t>FOLLOW-UP</t>
  </si>
  <si>
    <t>Seq. agenda</t>
  </si>
  <si>
    <t>Conferência</t>
  </si>
  <si>
    <t>Agenda de follow-up</t>
  </si>
  <si>
    <t>Quem precisa de contato HOJE ou está ATRASADO. Atualize a data na aba Leads depois de falar com o cliente.</t>
  </si>
  <si>
    <t>#</t>
  </si>
  <si>
    <t>Prioridade</t>
  </si>
  <si>
    <t>Lead</t>
  </si>
  <si>
    <t>Valor potencial</t>
  </si>
  <si>
    <t>Próx. follow-up</t>
  </si>
  <si>
    <t>Funil de vendas</t>
  </si>
  <si>
    <t>Onde estão os leads, de onde vêm os que fecham e por que perdemos.</t>
  </si>
  <si>
    <t>Valor (R$)</t>
  </si>
  <si>
    <t>% dos leads</t>
  </si>
  <si>
    <t>Total</t>
  </si>
  <si>
    <t>Conversão por origem (de onde vêm os clientes que fecham)</t>
  </si>
  <si>
    <t>Ganhos</t>
  </si>
  <si>
    <t>Perdidos</t>
  </si>
  <si>
    <t>Conversão</t>
  </si>
  <si>
    <t>Valor ganho (R$)</t>
  </si>
  <si>
    <t>Motivo</t>
  </si>
  <si>
    <t>Leads perdidos</t>
  </si>
  <si>
    <t>% das perdas</t>
  </si>
  <si>
    <t>Vendedores: ranking e metas</t>
  </si>
  <si>
    <t>Mês de referência = mês da data de hoje (Config).</t>
  </si>
  <si>
    <t>Em aberto</t>
  </si>
  <si>
    <t>Vendido no mês (R$)</t>
  </si>
  <si>
    <t>Meta do mês (R$)</t>
  </si>
  <si>
    <t>% da meta</t>
  </si>
  <si>
    <t>Previsão ponderada (R$)</t>
  </si>
  <si>
    <t>Follow-ups atrasados</t>
  </si>
  <si>
    <t>Ranking</t>
  </si>
  <si>
    <t>Dashboard comercial</t>
  </si>
  <si>
    <t>Resumo do funil e das metas do mês.</t>
  </si>
  <si>
    <t>LEADS EM ABERTO</t>
  </si>
  <si>
    <t>VALOR EM ABERTO</t>
  </si>
  <si>
    <t>PREVISÃO PONDERADA</t>
  </si>
  <si>
    <t>VENDIDO NO MÊS</t>
  </si>
  <si>
    <t>META DO MÊS</t>
  </si>
  <si>
    <t>% DA META</t>
  </si>
  <si>
    <t>CONVERSÃO (ganhos / fechados)</t>
  </si>
  <si>
    <t>TICKET MÉDIO</t>
  </si>
  <si>
    <t>CICLO MÉDIO DE VENDA (dias)</t>
  </si>
  <si>
    <t>FOLLOW-UPS ATRASADOS</t>
  </si>
  <si>
    <t>Vendas ganhas por mês (ano da data de hoje)</t>
  </si>
  <si>
    <t>Mês</t>
  </si>
  <si>
    <t>Vendido (R$)</t>
  </si>
  <si>
    <t>Meta (R$)</t>
  </si>
</sst>
</file>

<file path=xl/styles.xml><?xml version="1.0" encoding="utf-8"?>
<styleSheet xmlns="http://schemas.openxmlformats.org/spreadsheetml/2006/main">
  <numFmts count="6">
    <numFmt numFmtId="164" formatCode="dd/mm/yyyy"/>
    <numFmt numFmtId="165" formatCode="&quot;R$&quot; #,##0.00;[Red]-&quot;R$&quot; #,##0.00"/>
    <numFmt numFmtId="166" formatCode="0%"/>
    <numFmt numFmtId="167" formatCode="#,##0"/>
    <numFmt numFmtId="168" formatCode="0.0%"/>
    <numFmt numFmtId="169" formatCode="mmm/yy"/>
  </numFmts>
  <fonts count="1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64" fontId="12" fillId="4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 applyProtection="1">
      <alignment vertical="center"/>
      <protection locked="0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166" fontId="6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166" fontId="12" fillId="4" borderId="2" xfId="0" applyNumberFormat="1" applyFont="1" applyFill="1" applyBorder="1" applyAlignment="1">
      <alignment horizontal="center" vertical="center"/>
    </xf>
    <xf numFmtId="165" fontId="12" fillId="4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167" fontId="12" fillId="4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68" fontId="12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167" fontId="5" fillId="5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vertical="center"/>
    </xf>
    <xf numFmtId="166" fontId="9" fillId="4" borderId="2" xfId="0" applyNumberFormat="1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 wrapText="1"/>
    </xf>
    <xf numFmtId="167" fontId="15" fillId="6" borderId="5" xfId="0" applyNumberFormat="1" applyFont="1" applyFill="1" applyBorder="1" applyAlignment="1">
      <alignment horizontal="center" vertical="center"/>
    </xf>
    <xf numFmtId="165" fontId="15" fillId="6" borderId="5" xfId="0" applyNumberFormat="1" applyFont="1" applyFill="1" applyBorder="1" applyAlignment="1">
      <alignment horizontal="center" vertical="center"/>
    </xf>
    <xf numFmtId="166" fontId="15" fillId="6" borderId="5" xfId="0" applyNumberFormat="1" applyFont="1" applyFill="1" applyBorder="1" applyAlignment="1">
      <alignment horizontal="center" vertical="center"/>
    </xf>
    <xf numFmtId="168" fontId="15" fillId="6" borderId="5" xfId="0" applyNumberFormat="1" applyFont="1" applyFill="1" applyBorder="1" applyAlignment="1">
      <alignment horizontal="center" vertical="center"/>
    </xf>
    <xf numFmtId="1" fontId="15" fillId="6" borderId="5" xfId="0" applyNumberFormat="1" applyFont="1" applyFill="1" applyBorder="1" applyAlignment="1">
      <alignment horizontal="center" vertical="center"/>
    </xf>
    <xf numFmtId="167" fontId="16" fillId="6" borderId="5" xfId="0" applyNumberFormat="1" applyFont="1" applyFill="1" applyBorder="1" applyAlignment="1">
      <alignment horizontal="center" vertical="center"/>
    </xf>
    <xf numFmtId="169" fontId="9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color rgb="FFFFFFFF"/>
      </font>
      <fill>
        <patternFill>
          <bgColor rgb="FFDC2626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52E16"/>
      </font>
      <fill>
        <patternFill>
          <bgColor rgb="FF22C55E"/>
        </patternFill>
      </fill>
    </dxf>
    <dxf>
      <font>
        <i/>
        <color rgb="FF6B7280"/>
      </font>
    </dxf>
    <dxf>
      <font>
        <color rgb="FFDC262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Funil: leads por etapa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Leads</c:v>
          </c:tx>
          <c:spPr>
            <a:solidFill>
              <a:srgbClr val="16A34A"/>
            </a:solidFill>
          </c:spPr>
          <c:dLbls>
            <c:showVal val="1"/>
          </c:dLbls>
          <c:cat>
            <c:strRef>
              <c:f>Funil!$B$5:$B$9</c:f>
              <c:strCache>
                <c:ptCount val="5"/>
                <c:pt idx="0">
                  <c:v>Novo</c:v>
                </c:pt>
                <c:pt idx="1">
                  <c:v>Contato feito</c:v>
                </c:pt>
                <c:pt idx="2">
                  <c:v>Proposta enviada</c:v>
                </c:pt>
                <c:pt idx="3">
                  <c:v>Negociação</c:v>
                </c:pt>
                <c:pt idx="4">
                  <c:v>Ganho</c:v>
                </c:pt>
              </c:strCache>
            </c:strRef>
          </c:cat>
          <c:val>
            <c:numRef>
              <c:f>Funil!$C$5:$C$9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Conversão por origem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Conversão</c:v>
          </c:tx>
          <c:spPr>
            <a:solidFill>
              <a:srgbClr val="0B3B24"/>
            </a:solidFill>
          </c:spPr>
          <c:dLbls>
            <c:numFmt formatCode="0%" sourceLinked="0"/>
            <c:showVal val="1"/>
          </c:dLbls>
          <c:cat>
            <c:strRef>
              <c:f>Funil!$B$15:$B$24</c:f>
              <c:strCache>
                <c:ptCount val="10"/>
                <c:pt idx="0">
                  <c:v>Indicação</c:v>
                </c:pt>
                <c:pt idx="1">
                  <c:v>Instagram</c:v>
                </c:pt>
                <c:pt idx="2">
                  <c:v>Google</c:v>
                </c:pt>
                <c:pt idx="3">
                  <c:v>WhatsApp</c:v>
                </c:pt>
                <c:pt idx="4">
                  <c:v>Site</c:v>
                </c:pt>
                <c:pt idx="5">
                  <c:v>Evento</c:v>
                </c:pt>
                <c:pt idx="6">
                  <c:v>Outros</c:v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Funil!$F$15:$F$24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Vendido x meta do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Vendido no mês</c:v>
          </c:tx>
          <c:spPr>
            <a:solidFill>
              <a:srgbClr val="16A34A"/>
            </a:solidFill>
          </c:spPr>
          <c:cat>
            <c:strRef>
              <c:f>Vendedores!$A$5:$A$14</c:f>
              <c:strCache>
                <c:ptCount val="1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Vendedores!$G$5:$G$14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Meta</c:v>
          </c:tx>
          <c:spPr>
            <a:solidFill>
              <a:srgbClr val="D1D5DB"/>
            </a:solidFill>
          </c:spPr>
          <c:cat>
            <c:strRef>
              <c:f>Vendedores!$A$5:$A$14</c:f>
              <c:strCache>
                <c:ptCount val="1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Vendedores!$H$5:$H$14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Vendido x meta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Vendido</c:v>
          </c:tx>
          <c:spPr>
            <a:solidFill>
              <a:srgbClr val="16A34A"/>
            </a:solidFill>
          </c:spPr>
          <c:cat>
            <c:numRef>
              <c:f>Dashboard!$A$12:$A$23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Dashboard!$B$12:$B$23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40001"/>
        <c:axId val="50040002"/>
      </c:barChart>
      <c:lineChart>
        <c:grouping val="standard"/>
        <c:ser>
          <c:idx val="1"/>
          <c:order val="1"/>
          <c:tx>
            <c:v>Meta</c:v>
          </c:tx>
          <c:spPr>
            <a:ln w="25400">
              <a:solidFill>
                <a:srgbClr val="EF4444"/>
              </a:solidFill>
              <a:prstDash val="dash"/>
            </a:ln>
          </c:spPr>
          <c:marker>
            <c:symbol val="none"/>
          </c:marker>
          <c:cat>
            <c:numRef>
              <c:f>Dashboard!$A$12:$A$23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Dashboard!$C$12:$C$23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mmm" sourceLinked="0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13</xdr:col>
      <xdr:colOff>0</xdr:colOff>
      <xdr:row>14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0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323850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9</xdr:col>
      <xdr:colOff>762000</xdr:colOff>
      <xdr:row>23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2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30" customHeight="1">
      <c r="B10" s="5" t="s">
        <v>9</v>
      </c>
      <c r="C10" s="6" t="s">
        <v>10</v>
      </c>
    </row>
    <row r="11" spans="1:3" ht="20" customHeight="1">
      <c r="B11" s="5" t="s">
        <v>11</v>
      </c>
      <c r="C11" s="6" t="s">
        <v>12</v>
      </c>
    </row>
    <row r="12" spans="1:3" ht="3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19" spans="2:3" ht="18" customHeight="1">
      <c r="B19" s="7" t="s">
        <v>24</v>
      </c>
      <c r="C19" s="6" t="s">
        <v>25</v>
      </c>
    </row>
    <row r="20" spans="2:3" ht="18" customHeight="1">
      <c r="B20" s="7" t="s">
        <v>26</v>
      </c>
      <c r="C20" s="6" t="s">
        <v>27</v>
      </c>
    </row>
    <row r="22" spans="2:3">
      <c r="B22" s="3" t="s">
        <v>28</v>
      </c>
      <c r="C22" s="3"/>
    </row>
    <row r="23" spans="2:3">
      <c r="B23" s="8" t="s">
        <v>29</v>
      </c>
      <c r="C23" s="6" t="s">
        <v>30</v>
      </c>
    </row>
    <row r="24" spans="2:3">
      <c r="B24" s="9" t="s">
        <v>31</v>
      </c>
      <c r="C24" s="6" t="s">
        <v>32</v>
      </c>
    </row>
    <row r="25" spans="2:3">
      <c r="B25" s="10" t="s">
        <v>33</v>
      </c>
      <c r="C25" s="6" t="s">
        <v>34</v>
      </c>
    </row>
    <row r="27" spans="2:3">
      <c r="B27" s="3" t="s">
        <v>35</v>
      </c>
      <c r="C27" s="3"/>
    </row>
    <row r="28" spans="2:3" ht="30" customHeight="1">
      <c r="B28" s="6" t="s">
        <v>36</v>
      </c>
      <c r="C28" s="6"/>
    </row>
    <row r="29" spans="2:3" ht="30" customHeight="1">
      <c r="B29" s="6" t="s">
        <v>37</v>
      </c>
      <c r="C29" s="6"/>
    </row>
    <row r="30" spans="2:3" ht="30" customHeight="1">
      <c r="B30" s="6" t="s">
        <v>38</v>
      </c>
      <c r="C30" s="6"/>
    </row>
    <row r="32" spans="2:3">
      <c r="B32" s="11" t="s">
        <v>39</v>
      </c>
      <c r="C32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2:C22"/>
    <mergeCell ref="B27:C27"/>
    <mergeCell ref="B28:C28"/>
    <mergeCell ref="B29:C29"/>
    <mergeCell ref="B30:C30"/>
    <mergeCell ref="B32:C32"/>
  </mergeCells>
  <hyperlinks>
    <hyperlink ref="B15" location="'Config'!A1" display="Config"/>
    <hyperlink ref="B16" location="'Leads'!A1" display="Leads"/>
    <hyperlink ref="B17" location="'Agenda'!A1" display="Agenda"/>
    <hyperlink ref="B18" location="'Funil'!A1" display="Funil"/>
    <hyperlink ref="B19" location="'Vendedores'!A1" display="Vendedores"/>
    <hyperlink ref="B20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CRM e Funil de Vendas com Follow-up&amp;R&amp;8Página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15"/>
  <sheetViews>
    <sheetView showGridLines="0" workbookViewId="0"/>
  </sheetViews>
  <sheetFormatPr defaultRowHeight="15"/>
  <cols>
    <col min="1" max="1" width="3.7109375" customWidth="1"/>
    <col min="2" max="2" width="36.7109375" customWidth="1"/>
    <col min="3" max="3" width="14.7109375" customWidth="1"/>
    <col min="4" max="4" width="3.7109375" customWidth="1"/>
    <col min="5" max="5" width="20.7109375" customWidth="1"/>
    <col min="6" max="6" width="3.7109375" customWidth="1"/>
    <col min="7" max="7" width="20.7109375" customWidth="1"/>
    <col min="8" max="8" width="16.7109375" customWidth="1"/>
    <col min="9" max="9" width="3.7109375" customWidth="1"/>
    <col min="10" max="10" width="26.7109375" customWidth="1"/>
  </cols>
  <sheetData>
    <row r="1" spans="1:11" ht="36" customHeight="1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B4" s="12" t="s">
        <v>42</v>
      </c>
      <c r="C4" s="13"/>
      <c r="E4" s="10" t="s">
        <v>53</v>
      </c>
      <c r="G4" s="10" t="s">
        <v>24</v>
      </c>
      <c r="H4" s="10" t="s">
        <v>61</v>
      </c>
      <c r="J4" s="10" t="s">
        <v>62</v>
      </c>
    </row>
    <row r="5" spans="1:11">
      <c r="B5" s="12" t="s">
        <v>43</v>
      </c>
      <c r="C5" s="14">
        <f>TODAY()</f>
        <v>46303.0</v>
      </c>
      <c r="E5" s="13" t="s">
        <v>54</v>
      </c>
      <c r="G5" s="13"/>
      <c r="H5" s="15"/>
      <c r="J5" s="13" t="s">
        <v>63</v>
      </c>
    </row>
    <row r="6" spans="1:11">
      <c r="B6" s="12" t="s">
        <v>44</v>
      </c>
      <c r="C6" s="16">
        <v>7</v>
      </c>
      <c r="E6" s="13" t="s">
        <v>55</v>
      </c>
      <c r="G6" s="13"/>
      <c r="H6" s="15"/>
      <c r="J6" s="13" t="s">
        <v>64</v>
      </c>
    </row>
    <row r="7" spans="1:11">
      <c r="E7" s="13" t="s">
        <v>56</v>
      </c>
      <c r="G7" s="13"/>
      <c r="H7" s="15"/>
      <c r="J7" s="13" t="s">
        <v>65</v>
      </c>
    </row>
    <row r="8" spans="1:11">
      <c r="E8" s="13" t="s">
        <v>57</v>
      </c>
      <c r="G8" s="13"/>
      <c r="H8" s="15"/>
      <c r="J8" s="13" t="s">
        <v>66</v>
      </c>
    </row>
    <row r="9" spans="1:11">
      <c r="B9" s="10" t="s">
        <v>45</v>
      </c>
      <c r="C9" s="10" t="s">
        <v>46</v>
      </c>
      <c r="E9" s="13" t="s">
        <v>58</v>
      </c>
      <c r="G9" s="13"/>
      <c r="H9" s="15"/>
      <c r="J9" s="13" t="s">
        <v>67</v>
      </c>
    </row>
    <row r="10" spans="1:11">
      <c r="B10" s="8" t="s">
        <v>47</v>
      </c>
      <c r="C10" s="17">
        <v>0.1</v>
      </c>
      <c r="E10" s="13" t="s">
        <v>59</v>
      </c>
      <c r="G10" s="13"/>
      <c r="H10" s="15"/>
      <c r="J10" s="13" t="s">
        <v>68</v>
      </c>
    </row>
    <row r="11" spans="1:11">
      <c r="B11" s="8" t="s">
        <v>48</v>
      </c>
      <c r="C11" s="17">
        <v>0.25</v>
      </c>
      <c r="E11" s="13" t="s">
        <v>60</v>
      </c>
      <c r="G11" s="13"/>
      <c r="H11" s="15"/>
      <c r="J11" s="13"/>
    </row>
    <row r="12" spans="1:11">
      <c r="B12" s="8" t="s">
        <v>49</v>
      </c>
      <c r="C12" s="17">
        <v>0.5</v>
      </c>
      <c r="E12" s="13"/>
      <c r="G12" s="13"/>
      <c r="H12" s="15"/>
      <c r="J12" s="13"/>
    </row>
    <row r="13" spans="1:11">
      <c r="B13" s="8" t="s">
        <v>50</v>
      </c>
      <c r="C13" s="17">
        <v>0.75</v>
      </c>
      <c r="E13" s="13"/>
      <c r="G13" s="13"/>
      <c r="H13" s="15"/>
      <c r="J13" s="13"/>
    </row>
    <row r="14" spans="1:11">
      <c r="B14" s="8" t="s">
        <v>51</v>
      </c>
      <c r="C14" s="17">
        <v>1</v>
      </c>
      <c r="E14" s="13"/>
      <c r="G14" s="13"/>
      <c r="H14" s="15"/>
      <c r="J14" s="13"/>
    </row>
    <row r="15" spans="1:11">
      <c r="B15" s="8" t="s">
        <v>52</v>
      </c>
      <c r="C15" s="17">
        <v>0</v>
      </c>
    </row>
  </sheetData>
  <mergeCells count="2">
    <mergeCell ref="A1:K1"/>
    <mergeCell ref="A2:K2"/>
  </mergeCells>
  <dataValidations count="2">
    <dataValidation type="whole" allowBlank="1" showInputMessage="1" showErrorMessage="1" errorTitle="Valor inválido" error="Digite um número entre 1 e 90." sqref="C6">
      <formula1>1</formula1>
      <formula2>90</formula2>
    </dataValidation>
    <dataValidation type="decimal" allowBlank="1" showInputMessage="1" showErrorMessage="1" errorTitle="Valor inválido" error="Digite um número entre 0 e 1." sqref="C10:C15">
      <formula1>0</formula1>
      <formula2>1</formula2>
    </dataValidation>
  </dataValidations>
  <pageMargins left="0.7" right="0.7" top="0.75" bottom="0.75" header="0.3" footer="0.3"/>
  <pageSetup paperSize="9" fitToHeight="0" orientation="landscape"/>
  <headerFooter>
    <oddFooter>&amp;L&amp;8Carvex XLS - CRM e Funil de Vendas com Follow-up&amp;R&amp;8Página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U100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1.7109375" customWidth="1"/>
    <col min="3" max="3" width="32.7109375" customWidth="1"/>
    <col min="4" max="4" width="17.7109375" customWidth="1"/>
    <col min="5" max="5" width="13.7109375" customWidth="1"/>
    <col min="6" max="6" width="14.7109375" customWidth="1"/>
    <col min="7" max="7" width="16.7109375" customWidth="1"/>
    <col min="8" max="8" width="14.7109375" customWidth="1"/>
    <col min="9" max="11" width="11.7109375" customWidth="1"/>
    <col min="12" max="12" width="20.7109375" customWidth="1"/>
    <col min="13" max="13" width="26.7109375" customWidth="1"/>
    <col min="14" max="14" width="7.7109375" customWidth="1"/>
    <col min="15" max="15" width="13.7109375" customWidth="1"/>
    <col min="16" max="16" width="10.7109375" customWidth="1"/>
    <col min="17" max="17" width="9.7109375" customWidth="1"/>
    <col min="18" max="18" width="14.7109375" customWidth="1"/>
    <col min="19" max="19" width="0" hidden="1" customWidth="1"/>
    <col min="20" max="20" width="22.7109375" customWidth="1"/>
  </cols>
  <sheetData>
    <row r="1" spans="1:21" ht="36" customHeight="1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0" customHeight="1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44" customHeight="1">
      <c r="A4" s="10" t="s">
        <v>70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  <c r="G4" s="10" t="s">
        <v>76</v>
      </c>
      <c r="H4" s="10" t="s">
        <v>77</v>
      </c>
      <c r="I4" s="10" t="s">
        <v>78</v>
      </c>
      <c r="J4" s="10" t="s">
        <v>79</v>
      </c>
      <c r="K4" s="10" t="s">
        <v>80</v>
      </c>
      <c r="L4" s="10" t="s">
        <v>81</v>
      </c>
      <c r="M4" s="10" t="s">
        <v>82</v>
      </c>
      <c r="N4" s="10" t="s">
        <v>83</v>
      </c>
      <c r="O4" s="10" t="s">
        <v>84</v>
      </c>
      <c r="P4" s="10" t="s">
        <v>85</v>
      </c>
      <c r="Q4" s="10" t="s">
        <v>86</v>
      </c>
      <c r="R4" s="10" t="s">
        <v>87</v>
      </c>
      <c r="S4" s="10" t="s">
        <v>88</v>
      </c>
      <c r="T4" s="10" t="s">
        <v>89</v>
      </c>
    </row>
    <row r="5" spans="1:21">
      <c r="A5" s="18">
        <f>IF($C5="","",ROW()-4)</f>
        <v/>
      </c>
      <c r="B5" s="19"/>
      <c r="C5" s="13"/>
      <c r="D5" s="13"/>
      <c r="E5" s="13"/>
      <c r="F5" s="13"/>
      <c r="G5" s="13"/>
      <c r="H5" s="15"/>
      <c r="I5" s="19"/>
      <c r="J5" s="19"/>
      <c r="K5" s="19"/>
      <c r="L5" s="13"/>
      <c r="M5" s="13"/>
      <c r="N5" s="20">
        <f>IF($C5="","",IFERROR(INDEX(EtapaProb,MATCH($G5,Etapas,0)),0))</f>
        <v/>
      </c>
      <c r="O5" s="21">
        <f>IF($C5="","",IF($P5="Aberto",N($H5)*$N5,0))</f>
        <v/>
      </c>
      <c r="P5" s="18">
        <f>IF($C5="","",IF($G5="Ganho","Ganho",IF($G5="Perdido","Perdido","Aberto")))</f>
        <v/>
      </c>
      <c r="Q5" s="18">
        <f>IF(OR($C5="",$P5&lt;&gt;"Aberto"),"",IF($I5="",Hoje-$B5,Hoje-$I5))</f>
        <v/>
      </c>
      <c r="R5" s="22">
        <f>IF(OR($C5="",$P5&lt;&gt;"Aberto"),"",IF($J5="",IF($Q5&gt;DiasSC,"ATRASADO","Definir data"),IF($J5&lt;Hoje,"ATRASADO",IF($J5=Hoje,"HOJE","Em dia"))))</f>
        <v/>
      </c>
      <c r="S5" s="23">
        <f>IF($R5="","",IF(OR($R5="ATRASADO",$R5="HOJE",$R5="Definir data"),COUNTIF($R$5:$R5,"ATRASADO")+COUNTIF($R$5:$R5,"HOJE")+COUNTIF($R$5:$R5,"Definir data"),""))</f>
        <v/>
      </c>
      <c r="T5" s="18">
        <f>IF($C5="","",IF(OR($B5="",$E5="",$F5="",$G5=""),"Preencher entrada/origem/vendedor/etapa",IF(AND(OR($P5="Ganho",$P5="Perdido"),$K5=""),"Falta data de fechamento",IF(AND($P5="Perdido",$L5=""),"Informe o motivo da perda","OK"))))</f>
        <v/>
      </c>
    </row>
    <row r="6" spans="1:21">
      <c r="A6" s="18">
        <f>IF($C6="","",ROW()-4)</f>
        <v/>
      </c>
      <c r="B6" s="19"/>
      <c r="C6" s="13"/>
      <c r="D6" s="13"/>
      <c r="E6" s="13"/>
      <c r="F6" s="13"/>
      <c r="G6" s="13"/>
      <c r="H6" s="15"/>
      <c r="I6" s="19"/>
      <c r="J6" s="19"/>
      <c r="K6" s="19"/>
      <c r="L6" s="13"/>
      <c r="M6" s="13"/>
      <c r="N6" s="20">
        <f>IF($C6="","",IFERROR(INDEX(EtapaProb,MATCH($G6,Etapas,0)),0))</f>
        <v/>
      </c>
      <c r="O6" s="21">
        <f>IF($C6="","",IF($P6="Aberto",N($H6)*$N6,0))</f>
        <v/>
      </c>
      <c r="P6" s="18">
        <f>IF($C6="","",IF($G6="Ganho","Ganho",IF($G6="Perdido","Perdido","Aberto")))</f>
        <v/>
      </c>
      <c r="Q6" s="18">
        <f>IF(OR($C6="",$P6&lt;&gt;"Aberto"),"",IF($I6="",Hoje-$B6,Hoje-$I6))</f>
        <v/>
      </c>
      <c r="R6" s="22">
        <f>IF(OR($C6="",$P6&lt;&gt;"Aberto"),"",IF($J6="",IF($Q6&gt;DiasSC,"ATRASADO","Definir data"),IF($J6&lt;Hoje,"ATRASADO",IF($J6=Hoje,"HOJE","Em dia"))))</f>
        <v/>
      </c>
      <c r="S6" s="23">
        <f>IF($R6="","",IF(OR($R6="ATRASADO",$R6="HOJE",$R6="Definir data"),COUNTIF($R$5:$R6,"ATRASADO")+COUNTIF($R$5:$R6,"HOJE")+COUNTIF($R$5:$R6,"Definir data"),""))</f>
        <v/>
      </c>
      <c r="T6" s="18">
        <f>IF($C6="","",IF(OR($B6="",$E6="",$F6="",$G6=""),"Preencher entrada/origem/vendedor/etapa",IF(AND(OR($P6="Ganho",$P6="Perdido"),$K6=""),"Falta data de fechamento",IF(AND($P6="Perdido",$L6=""),"Informe o motivo da perda","OK"))))</f>
        <v/>
      </c>
    </row>
    <row r="7" spans="1:21">
      <c r="A7" s="18">
        <f>IF($C7="","",ROW()-4)</f>
        <v/>
      </c>
      <c r="B7" s="19"/>
      <c r="C7" s="13"/>
      <c r="D7" s="13"/>
      <c r="E7" s="13"/>
      <c r="F7" s="13"/>
      <c r="G7" s="13"/>
      <c r="H7" s="15"/>
      <c r="I7" s="19"/>
      <c r="J7" s="19"/>
      <c r="K7" s="19"/>
      <c r="L7" s="13"/>
      <c r="M7" s="13"/>
      <c r="N7" s="20">
        <f>IF($C7="","",IFERROR(INDEX(EtapaProb,MATCH($G7,Etapas,0)),0))</f>
        <v/>
      </c>
      <c r="O7" s="21">
        <f>IF($C7="","",IF($P7="Aberto",N($H7)*$N7,0))</f>
        <v/>
      </c>
      <c r="P7" s="18">
        <f>IF($C7="","",IF($G7="Ganho","Ganho",IF($G7="Perdido","Perdido","Aberto")))</f>
        <v/>
      </c>
      <c r="Q7" s="18">
        <f>IF(OR($C7="",$P7&lt;&gt;"Aberto"),"",IF($I7="",Hoje-$B7,Hoje-$I7))</f>
        <v/>
      </c>
      <c r="R7" s="22">
        <f>IF(OR($C7="",$P7&lt;&gt;"Aberto"),"",IF($J7="",IF($Q7&gt;DiasSC,"ATRASADO","Definir data"),IF($J7&lt;Hoje,"ATRASADO",IF($J7=Hoje,"HOJE","Em dia"))))</f>
        <v/>
      </c>
      <c r="S7" s="23">
        <f>IF($R7="","",IF(OR($R7="ATRASADO",$R7="HOJE",$R7="Definir data"),COUNTIF($R$5:$R7,"ATRASADO")+COUNTIF($R$5:$R7,"HOJE")+COUNTIF($R$5:$R7,"Definir data"),""))</f>
        <v/>
      </c>
      <c r="T7" s="18">
        <f>IF($C7="","",IF(OR($B7="",$E7="",$F7="",$G7=""),"Preencher entrada/origem/vendedor/etapa",IF(AND(OR($P7="Ganho",$P7="Perdido"),$K7=""),"Falta data de fechamento",IF(AND($P7="Perdido",$L7=""),"Informe o motivo da perda","OK"))))</f>
        <v/>
      </c>
    </row>
    <row r="8" spans="1:21">
      <c r="A8" s="18">
        <f>IF($C8="","",ROW()-4)</f>
        <v/>
      </c>
      <c r="B8" s="19"/>
      <c r="C8" s="13"/>
      <c r="D8" s="13"/>
      <c r="E8" s="13"/>
      <c r="F8" s="13"/>
      <c r="G8" s="13"/>
      <c r="H8" s="15"/>
      <c r="I8" s="19"/>
      <c r="J8" s="19"/>
      <c r="K8" s="19"/>
      <c r="L8" s="13"/>
      <c r="M8" s="13"/>
      <c r="N8" s="20">
        <f>IF($C8="","",IFERROR(INDEX(EtapaProb,MATCH($G8,Etapas,0)),0))</f>
        <v/>
      </c>
      <c r="O8" s="21">
        <f>IF($C8="","",IF($P8="Aberto",N($H8)*$N8,0))</f>
        <v/>
      </c>
      <c r="P8" s="18">
        <f>IF($C8="","",IF($G8="Ganho","Ganho",IF($G8="Perdido","Perdido","Aberto")))</f>
        <v/>
      </c>
      <c r="Q8" s="18">
        <f>IF(OR($C8="",$P8&lt;&gt;"Aberto"),"",IF($I8="",Hoje-$B8,Hoje-$I8))</f>
        <v/>
      </c>
      <c r="R8" s="22">
        <f>IF(OR($C8="",$P8&lt;&gt;"Aberto"),"",IF($J8="",IF($Q8&gt;DiasSC,"ATRASADO","Definir data"),IF($J8&lt;Hoje,"ATRASADO",IF($J8=Hoje,"HOJE","Em dia"))))</f>
        <v/>
      </c>
      <c r="S8" s="23">
        <f>IF($R8="","",IF(OR($R8="ATRASADO",$R8="HOJE",$R8="Definir data"),COUNTIF($R$5:$R8,"ATRASADO")+COUNTIF($R$5:$R8,"HOJE")+COUNTIF($R$5:$R8,"Definir data"),""))</f>
        <v/>
      </c>
      <c r="T8" s="18">
        <f>IF($C8="","",IF(OR($B8="",$E8="",$F8="",$G8=""),"Preencher entrada/origem/vendedor/etapa",IF(AND(OR($P8="Ganho",$P8="Perdido"),$K8=""),"Falta data de fechamento",IF(AND($P8="Perdido",$L8=""),"Informe o motivo da perda","OK"))))</f>
        <v/>
      </c>
    </row>
    <row r="9" spans="1:21">
      <c r="A9" s="18">
        <f>IF($C9="","",ROW()-4)</f>
        <v/>
      </c>
      <c r="B9" s="19"/>
      <c r="C9" s="13"/>
      <c r="D9" s="13"/>
      <c r="E9" s="13"/>
      <c r="F9" s="13"/>
      <c r="G9" s="13"/>
      <c r="H9" s="15"/>
      <c r="I9" s="19"/>
      <c r="J9" s="19"/>
      <c r="K9" s="19"/>
      <c r="L9" s="13"/>
      <c r="M9" s="13"/>
      <c r="N9" s="20">
        <f>IF($C9="","",IFERROR(INDEX(EtapaProb,MATCH($G9,Etapas,0)),0))</f>
        <v/>
      </c>
      <c r="O9" s="21">
        <f>IF($C9="","",IF($P9="Aberto",N($H9)*$N9,0))</f>
        <v/>
      </c>
      <c r="P9" s="18">
        <f>IF($C9="","",IF($G9="Ganho","Ganho",IF($G9="Perdido","Perdido","Aberto")))</f>
        <v/>
      </c>
      <c r="Q9" s="18">
        <f>IF(OR($C9="",$P9&lt;&gt;"Aberto"),"",IF($I9="",Hoje-$B9,Hoje-$I9))</f>
        <v/>
      </c>
      <c r="R9" s="22">
        <f>IF(OR($C9="",$P9&lt;&gt;"Aberto"),"",IF($J9="",IF($Q9&gt;DiasSC,"ATRASADO","Definir data"),IF($J9&lt;Hoje,"ATRASADO",IF($J9=Hoje,"HOJE","Em dia"))))</f>
        <v/>
      </c>
      <c r="S9" s="23">
        <f>IF($R9="","",IF(OR($R9="ATRASADO",$R9="HOJE",$R9="Definir data"),COUNTIF($R$5:$R9,"ATRASADO")+COUNTIF($R$5:$R9,"HOJE")+COUNTIF($R$5:$R9,"Definir data"),""))</f>
        <v/>
      </c>
      <c r="T9" s="18">
        <f>IF($C9="","",IF(OR($B9="",$E9="",$F9="",$G9=""),"Preencher entrada/origem/vendedor/etapa",IF(AND(OR($P9="Ganho",$P9="Perdido"),$K9=""),"Falta data de fechamento",IF(AND($P9="Perdido",$L9=""),"Informe o motivo da perda","OK"))))</f>
        <v/>
      </c>
    </row>
    <row r="10" spans="1:21">
      <c r="A10" s="18">
        <f>IF($C10="","",ROW()-4)</f>
        <v/>
      </c>
      <c r="B10" s="19"/>
      <c r="C10" s="13"/>
      <c r="D10" s="13"/>
      <c r="E10" s="13"/>
      <c r="F10" s="13"/>
      <c r="G10" s="13"/>
      <c r="H10" s="15"/>
      <c r="I10" s="19"/>
      <c r="J10" s="19"/>
      <c r="K10" s="19"/>
      <c r="L10" s="13"/>
      <c r="M10" s="13"/>
      <c r="N10" s="20">
        <f>IF($C10="","",IFERROR(INDEX(EtapaProb,MATCH($G10,Etapas,0)),0))</f>
        <v/>
      </c>
      <c r="O10" s="21">
        <f>IF($C10="","",IF($P10="Aberto",N($H10)*$N10,0))</f>
        <v/>
      </c>
      <c r="P10" s="18">
        <f>IF($C10="","",IF($G10="Ganho","Ganho",IF($G10="Perdido","Perdido","Aberto")))</f>
        <v/>
      </c>
      <c r="Q10" s="18">
        <f>IF(OR($C10="",$P10&lt;&gt;"Aberto"),"",IF($I10="",Hoje-$B10,Hoje-$I10))</f>
        <v/>
      </c>
      <c r="R10" s="22">
        <f>IF(OR($C10="",$P10&lt;&gt;"Aberto"),"",IF($J10="",IF($Q10&gt;DiasSC,"ATRASADO","Definir data"),IF($J10&lt;Hoje,"ATRASADO",IF($J10=Hoje,"HOJE","Em dia"))))</f>
        <v/>
      </c>
      <c r="S10" s="23">
        <f>IF($R10="","",IF(OR($R10="ATRASADO",$R10="HOJE",$R10="Definir data"),COUNTIF($R$5:$R10,"ATRASADO")+COUNTIF($R$5:$R10,"HOJE")+COUNTIF($R$5:$R10,"Definir data"),""))</f>
        <v/>
      </c>
      <c r="T10" s="18">
        <f>IF($C10="","",IF(OR($B10="",$E10="",$F10="",$G10=""),"Preencher entrada/origem/vendedor/etapa",IF(AND(OR($P10="Ganho",$P10="Perdido"),$K10=""),"Falta data de fechamento",IF(AND($P10="Perdido",$L10=""),"Informe o motivo da perda","OK"))))</f>
        <v/>
      </c>
    </row>
    <row r="11" spans="1:21">
      <c r="A11" s="18">
        <f>IF($C11="","",ROW()-4)</f>
        <v/>
      </c>
      <c r="B11" s="19"/>
      <c r="C11" s="13"/>
      <c r="D11" s="13"/>
      <c r="E11" s="13"/>
      <c r="F11" s="13"/>
      <c r="G11" s="13"/>
      <c r="H11" s="15"/>
      <c r="I11" s="19"/>
      <c r="J11" s="19"/>
      <c r="K11" s="19"/>
      <c r="L11" s="13"/>
      <c r="M11" s="13"/>
      <c r="N11" s="20">
        <f>IF($C11="","",IFERROR(INDEX(EtapaProb,MATCH($G11,Etapas,0)),0))</f>
        <v/>
      </c>
      <c r="O11" s="21">
        <f>IF($C11="","",IF($P11="Aberto",N($H11)*$N11,0))</f>
        <v/>
      </c>
      <c r="P11" s="18">
        <f>IF($C11="","",IF($G11="Ganho","Ganho",IF($G11="Perdido","Perdido","Aberto")))</f>
        <v/>
      </c>
      <c r="Q11" s="18">
        <f>IF(OR($C11="",$P11&lt;&gt;"Aberto"),"",IF($I11="",Hoje-$B11,Hoje-$I11))</f>
        <v/>
      </c>
      <c r="R11" s="22">
        <f>IF(OR($C11="",$P11&lt;&gt;"Aberto"),"",IF($J11="",IF($Q11&gt;DiasSC,"ATRASADO","Definir data"),IF($J11&lt;Hoje,"ATRASADO",IF($J11=Hoje,"HOJE","Em dia"))))</f>
        <v/>
      </c>
      <c r="S11" s="23">
        <f>IF($R11="","",IF(OR($R11="ATRASADO",$R11="HOJE",$R11="Definir data"),COUNTIF($R$5:$R11,"ATRASADO")+COUNTIF($R$5:$R11,"HOJE")+COUNTIF($R$5:$R11,"Definir data"),""))</f>
        <v/>
      </c>
      <c r="T11" s="18">
        <f>IF($C11="","",IF(OR($B11="",$E11="",$F11="",$G11=""),"Preencher entrada/origem/vendedor/etapa",IF(AND(OR($P11="Ganho",$P11="Perdido"),$K11=""),"Falta data de fechamento",IF(AND($P11="Perdido",$L11=""),"Informe o motivo da perda","OK"))))</f>
        <v/>
      </c>
    </row>
    <row r="12" spans="1:21">
      <c r="A12" s="18">
        <f>IF($C12="","",ROW()-4)</f>
        <v/>
      </c>
      <c r="B12" s="19"/>
      <c r="C12" s="13"/>
      <c r="D12" s="13"/>
      <c r="E12" s="13"/>
      <c r="F12" s="13"/>
      <c r="G12" s="13"/>
      <c r="H12" s="15"/>
      <c r="I12" s="19"/>
      <c r="J12" s="19"/>
      <c r="K12" s="19"/>
      <c r="L12" s="13"/>
      <c r="M12" s="13"/>
      <c r="N12" s="20">
        <f>IF($C12="","",IFERROR(INDEX(EtapaProb,MATCH($G12,Etapas,0)),0))</f>
        <v/>
      </c>
      <c r="O12" s="21">
        <f>IF($C12="","",IF($P12="Aberto",N($H12)*$N12,0))</f>
        <v/>
      </c>
      <c r="P12" s="18">
        <f>IF($C12="","",IF($G12="Ganho","Ganho",IF($G12="Perdido","Perdido","Aberto")))</f>
        <v/>
      </c>
      <c r="Q12" s="18">
        <f>IF(OR($C12="",$P12&lt;&gt;"Aberto"),"",IF($I12="",Hoje-$B12,Hoje-$I12))</f>
        <v/>
      </c>
      <c r="R12" s="22">
        <f>IF(OR($C12="",$P12&lt;&gt;"Aberto"),"",IF($J12="",IF($Q12&gt;DiasSC,"ATRASADO","Definir data"),IF($J12&lt;Hoje,"ATRASADO",IF($J12=Hoje,"HOJE","Em dia"))))</f>
        <v/>
      </c>
      <c r="S12" s="23">
        <f>IF($R12="","",IF(OR($R12="ATRASADO",$R12="HOJE",$R12="Definir data"),COUNTIF($R$5:$R12,"ATRASADO")+COUNTIF($R$5:$R12,"HOJE")+COUNTIF($R$5:$R12,"Definir data"),""))</f>
        <v/>
      </c>
      <c r="T12" s="18">
        <f>IF($C12="","",IF(OR($B12="",$E12="",$F12="",$G12=""),"Preencher entrada/origem/vendedor/etapa",IF(AND(OR($P12="Ganho",$P12="Perdido"),$K12=""),"Falta data de fechamento",IF(AND($P12="Perdido",$L12=""),"Informe o motivo da perda","OK"))))</f>
        <v/>
      </c>
    </row>
    <row r="13" spans="1:21">
      <c r="A13" s="18">
        <f>IF($C13="","",ROW()-4)</f>
        <v/>
      </c>
      <c r="B13" s="19"/>
      <c r="C13" s="13"/>
      <c r="D13" s="13"/>
      <c r="E13" s="13"/>
      <c r="F13" s="13"/>
      <c r="G13" s="13"/>
      <c r="H13" s="15"/>
      <c r="I13" s="19"/>
      <c r="J13" s="19"/>
      <c r="K13" s="19"/>
      <c r="L13" s="13"/>
      <c r="M13" s="13"/>
      <c r="N13" s="20">
        <f>IF($C13="","",IFERROR(INDEX(EtapaProb,MATCH($G13,Etapas,0)),0))</f>
        <v/>
      </c>
      <c r="O13" s="21">
        <f>IF($C13="","",IF($P13="Aberto",N($H13)*$N13,0))</f>
        <v/>
      </c>
      <c r="P13" s="18">
        <f>IF($C13="","",IF($G13="Ganho","Ganho",IF($G13="Perdido","Perdido","Aberto")))</f>
        <v/>
      </c>
      <c r="Q13" s="18">
        <f>IF(OR($C13="",$P13&lt;&gt;"Aberto"),"",IF($I13="",Hoje-$B13,Hoje-$I13))</f>
        <v/>
      </c>
      <c r="R13" s="22">
        <f>IF(OR($C13="",$P13&lt;&gt;"Aberto"),"",IF($J13="",IF($Q13&gt;DiasSC,"ATRASADO","Definir data"),IF($J13&lt;Hoje,"ATRASADO",IF($J13=Hoje,"HOJE","Em dia"))))</f>
        <v/>
      </c>
      <c r="S13" s="23">
        <f>IF($R13="","",IF(OR($R13="ATRASADO",$R13="HOJE",$R13="Definir data"),COUNTIF($R$5:$R13,"ATRASADO")+COUNTIF($R$5:$R13,"HOJE")+COUNTIF($R$5:$R13,"Definir data"),""))</f>
        <v/>
      </c>
      <c r="T13" s="18">
        <f>IF($C13="","",IF(OR($B13="",$E13="",$F13="",$G13=""),"Preencher entrada/origem/vendedor/etapa",IF(AND(OR($P13="Ganho",$P13="Perdido"),$K13=""),"Falta data de fechamento",IF(AND($P13="Perdido",$L13=""),"Informe o motivo da perda","OK"))))</f>
        <v/>
      </c>
    </row>
    <row r="14" spans="1:21">
      <c r="A14" s="18">
        <f>IF($C14="","",ROW()-4)</f>
        <v/>
      </c>
      <c r="B14" s="19"/>
      <c r="C14" s="13"/>
      <c r="D14" s="13"/>
      <c r="E14" s="13"/>
      <c r="F14" s="13"/>
      <c r="G14" s="13"/>
      <c r="H14" s="15"/>
      <c r="I14" s="19"/>
      <c r="J14" s="19"/>
      <c r="K14" s="19"/>
      <c r="L14" s="13"/>
      <c r="M14" s="13"/>
      <c r="N14" s="20">
        <f>IF($C14="","",IFERROR(INDEX(EtapaProb,MATCH($G14,Etapas,0)),0))</f>
        <v/>
      </c>
      <c r="O14" s="21">
        <f>IF($C14="","",IF($P14="Aberto",N($H14)*$N14,0))</f>
        <v/>
      </c>
      <c r="P14" s="18">
        <f>IF($C14="","",IF($G14="Ganho","Ganho",IF($G14="Perdido","Perdido","Aberto")))</f>
        <v/>
      </c>
      <c r="Q14" s="18">
        <f>IF(OR($C14="",$P14&lt;&gt;"Aberto"),"",IF($I14="",Hoje-$B14,Hoje-$I14))</f>
        <v/>
      </c>
      <c r="R14" s="22">
        <f>IF(OR($C14="",$P14&lt;&gt;"Aberto"),"",IF($J14="",IF($Q14&gt;DiasSC,"ATRASADO","Definir data"),IF($J14&lt;Hoje,"ATRASADO",IF($J14=Hoje,"HOJE","Em dia"))))</f>
        <v/>
      </c>
      <c r="S14" s="23">
        <f>IF($R14="","",IF(OR($R14="ATRASADO",$R14="HOJE",$R14="Definir data"),COUNTIF($R$5:$R14,"ATRASADO")+COUNTIF($R$5:$R14,"HOJE")+COUNTIF($R$5:$R14,"Definir data"),""))</f>
        <v/>
      </c>
      <c r="T14" s="18">
        <f>IF($C14="","",IF(OR($B14="",$E14="",$F14="",$G14=""),"Preencher entrada/origem/vendedor/etapa",IF(AND(OR($P14="Ganho",$P14="Perdido"),$K14=""),"Falta data de fechamento",IF(AND($P14="Perdido",$L14=""),"Informe o motivo da perda","OK"))))</f>
        <v/>
      </c>
    </row>
    <row r="15" spans="1:21">
      <c r="A15" s="18">
        <f>IF($C15="","",ROW()-4)</f>
        <v/>
      </c>
      <c r="B15" s="19"/>
      <c r="C15" s="13"/>
      <c r="D15" s="13"/>
      <c r="E15" s="13"/>
      <c r="F15" s="13"/>
      <c r="G15" s="13"/>
      <c r="H15" s="15"/>
      <c r="I15" s="19"/>
      <c r="J15" s="19"/>
      <c r="K15" s="19"/>
      <c r="L15" s="13"/>
      <c r="M15" s="13"/>
      <c r="N15" s="20">
        <f>IF($C15="","",IFERROR(INDEX(EtapaProb,MATCH($G15,Etapas,0)),0))</f>
        <v/>
      </c>
      <c r="O15" s="21">
        <f>IF($C15="","",IF($P15="Aberto",N($H15)*$N15,0))</f>
        <v/>
      </c>
      <c r="P15" s="18">
        <f>IF($C15="","",IF($G15="Ganho","Ganho",IF($G15="Perdido","Perdido","Aberto")))</f>
        <v/>
      </c>
      <c r="Q15" s="18">
        <f>IF(OR($C15="",$P15&lt;&gt;"Aberto"),"",IF($I15="",Hoje-$B15,Hoje-$I15))</f>
        <v/>
      </c>
      <c r="R15" s="22">
        <f>IF(OR($C15="",$P15&lt;&gt;"Aberto"),"",IF($J15="",IF($Q15&gt;DiasSC,"ATRASADO","Definir data"),IF($J15&lt;Hoje,"ATRASADO",IF($J15=Hoje,"HOJE","Em dia"))))</f>
        <v/>
      </c>
      <c r="S15" s="23">
        <f>IF($R15="","",IF(OR($R15="ATRASADO",$R15="HOJE",$R15="Definir data"),COUNTIF($R$5:$R15,"ATRASADO")+COUNTIF($R$5:$R15,"HOJE")+COUNTIF($R$5:$R15,"Definir data"),""))</f>
        <v/>
      </c>
      <c r="T15" s="18">
        <f>IF($C15="","",IF(OR($B15="",$E15="",$F15="",$G15=""),"Preencher entrada/origem/vendedor/etapa",IF(AND(OR($P15="Ganho",$P15="Perdido"),$K15=""),"Falta data de fechamento",IF(AND($P15="Perdido",$L15=""),"Informe o motivo da perda","OK"))))</f>
        <v/>
      </c>
    </row>
    <row r="16" spans="1:21">
      <c r="A16" s="18">
        <f>IF($C16="","",ROW()-4)</f>
        <v/>
      </c>
      <c r="B16" s="19"/>
      <c r="C16" s="13"/>
      <c r="D16" s="13"/>
      <c r="E16" s="13"/>
      <c r="F16" s="13"/>
      <c r="G16" s="13"/>
      <c r="H16" s="15"/>
      <c r="I16" s="19"/>
      <c r="J16" s="19"/>
      <c r="K16" s="19"/>
      <c r="L16" s="13"/>
      <c r="M16" s="13"/>
      <c r="N16" s="20">
        <f>IF($C16="","",IFERROR(INDEX(EtapaProb,MATCH($G16,Etapas,0)),0))</f>
        <v/>
      </c>
      <c r="O16" s="21">
        <f>IF($C16="","",IF($P16="Aberto",N($H16)*$N16,0))</f>
        <v/>
      </c>
      <c r="P16" s="18">
        <f>IF($C16="","",IF($G16="Ganho","Ganho",IF($G16="Perdido","Perdido","Aberto")))</f>
        <v/>
      </c>
      <c r="Q16" s="18">
        <f>IF(OR($C16="",$P16&lt;&gt;"Aberto"),"",IF($I16="",Hoje-$B16,Hoje-$I16))</f>
        <v/>
      </c>
      <c r="R16" s="22">
        <f>IF(OR($C16="",$P16&lt;&gt;"Aberto"),"",IF($J16="",IF($Q16&gt;DiasSC,"ATRASADO","Definir data"),IF($J16&lt;Hoje,"ATRASADO",IF($J16=Hoje,"HOJE","Em dia"))))</f>
        <v/>
      </c>
      <c r="S16" s="23">
        <f>IF($R16="","",IF(OR($R16="ATRASADO",$R16="HOJE",$R16="Definir data"),COUNTIF($R$5:$R16,"ATRASADO")+COUNTIF($R$5:$R16,"HOJE")+COUNTIF($R$5:$R16,"Definir data"),""))</f>
        <v/>
      </c>
      <c r="T16" s="18">
        <f>IF($C16="","",IF(OR($B16="",$E16="",$F16="",$G16=""),"Preencher entrada/origem/vendedor/etapa",IF(AND(OR($P16="Ganho",$P16="Perdido"),$K16=""),"Falta data de fechamento",IF(AND($P16="Perdido",$L16=""),"Informe o motivo da perda","OK"))))</f>
        <v/>
      </c>
    </row>
    <row r="17" spans="1:20">
      <c r="A17" s="18">
        <f>IF($C17="","",ROW()-4)</f>
        <v/>
      </c>
      <c r="B17" s="19"/>
      <c r="C17" s="13"/>
      <c r="D17" s="13"/>
      <c r="E17" s="13"/>
      <c r="F17" s="13"/>
      <c r="G17" s="13"/>
      <c r="H17" s="15"/>
      <c r="I17" s="19"/>
      <c r="J17" s="19"/>
      <c r="K17" s="19"/>
      <c r="L17" s="13"/>
      <c r="M17" s="13"/>
      <c r="N17" s="20">
        <f>IF($C17="","",IFERROR(INDEX(EtapaProb,MATCH($G17,Etapas,0)),0))</f>
        <v/>
      </c>
      <c r="O17" s="21">
        <f>IF($C17="","",IF($P17="Aberto",N($H17)*$N17,0))</f>
        <v/>
      </c>
      <c r="P17" s="18">
        <f>IF($C17="","",IF($G17="Ganho","Ganho",IF($G17="Perdido","Perdido","Aberto")))</f>
        <v/>
      </c>
      <c r="Q17" s="18">
        <f>IF(OR($C17="",$P17&lt;&gt;"Aberto"),"",IF($I17="",Hoje-$B17,Hoje-$I17))</f>
        <v/>
      </c>
      <c r="R17" s="22">
        <f>IF(OR($C17="",$P17&lt;&gt;"Aberto"),"",IF($J17="",IF($Q17&gt;DiasSC,"ATRASADO","Definir data"),IF($J17&lt;Hoje,"ATRASADO",IF($J17=Hoje,"HOJE","Em dia"))))</f>
        <v/>
      </c>
      <c r="S17" s="23">
        <f>IF($R17="","",IF(OR($R17="ATRASADO",$R17="HOJE",$R17="Definir data"),COUNTIF($R$5:$R17,"ATRASADO")+COUNTIF($R$5:$R17,"HOJE")+COUNTIF($R$5:$R17,"Definir data"),""))</f>
        <v/>
      </c>
      <c r="T17" s="18">
        <f>IF($C17="","",IF(OR($B17="",$E17="",$F17="",$G17=""),"Preencher entrada/origem/vendedor/etapa",IF(AND(OR($P17="Ganho",$P17="Perdido"),$K17=""),"Falta data de fechamento",IF(AND($P17="Perdido",$L17=""),"Informe o motivo da perda","OK"))))</f>
        <v/>
      </c>
    </row>
    <row r="18" spans="1:20">
      <c r="A18" s="18">
        <f>IF($C18="","",ROW()-4)</f>
        <v/>
      </c>
      <c r="B18" s="19"/>
      <c r="C18" s="13"/>
      <c r="D18" s="13"/>
      <c r="E18" s="13"/>
      <c r="F18" s="13"/>
      <c r="G18" s="13"/>
      <c r="H18" s="15"/>
      <c r="I18" s="19"/>
      <c r="J18" s="19"/>
      <c r="K18" s="19"/>
      <c r="L18" s="13"/>
      <c r="M18" s="13"/>
      <c r="N18" s="20">
        <f>IF($C18="","",IFERROR(INDEX(EtapaProb,MATCH($G18,Etapas,0)),0))</f>
        <v/>
      </c>
      <c r="O18" s="21">
        <f>IF($C18="","",IF($P18="Aberto",N($H18)*$N18,0))</f>
        <v/>
      </c>
      <c r="P18" s="18">
        <f>IF($C18="","",IF($G18="Ganho","Ganho",IF($G18="Perdido","Perdido","Aberto")))</f>
        <v/>
      </c>
      <c r="Q18" s="18">
        <f>IF(OR($C18="",$P18&lt;&gt;"Aberto"),"",IF($I18="",Hoje-$B18,Hoje-$I18))</f>
        <v/>
      </c>
      <c r="R18" s="22">
        <f>IF(OR($C18="",$P18&lt;&gt;"Aberto"),"",IF($J18="",IF($Q18&gt;DiasSC,"ATRASADO","Definir data"),IF($J18&lt;Hoje,"ATRASADO",IF($J18=Hoje,"HOJE","Em dia"))))</f>
        <v/>
      </c>
      <c r="S18" s="23">
        <f>IF($R18="","",IF(OR($R18="ATRASADO",$R18="HOJE",$R18="Definir data"),COUNTIF($R$5:$R18,"ATRASADO")+COUNTIF($R$5:$R18,"HOJE")+COUNTIF($R$5:$R18,"Definir data"),""))</f>
        <v/>
      </c>
      <c r="T18" s="18">
        <f>IF($C18="","",IF(OR($B18="",$E18="",$F18="",$G18=""),"Preencher entrada/origem/vendedor/etapa",IF(AND(OR($P18="Ganho",$P18="Perdido"),$K18=""),"Falta data de fechamento",IF(AND($P18="Perdido",$L18=""),"Informe o motivo da perda","OK"))))</f>
        <v/>
      </c>
    </row>
    <row r="19" spans="1:20">
      <c r="A19" s="18">
        <f>IF($C19="","",ROW()-4)</f>
        <v/>
      </c>
      <c r="B19" s="19"/>
      <c r="C19" s="13"/>
      <c r="D19" s="13"/>
      <c r="E19" s="13"/>
      <c r="F19" s="13"/>
      <c r="G19" s="13"/>
      <c r="H19" s="15"/>
      <c r="I19" s="19"/>
      <c r="J19" s="19"/>
      <c r="K19" s="19"/>
      <c r="L19" s="13"/>
      <c r="M19" s="13"/>
      <c r="N19" s="20">
        <f>IF($C19="","",IFERROR(INDEX(EtapaProb,MATCH($G19,Etapas,0)),0))</f>
        <v/>
      </c>
      <c r="O19" s="21">
        <f>IF($C19="","",IF($P19="Aberto",N($H19)*$N19,0))</f>
        <v/>
      </c>
      <c r="P19" s="18">
        <f>IF($C19="","",IF($G19="Ganho","Ganho",IF($G19="Perdido","Perdido","Aberto")))</f>
        <v/>
      </c>
      <c r="Q19" s="18">
        <f>IF(OR($C19="",$P19&lt;&gt;"Aberto"),"",IF($I19="",Hoje-$B19,Hoje-$I19))</f>
        <v/>
      </c>
      <c r="R19" s="22">
        <f>IF(OR($C19="",$P19&lt;&gt;"Aberto"),"",IF($J19="",IF($Q19&gt;DiasSC,"ATRASADO","Definir data"),IF($J19&lt;Hoje,"ATRASADO",IF($J19=Hoje,"HOJE","Em dia"))))</f>
        <v/>
      </c>
      <c r="S19" s="23">
        <f>IF($R19="","",IF(OR($R19="ATRASADO",$R19="HOJE",$R19="Definir data"),COUNTIF($R$5:$R19,"ATRASADO")+COUNTIF($R$5:$R19,"HOJE")+COUNTIF($R$5:$R19,"Definir data"),""))</f>
        <v/>
      </c>
      <c r="T19" s="18">
        <f>IF($C19="","",IF(OR($B19="",$E19="",$F19="",$G19=""),"Preencher entrada/origem/vendedor/etapa",IF(AND(OR($P19="Ganho",$P19="Perdido"),$K19=""),"Falta data de fechamento",IF(AND($P19="Perdido",$L19=""),"Informe o motivo da perda","OK"))))</f>
        <v/>
      </c>
    </row>
    <row r="20" spans="1:20">
      <c r="A20" s="18">
        <f>IF($C20="","",ROW()-4)</f>
        <v/>
      </c>
      <c r="B20" s="19"/>
      <c r="C20" s="13"/>
      <c r="D20" s="13"/>
      <c r="E20" s="13"/>
      <c r="F20" s="13"/>
      <c r="G20" s="13"/>
      <c r="H20" s="15"/>
      <c r="I20" s="19"/>
      <c r="J20" s="19"/>
      <c r="K20" s="19"/>
      <c r="L20" s="13"/>
      <c r="M20" s="13"/>
      <c r="N20" s="20">
        <f>IF($C20="","",IFERROR(INDEX(EtapaProb,MATCH($G20,Etapas,0)),0))</f>
        <v/>
      </c>
      <c r="O20" s="21">
        <f>IF($C20="","",IF($P20="Aberto",N($H20)*$N20,0))</f>
        <v/>
      </c>
      <c r="P20" s="18">
        <f>IF($C20="","",IF($G20="Ganho","Ganho",IF($G20="Perdido","Perdido","Aberto")))</f>
        <v/>
      </c>
      <c r="Q20" s="18">
        <f>IF(OR($C20="",$P20&lt;&gt;"Aberto"),"",IF($I20="",Hoje-$B20,Hoje-$I20))</f>
        <v/>
      </c>
      <c r="R20" s="22">
        <f>IF(OR($C20="",$P20&lt;&gt;"Aberto"),"",IF($J20="",IF($Q20&gt;DiasSC,"ATRASADO","Definir data"),IF($J20&lt;Hoje,"ATRASADO",IF($J20=Hoje,"HOJE","Em dia"))))</f>
        <v/>
      </c>
      <c r="S20" s="23">
        <f>IF($R20="","",IF(OR($R20="ATRASADO",$R20="HOJE",$R20="Definir data"),COUNTIF($R$5:$R20,"ATRASADO")+COUNTIF($R$5:$R20,"HOJE")+COUNTIF($R$5:$R20,"Definir data"),""))</f>
        <v/>
      </c>
      <c r="T20" s="18">
        <f>IF($C20="","",IF(OR($B20="",$E20="",$F20="",$G20=""),"Preencher entrada/origem/vendedor/etapa",IF(AND(OR($P20="Ganho",$P20="Perdido"),$K20=""),"Falta data de fechamento",IF(AND($P20="Perdido",$L20=""),"Informe o motivo da perda","OK"))))</f>
        <v/>
      </c>
    </row>
    <row r="21" spans="1:20">
      <c r="A21" s="18">
        <f>IF($C21="","",ROW()-4)</f>
        <v/>
      </c>
      <c r="B21" s="19"/>
      <c r="C21" s="13"/>
      <c r="D21" s="13"/>
      <c r="E21" s="13"/>
      <c r="F21" s="13"/>
      <c r="G21" s="13"/>
      <c r="H21" s="15"/>
      <c r="I21" s="19"/>
      <c r="J21" s="19"/>
      <c r="K21" s="19"/>
      <c r="L21" s="13"/>
      <c r="M21" s="13"/>
      <c r="N21" s="20">
        <f>IF($C21="","",IFERROR(INDEX(EtapaProb,MATCH($G21,Etapas,0)),0))</f>
        <v/>
      </c>
      <c r="O21" s="21">
        <f>IF($C21="","",IF($P21="Aberto",N($H21)*$N21,0))</f>
        <v/>
      </c>
      <c r="P21" s="18">
        <f>IF($C21="","",IF($G21="Ganho","Ganho",IF($G21="Perdido","Perdido","Aberto")))</f>
        <v/>
      </c>
      <c r="Q21" s="18">
        <f>IF(OR($C21="",$P21&lt;&gt;"Aberto"),"",IF($I21="",Hoje-$B21,Hoje-$I21))</f>
        <v/>
      </c>
      <c r="R21" s="22">
        <f>IF(OR($C21="",$P21&lt;&gt;"Aberto"),"",IF($J21="",IF($Q21&gt;DiasSC,"ATRASADO","Definir data"),IF($J21&lt;Hoje,"ATRASADO",IF($J21=Hoje,"HOJE","Em dia"))))</f>
        <v/>
      </c>
      <c r="S21" s="23">
        <f>IF($R21="","",IF(OR($R21="ATRASADO",$R21="HOJE",$R21="Definir data"),COUNTIF($R$5:$R21,"ATRASADO")+COUNTIF($R$5:$R21,"HOJE")+COUNTIF($R$5:$R21,"Definir data"),""))</f>
        <v/>
      </c>
      <c r="T21" s="18">
        <f>IF($C21="","",IF(OR($B21="",$E21="",$F21="",$G21=""),"Preencher entrada/origem/vendedor/etapa",IF(AND(OR($P21="Ganho",$P21="Perdido"),$K21=""),"Falta data de fechamento",IF(AND($P21="Perdido",$L21=""),"Informe o motivo da perda","OK"))))</f>
        <v/>
      </c>
    </row>
    <row r="22" spans="1:20">
      <c r="A22" s="18">
        <f>IF($C22="","",ROW()-4)</f>
        <v/>
      </c>
      <c r="B22" s="19"/>
      <c r="C22" s="13"/>
      <c r="D22" s="13"/>
      <c r="E22" s="13"/>
      <c r="F22" s="13"/>
      <c r="G22" s="13"/>
      <c r="H22" s="15"/>
      <c r="I22" s="19"/>
      <c r="J22" s="19"/>
      <c r="K22" s="19"/>
      <c r="L22" s="13"/>
      <c r="M22" s="13"/>
      <c r="N22" s="20">
        <f>IF($C22="","",IFERROR(INDEX(EtapaProb,MATCH($G22,Etapas,0)),0))</f>
        <v/>
      </c>
      <c r="O22" s="21">
        <f>IF($C22="","",IF($P22="Aberto",N($H22)*$N22,0))</f>
        <v/>
      </c>
      <c r="P22" s="18">
        <f>IF($C22="","",IF($G22="Ganho","Ganho",IF($G22="Perdido","Perdido","Aberto")))</f>
        <v/>
      </c>
      <c r="Q22" s="18">
        <f>IF(OR($C22="",$P22&lt;&gt;"Aberto"),"",IF($I22="",Hoje-$B22,Hoje-$I22))</f>
        <v/>
      </c>
      <c r="R22" s="22">
        <f>IF(OR($C22="",$P22&lt;&gt;"Aberto"),"",IF($J22="",IF($Q22&gt;DiasSC,"ATRASADO","Definir data"),IF($J22&lt;Hoje,"ATRASADO",IF($J22=Hoje,"HOJE","Em dia"))))</f>
        <v/>
      </c>
      <c r="S22" s="23">
        <f>IF($R22="","",IF(OR($R22="ATRASADO",$R22="HOJE",$R22="Definir data"),COUNTIF($R$5:$R22,"ATRASADO")+COUNTIF($R$5:$R22,"HOJE")+COUNTIF($R$5:$R22,"Definir data"),""))</f>
        <v/>
      </c>
      <c r="T22" s="18">
        <f>IF($C22="","",IF(OR($B22="",$E22="",$F22="",$G22=""),"Preencher entrada/origem/vendedor/etapa",IF(AND(OR($P22="Ganho",$P22="Perdido"),$K22=""),"Falta data de fechamento",IF(AND($P22="Perdido",$L22=""),"Informe o motivo da perda","OK"))))</f>
        <v/>
      </c>
    </row>
    <row r="23" spans="1:20">
      <c r="A23" s="18">
        <f>IF($C23="","",ROW()-4)</f>
        <v/>
      </c>
      <c r="B23" s="19"/>
      <c r="C23" s="13"/>
      <c r="D23" s="13"/>
      <c r="E23" s="13"/>
      <c r="F23" s="13"/>
      <c r="G23" s="13"/>
      <c r="H23" s="15"/>
      <c r="I23" s="19"/>
      <c r="J23" s="19"/>
      <c r="K23" s="19"/>
      <c r="L23" s="13"/>
      <c r="M23" s="13"/>
      <c r="N23" s="20">
        <f>IF($C23="","",IFERROR(INDEX(EtapaProb,MATCH($G23,Etapas,0)),0))</f>
        <v/>
      </c>
      <c r="O23" s="21">
        <f>IF($C23="","",IF($P23="Aberto",N($H23)*$N23,0))</f>
        <v/>
      </c>
      <c r="P23" s="18">
        <f>IF($C23="","",IF($G23="Ganho","Ganho",IF($G23="Perdido","Perdido","Aberto")))</f>
        <v/>
      </c>
      <c r="Q23" s="18">
        <f>IF(OR($C23="",$P23&lt;&gt;"Aberto"),"",IF($I23="",Hoje-$B23,Hoje-$I23))</f>
        <v/>
      </c>
      <c r="R23" s="22">
        <f>IF(OR($C23="",$P23&lt;&gt;"Aberto"),"",IF($J23="",IF($Q23&gt;DiasSC,"ATRASADO","Definir data"),IF($J23&lt;Hoje,"ATRASADO",IF($J23=Hoje,"HOJE","Em dia"))))</f>
        <v/>
      </c>
      <c r="S23" s="23">
        <f>IF($R23="","",IF(OR($R23="ATRASADO",$R23="HOJE",$R23="Definir data"),COUNTIF($R$5:$R23,"ATRASADO")+COUNTIF($R$5:$R23,"HOJE")+COUNTIF($R$5:$R23,"Definir data"),""))</f>
        <v/>
      </c>
      <c r="T23" s="18">
        <f>IF($C23="","",IF(OR($B23="",$E23="",$F23="",$G23=""),"Preencher entrada/origem/vendedor/etapa",IF(AND(OR($P23="Ganho",$P23="Perdido"),$K23=""),"Falta data de fechamento",IF(AND($P23="Perdido",$L23=""),"Informe o motivo da perda","OK"))))</f>
        <v/>
      </c>
    </row>
    <row r="24" spans="1:20">
      <c r="A24" s="18">
        <f>IF($C24="","",ROW()-4)</f>
        <v/>
      </c>
      <c r="B24" s="19"/>
      <c r="C24" s="13"/>
      <c r="D24" s="13"/>
      <c r="E24" s="13"/>
      <c r="F24" s="13"/>
      <c r="G24" s="13"/>
      <c r="H24" s="15"/>
      <c r="I24" s="19"/>
      <c r="J24" s="19"/>
      <c r="K24" s="19"/>
      <c r="L24" s="13"/>
      <c r="M24" s="13"/>
      <c r="N24" s="20">
        <f>IF($C24="","",IFERROR(INDEX(EtapaProb,MATCH($G24,Etapas,0)),0))</f>
        <v/>
      </c>
      <c r="O24" s="21">
        <f>IF($C24="","",IF($P24="Aberto",N($H24)*$N24,0))</f>
        <v/>
      </c>
      <c r="P24" s="18">
        <f>IF($C24="","",IF($G24="Ganho","Ganho",IF($G24="Perdido","Perdido","Aberto")))</f>
        <v/>
      </c>
      <c r="Q24" s="18">
        <f>IF(OR($C24="",$P24&lt;&gt;"Aberto"),"",IF($I24="",Hoje-$B24,Hoje-$I24))</f>
        <v/>
      </c>
      <c r="R24" s="22">
        <f>IF(OR($C24="",$P24&lt;&gt;"Aberto"),"",IF($J24="",IF($Q24&gt;DiasSC,"ATRASADO","Definir data"),IF($J24&lt;Hoje,"ATRASADO",IF($J24=Hoje,"HOJE","Em dia"))))</f>
        <v/>
      </c>
      <c r="S24" s="23">
        <f>IF($R24="","",IF(OR($R24="ATRASADO",$R24="HOJE",$R24="Definir data"),COUNTIF($R$5:$R24,"ATRASADO")+COUNTIF($R$5:$R24,"HOJE")+COUNTIF($R$5:$R24,"Definir data"),""))</f>
        <v/>
      </c>
      <c r="T24" s="18">
        <f>IF($C24="","",IF(OR($B24="",$E24="",$F24="",$G24=""),"Preencher entrada/origem/vendedor/etapa",IF(AND(OR($P24="Ganho",$P24="Perdido"),$K24=""),"Falta data de fechamento",IF(AND($P24="Perdido",$L24=""),"Informe o motivo da perda","OK"))))</f>
        <v/>
      </c>
    </row>
    <row r="25" spans="1:20">
      <c r="A25" s="18">
        <f>IF($C25="","",ROW()-4)</f>
        <v/>
      </c>
      <c r="B25" s="19"/>
      <c r="C25" s="13"/>
      <c r="D25" s="13"/>
      <c r="E25" s="13"/>
      <c r="F25" s="13"/>
      <c r="G25" s="13"/>
      <c r="H25" s="15"/>
      <c r="I25" s="19"/>
      <c r="J25" s="19"/>
      <c r="K25" s="19"/>
      <c r="L25" s="13"/>
      <c r="M25" s="13"/>
      <c r="N25" s="20">
        <f>IF($C25="","",IFERROR(INDEX(EtapaProb,MATCH($G25,Etapas,0)),0))</f>
        <v/>
      </c>
      <c r="O25" s="21">
        <f>IF($C25="","",IF($P25="Aberto",N($H25)*$N25,0))</f>
        <v/>
      </c>
      <c r="P25" s="18">
        <f>IF($C25="","",IF($G25="Ganho","Ganho",IF($G25="Perdido","Perdido","Aberto")))</f>
        <v/>
      </c>
      <c r="Q25" s="18">
        <f>IF(OR($C25="",$P25&lt;&gt;"Aberto"),"",IF($I25="",Hoje-$B25,Hoje-$I25))</f>
        <v/>
      </c>
      <c r="R25" s="22">
        <f>IF(OR($C25="",$P25&lt;&gt;"Aberto"),"",IF($J25="",IF($Q25&gt;DiasSC,"ATRASADO","Definir data"),IF($J25&lt;Hoje,"ATRASADO",IF($J25=Hoje,"HOJE","Em dia"))))</f>
        <v/>
      </c>
      <c r="S25" s="23">
        <f>IF($R25="","",IF(OR($R25="ATRASADO",$R25="HOJE",$R25="Definir data"),COUNTIF($R$5:$R25,"ATRASADO")+COUNTIF($R$5:$R25,"HOJE")+COUNTIF($R$5:$R25,"Definir data"),""))</f>
        <v/>
      </c>
      <c r="T25" s="18">
        <f>IF($C25="","",IF(OR($B25="",$E25="",$F25="",$G25=""),"Preencher entrada/origem/vendedor/etapa",IF(AND(OR($P25="Ganho",$P25="Perdido"),$K25=""),"Falta data de fechamento",IF(AND($P25="Perdido",$L25=""),"Informe o motivo da perda","OK"))))</f>
        <v/>
      </c>
    </row>
    <row r="26" spans="1:20">
      <c r="A26" s="18">
        <f>IF($C26="","",ROW()-4)</f>
        <v/>
      </c>
      <c r="B26" s="19"/>
      <c r="C26" s="13"/>
      <c r="D26" s="13"/>
      <c r="E26" s="13"/>
      <c r="F26" s="13"/>
      <c r="G26" s="13"/>
      <c r="H26" s="15"/>
      <c r="I26" s="19"/>
      <c r="J26" s="19"/>
      <c r="K26" s="19"/>
      <c r="L26" s="13"/>
      <c r="M26" s="13"/>
      <c r="N26" s="20">
        <f>IF($C26="","",IFERROR(INDEX(EtapaProb,MATCH($G26,Etapas,0)),0))</f>
        <v/>
      </c>
      <c r="O26" s="21">
        <f>IF($C26="","",IF($P26="Aberto",N($H26)*$N26,0))</f>
        <v/>
      </c>
      <c r="P26" s="18">
        <f>IF($C26="","",IF($G26="Ganho","Ganho",IF($G26="Perdido","Perdido","Aberto")))</f>
        <v/>
      </c>
      <c r="Q26" s="18">
        <f>IF(OR($C26="",$P26&lt;&gt;"Aberto"),"",IF($I26="",Hoje-$B26,Hoje-$I26))</f>
        <v/>
      </c>
      <c r="R26" s="22">
        <f>IF(OR($C26="",$P26&lt;&gt;"Aberto"),"",IF($J26="",IF($Q26&gt;DiasSC,"ATRASADO","Definir data"),IF($J26&lt;Hoje,"ATRASADO",IF($J26=Hoje,"HOJE","Em dia"))))</f>
        <v/>
      </c>
      <c r="S26" s="23">
        <f>IF($R26="","",IF(OR($R26="ATRASADO",$R26="HOJE",$R26="Definir data"),COUNTIF($R$5:$R26,"ATRASADO")+COUNTIF($R$5:$R26,"HOJE")+COUNTIF($R$5:$R26,"Definir data"),""))</f>
        <v/>
      </c>
      <c r="T26" s="18">
        <f>IF($C26="","",IF(OR($B26="",$E26="",$F26="",$G26=""),"Preencher entrada/origem/vendedor/etapa",IF(AND(OR($P26="Ganho",$P26="Perdido"),$K26=""),"Falta data de fechamento",IF(AND($P26="Perdido",$L26=""),"Informe o motivo da perda","OK"))))</f>
        <v/>
      </c>
    </row>
    <row r="27" spans="1:20">
      <c r="A27" s="18">
        <f>IF($C27="","",ROW()-4)</f>
        <v/>
      </c>
      <c r="B27" s="19"/>
      <c r="C27" s="13"/>
      <c r="D27" s="13"/>
      <c r="E27" s="13"/>
      <c r="F27" s="13"/>
      <c r="G27" s="13"/>
      <c r="H27" s="15"/>
      <c r="I27" s="19"/>
      <c r="J27" s="19"/>
      <c r="K27" s="19"/>
      <c r="L27" s="13"/>
      <c r="M27" s="13"/>
      <c r="N27" s="20">
        <f>IF($C27="","",IFERROR(INDEX(EtapaProb,MATCH($G27,Etapas,0)),0))</f>
        <v/>
      </c>
      <c r="O27" s="21">
        <f>IF($C27="","",IF($P27="Aberto",N($H27)*$N27,0))</f>
        <v/>
      </c>
      <c r="P27" s="18">
        <f>IF($C27="","",IF($G27="Ganho","Ganho",IF($G27="Perdido","Perdido","Aberto")))</f>
        <v/>
      </c>
      <c r="Q27" s="18">
        <f>IF(OR($C27="",$P27&lt;&gt;"Aberto"),"",IF($I27="",Hoje-$B27,Hoje-$I27))</f>
        <v/>
      </c>
      <c r="R27" s="22">
        <f>IF(OR($C27="",$P27&lt;&gt;"Aberto"),"",IF($J27="",IF($Q27&gt;DiasSC,"ATRASADO","Definir data"),IF($J27&lt;Hoje,"ATRASADO",IF($J27=Hoje,"HOJE","Em dia"))))</f>
        <v/>
      </c>
      <c r="S27" s="23">
        <f>IF($R27="","",IF(OR($R27="ATRASADO",$R27="HOJE",$R27="Definir data"),COUNTIF($R$5:$R27,"ATRASADO")+COUNTIF($R$5:$R27,"HOJE")+COUNTIF($R$5:$R27,"Definir data"),""))</f>
        <v/>
      </c>
      <c r="T27" s="18">
        <f>IF($C27="","",IF(OR($B27="",$E27="",$F27="",$G27=""),"Preencher entrada/origem/vendedor/etapa",IF(AND(OR($P27="Ganho",$P27="Perdido"),$K27=""),"Falta data de fechamento",IF(AND($P27="Perdido",$L27=""),"Informe o motivo da perda","OK"))))</f>
        <v/>
      </c>
    </row>
    <row r="28" spans="1:20">
      <c r="A28" s="18">
        <f>IF($C28="","",ROW()-4)</f>
        <v/>
      </c>
      <c r="B28" s="19"/>
      <c r="C28" s="13"/>
      <c r="D28" s="13"/>
      <c r="E28" s="13"/>
      <c r="F28" s="13"/>
      <c r="G28" s="13"/>
      <c r="H28" s="15"/>
      <c r="I28" s="19"/>
      <c r="J28" s="19"/>
      <c r="K28" s="19"/>
      <c r="L28" s="13"/>
      <c r="M28" s="13"/>
      <c r="N28" s="20">
        <f>IF($C28="","",IFERROR(INDEX(EtapaProb,MATCH($G28,Etapas,0)),0))</f>
        <v/>
      </c>
      <c r="O28" s="21">
        <f>IF($C28="","",IF($P28="Aberto",N($H28)*$N28,0))</f>
        <v/>
      </c>
      <c r="P28" s="18">
        <f>IF($C28="","",IF($G28="Ganho","Ganho",IF($G28="Perdido","Perdido","Aberto")))</f>
        <v/>
      </c>
      <c r="Q28" s="18">
        <f>IF(OR($C28="",$P28&lt;&gt;"Aberto"),"",IF($I28="",Hoje-$B28,Hoje-$I28))</f>
        <v/>
      </c>
      <c r="R28" s="22">
        <f>IF(OR($C28="",$P28&lt;&gt;"Aberto"),"",IF($J28="",IF($Q28&gt;DiasSC,"ATRASADO","Definir data"),IF($J28&lt;Hoje,"ATRASADO",IF($J28=Hoje,"HOJE","Em dia"))))</f>
        <v/>
      </c>
      <c r="S28" s="23">
        <f>IF($R28="","",IF(OR($R28="ATRASADO",$R28="HOJE",$R28="Definir data"),COUNTIF($R$5:$R28,"ATRASADO")+COUNTIF($R$5:$R28,"HOJE")+COUNTIF($R$5:$R28,"Definir data"),""))</f>
        <v/>
      </c>
      <c r="T28" s="18">
        <f>IF($C28="","",IF(OR($B28="",$E28="",$F28="",$G28=""),"Preencher entrada/origem/vendedor/etapa",IF(AND(OR($P28="Ganho",$P28="Perdido"),$K28=""),"Falta data de fechamento",IF(AND($P28="Perdido",$L28=""),"Informe o motivo da perda","OK"))))</f>
        <v/>
      </c>
    </row>
    <row r="29" spans="1:20">
      <c r="A29" s="18">
        <f>IF($C29="","",ROW()-4)</f>
        <v/>
      </c>
      <c r="B29" s="19"/>
      <c r="C29" s="13"/>
      <c r="D29" s="13"/>
      <c r="E29" s="13"/>
      <c r="F29" s="13"/>
      <c r="G29" s="13"/>
      <c r="H29" s="15"/>
      <c r="I29" s="19"/>
      <c r="J29" s="19"/>
      <c r="K29" s="19"/>
      <c r="L29" s="13"/>
      <c r="M29" s="13"/>
      <c r="N29" s="20">
        <f>IF($C29="","",IFERROR(INDEX(EtapaProb,MATCH($G29,Etapas,0)),0))</f>
        <v/>
      </c>
      <c r="O29" s="21">
        <f>IF($C29="","",IF($P29="Aberto",N($H29)*$N29,0))</f>
        <v/>
      </c>
      <c r="P29" s="18">
        <f>IF($C29="","",IF($G29="Ganho","Ganho",IF($G29="Perdido","Perdido","Aberto")))</f>
        <v/>
      </c>
      <c r="Q29" s="18">
        <f>IF(OR($C29="",$P29&lt;&gt;"Aberto"),"",IF($I29="",Hoje-$B29,Hoje-$I29))</f>
        <v/>
      </c>
      <c r="R29" s="22">
        <f>IF(OR($C29="",$P29&lt;&gt;"Aberto"),"",IF($J29="",IF($Q29&gt;DiasSC,"ATRASADO","Definir data"),IF($J29&lt;Hoje,"ATRASADO",IF($J29=Hoje,"HOJE","Em dia"))))</f>
        <v/>
      </c>
      <c r="S29" s="23">
        <f>IF($R29="","",IF(OR($R29="ATRASADO",$R29="HOJE",$R29="Definir data"),COUNTIF($R$5:$R29,"ATRASADO")+COUNTIF($R$5:$R29,"HOJE")+COUNTIF($R$5:$R29,"Definir data"),""))</f>
        <v/>
      </c>
      <c r="T29" s="18">
        <f>IF($C29="","",IF(OR($B29="",$E29="",$F29="",$G29=""),"Preencher entrada/origem/vendedor/etapa",IF(AND(OR($P29="Ganho",$P29="Perdido"),$K29=""),"Falta data de fechamento",IF(AND($P29="Perdido",$L29=""),"Informe o motivo da perda","OK"))))</f>
        <v/>
      </c>
    </row>
    <row r="30" spans="1:20">
      <c r="A30" s="18">
        <f>IF($C30="","",ROW()-4)</f>
        <v/>
      </c>
      <c r="B30" s="19"/>
      <c r="C30" s="13"/>
      <c r="D30" s="13"/>
      <c r="E30" s="13"/>
      <c r="F30" s="13"/>
      <c r="G30" s="13"/>
      <c r="H30" s="15"/>
      <c r="I30" s="19"/>
      <c r="J30" s="19"/>
      <c r="K30" s="19"/>
      <c r="L30" s="13"/>
      <c r="M30" s="13"/>
      <c r="N30" s="20">
        <f>IF($C30="","",IFERROR(INDEX(EtapaProb,MATCH($G30,Etapas,0)),0))</f>
        <v/>
      </c>
      <c r="O30" s="21">
        <f>IF($C30="","",IF($P30="Aberto",N($H30)*$N30,0))</f>
        <v/>
      </c>
      <c r="P30" s="18">
        <f>IF($C30="","",IF($G30="Ganho","Ganho",IF($G30="Perdido","Perdido","Aberto")))</f>
        <v/>
      </c>
      <c r="Q30" s="18">
        <f>IF(OR($C30="",$P30&lt;&gt;"Aberto"),"",IF($I30="",Hoje-$B30,Hoje-$I30))</f>
        <v/>
      </c>
      <c r="R30" s="22">
        <f>IF(OR($C30="",$P30&lt;&gt;"Aberto"),"",IF($J30="",IF($Q30&gt;DiasSC,"ATRASADO","Definir data"),IF($J30&lt;Hoje,"ATRASADO",IF($J30=Hoje,"HOJE","Em dia"))))</f>
        <v/>
      </c>
      <c r="S30" s="23">
        <f>IF($R30="","",IF(OR($R30="ATRASADO",$R30="HOJE",$R30="Definir data"),COUNTIF($R$5:$R30,"ATRASADO")+COUNTIF($R$5:$R30,"HOJE")+COUNTIF($R$5:$R30,"Definir data"),""))</f>
        <v/>
      </c>
      <c r="T30" s="18">
        <f>IF($C30="","",IF(OR($B30="",$E30="",$F30="",$G30=""),"Preencher entrada/origem/vendedor/etapa",IF(AND(OR($P30="Ganho",$P30="Perdido"),$K30=""),"Falta data de fechamento",IF(AND($P30="Perdido",$L30=""),"Informe o motivo da perda","OK"))))</f>
        <v/>
      </c>
    </row>
    <row r="31" spans="1:20">
      <c r="A31" s="18">
        <f>IF($C31="","",ROW()-4)</f>
        <v/>
      </c>
      <c r="B31" s="19"/>
      <c r="C31" s="13"/>
      <c r="D31" s="13"/>
      <c r="E31" s="13"/>
      <c r="F31" s="13"/>
      <c r="G31" s="13"/>
      <c r="H31" s="15"/>
      <c r="I31" s="19"/>
      <c r="J31" s="19"/>
      <c r="K31" s="19"/>
      <c r="L31" s="13"/>
      <c r="M31" s="13"/>
      <c r="N31" s="20">
        <f>IF($C31="","",IFERROR(INDEX(EtapaProb,MATCH($G31,Etapas,0)),0))</f>
        <v/>
      </c>
      <c r="O31" s="21">
        <f>IF($C31="","",IF($P31="Aberto",N($H31)*$N31,0))</f>
        <v/>
      </c>
      <c r="P31" s="18">
        <f>IF($C31="","",IF($G31="Ganho","Ganho",IF($G31="Perdido","Perdido","Aberto")))</f>
        <v/>
      </c>
      <c r="Q31" s="18">
        <f>IF(OR($C31="",$P31&lt;&gt;"Aberto"),"",IF($I31="",Hoje-$B31,Hoje-$I31))</f>
        <v/>
      </c>
      <c r="R31" s="22">
        <f>IF(OR($C31="",$P31&lt;&gt;"Aberto"),"",IF($J31="",IF($Q31&gt;DiasSC,"ATRASADO","Definir data"),IF($J31&lt;Hoje,"ATRASADO",IF($J31=Hoje,"HOJE","Em dia"))))</f>
        <v/>
      </c>
      <c r="S31" s="23">
        <f>IF($R31="","",IF(OR($R31="ATRASADO",$R31="HOJE",$R31="Definir data"),COUNTIF($R$5:$R31,"ATRASADO")+COUNTIF($R$5:$R31,"HOJE")+COUNTIF($R$5:$R31,"Definir data"),""))</f>
        <v/>
      </c>
      <c r="T31" s="18">
        <f>IF($C31="","",IF(OR($B31="",$E31="",$F31="",$G31=""),"Preencher entrada/origem/vendedor/etapa",IF(AND(OR($P31="Ganho",$P31="Perdido"),$K31=""),"Falta data de fechamento",IF(AND($P31="Perdido",$L31=""),"Informe o motivo da perda","OK"))))</f>
        <v/>
      </c>
    </row>
    <row r="32" spans="1:20">
      <c r="A32" s="18">
        <f>IF($C32="","",ROW()-4)</f>
        <v/>
      </c>
      <c r="B32" s="19"/>
      <c r="C32" s="13"/>
      <c r="D32" s="13"/>
      <c r="E32" s="13"/>
      <c r="F32" s="13"/>
      <c r="G32" s="13"/>
      <c r="H32" s="15"/>
      <c r="I32" s="19"/>
      <c r="J32" s="19"/>
      <c r="K32" s="19"/>
      <c r="L32" s="13"/>
      <c r="M32" s="13"/>
      <c r="N32" s="20">
        <f>IF($C32="","",IFERROR(INDEX(EtapaProb,MATCH($G32,Etapas,0)),0))</f>
        <v/>
      </c>
      <c r="O32" s="21">
        <f>IF($C32="","",IF($P32="Aberto",N($H32)*$N32,0))</f>
        <v/>
      </c>
      <c r="P32" s="18">
        <f>IF($C32="","",IF($G32="Ganho","Ganho",IF($G32="Perdido","Perdido","Aberto")))</f>
        <v/>
      </c>
      <c r="Q32" s="18">
        <f>IF(OR($C32="",$P32&lt;&gt;"Aberto"),"",IF($I32="",Hoje-$B32,Hoje-$I32))</f>
        <v/>
      </c>
      <c r="R32" s="22">
        <f>IF(OR($C32="",$P32&lt;&gt;"Aberto"),"",IF($J32="",IF($Q32&gt;DiasSC,"ATRASADO","Definir data"),IF($J32&lt;Hoje,"ATRASADO",IF($J32=Hoje,"HOJE","Em dia"))))</f>
        <v/>
      </c>
      <c r="S32" s="23">
        <f>IF($R32="","",IF(OR($R32="ATRASADO",$R32="HOJE",$R32="Definir data"),COUNTIF($R$5:$R32,"ATRASADO")+COUNTIF($R$5:$R32,"HOJE")+COUNTIF($R$5:$R32,"Definir data"),""))</f>
        <v/>
      </c>
      <c r="T32" s="18">
        <f>IF($C32="","",IF(OR($B32="",$E32="",$F32="",$G32=""),"Preencher entrada/origem/vendedor/etapa",IF(AND(OR($P32="Ganho",$P32="Perdido"),$K32=""),"Falta data de fechamento",IF(AND($P32="Perdido",$L32=""),"Informe o motivo da perda","OK"))))</f>
        <v/>
      </c>
    </row>
    <row r="33" spans="1:20">
      <c r="A33" s="18">
        <f>IF($C33="","",ROW()-4)</f>
        <v/>
      </c>
      <c r="B33" s="19"/>
      <c r="C33" s="13"/>
      <c r="D33" s="13"/>
      <c r="E33" s="13"/>
      <c r="F33" s="13"/>
      <c r="G33" s="13"/>
      <c r="H33" s="15"/>
      <c r="I33" s="19"/>
      <c r="J33" s="19"/>
      <c r="K33" s="19"/>
      <c r="L33" s="13"/>
      <c r="M33" s="13"/>
      <c r="N33" s="20">
        <f>IF($C33="","",IFERROR(INDEX(EtapaProb,MATCH($G33,Etapas,0)),0))</f>
        <v/>
      </c>
      <c r="O33" s="21">
        <f>IF($C33="","",IF($P33="Aberto",N($H33)*$N33,0))</f>
        <v/>
      </c>
      <c r="P33" s="18">
        <f>IF($C33="","",IF($G33="Ganho","Ganho",IF($G33="Perdido","Perdido","Aberto")))</f>
        <v/>
      </c>
      <c r="Q33" s="18">
        <f>IF(OR($C33="",$P33&lt;&gt;"Aberto"),"",IF($I33="",Hoje-$B33,Hoje-$I33))</f>
        <v/>
      </c>
      <c r="R33" s="22">
        <f>IF(OR($C33="",$P33&lt;&gt;"Aberto"),"",IF($J33="",IF($Q33&gt;DiasSC,"ATRASADO","Definir data"),IF($J33&lt;Hoje,"ATRASADO",IF($J33=Hoje,"HOJE","Em dia"))))</f>
        <v/>
      </c>
      <c r="S33" s="23">
        <f>IF($R33="","",IF(OR($R33="ATRASADO",$R33="HOJE",$R33="Definir data"),COUNTIF($R$5:$R33,"ATRASADO")+COUNTIF($R$5:$R33,"HOJE")+COUNTIF($R$5:$R33,"Definir data"),""))</f>
        <v/>
      </c>
      <c r="T33" s="18">
        <f>IF($C33="","",IF(OR($B33="",$E33="",$F33="",$G33=""),"Preencher entrada/origem/vendedor/etapa",IF(AND(OR($P33="Ganho",$P33="Perdido"),$K33=""),"Falta data de fechamento",IF(AND($P33="Perdido",$L33=""),"Informe o motivo da perda","OK"))))</f>
        <v/>
      </c>
    </row>
    <row r="34" spans="1:20">
      <c r="A34" s="18">
        <f>IF($C34="","",ROW()-4)</f>
        <v/>
      </c>
      <c r="B34" s="19"/>
      <c r="C34" s="13"/>
      <c r="D34" s="13"/>
      <c r="E34" s="13"/>
      <c r="F34" s="13"/>
      <c r="G34" s="13"/>
      <c r="H34" s="15"/>
      <c r="I34" s="19"/>
      <c r="J34" s="19"/>
      <c r="K34" s="19"/>
      <c r="L34" s="13"/>
      <c r="M34" s="13"/>
      <c r="N34" s="20">
        <f>IF($C34="","",IFERROR(INDEX(EtapaProb,MATCH($G34,Etapas,0)),0))</f>
        <v/>
      </c>
      <c r="O34" s="21">
        <f>IF($C34="","",IF($P34="Aberto",N($H34)*$N34,0))</f>
        <v/>
      </c>
      <c r="P34" s="18">
        <f>IF($C34="","",IF($G34="Ganho","Ganho",IF($G34="Perdido","Perdido","Aberto")))</f>
        <v/>
      </c>
      <c r="Q34" s="18">
        <f>IF(OR($C34="",$P34&lt;&gt;"Aberto"),"",IF($I34="",Hoje-$B34,Hoje-$I34))</f>
        <v/>
      </c>
      <c r="R34" s="22">
        <f>IF(OR($C34="",$P34&lt;&gt;"Aberto"),"",IF($J34="",IF($Q34&gt;DiasSC,"ATRASADO","Definir data"),IF($J34&lt;Hoje,"ATRASADO",IF($J34=Hoje,"HOJE","Em dia"))))</f>
        <v/>
      </c>
      <c r="S34" s="23">
        <f>IF($R34="","",IF(OR($R34="ATRASADO",$R34="HOJE",$R34="Definir data"),COUNTIF($R$5:$R34,"ATRASADO")+COUNTIF($R$5:$R34,"HOJE")+COUNTIF($R$5:$R34,"Definir data"),""))</f>
        <v/>
      </c>
      <c r="T34" s="18">
        <f>IF($C34="","",IF(OR($B34="",$E34="",$F34="",$G34=""),"Preencher entrada/origem/vendedor/etapa",IF(AND(OR($P34="Ganho",$P34="Perdido"),$K34=""),"Falta data de fechamento",IF(AND($P34="Perdido",$L34=""),"Informe o motivo da perda","OK"))))</f>
        <v/>
      </c>
    </row>
    <row r="35" spans="1:20">
      <c r="A35" s="18">
        <f>IF($C35="","",ROW()-4)</f>
        <v/>
      </c>
      <c r="B35" s="19"/>
      <c r="C35" s="13"/>
      <c r="D35" s="13"/>
      <c r="E35" s="13"/>
      <c r="F35" s="13"/>
      <c r="G35" s="13"/>
      <c r="H35" s="15"/>
      <c r="I35" s="19"/>
      <c r="J35" s="19"/>
      <c r="K35" s="19"/>
      <c r="L35" s="13"/>
      <c r="M35" s="13"/>
      <c r="N35" s="20">
        <f>IF($C35="","",IFERROR(INDEX(EtapaProb,MATCH($G35,Etapas,0)),0))</f>
        <v/>
      </c>
      <c r="O35" s="21">
        <f>IF($C35="","",IF($P35="Aberto",N($H35)*$N35,0))</f>
        <v/>
      </c>
      <c r="P35" s="18">
        <f>IF($C35="","",IF($G35="Ganho","Ganho",IF($G35="Perdido","Perdido","Aberto")))</f>
        <v/>
      </c>
      <c r="Q35" s="18">
        <f>IF(OR($C35="",$P35&lt;&gt;"Aberto"),"",IF($I35="",Hoje-$B35,Hoje-$I35))</f>
        <v/>
      </c>
      <c r="R35" s="22">
        <f>IF(OR($C35="",$P35&lt;&gt;"Aberto"),"",IF($J35="",IF($Q35&gt;DiasSC,"ATRASADO","Definir data"),IF($J35&lt;Hoje,"ATRASADO",IF($J35=Hoje,"HOJE","Em dia"))))</f>
        <v/>
      </c>
      <c r="S35" s="23">
        <f>IF($R35="","",IF(OR($R35="ATRASADO",$R35="HOJE",$R35="Definir data"),COUNTIF($R$5:$R35,"ATRASADO")+COUNTIF($R$5:$R35,"HOJE")+COUNTIF($R$5:$R35,"Definir data"),""))</f>
        <v/>
      </c>
      <c r="T35" s="18">
        <f>IF($C35="","",IF(OR($B35="",$E35="",$F35="",$G35=""),"Preencher entrada/origem/vendedor/etapa",IF(AND(OR($P35="Ganho",$P35="Perdido"),$K35=""),"Falta data de fechamento",IF(AND($P35="Perdido",$L35=""),"Informe o motivo da perda","OK"))))</f>
        <v/>
      </c>
    </row>
    <row r="36" spans="1:20">
      <c r="A36" s="18">
        <f>IF($C36="","",ROW()-4)</f>
        <v/>
      </c>
      <c r="B36" s="19"/>
      <c r="C36" s="13"/>
      <c r="D36" s="13"/>
      <c r="E36" s="13"/>
      <c r="F36" s="13"/>
      <c r="G36" s="13"/>
      <c r="H36" s="15"/>
      <c r="I36" s="19"/>
      <c r="J36" s="19"/>
      <c r="K36" s="19"/>
      <c r="L36" s="13"/>
      <c r="M36" s="13"/>
      <c r="N36" s="20">
        <f>IF($C36="","",IFERROR(INDEX(EtapaProb,MATCH($G36,Etapas,0)),0))</f>
        <v/>
      </c>
      <c r="O36" s="21">
        <f>IF($C36="","",IF($P36="Aberto",N($H36)*$N36,0))</f>
        <v/>
      </c>
      <c r="P36" s="18">
        <f>IF($C36="","",IF($G36="Ganho","Ganho",IF($G36="Perdido","Perdido","Aberto")))</f>
        <v/>
      </c>
      <c r="Q36" s="18">
        <f>IF(OR($C36="",$P36&lt;&gt;"Aberto"),"",IF($I36="",Hoje-$B36,Hoje-$I36))</f>
        <v/>
      </c>
      <c r="R36" s="22">
        <f>IF(OR($C36="",$P36&lt;&gt;"Aberto"),"",IF($J36="",IF($Q36&gt;DiasSC,"ATRASADO","Definir data"),IF($J36&lt;Hoje,"ATRASADO",IF($J36=Hoje,"HOJE","Em dia"))))</f>
        <v/>
      </c>
      <c r="S36" s="23">
        <f>IF($R36="","",IF(OR($R36="ATRASADO",$R36="HOJE",$R36="Definir data"),COUNTIF($R$5:$R36,"ATRASADO")+COUNTIF($R$5:$R36,"HOJE")+COUNTIF($R$5:$R36,"Definir data"),""))</f>
        <v/>
      </c>
      <c r="T36" s="18">
        <f>IF($C36="","",IF(OR($B36="",$E36="",$F36="",$G36=""),"Preencher entrada/origem/vendedor/etapa",IF(AND(OR($P36="Ganho",$P36="Perdido"),$K36=""),"Falta data de fechamento",IF(AND($P36="Perdido",$L36=""),"Informe o motivo da perda","OK"))))</f>
        <v/>
      </c>
    </row>
    <row r="37" spans="1:20">
      <c r="A37" s="18">
        <f>IF($C37="","",ROW()-4)</f>
        <v/>
      </c>
      <c r="B37" s="19"/>
      <c r="C37" s="13"/>
      <c r="D37" s="13"/>
      <c r="E37" s="13"/>
      <c r="F37" s="13"/>
      <c r="G37" s="13"/>
      <c r="H37" s="15"/>
      <c r="I37" s="19"/>
      <c r="J37" s="19"/>
      <c r="K37" s="19"/>
      <c r="L37" s="13"/>
      <c r="M37" s="13"/>
      <c r="N37" s="20">
        <f>IF($C37="","",IFERROR(INDEX(EtapaProb,MATCH($G37,Etapas,0)),0))</f>
        <v/>
      </c>
      <c r="O37" s="21">
        <f>IF($C37="","",IF($P37="Aberto",N($H37)*$N37,0))</f>
        <v/>
      </c>
      <c r="P37" s="18">
        <f>IF($C37="","",IF($G37="Ganho","Ganho",IF($G37="Perdido","Perdido","Aberto")))</f>
        <v/>
      </c>
      <c r="Q37" s="18">
        <f>IF(OR($C37="",$P37&lt;&gt;"Aberto"),"",IF($I37="",Hoje-$B37,Hoje-$I37))</f>
        <v/>
      </c>
      <c r="R37" s="22">
        <f>IF(OR($C37="",$P37&lt;&gt;"Aberto"),"",IF($J37="",IF($Q37&gt;DiasSC,"ATRASADO","Definir data"),IF($J37&lt;Hoje,"ATRASADO",IF($J37=Hoje,"HOJE","Em dia"))))</f>
        <v/>
      </c>
      <c r="S37" s="23">
        <f>IF($R37="","",IF(OR($R37="ATRASADO",$R37="HOJE",$R37="Definir data"),COUNTIF($R$5:$R37,"ATRASADO")+COUNTIF($R$5:$R37,"HOJE")+COUNTIF($R$5:$R37,"Definir data"),""))</f>
        <v/>
      </c>
      <c r="T37" s="18">
        <f>IF($C37="","",IF(OR($B37="",$E37="",$F37="",$G37=""),"Preencher entrada/origem/vendedor/etapa",IF(AND(OR($P37="Ganho",$P37="Perdido"),$K37=""),"Falta data de fechamento",IF(AND($P37="Perdido",$L37=""),"Informe o motivo da perda","OK"))))</f>
        <v/>
      </c>
    </row>
    <row r="38" spans="1:20">
      <c r="A38" s="18">
        <f>IF($C38="","",ROW()-4)</f>
        <v/>
      </c>
      <c r="B38" s="19"/>
      <c r="C38" s="13"/>
      <c r="D38" s="13"/>
      <c r="E38" s="13"/>
      <c r="F38" s="13"/>
      <c r="G38" s="13"/>
      <c r="H38" s="15"/>
      <c r="I38" s="19"/>
      <c r="J38" s="19"/>
      <c r="K38" s="19"/>
      <c r="L38" s="13"/>
      <c r="M38" s="13"/>
      <c r="N38" s="20">
        <f>IF($C38="","",IFERROR(INDEX(EtapaProb,MATCH($G38,Etapas,0)),0))</f>
        <v/>
      </c>
      <c r="O38" s="21">
        <f>IF($C38="","",IF($P38="Aberto",N($H38)*$N38,0))</f>
        <v/>
      </c>
      <c r="P38" s="18">
        <f>IF($C38="","",IF($G38="Ganho","Ganho",IF($G38="Perdido","Perdido","Aberto")))</f>
        <v/>
      </c>
      <c r="Q38" s="18">
        <f>IF(OR($C38="",$P38&lt;&gt;"Aberto"),"",IF($I38="",Hoje-$B38,Hoje-$I38))</f>
        <v/>
      </c>
      <c r="R38" s="22">
        <f>IF(OR($C38="",$P38&lt;&gt;"Aberto"),"",IF($J38="",IF($Q38&gt;DiasSC,"ATRASADO","Definir data"),IF($J38&lt;Hoje,"ATRASADO",IF($J38=Hoje,"HOJE","Em dia"))))</f>
        <v/>
      </c>
      <c r="S38" s="23">
        <f>IF($R38="","",IF(OR($R38="ATRASADO",$R38="HOJE",$R38="Definir data"),COUNTIF($R$5:$R38,"ATRASADO")+COUNTIF($R$5:$R38,"HOJE")+COUNTIF($R$5:$R38,"Definir data"),""))</f>
        <v/>
      </c>
      <c r="T38" s="18">
        <f>IF($C38="","",IF(OR($B38="",$E38="",$F38="",$G38=""),"Preencher entrada/origem/vendedor/etapa",IF(AND(OR($P38="Ganho",$P38="Perdido"),$K38=""),"Falta data de fechamento",IF(AND($P38="Perdido",$L38=""),"Informe o motivo da perda","OK"))))</f>
        <v/>
      </c>
    </row>
    <row r="39" spans="1:20">
      <c r="A39" s="18">
        <f>IF($C39="","",ROW()-4)</f>
        <v/>
      </c>
      <c r="B39" s="19"/>
      <c r="C39" s="13"/>
      <c r="D39" s="13"/>
      <c r="E39" s="13"/>
      <c r="F39" s="13"/>
      <c r="G39" s="13"/>
      <c r="H39" s="15"/>
      <c r="I39" s="19"/>
      <c r="J39" s="19"/>
      <c r="K39" s="19"/>
      <c r="L39" s="13"/>
      <c r="M39" s="13"/>
      <c r="N39" s="20">
        <f>IF($C39="","",IFERROR(INDEX(EtapaProb,MATCH($G39,Etapas,0)),0))</f>
        <v/>
      </c>
      <c r="O39" s="21">
        <f>IF($C39="","",IF($P39="Aberto",N($H39)*$N39,0))</f>
        <v/>
      </c>
      <c r="P39" s="18">
        <f>IF($C39="","",IF($G39="Ganho","Ganho",IF($G39="Perdido","Perdido","Aberto")))</f>
        <v/>
      </c>
      <c r="Q39" s="18">
        <f>IF(OR($C39="",$P39&lt;&gt;"Aberto"),"",IF($I39="",Hoje-$B39,Hoje-$I39))</f>
        <v/>
      </c>
      <c r="R39" s="22">
        <f>IF(OR($C39="",$P39&lt;&gt;"Aberto"),"",IF($J39="",IF($Q39&gt;DiasSC,"ATRASADO","Definir data"),IF($J39&lt;Hoje,"ATRASADO",IF($J39=Hoje,"HOJE","Em dia"))))</f>
        <v/>
      </c>
      <c r="S39" s="23">
        <f>IF($R39="","",IF(OR($R39="ATRASADO",$R39="HOJE",$R39="Definir data"),COUNTIF($R$5:$R39,"ATRASADO")+COUNTIF($R$5:$R39,"HOJE")+COUNTIF($R$5:$R39,"Definir data"),""))</f>
        <v/>
      </c>
      <c r="T39" s="18">
        <f>IF($C39="","",IF(OR($B39="",$E39="",$F39="",$G39=""),"Preencher entrada/origem/vendedor/etapa",IF(AND(OR($P39="Ganho",$P39="Perdido"),$K39=""),"Falta data de fechamento",IF(AND($P39="Perdido",$L39=""),"Informe o motivo da perda","OK"))))</f>
        <v/>
      </c>
    </row>
    <row r="40" spans="1:20">
      <c r="A40" s="18">
        <f>IF($C40="","",ROW()-4)</f>
        <v/>
      </c>
      <c r="B40" s="19"/>
      <c r="C40" s="13"/>
      <c r="D40" s="13"/>
      <c r="E40" s="13"/>
      <c r="F40" s="13"/>
      <c r="G40" s="13"/>
      <c r="H40" s="15"/>
      <c r="I40" s="19"/>
      <c r="J40" s="19"/>
      <c r="K40" s="19"/>
      <c r="L40" s="13"/>
      <c r="M40" s="13"/>
      <c r="N40" s="20">
        <f>IF($C40="","",IFERROR(INDEX(EtapaProb,MATCH($G40,Etapas,0)),0))</f>
        <v/>
      </c>
      <c r="O40" s="21">
        <f>IF($C40="","",IF($P40="Aberto",N($H40)*$N40,0))</f>
        <v/>
      </c>
      <c r="P40" s="18">
        <f>IF($C40="","",IF($G40="Ganho","Ganho",IF($G40="Perdido","Perdido","Aberto")))</f>
        <v/>
      </c>
      <c r="Q40" s="18">
        <f>IF(OR($C40="",$P40&lt;&gt;"Aberto"),"",IF($I40="",Hoje-$B40,Hoje-$I40))</f>
        <v/>
      </c>
      <c r="R40" s="22">
        <f>IF(OR($C40="",$P40&lt;&gt;"Aberto"),"",IF($J40="",IF($Q40&gt;DiasSC,"ATRASADO","Definir data"),IF($J40&lt;Hoje,"ATRASADO",IF($J40=Hoje,"HOJE","Em dia"))))</f>
        <v/>
      </c>
      <c r="S40" s="23">
        <f>IF($R40="","",IF(OR($R40="ATRASADO",$R40="HOJE",$R40="Definir data"),COUNTIF($R$5:$R40,"ATRASADO")+COUNTIF($R$5:$R40,"HOJE")+COUNTIF($R$5:$R40,"Definir data"),""))</f>
        <v/>
      </c>
      <c r="T40" s="18">
        <f>IF($C40="","",IF(OR($B40="",$E40="",$F40="",$G40=""),"Preencher entrada/origem/vendedor/etapa",IF(AND(OR($P40="Ganho",$P40="Perdido"),$K40=""),"Falta data de fechamento",IF(AND($P40="Perdido",$L40=""),"Informe o motivo da perda","OK"))))</f>
        <v/>
      </c>
    </row>
    <row r="41" spans="1:20">
      <c r="A41" s="18">
        <f>IF($C41="","",ROW()-4)</f>
        <v/>
      </c>
      <c r="B41" s="19"/>
      <c r="C41" s="13"/>
      <c r="D41" s="13"/>
      <c r="E41" s="13"/>
      <c r="F41" s="13"/>
      <c r="G41" s="13"/>
      <c r="H41" s="15"/>
      <c r="I41" s="19"/>
      <c r="J41" s="19"/>
      <c r="K41" s="19"/>
      <c r="L41" s="13"/>
      <c r="M41" s="13"/>
      <c r="N41" s="20">
        <f>IF($C41="","",IFERROR(INDEX(EtapaProb,MATCH($G41,Etapas,0)),0))</f>
        <v/>
      </c>
      <c r="O41" s="21">
        <f>IF($C41="","",IF($P41="Aberto",N($H41)*$N41,0))</f>
        <v/>
      </c>
      <c r="P41" s="18">
        <f>IF($C41="","",IF($G41="Ganho","Ganho",IF($G41="Perdido","Perdido","Aberto")))</f>
        <v/>
      </c>
      <c r="Q41" s="18">
        <f>IF(OR($C41="",$P41&lt;&gt;"Aberto"),"",IF($I41="",Hoje-$B41,Hoje-$I41))</f>
        <v/>
      </c>
      <c r="R41" s="22">
        <f>IF(OR($C41="",$P41&lt;&gt;"Aberto"),"",IF($J41="",IF($Q41&gt;DiasSC,"ATRASADO","Definir data"),IF($J41&lt;Hoje,"ATRASADO",IF($J41=Hoje,"HOJE","Em dia"))))</f>
        <v/>
      </c>
      <c r="S41" s="23">
        <f>IF($R41="","",IF(OR($R41="ATRASADO",$R41="HOJE",$R41="Definir data"),COUNTIF($R$5:$R41,"ATRASADO")+COUNTIF($R$5:$R41,"HOJE")+COUNTIF($R$5:$R41,"Definir data"),""))</f>
        <v/>
      </c>
      <c r="T41" s="18">
        <f>IF($C41="","",IF(OR($B41="",$E41="",$F41="",$G41=""),"Preencher entrada/origem/vendedor/etapa",IF(AND(OR($P41="Ganho",$P41="Perdido"),$K41=""),"Falta data de fechamento",IF(AND($P41="Perdido",$L41=""),"Informe o motivo da perda","OK"))))</f>
        <v/>
      </c>
    </row>
    <row r="42" spans="1:20">
      <c r="A42" s="18">
        <f>IF($C42="","",ROW()-4)</f>
        <v/>
      </c>
      <c r="B42" s="19"/>
      <c r="C42" s="13"/>
      <c r="D42" s="13"/>
      <c r="E42" s="13"/>
      <c r="F42" s="13"/>
      <c r="G42" s="13"/>
      <c r="H42" s="15"/>
      <c r="I42" s="19"/>
      <c r="J42" s="19"/>
      <c r="K42" s="19"/>
      <c r="L42" s="13"/>
      <c r="M42" s="13"/>
      <c r="N42" s="20">
        <f>IF($C42="","",IFERROR(INDEX(EtapaProb,MATCH($G42,Etapas,0)),0))</f>
        <v/>
      </c>
      <c r="O42" s="21">
        <f>IF($C42="","",IF($P42="Aberto",N($H42)*$N42,0))</f>
        <v/>
      </c>
      <c r="P42" s="18">
        <f>IF($C42="","",IF($G42="Ganho","Ganho",IF($G42="Perdido","Perdido","Aberto")))</f>
        <v/>
      </c>
      <c r="Q42" s="18">
        <f>IF(OR($C42="",$P42&lt;&gt;"Aberto"),"",IF($I42="",Hoje-$B42,Hoje-$I42))</f>
        <v/>
      </c>
      <c r="R42" s="22">
        <f>IF(OR($C42="",$P42&lt;&gt;"Aberto"),"",IF($J42="",IF($Q42&gt;DiasSC,"ATRASADO","Definir data"),IF($J42&lt;Hoje,"ATRASADO",IF($J42=Hoje,"HOJE","Em dia"))))</f>
        <v/>
      </c>
      <c r="S42" s="23">
        <f>IF($R42="","",IF(OR($R42="ATRASADO",$R42="HOJE",$R42="Definir data"),COUNTIF($R$5:$R42,"ATRASADO")+COUNTIF($R$5:$R42,"HOJE")+COUNTIF($R$5:$R42,"Definir data"),""))</f>
        <v/>
      </c>
      <c r="T42" s="18">
        <f>IF($C42="","",IF(OR($B42="",$E42="",$F42="",$G42=""),"Preencher entrada/origem/vendedor/etapa",IF(AND(OR($P42="Ganho",$P42="Perdido"),$K42=""),"Falta data de fechamento",IF(AND($P42="Perdido",$L42=""),"Informe o motivo da perda","OK"))))</f>
        <v/>
      </c>
    </row>
    <row r="43" spans="1:20">
      <c r="A43" s="18">
        <f>IF($C43="","",ROW()-4)</f>
        <v/>
      </c>
      <c r="B43" s="19"/>
      <c r="C43" s="13"/>
      <c r="D43" s="13"/>
      <c r="E43" s="13"/>
      <c r="F43" s="13"/>
      <c r="G43" s="13"/>
      <c r="H43" s="15"/>
      <c r="I43" s="19"/>
      <c r="J43" s="19"/>
      <c r="K43" s="19"/>
      <c r="L43" s="13"/>
      <c r="M43" s="13"/>
      <c r="N43" s="20">
        <f>IF($C43="","",IFERROR(INDEX(EtapaProb,MATCH($G43,Etapas,0)),0))</f>
        <v/>
      </c>
      <c r="O43" s="21">
        <f>IF($C43="","",IF($P43="Aberto",N($H43)*$N43,0))</f>
        <v/>
      </c>
      <c r="P43" s="18">
        <f>IF($C43="","",IF($G43="Ganho","Ganho",IF($G43="Perdido","Perdido","Aberto")))</f>
        <v/>
      </c>
      <c r="Q43" s="18">
        <f>IF(OR($C43="",$P43&lt;&gt;"Aberto"),"",IF($I43="",Hoje-$B43,Hoje-$I43))</f>
        <v/>
      </c>
      <c r="R43" s="22">
        <f>IF(OR($C43="",$P43&lt;&gt;"Aberto"),"",IF($J43="",IF($Q43&gt;DiasSC,"ATRASADO","Definir data"),IF($J43&lt;Hoje,"ATRASADO",IF($J43=Hoje,"HOJE","Em dia"))))</f>
        <v/>
      </c>
      <c r="S43" s="23">
        <f>IF($R43="","",IF(OR($R43="ATRASADO",$R43="HOJE",$R43="Definir data"),COUNTIF($R$5:$R43,"ATRASADO")+COUNTIF($R$5:$R43,"HOJE")+COUNTIF($R$5:$R43,"Definir data"),""))</f>
        <v/>
      </c>
      <c r="T43" s="18">
        <f>IF($C43="","",IF(OR($B43="",$E43="",$F43="",$G43=""),"Preencher entrada/origem/vendedor/etapa",IF(AND(OR($P43="Ganho",$P43="Perdido"),$K43=""),"Falta data de fechamento",IF(AND($P43="Perdido",$L43=""),"Informe o motivo da perda","OK"))))</f>
        <v/>
      </c>
    </row>
    <row r="44" spans="1:20">
      <c r="A44" s="18">
        <f>IF($C44="","",ROW()-4)</f>
        <v/>
      </c>
      <c r="B44" s="19"/>
      <c r="C44" s="13"/>
      <c r="D44" s="13"/>
      <c r="E44" s="13"/>
      <c r="F44" s="13"/>
      <c r="G44" s="13"/>
      <c r="H44" s="15"/>
      <c r="I44" s="19"/>
      <c r="J44" s="19"/>
      <c r="K44" s="19"/>
      <c r="L44" s="13"/>
      <c r="M44" s="13"/>
      <c r="N44" s="20">
        <f>IF($C44="","",IFERROR(INDEX(EtapaProb,MATCH($G44,Etapas,0)),0))</f>
        <v/>
      </c>
      <c r="O44" s="21">
        <f>IF($C44="","",IF($P44="Aberto",N($H44)*$N44,0))</f>
        <v/>
      </c>
      <c r="P44" s="18">
        <f>IF($C44="","",IF($G44="Ganho","Ganho",IF($G44="Perdido","Perdido","Aberto")))</f>
        <v/>
      </c>
      <c r="Q44" s="18">
        <f>IF(OR($C44="",$P44&lt;&gt;"Aberto"),"",IF($I44="",Hoje-$B44,Hoje-$I44))</f>
        <v/>
      </c>
      <c r="R44" s="22">
        <f>IF(OR($C44="",$P44&lt;&gt;"Aberto"),"",IF($J44="",IF($Q44&gt;DiasSC,"ATRASADO","Definir data"),IF($J44&lt;Hoje,"ATRASADO",IF($J44=Hoje,"HOJE","Em dia"))))</f>
        <v/>
      </c>
      <c r="S44" s="23">
        <f>IF($R44="","",IF(OR($R44="ATRASADO",$R44="HOJE",$R44="Definir data"),COUNTIF($R$5:$R44,"ATRASADO")+COUNTIF($R$5:$R44,"HOJE")+COUNTIF($R$5:$R44,"Definir data"),""))</f>
        <v/>
      </c>
      <c r="T44" s="18">
        <f>IF($C44="","",IF(OR($B44="",$E44="",$F44="",$G44=""),"Preencher entrada/origem/vendedor/etapa",IF(AND(OR($P44="Ganho",$P44="Perdido"),$K44=""),"Falta data de fechamento",IF(AND($P44="Perdido",$L44=""),"Informe o motivo da perda","OK"))))</f>
        <v/>
      </c>
    </row>
    <row r="45" spans="1:20">
      <c r="A45" s="18">
        <f>IF($C45="","",ROW()-4)</f>
        <v/>
      </c>
      <c r="B45" s="19"/>
      <c r="C45" s="13"/>
      <c r="D45" s="13"/>
      <c r="E45" s="13"/>
      <c r="F45" s="13"/>
      <c r="G45" s="13"/>
      <c r="H45" s="15"/>
      <c r="I45" s="19"/>
      <c r="J45" s="19"/>
      <c r="K45" s="19"/>
      <c r="L45" s="13"/>
      <c r="M45" s="13"/>
      <c r="N45" s="20">
        <f>IF($C45="","",IFERROR(INDEX(EtapaProb,MATCH($G45,Etapas,0)),0))</f>
        <v/>
      </c>
      <c r="O45" s="21">
        <f>IF($C45="","",IF($P45="Aberto",N($H45)*$N45,0))</f>
        <v/>
      </c>
      <c r="P45" s="18">
        <f>IF($C45="","",IF($G45="Ganho","Ganho",IF($G45="Perdido","Perdido","Aberto")))</f>
        <v/>
      </c>
      <c r="Q45" s="18">
        <f>IF(OR($C45="",$P45&lt;&gt;"Aberto"),"",IF($I45="",Hoje-$B45,Hoje-$I45))</f>
        <v/>
      </c>
      <c r="R45" s="22">
        <f>IF(OR($C45="",$P45&lt;&gt;"Aberto"),"",IF($J45="",IF($Q45&gt;DiasSC,"ATRASADO","Definir data"),IF($J45&lt;Hoje,"ATRASADO",IF($J45=Hoje,"HOJE","Em dia"))))</f>
        <v/>
      </c>
      <c r="S45" s="23">
        <f>IF($R45="","",IF(OR($R45="ATRASADO",$R45="HOJE",$R45="Definir data"),COUNTIF($R$5:$R45,"ATRASADO")+COUNTIF($R$5:$R45,"HOJE")+COUNTIF($R$5:$R45,"Definir data"),""))</f>
        <v/>
      </c>
      <c r="T45" s="18">
        <f>IF($C45="","",IF(OR($B45="",$E45="",$F45="",$G45=""),"Preencher entrada/origem/vendedor/etapa",IF(AND(OR($P45="Ganho",$P45="Perdido"),$K45=""),"Falta data de fechamento",IF(AND($P45="Perdido",$L45=""),"Informe o motivo da perda","OK"))))</f>
        <v/>
      </c>
    </row>
    <row r="46" spans="1:20">
      <c r="A46" s="18">
        <f>IF($C46="","",ROW()-4)</f>
        <v/>
      </c>
      <c r="B46" s="19"/>
      <c r="C46" s="13"/>
      <c r="D46" s="13"/>
      <c r="E46" s="13"/>
      <c r="F46" s="13"/>
      <c r="G46" s="13"/>
      <c r="H46" s="15"/>
      <c r="I46" s="19"/>
      <c r="J46" s="19"/>
      <c r="K46" s="19"/>
      <c r="L46" s="13"/>
      <c r="M46" s="13"/>
      <c r="N46" s="20">
        <f>IF($C46="","",IFERROR(INDEX(EtapaProb,MATCH($G46,Etapas,0)),0))</f>
        <v/>
      </c>
      <c r="O46" s="21">
        <f>IF($C46="","",IF($P46="Aberto",N($H46)*$N46,0))</f>
        <v/>
      </c>
      <c r="P46" s="18">
        <f>IF($C46="","",IF($G46="Ganho","Ganho",IF($G46="Perdido","Perdido","Aberto")))</f>
        <v/>
      </c>
      <c r="Q46" s="18">
        <f>IF(OR($C46="",$P46&lt;&gt;"Aberto"),"",IF($I46="",Hoje-$B46,Hoje-$I46))</f>
        <v/>
      </c>
      <c r="R46" s="22">
        <f>IF(OR($C46="",$P46&lt;&gt;"Aberto"),"",IF($J46="",IF($Q46&gt;DiasSC,"ATRASADO","Definir data"),IF($J46&lt;Hoje,"ATRASADO",IF($J46=Hoje,"HOJE","Em dia"))))</f>
        <v/>
      </c>
      <c r="S46" s="23">
        <f>IF($R46="","",IF(OR($R46="ATRASADO",$R46="HOJE",$R46="Definir data"),COUNTIF($R$5:$R46,"ATRASADO")+COUNTIF($R$5:$R46,"HOJE")+COUNTIF($R$5:$R46,"Definir data"),""))</f>
        <v/>
      </c>
      <c r="T46" s="18">
        <f>IF($C46="","",IF(OR($B46="",$E46="",$F46="",$G46=""),"Preencher entrada/origem/vendedor/etapa",IF(AND(OR($P46="Ganho",$P46="Perdido"),$K46=""),"Falta data de fechamento",IF(AND($P46="Perdido",$L46=""),"Informe o motivo da perda","OK"))))</f>
        <v/>
      </c>
    </row>
    <row r="47" spans="1:20">
      <c r="A47" s="18">
        <f>IF($C47="","",ROW()-4)</f>
        <v/>
      </c>
      <c r="B47" s="19"/>
      <c r="C47" s="13"/>
      <c r="D47" s="13"/>
      <c r="E47" s="13"/>
      <c r="F47" s="13"/>
      <c r="G47" s="13"/>
      <c r="H47" s="15"/>
      <c r="I47" s="19"/>
      <c r="J47" s="19"/>
      <c r="K47" s="19"/>
      <c r="L47" s="13"/>
      <c r="M47" s="13"/>
      <c r="N47" s="20">
        <f>IF($C47="","",IFERROR(INDEX(EtapaProb,MATCH($G47,Etapas,0)),0))</f>
        <v/>
      </c>
      <c r="O47" s="21">
        <f>IF($C47="","",IF($P47="Aberto",N($H47)*$N47,0))</f>
        <v/>
      </c>
      <c r="P47" s="18">
        <f>IF($C47="","",IF($G47="Ganho","Ganho",IF($G47="Perdido","Perdido","Aberto")))</f>
        <v/>
      </c>
      <c r="Q47" s="18">
        <f>IF(OR($C47="",$P47&lt;&gt;"Aberto"),"",IF($I47="",Hoje-$B47,Hoje-$I47))</f>
        <v/>
      </c>
      <c r="R47" s="22">
        <f>IF(OR($C47="",$P47&lt;&gt;"Aberto"),"",IF($J47="",IF($Q47&gt;DiasSC,"ATRASADO","Definir data"),IF($J47&lt;Hoje,"ATRASADO",IF($J47=Hoje,"HOJE","Em dia"))))</f>
        <v/>
      </c>
      <c r="S47" s="23">
        <f>IF($R47="","",IF(OR($R47="ATRASADO",$R47="HOJE",$R47="Definir data"),COUNTIF($R$5:$R47,"ATRASADO")+COUNTIF($R$5:$R47,"HOJE")+COUNTIF($R$5:$R47,"Definir data"),""))</f>
        <v/>
      </c>
      <c r="T47" s="18">
        <f>IF($C47="","",IF(OR($B47="",$E47="",$F47="",$G47=""),"Preencher entrada/origem/vendedor/etapa",IF(AND(OR($P47="Ganho",$P47="Perdido"),$K47=""),"Falta data de fechamento",IF(AND($P47="Perdido",$L47=""),"Informe o motivo da perda","OK"))))</f>
        <v/>
      </c>
    </row>
    <row r="48" spans="1:20">
      <c r="A48" s="18">
        <f>IF($C48="","",ROW()-4)</f>
        <v/>
      </c>
      <c r="B48" s="19"/>
      <c r="C48" s="13"/>
      <c r="D48" s="13"/>
      <c r="E48" s="13"/>
      <c r="F48" s="13"/>
      <c r="G48" s="13"/>
      <c r="H48" s="15"/>
      <c r="I48" s="19"/>
      <c r="J48" s="19"/>
      <c r="K48" s="19"/>
      <c r="L48" s="13"/>
      <c r="M48" s="13"/>
      <c r="N48" s="20">
        <f>IF($C48="","",IFERROR(INDEX(EtapaProb,MATCH($G48,Etapas,0)),0))</f>
        <v/>
      </c>
      <c r="O48" s="21">
        <f>IF($C48="","",IF($P48="Aberto",N($H48)*$N48,0))</f>
        <v/>
      </c>
      <c r="P48" s="18">
        <f>IF($C48="","",IF($G48="Ganho","Ganho",IF($G48="Perdido","Perdido","Aberto")))</f>
        <v/>
      </c>
      <c r="Q48" s="18">
        <f>IF(OR($C48="",$P48&lt;&gt;"Aberto"),"",IF($I48="",Hoje-$B48,Hoje-$I48))</f>
        <v/>
      </c>
      <c r="R48" s="22">
        <f>IF(OR($C48="",$P48&lt;&gt;"Aberto"),"",IF($J48="",IF($Q48&gt;DiasSC,"ATRASADO","Definir data"),IF($J48&lt;Hoje,"ATRASADO",IF($J48=Hoje,"HOJE","Em dia"))))</f>
        <v/>
      </c>
      <c r="S48" s="23">
        <f>IF($R48="","",IF(OR($R48="ATRASADO",$R48="HOJE",$R48="Definir data"),COUNTIF($R$5:$R48,"ATRASADO")+COUNTIF($R$5:$R48,"HOJE")+COUNTIF($R$5:$R48,"Definir data"),""))</f>
        <v/>
      </c>
      <c r="T48" s="18">
        <f>IF($C48="","",IF(OR($B48="",$E48="",$F48="",$G48=""),"Preencher entrada/origem/vendedor/etapa",IF(AND(OR($P48="Ganho",$P48="Perdido"),$K48=""),"Falta data de fechamento",IF(AND($P48="Perdido",$L48=""),"Informe o motivo da perda","OK"))))</f>
        <v/>
      </c>
    </row>
    <row r="49" spans="1:20">
      <c r="A49" s="18">
        <f>IF($C49="","",ROW()-4)</f>
        <v/>
      </c>
      <c r="B49" s="19"/>
      <c r="C49" s="13"/>
      <c r="D49" s="13"/>
      <c r="E49" s="13"/>
      <c r="F49" s="13"/>
      <c r="G49" s="13"/>
      <c r="H49" s="15"/>
      <c r="I49" s="19"/>
      <c r="J49" s="19"/>
      <c r="K49" s="19"/>
      <c r="L49" s="13"/>
      <c r="M49" s="13"/>
      <c r="N49" s="20">
        <f>IF($C49="","",IFERROR(INDEX(EtapaProb,MATCH($G49,Etapas,0)),0))</f>
        <v/>
      </c>
      <c r="O49" s="21">
        <f>IF($C49="","",IF($P49="Aberto",N($H49)*$N49,0))</f>
        <v/>
      </c>
      <c r="P49" s="18">
        <f>IF($C49="","",IF($G49="Ganho","Ganho",IF($G49="Perdido","Perdido","Aberto")))</f>
        <v/>
      </c>
      <c r="Q49" s="18">
        <f>IF(OR($C49="",$P49&lt;&gt;"Aberto"),"",IF($I49="",Hoje-$B49,Hoje-$I49))</f>
        <v/>
      </c>
      <c r="R49" s="22">
        <f>IF(OR($C49="",$P49&lt;&gt;"Aberto"),"",IF($J49="",IF($Q49&gt;DiasSC,"ATRASADO","Definir data"),IF($J49&lt;Hoje,"ATRASADO",IF($J49=Hoje,"HOJE","Em dia"))))</f>
        <v/>
      </c>
      <c r="S49" s="23">
        <f>IF($R49="","",IF(OR($R49="ATRASADO",$R49="HOJE",$R49="Definir data"),COUNTIF($R$5:$R49,"ATRASADO")+COUNTIF($R$5:$R49,"HOJE")+COUNTIF($R$5:$R49,"Definir data"),""))</f>
        <v/>
      </c>
      <c r="T49" s="18">
        <f>IF($C49="","",IF(OR($B49="",$E49="",$F49="",$G49=""),"Preencher entrada/origem/vendedor/etapa",IF(AND(OR($P49="Ganho",$P49="Perdido"),$K49=""),"Falta data de fechamento",IF(AND($P49="Perdido",$L49=""),"Informe o motivo da perda","OK"))))</f>
        <v/>
      </c>
    </row>
    <row r="50" spans="1:20">
      <c r="A50" s="18">
        <f>IF($C50="","",ROW()-4)</f>
        <v/>
      </c>
      <c r="B50" s="19"/>
      <c r="C50" s="13"/>
      <c r="D50" s="13"/>
      <c r="E50" s="13"/>
      <c r="F50" s="13"/>
      <c r="G50" s="13"/>
      <c r="H50" s="15"/>
      <c r="I50" s="19"/>
      <c r="J50" s="19"/>
      <c r="K50" s="19"/>
      <c r="L50" s="13"/>
      <c r="M50" s="13"/>
      <c r="N50" s="20">
        <f>IF($C50="","",IFERROR(INDEX(EtapaProb,MATCH($G50,Etapas,0)),0))</f>
        <v/>
      </c>
      <c r="O50" s="21">
        <f>IF($C50="","",IF($P50="Aberto",N($H50)*$N50,0))</f>
        <v/>
      </c>
      <c r="P50" s="18">
        <f>IF($C50="","",IF($G50="Ganho","Ganho",IF($G50="Perdido","Perdido","Aberto")))</f>
        <v/>
      </c>
      <c r="Q50" s="18">
        <f>IF(OR($C50="",$P50&lt;&gt;"Aberto"),"",IF($I50="",Hoje-$B50,Hoje-$I50))</f>
        <v/>
      </c>
      <c r="R50" s="22">
        <f>IF(OR($C50="",$P50&lt;&gt;"Aberto"),"",IF($J50="",IF($Q50&gt;DiasSC,"ATRASADO","Definir data"),IF($J50&lt;Hoje,"ATRASADO",IF($J50=Hoje,"HOJE","Em dia"))))</f>
        <v/>
      </c>
      <c r="S50" s="23">
        <f>IF($R50="","",IF(OR($R50="ATRASADO",$R50="HOJE",$R50="Definir data"),COUNTIF($R$5:$R50,"ATRASADO")+COUNTIF($R$5:$R50,"HOJE")+COUNTIF($R$5:$R50,"Definir data"),""))</f>
        <v/>
      </c>
      <c r="T50" s="18">
        <f>IF($C50="","",IF(OR($B50="",$E50="",$F50="",$G50=""),"Preencher entrada/origem/vendedor/etapa",IF(AND(OR($P50="Ganho",$P50="Perdido"),$K50=""),"Falta data de fechamento",IF(AND($P50="Perdido",$L50=""),"Informe o motivo da perda","OK"))))</f>
        <v/>
      </c>
    </row>
    <row r="51" spans="1:20">
      <c r="A51" s="18">
        <f>IF($C51="","",ROW()-4)</f>
        <v/>
      </c>
      <c r="B51" s="19"/>
      <c r="C51" s="13"/>
      <c r="D51" s="13"/>
      <c r="E51" s="13"/>
      <c r="F51" s="13"/>
      <c r="G51" s="13"/>
      <c r="H51" s="15"/>
      <c r="I51" s="19"/>
      <c r="J51" s="19"/>
      <c r="K51" s="19"/>
      <c r="L51" s="13"/>
      <c r="M51" s="13"/>
      <c r="N51" s="20">
        <f>IF($C51="","",IFERROR(INDEX(EtapaProb,MATCH($G51,Etapas,0)),0))</f>
        <v/>
      </c>
      <c r="O51" s="21">
        <f>IF($C51="","",IF($P51="Aberto",N($H51)*$N51,0))</f>
        <v/>
      </c>
      <c r="P51" s="18">
        <f>IF($C51="","",IF($G51="Ganho","Ganho",IF($G51="Perdido","Perdido","Aberto")))</f>
        <v/>
      </c>
      <c r="Q51" s="18">
        <f>IF(OR($C51="",$P51&lt;&gt;"Aberto"),"",IF($I51="",Hoje-$B51,Hoje-$I51))</f>
        <v/>
      </c>
      <c r="R51" s="22">
        <f>IF(OR($C51="",$P51&lt;&gt;"Aberto"),"",IF($J51="",IF($Q51&gt;DiasSC,"ATRASADO","Definir data"),IF($J51&lt;Hoje,"ATRASADO",IF($J51=Hoje,"HOJE","Em dia"))))</f>
        <v/>
      </c>
      <c r="S51" s="23">
        <f>IF($R51="","",IF(OR($R51="ATRASADO",$R51="HOJE",$R51="Definir data"),COUNTIF($R$5:$R51,"ATRASADO")+COUNTIF($R$5:$R51,"HOJE")+COUNTIF($R$5:$R51,"Definir data"),""))</f>
        <v/>
      </c>
      <c r="T51" s="18">
        <f>IF($C51="","",IF(OR($B51="",$E51="",$F51="",$G51=""),"Preencher entrada/origem/vendedor/etapa",IF(AND(OR($P51="Ganho",$P51="Perdido"),$K51=""),"Falta data de fechamento",IF(AND($P51="Perdido",$L51=""),"Informe o motivo da perda","OK"))))</f>
        <v/>
      </c>
    </row>
    <row r="52" spans="1:20">
      <c r="A52" s="18">
        <f>IF($C52="","",ROW()-4)</f>
        <v/>
      </c>
      <c r="B52" s="19"/>
      <c r="C52" s="13"/>
      <c r="D52" s="13"/>
      <c r="E52" s="13"/>
      <c r="F52" s="13"/>
      <c r="G52" s="13"/>
      <c r="H52" s="15"/>
      <c r="I52" s="19"/>
      <c r="J52" s="19"/>
      <c r="K52" s="19"/>
      <c r="L52" s="13"/>
      <c r="M52" s="13"/>
      <c r="N52" s="20">
        <f>IF($C52="","",IFERROR(INDEX(EtapaProb,MATCH($G52,Etapas,0)),0))</f>
        <v/>
      </c>
      <c r="O52" s="21">
        <f>IF($C52="","",IF($P52="Aberto",N($H52)*$N52,0))</f>
        <v/>
      </c>
      <c r="P52" s="18">
        <f>IF($C52="","",IF($G52="Ganho","Ganho",IF($G52="Perdido","Perdido","Aberto")))</f>
        <v/>
      </c>
      <c r="Q52" s="18">
        <f>IF(OR($C52="",$P52&lt;&gt;"Aberto"),"",IF($I52="",Hoje-$B52,Hoje-$I52))</f>
        <v/>
      </c>
      <c r="R52" s="22">
        <f>IF(OR($C52="",$P52&lt;&gt;"Aberto"),"",IF($J52="",IF($Q52&gt;DiasSC,"ATRASADO","Definir data"),IF($J52&lt;Hoje,"ATRASADO",IF($J52=Hoje,"HOJE","Em dia"))))</f>
        <v/>
      </c>
      <c r="S52" s="23">
        <f>IF($R52="","",IF(OR($R52="ATRASADO",$R52="HOJE",$R52="Definir data"),COUNTIF($R$5:$R52,"ATRASADO")+COUNTIF($R$5:$R52,"HOJE")+COUNTIF($R$5:$R52,"Definir data"),""))</f>
        <v/>
      </c>
      <c r="T52" s="18">
        <f>IF($C52="","",IF(OR($B52="",$E52="",$F52="",$G52=""),"Preencher entrada/origem/vendedor/etapa",IF(AND(OR($P52="Ganho",$P52="Perdido"),$K52=""),"Falta data de fechamento",IF(AND($P52="Perdido",$L52=""),"Informe o motivo da perda","OK"))))</f>
        <v/>
      </c>
    </row>
    <row r="53" spans="1:20">
      <c r="A53" s="18">
        <f>IF($C53="","",ROW()-4)</f>
        <v/>
      </c>
      <c r="B53" s="19"/>
      <c r="C53" s="13"/>
      <c r="D53" s="13"/>
      <c r="E53" s="13"/>
      <c r="F53" s="13"/>
      <c r="G53" s="13"/>
      <c r="H53" s="15"/>
      <c r="I53" s="19"/>
      <c r="J53" s="19"/>
      <c r="K53" s="19"/>
      <c r="L53" s="13"/>
      <c r="M53" s="13"/>
      <c r="N53" s="20">
        <f>IF($C53="","",IFERROR(INDEX(EtapaProb,MATCH($G53,Etapas,0)),0))</f>
        <v/>
      </c>
      <c r="O53" s="21">
        <f>IF($C53="","",IF($P53="Aberto",N($H53)*$N53,0))</f>
        <v/>
      </c>
      <c r="P53" s="18">
        <f>IF($C53="","",IF($G53="Ganho","Ganho",IF($G53="Perdido","Perdido","Aberto")))</f>
        <v/>
      </c>
      <c r="Q53" s="18">
        <f>IF(OR($C53="",$P53&lt;&gt;"Aberto"),"",IF($I53="",Hoje-$B53,Hoje-$I53))</f>
        <v/>
      </c>
      <c r="R53" s="22">
        <f>IF(OR($C53="",$P53&lt;&gt;"Aberto"),"",IF($J53="",IF($Q53&gt;DiasSC,"ATRASADO","Definir data"),IF($J53&lt;Hoje,"ATRASADO",IF($J53=Hoje,"HOJE","Em dia"))))</f>
        <v/>
      </c>
      <c r="S53" s="23">
        <f>IF($R53="","",IF(OR($R53="ATRASADO",$R53="HOJE",$R53="Definir data"),COUNTIF($R$5:$R53,"ATRASADO")+COUNTIF($R$5:$R53,"HOJE")+COUNTIF($R$5:$R53,"Definir data"),""))</f>
        <v/>
      </c>
      <c r="T53" s="18">
        <f>IF($C53="","",IF(OR($B53="",$E53="",$F53="",$G53=""),"Preencher entrada/origem/vendedor/etapa",IF(AND(OR($P53="Ganho",$P53="Perdido"),$K53=""),"Falta data de fechamento",IF(AND($P53="Perdido",$L53=""),"Informe o motivo da perda","OK"))))</f>
        <v/>
      </c>
    </row>
    <row r="54" spans="1:20">
      <c r="A54" s="18">
        <f>IF($C54="","",ROW()-4)</f>
        <v/>
      </c>
      <c r="B54" s="19"/>
      <c r="C54" s="13"/>
      <c r="D54" s="13"/>
      <c r="E54" s="13"/>
      <c r="F54" s="13"/>
      <c r="G54" s="13"/>
      <c r="H54" s="15"/>
      <c r="I54" s="19"/>
      <c r="J54" s="19"/>
      <c r="K54" s="19"/>
      <c r="L54" s="13"/>
      <c r="M54" s="13"/>
      <c r="N54" s="20">
        <f>IF($C54="","",IFERROR(INDEX(EtapaProb,MATCH($G54,Etapas,0)),0))</f>
        <v/>
      </c>
      <c r="O54" s="21">
        <f>IF($C54="","",IF($P54="Aberto",N($H54)*$N54,0))</f>
        <v/>
      </c>
      <c r="P54" s="18">
        <f>IF($C54="","",IF($G54="Ganho","Ganho",IF($G54="Perdido","Perdido","Aberto")))</f>
        <v/>
      </c>
      <c r="Q54" s="18">
        <f>IF(OR($C54="",$P54&lt;&gt;"Aberto"),"",IF($I54="",Hoje-$B54,Hoje-$I54))</f>
        <v/>
      </c>
      <c r="R54" s="22">
        <f>IF(OR($C54="",$P54&lt;&gt;"Aberto"),"",IF($J54="",IF($Q54&gt;DiasSC,"ATRASADO","Definir data"),IF($J54&lt;Hoje,"ATRASADO",IF($J54=Hoje,"HOJE","Em dia"))))</f>
        <v/>
      </c>
      <c r="S54" s="23">
        <f>IF($R54="","",IF(OR($R54="ATRASADO",$R54="HOJE",$R54="Definir data"),COUNTIF($R$5:$R54,"ATRASADO")+COUNTIF($R$5:$R54,"HOJE")+COUNTIF($R$5:$R54,"Definir data"),""))</f>
        <v/>
      </c>
      <c r="T54" s="18">
        <f>IF($C54="","",IF(OR($B54="",$E54="",$F54="",$G54=""),"Preencher entrada/origem/vendedor/etapa",IF(AND(OR($P54="Ganho",$P54="Perdido"),$K54=""),"Falta data de fechamento",IF(AND($P54="Perdido",$L54=""),"Informe o motivo da perda","OK"))))</f>
        <v/>
      </c>
    </row>
    <row r="55" spans="1:20">
      <c r="A55" s="18">
        <f>IF($C55="","",ROW()-4)</f>
        <v/>
      </c>
      <c r="B55" s="19"/>
      <c r="C55" s="13"/>
      <c r="D55" s="13"/>
      <c r="E55" s="13"/>
      <c r="F55" s="13"/>
      <c r="G55" s="13"/>
      <c r="H55" s="15"/>
      <c r="I55" s="19"/>
      <c r="J55" s="19"/>
      <c r="K55" s="19"/>
      <c r="L55" s="13"/>
      <c r="M55" s="13"/>
      <c r="N55" s="20">
        <f>IF($C55="","",IFERROR(INDEX(EtapaProb,MATCH($G55,Etapas,0)),0))</f>
        <v/>
      </c>
      <c r="O55" s="21">
        <f>IF($C55="","",IF($P55="Aberto",N($H55)*$N55,0))</f>
        <v/>
      </c>
      <c r="P55" s="18">
        <f>IF($C55="","",IF($G55="Ganho","Ganho",IF($G55="Perdido","Perdido","Aberto")))</f>
        <v/>
      </c>
      <c r="Q55" s="18">
        <f>IF(OR($C55="",$P55&lt;&gt;"Aberto"),"",IF($I55="",Hoje-$B55,Hoje-$I55))</f>
        <v/>
      </c>
      <c r="R55" s="22">
        <f>IF(OR($C55="",$P55&lt;&gt;"Aberto"),"",IF($J55="",IF($Q55&gt;DiasSC,"ATRASADO","Definir data"),IF($J55&lt;Hoje,"ATRASADO",IF($J55=Hoje,"HOJE","Em dia"))))</f>
        <v/>
      </c>
      <c r="S55" s="23">
        <f>IF($R55="","",IF(OR($R55="ATRASADO",$R55="HOJE",$R55="Definir data"),COUNTIF($R$5:$R55,"ATRASADO")+COUNTIF($R$5:$R55,"HOJE")+COUNTIF($R$5:$R55,"Definir data"),""))</f>
        <v/>
      </c>
      <c r="T55" s="18">
        <f>IF($C55="","",IF(OR($B55="",$E55="",$F55="",$G55=""),"Preencher entrada/origem/vendedor/etapa",IF(AND(OR($P55="Ganho",$P55="Perdido"),$K55=""),"Falta data de fechamento",IF(AND($P55="Perdido",$L55=""),"Informe o motivo da perda","OK"))))</f>
        <v/>
      </c>
    </row>
    <row r="56" spans="1:20">
      <c r="A56" s="18">
        <f>IF($C56="","",ROW()-4)</f>
        <v/>
      </c>
      <c r="B56" s="19"/>
      <c r="C56" s="13"/>
      <c r="D56" s="13"/>
      <c r="E56" s="13"/>
      <c r="F56" s="13"/>
      <c r="G56" s="13"/>
      <c r="H56" s="15"/>
      <c r="I56" s="19"/>
      <c r="J56" s="19"/>
      <c r="K56" s="19"/>
      <c r="L56" s="13"/>
      <c r="M56" s="13"/>
      <c r="N56" s="20">
        <f>IF($C56="","",IFERROR(INDEX(EtapaProb,MATCH($G56,Etapas,0)),0))</f>
        <v/>
      </c>
      <c r="O56" s="21">
        <f>IF($C56="","",IF($P56="Aberto",N($H56)*$N56,0))</f>
        <v/>
      </c>
      <c r="P56" s="18">
        <f>IF($C56="","",IF($G56="Ganho","Ganho",IF($G56="Perdido","Perdido","Aberto")))</f>
        <v/>
      </c>
      <c r="Q56" s="18">
        <f>IF(OR($C56="",$P56&lt;&gt;"Aberto"),"",IF($I56="",Hoje-$B56,Hoje-$I56))</f>
        <v/>
      </c>
      <c r="R56" s="22">
        <f>IF(OR($C56="",$P56&lt;&gt;"Aberto"),"",IF($J56="",IF($Q56&gt;DiasSC,"ATRASADO","Definir data"),IF($J56&lt;Hoje,"ATRASADO",IF($J56=Hoje,"HOJE","Em dia"))))</f>
        <v/>
      </c>
      <c r="S56" s="23">
        <f>IF($R56="","",IF(OR($R56="ATRASADO",$R56="HOJE",$R56="Definir data"),COUNTIF($R$5:$R56,"ATRASADO")+COUNTIF($R$5:$R56,"HOJE")+COUNTIF($R$5:$R56,"Definir data"),""))</f>
        <v/>
      </c>
      <c r="T56" s="18">
        <f>IF($C56="","",IF(OR($B56="",$E56="",$F56="",$G56=""),"Preencher entrada/origem/vendedor/etapa",IF(AND(OR($P56="Ganho",$P56="Perdido"),$K56=""),"Falta data de fechamento",IF(AND($P56="Perdido",$L56=""),"Informe o motivo da perda","OK"))))</f>
        <v/>
      </c>
    </row>
    <row r="57" spans="1:20">
      <c r="A57" s="18">
        <f>IF($C57="","",ROW()-4)</f>
        <v/>
      </c>
      <c r="B57" s="19"/>
      <c r="C57" s="13"/>
      <c r="D57" s="13"/>
      <c r="E57" s="13"/>
      <c r="F57" s="13"/>
      <c r="G57" s="13"/>
      <c r="H57" s="15"/>
      <c r="I57" s="19"/>
      <c r="J57" s="19"/>
      <c r="K57" s="19"/>
      <c r="L57" s="13"/>
      <c r="M57" s="13"/>
      <c r="N57" s="20">
        <f>IF($C57="","",IFERROR(INDEX(EtapaProb,MATCH($G57,Etapas,0)),0))</f>
        <v/>
      </c>
      <c r="O57" s="21">
        <f>IF($C57="","",IF($P57="Aberto",N($H57)*$N57,0))</f>
        <v/>
      </c>
      <c r="P57" s="18">
        <f>IF($C57="","",IF($G57="Ganho","Ganho",IF($G57="Perdido","Perdido","Aberto")))</f>
        <v/>
      </c>
      <c r="Q57" s="18">
        <f>IF(OR($C57="",$P57&lt;&gt;"Aberto"),"",IF($I57="",Hoje-$B57,Hoje-$I57))</f>
        <v/>
      </c>
      <c r="R57" s="22">
        <f>IF(OR($C57="",$P57&lt;&gt;"Aberto"),"",IF($J57="",IF($Q57&gt;DiasSC,"ATRASADO","Definir data"),IF($J57&lt;Hoje,"ATRASADO",IF($J57=Hoje,"HOJE","Em dia"))))</f>
        <v/>
      </c>
      <c r="S57" s="23">
        <f>IF($R57="","",IF(OR($R57="ATRASADO",$R57="HOJE",$R57="Definir data"),COUNTIF($R$5:$R57,"ATRASADO")+COUNTIF($R$5:$R57,"HOJE")+COUNTIF($R$5:$R57,"Definir data"),""))</f>
        <v/>
      </c>
      <c r="T57" s="18">
        <f>IF($C57="","",IF(OR($B57="",$E57="",$F57="",$G57=""),"Preencher entrada/origem/vendedor/etapa",IF(AND(OR($P57="Ganho",$P57="Perdido"),$K57=""),"Falta data de fechamento",IF(AND($P57="Perdido",$L57=""),"Informe o motivo da perda","OK"))))</f>
        <v/>
      </c>
    </row>
    <row r="58" spans="1:20">
      <c r="A58" s="18">
        <f>IF($C58="","",ROW()-4)</f>
        <v/>
      </c>
      <c r="B58" s="19"/>
      <c r="C58" s="13"/>
      <c r="D58" s="13"/>
      <c r="E58" s="13"/>
      <c r="F58" s="13"/>
      <c r="G58" s="13"/>
      <c r="H58" s="15"/>
      <c r="I58" s="19"/>
      <c r="J58" s="19"/>
      <c r="K58" s="19"/>
      <c r="L58" s="13"/>
      <c r="M58" s="13"/>
      <c r="N58" s="20">
        <f>IF($C58="","",IFERROR(INDEX(EtapaProb,MATCH($G58,Etapas,0)),0))</f>
        <v/>
      </c>
      <c r="O58" s="21">
        <f>IF($C58="","",IF($P58="Aberto",N($H58)*$N58,0))</f>
        <v/>
      </c>
      <c r="P58" s="18">
        <f>IF($C58="","",IF($G58="Ganho","Ganho",IF($G58="Perdido","Perdido","Aberto")))</f>
        <v/>
      </c>
      <c r="Q58" s="18">
        <f>IF(OR($C58="",$P58&lt;&gt;"Aberto"),"",IF($I58="",Hoje-$B58,Hoje-$I58))</f>
        <v/>
      </c>
      <c r="R58" s="22">
        <f>IF(OR($C58="",$P58&lt;&gt;"Aberto"),"",IF($J58="",IF($Q58&gt;DiasSC,"ATRASADO","Definir data"),IF($J58&lt;Hoje,"ATRASADO",IF($J58=Hoje,"HOJE","Em dia"))))</f>
        <v/>
      </c>
      <c r="S58" s="23">
        <f>IF($R58="","",IF(OR($R58="ATRASADO",$R58="HOJE",$R58="Definir data"),COUNTIF($R$5:$R58,"ATRASADO")+COUNTIF($R$5:$R58,"HOJE")+COUNTIF($R$5:$R58,"Definir data"),""))</f>
        <v/>
      </c>
      <c r="T58" s="18">
        <f>IF($C58="","",IF(OR($B58="",$E58="",$F58="",$G58=""),"Preencher entrada/origem/vendedor/etapa",IF(AND(OR($P58="Ganho",$P58="Perdido"),$K58=""),"Falta data de fechamento",IF(AND($P58="Perdido",$L58=""),"Informe o motivo da perda","OK"))))</f>
        <v/>
      </c>
    </row>
    <row r="59" spans="1:20">
      <c r="A59" s="18">
        <f>IF($C59="","",ROW()-4)</f>
        <v/>
      </c>
      <c r="B59" s="19"/>
      <c r="C59" s="13"/>
      <c r="D59" s="13"/>
      <c r="E59" s="13"/>
      <c r="F59" s="13"/>
      <c r="G59" s="13"/>
      <c r="H59" s="15"/>
      <c r="I59" s="19"/>
      <c r="J59" s="19"/>
      <c r="K59" s="19"/>
      <c r="L59" s="13"/>
      <c r="M59" s="13"/>
      <c r="N59" s="20">
        <f>IF($C59="","",IFERROR(INDEX(EtapaProb,MATCH($G59,Etapas,0)),0))</f>
        <v/>
      </c>
      <c r="O59" s="21">
        <f>IF($C59="","",IF($P59="Aberto",N($H59)*$N59,0))</f>
        <v/>
      </c>
      <c r="P59" s="18">
        <f>IF($C59="","",IF($G59="Ganho","Ganho",IF($G59="Perdido","Perdido","Aberto")))</f>
        <v/>
      </c>
      <c r="Q59" s="18">
        <f>IF(OR($C59="",$P59&lt;&gt;"Aberto"),"",IF($I59="",Hoje-$B59,Hoje-$I59))</f>
        <v/>
      </c>
      <c r="R59" s="22">
        <f>IF(OR($C59="",$P59&lt;&gt;"Aberto"),"",IF($J59="",IF($Q59&gt;DiasSC,"ATRASADO","Definir data"),IF($J59&lt;Hoje,"ATRASADO",IF($J59=Hoje,"HOJE","Em dia"))))</f>
        <v/>
      </c>
      <c r="S59" s="23">
        <f>IF($R59="","",IF(OR($R59="ATRASADO",$R59="HOJE",$R59="Definir data"),COUNTIF($R$5:$R59,"ATRASADO")+COUNTIF($R$5:$R59,"HOJE")+COUNTIF($R$5:$R59,"Definir data"),""))</f>
        <v/>
      </c>
      <c r="T59" s="18">
        <f>IF($C59="","",IF(OR($B59="",$E59="",$F59="",$G59=""),"Preencher entrada/origem/vendedor/etapa",IF(AND(OR($P59="Ganho",$P59="Perdido"),$K59=""),"Falta data de fechamento",IF(AND($P59="Perdido",$L59=""),"Informe o motivo da perda","OK"))))</f>
        <v/>
      </c>
    </row>
    <row r="60" spans="1:20">
      <c r="A60" s="18">
        <f>IF($C60="","",ROW()-4)</f>
        <v/>
      </c>
      <c r="B60" s="19"/>
      <c r="C60" s="13"/>
      <c r="D60" s="13"/>
      <c r="E60" s="13"/>
      <c r="F60" s="13"/>
      <c r="G60" s="13"/>
      <c r="H60" s="15"/>
      <c r="I60" s="19"/>
      <c r="J60" s="19"/>
      <c r="K60" s="19"/>
      <c r="L60" s="13"/>
      <c r="M60" s="13"/>
      <c r="N60" s="20">
        <f>IF($C60="","",IFERROR(INDEX(EtapaProb,MATCH($G60,Etapas,0)),0))</f>
        <v/>
      </c>
      <c r="O60" s="21">
        <f>IF($C60="","",IF($P60="Aberto",N($H60)*$N60,0))</f>
        <v/>
      </c>
      <c r="P60" s="18">
        <f>IF($C60="","",IF($G60="Ganho","Ganho",IF($G60="Perdido","Perdido","Aberto")))</f>
        <v/>
      </c>
      <c r="Q60" s="18">
        <f>IF(OR($C60="",$P60&lt;&gt;"Aberto"),"",IF($I60="",Hoje-$B60,Hoje-$I60))</f>
        <v/>
      </c>
      <c r="R60" s="22">
        <f>IF(OR($C60="",$P60&lt;&gt;"Aberto"),"",IF($J60="",IF($Q60&gt;DiasSC,"ATRASADO","Definir data"),IF($J60&lt;Hoje,"ATRASADO",IF($J60=Hoje,"HOJE","Em dia"))))</f>
        <v/>
      </c>
      <c r="S60" s="23">
        <f>IF($R60="","",IF(OR($R60="ATRASADO",$R60="HOJE",$R60="Definir data"),COUNTIF($R$5:$R60,"ATRASADO")+COUNTIF($R$5:$R60,"HOJE")+COUNTIF($R$5:$R60,"Definir data"),""))</f>
        <v/>
      </c>
      <c r="T60" s="18">
        <f>IF($C60="","",IF(OR($B60="",$E60="",$F60="",$G60=""),"Preencher entrada/origem/vendedor/etapa",IF(AND(OR($P60="Ganho",$P60="Perdido"),$K60=""),"Falta data de fechamento",IF(AND($P60="Perdido",$L60=""),"Informe o motivo da perda","OK"))))</f>
        <v/>
      </c>
    </row>
    <row r="61" spans="1:20">
      <c r="A61" s="18">
        <f>IF($C61="","",ROW()-4)</f>
        <v/>
      </c>
      <c r="B61" s="19"/>
      <c r="C61" s="13"/>
      <c r="D61" s="13"/>
      <c r="E61" s="13"/>
      <c r="F61" s="13"/>
      <c r="G61" s="13"/>
      <c r="H61" s="15"/>
      <c r="I61" s="19"/>
      <c r="J61" s="19"/>
      <c r="K61" s="19"/>
      <c r="L61" s="13"/>
      <c r="M61" s="13"/>
      <c r="N61" s="20">
        <f>IF($C61="","",IFERROR(INDEX(EtapaProb,MATCH($G61,Etapas,0)),0))</f>
        <v/>
      </c>
      <c r="O61" s="21">
        <f>IF($C61="","",IF($P61="Aberto",N($H61)*$N61,0))</f>
        <v/>
      </c>
      <c r="P61" s="18">
        <f>IF($C61="","",IF($G61="Ganho","Ganho",IF($G61="Perdido","Perdido","Aberto")))</f>
        <v/>
      </c>
      <c r="Q61" s="18">
        <f>IF(OR($C61="",$P61&lt;&gt;"Aberto"),"",IF($I61="",Hoje-$B61,Hoje-$I61))</f>
        <v/>
      </c>
      <c r="R61" s="22">
        <f>IF(OR($C61="",$P61&lt;&gt;"Aberto"),"",IF($J61="",IF($Q61&gt;DiasSC,"ATRASADO","Definir data"),IF($J61&lt;Hoje,"ATRASADO",IF($J61=Hoje,"HOJE","Em dia"))))</f>
        <v/>
      </c>
      <c r="S61" s="23">
        <f>IF($R61="","",IF(OR($R61="ATRASADO",$R61="HOJE",$R61="Definir data"),COUNTIF($R$5:$R61,"ATRASADO")+COUNTIF($R$5:$R61,"HOJE")+COUNTIF($R$5:$R61,"Definir data"),""))</f>
        <v/>
      </c>
      <c r="T61" s="18">
        <f>IF($C61="","",IF(OR($B61="",$E61="",$F61="",$G61=""),"Preencher entrada/origem/vendedor/etapa",IF(AND(OR($P61="Ganho",$P61="Perdido"),$K61=""),"Falta data de fechamento",IF(AND($P61="Perdido",$L61=""),"Informe o motivo da perda","OK"))))</f>
        <v/>
      </c>
    </row>
    <row r="62" spans="1:20">
      <c r="A62" s="18">
        <f>IF($C62="","",ROW()-4)</f>
        <v/>
      </c>
      <c r="B62" s="19"/>
      <c r="C62" s="13"/>
      <c r="D62" s="13"/>
      <c r="E62" s="13"/>
      <c r="F62" s="13"/>
      <c r="G62" s="13"/>
      <c r="H62" s="15"/>
      <c r="I62" s="19"/>
      <c r="J62" s="19"/>
      <c r="K62" s="19"/>
      <c r="L62" s="13"/>
      <c r="M62" s="13"/>
      <c r="N62" s="20">
        <f>IF($C62="","",IFERROR(INDEX(EtapaProb,MATCH($G62,Etapas,0)),0))</f>
        <v/>
      </c>
      <c r="O62" s="21">
        <f>IF($C62="","",IF($P62="Aberto",N($H62)*$N62,0))</f>
        <v/>
      </c>
      <c r="P62" s="18">
        <f>IF($C62="","",IF($G62="Ganho","Ganho",IF($G62="Perdido","Perdido","Aberto")))</f>
        <v/>
      </c>
      <c r="Q62" s="18">
        <f>IF(OR($C62="",$P62&lt;&gt;"Aberto"),"",IF($I62="",Hoje-$B62,Hoje-$I62))</f>
        <v/>
      </c>
      <c r="R62" s="22">
        <f>IF(OR($C62="",$P62&lt;&gt;"Aberto"),"",IF($J62="",IF($Q62&gt;DiasSC,"ATRASADO","Definir data"),IF($J62&lt;Hoje,"ATRASADO",IF($J62=Hoje,"HOJE","Em dia"))))</f>
        <v/>
      </c>
      <c r="S62" s="23">
        <f>IF($R62="","",IF(OR($R62="ATRASADO",$R62="HOJE",$R62="Definir data"),COUNTIF($R$5:$R62,"ATRASADO")+COUNTIF($R$5:$R62,"HOJE")+COUNTIF($R$5:$R62,"Definir data"),""))</f>
        <v/>
      </c>
      <c r="T62" s="18">
        <f>IF($C62="","",IF(OR($B62="",$E62="",$F62="",$G62=""),"Preencher entrada/origem/vendedor/etapa",IF(AND(OR($P62="Ganho",$P62="Perdido"),$K62=""),"Falta data de fechamento",IF(AND($P62="Perdido",$L62=""),"Informe o motivo da perda","OK"))))</f>
        <v/>
      </c>
    </row>
    <row r="63" spans="1:20">
      <c r="A63" s="18">
        <f>IF($C63="","",ROW()-4)</f>
        <v/>
      </c>
      <c r="B63" s="19"/>
      <c r="C63" s="13"/>
      <c r="D63" s="13"/>
      <c r="E63" s="13"/>
      <c r="F63" s="13"/>
      <c r="G63" s="13"/>
      <c r="H63" s="15"/>
      <c r="I63" s="19"/>
      <c r="J63" s="19"/>
      <c r="K63" s="19"/>
      <c r="L63" s="13"/>
      <c r="M63" s="13"/>
      <c r="N63" s="20">
        <f>IF($C63="","",IFERROR(INDEX(EtapaProb,MATCH($G63,Etapas,0)),0))</f>
        <v/>
      </c>
      <c r="O63" s="21">
        <f>IF($C63="","",IF($P63="Aberto",N($H63)*$N63,0))</f>
        <v/>
      </c>
      <c r="P63" s="18">
        <f>IF($C63="","",IF($G63="Ganho","Ganho",IF($G63="Perdido","Perdido","Aberto")))</f>
        <v/>
      </c>
      <c r="Q63" s="18">
        <f>IF(OR($C63="",$P63&lt;&gt;"Aberto"),"",IF($I63="",Hoje-$B63,Hoje-$I63))</f>
        <v/>
      </c>
      <c r="R63" s="22">
        <f>IF(OR($C63="",$P63&lt;&gt;"Aberto"),"",IF($J63="",IF($Q63&gt;DiasSC,"ATRASADO","Definir data"),IF($J63&lt;Hoje,"ATRASADO",IF($J63=Hoje,"HOJE","Em dia"))))</f>
        <v/>
      </c>
      <c r="S63" s="23">
        <f>IF($R63="","",IF(OR($R63="ATRASADO",$R63="HOJE",$R63="Definir data"),COUNTIF($R$5:$R63,"ATRASADO")+COUNTIF($R$5:$R63,"HOJE")+COUNTIF($R$5:$R63,"Definir data"),""))</f>
        <v/>
      </c>
      <c r="T63" s="18">
        <f>IF($C63="","",IF(OR($B63="",$E63="",$F63="",$G63=""),"Preencher entrada/origem/vendedor/etapa",IF(AND(OR($P63="Ganho",$P63="Perdido"),$K63=""),"Falta data de fechamento",IF(AND($P63="Perdido",$L63=""),"Informe o motivo da perda","OK"))))</f>
        <v/>
      </c>
    </row>
    <row r="64" spans="1:20">
      <c r="A64" s="18">
        <f>IF($C64="","",ROW()-4)</f>
        <v/>
      </c>
      <c r="B64" s="19"/>
      <c r="C64" s="13"/>
      <c r="D64" s="13"/>
      <c r="E64" s="13"/>
      <c r="F64" s="13"/>
      <c r="G64" s="13"/>
      <c r="H64" s="15"/>
      <c r="I64" s="19"/>
      <c r="J64" s="19"/>
      <c r="K64" s="19"/>
      <c r="L64" s="13"/>
      <c r="M64" s="13"/>
      <c r="N64" s="20">
        <f>IF($C64="","",IFERROR(INDEX(EtapaProb,MATCH($G64,Etapas,0)),0))</f>
        <v/>
      </c>
      <c r="O64" s="21">
        <f>IF($C64="","",IF($P64="Aberto",N($H64)*$N64,0))</f>
        <v/>
      </c>
      <c r="P64" s="18">
        <f>IF($C64="","",IF($G64="Ganho","Ganho",IF($G64="Perdido","Perdido","Aberto")))</f>
        <v/>
      </c>
      <c r="Q64" s="18">
        <f>IF(OR($C64="",$P64&lt;&gt;"Aberto"),"",IF($I64="",Hoje-$B64,Hoje-$I64))</f>
        <v/>
      </c>
      <c r="R64" s="22">
        <f>IF(OR($C64="",$P64&lt;&gt;"Aberto"),"",IF($J64="",IF($Q64&gt;DiasSC,"ATRASADO","Definir data"),IF($J64&lt;Hoje,"ATRASADO",IF($J64=Hoje,"HOJE","Em dia"))))</f>
        <v/>
      </c>
      <c r="S64" s="23">
        <f>IF($R64="","",IF(OR($R64="ATRASADO",$R64="HOJE",$R64="Definir data"),COUNTIF($R$5:$R64,"ATRASADO")+COUNTIF($R$5:$R64,"HOJE")+COUNTIF($R$5:$R64,"Definir data"),""))</f>
        <v/>
      </c>
      <c r="T64" s="18">
        <f>IF($C64="","",IF(OR($B64="",$E64="",$F64="",$G64=""),"Preencher entrada/origem/vendedor/etapa",IF(AND(OR($P64="Ganho",$P64="Perdido"),$K64=""),"Falta data de fechamento",IF(AND($P64="Perdido",$L64=""),"Informe o motivo da perda","OK"))))</f>
        <v/>
      </c>
    </row>
    <row r="65" spans="1:20">
      <c r="A65" s="18">
        <f>IF($C65="","",ROW()-4)</f>
        <v/>
      </c>
      <c r="B65" s="19"/>
      <c r="C65" s="13"/>
      <c r="D65" s="13"/>
      <c r="E65" s="13"/>
      <c r="F65" s="13"/>
      <c r="G65" s="13"/>
      <c r="H65" s="15"/>
      <c r="I65" s="19"/>
      <c r="J65" s="19"/>
      <c r="K65" s="19"/>
      <c r="L65" s="13"/>
      <c r="M65" s="13"/>
      <c r="N65" s="20">
        <f>IF($C65="","",IFERROR(INDEX(EtapaProb,MATCH($G65,Etapas,0)),0))</f>
        <v/>
      </c>
      <c r="O65" s="21">
        <f>IF($C65="","",IF($P65="Aberto",N($H65)*$N65,0))</f>
        <v/>
      </c>
      <c r="P65" s="18">
        <f>IF($C65="","",IF($G65="Ganho","Ganho",IF($G65="Perdido","Perdido","Aberto")))</f>
        <v/>
      </c>
      <c r="Q65" s="18">
        <f>IF(OR($C65="",$P65&lt;&gt;"Aberto"),"",IF($I65="",Hoje-$B65,Hoje-$I65))</f>
        <v/>
      </c>
      <c r="R65" s="22">
        <f>IF(OR($C65="",$P65&lt;&gt;"Aberto"),"",IF($J65="",IF($Q65&gt;DiasSC,"ATRASADO","Definir data"),IF($J65&lt;Hoje,"ATRASADO",IF($J65=Hoje,"HOJE","Em dia"))))</f>
        <v/>
      </c>
      <c r="S65" s="23">
        <f>IF($R65="","",IF(OR($R65="ATRASADO",$R65="HOJE",$R65="Definir data"),COUNTIF($R$5:$R65,"ATRASADO")+COUNTIF($R$5:$R65,"HOJE")+COUNTIF($R$5:$R65,"Definir data"),""))</f>
        <v/>
      </c>
      <c r="T65" s="18">
        <f>IF($C65="","",IF(OR($B65="",$E65="",$F65="",$G65=""),"Preencher entrada/origem/vendedor/etapa",IF(AND(OR($P65="Ganho",$P65="Perdido"),$K65=""),"Falta data de fechamento",IF(AND($P65="Perdido",$L65=""),"Informe o motivo da perda","OK"))))</f>
        <v/>
      </c>
    </row>
    <row r="66" spans="1:20">
      <c r="A66" s="18">
        <f>IF($C66="","",ROW()-4)</f>
        <v/>
      </c>
      <c r="B66" s="19"/>
      <c r="C66" s="13"/>
      <c r="D66" s="13"/>
      <c r="E66" s="13"/>
      <c r="F66" s="13"/>
      <c r="G66" s="13"/>
      <c r="H66" s="15"/>
      <c r="I66" s="19"/>
      <c r="J66" s="19"/>
      <c r="K66" s="19"/>
      <c r="L66" s="13"/>
      <c r="M66" s="13"/>
      <c r="N66" s="20">
        <f>IF($C66="","",IFERROR(INDEX(EtapaProb,MATCH($G66,Etapas,0)),0))</f>
        <v/>
      </c>
      <c r="O66" s="21">
        <f>IF($C66="","",IF($P66="Aberto",N($H66)*$N66,0))</f>
        <v/>
      </c>
      <c r="P66" s="18">
        <f>IF($C66="","",IF($G66="Ganho","Ganho",IF($G66="Perdido","Perdido","Aberto")))</f>
        <v/>
      </c>
      <c r="Q66" s="18">
        <f>IF(OR($C66="",$P66&lt;&gt;"Aberto"),"",IF($I66="",Hoje-$B66,Hoje-$I66))</f>
        <v/>
      </c>
      <c r="R66" s="22">
        <f>IF(OR($C66="",$P66&lt;&gt;"Aberto"),"",IF($J66="",IF($Q66&gt;DiasSC,"ATRASADO","Definir data"),IF($J66&lt;Hoje,"ATRASADO",IF($J66=Hoje,"HOJE","Em dia"))))</f>
        <v/>
      </c>
      <c r="S66" s="23">
        <f>IF($R66="","",IF(OR($R66="ATRASADO",$R66="HOJE",$R66="Definir data"),COUNTIF($R$5:$R66,"ATRASADO")+COUNTIF($R$5:$R66,"HOJE")+COUNTIF($R$5:$R66,"Definir data"),""))</f>
        <v/>
      </c>
      <c r="T66" s="18">
        <f>IF($C66="","",IF(OR($B66="",$E66="",$F66="",$G66=""),"Preencher entrada/origem/vendedor/etapa",IF(AND(OR($P66="Ganho",$P66="Perdido"),$K66=""),"Falta data de fechamento",IF(AND($P66="Perdido",$L66=""),"Informe o motivo da perda","OK"))))</f>
        <v/>
      </c>
    </row>
    <row r="67" spans="1:20">
      <c r="A67" s="18">
        <f>IF($C67="","",ROW()-4)</f>
        <v/>
      </c>
      <c r="B67" s="19"/>
      <c r="C67" s="13"/>
      <c r="D67" s="13"/>
      <c r="E67" s="13"/>
      <c r="F67" s="13"/>
      <c r="G67" s="13"/>
      <c r="H67" s="15"/>
      <c r="I67" s="19"/>
      <c r="J67" s="19"/>
      <c r="K67" s="19"/>
      <c r="L67" s="13"/>
      <c r="M67" s="13"/>
      <c r="N67" s="20">
        <f>IF($C67="","",IFERROR(INDEX(EtapaProb,MATCH($G67,Etapas,0)),0))</f>
        <v/>
      </c>
      <c r="O67" s="21">
        <f>IF($C67="","",IF($P67="Aberto",N($H67)*$N67,0))</f>
        <v/>
      </c>
      <c r="P67" s="18">
        <f>IF($C67="","",IF($G67="Ganho","Ganho",IF($G67="Perdido","Perdido","Aberto")))</f>
        <v/>
      </c>
      <c r="Q67" s="18">
        <f>IF(OR($C67="",$P67&lt;&gt;"Aberto"),"",IF($I67="",Hoje-$B67,Hoje-$I67))</f>
        <v/>
      </c>
      <c r="R67" s="22">
        <f>IF(OR($C67="",$P67&lt;&gt;"Aberto"),"",IF($J67="",IF($Q67&gt;DiasSC,"ATRASADO","Definir data"),IF($J67&lt;Hoje,"ATRASADO",IF($J67=Hoje,"HOJE","Em dia"))))</f>
        <v/>
      </c>
      <c r="S67" s="23">
        <f>IF($R67="","",IF(OR($R67="ATRASADO",$R67="HOJE",$R67="Definir data"),COUNTIF($R$5:$R67,"ATRASADO")+COUNTIF($R$5:$R67,"HOJE")+COUNTIF($R$5:$R67,"Definir data"),""))</f>
        <v/>
      </c>
      <c r="T67" s="18">
        <f>IF($C67="","",IF(OR($B67="",$E67="",$F67="",$G67=""),"Preencher entrada/origem/vendedor/etapa",IF(AND(OR($P67="Ganho",$P67="Perdido"),$K67=""),"Falta data de fechamento",IF(AND($P67="Perdido",$L67=""),"Informe o motivo da perda","OK"))))</f>
        <v/>
      </c>
    </row>
    <row r="68" spans="1:20">
      <c r="A68" s="18">
        <f>IF($C68="","",ROW()-4)</f>
        <v/>
      </c>
      <c r="B68" s="19"/>
      <c r="C68" s="13"/>
      <c r="D68" s="13"/>
      <c r="E68" s="13"/>
      <c r="F68" s="13"/>
      <c r="G68" s="13"/>
      <c r="H68" s="15"/>
      <c r="I68" s="19"/>
      <c r="J68" s="19"/>
      <c r="K68" s="19"/>
      <c r="L68" s="13"/>
      <c r="M68" s="13"/>
      <c r="N68" s="20">
        <f>IF($C68="","",IFERROR(INDEX(EtapaProb,MATCH($G68,Etapas,0)),0))</f>
        <v/>
      </c>
      <c r="O68" s="21">
        <f>IF($C68="","",IF($P68="Aberto",N($H68)*$N68,0))</f>
        <v/>
      </c>
      <c r="P68" s="18">
        <f>IF($C68="","",IF($G68="Ganho","Ganho",IF($G68="Perdido","Perdido","Aberto")))</f>
        <v/>
      </c>
      <c r="Q68" s="18">
        <f>IF(OR($C68="",$P68&lt;&gt;"Aberto"),"",IF($I68="",Hoje-$B68,Hoje-$I68))</f>
        <v/>
      </c>
      <c r="R68" s="22">
        <f>IF(OR($C68="",$P68&lt;&gt;"Aberto"),"",IF($J68="",IF($Q68&gt;DiasSC,"ATRASADO","Definir data"),IF($J68&lt;Hoje,"ATRASADO",IF($J68=Hoje,"HOJE","Em dia"))))</f>
        <v/>
      </c>
      <c r="S68" s="23">
        <f>IF($R68="","",IF(OR($R68="ATRASADO",$R68="HOJE",$R68="Definir data"),COUNTIF($R$5:$R68,"ATRASADO")+COUNTIF($R$5:$R68,"HOJE")+COUNTIF($R$5:$R68,"Definir data"),""))</f>
        <v/>
      </c>
      <c r="T68" s="18">
        <f>IF($C68="","",IF(OR($B68="",$E68="",$F68="",$G68=""),"Preencher entrada/origem/vendedor/etapa",IF(AND(OR($P68="Ganho",$P68="Perdido"),$K68=""),"Falta data de fechamento",IF(AND($P68="Perdido",$L68=""),"Informe o motivo da perda","OK"))))</f>
        <v/>
      </c>
    </row>
    <row r="69" spans="1:20">
      <c r="A69" s="18">
        <f>IF($C69="","",ROW()-4)</f>
        <v/>
      </c>
      <c r="B69" s="19"/>
      <c r="C69" s="13"/>
      <c r="D69" s="13"/>
      <c r="E69" s="13"/>
      <c r="F69" s="13"/>
      <c r="G69" s="13"/>
      <c r="H69" s="15"/>
      <c r="I69" s="19"/>
      <c r="J69" s="19"/>
      <c r="K69" s="19"/>
      <c r="L69" s="13"/>
      <c r="M69" s="13"/>
      <c r="N69" s="20">
        <f>IF($C69="","",IFERROR(INDEX(EtapaProb,MATCH($G69,Etapas,0)),0))</f>
        <v/>
      </c>
      <c r="O69" s="21">
        <f>IF($C69="","",IF($P69="Aberto",N($H69)*$N69,0))</f>
        <v/>
      </c>
      <c r="P69" s="18">
        <f>IF($C69="","",IF($G69="Ganho","Ganho",IF($G69="Perdido","Perdido","Aberto")))</f>
        <v/>
      </c>
      <c r="Q69" s="18">
        <f>IF(OR($C69="",$P69&lt;&gt;"Aberto"),"",IF($I69="",Hoje-$B69,Hoje-$I69))</f>
        <v/>
      </c>
      <c r="R69" s="22">
        <f>IF(OR($C69="",$P69&lt;&gt;"Aberto"),"",IF($J69="",IF($Q69&gt;DiasSC,"ATRASADO","Definir data"),IF($J69&lt;Hoje,"ATRASADO",IF($J69=Hoje,"HOJE","Em dia"))))</f>
        <v/>
      </c>
      <c r="S69" s="23">
        <f>IF($R69="","",IF(OR($R69="ATRASADO",$R69="HOJE",$R69="Definir data"),COUNTIF($R$5:$R69,"ATRASADO")+COUNTIF($R$5:$R69,"HOJE")+COUNTIF($R$5:$R69,"Definir data"),""))</f>
        <v/>
      </c>
      <c r="T69" s="18">
        <f>IF($C69="","",IF(OR($B69="",$E69="",$F69="",$G69=""),"Preencher entrada/origem/vendedor/etapa",IF(AND(OR($P69="Ganho",$P69="Perdido"),$K69=""),"Falta data de fechamento",IF(AND($P69="Perdido",$L69=""),"Informe o motivo da perda","OK"))))</f>
        <v/>
      </c>
    </row>
    <row r="70" spans="1:20">
      <c r="A70" s="18">
        <f>IF($C70="","",ROW()-4)</f>
        <v/>
      </c>
      <c r="B70" s="19"/>
      <c r="C70" s="13"/>
      <c r="D70" s="13"/>
      <c r="E70" s="13"/>
      <c r="F70" s="13"/>
      <c r="G70" s="13"/>
      <c r="H70" s="15"/>
      <c r="I70" s="19"/>
      <c r="J70" s="19"/>
      <c r="K70" s="19"/>
      <c r="L70" s="13"/>
      <c r="M70" s="13"/>
      <c r="N70" s="20">
        <f>IF($C70="","",IFERROR(INDEX(EtapaProb,MATCH($G70,Etapas,0)),0))</f>
        <v/>
      </c>
      <c r="O70" s="21">
        <f>IF($C70="","",IF($P70="Aberto",N($H70)*$N70,0))</f>
        <v/>
      </c>
      <c r="P70" s="18">
        <f>IF($C70="","",IF($G70="Ganho","Ganho",IF($G70="Perdido","Perdido","Aberto")))</f>
        <v/>
      </c>
      <c r="Q70" s="18">
        <f>IF(OR($C70="",$P70&lt;&gt;"Aberto"),"",IF($I70="",Hoje-$B70,Hoje-$I70))</f>
        <v/>
      </c>
      <c r="R70" s="22">
        <f>IF(OR($C70="",$P70&lt;&gt;"Aberto"),"",IF($J70="",IF($Q70&gt;DiasSC,"ATRASADO","Definir data"),IF($J70&lt;Hoje,"ATRASADO",IF($J70=Hoje,"HOJE","Em dia"))))</f>
        <v/>
      </c>
      <c r="S70" s="23">
        <f>IF($R70="","",IF(OR($R70="ATRASADO",$R70="HOJE",$R70="Definir data"),COUNTIF($R$5:$R70,"ATRASADO")+COUNTIF($R$5:$R70,"HOJE")+COUNTIF($R$5:$R70,"Definir data"),""))</f>
        <v/>
      </c>
      <c r="T70" s="18">
        <f>IF($C70="","",IF(OR($B70="",$E70="",$F70="",$G70=""),"Preencher entrada/origem/vendedor/etapa",IF(AND(OR($P70="Ganho",$P70="Perdido"),$K70=""),"Falta data de fechamento",IF(AND($P70="Perdido",$L70=""),"Informe o motivo da perda","OK"))))</f>
        <v/>
      </c>
    </row>
    <row r="71" spans="1:20">
      <c r="A71" s="18">
        <f>IF($C71="","",ROW()-4)</f>
        <v/>
      </c>
      <c r="B71" s="19"/>
      <c r="C71" s="13"/>
      <c r="D71" s="13"/>
      <c r="E71" s="13"/>
      <c r="F71" s="13"/>
      <c r="G71" s="13"/>
      <c r="H71" s="15"/>
      <c r="I71" s="19"/>
      <c r="J71" s="19"/>
      <c r="K71" s="19"/>
      <c r="L71" s="13"/>
      <c r="M71" s="13"/>
      <c r="N71" s="20">
        <f>IF($C71="","",IFERROR(INDEX(EtapaProb,MATCH($G71,Etapas,0)),0))</f>
        <v/>
      </c>
      <c r="O71" s="21">
        <f>IF($C71="","",IF($P71="Aberto",N($H71)*$N71,0))</f>
        <v/>
      </c>
      <c r="P71" s="18">
        <f>IF($C71="","",IF($G71="Ganho","Ganho",IF($G71="Perdido","Perdido","Aberto")))</f>
        <v/>
      </c>
      <c r="Q71" s="18">
        <f>IF(OR($C71="",$P71&lt;&gt;"Aberto"),"",IF($I71="",Hoje-$B71,Hoje-$I71))</f>
        <v/>
      </c>
      <c r="R71" s="22">
        <f>IF(OR($C71="",$P71&lt;&gt;"Aberto"),"",IF($J71="",IF($Q71&gt;DiasSC,"ATRASADO","Definir data"),IF($J71&lt;Hoje,"ATRASADO",IF($J71=Hoje,"HOJE","Em dia"))))</f>
        <v/>
      </c>
      <c r="S71" s="23">
        <f>IF($R71="","",IF(OR($R71="ATRASADO",$R71="HOJE",$R71="Definir data"),COUNTIF($R$5:$R71,"ATRASADO")+COUNTIF($R$5:$R71,"HOJE")+COUNTIF($R$5:$R71,"Definir data"),""))</f>
        <v/>
      </c>
      <c r="T71" s="18">
        <f>IF($C71="","",IF(OR($B71="",$E71="",$F71="",$G71=""),"Preencher entrada/origem/vendedor/etapa",IF(AND(OR($P71="Ganho",$P71="Perdido"),$K71=""),"Falta data de fechamento",IF(AND($P71="Perdido",$L71=""),"Informe o motivo da perda","OK"))))</f>
        <v/>
      </c>
    </row>
    <row r="72" spans="1:20">
      <c r="A72" s="18">
        <f>IF($C72="","",ROW()-4)</f>
        <v/>
      </c>
      <c r="B72" s="19"/>
      <c r="C72" s="13"/>
      <c r="D72" s="13"/>
      <c r="E72" s="13"/>
      <c r="F72" s="13"/>
      <c r="G72" s="13"/>
      <c r="H72" s="15"/>
      <c r="I72" s="19"/>
      <c r="J72" s="19"/>
      <c r="K72" s="19"/>
      <c r="L72" s="13"/>
      <c r="M72" s="13"/>
      <c r="N72" s="20">
        <f>IF($C72="","",IFERROR(INDEX(EtapaProb,MATCH($G72,Etapas,0)),0))</f>
        <v/>
      </c>
      <c r="O72" s="21">
        <f>IF($C72="","",IF($P72="Aberto",N($H72)*$N72,0))</f>
        <v/>
      </c>
      <c r="P72" s="18">
        <f>IF($C72="","",IF($G72="Ganho","Ganho",IF($G72="Perdido","Perdido","Aberto")))</f>
        <v/>
      </c>
      <c r="Q72" s="18">
        <f>IF(OR($C72="",$P72&lt;&gt;"Aberto"),"",IF($I72="",Hoje-$B72,Hoje-$I72))</f>
        <v/>
      </c>
      <c r="R72" s="22">
        <f>IF(OR($C72="",$P72&lt;&gt;"Aberto"),"",IF($J72="",IF($Q72&gt;DiasSC,"ATRASADO","Definir data"),IF($J72&lt;Hoje,"ATRASADO",IF($J72=Hoje,"HOJE","Em dia"))))</f>
        <v/>
      </c>
      <c r="S72" s="23">
        <f>IF($R72="","",IF(OR($R72="ATRASADO",$R72="HOJE",$R72="Definir data"),COUNTIF($R$5:$R72,"ATRASADO")+COUNTIF($R$5:$R72,"HOJE")+COUNTIF($R$5:$R72,"Definir data"),""))</f>
        <v/>
      </c>
      <c r="T72" s="18">
        <f>IF($C72="","",IF(OR($B72="",$E72="",$F72="",$G72=""),"Preencher entrada/origem/vendedor/etapa",IF(AND(OR($P72="Ganho",$P72="Perdido"),$K72=""),"Falta data de fechamento",IF(AND($P72="Perdido",$L72=""),"Informe o motivo da perda","OK"))))</f>
        <v/>
      </c>
    </row>
    <row r="73" spans="1:20">
      <c r="A73" s="18">
        <f>IF($C73="","",ROW()-4)</f>
        <v/>
      </c>
      <c r="B73" s="19"/>
      <c r="C73" s="13"/>
      <c r="D73" s="13"/>
      <c r="E73" s="13"/>
      <c r="F73" s="13"/>
      <c r="G73" s="13"/>
      <c r="H73" s="15"/>
      <c r="I73" s="19"/>
      <c r="J73" s="19"/>
      <c r="K73" s="19"/>
      <c r="L73" s="13"/>
      <c r="M73" s="13"/>
      <c r="N73" s="20">
        <f>IF($C73="","",IFERROR(INDEX(EtapaProb,MATCH($G73,Etapas,0)),0))</f>
        <v/>
      </c>
      <c r="O73" s="21">
        <f>IF($C73="","",IF($P73="Aberto",N($H73)*$N73,0))</f>
        <v/>
      </c>
      <c r="P73" s="18">
        <f>IF($C73="","",IF($G73="Ganho","Ganho",IF($G73="Perdido","Perdido","Aberto")))</f>
        <v/>
      </c>
      <c r="Q73" s="18">
        <f>IF(OR($C73="",$P73&lt;&gt;"Aberto"),"",IF($I73="",Hoje-$B73,Hoje-$I73))</f>
        <v/>
      </c>
      <c r="R73" s="22">
        <f>IF(OR($C73="",$P73&lt;&gt;"Aberto"),"",IF($J73="",IF($Q73&gt;DiasSC,"ATRASADO","Definir data"),IF($J73&lt;Hoje,"ATRASADO",IF($J73=Hoje,"HOJE","Em dia"))))</f>
        <v/>
      </c>
      <c r="S73" s="23">
        <f>IF($R73="","",IF(OR($R73="ATRASADO",$R73="HOJE",$R73="Definir data"),COUNTIF($R$5:$R73,"ATRASADO")+COUNTIF($R$5:$R73,"HOJE")+COUNTIF($R$5:$R73,"Definir data"),""))</f>
        <v/>
      </c>
      <c r="T73" s="18">
        <f>IF($C73="","",IF(OR($B73="",$E73="",$F73="",$G73=""),"Preencher entrada/origem/vendedor/etapa",IF(AND(OR($P73="Ganho",$P73="Perdido"),$K73=""),"Falta data de fechamento",IF(AND($P73="Perdido",$L73=""),"Informe o motivo da perda","OK"))))</f>
        <v/>
      </c>
    </row>
    <row r="74" spans="1:20">
      <c r="A74" s="18">
        <f>IF($C74="","",ROW()-4)</f>
        <v/>
      </c>
      <c r="B74" s="19"/>
      <c r="C74" s="13"/>
      <c r="D74" s="13"/>
      <c r="E74" s="13"/>
      <c r="F74" s="13"/>
      <c r="G74" s="13"/>
      <c r="H74" s="15"/>
      <c r="I74" s="19"/>
      <c r="J74" s="19"/>
      <c r="K74" s="19"/>
      <c r="L74" s="13"/>
      <c r="M74" s="13"/>
      <c r="N74" s="20">
        <f>IF($C74="","",IFERROR(INDEX(EtapaProb,MATCH($G74,Etapas,0)),0))</f>
        <v/>
      </c>
      <c r="O74" s="21">
        <f>IF($C74="","",IF($P74="Aberto",N($H74)*$N74,0))</f>
        <v/>
      </c>
      <c r="P74" s="18">
        <f>IF($C74="","",IF($G74="Ganho","Ganho",IF($G74="Perdido","Perdido","Aberto")))</f>
        <v/>
      </c>
      <c r="Q74" s="18">
        <f>IF(OR($C74="",$P74&lt;&gt;"Aberto"),"",IF($I74="",Hoje-$B74,Hoje-$I74))</f>
        <v/>
      </c>
      <c r="R74" s="22">
        <f>IF(OR($C74="",$P74&lt;&gt;"Aberto"),"",IF($J74="",IF($Q74&gt;DiasSC,"ATRASADO","Definir data"),IF($J74&lt;Hoje,"ATRASADO",IF($J74=Hoje,"HOJE","Em dia"))))</f>
        <v/>
      </c>
      <c r="S74" s="23">
        <f>IF($R74="","",IF(OR($R74="ATRASADO",$R74="HOJE",$R74="Definir data"),COUNTIF($R$5:$R74,"ATRASADO")+COUNTIF($R$5:$R74,"HOJE")+COUNTIF($R$5:$R74,"Definir data"),""))</f>
        <v/>
      </c>
      <c r="T74" s="18">
        <f>IF($C74="","",IF(OR($B74="",$E74="",$F74="",$G74=""),"Preencher entrada/origem/vendedor/etapa",IF(AND(OR($P74="Ganho",$P74="Perdido"),$K74=""),"Falta data de fechamento",IF(AND($P74="Perdido",$L74=""),"Informe o motivo da perda","OK"))))</f>
        <v/>
      </c>
    </row>
    <row r="75" spans="1:20">
      <c r="A75" s="18">
        <f>IF($C75="","",ROW()-4)</f>
        <v/>
      </c>
      <c r="B75" s="19"/>
      <c r="C75" s="13"/>
      <c r="D75" s="13"/>
      <c r="E75" s="13"/>
      <c r="F75" s="13"/>
      <c r="G75" s="13"/>
      <c r="H75" s="15"/>
      <c r="I75" s="19"/>
      <c r="J75" s="19"/>
      <c r="K75" s="19"/>
      <c r="L75" s="13"/>
      <c r="M75" s="13"/>
      <c r="N75" s="20">
        <f>IF($C75="","",IFERROR(INDEX(EtapaProb,MATCH($G75,Etapas,0)),0))</f>
        <v/>
      </c>
      <c r="O75" s="21">
        <f>IF($C75="","",IF($P75="Aberto",N($H75)*$N75,0))</f>
        <v/>
      </c>
      <c r="P75" s="18">
        <f>IF($C75="","",IF($G75="Ganho","Ganho",IF($G75="Perdido","Perdido","Aberto")))</f>
        <v/>
      </c>
      <c r="Q75" s="18">
        <f>IF(OR($C75="",$P75&lt;&gt;"Aberto"),"",IF($I75="",Hoje-$B75,Hoje-$I75))</f>
        <v/>
      </c>
      <c r="R75" s="22">
        <f>IF(OR($C75="",$P75&lt;&gt;"Aberto"),"",IF($J75="",IF($Q75&gt;DiasSC,"ATRASADO","Definir data"),IF($J75&lt;Hoje,"ATRASADO",IF($J75=Hoje,"HOJE","Em dia"))))</f>
        <v/>
      </c>
      <c r="S75" s="23">
        <f>IF($R75="","",IF(OR($R75="ATRASADO",$R75="HOJE",$R75="Definir data"),COUNTIF($R$5:$R75,"ATRASADO")+COUNTIF($R$5:$R75,"HOJE")+COUNTIF($R$5:$R75,"Definir data"),""))</f>
        <v/>
      </c>
      <c r="T75" s="18">
        <f>IF($C75="","",IF(OR($B75="",$E75="",$F75="",$G75=""),"Preencher entrada/origem/vendedor/etapa",IF(AND(OR($P75="Ganho",$P75="Perdido"),$K75=""),"Falta data de fechamento",IF(AND($P75="Perdido",$L75=""),"Informe o motivo da perda","OK"))))</f>
        <v/>
      </c>
    </row>
    <row r="76" spans="1:20">
      <c r="A76" s="18">
        <f>IF($C76="","",ROW()-4)</f>
        <v/>
      </c>
      <c r="B76" s="19"/>
      <c r="C76" s="13"/>
      <c r="D76" s="13"/>
      <c r="E76" s="13"/>
      <c r="F76" s="13"/>
      <c r="G76" s="13"/>
      <c r="H76" s="15"/>
      <c r="I76" s="19"/>
      <c r="J76" s="19"/>
      <c r="K76" s="19"/>
      <c r="L76" s="13"/>
      <c r="M76" s="13"/>
      <c r="N76" s="20">
        <f>IF($C76="","",IFERROR(INDEX(EtapaProb,MATCH($G76,Etapas,0)),0))</f>
        <v/>
      </c>
      <c r="O76" s="21">
        <f>IF($C76="","",IF($P76="Aberto",N($H76)*$N76,0))</f>
        <v/>
      </c>
      <c r="P76" s="18">
        <f>IF($C76="","",IF($G76="Ganho","Ganho",IF($G76="Perdido","Perdido","Aberto")))</f>
        <v/>
      </c>
      <c r="Q76" s="18">
        <f>IF(OR($C76="",$P76&lt;&gt;"Aberto"),"",IF($I76="",Hoje-$B76,Hoje-$I76))</f>
        <v/>
      </c>
      <c r="R76" s="22">
        <f>IF(OR($C76="",$P76&lt;&gt;"Aberto"),"",IF($J76="",IF($Q76&gt;DiasSC,"ATRASADO","Definir data"),IF($J76&lt;Hoje,"ATRASADO",IF($J76=Hoje,"HOJE","Em dia"))))</f>
        <v/>
      </c>
      <c r="S76" s="23">
        <f>IF($R76="","",IF(OR($R76="ATRASADO",$R76="HOJE",$R76="Definir data"),COUNTIF($R$5:$R76,"ATRASADO")+COUNTIF($R$5:$R76,"HOJE")+COUNTIF($R$5:$R76,"Definir data"),""))</f>
        <v/>
      </c>
      <c r="T76" s="18">
        <f>IF($C76="","",IF(OR($B76="",$E76="",$F76="",$G76=""),"Preencher entrada/origem/vendedor/etapa",IF(AND(OR($P76="Ganho",$P76="Perdido"),$K76=""),"Falta data de fechamento",IF(AND($P76="Perdido",$L76=""),"Informe o motivo da perda","OK"))))</f>
        <v/>
      </c>
    </row>
    <row r="77" spans="1:20">
      <c r="A77" s="18">
        <f>IF($C77="","",ROW()-4)</f>
        <v/>
      </c>
      <c r="B77" s="19"/>
      <c r="C77" s="13"/>
      <c r="D77" s="13"/>
      <c r="E77" s="13"/>
      <c r="F77" s="13"/>
      <c r="G77" s="13"/>
      <c r="H77" s="15"/>
      <c r="I77" s="19"/>
      <c r="J77" s="19"/>
      <c r="K77" s="19"/>
      <c r="L77" s="13"/>
      <c r="M77" s="13"/>
      <c r="N77" s="20">
        <f>IF($C77="","",IFERROR(INDEX(EtapaProb,MATCH($G77,Etapas,0)),0))</f>
        <v/>
      </c>
      <c r="O77" s="21">
        <f>IF($C77="","",IF($P77="Aberto",N($H77)*$N77,0))</f>
        <v/>
      </c>
      <c r="P77" s="18">
        <f>IF($C77="","",IF($G77="Ganho","Ganho",IF($G77="Perdido","Perdido","Aberto")))</f>
        <v/>
      </c>
      <c r="Q77" s="18">
        <f>IF(OR($C77="",$P77&lt;&gt;"Aberto"),"",IF($I77="",Hoje-$B77,Hoje-$I77))</f>
        <v/>
      </c>
      <c r="R77" s="22">
        <f>IF(OR($C77="",$P77&lt;&gt;"Aberto"),"",IF($J77="",IF($Q77&gt;DiasSC,"ATRASADO","Definir data"),IF($J77&lt;Hoje,"ATRASADO",IF($J77=Hoje,"HOJE","Em dia"))))</f>
        <v/>
      </c>
      <c r="S77" s="23">
        <f>IF($R77="","",IF(OR($R77="ATRASADO",$R77="HOJE",$R77="Definir data"),COUNTIF($R$5:$R77,"ATRASADO")+COUNTIF($R$5:$R77,"HOJE")+COUNTIF($R$5:$R77,"Definir data"),""))</f>
        <v/>
      </c>
      <c r="T77" s="18">
        <f>IF($C77="","",IF(OR($B77="",$E77="",$F77="",$G77=""),"Preencher entrada/origem/vendedor/etapa",IF(AND(OR($P77="Ganho",$P77="Perdido"),$K77=""),"Falta data de fechamento",IF(AND($P77="Perdido",$L77=""),"Informe o motivo da perda","OK"))))</f>
        <v/>
      </c>
    </row>
    <row r="78" spans="1:20">
      <c r="A78" s="18">
        <f>IF($C78="","",ROW()-4)</f>
        <v/>
      </c>
      <c r="B78" s="19"/>
      <c r="C78" s="13"/>
      <c r="D78" s="13"/>
      <c r="E78" s="13"/>
      <c r="F78" s="13"/>
      <c r="G78" s="13"/>
      <c r="H78" s="15"/>
      <c r="I78" s="19"/>
      <c r="J78" s="19"/>
      <c r="K78" s="19"/>
      <c r="L78" s="13"/>
      <c r="M78" s="13"/>
      <c r="N78" s="20">
        <f>IF($C78="","",IFERROR(INDEX(EtapaProb,MATCH($G78,Etapas,0)),0))</f>
        <v/>
      </c>
      <c r="O78" s="21">
        <f>IF($C78="","",IF($P78="Aberto",N($H78)*$N78,0))</f>
        <v/>
      </c>
      <c r="P78" s="18">
        <f>IF($C78="","",IF($G78="Ganho","Ganho",IF($G78="Perdido","Perdido","Aberto")))</f>
        <v/>
      </c>
      <c r="Q78" s="18">
        <f>IF(OR($C78="",$P78&lt;&gt;"Aberto"),"",IF($I78="",Hoje-$B78,Hoje-$I78))</f>
        <v/>
      </c>
      <c r="R78" s="22">
        <f>IF(OR($C78="",$P78&lt;&gt;"Aberto"),"",IF($J78="",IF($Q78&gt;DiasSC,"ATRASADO","Definir data"),IF($J78&lt;Hoje,"ATRASADO",IF($J78=Hoje,"HOJE","Em dia"))))</f>
        <v/>
      </c>
      <c r="S78" s="23">
        <f>IF($R78="","",IF(OR($R78="ATRASADO",$R78="HOJE",$R78="Definir data"),COUNTIF($R$5:$R78,"ATRASADO")+COUNTIF($R$5:$R78,"HOJE")+COUNTIF($R$5:$R78,"Definir data"),""))</f>
        <v/>
      </c>
      <c r="T78" s="18">
        <f>IF($C78="","",IF(OR($B78="",$E78="",$F78="",$G78=""),"Preencher entrada/origem/vendedor/etapa",IF(AND(OR($P78="Ganho",$P78="Perdido"),$K78=""),"Falta data de fechamento",IF(AND($P78="Perdido",$L78=""),"Informe o motivo da perda","OK"))))</f>
        <v/>
      </c>
    </row>
    <row r="79" spans="1:20">
      <c r="A79" s="18">
        <f>IF($C79="","",ROW()-4)</f>
        <v/>
      </c>
      <c r="B79" s="19"/>
      <c r="C79" s="13"/>
      <c r="D79" s="13"/>
      <c r="E79" s="13"/>
      <c r="F79" s="13"/>
      <c r="G79" s="13"/>
      <c r="H79" s="15"/>
      <c r="I79" s="19"/>
      <c r="J79" s="19"/>
      <c r="K79" s="19"/>
      <c r="L79" s="13"/>
      <c r="M79" s="13"/>
      <c r="N79" s="20">
        <f>IF($C79="","",IFERROR(INDEX(EtapaProb,MATCH($G79,Etapas,0)),0))</f>
        <v/>
      </c>
      <c r="O79" s="21">
        <f>IF($C79="","",IF($P79="Aberto",N($H79)*$N79,0))</f>
        <v/>
      </c>
      <c r="P79" s="18">
        <f>IF($C79="","",IF($G79="Ganho","Ganho",IF($G79="Perdido","Perdido","Aberto")))</f>
        <v/>
      </c>
      <c r="Q79" s="18">
        <f>IF(OR($C79="",$P79&lt;&gt;"Aberto"),"",IF($I79="",Hoje-$B79,Hoje-$I79))</f>
        <v/>
      </c>
      <c r="R79" s="22">
        <f>IF(OR($C79="",$P79&lt;&gt;"Aberto"),"",IF($J79="",IF($Q79&gt;DiasSC,"ATRASADO","Definir data"),IF($J79&lt;Hoje,"ATRASADO",IF($J79=Hoje,"HOJE","Em dia"))))</f>
        <v/>
      </c>
      <c r="S79" s="23">
        <f>IF($R79="","",IF(OR($R79="ATRASADO",$R79="HOJE",$R79="Definir data"),COUNTIF($R$5:$R79,"ATRASADO")+COUNTIF($R$5:$R79,"HOJE")+COUNTIF($R$5:$R79,"Definir data"),""))</f>
        <v/>
      </c>
      <c r="T79" s="18">
        <f>IF($C79="","",IF(OR($B79="",$E79="",$F79="",$G79=""),"Preencher entrada/origem/vendedor/etapa",IF(AND(OR($P79="Ganho",$P79="Perdido"),$K79=""),"Falta data de fechamento",IF(AND($P79="Perdido",$L79=""),"Informe o motivo da perda","OK"))))</f>
        <v/>
      </c>
    </row>
    <row r="80" spans="1:20">
      <c r="A80" s="18">
        <f>IF($C80="","",ROW()-4)</f>
        <v/>
      </c>
      <c r="B80" s="19"/>
      <c r="C80" s="13"/>
      <c r="D80" s="13"/>
      <c r="E80" s="13"/>
      <c r="F80" s="13"/>
      <c r="G80" s="13"/>
      <c r="H80" s="15"/>
      <c r="I80" s="19"/>
      <c r="J80" s="19"/>
      <c r="K80" s="19"/>
      <c r="L80" s="13"/>
      <c r="M80" s="13"/>
      <c r="N80" s="20">
        <f>IF($C80="","",IFERROR(INDEX(EtapaProb,MATCH($G80,Etapas,0)),0))</f>
        <v/>
      </c>
      <c r="O80" s="21">
        <f>IF($C80="","",IF($P80="Aberto",N($H80)*$N80,0))</f>
        <v/>
      </c>
      <c r="P80" s="18">
        <f>IF($C80="","",IF($G80="Ganho","Ganho",IF($G80="Perdido","Perdido","Aberto")))</f>
        <v/>
      </c>
      <c r="Q80" s="18">
        <f>IF(OR($C80="",$P80&lt;&gt;"Aberto"),"",IF($I80="",Hoje-$B80,Hoje-$I80))</f>
        <v/>
      </c>
      <c r="R80" s="22">
        <f>IF(OR($C80="",$P80&lt;&gt;"Aberto"),"",IF($J80="",IF($Q80&gt;DiasSC,"ATRASADO","Definir data"),IF($J80&lt;Hoje,"ATRASADO",IF($J80=Hoje,"HOJE","Em dia"))))</f>
        <v/>
      </c>
      <c r="S80" s="23">
        <f>IF($R80="","",IF(OR($R80="ATRASADO",$R80="HOJE",$R80="Definir data"),COUNTIF($R$5:$R80,"ATRASADO")+COUNTIF($R$5:$R80,"HOJE")+COUNTIF($R$5:$R80,"Definir data"),""))</f>
        <v/>
      </c>
      <c r="T80" s="18">
        <f>IF($C80="","",IF(OR($B80="",$E80="",$F80="",$G80=""),"Preencher entrada/origem/vendedor/etapa",IF(AND(OR($P80="Ganho",$P80="Perdido"),$K80=""),"Falta data de fechamento",IF(AND($P80="Perdido",$L80=""),"Informe o motivo da perda","OK"))))</f>
        <v/>
      </c>
    </row>
    <row r="81" spans="1:20">
      <c r="A81" s="18">
        <f>IF($C81="","",ROW()-4)</f>
        <v/>
      </c>
      <c r="B81" s="19"/>
      <c r="C81" s="13"/>
      <c r="D81" s="13"/>
      <c r="E81" s="13"/>
      <c r="F81" s="13"/>
      <c r="G81" s="13"/>
      <c r="H81" s="15"/>
      <c r="I81" s="19"/>
      <c r="J81" s="19"/>
      <c r="K81" s="19"/>
      <c r="L81" s="13"/>
      <c r="M81" s="13"/>
      <c r="N81" s="20">
        <f>IF($C81="","",IFERROR(INDEX(EtapaProb,MATCH($G81,Etapas,0)),0))</f>
        <v/>
      </c>
      <c r="O81" s="21">
        <f>IF($C81="","",IF($P81="Aberto",N($H81)*$N81,0))</f>
        <v/>
      </c>
      <c r="P81" s="18">
        <f>IF($C81="","",IF($G81="Ganho","Ganho",IF($G81="Perdido","Perdido","Aberto")))</f>
        <v/>
      </c>
      <c r="Q81" s="18">
        <f>IF(OR($C81="",$P81&lt;&gt;"Aberto"),"",IF($I81="",Hoje-$B81,Hoje-$I81))</f>
        <v/>
      </c>
      <c r="R81" s="22">
        <f>IF(OR($C81="",$P81&lt;&gt;"Aberto"),"",IF($J81="",IF($Q81&gt;DiasSC,"ATRASADO","Definir data"),IF($J81&lt;Hoje,"ATRASADO",IF($J81=Hoje,"HOJE","Em dia"))))</f>
        <v/>
      </c>
      <c r="S81" s="23">
        <f>IF($R81="","",IF(OR($R81="ATRASADO",$R81="HOJE",$R81="Definir data"),COUNTIF($R$5:$R81,"ATRASADO")+COUNTIF($R$5:$R81,"HOJE")+COUNTIF($R$5:$R81,"Definir data"),""))</f>
        <v/>
      </c>
      <c r="T81" s="18">
        <f>IF($C81="","",IF(OR($B81="",$E81="",$F81="",$G81=""),"Preencher entrada/origem/vendedor/etapa",IF(AND(OR($P81="Ganho",$P81="Perdido"),$K81=""),"Falta data de fechamento",IF(AND($P81="Perdido",$L81=""),"Informe o motivo da perda","OK"))))</f>
        <v/>
      </c>
    </row>
    <row r="82" spans="1:20">
      <c r="A82" s="18">
        <f>IF($C82="","",ROW()-4)</f>
        <v/>
      </c>
      <c r="B82" s="19"/>
      <c r="C82" s="13"/>
      <c r="D82" s="13"/>
      <c r="E82" s="13"/>
      <c r="F82" s="13"/>
      <c r="G82" s="13"/>
      <c r="H82" s="15"/>
      <c r="I82" s="19"/>
      <c r="J82" s="19"/>
      <c r="K82" s="19"/>
      <c r="L82" s="13"/>
      <c r="M82" s="13"/>
      <c r="N82" s="20">
        <f>IF($C82="","",IFERROR(INDEX(EtapaProb,MATCH($G82,Etapas,0)),0))</f>
        <v/>
      </c>
      <c r="O82" s="21">
        <f>IF($C82="","",IF($P82="Aberto",N($H82)*$N82,0))</f>
        <v/>
      </c>
      <c r="P82" s="18">
        <f>IF($C82="","",IF($G82="Ganho","Ganho",IF($G82="Perdido","Perdido","Aberto")))</f>
        <v/>
      </c>
      <c r="Q82" s="18">
        <f>IF(OR($C82="",$P82&lt;&gt;"Aberto"),"",IF($I82="",Hoje-$B82,Hoje-$I82))</f>
        <v/>
      </c>
      <c r="R82" s="22">
        <f>IF(OR($C82="",$P82&lt;&gt;"Aberto"),"",IF($J82="",IF($Q82&gt;DiasSC,"ATRASADO","Definir data"),IF($J82&lt;Hoje,"ATRASADO",IF($J82=Hoje,"HOJE","Em dia"))))</f>
        <v/>
      </c>
      <c r="S82" s="23">
        <f>IF($R82="","",IF(OR($R82="ATRASADO",$R82="HOJE",$R82="Definir data"),COUNTIF($R$5:$R82,"ATRASADO")+COUNTIF($R$5:$R82,"HOJE")+COUNTIF($R$5:$R82,"Definir data"),""))</f>
        <v/>
      </c>
      <c r="T82" s="18">
        <f>IF($C82="","",IF(OR($B82="",$E82="",$F82="",$G82=""),"Preencher entrada/origem/vendedor/etapa",IF(AND(OR($P82="Ganho",$P82="Perdido"),$K82=""),"Falta data de fechamento",IF(AND($P82="Perdido",$L82=""),"Informe o motivo da perda","OK"))))</f>
        <v/>
      </c>
    </row>
    <row r="83" spans="1:20">
      <c r="A83" s="18">
        <f>IF($C83="","",ROW()-4)</f>
        <v/>
      </c>
      <c r="B83" s="19"/>
      <c r="C83" s="13"/>
      <c r="D83" s="13"/>
      <c r="E83" s="13"/>
      <c r="F83" s="13"/>
      <c r="G83" s="13"/>
      <c r="H83" s="15"/>
      <c r="I83" s="19"/>
      <c r="J83" s="19"/>
      <c r="K83" s="19"/>
      <c r="L83" s="13"/>
      <c r="M83" s="13"/>
      <c r="N83" s="20">
        <f>IF($C83="","",IFERROR(INDEX(EtapaProb,MATCH($G83,Etapas,0)),0))</f>
        <v/>
      </c>
      <c r="O83" s="21">
        <f>IF($C83="","",IF($P83="Aberto",N($H83)*$N83,0))</f>
        <v/>
      </c>
      <c r="P83" s="18">
        <f>IF($C83="","",IF($G83="Ganho","Ganho",IF($G83="Perdido","Perdido","Aberto")))</f>
        <v/>
      </c>
      <c r="Q83" s="18">
        <f>IF(OR($C83="",$P83&lt;&gt;"Aberto"),"",IF($I83="",Hoje-$B83,Hoje-$I83))</f>
        <v/>
      </c>
      <c r="R83" s="22">
        <f>IF(OR($C83="",$P83&lt;&gt;"Aberto"),"",IF($J83="",IF($Q83&gt;DiasSC,"ATRASADO","Definir data"),IF($J83&lt;Hoje,"ATRASADO",IF($J83=Hoje,"HOJE","Em dia"))))</f>
        <v/>
      </c>
      <c r="S83" s="23">
        <f>IF($R83="","",IF(OR($R83="ATRASADO",$R83="HOJE",$R83="Definir data"),COUNTIF($R$5:$R83,"ATRASADO")+COUNTIF($R$5:$R83,"HOJE")+COUNTIF($R$5:$R83,"Definir data"),""))</f>
        <v/>
      </c>
      <c r="T83" s="18">
        <f>IF($C83="","",IF(OR($B83="",$E83="",$F83="",$G83=""),"Preencher entrada/origem/vendedor/etapa",IF(AND(OR($P83="Ganho",$P83="Perdido"),$K83=""),"Falta data de fechamento",IF(AND($P83="Perdido",$L83=""),"Informe o motivo da perda","OK"))))</f>
        <v/>
      </c>
    </row>
    <row r="84" spans="1:20">
      <c r="A84" s="18">
        <f>IF($C84="","",ROW()-4)</f>
        <v/>
      </c>
      <c r="B84" s="19"/>
      <c r="C84" s="13"/>
      <c r="D84" s="13"/>
      <c r="E84" s="13"/>
      <c r="F84" s="13"/>
      <c r="G84" s="13"/>
      <c r="H84" s="15"/>
      <c r="I84" s="19"/>
      <c r="J84" s="19"/>
      <c r="K84" s="19"/>
      <c r="L84" s="13"/>
      <c r="M84" s="13"/>
      <c r="N84" s="20">
        <f>IF($C84="","",IFERROR(INDEX(EtapaProb,MATCH($G84,Etapas,0)),0))</f>
        <v/>
      </c>
      <c r="O84" s="21">
        <f>IF($C84="","",IF($P84="Aberto",N($H84)*$N84,0))</f>
        <v/>
      </c>
      <c r="P84" s="18">
        <f>IF($C84="","",IF($G84="Ganho","Ganho",IF($G84="Perdido","Perdido","Aberto")))</f>
        <v/>
      </c>
      <c r="Q84" s="18">
        <f>IF(OR($C84="",$P84&lt;&gt;"Aberto"),"",IF($I84="",Hoje-$B84,Hoje-$I84))</f>
        <v/>
      </c>
      <c r="R84" s="22">
        <f>IF(OR($C84="",$P84&lt;&gt;"Aberto"),"",IF($J84="",IF($Q84&gt;DiasSC,"ATRASADO","Definir data"),IF($J84&lt;Hoje,"ATRASADO",IF($J84=Hoje,"HOJE","Em dia"))))</f>
        <v/>
      </c>
      <c r="S84" s="23">
        <f>IF($R84="","",IF(OR($R84="ATRASADO",$R84="HOJE",$R84="Definir data"),COUNTIF($R$5:$R84,"ATRASADO")+COUNTIF($R$5:$R84,"HOJE")+COUNTIF($R$5:$R84,"Definir data"),""))</f>
        <v/>
      </c>
      <c r="T84" s="18">
        <f>IF($C84="","",IF(OR($B84="",$E84="",$F84="",$G84=""),"Preencher entrada/origem/vendedor/etapa",IF(AND(OR($P84="Ganho",$P84="Perdido"),$K84=""),"Falta data de fechamento",IF(AND($P84="Perdido",$L84=""),"Informe o motivo da perda","OK"))))</f>
        <v/>
      </c>
    </row>
    <row r="85" spans="1:20">
      <c r="A85" s="18">
        <f>IF($C85="","",ROW()-4)</f>
        <v/>
      </c>
      <c r="B85" s="19"/>
      <c r="C85" s="13"/>
      <c r="D85" s="13"/>
      <c r="E85" s="13"/>
      <c r="F85" s="13"/>
      <c r="G85" s="13"/>
      <c r="H85" s="15"/>
      <c r="I85" s="19"/>
      <c r="J85" s="19"/>
      <c r="K85" s="19"/>
      <c r="L85" s="13"/>
      <c r="M85" s="13"/>
      <c r="N85" s="20">
        <f>IF($C85="","",IFERROR(INDEX(EtapaProb,MATCH($G85,Etapas,0)),0))</f>
        <v/>
      </c>
      <c r="O85" s="21">
        <f>IF($C85="","",IF($P85="Aberto",N($H85)*$N85,0))</f>
        <v/>
      </c>
      <c r="P85" s="18">
        <f>IF($C85="","",IF($G85="Ganho","Ganho",IF($G85="Perdido","Perdido","Aberto")))</f>
        <v/>
      </c>
      <c r="Q85" s="18">
        <f>IF(OR($C85="",$P85&lt;&gt;"Aberto"),"",IF($I85="",Hoje-$B85,Hoje-$I85))</f>
        <v/>
      </c>
      <c r="R85" s="22">
        <f>IF(OR($C85="",$P85&lt;&gt;"Aberto"),"",IF($J85="",IF($Q85&gt;DiasSC,"ATRASADO","Definir data"),IF($J85&lt;Hoje,"ATRASADO",IF($J85=Hoje,"HOJE","Em dia"))))</f>
        <v/>
      </c>
      <c r="S85" s="23">
        <f>IF($R85="","",IF(OR($R85="ATRASADO",$R85="HOJE",$R85="Definir data"),COUNTIF($R$5:$R85,"ATRASADO")+COUNTIF($R$5:$R85,"HOJE")+COUNTIF($R$5:$R85,"Definir data"),""))</f>
        <v/>
      </c>
      <c r="T85" s="18">
        <f>IF($C85="","",IF(OR($B85="",$E85="",$F85="",$G85=""),"Preencher entrada/origem/vendedor/etapa",IF(AND(OR($P85="Ganho",$P85="Perdido"),$K85=""),"Falta data de fechamento",IF(AND($P85="Perdido",$L85=""),"Informe o motivo da perda","OK"))))</f>
        <v/>
      </c>
    </row>
    <row r="86" spans="1:20">
      <c r="A86" s="18">
        <f>IF($C86="","",ROW()-4)</f>
        <v/>
      </c>
      <c r="B86" s="19"/>
      <c r="C86" s="13"/>
      <c r="D86" s="13"/>
      <c r="E86" s="13"/>
      <c r="F86" s="13"/>
      <c r="G86" s="13"/>
      <c r="H86" s="15"/>
      <c r="I86" s="19"/>
      <c r="J86" s="19"/>
      <c r="K86" s="19"/>
      <c r="L86" s="13"/>
      <c r="M86" s="13"/>
      <c r="N86" s="20">
        <f>IF($C86="","",IFERROR(INDEX(EtapaProb,MATCH($G86,Etapas,0)),0))</f>
        <v/>
      </c>
      <c r="O86" s="21">
        <f>IF($C86="","",IF($P86="Aberto",N($H86)*$N86,0))</f>
        <v/>
      </c>
      <c r="P86" s="18">
        <f>IF($C86="","",IF($G86="Ganho","Ganho",IF($G86="Perdido","Perdido","Aberto")))</f>
        <v/>
      </c>
      <c r="Q86" s="18">
        <f>IF(OR($C86="",$P86&lt;&gt;"Aberto"),"",IF($I86="",Hoje-$B86,Hoje-$I86))</f>
        <v/>
      </c>
      <c r="R86" s="22">
        <f>IF(OR($C86="",$P86&lt;&gt;"Aberto"),"",IF($J86="",IF($Q86&gt;DiasSC,"ATRASADO","Definir data"),IF($J86&lt;Hoje,"ATRASADO",IF($J86=Hoje,"HOJE","Em dia"))))</f>
        <v/>
      </c>
      <c r="S86" s="23">
        <f>IF($R86="","",IF(OR($R86="ATRASADO",$R86="HOJE",$R86="Definir data"),COUNTIF($R$5:$R86,"ATRASADO")+COUNTIF($R$5:$R86,"HOJE")+COUNTIF($R$5:$R86,"Definir data"),""))</f>
        <v/>
      </c>
      <c r="T86" s="18">
        <f>IF($C86="","",IF(OR($B86="",$E86="",$F86="",$G86=""),"Preencher entrada/origem/vendedor/etapa",IF(AND(OR($P86="Ganho",$P86="Perdido"),$K86=""),"Falta data de fechamento",IF(AND($P86="Perdido",$L86=""),"Informe o motivo da perda","OK"))))</f>
        <v/>
      </c>
    </row>
    <row r="87" spans="1:20">
      <c r="A87" s="18">
        <f>IF($C87="","",ROW()-4)</f>
        <v/>
      </c>
      <c r="B87" s="19"/>
      <c r="C87" s="13"/>
      <c r="D87" s="13"/>
      <c r="E87" s="13"/>
      <c r="F87" s="13"/>
      <c r="G87" s="13"/>
      <c r="H87" s="15"/>
      <c r="I87" s="19"/>
      <c r="J87" s="19"/>
      <c r="K87" s="19"/>
      <c r="L87" s="13"/>
      <c r="M87" s="13"/>
      <c r="N87" s="20">
        <f>IF($C87="","",IFERROR(INDEX(EtapaProb,MATCH($G87,Etapas,0)),0))</f>
        <v/>
      </c>
      <c r="O87" s="21">
        <f>IF($C87="","",IF($P87="Aberto",N($H87)*$N87,0))</f>
        <v/>
      </c>
      <c r="P87" s="18">
        <f>IF($C87="","",IF($G87="Ganho","Ganho",IF($G87="Perdido","Perdido","Aberto")))</f>
        <v/>
      </c>
      <c r="Q87" s="18">
        <f>IF(OR($C87="",$P87&lt;&gt;"Aberto"),"",IF($I87="",Hoje-$B87,Hoje-$I87))</f>
        <v/>
      </c>
      <c r="R87" s="22">
        <f>IF(OR($C87="",$P87&lt;&gt;"Aberto"),"",IF($J87="",IF($Q87&gt;DiasSC,"ATRASADO","Definir data"),IF($J87&lt;Hoje,"ATRASADO",IF($J87=Hoje,"HOJE","Em dia"))))</f>
        <v/>
      </c>
      <c r="S87" s="23">
        <f>IF($R87="","",IF(OR($R87="ATRASADO",$R87="HOJE",$R87="Definir data"),COUNTIF($R$5:$R87,"ATRASADO")+COUNTIF($R$5:$R87,"HOJE")+COUNTIF($R$5:$R87,"Definir data"),""))</f>
        <v/>
      </c>
      <c r="T87" s="18">
        <f>IF($C87="","",IF(OR($B87="",$E87="",$F87="",$G87=""),"Preencher entrada/origem/vendedor/etapa",IF(AND(OR($P87="Ganho",$P87="Perdido"),$K87=""),"Falta data de fechamento",IF(AND($P87="Perdido",$L87=""),"Informe o motivo da perda","OK"))))</f>
        <v/>
      </c>
    </row>
    <row r="88" spans="1:20">
      <c r="A88" s="18">
        <f>IF($C88="","",ROW()-4)</f>
        <v/>
      </c>
      <c r="B88" s="19"/>
      <c r="C88" s="13"/>
      <c r="D88" s="13"/>
      <c r="E88" s="13"/>
      <c r="F88" s="13"/>
      <c r="G88" s="13"/>
      <c r="H88" s="15"/>
      <c r="I88" s="19"/>
      <c r="J88" s="19"/>
      <c r="K88" s="19"/>
      <c r="L88" s="13"/>
      <c r="M88" s="13"/>
      <c r="N88" s="20">
        <f>IF($C88="","",IFERROR(INDEX(EtapaProb,MATCH($G88,Etapas,0)),0))</f>
        <v/>
      </c>
      <c r="O88" s="21">
        <f>IF($C88="","",IF($P88="Aberto",N($H88)*$N88,0))</f>
        <v/>
      </c>
      <c r="P88" s="18">
        <f>IF($C88="","",IF($G88="Ganho","Ganho",IF($G88="Perdido","Perdido","Aberto")))</f>
        <v/>
      </c>
      <c r="Q88" s="18">
        <f>IF(OR($C88="",$P88&lt;&gt;"Aberto"),"",IF($I88="",Hoje-$B88,Hoje-$I88))</f>
        <v/>
      </c>
      <c r="R88" s="22">
        <f>IF(OR($C88="",$P88&lt;&gt;"Aberto"),"",IF($J88="",IF($Q88&gt;DiasSC,"ATRASADO","Definir data"),IF($J88&lt;Hoje,"ATRASADO",IF($J88=Hoje,"HOJE","Em dia"))))</f>
        <v/>
      </c>
      <c r="S88" s="23">
        <f>IF($R88="","",IF(OR($R88="ATRASADO",$R88="HOJE",$R88="Definir data"),COUNTIF($R$5:$R88,"ATRASADO")+COUNTIF($R$5:$R88,"HOJE")+COUNTIF($R$5:$R88,"Definir data"),""))</f>
        <v/>
      </c>
      <c r="T88" s="18">
        <f>IF($C88="","",IF(OR($B88="",$E88="",$F88="",$G88=""),"Preencher entrada/origem/vendedor/etapa",IF(AND(OR($P88="Ganho",$P88="Perdido"),$K88=""),"Falta data de fechamento",IF(AND($P88="Perdido",$L88=""),"Informe o motivo da perda","OK"))))</f>
        <v/>
      </c>
    </row>
    <row r="89" spans="1:20">
      <c r="A89" s="18">
        <f>IF($C89="","",ROW()-4)</f>
        <v/>
      </c>
      <c r="B89" s="19"/>
      <c r="C89" s="13"/>
      <c r="D89" s="13"/>
      <c r="E89" s="13"/>
      <c r="F89" s="13"/>
      <c r="G89" s="13"/>
      <c r="H89" s="15"/>
      <c r="I89" s="19"/>
      <c r="J89" s="19"/>
      <c r="K89" s="19"/>
      <c r="L89" s="13"/>
      <c r="M89" s="13"/>
      <c r="N89" s="20">
        <f>IF($C89="","",IFERROR(INDEX(EtapaProb,MATCH($G89,Etapas,0)),0))</f>
        <v/>
      </c>
      <c r="O89" s="21">
        <f>IF($C89="","",IF($P89="Aberto",N($H89)*$N89,0))</f>
        <v/>
      </c>
      <c r="P89" s="18">
        <f>IF($C89="","",IF($G89="Ganho","Ganho",IF($G89="Perdido","Perdido","Aberto")))</f>
        <v/>
      </c>
      <c r="Q89" s="18">
        <f>IF(OR($C89="",$P89&lt;&gt;"Aberto"),"",IF($I89="",Hoje-$B89,Hoje-$I89))</f>
        <v/>
      </c>
      <c r="R89" s="22">
        <f>IF(OR($C89="",$P89&lt;&gt;"Aberto"),"",IF($J89="",IF($Q89&gt;DiasSC,"ATRASADO","Definir data"),IF($J89&lt;Hoje,"ATRASADO",IF($J89=Hoje,"HOJE","Em dia"))))</f>
        <v/>
      </c>
      <c r="S89" s="23">
        <f>IF($R89="","",IF(OR($R89="ATRASADO",$R89="HOJE",$R89="Definir data"),COUNTIF($R$5:$R89,"ATRASADO")+COUNTIF($R$5:$R89,"HOJE")+COUNTIF($R$5:$R89,"Definir data"),""))</f>
        <v/>
      </c>
      <c r="T89" s="18">
        <f>IF($C89="","",IF(OR($B89="",$E89="",$F89="",$G89=""),"Preencher entrada/origem/vendedor/etapa",IF(AND(OR($P89="Ganho",$P89="Perdido"),$K89=""),"Falta data de fechamento",IF(AND($P89="Perdido",$L89=""),"Informe o motivo da perda","OK"))))</f>
        <v/>
      </c>
    </row>
    <row r="90" spans="1:20">
      <c r="A90" s="18">
        <f>IF($C90="","",ROW()-4)</f>
        <v/>
      </c>
      <c r="B90" s="19"/>
      <c r="C90" s="13"/>
      <c r="D90" s="13"/>
      <c r="E90" s="13"/>
      <c r="F90" s="13"/>
      <c r="G90" s="13"/>
      <c r="H90" s="15"/>
      <c r="I90" s="19"/>
      <c r="J90" s="19"/>
      <c r="K90" s="19"/>
      <c r="L90" s="13"/>
      <c r="M90" s="13"/>
      <c r="N90" s="20">
        <f>IF($C90="","",IFERROR(INDEX(EtapaProb,MATCH($G90,Etapas,0)),0))</f>
        <v/>
      </c>
      <c r="O90" s="21">
        <f>IF($C90="","",IF($P90="Aberto",N($H90)*$N90,0))</f>
        <v/>
      </c>
      <c r="P90" s="18">
        <f>IF($C90="","",IF($G90="Ganho","Ganho",IF($G90="Perdido","Perdido","Aberto")))</f>
        <v/>
      </c>
      <c r="Q90" s="18">
        <f>IF(OR($C90="",$P90&lt;&gt;"Aberto"),"",IF($I90="",Hoje-$B90,Hoje-$I90))</f>
        <v/>
      </c>
      <c r="R90" s="22">
        <f>IF(OR($C90="",$P90&lt;&gt;"Aberto"),"",IF($J90="",IF($Q90&gt;DiasSC,"ATRASADO","Definir data"),IF($J90&lt;Hoje,"ATRASADO",IF($J90=Hoje,"HOJE","Em dia"))))</f>
        <v/>
      </c>
      <c r="S90" s="23">
        <f>IF($R90="","",IF(OR($R90="ATRASADO",$R90="HOJE",$R90="Definir data"),COUNTIF($R$5:$R90,"ATRASADO")+COUNTIF($R$5:$R90,"HOJE")+COUNTIF($R$5:$R90,"Definir data"),""))</f>
        <v/>
      </c>
      <c r="T90" s="18">
        <f>IF($C90="","",IF(OR($B90="",$E90="",$F90="",$G90=""),"Preencher entrada/origem/vendedor/etapa",IF(AND(OR($P90="Ganho",$P90="Perdido"),$K90=""),"Falta data de fechamento",IF(AND($P90="Perdido",$L90=""),"Informe o motivo da perda","OK"))))</f>
        <v/>
      </c>
    </row>
    <row r="91" spans="1:20">
      <c r="A91" s="18">
        <f>IF($C91="","",ROW()-4)</f>
        <v/>
      </c>
      <c r="B91" s="19"/>
      <c r="C91" s="13"/>
      <c r="D91" s="13"/>
      <c r="E91" s="13"/>
      <c r="F91" s="13"/>
      <c r="G91" s="13"/>
      <c r="H91" s="15"/>
      <c r="I91" s="19"/>
      <c r="J91" s="19"/>
      <c r="K91" s="19"/>
      <c r="L91" s="13"/>
      <c r="M91" s="13"/>
      <c r="N91" s="20">
        <f>IF($C91="","",IFERROR(INDEX(EtapaProb,MATCH($G91,Etapas,0)),0))</f>
        <v/>
      </c>
      <c r="O91" s="21">
        <f>IF($C91="","",IF($P91="Aberto",N($H91)*$N91,0))</f>
        <v/>
      </c>
      <c r="P91" s="18">
        <f>IF($C91="","",IF($G91="Ganho","Ganho",IF($G91="Perdido","Perdido","Aberto")))</f>
        <v/>
      </c>
      <c r="Q91" s="18">
        <f>IF(OR($C91="",$P91&lt;&gt;"Aberto"),"",IF($I91="",Hoje-$B91,Hoje-$I91))</f>
        <v/>
      </c>
      <c r="R91" s="22">
        <f>IF(OR($C91="",$P91&lt;&gt;"Aberto"),"",IF($J91="",IF($Q91&gt;DiasSC,"ATRASADO","Definir data"),IF($J91&lt;Hoje,"ATRASADO",IF($J91=Hoje,"HOJE","Em dia"))))</f>
        <v/>
      </c>
      <c r="S91" s="23">
        <f>IF($R91="","",IF(OR($R91="ATRASADO",$R91="HOJE",$R91="Definir data"),COUNTIF($R$5:$R91,"ATRASADO")+COUNTIF($R$5:$R91,"HOJE")+COUNTIF($R$5:$R91,"Definir data"),""))</f>
        <v/>
      </c>
      <c r="T91" s="18">
        <f>IF($C91="","",IF(OR($B91="",$E91="",$F91="",$G91=""),"Preencher entrada/origem/vendedor/etapa",IF(AND(OR($P91="Ganho",$P91="Perdido"),$K91=""),"Falta data de fechamento",IF(AND($P91="Perdido",$L91=""),"Informe o motivo da perda","OK"))))</f>
        <v/>
      </c>
    </row>
    <row r="92" spans="1:20">
      <c r="A92" s="18">
        <f>IF($C92="","",ROW()-4)</f>
        <v/>
      </c>
      <c r="B92" s="19"/>
      <c r="C92" s="13"/>
      <c r="D92" s="13"/>
      <c r="E92" s="13"/>
      <c r="F92" s="13"/>
      <c r="G92" s="13"/>
      <c r="H92" s="15"/>
      <c r="I92" s="19"/>
      <c r="J92" s="19"/>
      <c r="K92" s="19"/>
      <c r="L92" s="13"/>
      <c r="M92" s="13"/>
      <c r="N92" s="20">
        <f>IF($C92="","",IFERROR(INDEX(EtapaProb,MATCH($G92,Etapas,0)),0))</f>
        <v/>
      </c>
      <c r="O92" s="21">
        <f>IF($C92="","",IF($P92="Aberto",N($H92)*$N92,0))</f>
        <v/>
      </c>
      <c r="P92" s="18">
        <f>IF($C92="","",IF($G92="Ganho","Ganho",IF($G92="Perdido","Perdido","Aberto")))</f>
        <v/>
      </c>
      <c r="Q92" s="18">
        <f>IF(OR($C92="",$P92&lt;&gt;"Aberto"),"",IF($I92="",Hoje-$B92,Hoje-$I92))</f>
        <v/>
      </c>
      <c r="R92" s="22">
        <f>IF(OR($C92="",$P92&lt;&gt;"Aberto"),"",IF($J92="",IF($Q92&gt;DiasSC,"ATRASADO","Definir data"),IF($J92&lt;Hoje,"ATRASADO",IF($J92=Hoje,"HOJE","Em dia"))))</f>
        <v/>
      </c>
      <c r="S92" s="23">
        <f>IF($R92="","",IF(OR($R92="ATRASADO",$R92="HOJE",$R92="Definir data"),COUNTIF($R$5:$R92,"ATRASADO")+COUNTIF($R$5:$R92,"HOJE")+COUNTIF($R$5:$R92,"Definir data"),""))</f>
        <v/>
      </c>
      <c r="T92" s="18">
        <f>IF($C92="","",IF(OR($B92="",$E92="",$F92="",$G92=""),"Preencher entrada/origem/vendedor/etapa",IF(AND(OR($P92="Ganho",$P92="Perdido"),$K92=""),"Falta data de fechamento",IF(AND($P92="Perdido",$L92=""),"Informe o motivo da perda","OK"))))</f>
        <v/>
      </c>
    </row>
    <row r="93" spans="1:20">
      <c r="A93" s="18">
        <f>IF($C93="","",ROW()-4)</f>
        <v/>
      </c>
      <c r="B93" s="19"/>
      <c r="C93" s="13"/>
      <c r="D93" s="13"/>
      <c r="E93" s="13"/>
      <c r="F93" s="13"/>
      <c r="G93" s="13"/>
      <c r="H93" s="15"/>
      <c r="I93" s="19"/>
      <c r="J93" s="19"/>
      <c r="K93" s="19"/>
      <c r="L93" s="13"/>
      <c r="M93" s="13"/>
      <c r="N93" s="20">
        <f>IF($C93="","",IFERROR(INDEX(EtapaProb,MATCH($G93,Etapas,0)),0))</f>
        <v/>
      </c>
      <c r="O93" s="21">
        <f>IF($C93="","",IF($P93="Aberto",N($H93)*$N93,0))</f>
        <v/>
      </c>
      <c r="P93" s="18">
        <f>IF($C93="","",IF($G93="Ganho","Ganho",IF($G93="Perdido","Perdido","Aberto")))</f>
        <v/>
      </c>
      <c r="Q93" s="18">
        <f>IF(OR($C93="",$P93&lt;&gt;"Aberto"),"",IF($I93="",Hoje-$B93,Hoje-$I93))</f>
        <v/>
      </c>
      <c r="R93" s="22">
        <f>IF(OR($C93="",$P93&lt;&gt;"Aberto"),"",IF($J93="",IF($Q93&gt;DiasSC,"ATRASADO","Definir data"),IF($J93&lt;Hoje,"ATRASADO",IF($J93=Hoje,"HOJE","Em dia"))))</f>
        <v/>
      </c>
      <c r="S93" s="23">
        <f>IF($R93="","",IF(OR($R93="ATRASADO",$R93="HOJE",$R93="Definir data"),COUNTIF($R$5:$R93,"ATRASADO")+COUNTIF($R$5:$R93,"HOJE")+COUNTIF($R$5:$R93,"Definir data"),""))</f>
        <v/>
      </c>
      <c r="T93" s="18">
        <f>IF($C93="","",IF(OR($B93="",$E93="",$F93="",$G93=""),"Preencher entrada/origem/vendedor/etapa",IF(AND(OR($P93="Ganho",$P93="Perdido"),$K93=""),"Falta data de fechamento",IF(AND($P93="Perdido",$L93=""),"Informe o motivo da perda","OK"))))</f>
        <v/>
      </c>
    </row>
    <row r="94" spans="1:20">
      <c r="A94" s="18">
        <f>IF($C94="","",ROW()-4)</f>
        <v/>
      </c>
      <c r="B94" s="19"/>
      <c r="C94" s="13"/>
      <c r="D94" s="13"/>
      <c r="E94" s="13"/>
      <c r="F94" s="13"/>
      <c r="G94" s="13"/>
      <c r="H94" s="15"/>
      <c r="I94" s="19"/>
      <c r="J94" s="19"/>
      <c r="K94" s="19"/>
      <c r="L94" s="13"/>
      <c r="M94" s="13"/>
      <c r="N94" s="20">
        <f>IF($C94="","",IFERROR(INDEX(EtapaProb,MATCH($G94,Etapas,0)),0))</f>
        <v/>
      </c>
      <c r="O94" s="21">
        <f>IF($C94="","",IF($P94="Aberto",N($H94)*$N94,0))</f>
        <v/>
      </c>
      <c r="P94" s="18">
        <f>IF($C94="","",IF($G94="Ganho","Ganho",IF($G94="Perdido","Perdido","Aberto")))</f>
        <v/>
      </c>
      <c r="Q94" s="18">
        <f>IF(OR($C94="",$P94&lt;&gt;"Aberto"),"",IF($I94="",Hoje-$B94,Hoje-$I94))</f>
        <v/>
      </c>
      <c r="R94" s="22">
        <f>IF(OR($C94="",$P94&lt;&gt;"Aberto"),"",IF($J94="",IF($Q94&gt;DiasSC,"ATRASADO","Definir data"),IF($J94&lt;Hoje,"ATRASADO",IF($J94=Hoje,"HOJE","Em dia"))))</f>
        <v/>
      </c>
      <c r="S94" s="23">
        <f>IF($R94="","",IF(OR($R94="ATRASADO",$R94="HOJE",$R94="Definir data"),COUNTIF($R$5:$R94,"ATRASADO")+COUNTIF($R$5:$R94,"HOJE")+COUNTIF($R$5:$R94,"Definir data"),""))</f>
        <v/>
      </c>
      <c r="T94" s="18">
        <f>IF($C94="","",IF(OR($B94="",$E94="",$F94="",$G94=""),"Preencher entrada/origem/vendedor/etapa",IF(AND(OR($P94="Ganho",$P94="Perdido"),$K94=""),"Falta data de fechamento",IF(AND($P94="Perdido",$L94=""),"Informe o motivo da perda","OK"))))</f>
        <v/>
      </c>
    </row>
    <row r="95" spans="1:20">
      <c r="A95" s="18">
        <f>IF($C95="","",ROW()-4)</f>
        <v/>
      </c>
      <c r="B95" s="19"/>
      <c r="C95" s="13"/>
      <c r="D95" s="13"/>
      <c r="E95" s="13"/>
      <c r="F95" s="13"/>
      <c r="G95" s="13"/>
      <c r="H95" s="15"/>
      <c r="I95" s="19"/>
      <c r="J95" s="19"/>
      <c r="K95" s="19"/>
      <c r="L95" s="13"/>
      <c r="M95" s="13"/>
      <c r="N95" s="20">
        <f>IF($C95="","",IFERROR(INDEX(EtapaProb,MATCH($G95,Etapas,0)),0))</f>
        <v/>
      </c>
      <c r="O95" s="21">
        <f>IF($C95="","",IF($P95="Aberto",N($H95)*$N95,0))</f>
        <v/>
      </c>
      <c r="P95" s="18">
        <f>IF($C95="","",IF($G95="Ganho","Ganho",IF($G95="Perdido","Perdido","Aberto")))</f>
        <v/>
      </c>
      <c r="Q95" s="18">
        <f>IF(OR($C95="",$P95&lt;&gt;"Aberto"),"",IF($I95="",Hoje-$B95,Hoje-$I95))</f>
        <v/>
      </c>
      <c r="R95" s="22">
        <f>IF(OR($C95="",$P95&lt;&gt;"Aberto"),"",IF($J95="",IF($Q95&gt;DiasSC,"ATRASADO","Definir data"),IF($J95&lt;Hoje,"ATRASADO",IF($J95=Hoje,"HOJE","Em dia"))))</f>
        <v/>
      </c>
      <c r="S95" s="23">
        <f>IF($R95="","",IF(OR($R95="ATRASADO",$R95="HOJE",$R95="Definir data"),COUNTIF($R$5:$R95,"ATRASADO")+COUNTIF($R$5:$R95,"HOJE")+COUNTIF($R$5:$R95,"Definir data"),""))</f>
        <v/>
      </c>
      <c r="T95" s="18">
        <f>IF($C95="","",IF(OR($B95="",$E95="",$F95="",$G95=""),"Preencher entrada/origem/vendedor/etapa",IF(AND(OR($P95="Ganho",$P95="Perdido"),$K95=""),"Falta data de fechamento",IF(AND($P95="Perdido",$L95=""),"Informe o motivo da perda","OK"))))</f>
        <v/>
      </c>
    </row>
    <row r="96" spans="1:20">
      <c r="A96" s="18">
        <f>IF($C96="","",ROW()-4)</f>
        <v/>
      </c>
      <c r="B96" s="19"/>
      <c r="C96" s="13"/>
      <c r="D96" s="13"/>
      <c r="E96" s="13"/>
      <c r="F96" s="13"/>
      <c r="G96" s="13"/>
      <c r="H96" s="15"/>
      <c r="I96" s="19"/>
      <c r="J96" s="19"/>
      <c r="K96" s="19"/>
      <c r="L96" s="13"/>
      <c r="M96" s="13"/>
      <c r="N96" s="20">
        <f>IF($C96="","",IFERROR(INDEX(EtapaProb,MATCH($G96,Etapas,0)),0))</f>
        <v/>
      </c>
      <c r="O96" s="21">
        <f>IF($C96="","",IF($P96="Aberto",N($H96)*$N96,0))</f>
        <v/>
      </c>
      <c r="P96" s="18">
        <f>IF($C96="","",IF($G96="Ganho","Ganho",IF($G96="Perdido","Perdido","Aberto")))</f>
        <v/>
      </c>
      <c r="Q96" s="18">
        <f>IF(OR($C96="",$P96&lt;&gt;"Aberto"),"",IF($I96="",Hoje-$B96,Hoje-$I96))</f>
        <v/>
      </c>
      <c r="R96" s="22">
        <f>IF(OR($C96="",$P96&lt;&gt;"Aberto"),"",IF($J96="",IF($Q96&gt;DiasSC,"ATRASADO","Definir data"),IF($J96&lt;Hoje,"ATRASADO",IF($J96=Hoje,"HOJE","Em dia"))))</f>
        <v/>
      </c>
      <c r="S96" s="23">
        <f>IF($R96="","",IF(OR($R96="ATRASADO",$R96="HOJE",$R96="Definir data"),COUNTIF($R$5:$R96,"ATRASADO")+COUNTIF($R$5:$R96,"HOJE")+COUNTIF($R$5:$R96,"Definir data"),""))</f>
        <v/>
      </c>
      <c r="T96" s="18">
        <f>IF($C96="","",IF(OR($B96="",$E96="",$F96="",$G96=""),"Preencher entrada/origem/vendedor/etapa",IF(AND(OR($P96="Ganho",$P96="Perdido"),$K96=""),"Falta data de fechamento",IF(AND($P96="Perdido",$L96=""),"Informe o motivo da perda","OK"))))</f>
        <v/>
      </c>
    </row>
    <row r="97" spans="1:20">
      <c r="A97" s="18">
        <f>IF($C97="","",ROW()-4)</f>
        <v/>
      </c>
      <c r="B97" s="19"/>
      <c r="C97" s="13"/>
      <c r="D97" s="13"/>
      <c r="E97" s="13"/>
      <c r="F97" s="13"/>
      <c r="G97" s="13"/>
      <c r="H97" s="15"/>
      <c r="I97" s="19"/>
      <c r="J97" s="19"/>
      <c r="K97" s="19"/>
      <c r="L97" s="13"/>
      <c r="M97" s="13"/>
      <c r="N97" s="20">
        <f>IF($C97="","",IFERROR(INDEX(EtapaProb,MATCH($G97,Etapas,0)),0))</f>
        <v/>
      </c>
      <c r="O97" s="21">
        <f>IF($C97="","",IF($P97="Aberto",N($H97)*$N97,0))</f>
        <v/>
      </c>
      <c r="P97" s="18">
        <f>IF($C97="","",IF($G97="Ganho","Ganho",IF($G97="Perdido","Perdido","Aberto")))</f>
        <v/>
      </c>
      <c r="Q97" s="18">
        <f>IF(OR($C97="",$P97&lt;&gt;"Aberto"),"",IF($I97="",Hoje-$B97,Hoje-$I97))</f>
        <v/>
      </c>
      <c r="R97" s="22">
        <f>IF(OR($C97="",$P97&lt;&gt;"Aberto"),"",IF($J97="",IF($Q97&gt;DiasSC,"ATRASADO","Definir data"),IF($J97&lt;Hoje,"ATRASADO",IF($J97=Hoje,"HOJE","Em dia"))))</f>
        <v/>
      </c>
      <c r="S97" s="23">
        <f>IF($R97="","",IF(OR($R97="ATRASADO",$R97="HOJE",$R97="Definir data"),COUNTIF($R$5:$R97,"ATRASADO")+COUNTIF($R$5:$R97,"HOJE")+COUNTIF($R$5:$R97,"Definir data"),""))</f>
        <v/>
      </c>
      <c r="T97" s="18">
        <f>IF($C97="","",IF(OR($B97="",$E97="",$F97="",$G97=""),"Preencher entrada/origem/vendedor/etapa",IF(AND(OR($P97="Ganho",$P97="Perdido"),$K97=""),"Falta data de fechamento",IF(AND($P97="Perdido",$L97=""),"Informe o motivo da perda","OK"))))</f>
        <v/>
      </c>
    </row>
    <row r="98" spans="1:20">
      <c r="A98" s="18">
        <f>IF($C98="","",ROW()-4)</f>
        <v/>
      </c>
      <c r="B98" s="19"/>
      <c r="C98" s="13"/>
      <c r="D98" s="13"/>
      <c r="E98" s="13"/>
      <c r="F98" s="13"/>
      <c r="G98" s="13"/>
      <c r="H98" s="15"/>
      <c r="I98" s="19"/>
      <c r="J98" s="19"/>
      <c r="K98" s="19"/>
      <c r="L98" s="13"/>
      <c r="M98" s="13"/>
      <c r="N98" s="20">
        <f>IF($C98="","",IFERROR(INDEX(EtapaProb,MATCH($G98,Etapas,0)),0))</f>
        <v/>
      </c>
      <c r="O98" s="21">
        <f>IF($C98="","",IF($P98="Aberto",N($H98)*$N98,0))</f>
        <v/>
      </c>
      <c r="P98" s="18">
        <f>IF($C98="","",IF($G98="Ganho","Ganho",IF($G98="Perdido","Perdido","Aberto")))</f>
        <v/>
      </c>
      <c r="Q98" s="18">
        <f>IF(OR($C98="",$P98&lt;&gt;"Aberto"),"",IF($I98="",Hoje-$B98,Hoje-$I98))</f>
        <v/>
      </c>
      <c r="R98" s="22">
        <f>IF(OR($C98="",$P98&lt;&gt;"Aberto"),"",IF($J98="",IF($Q98&gt;DiasSC,"ATRASADO","Definir data"),IF($J98&lt;Hoje,"ATRASADO",IF($J98=Hoje,"HOJE","Em dia"))))</f>
        <v/>
      </c>
      <c r="S98" s="23">
        <f>IF($R98="","",IF(OR($R98="ATRASADO",$R98="HOJE",$R98="Definir data"),COUNTIF($R$5:$R98,"ATRASADO")+COUNTIF($R$5:$R98,"HOJE")+COUNTIF($R$5:$R98,"Definir data"),""))</f>
        <v/>
      </c>
      <c r="T98" s="18">
        <f>IF($C98="","",IF(OR($B98="",$E98="",$F98="",$G98=""),"Preencher entrada/origem/vendedor/etapa",IF(AND(OR($P98="Ganho",$P98="Perdido"),$K98=""),"Falta data de fechamento",IF(AND($P98="Perdido",$L98=""),"Informe o motivo da perda","OK"))))</f>
        <v/>
      </c>
    </row>
    <row r="99" spans="1:20">
      <c r="A99" s="18">
        <f>IF($C99="","",ROW()-4)</f>
        <v/>
      </c>
      <c r="B99" s="19"/>
      <c r="C99" s="13"/>
      <c r="D99" s="13"/>
      <c r="E99" s="13"/>
      <c r="F99" s="13"/>
      <c r="G99" s="13"/>
      <c r="H99" s="15"/>
      <c r="I99" s="19"/>
      <c r="J99" s="19"/>
      <c r="K99" s="19"/>
      <c r="L99" s="13"/>
      <c r="M99" s="13"/>
      <c r="N99" s="20">
        <f>IF($C99="","",IFERROR(INDEX(EtapaProb,MATCH($G99,Etapas,0)),0))</f>
        <v/>
      </c>
      <c r="O99" s="21">
        <f>IF($C99="","",IF($P99="Aberto",N($H99)*$N99,0))</f>
        <v/>
      </c>
      <c r="P99" s="18">
        <f>IF($C99="","",IF($G99="Ganho","Ganho",IF($G99="Perdido","Perdido","Aberto")))</f>
        <v/>
      </c>
      <c r="Q99" s="18">
        <f>IF(OR($C99="",$P99&lt;&gt;"Aberto"),"",IF($I99="",Hoje-$B99,Hoje-$I99))</f>
        <v/>
      </c>
      <c r="R99" s="22">
        <f>IF(OR($C99="",$P99&lt;&gt;"Aberto"),"",IF($J99="",IF($Q99&gt;DiasSC,"ATRASADO","Definir data"),IF($J99&lt;Hoje,"ATRASADO",IF($J99=Hoje,"HOJE","Em dia"))))</f>
        <v/>
      </c>
      <c r="S99" s="23">
        <f>IF($R99="","",IF(OR($R99="ATRASADO",$R99="HOJE",$R99="Definir data"),COUNTIF($R$5:$R99,"ATRASADO")+COUNTIF($R$5:$R99,"HOJE")+COUNTIF($R$5:$R99,"Definir data"),""))</f>
        <v/>
      </c>
      <c r="T99" s="18">
        <f>IF($C99="","",IF(OR($B99="",$E99="",$F99="",$G99=""),"Preencher entrada/origem/vendedor/etapa",IF(AND(OR($P99="Ganho",$P99="Perdido"),$K99=""),"Falta data de fechamento",IF(AND($P99="Perdido",$L99=""),"Informe o motivo da perda","OK"))))</f>
        <v/>
      </c>
    </row>
    <row r="100" spans="1:20">
      <c r="A100" s="18">
        <f>IF($C100="","",ROW()-4)</f>
        <v/>
      </c>
      <c r="B100" s="19"/>
      <c r="C100" s="13"/>
      <c r="D100" s="13"/>
      <c r="E100" s="13"/>
      <c r="F100" s="13"/>
      <c r="G100" s="13"/>
      <c r="H100" s="15"/>
      <c r="I100" s="19"/>
      <c r="J100" s="19"/>
      <c r="K100" s="19"/>
      <c r="L100" s="13"/>
      <c r="M100" s="13"/>
      <c r="N100" s="20">
        <f>IF($C100="","",IFERROR(INDEX(EtapaProb,MATCH($G100,Etapas,0)),0))</f>
        <v/>
      </c>
      <c r="O100" s="21">
        <f>IF($C100="","",IF($P100="Aberto",N($H100)*$N100,0))</f>
        <v/>
      </c>
      <c r="P100" s="18">
        <f>IF($C100="","",IF($G100="Ganho","Ganho",IF($G100="Perdido","Perdido","Aberto")))</f>
        <v/>
      </c>
      <c r="Q100" s="18">
        <f>IF(OR($C100="",$P100&lt;&gt;"Aberto"),"",IF($I100="",Hoje-$B100,Hoje-$I100))</f>
        <v/>
      </c>
      <c r="R100" s="22">
        <f>IF(OR($C100="",$P100&lt;&gt;"Aberto"),"",IF($J100="",IF($Q100&gt;DiasSC,"ATRASADO","Definir data"),IF($J100&lt;Hoje,"ATRASADO",IF($J100=Hoje,"HOJE","Em dia"))))</f>
        <v/>
      </c>
      <c r="S100" s="23">
        <f>IF($R100="","",IF(OR($R100="ATRASADO",$R100="HOJE",$R100="Definir data"),COUNTIF($R$5:$R100,"ATRASADO")+COUNTIF($R$5:$R100,"HOJE")+COUNTIF($R$5:$R100,"Definir data"),""))</f>
        <v/>
      </c>
      <c r="T100" s="18">
        <f>IF($C100="","",IF(OR($B100="",$E100="",$F100="",$G100=""),"Preencher entrada/origem/vendedor/etapa",IF(AND(OR($P100="Ganho",$P100="Perdido"),$K100=""),"Falta data de fechamento",IF(AND($P100="Perdido",$L100=""),"Informe o motivo da perda","OK"))))</f>
        <v/>
      </c>
    </row>
    <row r="101" spans="1:20">
      <c r="A101" s="18">
        <f>IF($C101="","",ROW()-4)</f>
        <v/>
      </c>
      <c r="B101" s="19"/>
      <c r="C101" s="13"/>
      <c r="D101" s="13"/>
      <c r="E101" s="13"/>
      <c r="F101" s="13"/>
      <c r="G101" s="13"/>
      <c r="H101" s="15"/>
      <c r="I101" s="19"/>
      <c r="J101" s="19"/>
      <c r="K101" s="19"/>
      <c r="L101" s="13"/>
      <c r="M101" s="13"/>
      <c r="N101" s="20">
        <f>IF($C101="","",IFERROR(INDEX(EtapaProb,MATCH($G101,Etapas,0)),0))</f>
        <v/>
      </c>
      <c r="O101" s="21">
        <f>IF($C101="","",IF($P101="Aberto",N($H101)*$N101,0))</f>
        <v/>
      </c>
      <c r="P101" s="18">
        <f>IF($C101="","",IF($G101="Ganho","Ganho",IF($G101="Perdido","Perdido","Aberto")))</f>
        <v/>
      </c>
      <c r="Q101" s="18">
        <f>IF(OR($C101="",$P101&lt;&gt;"Aberto"),"",IF($I101="",Hoje-$B101,Hoje-$I101))</f>
        <v/>
      </c>
      <c r="R101" s="22">
        <f>IF(OR($C101="",$P101&lt;&gt;"Aberto"),"",IF($J101="",IF($Q101&gt;DiasSC,"ATRASADO","Definir data"),IF($J101&lt;Hoje,"ATRASADO",IF($J101=Hoje,"HOJE","Em dia"))))</f>
        <v/>
      </c>
      <c r="S101" s="23">
        <f>IF($R101="","",IF(OR($R101="ATRASADO",$R101="HOJE",$R101="Definir data"),COUNTIF($R$5:$R101,"ATRASADO")+COUNTIF($R$5:$R101,"HOJE")+COUNTIF($R$5:$R101,"Definir data"),""))</f>
        <v/>
      </c>
      <c r="T101" s="18">
        <f>IF($C101="","",IF(OR($B101="",$E101="",$F101="",$G101=""),"Preencher entrada/origem/vendedor/etapa",IF(AND(OR($P101="Ganho",$P101="Perdido"),$K101=""),"Falta data de fechamento",IF(AND($P101="Perdido",$L101=""),"Informe o motivo da perda","OK"))))</f>
        <v/>
      </c>
    </row>
    <row r="102" spans="1:20">
      <c r="A102" s="18">
        <f>IF($C102="","",ROW()-4)</f>
        <v/>
      </c>
      <c r="B102" s="19"/>
      <c r="C102" s="13"/>
      <c r="D102" s="13"/>
      <c r="E102" s="13"/>
      <c r="F102" s="13"/>
      <c r="G102" s="13"/>
      <c r="H102" s="15"/>
      <c r="I102" s="19"/>
      <c r="J102" s="19"/>
      <c r="K102" s="19"/>
      <c r="L102" s="13"/>
      <c r="M102" s="13"/>
      <c r="N102" s="20">
        <f>IF($C102="","",IFERROR(INDEX(EtapaProb,MATCH($G102,Etapas,0)),0))</f>
        <v/>
      </c>
      <c r="O102" s="21">
        <f>IF($C102="","",IF($P102="Aberto",N($H102)*$N102,0))</f>
        <v/>
      </c>
      <c r="P102" s="18">
        <f>IF($C102="","",IF($G102="Ganho","Ganho",IF($G102="Perdido","Perdido","Aberto")))</f>
        <v/>
      </c>
      <c r="Q102" s="18">
        <f>IF(OR($C102="",$P102&lt;&gt;"Aberto"),"",IF($I102="",Hoje-$B102,Hoje-$I102))</f>
        <v/>
      </c>
      <c r="R102" s="22">
        <f>IF(OR($C102="",$P102&lt;&gt;"Aberto"),"",IF($J102="",IF($Q102&gt;DiasSC,"ATRASADO","Definir data"),IF($J102&lt;Hoje,"ATRASADO",IF($J102=Hoje,"HOJE","Em dia"))))</f>
        <v/>
      </c>
      <c r="S102" s="23">
        <f>IF($R102="","",IF(OR($R102="ATRASADO",$R102="HOJE",$R102="Definir data"),COUNTIF($R$5:$R102,"ATRASADO")+COUNTIF($R$5:$R102,"HOJE")+COUNTIF($R$5:$R102,"Definir data"),""))</f>
        <v/>
      </c>
      <c r="T102" s="18">
        <f>IF($C102="","",IF(OR($B102="",$E102="",$F102="",$G102=""),"Preencher entrada/origem/vendedor/etapa",IF(AND(OR($P102="Ganho",$P102="Perdido"),$K102=""),"Falta data de fechamento",IF(AND($P102="Perdido",$L102=""),"Informe o motivo da perda","OK"))))</f>
        <v/>
      </c>
    </row>
    <row r="103" spans="1:20">
      <c r="A103" s="18">
        <f>IF($C103="","",ROW()-4)</f>
        <v/>
      </c>
      <c r="B103" s="19"/>
      <c r="C103" s="13"/>
      <c r="D103" s="13"/>
      <c r="E103" s="13"/>
      <c r="F103" s="13"/>
      <c r="G103" s="13"/>
      <c r="H103" s="15"/>
      <c r="I103" s="19"/>
      <c r="J103" s="19"/>
      <c r="K103" s="19"/>
      <c r="L103" s="13"/>
      <c r="M103" s="13"/>
      <c r="N103" s="20">
        <f>IF($C103="","",IFERROR(INDEX(EtapaProb,MATCH($G103,Etapas,0)),0))</f>
        <v/>
      </c>
      <c r="O103" s="21">
        <f>IF($C103="","",IF($P103="Aberto",N($H103)*$N103,0))</f>
        <v/>
      </c>
      <c r="P103" s="18">
        <f>IF($C103="","",IF($G103="Ganho","Ganho",IF($G103="Perdido","Perdido","Aberto")))</f>
        <v/>
      </c>
      <c r="Q103" s="18">
        <f>IF(OR($C103="",$P103&lt;&gt;"Aberto"),"",IF($I103="",Hoje-$B103,Hoje-$I103))</f>
        <v/>
      </c>
      <c r="R103" s="22">
        <f>IF(OR($C103="",$P103&lt;&gt;"Aberto"),"",IF($J103="",IF($Q103&gt;DiasSC,"ATRASADO","Definir data"),IF($J103&lt;Hoje,"ATRASADO",IF($J103=Hoje,"HOJE","Em dia"))))</f>
        <v/>
      </c>
      <c r="S103" s="23">
        <f>IF($R103="","",IF(OR($R103="ATRASADO",$R103="HOJE",$R103="Definir data"),COUNTIF($R$5:$R103,"ATRASADO")+COUNTIF($R$5:$R103,"HOJE")+COUNTIF($R$5:$R103,"Definir data"),""))</f>
        <v/>
      </c>
      <c r="T103" s="18">
        <f>IF($C103="","",IF(OR($B103="",$E103="",$F103="",$G103=""),"Preencher entrada/origem/vendedor/etapa",IF(AND(OR($P103="Ganho",$P103="Perdido"),$K103=""),"Falta data de fechamento",IF(AND($P103="Perdido",$L103=""),"Informe o motivo da perda","OK"))))</f>
        <v/>
      </c>
    </row>
    <row r="104" spans="1:20">
      <c r="A104" s="18">
        <f>IF($C104="","",ROW()-4)</f>
        <v/>
      </c>
      <c r="B104" s="19"/>
      <c r="C104" s="13"/>
      <c r="D104" s="13"/>
      <c r="E104" s="13"/>
      <c r="F104" s="13"/>
      <c r="G104" s="13"/>
      <c r="H104" s="15"/>
      <c r="I104" s="19"/>
      <c r="J104" s="19"/>
      <c r="K104" s="19"/>
      <c r="L104" s="13"/>
      <c r="M104" s="13"/>
      <c r="N104" s="20">
        <f>IF($C104="","",IFERROR(INDEX(EtapaProb,MATCH($G104,Etapas,0)),0))</f>
        <v/>
      </c>
      <c r="O104" s="21">
        <f>IF($C104="","",IF($P104="Aberto",N($H104)*$N104,0))</f>
        <v/>
      </c>
      <c r="P104" s="18">
        <f>IF($C104="","",IF($G104="Ganho","Ganho",IF($G104="Perdido","Perdido","Aberto")))</f>
        <v/>
      </c>
      <c r="Q104" s="18">
        <f>IF(OR($C104="",$P104&lt;&gt;"Aberto"),"",IF($I104="",Hoje-$B104,Hoje-$I104))</f>
        <v/>
      </c>
      <c r="R104" s="22">
        <f>IF(OR($C104="",$P104&lt;&gt;"Aberto"),"",IF($J104="",IF($Q104&gt;DiasSC,"ATRASADO","Definir data"),IF($J104&lt;Hoje,"ATRASADO",IF($J104=Hoje,"HOJE","Em dia"))))</f>
        <v/>
      </c>
      <c r="S104" s="23">
        <f>IF($R104="","",IF(OR($R104="ATRASADO",$R104="HOJE",$R104="Definir data"),COUNTIF($R$5:$R104,"ATRASADO")+COUNTIF($R$5:$R104,"HOJE")+COUNTIF($R$5:$R104,"Definir data"),""))</f>
        <v/>
      </c>
      <c r="T104" s="18">
        <f>IF($C104="","",IF(OR($B104="",$E104="",$F104="",$G104=""),"Preencher entrada/origem/vendedor/etapa",IF(AND(OR($P104="Ganho",$P104="Perdido"),$K104=""),"Falta data de fechamento",IF(AND($P104="Perdido",$L104=""),"Informe o motivo da perda","OK"))))</f>
        <v/>
      </c>
    </row>
    <row r="105" spans="1:20">
      <c r="A105" s="18">
        <f>IF($C105="","",ROW()-4)</f>
        <v/>
      </c>
      <c r="B105" s="19"/>
      <c r="C105" s="13"/>
      <c r="D105" s="13"/>
      <c r="E105" s="13"/>
      <c r="F105" s="13"/>
      <c r="G105" s="13"/>
      <c r="H105" s="15"/>
      <c r="I105" s="19"/>
      <c r="J105" s="19"/>
      <c r="K105" s="19"/>
      <c r="L105" s="13"/>
      <c r="M105" s="13"/>
      <c r="N105" s="20">
        <f>IF($C105="","",IFERROR(INDEX(EtapaProb,MATCH($G105,Etapas,0)),0))</f>
        <v/>
      </c>
      <c r="O105" s="21">
        <f>IF($C105="","",IF($P105="Aberto",N($H105)*$N105,0))</f>
        <v/>
      </c>
      <c r="P105" s="18">
        <f>IF($C105="","",IF($G105="Ganho","Ganho",IF($G105="Perdido","Perdido","Aberto")))</f>
        <v/>
      </c>
      <c r="Q105" s="18">
        <f>IF(OR($C105="",$P105&lt;&gt;"Aberto"),"",IF($I105="",Hoje-$B105,Hoje-$I105))</f>
        <v/>
      </c>
      <c r="R105" s="22">
        <f>IF(OR($C105="",$P105&lt;&gt;"Aberto"),"",IF($J105="",IF($Q105&gt;DiasSC,"ATRASADO","Definir data"),IF($J105&lt;Hoje,"ATRASADO",IF($J105=Hoje,"HOJE","Em dia"))))</f>
        <v/>
      </c>
      <c r="S105" s="23">
        <f>IF($R105="","",IF(OR($R105="ATRASADO",$R105="HOJE",$R105="Definir data"),COUNTIF($R$5:$R105,"ATRASADO")+COUNTIF($R$5:$R105,"HOJE")+COUNTIF($R$5:$R105,"Definir data"),""))</f>
        <v/>
      </c>
      <c r="T105" s="18">
        <f>IF($C105="","",IF(OR($B105="",$E105="",$F105="",$G105=""),"Preencher entrada/origem/vendedor/etapa",IF(AND(OR($P105="Ganho",$P105="Perdido"),$K105=""),"Falta data de fechamento",IF(AND($P105="Perdido",$L105=""),"Informe o motivo da perda","OK"))))</f>
        <v/>
      </c>
    </row>
    <row r="106" spans="1:20">
      <c r="A106" s="18">
        <f>IF($C106="","",ROW()-4)</f>
        <v/>
      </c>
      <c r="B106" s="19"/>
      <c r="C106" s="13"/>
      <c r="D106" s="13"/>
      <c r="E106" s="13"/>
      <c r="F106" s="13"/>
      <c r="G106" s="13"/>
      <c r="H106" s="15"/>
      <c r="I106" s="19"/>
      <c r="J106" s="19"/>
      <c r="K106" s="19"/>
      <c r="L106" s="13"/>
      <c r="M106" s="13"/>
      <c r="N106" s="20">
        <f>IF($C106="","",IFERROR(INDEX(EtapaProb,MATCH($G106,Etapas,0)),0))</f>
        <v/>
      </c>
      <c r="O106" s="21">
        <f>IF($C106="","",IF($P106="Aberto",N($H106)*$N106,0))</f>
        <v/>
      </c>
      <c r="P106" s="18">
        <f>IF($C106="","",IF($G106="Ganho","Ganho",IF($G106="Perdido","Perdido","Aberto")))</f>
        <v/>
      </c>
      <c r="Q106" s="18">
        <f>IF(OR($C106="",$P106&lt;&gt;"Aberto"),"",IF($I106="",Hoje-$B106,Hoje-$I106))</f>
        <v/>
      </c>
      <c r="R106" s="22">
        <f>IF(OR($C106="",$P106&lt;&gt;"Aberto"),"",IF($J106="",IF($Q106&gt;DiasSC,"ATRASADO","Definir data"),IF($J106&lt;Hoje,"ATRASADO",IF($J106=Hoje,"HOJE","Em dia"))))</f>
        <v/>
      </c>
      <c r="S106" s="23">
        <f>IF($R106="","",IF(OR($R106="ATRASADO",$R106="HOJE",$R106="Definir data"),COUNTIF($R$5:$R106,"ATRASADO")+COUNTIF($R$5:$R106,"HOJE")+COUNTIF($R$5:$R106,"Definir data"),""))</f>
        <v/>
      </c>
      <c r="T106" s="18">
        <f>IF($C106="","",IF(OR($B106="",$E106="",$F106="",$G106=""),"Preencher entrada/origem/vendedor/etapa",IF(AND(OR($P106="Ganho",$P106="Perdido"),$K106=""),"Falta data de fechamento",IF(AND($P106="Perdido",$L106=""),"Informe o motivo da perda","OK"))))</f>
        <v/>
      </c>
    </row>
    <row r="107" spans="1:20">
      <c r="A107" s="18">
        <f>IF($C107="","",ROW()-4)</f>
        <v/>
      </c>
      <c r="B107" s="19"/>
      <c r="C107" s="13"/>
      <c r="D107" s="13"/>
      <c r="E107" s="13"/>
      <c r="F107" s="13"/>
      <c r="G107" s="13"/>
      <c r="H107" s="15"/>
      <c r="I107" s="19"/>
      <c r="J107" s="19"/>
      <c r="K107" s="19"/>
      <c r="L107" s="13"/>
      <c r="M107" s="13"/>
      <c r="N107" s="20">
        <f>IF($C107="","",IFERROR(INDEX(EtapaProb,MATCH($G107,Etapas,0)),0))</f>
        <v/>
      </c>
      <c r="O107" s="21">
        <f>IF($C107="","",IF($P107="Aberto",N($H107)*$N107,0))</f>
        <v/>
      </c>
      <c r="P107" s="18">
        <f>IF($C107="","",IF($G107="Ganho","Ganho",IF($G107="Perdido","Perdido","Aberto")))</f>
        <v/>
      </c>
      <c r="Q107" s="18">
        <f>IF(OR($C107="",$P107&lt;&gt;"Aberto"),"",IF($I107="",Hoje-$B107,Hoje-$I107))</f>
        <v/>
      </c>
      <c r="R107" s="22">
        <f>IF(OR($C107="",$P107&lt;&gt;"Aberto"),"",IF($J107="",IF($Q107&gt;DiasSC,"ATRASADO","Definir data"),IF($J107&lt;Hoje,"ATRASADO",IF($J107=Hoje,"HOJE","Em dia"))))</f>
        <v/>
      </c>
      <c r="S107" s="23">
        <f>IF($R107="","",IF(OR($R107="ATRASADO",$R107="HOJE",$R107="Definir data"),COUNTIF($R$5:$R107,"ATRASADO")+COUNTIF($R$5:$R107,"HOJE")+COUNTIF($R$5:$R107,"Definir data"),""))</f>
        <v/>
      </c>
      <c r="T107" s="18">
        <f>IF($C107="","",IF(OR($B107="",$E107="",$F107="",$G107=""),"Preencher entrada/origem/vendedor/etapa",IF(AND(OR($P107="Ganho",$P107="Perdido"),$K107=""),"Falta data de fechamento",IF(AND($P107="Perdido",$L107=""),"Informe o motivo da perda","OK"))))</f>
        <v/>
      </c>
    </row>
    <row r="108" spans="1:20">
      <c r="A108" s="18">
        <f>IF($C108="","",ROW()-4)</f>
        <v/>
      </c>
      <c r="B108" s="19"/>
      <c r="C108" s="13"/>
      <c r="D108" s="13"/>
      <c r="E108" s="13"/>
      <c r="F108" s="13"/>
      <c r="G108" s="13"/>
      <c r="H108" s="15"/>
      <c r="I108" s="19"/>
      <c r="J108" s="19"/>
      <c r="K108" s="19"/>
      <c r="L108" s="13"/>
      <c r="M108" s="13"/>
      <c r="N108" s="20">
        <f>IF($C108="","",IFERROR(INDEX(EtapaProb,MATCH($G108,Etapas,0)),0))</f>
        <v/>
      </c>
      <c r="O108" s="21">
        <f>IF($C108="","",IF($P108="Aberto",N($H108)*$N108,0))</f>
        <v/>
      </c>
      <c r="P108" s="18">
        <f>IF($C108="","",IF($G108="Ganho","Ganho",IF($G108="Perdido","Perdido","Aberto")))</f>
        <v/>
      </c>
      <c r="Q108" s="18">
        <f>IF(OR($C108="",$P108&lt;&gt;"Aberto"),"",IF($I108="",Hoje-$B108,Hoje-$I108))</f>
        <v/>
      </c>
      <c r="R108" s="22">
        <f>IF(OR($C108="",$P108&lt;&gt;"Aberto"),"",IF($J108="",IF($Q108&gt;DiasSC,"ATRASADO","Definir data"),IF($J108&lt;Hoje,"ATRASADO",IF($J108=Hoje,"HOJE","Em dia"))))</f>
        <v/>
      </c>
      <c r="S108" s="23">
        <f>IF($R108="","",IF(OR($R108="ATRASADO",$R108="HOJE",$R108="Definir data"),COUNTIF($R$5:$R108,"ATRASADO")+COUNTIF($R$5:$R108,"HOJE")+COUNTIF($R$5:$R108,"Definir data"),""))</f>
        <v/>
      </c>
      <c r="T108" s="18">
        <f>IF($C108="","",IF(OR($B108="",$E108="",$F108="",$G108=""),"Preencher entrada/origem/vendedor/etapa",IF(AND(OR($P108="Ganho",$P108="Perdido"),$K108=""),"Falta data de fechamento",IF(AND($P108="Perdido",$L108=""),"Informe o motivo da perda","OK"))))</f>
        <v/>
      </c>
    </row>
    <row r="109" spans="1:20">
      <c r="A109" s="18">
        <f>IF($C109="","",ROW()-4)</f>
        <v/>
      </c>
      <c r="B109" s="19"/>
      <c r="C109" s="13"/>
      <c r="D109" s="13"/>
      <c r="E109" s="13"/>
      <c r="F109" s="13"/>
      <c r="G109" s="13"/>
      <c r="H109" s="15"/>
      <c r="I109" s="19"/>
      <c r="J109" s="19"/>
      <c r="K109" s="19"/>
      <c r="L109" s="13"/>
      <c r="M109" s="13"/>
      <c r="N109" s="20">
        <f>IF($C109="","",IFERROR(INDEX(EtapaProb,MATCH($G109,Etapas,0)),0))</f>
        <v/>
      </c>
      <c r="O109" s="21">
        <f>IF($C109="","",IF($P109="Aberto",N($H109)*$N109,0))</f>
        <v/>
      </c>
      <c r="P109" s="18">
        <f>IF($C109="","",IF($G109="Ganho","Ganho",IF($G109="Perdido","Perdido","Aberto")))</f>
        <v/>
      </c>
      <c r="Q109" s="18">
        <f>IF(OR($C109="",$P109&lt;&gt;"Aberto"),"",IF($I109="",Hoje-$B109,Hoje-$I109))</f>
        <v/>
      </c>
      <c r="R109" s="22">
        <f>IF(OR($C109="",$P109&lt;&gt;"Aberto"),"",IF($J109="",IF($Q109&gt;DiasSC,"ATRASADO","Definir data"),IF($J109&lt;Hoje,"ATRASADO",IF($J109=Hoje,"HOJE","Em dia"))))</f>
        <v/>
      </c>
      <c r="S109" s="23">
        <f>IF($R109="","",IF(OR($R109="ATRASADO",$R109="HOJE",$R109="Definir data"),COUNTIF($R$5:$R109,"ATRASADO")+COUNTIF($R$5:$R109,"HOJE")+COUNTIF($R$5:$R109,"Definir data"),""))</f>
        <v/>
      </c>
      <c r="T109" s="18">
        <f>IF($C109="","",IF(OR($B109="",$E109="",$F109="",$G109=""),"Preencher entrada/origem/vendedor/etapa",IF(AND(OR($P109="Ganho",$P109="Perdido"),$K109=""),"Falta data de fechamento",IF(AND($P109="Perdido",$L109=""),"Informe o motivo da perda","OK"))))</f>
        <v/>
      </c>
    </row>
    <row r="110" spans="1:20">
      <c r="A110" s="18">
        <f>IF($C110="","",ROW()-4)</f>
        <v/>
      </c>
      <c r="B110" s="19"/>
      <c r="C110" s="13"/>
      <c r="D110" s="13"/>
      <c r="E110" s="13"/>
      <c r="F110" s="13"/>
      <c r="G110" s="13"/>
      <c r="H110" s="15"/>
      <c r="I110" s="19"/>
      <c r="J110" s="19"/>
      <c r="K110" s="19"/>
      <c r="L110" s="13"/>
      <c r="M110" s="13"/>
      <c r="N110" s="20">
        <f>IF($C110="","",IFERROR(INDEX(EtapaProb,MATCH($G110,Etapas,0)),0))</f>
        <v/>
      </c>
      <c r="O110" s="21">
        <f>IF($C110="","",IF($P110="Aberto",N($H110)*$N110,0))</f>
        <v/>
      </c>
      <c r="P110" s="18">
        <f>IF($C110="","",IF($G110="Ganho","Ganho",IF($G110="Perdido","Perdido","Aberto")))</f>
        <v/>
      </c>
      <c r="Q110" s="18">
        <f>IF(OR($C110="",$P110&lt;&gt;"Aberto"),"",IF($I110="",Hoje-$B110,Hoje-$I110))</f>
        <v/>
      </c>
      <c r="R110" s="22">
        <f>IF(OR($C110="",$P110&lt;&gt;"Aberto"),"",IF($J110="",IF($Q110&gt;DiasSC,"ATRASADO","Definir data"),IF($J110&lt;Hoje,"ATRASADO",IF($J110=Hoje,"HOJE","Em dia"))))</f>
        <v/>
      </c>
      <c r="S110" s="23">
        <f>IF($R110="","",IF(OR($R110="ATRASADO",$R110="HOJE",$R110="Definir data"),COUNTIF($R$5:$R110,"ATRASADO")+COUNTIF($R$5:$R110,"HOJE")+COUNTIF($R$5:$R110,"Definir data"),""))</f>
        <v/>
      </c>
      <c r="T110" s="18">
        <f>IF($C110="","",IF(OR($B110="",$E110="",$F110="",$G110=""),"Preencher entrada/origem/vendedor/etapa",IF(AND(OR($P110="Ganho",$P110="Perdido"),$K110=""),"Falta data de fechamento",IF(AND($P110="Perdido",$L110=""),"Informe o motivo da perda","OK"))))</f>
        <v/>
      </c>
    </row>
    <row r="111" spans="1:20">
      <c r="A111" s="18">
        <f>IF($C111="","",ROW()-4)</f>
        <v/>
      </c>
      <c r="B111" s="19"/>
      <c r="C111" s="13"/>
      <c r="D111" s="13"/>
      <c r="E111" s="13"/>
      <c r="F111" s="13"/>
      <c r="G111" s="13"/>
      <c r="H111" s="15"/>
      <c r="I111" s="19"/>
      <c r="J111" s="19"/>
      <c r="K111" s="19"/>
      <c r="L111" s="13"/>
      <c r="M111" s="13"/>
      <c r="N111" s="20">
        <f>IF($C111="","",IFERROR(INDEX(EtapaProb,MATCH($G111,Etapas,0)),0))</f>
        <v/>
      </c>
      <c r="O111" s="21">
        <f>IF($C111="","",IF($P111="Aberto",N($H111)*$N111,0))</f>
        <v/>
      </c>
      <c r="P111" s="18">
        <f>IF($C111="","",IF($G111="Ganho","Ganho",IF($G111="Perdido","Perdido","Aberto")))</f>
        <v/>
      </c>
      <c r="Q111" s="18">
        <f>IF(OR($C111="",$P111&lt;&gt;"Aberto"),"",IF($I111="",Hoje-$B111,Hoje-$I111))</f>
        <v/>
      </c>
      <c r="R111" s="22">
        <f>IF(OR($C111="",$P111&lt;&gt;"Aberto"),"",IF($J111="",IF($Q111&gt;DiasSC,"ATRASADO","Definir data"),IF($J111&lt;Hoje,"ATRASADO",IF($J111=Hoje,"HOJE","Em dia"))))</f>
        <v/>
      </c>
      <c r="S111" s="23">
        <f>IF($R111="","",IF(OR($R111="ATRASADO",$R111="HOJE",$R111="Definir data"),COUNTIF($R$5:$R111,"ATRASADO")+COUNTIF($R$5:$R111,"HOJE")+COUNTIF($R$5:$R111,"Definir data"),""))</f>
        <v/>
      </c>
      <c r="T111" s="18">
        <f>IF($C111="","",IF(OR($B111="",$E111="",$F111="",$G111=""),"Preencher entrada/origem/vendedor/etapa",IF(AND(OR($P111="Ganho",$P111="Perdido"),$K111=""),"Falta data de fechamento",IF(AND($P111="Perdido",$L111=""),"Informe o motivo da perda","OK"))))</f>
        <v/>
      </c>
    </row>
    <row r="112" spans="1:20">
      <c r="A112" s="18">
        <f>IF($C112="","",ROW()-4)</f>
        <v/>
      </c>
      <c r="B112" s="19"/>
      <c r="C112" s="13"/>
      <c r="D112" s="13"/>
      <c r="E112" s="13"/>
      <c r="F112" s="13"/>
      <c r="G112" s="13"/>
      <c r="H112" s="15"/>
      <c r="I112" s="19"/>
      <c r="J112" s="19"/>
      <c r="K112" s="19"/>
      <c r="L112" s="13"/>
      <c r="M112" s="13"/>
      <c r="N112" s="20">
        <f>IF($C112="","",IFERROR(INDEX(EtapaProb,MATCH($G112,Etapas,0)),0))</f>
        <v/>
      </c>
      <c r="O112" s="21">
        <f>IF($C112="","",IF($P112="Aberto",N($H112)*$N112,0))</f>
        <v/>
      </c>
      <c r="P112" s="18">
        <f>IF($C112="","",IF($G112="Ganho","Ganho",IF($G112="Perdido","Perdido","Aberto")))</f>
        <v/>
      </c>
      <c r="Q112" s="18">
        <f>IF(OR($C112="",$P112&lt;&gt;"Aberto"),"",IF($I112="",Hoje-$B112,Hoje-$I112))</f>
        <v/>
      </c>
      <c r="R112" s="22">
        <f>IF(OR($C112="",$P112&lt;&gt;"Aberto"),"",IF($J112="",IF($Q112&gt;DiasSC,"ATRASADO","Definir data"),IF($J112&lt;Hoje,"ATRASADO",IF($J112=Hoje,"HOJE","Em dia"))))</f>
        <v/>
      </c>
      <c r="S112" s="23">
        <f>IF($R112="","",IF(OR($R112="ATRASADO",$R112="HOJE",$R112="Definir data"),COUNTIF($R$5:$R112,"ATRASADO")+COUNTIF($R$5:$R112,"HOJE")+COUNTIF($R$5:$R112,"Definir data"),""))</f>
        <v/>
      </c>
      <c r="T112" s="18">
        <f>IF($C112="","",IF(OR($B112="",$E112="",$F112="",$G112=""),"Preencher entrada/origem/vendedor/etapa",IF(AND(OR($P112="Ganho",$P112="Perdido"),$K112=""),"Falta data de fechamento",IF(AND($P112="Perdido",$L112=""),"Informe o motivo da perda","OK"))))</f>
        <v/>
      </c>
    </row>
    <row r="113" spans="1:20">
      <c r="A113" s="18">
        <f>IF($C113="","",ROW()-4)</f>
        <v/>
      </c>
      <c r="B113" s="19"/>
      <c r="C113" s="13"/>
      <c r="D113" s="13"/>
      <c r="E113" s="13"/>
      <c r="F113" s="13"/>
      <c r="G113" s="13"/>
      <c r="H113" s="15"/>
      <c r="I113" s="19"/>
      <c r="J113" s="19"/>
      <c r="K113" s="19"/>
      <c r="L113" s="13"/>
      <c r="M113" s="13"/>
      <c r="N113" s="20">
        <f>IF($C113="","",IFERROR(INDEX(EtapaProb,MATCH($G113,Etapas,0)),0))</f>
        <v/>
      </c>
      <c r="O113" s="21">
        <f>IF($C113="","",IF($P113="Aberto",N($H113)*$N113,0))</f>
        <v/>
      </c>
      <c r="P113" s="18">
        <f>IF($C113="","",IF($G113="Ganho","Ganho",IF($G113="Perdido","Perdido","Aberto")))</f>
        <v/>
      </c>
      <c r="Q113" s="18">
        <f>IF(OR($C113="",$P113&lt;&gt;"Aberto"),"",IF($I113="",Hoje-$B113,Hoje-$I113))</f>
        <v/>
      </c>
      <c r="R113" s="22">
        <f>IF(OR($C113="",$P113&lt;&gt;"Aberto"),"",IF($J113="",IF($Q113&gt;DiasSC,"ATRASADO","Definir data"),IF($J113&lt;Hoje,"ATRASADO",IF($J113=Hoje,"HOJE","Em dia"))))</f>
        <v/>
      </c>
      <c r="S113" s="23">
        <f>IF($R113="","",IF(OR($R113="ATRASADO",$R113="HOJE",$R113="Definir data"),COUNTIF($R$5:$R113,"ATRASADO")+COUNTIF($R$5:$R113,"HOJE")+COUNTIF($R$5:$R113,"Definir data"),""))</f>
        <v/>
      </c>
      <c r="T113" s="18">
        <f>IF($C113="","",IF(OR($B113="",$E113="",$F113="",$G113=""),"Preencher entrada/origem/vendedor/etapa",IF(AND(OR($P113="Ganho",$P113="Perdido"),$K113=""),"Falta data de fechamento",IF(AND($P113="Perdido",$L113=""),"Informe o motivo da perda","OK"))))</f>
        <v/>
      </c>
    </row>
    <row r="114" spans="1:20">
      <c r="A114" s="18">
        <f>IF($C114="","",ROW()-4)</f>
        <v/>
      </c>
      <c r="B114" s="19"/>
      <c r="C114" s="13"/>
      <c r="D114" s="13"/>
      <c r="E114" s="13"/>
      <c r="F114" s="13"/>
      <c r="G114" s="13"/>
      <c r="H114" s="15"/>
      <c r="I114" s="19"/>
      <c r="J114" s="19"/>
      <c r="K114" s="19"/>
      <c r="L114" s="13"/>
      <c r="M114" s="13"/>
      <c r="N114" s="20">
        <f>IF($C114="","",IFERROR(INDEX(EtapaProb,MATCH($G114,Etapas,0)),0))</f>
        <v/>
      </c>
      <c r="O114" s="21">
        <f>IF($C114="","",IF($P114="Aberto",N($H114)*$N114,0))</f>
        <v/>
      </c>
      <c r="P114" s="18">
        <f>IF($C114="","",IF($G114="Ganho","Ganho",IF($G114="Perdido","Perdido","Aberto")))</f>
        <v/>
      </c>
      <c r="Q114" s="18">
        <f>IF(OR($C114="",$P114&lt;&gt;"Aberto"),"",IF($I114="",Hoje-$B114,Hoje-$I114))</f>
        <v/>
      </c>
      <c r="R114" s="22">
        <f>IF(OR($C114="",$P114&lt;&gt;"Aberto"),"",IF($J114="",IF($Q114&gt;DiasSC,"ATRASADO","Definir data"),IF($J114&lt;Hoje,"ATRASADO",IF($J114=Hoje,"HOJE","Em dia"))))</f>
        <v/>
      </c>
      <c r="S114" s="23">
        <f>IF($R114="","",IF(OR($R114="ATRASADO",$R114="HOJE",$R114="Definir data"),COUNTIF($R$5:$R114,"ATRASADO")+COUNTIF($R$5:$R114,"HOJE")+COUNTIF($R$5:$R114,"Definir data"),""))</f>
        <v/>
      </c>
      <c r="T114" s="18">
        <f>IF($C114="","",IF(OR($B114="",$E114="",$F114="",$G114=""),"Preencher entrada/origem/vendedor/etapa",IF(AND(OR($P114="Ganho",$P114="Perdido"),$K114=""),"Falta data de fechamento",IF(AND($P114="Perdido",$L114=""),"Informe o motivo da perda","OK"))))</f>
        <v/>
      </c>
    </row>
    <row r="115" spans="1:20">
      <c r="A115" s="18">
        <f>IF($C115="","",ROW()-4)</f>
        <v/>
      </c>
      <c r="B115" s="19"/>
      <c r="C115" s="13"/>
      <c r="D115" s="13"/>
      <c r="E115" s="13"/>
      <c r="F115" s="13"/>
      <c r="G115" s="13"/>
      <c r="H115" s="15"/>
      <c r="I115" s="19"/>
      <c r="J115" s="19"/>
      <c r="K115" s="19"/>
      <c r="L115" s="13"/>
      <c r="M115" s="13"/>
      <c r="N115" s="20">
        <f>IF($C115="","",IFERROR(INDEX(EtapaProb,MATCH($G115,Etapas,0)),0))</f>
        <v/>
      </c>
      <c r="O115" s="21">
        <f>IF($C115="","",IF($P115="Aberto",N($H115)*$N115,0))</f>
        <v/>
      </c>
      <c r="P115" s="18">
        <f>IF($C115="","",IF($G115="Ganho","Ganho",IF($G115="Perdido","Perdido","Aberto")))</f>
        <v/>
      </c>
      <c r="Q115" s="18">
        <f>IF(OR($C115="",$P115&lt;&gt;"Aberto"),"",IF($I115="",Hoje-$B115,Hoje-$I115))</f>
        <v/>
      </c>
      <c r="R115" s="22">
        <f>IF(OR($C115="",$P115&lt;&gt;"Aberto"),"",IF($J115="",IF($Q115&gt;DiasSC,"ATRASADO","Definir data"),IF($J115&lt;Hoje,"ATRASADO",IF($J115=Hoje,"HOJE","Em dia"))))</f>
        <v/>
      </c>
      <c r="S115" s="23">
        <f>IF($R115="","",IF(OR($R115="ATRASADO",$R115="HOJE",$R115="Definir data"),COUNTIF($R$5:$R115,"ATRASADO")+COUNTIF($R$5:$R115,"HOJE")+COUNTIF($R$5:$R115,"Definir data"),""))</f>
        <v/>
      </c>
      <c r="T115" s="18">
        <f>IF($C115="","",IF(OR($B115="",$E115="",$F115="",$G115=""),"Preencher entrada/origem/vendedor/etapa",IF(AND(OR($P115="Ganho",$P115="Perdido"),$K115=""),"Falta data de fechamento",IF(AND($P115="Perdido",$L115=""),"Informe o motivo da perda","OK"))))</f>
        <v/>
      </c>
    </row>
    <row r="116" spans="1:20">
      <c r="A116" s="18">
        <f>IF($C116="","",ROW()-4)</f>
        <v/>
      </c>
      <c r="B116" s="19"/>
      <c r="C116" s="13"/>
      <c r="D116" s="13"/>
      <c r="E116" s="13"/>
      <c r="F116" s="13"/>
      <c r="G116" s="13"/>
      <c r="H116" s="15"/>
      <c r="I116" s="19"/>
      <c r="J116" s="19"/>
      <c r="K116" s="19"/>
      <c r="L116" s="13"/>
      <c r="M116" s="13"/>
      <c r="N116" s="20">
        <f>IF($C116="","",IFERROR(INDEX(EtapaProb,MATCH($G116,Etapas,0)),0))</f>
        <v/>
      </c>
      <c r="O116" s="21">
        <f>IF($C116="","",IF($P116="Aberto",N($H116)*$N116,0))</f>
        <v/>
      </c>
      <c r="P116" s="18">
        <f>IF($C116="","",IF($G116="Ganho","Ganho",IF($G116="Perdido","Perdido","Aberto")))</f>
        <v/>
      </c>
      <c r="Q116" s="18">
        <f>IF(OR($C116="",$P116&lt;&gt;"Aberto"),"",IF($I116="",Hoje-$B116,Hoje-$I116))</f>
        <v/>
      </c>
      <c r="R116" s="22">
        <f>IF(OR($C116="",$P116&lt;&gt;"Aberto"),"",IF($J116="",IF($Q116&gt;DiasSC,"ATRASADO","Definir data"),IF($J116&lt;Hoje,"ATRASADO",IF($J116=Hoje,"HOJE","Em dia"))))</f>
        <v/>
      </c>
      <c r="S116" s="23">
        <f>IF($R116="","",IF(OR($R116="ATRASADO",$R116="HOJE",$R116="Definir data"),COUNTIF($R$5:$R116,"ATRASADO")+COUNTIF($R$5:$R116,"HOJE")+COUNTIF($R$5:$R116,"Definir data"),""))</f>
        <v/>
      </c>
      <c r="T116" s="18">
        <f>IF($C116="","",IF(OR($B116="",$E116="",$F116="",$G116=""),"Preencher entrada/origem/vendedor/etapa",IF(AND(OR($P116="Ganho",$P116="Perdido"),$K116=""),"Falta data de fechamento",IF(AND($P116="Perdido",$L116=""),"Informe o motivo da perda","OK"))))</f>
        <v/>
      </c>
    </row>
    <row r="117" spans="1:20">
      <c r="A117" s="18">
        <f>IF($C117="","",ROW()-4)</f>
        <v/>
      </c>
      <c r="B117" s="19"/>
      <c r="C117" s="13"/>
      <c r="D117" s="13"/>
      <c r="E117" s="13"/>
      <c r="F117" s="13"/>
      <c r="G117" s="13"/>
      <c r="H117" s="15"/>
      <c r="I117" s="19"/>
      <c r="J117" s="19"/>
      <c r="K117" s="19"/>
      <c r="L117" s="13"/>
      <c r="M117" s="13"/>
      <c r="N117" s="20">
        <f>IF($C117="","",IFERROR(INDEX(EtapaProb,MATCH($G117,Etapas,0)),0))</f>
        <v/>
      </c>
      <c r="O117" s="21">
        <f>IF($C117="","",IF($P117="Aberto",N($H117)*$N117,0))</f>
        <v/>
      </c>
      <c r="P117" s="18">
        <f>IF($C117="","",IF($G117="Ganho","Ganho",IF($G117="Perdido","Perdido","Aberto")))</f>
        <v/>
      </c>
      <c r="Q117" s="18">
        <f>IF(OR($C117="",$P117&lt;&gt;"Aberto"),"",IF($I117="",Hoje-$B117,Hoje-$I117))</f>
        <v/>
      </c>
      <c r="R117" s="22">
        <f>IF(OR($C117="",$P117&lt;&gt;"Aberto"),"",IF($J117="",IF($Q117&gt;DiasSC,"ATRASADO","Definir data"),IF($J117&lt;Hoje,"ATRASADO",IF($J117=Hoje,"HOJE","Em dia"))))</f>
        <v/>
      </c>
      <c r="S117" s="23">
        <f>IF($R117="","",IF(OR($R117="ATRASADO",$R117="HOJE",$R117="Definir data"),COUNTIF($R$5:$R117,"ATRASADO")+COUNTIF($R$5:$R117,"HOJE")+COUNTIF($R$5:$R117,"Definir data"),""))</f>
        <v/>
      </c>
      <c r="T117" s="18">
        <f>IF($C117="","",IF(OR($B117="",$E117="",$F117="",$G117=""),"Preencher entrada/origem/vendedor/etapa",IF(AND(OR($P117="Ganho",$P117="Perdido"),$K117=""),"Falta data de fechamento",IF(AND($P117="Perdido",$L117=""),"Informe o motivo da perda","OK"))))</f>
        <v/>
      </c>
    </row>
    <row r="118" spans="1:20">
      <c r="A118" s="18">
        <f>IF($C118="","",ROW()-4)</f>
        <v/>
      </c>
      <c r="B118" s="19"/>
      <c r="C118" s="13"/>
      <c r="D118" s="13"/>
      <c r="E118" s="13"/>
      <c r="F118" s="13"/>
      <c r="G118" s="13"/>
      <c r="H118" s="15"/>
      <c r="I118" s="19"/>
      <c r="J118" s="19"/>
      <c r="K118" s="19"/>
      <c r="L118" s="13"/>
      <c r="M118" s="13"/>
      <c r="N118" s="20">
        <f>IF($C118="","",IFERROR(INDEX(EtapaProb,MATCH($G118,Etapas,0)),0))</f>
        <v/>
      </c>
      <c r="O118" s="21">
        <f>IF($C118="","",IF($P118="Aberto",N($H118)*$N118,0))</f>
        <v/>
      </c>
      <c r="P118" s="18">
        <f>IF($C118="","",IF($G118="Ganho","Ganho",IF($G118="Perdido","Perdido","Aberto")))</f>
        <v/>
      </c>
      <c r="Q118" s="18">
        <f>IF(OR($C118="",$P118&lt;&gt;"Aberto"),"",IF($I118="",Hoje-$B118,Hoje-$I118))</f>
        <v/>
      </c>
      <c r="R118" s="22">
        <f>IF(OR($C118="",$P118&lt;&gt;"Aberto"),"",IF($J118="",IF($Q118&gt;DiasSC,"ATRASADO","Definir data"),IF($J118&lt;Hoje,"ATRASADO",IF($J118=Hoje,"HOJE","Em dia"))))</f>
        <v/>
      </c>
      <c r="S118" s="23">
        <f>IF($R118="","",IF(OR($R118="ATRASADO",$R118="HOJE",$R118="Definir data"),COUNTIF($R$5:$R118,"ATRASADO")+COUNTIF($R$5:$R118,"HOJE")+COUNTIF($R$5:$R118,"Definir data"),""))</f>
        <v/>
      </c>
      <c r="T118" s="18">
        <f>IF($C118="","",IF(OR($B118="",$E118="",$F118="",$G118=""),"Preencher entrada/origem/vendedor/etapa",IF(AND(OR($P118="Ganho",$P118="Perdido"),$K118=""),"Falta data de fechamento",IF(AND($P118="Perdido",$L118=""),"Informe o motivo da perda","OK"))))</f>
        <v/>
      </c>
    </row>
    <row r="119" spans="1:20">
      <c r="A119" s="18">
        <f>IF($C119="","",ROW()-4)</f>
        <v/>
      </c>
      <c r="B119" s="19"/>
      <c r="C119" s="13"/>
      <c r="D119" s="13"/>
      <c r="E119" s="13"/>
      <c r="F119" s="13"/>
      <c r="G119" s="13"/>
      <c r="H119" s="15"/>
      <c r="I119" s="19"/>
      <c r="J119" s="19"/>
      <c r="K119" s="19"/>
      <c r="L119" s="13"/>
      <c r="M119" s="13"/>
      <c r="N119" s="20">
        <f>IF($C119="","",IFERROR(INDEX(EtapaProb,MATCH($G119,Etapas,0)),0))</f>
        <v/>
      </c>
      <c r="O119" s="21">
        <f>IF($C119="","",IF($P119="Aberto",N($H119)*$N119,0))</f>
        <v/>
      </c>
      <c r="P119" s="18">
        <f>IF($C119="","",IF($G119="Ganho","Ganho",IF($G119="Perdido","Perdido","Aberto")))</f>
        <v/>
      </c>
      <c r="Q119" s="18">
        <f>IF(OR($C119="",$P119&lt;&gt;"Aberto"),"",IF($I119="",Hoje-$B119,Hoje-$I119))</f>
        <v/>
      </c>
      <c r="R119" s="22">
        <f>IF(OR($C119="",$P119&lt;&gt;"Aberto"),"",IF($J119="",IF($Q119&gt;DiasSC,"ATRASADO","Definir data"),IF($J119&lt;Hoje,"ATRASADO",IF($J119=Hoje,"HOJE","Em dia"))))</f>
        <v/>
      </c>
      <c r="S119" s="23">
        <f>IF($R119="","",IF(OR($R119="ATRASADO",$R119="HOJE",$R119="Definir data"),COUNTIF($R$5:$R119,"ATRASADO")+COUNTIF($R$5:$R119,"HOJE")+COUNTIF($R$5:$R119,"Definir data"),""))</f>
        <v/>
      </c>
      <c r="T119" s="18">
        <f>IF($C119="","",IF(OR($B119="",$E119="",$F119="",$G119=""),"Preencher entrada/origem/vendedor/etapa",IF(AND(OR($P119="Ganho",$P119="Perdido"),$K119=""),"Falta data de fechamento",IF(AND($P119="Perdido",$L119=""),"Informe o motivo da perda","OK"))))</f>
        <v/>
      </c>
    </row>
    <row r="120" spans="1:20">
      <c r="A120" s="18">
        <f>IF($C120="","",ROW()-4)</f>
        <v/>
      </c>
      <c r="B120" s="19"/>
      <c r="C120" s="13"/>
      <c r="D120" s="13"/>
      <c r="E120" s="13"/>
      <c r="F120" s="13"/>
      <c r="G120" s="13"/>
      <c r="H120" s="15"/>
      <c r="I120" s="19"/>
      <c r="J120" s="19"/>
      <c r="K120" s="19"/>
      <c r="L120" s="13"/>
      <c r="M120" s="13"/>
      <c r="N120" s="20">
        <f>IF($C120="","",IFERROR(INDEX(EtapaProb,MATCH($G120,Etapas,0)),0))</f>
        <v/>
      </c>
      <c r="O120" s="21">
        <f>IF($C120="","",IF($P120="Aberto",N($H120)*$N120,0))</f>
        <v/>
      </c>
      <c r="P120" s="18">
        <f>IF($C120="","",IF($G120="Ganho","Ganho",IF($G120="Perdido","Perdido","Aberto")))</f>
        <v/>
      </c>
      <c r="Q120" s="18">
        <f>IF(OR($C120="",$P120&lt;&gt;"Aberto"),"",IF($I120="",Hoje-$B120,Hoje-$I120))</f>
        <v/>
      </c>
      <c r="R120" s="22">
        <f>IF(OR($C120="",$P120&lt;&gt;"Aberto"),"",IF($J120="",IF($Q120&gt;DiasSC,"ATRASADO","Definir data"),IF($J120&lt;Hoje,"ATRASADO",IF($J120=Hoje,"HOJE","Em dia"))))</f>
        <v/>
      </c>
      <c r="S120" s="23">
        <f>IF($R120="","",IF(OR($R120="ATRASADO",$R120="HOJE",$R120="Definir data"),COUNTIF($R$5:$R120,"ATRASADO")+COUNTIF($R$5:$R120,"HOJE")+COUNTIF($R$5:$R120,"Definir data"),""))</f>
        <v/>
      </c>
      <c r="T120" s="18">
        <f>IF($C120="","",IF(OR($B120="",$E120="",$F120="",$G120=""),"Preencher entrada/origem/vendedor/etapa",IF(AND(OR($P120="Ganho",$P120="Perdido"),$K120=""),"Falta data de fechamento",IF(AND($P120="Perdido",$L120=""),"Informe o motivo da perda","OK"))))</f>
        <v/>
      </c>
    </row>
    <row r="121" spans="1:20">
      <c r="A121" s="18">
        <f>IF($C121="","",ROW()-4)</f>
        <v/>
      </c>
      <c r="B121" s="19"/>
      <c r="C121" s="13"/>
      <c r="D121" s="13"/>
      <c r="E121" s="13"/>
      <c r="F121" s="13"/>
      <c r="G121" s="13"/>
      <c r="H121" s="15"/>
      <c r="I121" s="19"/>
      <c r="J121" s="19"/>
      <c r="K121" s="19"/>
      <c r="L121" s="13"/>
      <c r="M121" s="13"/>
      <c r="N121" s="20">
        <f>IF($C121="","",IFERROR(INDEX(EtapaProb,MATCH($G121,Etapas,0)),0))</f>
        <v/>
      </c>
      <c r="O121" s="21">
        <f>IF($C121="","",IF($P121="Aberto",N($H121)*$N121,0))</f>
        <v/>
      </c>
      <c r="P121" s="18">
        <f>IF($C121="","",IF($G121="Ganho","Ganho",IF($G121="Perdido","Perdido","Aberto")))</f>
        <v/>
      </c>
      <c r="Q121" s="18">
        <f>IF(OR($C121="",$P121&lt;&gt;"Aberto"),"",IF($I121="",Hoje-$B121,Hoje-$I121))</f>
        <v/>
      </c>
      <c r="R121" s="22">
        <f>IF(OR($C121="",$P121&lt;&gt;"Aberto"),"",IF($J121="",IF($Q121&gt;DiasSC,"ATRASADO","Definir data"),IF($J121&lt;Hoje,"ATRASADO",IF($J121=Hoje,"HOJE","Em dia"))))</f>
        <v/>
      </c>
      <c r="S121" s="23">
        <f>IF($R121="","",IF(OR($R121="ATRASADO",$R121="HOJE",$R121="Definir data"),COUNTIF($R$5:$R121,"ATRASADO")+COUNTIF($R$5:$R121,"HOJE")+COUNTIF($R$5:$R121,"Definir data"),""))</f>
        <v/>
      </c>
      <c r="T121" s="18">
        <f>IF($C121="","",IF(OR($B121="",$E121="",$F121="",$G121=""),"Preencher entrada/origem/vendedor/etapa",IF(AND(OR($P121="Ganho",$P121="Perdido"),$K121=""),"Falta data de fechamento",IF(AND($P121="Perdido",$L121=""),"Informe o motivo da perda","OK"))))</f>
        <v/>
      </c>
    </row>
    <row r="122" spans="1:20">
      <c r="A122" s="18">
        <f>IF($C122="","",ROW()-4)</f>
        <v/>
      </c>
      <c r="B122" s="19"/>
      <c r="C122" s="13"/>
      <c r="D122" s="13"/>
      <c r="E122" s="13"/>
      <c r="F122" s="13"/>
      <c r="G122" s="13"/>
      <c r="H122" s="15"/>
      <c r="I122" s="19"/>
      <c r="J122" s="19"/>
      <c r="K122" s="19"/>
      <c r="L122" s="13"/>
      <c r="M122" s="13"/>
      <c r="N122" s="20">
        <f>IF($C122="","",IFERROR(INDEX(EtapaProb,MATCH($G122,Etapas,0)),0))</f>
        <v/>
      </c>
      <c r="O122" s="21">
        <f>IF($C122="","",IF($P122="Aberto",N($H122)*$N122,0))</f>
        <v/>
      </c>
      <c r="P122" s="18">
        <f>IF($C122="","",IF($G122="Ganho","Ganho",IF($G122="Perdido","Perdido","Aberto")))</f>
        <v/>
      </c>
      <c r="Q122" s="18">
        <f>IF(OR($C122="",$P122&lt;&gt;"Aberto"),"",IF($I122="",Hoje-$B122,Hoje-$I122))</f>
        <v/>
      </c>
      <c r="R122" s="22">
        <f>IF(OR($C122="",$P122&lt;&gt;"Aberto"),"",IF($J122="",IF($Q122&gt;DiasSC,"ATRASADO","Definir data"),IF($J122&lt;Hoje,"ATRASADO",IF($J122=Hoje,"HOJE","Em dia"))))</f>
        <v/>
      </c>
      <c r="S122" s="23">
        <f>IF($R122="","",IF(OR($R122="ATRASADO",$R122="HOJE",$R122="Definir data"),COUNTIF($R$5:$R122,"ATRASADO")+COUNTIF($R$5:$R122,"HOJE")+COUNTIF($R$5:$R122,"Definir data"),""))</f>
        <v/>
      </c>
      <c r="T122" s="18">
        <f>IF($C122="","",IF(OR($B122="",$E122="",$F122="",$G122=""),"Preencher entrada/origem/vendedor/etapa",IF(AND(OR($P122="Ganho",$P122="Perdido"),$K122=""),"Falta data de fechamento",IF(AND($P122="Perdido",$L122=""),"Informe o motivo da perda","OK"))))</f>
        <v/>
      </c>
    </row>
    <row r="123" spans="1:20">
      <c r="A123" s="18">
        <f>IF($C123="","",ROW()-4)</f>
        <v/>
      </c>
      <c r="B123" s="19"/>
      <c r="C123" s="13"/>
      <c r="D123" s="13"/>
      <c r="E123" s="13"/>
      <c r="F123" s="13"/>
      <c r="G123" s="13"/>
      <c r="H123" s="15"/>
      <c r="I123" s="19"/>
      <c r="J123" s="19"/>
      <c r="K123" s="19"/>
      <c r="L123" s="13"/>
      <c r="M123" s="13"/>
      <c r="N123" s="20">
        <f>IF($C123="","",IFERROR(INDEX(EtapaProb,MATCH($G123,Etapas,0)),0))</f>
        <v/>
      </c>
      <c r="O123" s="21">
        <f>IF($C123="","",IF($P123="Aberto",N($H123)*$N123,0))</f>
        <v/>
      </c>
      <c r="P123" s="18">
        <f>IF($C123="","",IF($G123="Ganho","Ganho",IF($G123="Perdido","Perdido","Aberto")))</f>
        <v/>
      </c>
      <c r="Q123" s="18">
        <f>IF(OR($C123="",$P123&lt;&gt;"Aberto"),"",IF($I123="",Hoje-$B123,Hoje-$I123))</f>
        <v/>
      </c>
      <c r="R123" s="22">
        <f>IF(OR($C123="",$P123&lt;&gt;"Aberto"),"",IF($J123="",IF($Q123&gt;DiasSC,"ATRASADO","Definir data"),IF($J123&lt;Hoje,"ATRASADO",IF($J123=Hoje,"HOJE","Em dia"))))</f>
        <v/>
      </c>
      <c r="S123" s="23">
        <f>IF($R123="","",IF(OR($R123="ATRASADO",$R123="HOJE",$R123="Definir data"),COUNTIF($R$5:$R123,"ATRASADO")+COUNTIF($R$5:$R123,"HOJE")+COUNTIF($R$5:$R123,"Definir data"),""))</f>
        <v/>
      </c>
      <c r="T123" s="18">
        <f>IF($C123="","",IF(OR($B123="",$E123="",$F123="",$G123=""),"Preencher entrada/origem/vendedor/etapa",IF(AND(OR($P123="Ganho",$P123="Perdido"),$K123=""),"Falta data de fechamento",IF(AND($P123="Perdido",$L123=""),"Informe o motivo da perda","OK"))))</f>
        <v/>
      </c>
    </row>
    <row r="124" spans="1:20">
      <c r="A124" s="18">
        <f>IF($C124="","",ROW()-4)</f>
        <v/>
      </c>
      <c r="B124" s="19"/>
      <c r="C124" s="13"/>
      <c r="D124" s="13"/>
      <c r="E124" s="13"/>
      <c r="F124" s="13"/>
      <c r="G124" s="13"/>
      <c r="H124" s="15"/>
      <c r="I124" s="19"/>
      <c r="J124" s="19"/>
      <c r="K124" s="19"/>
      <c r="L124" s="13"/>
      <c r="M124" s="13"/>
      <c r="N124" s="20">
        <f>IF($C124="","",IFERROR(INDEX(EtapaProb,MATCH($G124,Etapas,0)),0))</f>
        <v/>
      </c>
      <c r="O124" s="21">
        <f>IF($C124="","",IF($P124="Aberto",N($H124)*$N124,0))</f>
        <v/>
      </c>
      <c r="P124" s="18">
        <f>IF($C124="","",IF($G124="Ganho","Ganho",IF($G124="Perdido","Perdido","Aberto")))</f>
        <v/>
      </c>
      <c r="Q124" s="18">
        <f>IF(OR($C124="",$P124&lt;&gt;"Aberto"),"",IF($I124="",Hoje-$B124,Hoje-$I124))</f>
        <v/>
      </c>
      <c r="R124" s="22">
        <f>IF(OR($C124="",$P124&lt;&gt;"Aberto"),"",IF($J124="",IF($Q124&gt;DiasSC,"ATRASADO","Definir data"),IF($J124&lt;Hoje,"ATRASADO",IF($J124=Hoje,"HOJE","Em dia"))))</f>
        <v/>
      </c>
      <c r="S124" s="23">
        <f>IF($R124="","",IF(OR($R124="ATRASADO",$R124="HOJE",$R124="Definir data"),COUNTIF($R$5:$R124,"ATRASADO")+COUNTIF($R$5:$R124,"HOJE")+COUNTIF($R$5:$R124,"Definir data"),""))</f>
        <v/>
      </c>
      <c r="T124" s="18">
        <f>IF($C124="","",IF(OR($B124="",$E124="",$F124="",$G124=""),"Preencher entrada/origem/vendedor/etapa",IF(AND(OR($P124="Ganho",$P124="Perdido"),$K124=""),"Falta data de fechamento",IF(AND($P124="Perdido",$L124=""),"Informe o motivo da perda","OK"))))</f>
        <v/>
      </c>
    </row>
    <row r="125" spans="1:20">
      <c r="A125" s="18">
        <f>IF($C125="","",ROW()-4)</f>
        <v/>
      </c>
      <c r="B125" s="19"/>
      <c r="C125" s="13"/>
      <c r="D125" s="13"/>
      <c r="E125" s="13"/>
      <c r="F125" s="13"/>
      <c r="G125" s="13"/>
      <c r="H125" s="15"/>
      <c r="I125" s="19"/>
      <c r="J125" s="19"/>
      <c r="K125" s="19"/>
      <c r="L125" s="13"/>
      <c r="M125" s="13"/>
      <c r="N125" s="20">
        <f>IF($C125="","",IFERROR(INDEX(EtapaProb,MATCH($G125,Etapas,0)),0))</f>
        <v/>
      </c>
      <c r="O125" s="21">
        <f>IF($C125="","",IF($P125="Aberto",N($H125)*$N125,0))</f>
        <v/>
      </c>
      <c r="P125" s="18">
        <f>IF($C125="","",IF($G125="Ganho","Ganho",IF($G125="Perdido","Perdido","Aberto")))</f>
        <v/>
      </c>
      <c r="Q125" s="18">
        <f>IF(OR($C125="",$P125&lt;&gt;"Aberto"),"",IF($I125="",Hoje-$B125,Hoje-$I125))</f>
        <v/>
      </c>
      <c r="R125" s="22">
        <f>IF(OR($C125="",$P125&lt;&gt;"Aberto"),"",IF($J125="",IF($Q125&gt;DiasSC,"ATRASADO","Definir data"),IF($J125&lt;Hoje,"ATRASADO",IF($J125=Hoje,"HOJE","Em dia"))))</f>
        <v/>
      </c>
      <c r="S125" s="23">
        <f>IF($R125="","",IF(OR($R125="ATRASADO",$R125="HOJE",$R125="Definir data"),COUNTIF($R$5:$R125,"ATRASADO")+COUNTIF($R$5:$R125,"HOJE")+COUNTIF($R$5:$R125,"Definir data"),""))</f>
        <v/>
      </c>
      <c r="T125" s="18">
        <f>IF($C125="","",IF(OR($B125="",$E125="",$F125="",$G125=""),"Preencher entrada/origem/vendedor/etapa",IF(AND(OR($P125="Ganho",$P125="Perdido"),$K125=""),"Falta data de fechamento",IF(AND($P125="Perdido",$L125=""),"Informe o motivo da perda","OK"))))</f>
        <v/>
      </c>
    </row>
    <row r="126" spans="1:20">
      <c r="A126" s="18">
        <f>IF($C126="","",ROW()-4)</f>
        <v/>
      </c>
      <c r="B126" s="19"/>
      <c r="C126" s="13"/>
      <c r="D126" s="13"/>
      <c r="E126" s="13"/>
      <c r="F126" s="13"/>
      <c r="G126" s="13"/>
      <c r="H126" s="15"/>
      <c r="I126" s="19"/>
      <c r="J126" s="19"/>
      <c r="K126" s="19"/>
      <c r="L126" s="13"/>
      <c r="M126" s="13"/>
      <c r="N126" s="20">
        <f>IF($C126="","",IFERROR(INDEX(EtapaProb,MATCH($G126,Etapas,0)),0))</f>
        <v/>
      </c>
      <c r="O126" s="21">
        <f>IF($C126="","",IF($P126="Aberto",N($H126)*$N126,0))</f>
        <v/>
      </c>
      <c r="P126" s="18">
        <f>IF($C126="","",IF($G126="Ganho","Ganho",IF($G126="Perdido","Perdido","Aberto")))</f>
        <v/>
      </c>
      <c r="Q126" s="18">
        <f>IF(OR($C126="",$P126&lt;&gt;"Aberto"),"",IF($I126="",Hoje-$B126,Hoje-$I126))</f>
        <v/>
      </c>
      <c r="R126" s="22">
        <f>IF(OR($C126="",$P126&lt;&gt;"Aberto"),"",IF($J126="",IF($Q126&gt;DiasSC,"ATRASADO","Definir data"),IF($J126&lt;Hoje,"ATRASADO",IF($J126=Hoje,"HOJE","Em dia"))))</f>
        <v/>
      </c>
      <c r="S126" s="23">
        <f>IF($R126="","",IF(OR($R126="ATRASADO",$R126="HOJE",$R126="Definir data"),COUNTIF($R$5:$R126,"ATRASADO")+COUNTIF($R$5:$R126,"HOJE")+COUNTIF($R$5:$R126,"Definir data"),""))</f>
        <v/>
      </c>
      <c r="T126" s="18">
        <f>IF($C126="","",IF(OR($B126="",$E126="",$F126="",$G126=""),"Preencher entrada/origem/vendedor/etapa",IF(AND(OR($P126="Ganho",$P126="Perdido"),$K126=""),"Falta data de fechamento",IF(AND($P126="Perdido",$L126=""),"Informe o motivo da perda","OK"))))</f>
        <v/>
      </c>
    </row>
    <row r="127" spans="1:20">
      <c r="A127" s="18">
        <f>IF($C127="","",ROW()-4)</f>
        <v/>
      </c>
      <c r="B127" s="19"/>
      <c r="C127" s="13"/>
      <c r="D127" s="13"/>
      <c r="E127" s="13"/>
      <c r="F127" s="13"/>
      <c r="G127" s="13"/>
      <c r="H127" s="15"/>
      <c r="I127" s="19"/>
      <c r="J127" s="19"/>
      <c r="K127" s="19"/>
      <c r="L127" s="13"/>
      <c r="M127" s="13"/>
      <c r="N127" s="20">
        <f>IF($C127="","",IFERROR(INDEX(EtapaProb,MATCH($G127,Etapas,0)),0))</f>
        <v/>
      </c>
      <c r="O127" s="21">
        <f>IF($C127="","",IF($P127="Aberto",N($H127)*$N127,0))</f>
        <v/>
      </c>
      <c r="P127" s="18">
        <f>IF($C127="","",IF($G127="Ganho","Ganho",IF($G127="Perdido","Perdido","Aberto")))</f>
        <v/>
      </c>
      <c r="Q127" s="18">
        <f>IF(OR($C127="",$P127&lt;&gt;"Aberto"),"",IF($I127="",Hoje-$B127,Hoje-$I127))</f>
        <v/>
      </c>
      <c r="R127" s="22">
        <f>IF(OR($C127="",$P127&lt;&gt;"Aberto"),"",IF($J127="",IF($Q127&gt;DiasSC,"ATRASADO","Definir data"),IF($J127&lt;Hoje,"ATRASADO",IF($J127=Hoje,"HOJE","Em dia"))))</f>
        <v/>
      </c>
      <c r="S127" s="23">
        <f>IF($R127="","",IF(OR($R127="ATRASADO",$R127="HOJE",$R127="Definir data"),COUNTIF($R$5:$R127,"ATRASADO")+COUNTIF($R$5:$R127,"HOJE")+COUNTIF($R$5:$R127,"Definir data"),""))</f>
        <v/>
      </c>
      <c r="T127" s="18">
        <f>IF($C127="","",IF(OR($B127="",$E127="",$F127="",$G127=""),"Preencher entrada/origem/vendedor/etapa",IF(AND(OR($P127="Ganho",$P127="Perdido"),$K127=""),"Falta data de fechamento",IF(AND($P127="Perdido",$L127=""),"Informe o motivo da perda","OK"))))</f>
        <v/>
      </c>
    </row>
    <row r="128" spans="1:20">
      <c r="A128" s="18">
        <f>IF($C128="","",ROW()-4)</f>
        <v/>
      </c>
      <c r="B128" s="19"/>
      <c r="C128" s="13"/>
      <c r="D128" s="13"/>
      <c r="E128" s="13"/>
      <c r="F128" s="13"/>
      <c r="G128" s="13"/>
      <c r="H128" s="15"/>
      <c r="I128" s="19"/>
      <c r="J128" s="19"/>
      <c r="K128" s="19"/>
      <c r="L128" s="13"/>
      <c r="M128" s="13"/>
      <c r="N128" s="20">
        <f>IF($C128="","",IFERROR(INDEX(EtapaProb,MATCH($G128,Etapas,0)),0))</f>
        <v/>
      </c>
      <c r="O128" s="21">
        <f>IF($C128="","",IF($P128="Aberto",N($H128)*$N128,0))</f>
        <v/>
      </c>
      <c r="P128" s="18">
        <f>IF($C128="","",IF($G128="Ganho","Ganho",IF($G128="Perdido","Perdido","Aberto")))</f>
        <v/>
      </c>
      <c r="Q128" s="18">
        <f>IF(OR($C128="",$P128&lt;&gt;"Aberto"),"",IF($I128="",Hoje-$B128,Hoje-$I128))</f>
        <v/>
      </c>
      <c r="R128" s="22">
        <f>IF(OR($C128="",$P128&lt;&gt;"Aberto"),"",IF($J128="",IF($Q128&gt;DiasSC,"ATRASADO","Definir data"),IF($J128&lt;Hoje,"ATRASADO",IF($J128=Hoje,"HOJE","Em dia"))))</f>
        <v/>
      </c>
      <c r="S128" s="23">
        <f>IF($R128="","",IF(OR($R128="ATRASADO",$R128="HOJE",$R128="Definir data"),COUNTIF($R$5:$R128,"ATRASADO")+COUNTIF($R$5:$R128,"HOJE")+COUNTIF($R$5:$R128,"Definir data"),""))</f>
        <v/>
      </c>
      <c r="T128" s="18">
        <f>IF($C128="","",IF(OR($B128="",$E128="",$F128="",$G128=""),"Preencher entrada/origem/vendedor/etapa",IF(AND(OR($P128="Ganho",$P128="Perdido"),$K128=""),"Falta data de fechamento",IF(AND($P128="Perdido",$L128=""),"Informe o motivo da perda","OK"))))</f>
        <v/>
      </c>
    </row>
    <row r="129" spans="1:20">
      <c r="A129" s="18">
        <f>IF($C129="","",ROW()-4)</f>
        <v/>
      </c>
      <c r="B129" s="19"/>
      <c r="C129" s="13"/>
      <c r="D129" s="13"/>
      <c r="E129" s="13"/>
      <c r="F129" s="13"/>
      <c r="G129" s="13"/>
      <c r="H129" s="15"/>
      <c r="I129" s="19"/>
      <c r="J129" s="19"/>
      <c r="K129" s="19"/>
      <c r="L129" s="13"/>
      <c r="M129" s="13"/>
      <c r="N129" s="20">
        <f>IF($C129="","",IFERROR(INDEX(EtapaProb,MATCH($G129,Etapas,0)),0))</f>
        <v/>
      </c>
      <c r="O129" s="21">
        <f>IF($C129="","",IF($P129="Aberto",N($H129)*$N129,0))</f>
        <v/>
      </c>
      <c r="P129" s="18">
        <f>IF($C129="","",IF($G129="Ganho","Ganho",IF($G129="Perdido","Perdido","Aberto")))</f>
        <v/>
      </c>
      <c r="Q129" s="18">
        <f>IF(OR($C129="",$P129&lt;&gt;"Aberto"),"",IF($I129="",Hoje-$B129,Hoje-$I129))</f>
        <v/>
      </c>
      <c r="R129" s="22">
        <f>IF(OR($C129="",$P129&lt;&gt;"Aberto"),"",IF($J129="",IF($Q129&gt;DiasSC,"ATRASADO","Definir data"),IF($J129&lt;Hoje,"ATRASADO",IF($J129=Hoje,"HOJE","Em dia"))))</f>
        <v/>
      </c>
      <c r="S129" s="23">
        <f>IF($R129="","",IF(OR($R129="ATRASADO",$R129="HOJE",$R129="Definir data"),COUNTIF($R$5:$R129,"ATRASADO")+COUNTIF($R$5:$R129,"HOJE")+COUNTIF($R$5:$R129,"Definir data"),""))</f>
        <v/>
      </c>
      <c r="T129" s="18">
        <f>IF($C129="","",IF(OR($B129="",$E129="",$F129="",$G129=""),"Preencher entrada/origem/vendedor/etapa",IF(AND(OR($P129="Ganho",$P129="Perdido"),$K129=""),"Falta data de fechamento",IF(AND($P129="Perdido",$L129=""),"Informe o motivo da perda","OK"))))</f>
        <v/>
      </c>
    </row>
    <row r="130" spans="1:20">
      <c r="A130" s="18">
        <f>IF($C130="","",ROW()-4)</f>
        <v/>
      </c>
      <c r="B130" s="19"/>
      <c r="C130" s="13"/>
      <c r="D130" s="13"/>
      <c r="E130" s="13"/>
      <c r="F130" s="13"/>
      <c r="G130" s="13"/>
      <c r="H130" s="15"/>
      <c r="I130" s="19"/>
      <c r="J130" s="19"/>
      <c r="K130" s="19"/>
      <c r="L130" s="13"/>
      <c r="M130" s="13"/>
      <c r="N130" s="20">
        <f>IF($C130="","",IFERROR(INDEX(EtapaProb,MATCH($G130,Etapas,0)),0))</f>
        <v/>
      </c>
      <c r="O130" s="21">
        <f>IF($C130="","",IF($P130="Aberto",N($H130)*$N130,0))</f>
        <v/>
      </c>
      <c r="P130" s="18">
        <f>IF($C130="","",IF($G130="Ganho","Ganho",IF($G130="Perdido","Perdido","Aberto")))</f>
        <v/>
      </c>
      <c r="Q130" s="18">
        <f>IF(OR($C130="",$P130&lt;&gt;"Aberto"),"",IF($I130="",Hoje-$B130,Hoje-$I130))</f>
        <v/>
      </c>
      <c r="R130" s="22">
        <f>IF(OR($C130="",$P130&lt;&gt;"Aberto"),"",IF($J130="",IF($Q130&gt;DiasSC,"ATRASADO","Definir data"),IF($J130&lt;Hoje,"ATRASADO",IF($J130=Hoje,"HOJE","Em dia"))))</f>
        <v/>
      </c>
      <c r="S130" s="23">
        <f>IF($R130="","",IF(OR($R130="ATRASADO",$R130="HOJE",$R130="Definir data"),COUNTIF($R$5:$R130,"ATRASADO")+COUNTIF($R$5:$R130,"HOJE")+COUNTIF($R$5:$R130,"Definir data"),""))</f>
        <v/>
      </c>
      <c r="T130" s="18">
        <f>IF($C130="","",IF(OR($B130="",$E130="",$F130="",$G130=""),"Preencher entrada/origem/vendedor/etapa",IF(AND(OR($P130="Ganho",$P130="Perdido"),$K130=""),"Falta data de fechamento",IF(AND($P130="Perdido",$L130=""),"Informe o motivo da perda","OK"))))</f>
        <v/>
      </c>
    </row>
    <row r="131" spans="1:20">
      <c r="A131" s="18">
        <f>IF($C131="","",ROW()-4)</f>
        <v/>
      </c>
      <c r="B131" s="19"/>
      <c r="C131" s="13"/>
      <c r="D131" s="13"/>
      <c r="E131" s="13"/>
      <c r="F131" s="13"/>
      <c r="G131" s="13"/>
      <c r="H131" s="15"/>
      <c r="I131" s="19"/>
      <c r="J131" s="19"/>
      <c r="K131" s="19"/>
      <c r="L131" s="13"/>
      <c r="M131" s="13"/>
      <c r="N131" s="20">
        <f>IF($C131="","",IFERROR(INDEX(EtapaProb,MATCH($G131,Etapas,0)),0))</f>
        <v/>
      </c>
      <c r="O131" s="21">
        <f>IF($C131="","",IF($P131="Aberto",N($H131)*$N131,0))</f>
        <v/>
      </c>
      <c r="P131" s="18">
        <f>IF($C131="","",IF($G131="Ganho","Ganho",IF($G131="Perdido","Perdido","Aberto")))</f>
        <v/>
      </c>
      <c r="Q131" s="18">
        <f>IF(OR($C131="",$P131&lt;&gt;"Aberto"),"",IF($I131="",Hoje-$B131,Hoje-$I131))</f>
        <v/>
      </c>
      <c r="R131" s="22">
        <f>IF(OR($C131="",$P131&lt;&gt;"Aberto"),"",IF($J131="",IF($Q131&gt;DiasSC,"ATRASADO","Definir data"),IF($J131&lt;Hoje,"ATRASADO",IF($J131=Hoje,"HOJE","Em dia"))))</f>
        <v/>
      </c>
      <c r="S131" s="23">
        <f>IF($R131="","",IF(OR($R131="ATRASADO",$R131="HOJE",$R131="Definir data"),COUNTIF($R$5:$R131,"ATRASADO")+COUNTIF($R$5:$R131,"HOJE")+COUNTIF($R$5:$R131,"Definir data"),""))</f>
        <v/>
      </c>
      <c r="T131" s="18">
        <f>IF($C131="","",IF(OR($B131="",$E131="",$F131="",$G131=""),"Preencher entrada/origem/vendedor/etapa",IF(AND(OR($P131="Ganho",$P131="Perdido"),$K131=""),"Falta data de fechamento",IF(AND($P131="Perdido",$L131=""),"Informe o motivo da perda","OK"))))</f>
        <v/>
      </c>
    </row>
    <row r="132" spans="1:20">
      <c r="A132" s="18">
        <f>IF($C132="","",ROW()-4)</f>
        <v/>
      </c>
      <c r="B132" s="19"/>
      <c r="C132" s="13"/>
      <c r="D132" s="13"/>
      <c r="E132" s="13"/>
      <c r="F132" s="13"/>
      <c r="G132" s="13"/>
      <c r="H132" s="15"/>
      <c r="I132" s="19"/>
      <c r="J132" s="19"/>
      <c r="K132" s="19"/>
      <c r="L132" s="13"/>
      <c r="M132" s="13"/>
      <c r="N132" s="20">
        <f>IF($C132="","",IFERROR(INDEX(EtapaProb,MATCH($G132,Etapas,0)),0))</f>
        <v/>
      </c>
      <c r="O132" s="21">
        <f>IF($C132="","",IF($P132="Aberto",N($H132)*$N132,0))</f>
        <v/>
      </c>
      <c r="P132" s="18">
        <f>IF($C132="","",IF($G132="Ganho","Ganho",IF($G132="Perdido","Perdido","Aberto")))</f>
        <v/>
      </c>
      <c r="Q132" s="18">
        <f>IF(OR($C132="",$P132&lt;&gt;"Aberto"),"",IF($I132="",Hoje-$B132,Hoje-$I132))</f>
        <v/>
      </c>
      <c r="R132" s="22">
        <f>IF(OR($C132="",$P132&lt;&gt;"Aberto"),"",IF($J132="",IF($Q132&gt;DiasSC,"ATRASADO","Definir data"),IF($J132&lt;Hoje,"ATRASADO",IF($J132=Hoje,"HOJE","Em dia"))))</f>
        <v/>
      </c>
      <c r="S132" s="23">
        <f>IF($R132="","",IF(OR($R132="ATRASADO",$R132="HOJE",$R132="Definir data"),COUNTIF($R$5:$R132,"ATRASADO")+COUNTIF($R$5:$R132,"HOJE")+COUNTIF($R$5:$R132,"Definir data"),""))</f>
        <v/>
      </c>
      <c r="T132" s="18">
        <f>IF($C132="","",IF(OR($B132="",$E132="",$F132="",$G132=""),"Preencher entrada/origem/vendedor/etapa",IF(AND(OR($P132="Ganho",$P132="Perdido"),$K132=""),"Falta data de fechamento",IF(AND($P132="Perdido",$L132=""),"Informe o motivo da perda","OK"))))</f>
        <v/>
      </c>
    </row>
    <row r="133" spans="1:20">
      <c r="A133" s="18">
        <f>IF($C133="","",ROW()-4)</f>
        <v/>
      </c>
      <c r="B133" s="19"/>
      <c r="C133" s="13"/>
      <c r="D133" s="13"/>
      <c r="E133" s="13"/>
      <c r="F133" s="13"/>
      <c r="G133" s="13"/>
      <c r="H133" s="15"/>
      <c r="I133" s="19"/>
      <c r="J133" s="19"/>
      <c r="K133" s="19"/>
      <c r="L133" s="13"/>
      <c r="M133" s="13"/>
      <c r="N133" s="20">
        <f>IF($C133="","",IFERROR(INDEX(EtapaProb,MATCH($G133,Etapas,0)),0))</f>
        <v/>
      </c>
      <c r="O133" s="21">
        <f>IF($C133="","",IF($P133="Aberto",N($H133)*$N133,0))</f>
        <v/>
      </c>
      <c r="P133" s="18">
        <f>IF($C133="","",IF($G133="Ganho","Ganho",IF($G133="Perdido","Perdido","Aberto")))</f>
        <v/>
      </c>
      <c r="Q133" s="18">
        <f>IF(OR($C133="",$P133&lt;&gt;"Aberto"),"",IF($I133="",Hoje-$B133,Hoje-$I133))</f>
        <v/>
      </c>
      <c r="R133" s="22">
        <f>IF(OR($C133="",$P133&lt;&gt;"Aberto"),"",IF($J133="",IF($Q133&gt;DiasSC,"ATRASADO","Definir data"),IF($J133&lt;Hoje,"ATRASADO",IF($J133=Hoje,"HOJE","Em dia"))))</f>
        <v/>
      </c>
      <c r="S133" s="23">
        <f>IF($R133="","",IF(OR($R133="ATRASADO",$R133="HOJE",$R133="Definir data"),COUNTIF($R$5:$R133,"ATRASADO")+COUNTIF($R$5:$R133,"HOJE")+COUNTIF($R$5:$R133,"Definir data"),""))</f>
        <v/>
      </c>
      <c r="T133" s="18">
        <f>IF($C133="","",IF(OR($B133="",$E133="",$F133="",$G133=""),"Preencher entrada/origem/vendedor/etapa",IF(AND(OR($P133="Ganho",$P133="Perdido"),$K133=""),"Falta data de fechamento",IF(AND($P133="Perdido",$L133=""),"Informe o motivo da perda","OK"))))</f>
        <v/>
      </c>
    </row>
    <row r="134" spans="1:20">
      <c r="A134" s="18">
        <f>IF($C134="","",ROW()-4)</f>
        <v/>
      </c>
      <c r="B134" s="19"/>
      <c r="C134" s="13"/>
      <c r="D134" s="13"/>
      <c r="E134" s="13"/>
      <c r="F134" s="13"/>
      <c r="G134" s="13"/>
      <c r="H134" s="15"/>
      <c r="I134" s="19"/>
      <c r="J134" s="19"/>
      <c r="K134" s="19"/>
      <c r="L134" s="13"/>
      <c r="M134" s="13"/>
      <c r="N134" s="20">
        <f>IF($C134="","",IFERROR(INDEX(EtapaProb,MATCH($G134,Etapas,0)),0))</f>
        <v/>
      </c>
      <c r="O134" s="21">
        <f>IF($C134="","",IF($P134="Aberto",N($H134)*$N134,0))</f>
        <v/>
      </c>
      <c r="P134" s="18">
        <f>IF($C134="","",IF($G134="Ganho","Ganho",IF($G134="Perdido","Perdido","Aberto")))</f>
        <v/>
      </c>
      <c r="Q134" s="18">
        <f>IF(OR($C134="",$P134&lt;&gt;"Aberto"),"",IF($I134="",Hoje-$B134,Hoje-$I134))</f>
        <v/>
      </c>
      <c r="R134" s="22">
        <f>IF(OR($C134="",$P134&lt;&gt;"Aberto"),"",IF($J134="",IF($Q134&gt;DiasSC,"ATRASADO","Definir data"),IF($J134&lt;Hoje,"ATRASADO",IF($J134=Hoje,"HOJE","Em dia"))))</f>
        <v/>
      </c>
      <c r="S134" s="23">
        <f>IF($R134="","",IF(OR($R134="ATRASADO",$R134="HOJE",$R134="Definir data"),COUNTIF($R$5:$R134,"ATRASADO")+COUNTIF($R$5:$R134,"HOJE")+COUNTIF($R$5:$R134,"Definir data"),""))</f>
        <v/>
      </c>
      <c r="T134" s="18">
        <f>IF($C134="","",IF(OR($B134="",$E134="",$F134="",$G134=""),"Preencher entrada/origem/vendedor/etapa",IF(AND(OR($P134="Ganho",$P134="Perdido"),$K134=""),"Falta data de fechamento",IF(AND($P134="Perdido",$L134=""),"Informe o motivo da perda","OK"))))</f>
        <v/>
      </c>
    </row>
    <row r="135" spans="1:20">
      <c r="A135" s="18">
        <f>IF($C135="","",ROW()-4)</f>
        <v/>
      </c>
      <c r="B135" s="19"/>
      <c r="C135" s="13"/>
      <c r="D135" s="13"/>
      <c r="E135" s="13"/>
      <c r="F135" s="13"/>
      <c r="G135" s="13"/>
      <c r="H135" s="15"/>
      <c r="I135" s="19"/>
      <c r="J135" s="19"/>
      <c r="K135" s="19"/>
      <c r="L135" s="13"/>
      <c r="M135" s="13"/>
      <c r="N135" s="20">
        <f>IF($C135="","",IFERROR(INDEX(EtapaProb,MATCH($G135,Etapas,0)),0))</f>
        <v/>
      </c>
      <c r="O135" s="21">
        <f>IF($C135="","",IF($P135="Aberto",N($H135)*$N135,0))</f>
        <v/>
      </c>
      <c r="P135" s="18">
        <f>IF($C135="","",IF($G135="Ganho","Ganho",IF($G135="Perdido","Perdido","Aberto")))</f>
        <v/>
      </c>
      <c r="Q135" s="18">
        <f>IF(OR($C135="",$P135&lt;&gt;"Aberto"),"",IF($I135="",Hoje-$B135,Hoje-$I135))</f>
        <v/>
      </c>
      <c r="R135" s="22">
        <f>IF(OR($C135="",$P135&lt;&gt;"Aberto"),"",IF($J135="",IF($Q135&gt;DiasSC,"ATRASADO","Definir data"),IF($J135&lt;Hoje,"ATRASADO",IF($J135=Hoje,"HOJE","Em dia"))))</f>
        <v/>
      </c>
      <c r="S135" s="23">
        <f>IF($R135="","",IF(OR($R135="ATRASADO",$R135="HOJE",$R135="Definir data"),COUNTIF($R$5:$R135,"ATRASADO")+COUNTIF($R$5:$R135,"HOJE")+COUNTIF($R$5:$R135,"Definir data"),""))</f>
        <v/>
      </c>
      <c r="T135" s="18">
        <f>IF($C135="","",IF(OR($B135="",$E135="",$F135="",$G135=""),"Preencher entrada/origem/vendedor/etapa",IF(AND(OR($P135="Ganho",$P135="Perdido"),$K135=""),"Falta data de fechamento",IF(AND($P135="Perdido",$L135=""),"Informe o motivo da perda","OK"))))</f>
        <v/>
      </c>
    </row>
    <row r="136" spans="1:20">
      <c r="A136" s="18">
        <f>IF($C136="","",ROW()-4)</f>
        <v/>
      </c>
      <c r="B136" s="19"/>
      <c r="C136" s="13"/>
      <c r="D136" s="13"/>
      <c r="E136" s="13"/>
      <c r="F136" s="13"/>
      <c r="G136" s="13"/>
      <c r="H136" s="15"/>
      <c r="I136" s="19"/>
      <c r="J136" s="19"/>
      <c r="K136" s="19"/>
      <c r="L136" s="13"/>
      <c r="M136" s="13"/>
      <c r="N136" s="20">
        <f>IF($C136="","",IFERROR(INDEX(EtapaProb,MATCH($G136,Etapas,0)),0))</f>
        <v/>
      </c>
      <c r="O136" s="21">
        <f>IF($C136="","",IF($P136="Aberto",N($H136)*$N136,0))</f>
        <v/>
      </c>
      <c r="P136" s="18">
        <f>IF($C136="","",IF($G136="Ganho","Ganho",IF($G136="Perdido","Perdido","Aberto")))</f>
        <v/>
      </c>
      <c r="Q136" s="18">
        <f>IF(OR($C136="",$P136&lt;&gt;"Aberto"),"",IF($I136="",Hoje-$B136,Hoje-$I136))</f>
        <v/>
      </c>
      <c r="R136" s="22">
        <f>IF(OR($C136="",$P136&lt;&gt;"Aberto"),"",IF($J136="",IF($Q136&gt;DiasSC,"ATRASADO","Definir data"),IF($J136&lt;Hoje,"ATRASADO",IF($J136=Hoje,"HOJE","Em dia"))))</f>
        <v/>
      </c>
      <c r="S136" s="23">
        <f>IF($R136="","",IF(OR($R136="ATRASADO",$R136="HOJE",$R136="Definir data"),COUNTIF($R$5:$R136,"ATRASADO")+COUNTIF($R$5:$R136,"HOJE")+COUNTIF($R$5:$R136,"Definir data"),""))</f>
        <v/>
      </c>
      <c r="T136" s="18">
        <f>IF($C136="","",IF(OR($B136="",$E136="",$F136="",$G136=""),"Preencher entrada/origem/vendedor/etapa",IF(AND(OR($P136="Ganho",$P136="Perdido"),$K136=""),"Falta data de fechamento",IF(AND($P136="Perdido",$L136=""),"Informe o motivo da perda","OK"))))</f>
        <v/>
      </c>
    </row>
    <row r="137" spans="1:20">
      <c r="A137" s="18">
        <f>IF($C137="","",ROW()-4)</f>
        <v/>
      </c>
      <c r="B137" s="19"/>
      <c r="C137" s="13"/>
      <c r="D137" s="13"/>
      <c r="E137" s="13"/>
      <c r="F137" s="13"/>
      <c r="G137" s="13"/>
      <c r="H137" s="15"/>
      <c r="I137" s="19"/>
      <c r="J137" s="19"/>
      <c r="K137" s="19"/>
      <c r="L137" s="13"/>
      <c r="M137" s="13"/>
      <c r="N137" s="20">
        <f>IF($C137="","",IFERROR(INDEX(EtapaProb,MATCH($G137,Etapas,0)),0))</f>
        <v/>
      </c>
      <c r="O137" s="21">
        <f>IF($C137="","",IF($P137="Aberto",N($H137)*$N137,0))</f>
        <v/>
      </c>
      <c r="P137" s="18">
        <f>IF($C137="","",IF($G137="Ganho","Ganho",IF($G137="Perdido","Perdido","Aberto")))</f>
        <v/>
      </c>
      <c r="Q137" s="18">
        <f>IF(OR($C137="",$P137&lt;&gt;"Aberto"),"",IF($I137="",Hoje-$B137,Hoje-$I137))</f>
        <v/>
      </c>
      <c r="R137" s="22">
        <f>IF(OR($C137="",$P137&lt;&gt;"Aberto"),"",IF($J137="",IF($Q137&gt;DiasSC,"ATRASADO","Definir data"),IF($J137&lt;Hoje,"ATRASADO",IF($J137=Hoje,"HOJE","Em dia"))))</f>
        <v/>
      </c>
      <c r="S137" s="23">
        <f>IF($R137="","",IF(OR($R137="ATRASADO",$R137="HOJE",$R137="Definir data"),COUNTIF($R$5:$R137,"ATRASADO")+COUNTIF($R$5:$R137,"HOJE")+COUNTIF($R$5:$R137,"Definir data"),""))</f>
        <v/>
      </c>
      <c r="T137" s="18">
        <f>IF($C137="","",IF(OR($B137="",$E137="",$F137="",$G137=""),"Preencher entrada/origem/vendedor/etapa",IF(AND(OR($P137="Ganho",$P137="Perdido"),$K137=""),"Falta data de fechamento",IF(AND($P137="Perdido",$L137=""),"Informe o motivo da perda","OK"))))</f>
        <v/>
      </c>
    </row>
    <row r="138" spans="1:20">
      <c r="A138" s="18">
        <f>IF($C138="","",ROW()-4)</f>
        <v/>
      </c>
      <c r="B138" s="19"/>
      <c r="C138" s="13"/>
      <c r="D138" s="13"/>
      <c r="E138" s="13"/>
      <c r="F138" s="13"/>
      <c r="G138" s="13"/>
      <c r="H138" s="15"/>
      <c r="I138" s="19"/>
      <c r="J138" s="19"/>
      <c r="K138" s="19"/>
      <c r="L138" s="13"/>
      <c r="M138" s="13"/>
      <c r="N138" s="20">
        <f>IF($C138="","",IFERROR(INDEX(EtapaProb,MATCH($G138,Etapas,0)),0))</f>
        <v/>
      </c>
      <c r="O138" s="21">
        <f>IF($C138="","",IF($P138="Aberto",N($H138)*$N138,0))</f>
        <v/>
      </c>
      <c r="P138" s="18">
        <f>IF($C138="","",IF($G138="Ganho","Ganho",IF($G138="Perdido","Perdido","Aberto")))</f>
        <v/>
      </c>
      <c r="Q138" s="18">
        <f>IF(OR($C138="",$P138&lt;&gt;"Aberto"),"",IF($I138="",Hoje-$B138,Hoje-$I138))</f>
        <v/>
      </c>
      <c r="R138" s="22">
        <f>IF(OR($C138="",$P138&lt;&gt;"Aberto"),"",IF($J138="",IF($Q138&gt;DiasSC,"ATRASADO","Definir data"),IF($J138&lt;Hoje,"ATRASADO",IF($J138=Hoje,"HOJE","Em dia"))))</f>
        <v/>
      </c>
      <c r="S138" s="23">
        <f>IF($R138="","",IF(OR($R138="ATRASADO",$R138="HOJE",$R138="Definir data"),COUNTIF($R$5:$R138,"ATRASADO")+COUNTIF($R$5:$R138,"HOJE")+COUNTIF($R$5:$R138,"Definir data"),""))</f>
        <v/>
      </c>
      <c r="T138" s="18">
        <f>IF($C138="","",IF(OR($B138="",$E138="",$F138="",$G138=""),"Preencher entrada/origem/vendedor/etapa",IF(AND(OR($P138="Ganho",$P138="Perdido"),$K138=""),"Falta data de fechamento",IF(AND($P138="Perdido",$L138=""),"Informe o motivo da perda","OK"))))</f>
        <v/>
      </c>
    </row>
    <row r="139" spans="1:20">
      <c r="A139" s="18">
        <f>IF($C139="","",ROW()-4)</f>
        <v/>
      </c>
      <c r="B139" s="19"/>
      <c r="C139" s="13"/>
      <c r="D139" s="13"/>
      <c r="E139" s="13"/>
      <c r="F139" s="13"/>
      <c r="G139" s="13"/>
      <c r="H139" s="15"/>
      <c r="I139" s="19"/>
      <c r="J139" s="19"/>
      <c r="K139" s="19"/>
      <c r="L139" s="13"/>
      <c r="M139" s="13"/>
      <c r="N139" s="20">
        <f>IF($C139="","",IFERROR(INDEX(EtapaProb,MATCH($G139,Etapas,0)),0))</f>
        <v/>
      </c>
      <c r="O139" s="21">
        <f>IF($C139="","",IF($P139="Aberto",N($H139)*$N139,0))</f>
        <v/>
      </c>
      <c r="P139" s="18">
        <f>IF($C139="","",IF($G139="Ganho","Ganho",IF($G139="Perdido","Perdido","Aberto")))</f>
        <v/>
      </c>
      <c r="Q139" s="18">
        <f>IF(OR($C139="",$P139&lt;&gt;"Aberto"),"",IF($I139="",Hoje-$B139,Hoje-$I139))</f>
        <v/>
      </c>
      <c r="R139" s="22">
        <f>IF(OR($C139="",$P139&lt;&gt;"Aberto"),"",IF($J139="",IF($Q139&gt;DiasSC,"ATRASADO","Definir data"),IF($J139&lt;Hoje,"ATRASADO",IF($J139=Hoje,"HOJE","Em dia"))))</f>
        <v/>
      </c>
      <c r="S139" s="23">
        <f>IF($R139="","",IF(OR($R139="ATRASADO",$R139="HOJE",$R139="Definir data"),COUNTIF($R$5:$R139,"ATRASADO")+COUNTIF($R$5:$R139,"HOJE")+COUNTIF($R$5:$R139,"Definir data"),""))</f>
        <v/>
      </c>
      <c r="T139" s="18">
        <f>IF($C139="","",IF(OR($B139="",$E139="",$F139="",$G139=""),"Preencher entrada/origem/vendedor/etapa",IF(AND(OR($P139="Ganho",$P139="Perdido"),$K139=""),"Falta data de fechamento",IF(AND($P139="Perdido",$L139=""),"Informe o motivo da perda","OK"))))</f>
        <v/>
      </c>
    </row>
    <row r="140" spans="1:20">
      <c r="A140" s="18">
        <f>IF($C140="","",ROW()-4)</f>
        <v/>
      </c>
      <c r="B140" s="19"/>
      <c r="C140" s="13"/>
      <c r="D140" s="13"/>
      <c r="E140" s="13"/>
      <c r="F140" s="13"/>
      <c r="G140" s="13"/>
      <c r="H140" s="15"/>
      <c r="I140" s="19"/>
      <c r="J140" s="19"/>
      <c r="K140" s="19"/>
      <c r="L140" s="13"/>
      <c r="M140" s="13"/>
      <c r="N140" s="20">
        <f>IF($C140="","",IFERROR(INDEX(EtapaProb,MATCH($G140,Etapas,0)),0))</f>
        <v/>
      </c>
      <c r="O140" s="21">
        <f>IF($C140="","",IF($P140="Aberto",N($H140)*$N140,0))</f>
        <v/>
      </c>
      <c r="P140" s="18">
        <f>IF($C140="","",IF($G140="Ganho","Ganho",IF($G140="Perdido","Perdido","Aberto")))</f>
        <v/>
      </c>
      <c r="Q140" s="18">
        <f>IF(OR($C140="",$P140&lt;&gt;"Aberto"),"",IF($I140="",Hoje-$B140,Hoje-$I140))</f>
        <v/>
      </c>
      <c r="R140" s="22">
        <f>IF(OR($C140="",$P140&lt;&gt;"Aberto"),"",IF($J140="",IF($Q140&gt;DiasSC,"ATRASADO","Definir data"),IF($J140&lt;Hoje,"ATRASADO",IF($J140=Hoje,"HOJE","Em dia"))))</f>
        <v/>
      </c>
      <c r="S140" s="23">
        <f>IF($R140="","",IF(OR($R140="ATRASADO",$R140="HOJE",$R140="Definir data"),COUNTIF($R$5:$R140,"ATRASADO")+COUNTIF($R$5:$R140,"HOJE")+COUNTIF($R$5:$R140,"Definir data"),""))</f>
        <v/>
      </c>
      <c r="T140" s="18">
        <f>IF($C140="","",IF(OR($B140="",$E140="",$F140="",$G140=""),"Preencher entrada/origem/vendedor/etapa",IF(AND(OR($P140="Ganho",$P140="Perdido"),$K140=""),"Falta data de fechamento",IF(AND($P140="Perdido",$L140=""),"Informe o motivo da perda","OK"))))</f>
        <v/>
      </c>
    </row>
    <row r="141" spans="1:20">
      <c r="A141" s="18">
        <f>IF($C141="","",ROW()-4)</f>
        <v/>
      </c>
      <c r="B141" s="19"/>
      <c r="C141" s="13"/>
      <c r="D141" s="13"/>
      <c r="E141" s="13"/>
      <c r="F141" s="13"/>
      <c r="G141" s="13"/>
      <c r="H141" s="15"/>
      <c r="I141" s="19"/>
      <c r="J141" s="19"/>
      <c r="K141" s="19"/>
      <c r="L141" s="13"/>
      <c r="M141" s="13"/>
      <c r="N141" s="20">
        <f>IF($C141="","",IFERROR(INDEX(EtapaProb,MATCH($G141,Etapas,0)),0))</f>
        <v/>
      </c>
      <c r="O141" s="21">
        <f>IF($C141="","",IF($P141="Aberto",N($H141)*$N141,0))</f>
        <v/>
      </c>
      <c r="P141" s="18">
        <f>IF($C141="","",IF($G141="Ganho","Ganho",IF($G141="Perdido","Perdido","Aberto")))</f>
        <v/>
      </c>
      <c r="Q141" s="18">
        <f>IF(OR($C141="",$P141&lt;&gt;"Aberto"),"",IF($I141="",Hoje-$B141,Hoje-$I141))</f>
        <v/>
      </c>
      <c r="R141" s="22">
        <f>IF(OR($C141="",$P141&lt;&gt;"Aberto"),"",IF($J141="",IF($Q141&gt;DiasSC,"ATRASADO","Definir data"),IF($J141&lt;Hoje,"ATRASADO",IF($J141=Hoje,"HOJE","Em dia"))))</f>
        <v/>
      </c>
      <c r="S141" s="23">
        <f>IF($R141="","",IF(OR($R141="ATRASADO",$R141="HOJE",$R141="Definir data"),COUNTIF($R$5:$R141,"ATRASADO")+COUNTIF($R$5:$R141,"HOJE")+COUNTIF($R$5:$R141,"Definir data"),""))</f>
        <v/>
      </c>
      <c r="T141" s="18">
        <f>IF($C141="","",IF(OR($B141="",$E141="",$F141="",$G141=""),"Preencher entrada/origem/vendedor/etapa",IF(AND(OR($P141="Ganho",$P141="Perdido"),$K141=""),"Falta data de fechamento",IF(AND($P141="Perdido",$L141=""),"Informe o motivo da perda","OK"))))</f>
        <v/>
      </c>
    </row>
    <row r="142" spans="1:20">
      <c r="A142" s="18">
        <f>IF($C142="","",ROW()-4)</f>
        <v/>
      </c>
      <c r="B142" s="19"/>
      <c r="C142" s="13"/>
      <c r="D142" s="13"/>
      <c r="E142" s="13"/>
      <c r="F142" s="13"/>
      <c r="G142" s="13"/>
      <c r="H142" s="15"/>
      <c r="I142" s="19"/>
      <c r="J142" s="19"/>
      <c r="K142" s="19"/>
      <c r="L142" s="13"/>
      <c r="M142" s="13"/>
      <c r="N142" s="20">
        <f>IF($C142="","",IFERROR(INDEX(EtapaProb,MATCH($G142,Etapas,0)),0))</f>
        <v/>
      </c>
      <c r="O142" s="21">
        <f>IF($C142="","",IF($P142="Aberto",N($H142)*$N142,0))</f>
        <v/>
      </c>
      <c r="P142" s="18">
        <f>IF($C142="","",IF($G142="Ganho","Ganho",IF($G142="Perdido","Perdido","Aberto")))</f>
        <v/>
      </c>
      <c r="Q142" s="18">
        <f>IF(OR($C142="",$P142&lt;&gt;"Aberto"),"",IF($I142="",Hoje-$B142,Hoje-$I142))</f>
        <v/>
      </c>
      <c r="R142" s="22">
        <f>IF(OR($C142="",$P142&lt;&gt;"Aberto"),"",IF($J142="",IF($Q142&gt;DiasSC,"ATRASADO","Definir data"),IF($J142&lt;Hoje,"ATRASADO",IF($J142=Hoje,"HOJE","Em dia"))))</f>
        <v/>
      </c>
      <c r="S142" s="23">
        <f>IF($R142="","",IF(OR($R142="ATRASADO",$R142="HOJE",$R142="Definir data"),COUNTIF($R$5:$R142,"ATRASADO")+COUNTIF($R$5:$R142,"HOJE")+COUNTIF($R$5:$R142,"Definir data"),""))</f>
        <v/>
      </c>
      <c r="T142" s="18">
        <f>IF($C142="","",IF(OR($B142="",$E142="",$F142="",$G142=""),"Preencher entrada/origem/vendedor/etapa",IF(AND(OR($P142="Ganho",$P142="Perdido"),$K142=""),"Falta data de fechamento",IF(AND($P142="Perdido",$L142=""),"Informe o motivo da perda","OK"))))</f>
        <v/>
      </c>
    </row>
    <row r="143" spans="1:20">
      <c r="A143" s="18">
        <f>IF($C143="","",ROW()-4)</f>
        <v/>
      </c>
      <c r="B143" s="19"/>
      <c r="C143" s="13"/>
      <c r="D143" s="13"/>
      <c r="E143" s="13"/>
      <c r="F143" s="13"/>
      <c r="G143" s="13"/>
      <c r="H143" s="15"/>
      <c r="I143" s="19"/>
      <c r="J143" s="19"/>
      <c r="K143" s="19"/>
      <c r="L143" s="13"/>
      <c r="M143" s="13"/>
      <c r="N143" s="20">
        <f>IF($C143="","",IFERROR(INDEX(EtapaProb,MATCH($G143,Etapas,0)),0))</f>
        <v/>
      </c>
      <c r="O143" s="21">
        <f>IF($C143="","",IF($P143="Aberto",N($H143)*$N143,0))</f>
        <v/>
      </c>
      <c r="P143" s="18">
        <f>IF($C143="","",IF($G143="Ganho","Ganho",IF($G143="Perdido","Perdido","Aberto")))</f>
        <v/>
      </c>
      <c r="Q143" s="18">
        <f>IF(OR($C143="",$P143&lt;&gt;"Aberto"),"",IF($I143="",Hoje-$B143,Hoje-$I143))</f>
        <v/>
      </c>
      <c r="R143" s="22">
        <f>IF(OR($C143="",$P143&lt;&gt;"Aberto"),"",IF($J143="",IF($Q143&gt;DiasSC,"ATRASADO","Definir data"),IF($J143&lt;Hoje,"ATRASADO",IF($J143=Hoje,"HOJE","Em dia"))))</f>
        <v/>
      </c>
      <c r="S143" s="23">
        <f>IF($R143="","",IF(OR($R143="ATRASADO",$R143="HOJE",$R143="Definir data"),COUNTIF($R$5:$R143,"ATRASADO")+COUNTIF($R$5:$R143,"HOJE")+COUNTIF($R$5:$R143,"Definir data"),""))</f>
        <v/>
      </c>
      <c r="T143" s="18">
        <f>IF($C143="","",IF(OR($B143="",$E143="",$F143="",$G143=""),"Preencher entrada/origem/vendedor/etapa",IF(AND(OR($P143="Ganho",$P143="Perdido"),$K143=""),"Falta data de fechamento",IF(AND($P143="Perdido",$L143=""),"Informe o motivo da perda","OK"))))</f>
        <v/>
      </c>
    </row>
    <row r="144" spans="1:20">
      <c r="A144" s="18">
        <f>IF($C144="","",ROW()-4)</f>
        <v/>
      </c>
      <c r="B144" s="19"/>
      <c r="C144" s="13"/>
      <c r="D144" s="13"/>
      <c r="E144" s="13"/>
      <c r="F144" s="13"/>
      <c r="G144" s="13"/>
      <c r="H144" s="15"/>
      <c r="I144" s="19"/>
      <c r="J144" s="19"/>
      <c r="K144" s="19"/>
      <c r="L144" s="13"/>
      <c r="M144" s="13"/>
      <c r="N144" s="20">
        <f>IF($C144="","",IFERROR(INDEX(EtapaProb,MATCH($G144,Etapas,0)),0))</f>
        <v/>
      </c>
      <c r="O144" s="21">
        <f>IF($C144="","",IF($P144="Aberto",N($H144)*$N144,0))</f>
        <v/>
      </c>
      <c r="P144" s="18">
        <f>IF($C144="","",IF($G144="Ganho","Ganho",IF($G144="Perdido","Perdido","Aberto")))</f>
        <v/>
      </c>
      <c r="Q144" s="18">
        <f>IF(OR($C144="",$P144&lt;&gt;"Aberto"),"",IF($I144="",Hoje-$B144,Hoje-$I144))</f>
        <v/>
      </c>
      <c r="R144" s="22">
        <f>IF(OR($C144="",$P144&lt;&gt;"Aberto"),"",IF($J144="",IF($Q144&gt;DiasSC,"ATRASADO","Definir data"),IF($J144&lt;Hoje,"ATRASADO",IF($J144=Hoje,"HOJE","Em dia"))))</f>
        <v/>
      </c>
      <c r="S144" s="23">
        <f>IF($R144="","",IF(OR($R144="ATRASADO",$R144="HOJE",$R144="Definir data"),COUNTIF($R$5:$R144,"ATRASADO")+COUNTIF($R$5:$R144,"HOJE")+COUNTIF($R$5:$R144,"Definir data"),""))</f>
        <v/>
      </c>
      <c r="T144" s="18">
        <f>IF($C144="","",IF(OR($B144="",$E144="",$F144="",$G144=""),"Preencher entrada/origem/vendedor/etapa",IF(AND(OR($P144="Ganho",$P144="Perdido"),$K144=""),"Falta data de fechamento",IF(AND($P144="Perdido",$L144=""),"Informe o motivo da perda","OK"))))</f>
        <v/>
      </c>
    </row>
    <row r="145" spans="1:20">
      <c r="A145" s="18">
        <f>IF($C145="","",ROW()-4)</f>
        <v/>
      </c>
      <c r="B145" s="19"/>
      <c r="C145" s="13"/>
      <c r="D145" s="13"/>
      <c r="E145" s="13"/>
      <c r="F145" s="13"/>
      <c r="G145" s="13"/>
      <c r="H145" s="15"/>
      <c r="I145" s="19"/>
      <c r="J145" s="19"/>
      <c r="K145" s="19"/>
      <c r="L145" s="13"/>
      <c r="M145" s="13"/>
      <c r="N145" s="20">
        <f>IF($C145="","",IFERROR(INDEX(EtapaProb,MATCH($G145,Etapas,0)),0))</f>
        <v/>
      </c>
      <c r="O145" s="21">
        <f>IF($C145="","",IF($P145="Aberto",N($H145)*$N145,0))</f>
        <v/>
      </c>
      <c r="P145" s="18">
        <f>IF($C145="","",IF($G145="Ganho","Ganho",IF($G145="Perdido","Perdido","Aberto")))</f>
        <v/>
      </c>
      <c r="Q145" s="18">
        <f>IF(OR($C145="",$P145&lt;&gt;"Aberto"),"",IF($I145="",Hoje-$B145,Hoje-$I145))</f>
        <v/>
      </c>
      <c r="R145" s="22">
        <f>IF(OR($C145="",$P145&lt;&gt;"Aberto"),"",IF($J145="",IF($Q145&gt;DiasSC,"ATRASADO","Definir data"),IF($J145&lt;Hoje,"ATRASADO",IF($J145=Hoje,"HOJE","Em dia"))))</f>
        <v/>
      </c>
      <c r="S145" s="23">
        <f>IF($R145="","",IF(OR($R145="ATRASADO",$R145="HOJE",$R145="Definir data"),COUNTIF($R$5:$R145,"ATRASADO")+COUNTIF($R$5:$R145,"HOJE")+COUNTIF($R$5:$R145,"Definir data"),""))</f>
        <v/>
      </c>
      <c r="T145" s="18">
        <f>IF($C145="","",IF(OR($B145="",$E145="",$F145="",$G145=""),"Preencher entrada/origem/vendedor/etapa",IF(AND(OR($P145="Ganho",$P145="Perdido"),$K145=""),"Falta data de fechamento",IF(AND($P145="Perdido",$L145=""),"Informe o motivo da perda","OK"))))</f>
        <v/>
      </c>
    </row>
    <row r="146" spans="1:20">
      <c r="A146" s="18">
        <f>IF($C146="","",ROW()-4)</f>
        <v/>
      </c>
      <c r="B146" s="19"/>
      <c r="C146" s="13"/>
      <c r="D146" s="13"/>
      <c r="E146" s="13"/>
      <c r="F146" s="13"/>
      <c r="G146" s="13"/>
      <c r="H146" s="15"/>
      <c r="I146" s="19"/>
      <c r="J146" s="19"/>
      <c r="K146" s="19"/>
      <c r="L146" s="13"/>
      <c r="M146" s="13"/>
      <c r="N146" s="20">
        <f>IF($C146="","",IFERROR(INDEX(EtapaProb,MATCH($G146,Etapas,0)),0))</f>
        <v/>
      </c>
      <c r="O146" s="21">
        <f>IF($C146="","",IF($P146="Aberto",N($H146)*$N146,0))</f>
        <v/>
      </c>
      <c r="P146" s="18">
        <f>IF($C146="","",IF($G146="Ganho","Ganho",IF($G146="Perdido","Perdido","Aberto")))</f>
        <v/>
      </c>
      <c r="Q146" s="18">
        <f>IF(OR($C146="",$P146&lt;&gt;"Aberto"),"",IF($I146="",Hoje-$B146,Hoje-$I146))</f>
        <v/>
      </c>
      <c r="R146" s="22">
        <f>IF(OR($C146="",$P146&lt;&gt;"Aberto"),"",IF($J146="",IF($Q146&gt;DiasSC,"ATRASADO","Definir data"),IF($J146&lt;Hoje,"ATRASADO",IF($J146=Hoje,"HOJE","Em dia"))))</f>
        <v/>
      </c>
      <c r="S146" s="23">
        <f>IF($R146="","",IF(OR($R146="ATRASADO",$R146="HOJE",$R146="Definir data"),COUNTIF($R$5:$R146,"ATRASADO")+COUNTIF($R$5:$R146,"HOJE")+COUNTIF($R$5:$R146,"Definir data"),""))</f>
        <v/>
      </c>
      <c r="T146" s="18">
        <f>IF($C146="","",IF(OR($B146="",$E146="",$F146="",$G146=""),"Preencher entrada/origem/vendedor/etapa",IF(AND(OR($P146="Ganho",$P146="Perdido"),$K146=""),"Falta data de fechamento",IF(AND($P146="Perdido",$L146=""),"Informe o motivo da perda","OK"))))</f>
        <v/>
      </c>
    </row>
    <row r="147" spans="1:20">
      <c r="A147" s="18">
        <f>IF($C147="","",ROW()-4)</f>
        <v/>
      </c>
      <c r="B147" s="19"/>
      <c r="C147" s="13"/>
      <c r="D147" s="13"/>
      <c r="E147" s="13"/>
      <c r="F147" s="13"/>
      <c r="G147" s="13"/>
      <c r="H147" s="15"/>
      <c r="I147" s="19"/>
      <c r="J147" s="19"/>
      <c r="K147" s="19"/>
      <c r="L147" s="13"/>
      <c r="M147" s="13"/>
      <c r="N147" s="20">
        <f>IF($C147="","",IFERROR(INDEX(EtapaProb,MATCH($G147,Etapas,0)),0))</f>
        <v/>
      </c>
      <c r="O147" s="21">
        <f>IF($C147="","",IF($P147="Aberto",N($H147)*$N147,0))</f>
        <v/>
      </c>
      <c r="P147" s="18">
        <f>IF($C147="","",IF($G147="Ganho","Ganho",IF($G147="Perdido","Perdido","Aberto")))</f>
        <v/>
      </c>
      <c r="Q147" s="18">
        <f>IF(OR($C147="",$P147&lt;&gt;"Aberto"),"",IF($I147="",Hoje-$B147,Hoje-$I147))</f>
        <v/>
      </c>
      <c r="R147" s="22">
        <f>IF(OR($C147="",$P147&lt;&gt;"Aberto"),"",IF($J147="",IF($Q147&gt;DiasSC,"ATRASADO","Definir data"),IF($J147&lt;Hoje,"ATRASADO",IF($J147=Hoje,"HOJE","Em dia"))))</f>
        <v/>
      </c>
      <c r="S147" s="23">
        <f>IF($R147="","",IF(OR($R147="ATRASADO",$R147="HOJE",$R147="Definir data"),COUNTIF($R$5:$R147,"ATRASADO")+COUNTIF($R$5:$R147,"HOJE")+COUNTIF($R$5:$R147,"Definir data"),""))</f>
        <v/>
      </c>
      <c r="T147" s="18">
        <f>IF($C147="","",IF(OR($B147="",$E147="",$F147="",$G147=""),"Preencher entrada/origem/vendedor/etapa",IF(AND(OR($P147="Ganho",$P147="Perdido"),$K147=""),"Falta data de fechamento",IF(AND($P147="Perdido",$L147=""),"Informe o motivo da perda","OK"))))</f>
        <v/>
      </c>
    </row>
    <row r="148" spans="1:20">
      <c r="A148" s="18">
        <f>IF($C148="","",ROW()-4)</f>
        <v/>
      </c>
      <c r="B148" s="19"/>
      <c r="C148" s="13"/>
      <c r="D148" s="13"/>
      <c r="E148" s="13"/>
      <c r="F148" s="13"/>
      <c r="G148" s="13"/>
      <c r="H148" s="15"/>
      <c r="I148" s="19"/>
      <c r="J148" s="19"/>
      <c r="K148" s="19"/>
      <c r="L148" s="13"/>
      <c r="M148" s="13"/>
      <c r="N148" s="20">
        <f>IF($C148="","",IFERROR(INDEX(EtapaProb,MATCH($G148,Etapas,0)),0))</f>
        <v/>
      </c>
      <c r="O148" s="21">
        <f>IF($C148="","",IF($P148="Aberto",N($H148)*$N148,0))</f>
        <v/>
      </c>
      <c r="P148" s="18">
        <f>IF($C148="","",IF($G148="Ganho","Ganho",IF($G148="Perdido","Perdido","Aberto")))</f>
        <v/>
      </c>
      <c r="Q148" s="18">
        <f>IF(OR($C148="",$P148&lt;&gt;"Aberto"),"",IF($I148="",Hoje-$B148,Hoje-$I148))</f>
        <v/>
      </c>
      <c r="R148" s="22">
        <f>IF(OR($C148="",$P148&lt;&gt;"Aberto"),"",IF($J148="",IF($Q148&gt;DiasSC,"ATRASADO","Definir data"),IF($J148&lt;Hoje,"ATRASADO",IF($J148=Hoje,"HOJE","Em dia"))))</f>
        <v/>
      </c>
      <c r="S148" s="23">
        <f>IF($R148="","",IF(OR($R148="ATRASADO",$R148="HOJE",$R148="Definir data"),COUNTIF($R$5:$R148,"ATRASADO")+COUNTIF($R$5:$R148,"HOJE")+COUNTIF($R$5:$R148,"Definir data"),""))</f>
        <v/>
      </c>
      <c r="T148" s="18">
        <f>IF($C148="","",IF(OR($B148="",$E148="",$F148="",$G148=""),"Preencher entrada/origem/vendedor/etapa",IF(AND(OR($P148="Ganho",$P148="Perdido"),$K148=""),"Falta data de fechamento",IF(AND($P148="Perdido",$L148=""),"Informe o motivo da perda","OK"))))</f>
        <v/>
      </c>
    </row>
    <row r="149" spans="1:20">
      <c r="A149" s="18">
        <f>IF($C149="","",ROW()-4)</f>
        <v/>
      </c>
      <c r="B149" s="19"/>
      <c r="C149" s="13"/>
      <c r="D149" s="13"/>
      <c r="E149" s="13"/>
      <c r="F149" s="13"/>
      <c r="G149" s="13"/>
      <c r="H149" s="15"/>
      <c r="I149" s="19"/>
      <c r="J149" s="19"/>
      <c r="K149" s="19"/>
      <c r="L149" s="13"/>
      <c r="M149" s="13"/>
      <c r="N149" s="20">
        <f>IF($C149="","",IFERROR(INDEX(EtapaProb,MATCH($G149,Etapas,0)),0))</f>
        <v/>
      </c>
      <c r="O149" s="21">
        <f>IF($C149="","",IF($P149="Aberto",N($H149)*$N149,0))</f>
        <v/>
      </c>
      <c r="P149" s="18">
        <f>IF($C149="","",IF($G149="Ganho","Ganho",IF($G149="Perdido","Perdido","Aberto")))</f>
        <v/>
      </c>
      <c r="Q149" s="18">
        <f>IF(OR($C149="",$P149&lt;&gt;"Aberto"),"",IF($I149="",Hoje-$B149,Hoje-$I149))</f>
        <v/>
      </c>
      <c r="R149" s="22">
        <f>IF(OR($C149="",$P149&lt;&gt;"Aberto"),"",IF($J149="",IF($Q149&gt;DiasSC,"ATRASADO","Definir data"),IF($J149&lt;Hoje,"ATRASADO",IF($J149=Hoje,"HOJE","Em dia"))))</f>
        <v/>
      </c>
      <c r="S149" s="23">
        <f>IF($R149="","",IF(OR($R149="ATRASADO",$R149="HOJE",$R149="Definir data"),COUNTIF($R$5:$R149,"ATRASADO")+COUNTIF($R$5:$R149,"HOJE")+COUNTIF($R$5:$R149,"Definir data"),""))</f>
        <v/>
      </c>
      <c r="T149" s="18">
        <f>IF($C149="","",IF(OR($B149="",$E149="",$F149="",$G149=""),"Preencher entrada/origem/vendedor/etapa",IF(AND(OR($P149="Ganho",$P149="Perdido"),$K149=""),"Falta data de fechamento",IF(AND($P149="Perdido",$L149=""),"Informe o motivo da perda","OK"))))</f>
        <v/>
      </c>
    </row>
    <row r="150" spans="1:20">
      <c r="A150" s="18">
        <f>IF($C150="","",ROW()-4)</f>
        <v/>
      </c>
      <c r="B150" s="19"/>
      <c r="C150" s="13"/>
      <c r="D150" s="13"/>
      <c r="E150" s="13"/>
      <c r="F150" s="13"/>
      <c r="G150" s="13"/>
      <c r="H150" s="15"/>
      <c r="I150" s="19"/>
      <c r="J150" s="19"/>
      <c r="K150" s="19"/>
      <c r="L150" s="13"/>
      <c r="M150" s="13"/>
      <c r="N150" s="20">
        <f>IF($C150="","",IFERROR(INDEX(EtapaProb,MATCH($G150,Etapas,0)),0))</f>
        <v/>
      </c>
      <c r="O150" s="21">
        <f>IF($C150="","",IF($P150="Aberto",N($H150)*$N150,0))</f>
        <v/>
      </c>
      <c r="P150" s="18">
        <f>IF($C150="","",IF($G150="Ganho","Ganho",IF($G150="Perdido","Perdido","Aberto")))</f>
        <v/>
      </c>
      <c r="Q150" s="18">
        <f>IF(OR($C150="",$P150&lt;&gt;"Aberto"),"",IF($I150="",Hoje-$B150,Hoje-$I150))</f>
        <v/>
      </c>
      <c r="R150" s="22">
        <f>IF(OR($C150="",$P150&lt;&gt;"Aberto"),"",IF($J150="",IF($Q150&gt;DiasSC,"ATRASADO","Definir data"),IF($J150&lt;Hoje,"ATRASADO",IF($J150=Hoje,"HOJE","Em dia"))))</f>
        <v/>
      </c>
      <c r="S150" s="23">
        <f>IF($R150="","",IF(OR($R150="ATRASADO",$R150="HOJE",$R150="Definir data"),COUNTIF($R$5:$R150,"ATRASADO")+COUNTIF($R$5:$R150,"HOJE")+COUNTIF($R$5:$R150,"Definir data"),""))</f>
        <v/>
      </c>
      <c r="T150" s="18">
        <f>IF($C150="","",IF(OR($B150="",$E150="",$F150="",$G150=""),"Preencher entrada/origem/vendedor/etapa",IF(AND(OR($P150="Ganho",$P150="Perdido"),$K150=""),"Falta data de fechamento",IF(AND($P150="Perdido",$L150=""),"Informe o motivo da perda","OK"))))</f>
        <v/>
      </c>
    </row>
    <row r="151" spans="1:20">
      <c r="A151" s="18">
        <f>IF($C151="","",ROW()-4)</f>
        <v/>
      </c>
      <c r="B151" s="19"/>
      <c r="C151" s="13"/>
      <c r="D151" s="13"/>
      <c r="E151" s="13"/>
      <c r="F151" s="13"/>
      <c r="G151" s="13"/>
      <c r="H151" s="15"/>
      <c r="I151" s="19"/>
      <c r="J151" s="19"/>
      <c r="K151" s="19"/>
      <c r="L151" s="13"/>
      <c r="M151" s="13"/>
      <c r="N151" s="20">
        <f>IF($C151="","",IFERROR(INDEX(EtapaProb,MATCH($G151,Etapas,0)),0))</f>
        <v/>
      </c>
      <c r="O151" s="21">
        <f>IF($C151="","",IF($P151="Aberto",N($H151)*$N151,0))</f>
        <v/>
      </c>
      <c r="P151" s="18">
        <f>IF($C151="","",IF($G151="Ganho","Ganho",IF($G151="Perdido","Perdido","Aberto")))</f>
        <v/>
      </c>
      <c r="Q151" s="18">
        <f>IF(OR($C151="",$P151&lt;&gt;"Aberto"),"",IF($I151="",Hoje-$B151,Hoje-$I151))</f>
        <v/>
      </c>
      <c r="R151" s="22">
        <f>IF(OR($C151="",$P151&lt;&gt;"Aberto"),"",IF($J151="",IF($Q151&gt;DiasSC,"ATRASADO","Definir data"),IF($J151&lt;Hoje,"ATRASADO",IF($J151=Hoje,"HOJE","Em dia"))))</f>
        <v/>
      </c>
      <c r="S151" s="23">
        <f>IF($R151="","",IF(OR($R151="ATRASADO",$R151="HOJE",$R151="Definir data"),COUNTIF($R$5:$R151,"ATRASADO")+COUNTIF($R$5:$R151,"HOJE")+COUNTIF($R$5:$R151,"Definir data"),""))</f>
        <v/>
      </c>
      <c r="T151" s="18">
        <f>IF($C151="","",IF(OR($B151="",$E151="",$F151="",$G151=""),"Preencher entrada/origem/vendedor/etapa",IF(AND(OR($P151="Ganho",$P151="Perdido"),$K151=""),"Falta data de fechamento",IF(AND($P151="Perdido",$L151=""),"Informe o motivo da perda","OK"))))</f>
        <v/>
      </c>
    </row>
    <row r="152" spans="1:20">
      <c r="A152" s="18">
        <f>IF($C152="","",ROW()-4)</f>
        <v/>
      </c>
      <c r="B152" s="19"/>
      <c r="C152" s="13"/>
      <c r="D152" s="13"/>
      <c r="E152" s="13"/>
      <c r="F152" s="13"/>
      <c r="G152" s="13"/>
      <c r="H152" s="15"/>
      <c r="I152" s="19"/>
      <c r="J152" s="19"/>
      <c r="K152" s="19"/>
      <c r="L152" s="13"/>
      <c r="M152" s="13"/>
      <c r="N152" s="20">
        <f>IF($C152="","",IFERROR(INDEX(EtapaProb,MATCH($G152,Etapas,0)),0))</f>
        <v/>
      </c>
      <c r="O152" s="21">
        <f>IF($C152="","",IF($P152="Aberto",N($H152)*$N152,0))</f>
        <v/>
      </c>
      <c r="P152" s="18">
        <f>IF($C152="","",IF($G152="Ganho","Ganho",IF($G152="Perdido","Perdido","Aberto")))</f>
        <v/>
      </c>
      <c r="Q152" s="18">
        <f>IF(OR($C152="",$P152&lt;&gt;"Aberto"),"",IF($I152="",Hoje-$B152,Hoje-$I152))</f>
        <v/>
      </c>
      <c r="R152" s="22">
        <f>IF(OR($C152="",$P152&lt;&gt;"Aberto"),"",IF($J152="",IF($Q152&gt;DiasSC,"ATRASADO","Definir data"),IF($J152&lt;Hoje,"ATRASADO",IF($J152=Hoje,"HOJE","Em dia"))))</f>
        <v/>
      </c>
      <c r="S152" s="23">
        <f>IF($R152="","",IF(OR($R152="ATRASADO",$R152="HOJE",$R152="Definir data"),COUNTIF($R$5:$R152,"ATRASADO")+COUNTIF($R$5:$R152,"HOJE")+COUNTIF($R$5:$R152,"Definir data"),""))</f>
        <v/>
      </c>
      <c r="T152" s="18">
        <f>IF($C152="","",IF(OR($B152="",$E152="",$F152="",$G152=""),"Preencher entrada/origem/vendedor/etapa",IF(AND(OR($P152="Ganho",$P152="Perdido"),$K152=""),"Falta data de fechamento",IF(AND($P152="Perdido",$L152=""),"Informe o motivo da perda","OK"))))</f>
        <v/>
      </c>
    </row>
    <row r="153" spans="1:20">
      <c r="A153" s="18">
        <f>IF($C153="","",ROW()-4)</f>
        <v/>
      </c>
      <c r="B153" s="19"/>
      <c r="C153" s="13"/>
      <c r="D153" s="13"/>
      <c r="E153" s="13"/>
      <c r="F153" s="13"/>
      <c r="G153" s="13"/>
      <c r="H153" s="15"/>
      <c r="I153" s="19"/>
      <c r="J153" s="19"/>
      <c r="K153" s="19"/>
      <c r="L153" s="13"/>
      <c r="M153" s="13"/>
      <c r="N153" s="20">
        <f>IF($C153="","",IFERROR(INDEX(EtapaProb,MATCH($G153,Etapas,0)),0))</f>
        <v/>
      </c>
      <c r="O153" s="21">
        <f>IF($C153="","",IF($P153="Aberto",N($H153)*$N153,0))</f>
        <v/>
      </c>
      <c r="P153" s="18">
        <f>IF($C153="","",IF($G153="Ganho","Ganho",IF($G153="Perdido","Perdido","Aberto")))</f>
        <v/>
      </c>
      <c r="Q153" s="18">
        <f>IF(OR($C153="",$P153&lt;&gt;"Aberto"),"",IF($I153="",Hoje-$B153,Hoje-$I153))</f>
        <v/>
      </c>
      <c r="R153" s="22">
        <f>IF(OR($C153="",$P153&lt;&gt;"Aberto"),"",IF($J153="",IF($Q153&gt;DiasSC,"ATRASADO","Definir data"),IF($J153&lt;Hoje,"ATRASADO",IF($J153=Hoje,"HOJE","Em dia"))))</f>
        <v/>
      </c>
      <c r="S153" s="23">
        <f>IF($R153="","",IF(OR($R153="ATRASADO",$R153="HOJE",$R153="Definir data"),COUNTIF($R$5:$R153,"ATRASADO")+COUNTIF($R$5:$R153,"HOJE")+COUNTIF($R$5:$R153,"Definir data"),""))</f>
        <v/>
      </c>
      <c r="T153" s="18">
        <f>IF($C153="","",IF(OR($B153="",$E153="",$F153="",$G153=""),"Preencher entrada/origem/vendedor/etapa",IF(AND(OR($P153="Ganho",$P153="Perdido"),$K153=""),"Falta data de fechamento",IF(AND($P153="Perdido",$L153=""),"Informe o motivo da perda","OK"))))</f>
        <v/>
      </c>
    </row>
    <row r="154" spans="1:20">
      <c r="A154" s="18">
        <f>IF($C154="","",ROW()-4)</f>
        <v/>
      </c>
      <c r="B154" s="19"/>
      <c r="C154" s="13"/>
      <c r="D154" s="13"/>
      <c r="E154" s="13"/>
      <c r="F154" s="13"/>
      <c r="G154" s="13"/>
      <c r="H154" s="15"/>
      <c r="I154" s="19"/>
      <c r="J154" s="19"/>
      <c r="K154" s="19"/>
      <c r="L154" s="13"/>
      <c r="M154" s="13"/>
      <c r="N154" s="20">
        <f>IF($C154="","",IFERROR(INDEX(EtapaProb,MATCH($G154,Etapas,0)),0))</f>
        <v/>
      </c>
      <c r="O154" s="21">
        <f>IF($C154="","",IF($P154="Aberto",N($H154)*$N154,0))</f>
        <v/>
      </c>
      <c r="P154" s="18">
        <f>IF($C154="","",IF($G154="Ganho","Ganho",IF($G154="Perdido","Perdido","Aberto")))</f>
        <v/>
      </c>
      <c r="Q154" s="18">
        <f>IF(OR($C154="",$P154&lt;&gt;"Aberto"),"",IF($I154="",Hoje-$B154,Hoje-$I154))</f>
        <v/>
      </c>
      <c r="R154" s="22">
        <f>IF(OR($C154="",$P154&lt;&gt;"Aberto"),"",IF($J154="",IF($Q154&gt;DiasSC,"ATRASADO","Definir data"),IF($J154&lt;Hoje,"ATRASADO",IF($J154=Hoje,"HOJE","Em dia"))))</f>
        <v/>
      </c>
      <c r="S154" s="23">
        <f>IF($R154="","",IF(OR($R154="ATRASADO",$R154="HOJE",$R154="Definir data"),COUNTIF($R$5:$R154,"ATRASADO")+COUNTIF($R$5:$R154,"HOJE")+COUNTIF($R$5:$R154,"Definir data"),""))</f>
        <v/>
      </c>
      <c r="T154" s="18">
        <f>IF($C154="","",IF(OR($B154="",$E154="",$F154="",$G154=""),"Preencher entrada/origem/vendedor/etapa",IF(AND(OR($P154="Ganho",$P154="Perdido"),$K154=""),"Falta data de fechamento",IF(AND($P154="Perdido",$L154=""),"Informe o motivo da perda","OK"))))</f>
        <v/>
      </c>
    </row>
    <row r="155" spans="1:20">
      <c r="A155" s="18">
        <f>IF($C155="","",ROW()-4)</f>
        <v/>
      </c>
      <c r="B155" s="19"/>
      <c r="C155" s="13"/>
      <c r="D155" s="13"/>
      <c r="E155" s="13"/>
      <c r="F155" s="13"/>
      <c r="G155" s="13"/>
      <c r="H155" s="15"/>
      <c r="I155" s="19"/>
      <c r="J155" s="19"/>
      <c r="K155" s="19"/>
      <c r="L155" s="13"/>
      <c r="M155" s="13"/>
      <c r="N155" s="20">
        <f>IF($C155="","",IFERROR(INDEX(EtapaProb,MATCH($G155,Etapas,0)),0))</f>
        <v/>
      </c>
      <c r="O155" s="21">
        <f>IF($C155="","",IF($P155="Aberto",N($H155)*$N155,0))</f>
        <v/>
      </c>
      <c r="P155" s="18">
        <f>IF($C155="","",IF($G155="Ganho","Ganho",IF($G155="Perdido","Perdido","Aberto")))</f>
        <v/>
      </c>
      <c r="Q155" s="18">
        <f>IF(OR($C155="",$P155&lt;&gt;"Aberto"),"",IF($I155="",Hoje-$B155,Hoje-$I155))</f>
        <v/>
      </c>
      <c r="R155" s="22">
        <f>IF(OR($C155="",$P155&lt;&gt;"Aberto"),"",IF($J155="",IF($Q155&gt;DiasSC,"ATRASADO","Definir data"),IF($J155&lt;Hoje,"ATRASADO",IF($J155=Hoje,"HOJE","Em dia"))))</f>
        <v/>
      </c>
      <c r="S155" s="23">
        <f>IF($R155="","",IF(OR($R155="ATRASADO",$R155="HOJE",$R155="Definir data"),COUNTIF($R$5:$R155,"ATRASADO")+COUNTIF($R$5:$R155,"HOJE")+COUNTIF($R$5:$R155,"Definir data"),""))</f>
        <v/>
      </c>
      <c r="T155" s="18">
        <f>IF($C155="","",IF(OR($B155="",$E155="",$F155="",$G155=""),"Preencher entrada/origem/vendedor/etapa",IF(AND(OR($P155="Ganho",$P155="Perdido"),$K155=""),"Falta data de fechamento",IF(AND($P155="Perdido",$L155=""),"Informe o motivo da perda","OK"))))</f>
        <v/>
      </c>
    </row>
    <row r="156" spans="1:20">
      <c r="A156" s="18">
        <f>IF($C156="","",ROW()-4)</f>
        <v/>
      </c>
      <c r="B156" s="19"/>
      <c r="C156" s="13"/>
      <c r="D156" s="13"/>
      <c r="E156" s="13"/>
      <c r="F156" s="13"/>
      <c r="G156" s="13"/>
      <c r="H156" s="15"/>
      <c r="I156" s="19"/>
      <c r="J156" s="19"/>
      <c r="K156" s="19"/>
      <c r="L156" s="13"/>
      <c r="M156" s="13"/>
      <c r="N156" s="20">
        <f>IF($C156="","",IFERROR(INDEX(EtapaProb,MATCH($G156,Etapas,0)),0))</f>
        <v/>
      </c>
      <c r="O156" s="21">
        <f>IF($C156="","",IF($P156="Aberto",N($H156)*$N156,0))</f>
        <v/>
      </c>
      <c r="P156" s="18">
        <f>IF($C156="","",IF($G156="Ganho","Ganho",IF($G156="Perdido","Perdido","Aberto")))</f>
        <v/>
      </c>
      <c r="Q156" s="18">
        <f>IF(OR($C156="",$P156&lt;&gt;"Aberto"),"",IF($I156="",Hoje-$B156,Hoje-$I156))</f>
        <v/>
      </c>
      <c r="R156" s="22">
        <f>IF(OR($C156="",$P156&lt;&gt;"Aberto"),"",IF($J156="",IF($Q156&gt;DiasSC,"ATRASADO","Definir data"),IF($J156&lt;Hoje,"ATRASADO",IF($J156=Hoje,"HOJE","Em dia"))))</f>
        <v/>
      </c>
      <c r="S156" s="23">
        <f>IF($R156="","",IF(OR($R156="ATRASADO",$R156="HOJE",$R156="Definir data"),COUNTIF($R$5:$R156,"ATRASADO")+COUNTIF($R$5:$R156,"HOJE")+COUNTIF($R$5:$R156,"Definir data"),""))</f>
        <v/>
      </c>
      <c r="T156" s="18">
        <f>IF($C156="","",IF(OR($B156="",$E156="",$F156="",$G156=""),"Preencher entrada/origem/vendedor/etapa",IF(AND(OR($P156="Ganho",$P156="Perdido"),$K156=""),"Falta data de fechamento",IF(AND($P156="Perdido",$L156=""),"Informe o motivo da perda","OK"))))</f>
        <v/>
      </c>
    </row>
    <row r="157" spans="1:20">
      <c r="A157" s="18">
        <f>IF($C157="","",ROW()-4)</f>
        <v/>
      </c>
      <c r="B157" s="19"/>
      <c r="C157" s="13"/>
      <c r="D157" s="13"/>
      <c r="E157" s="13"/>
      <c r="F157" s="13"/>
      <c r="G157" s="13"/>
      <c r="H157" s="15"/>
      <c r="I157" s="19"/>
      <c r="J157" s="19"/>
      <c r="K157" s="19"/>
      <c r="L157" s="13"/>
      <c r="M157" s="13"/>
      <c r="N157" s="20">
        <f>IF($C157="","",IFERROR(INDEX(EtapaProb,MATCH($G157,Etapas,0)),0))</f>
        <v/>
      </c>
      <c r="O157" s="21">
        <f>IF($C157="","",IF($P157="Aberto",N($H157)*$N157,0))</f>
        <v/>
      </c>
      <c r="P157" s="18">
        <f>IF($C157="","",IF($G157="Ganho","Ganho",IF($G157="Perdido","Perdido","Aberto")))</f>
        <v/>
      </c>
      <c r="Q157" s="18">
        <f>IF(OR($C157="",$P157&lt;&gt;"Aberto"),"",IF($I157="",Hoje-$B157,Hoje-$I157))</f>
        <v/>
      </c>
      <c r="R157" s="22">
        <f>IF(OR($C157="",$P157&lt;&gt;"Aberto"),"",IF($J157="",IF($Q157&gt;DiasSC,"ATRASADO","Definir data"),IF($J157&lt;Hoje,"ATRASADO",IF($J157=Hoje,"HOJE","Em dia"))))</f>
        <v/>
      </c>
      <c r="S157" s="23">
        <f>IF($R157="","",IF(OR($R157="ATRASADO",$R157="HOJE",$R157="Definir data"),COUNTIF($R$5:$R157,"ATRASADO")+COUNTIF($R$5:$R157,"HOJE")+COUNTIF($R$5:$R157,"Definir data"),""))</f>
        <v/>
      </c>
      <c r="T157" s="18">
        <f>IF($C157="","",IF(OR($B157="",$E157="",$F157="",$G157=""),"Preencher entrada/origem/vendedor/etapa",IF(AND(OR($P157="Ganho",$P157="Perdido"),$K157=""),"Falta data de fechamento",IF(AND($P157="Perdido",$L157=""),"Informe o motivo da perda","OK"))))</f>
        <v/>
      </c>
    </row>
    <row r="158" spans="1:20">
      <c r="A158" s="18">
        <f>IF($C158="","",ROW()-4)</f>
        <v/>
      </c>
      <c r="B158" s="19"/>
      <c r="C158" s="13"/>
      <c r="D158" s="13"/>
      <c r="E158" s="13"/>
      <c r="F158" s="13"/>
      <c r="G158" s="13"/>
      <c r="H158" s="15"/>
      <c r="I158" s="19"/>
      <c r="J158" s="19"/>
      <c r="K158" s="19"/>
      <c r="L158" s="13"/>
      <c r="M158" s="13"/>
      <c r="N158" s="20">
        <f>IF($C158="","",IFERROR(INDEX(EtapaProb,MATCH($G158,Etapas,0)),0))</f>
        <v/>
      </c>
      <c r="O158" s="21">
        <f>IF($C158="","",IF($P158="Aberto",N($H158)*$N158,0))</f>
        <v/>
      </c>
      <c r="P158" s="18">
        <f>IF($C158="","",IF($G158="Ganho","Ganho",IF($G158="Perdido","Perdido","Aberto")))</f>
        <v/>
      </c>
      <c r="Q158" s="18">
        <f>IF(OR($C158="",$P158&lt;&gt;"Aberto"),"",IF($I158="",Hoje-$B158,Hoje-$I158))</f>
        <v/>
      </c>
      <c r="R158" s="22">
        <f>IF(OR($C158="",$P158&lt;&gt;"Aberto"),"",IF($J158="",IF($Q158&gt;DiasSC,"ATRASADO","Definir data"),IF($J158&lt;Hoje,"ATRASADO",IF($J158=Hoje,"HOJE","Em dia"))))</f>
        <v/>
      </c>
      <c r="S158" s="23">
        <f>IF($R158="","",IF(OR($R158="ATRASADO",$R158="HOJE",$R158="Definir data"),COUNTIF($R$5:$R158,"ATRASADO")+COUNTIF($R$5:$R158,"HOJE")+COUNTIF($R$5:$R158,"Definir data"),""))</f>
        <v/>
      </c>
      <c r="T158" s="18">
        <f>IF($C158="","",IF(OR($B158="",$E158="",$F158="",$G158=""),"Preencher entrada/origem/vendedor/etapa",IF(AND(OR($P158="Ganho",$P158="Perdido"),$K158=""),"Falta data de fechamento",IF(AND($P158="Perdido",$L158=""),"Informe o motivo da perda","OK"))))</f>
        <v/>
      </c>
    </row>
    <row r="159" spans="1:20">
      <c r="A159" s="18">
        <f>IF($C159="","",ROW()-4)</f>
        <v/>
      </c>
      <c r="B159" s="19"/>
      <c r="C159" s="13"/>
      <c r="D159" s="13"/>
      <c r="E159" s="13"/>
      <c r="F159" s="13"/>
      <c r="G159" s="13"/>
      <c r="H159" s="15"/>
      <c r="I159" s="19"/>
      <c r="J159" s="19"/>
      <c r="K159" s="19"/>
      <c r="L159" s="13"/>
      <c r="M159" s="13"/>
      <c r="N159" s="20">
        <f>IF($C159="","",IFERROR(INDEX(EtapaProb,MATCH($G159,Etapas,0)),0))</f>
        <v/>
      </c>
      <c r="O159" s="21">
        <f>IF($C159="","",IF($P159="Aberto",N($H159)*$N159,0))</f>
        <v/>
      </c>
      <c r="P159" s="18">
        <f>IF($C159="","",IF($G159="Ganho","Ganho",IF($G159="Perdido","Perdido","Aberto")))</f>
        <v/>
      </c>
      <c r="Q159" s="18">
        <f>IF(OR($C159="",$P159&lt;&gt;"Aberto"),"",IF($I159="",Hoje-$B159,Hoje-$I159))</f>
        <v/>
      </c>
      <c r="R159" s="22">
        <f>IF(OR($C159="",$P159&lt;&gt;"Aberto"),"",IF($J159="",IF($Q159&gt;DiasSC,"ATRASADO","Definir data"),IF($J159&lt;Hoje,"ATRASADO",IF($J159=Hoje,"HOJE","Em dia"))))</f>
        <v/>
      </c>
      <c r="S159" s="23">
        <f>IF($R159="","",IF(OR($R159="ATRASADO",$R159="HOJE",$R159="Definir data"),COUNTIF($R$5:$R159,"ATRASADO")+COUNTIF($R$5:$R159,"HOJE")+COUNTIF($R$5:$R159,"Definir data"),""))</f>
        <v/>
      </c>
      <c r="T159" s="18">
        <f>IF($C159="","",IF(OR($B159="",$E159="",$F159="",$G159=""),"Preencher entrada/origem/vendedor/etapa",IF(AND(OR($P159="Ganho",$P159="Perdido"),$K159=""),"Falta data de fechamento",IF(AND($P159="Perdido",$L159=""),"Informe o motivo da perda","OK"))))</f>
        <v/>
      </c>
    </row>
    <row r="160" spans="1:20">
      <c r="A160" s="18">
        <f>IF($C160="","",ROW()-4)</f>
        <v/>
      </c>
      <c r="B160" s="19"/>
      <c r="C160" s="13"/>
      <c r="D160" s="13"/>
      <c r="E160" s="13"/>
      <c r="F160" s="13"/>
      <c r="G160" s="13"/>
      <c r="H160" s="15"/>
      <c r="I160" s="19"/>
      <c r="J160" s="19"/>
      <c r="K160" s="19"/>
      <c r="L160" s="13"/>
      <c r="M160" s="13"/>
      <c r="N160" s="20">
        <f>IF($C160="","",IFERROR(INDEX(EtapaProb,MATCH($G160,Etapas,0)),0))</f>
        <v/>
      </c>
      <c r="O160" s="21">
        <f>IF($C160="","",IF($P160="Aberto",N($H160)*$N160,0))</f>
        <v/>
      </c>
      <c r="P160" s="18">
        <f>IF($C160="","",IF($G160="Ganho","Ganho",IF($G160="Perdido","Perdido","Aberto")))</f>
        <v/>
      </c>
      <c r="Q160" s="18">
        <f>IF(OR($C160="",$P160&lt;&gt;"Aberto"),"",IF($I160="",Hoje-$B160,Hoje-$I160))</f>
        <v/>
      </c>
      <c r="R160" s="22">
        <f>IF(OR($C160="",$P160&lt;&gt;"Aberto"),"",IF($J160="",IF($Q160&gt;DiasSC,"ATRASADO","Definir data"),IF($J160&lt;Hoje,"ATRASADO",IF($J160=Hoje,"HOJE","Em dia"))))</f>
        <v/>
      </c>
      <c r="S160" s="23">
        <f>IF($R160="","",IF(OR($R160="ATRASADO",$R160="HOJE",$R160="Definir data"),COUNTIF($R$5:$R160,"ATRASADO")+COUNTIF($R$5:$R160,"HOJE")+COUNTIF($R$5:$R160,"Definir data"),""))</f>
        <v/>
      </c>
      <c r="T160" s="18">
        <f>IF($C160="","",IF(OR($B160="",$E160="",$F160="",$G160=""),"Preencher entrada/origem/vendedor/etapa",IF(AND(OR($P160="Ganho",$P160="Perdido"),$K160=""),"Falta data de fechamento",IF(AND($P160="Perdido",$L160=""),"Informe o motivo da perda","OK"))))</f>
        <v/>
      </c>
    </row>
    <row r="161" spans="1:20">
      <c r="A161" s="18">
        <f>IF($C161="","",ROW()-4)</f>
        <v/>
      </c>
      <c r="B161" s="19"/>
      <c r="C161" s="13"/>
      <c r="D161" s="13"/>
      <c r="E161" s="13"/>
      <c r="F161" s="13"/>
      <c r="G161" s="13"/>
      <c r="H161" s="15"/>
      <c r="I161" s="19"/>
      <c r="J161" s="19"/>
      <c r="K161" s="19"/>
      <c r="L161" s="13"/>
      <c r="M161" s="13"/>
      <c r="N161" s="20">
        <f>IF($C161="","",IFERROR(INDEX(EtapaProb,MATCH($G161,Etapas,0)),0))</f>
        <v/>
      </c>
      <c r="O161" s="21">
        <f>IF($C161="","",IF($P161="Aberto",N($H161)*$N161,0))</f>
        <v/>
      </c>
      <c r="P161" s="18">
        <f>IF($C161="","",IF($G161="Ganho","Ganho",IF($G161="Perdido","Perdido","Aberto")))</f>
        <v/>
      </c>
      <c r="Q161" s="18">
        <f>IF(OR($C161="",$P161&lt;&gt;"Aberto"),"",IF($I161="",Hoje-$B161,Hoje-$I161))</f>
        <v/>
      </c>
      <c r="R161" s="22">
        <f>IF(OR($C161="",$P161&lt;&gt;"Aberto"),"",IF($J161="",IF($Q161&gt;DiasSC,"ATRASADO","Definir data"),IF($J161&lt;Hoje,"ATRASADO",IF($J161=Hoje,"HOJE","Em dia"))))</f>
        <v/>
      </c>
      <c r="S161" s="23">
        <f>IF($R161="","",IF(OR($R161="ATRASADO",$R161="HOJE",$R161="Definir data"),COUNTIF($R$5:$R161,"ATRASADO")+COUNTIF($R$5:$R161,"HOJE")+COUNTIF($R$5:$R161,"Definir data"),""))</f>
        <v/>
      </c>
      <c r="T161" s="18">
        <f>IF($C161="","",IF(OR($B161="",$E161="",$F161="",$G161=""),"Preencher entrada/origem/vendedor/etapa",IF(AND(OR($P161="Ganho",$P161="Perdido"),$K161=""),"Falta data de fechamento",IF(AND($P161="Perdido",$L161=""),"Informe o motivo da perda","OK"))))</f>
        <v/>
      </c>
    </row>
    <row r="162" spans="1:20">
      <c r="A162" s="18">
        <f>IF($C162="","",ROW()-4)</f>
        <v/>
      </c>
      <c r="B162" s="19"/>
      <c r="C162" s="13"/>
      <c r="D162" s="13"/>
      <c r="E162" s="13"/>
      <c r="F162" s="13"/>
      <c r="G162" s="13"/>
      <c r="H162" s="15"/>
      <c r="I162" s="19"/>
      <c r="J162" s="19"/>
      <c r="K162" s="19"/>
      <c r="L162" s="13"/>
      <c r="M162" s="13"/>
      <c r="N162" s="20">
        <f>IF($C162="","",IFERROR(INDEX(EtapaProb,MATCH($G162,Etapas,0)),0))</f>
        <v/>
      </c>
      <c r="O162" s="21">
        <f>IF($C162="","",IF($P162="Aberto",N($H162)*$N162,0))</f>
        <v/>
      </c>
      <c r="P162" s="18">
        <f>IF($C162="","",IF($G162="Ganho","Ganho",IF($G162="Perdido","Perdido","Aberto")))</f>
        <v/>
      </c>
      <c r="Q162" s="18">
        <f>IF(OR($C162="",$P162&lt;&gt;"Aberto"),"",IF($I162="",Hoje-$B162,Hoje-$I162))</f>
        <v/>
      </c>
      <c r="R162" s="22">
        <f>IF(OR($C162="",$P162&lt;&gt;"Aberto"),"",IF($J162="",IF($Q162&gt;DiasSC,"ATRASADO","Definir data"),IF($J162&lt;Hoje,"ATRASADO",IF($J162=Hoje,"HOJE","Em dia"))))</f>
        <v/>
      </c>
      <c r="S162" s="23">
        <f>IF($R162="","",IF(OR($R162="ATRASADO",$R162="HOJE",$R162="Definir data"),COUNTIF($R$5:$R162,"ATRASADO")+COUNTIF($R$5:$R162,"HOJE")+COUNTIF($R$5:$R162,"Definir data"),""))</f>
        <v/>
      </c>
      <c r="T162" s="18">
        <f>IF($C162="","",IF(OR($B162="",$E162="",$F162="",$G162=""),"Preencher entrada/origem/vendedor/etapa",IF(AND(OR($P162="Ganho",$P162="Perdido"),$K162=""),"Falta data de fechamento",IF(AND($P162="Perdido",$L162=""),"Informe o motivo da perda","OK"))))</f>
        <v/>
      </c>
    </row>
    <row r="163" spans="1:20">
      <c r="A163" s="18">
        <f>IF($C163="","",ROW()-4)</f>
        <v/>
      </c>
      <c r="B163" s="19"/>
      <c r="C163" s="13"/>
      <c r="D163" s="13"/>
      <c r="E163" s="13"/>
      <c r="F163" s="13"/>
      <c r="G163" s="13"/>
      <c r="H163" s="15"/>
      <c r="I163" s="19"/>
      <c r="J163" s="19"/>
      <c r="K163" s="19"/>
      <c r="L163" s="13"/>
      <c r="M163" s="13"/>
      <c r="N163" s="20">
        <f>IF($C163="","",IFERROR(INDEX(EtapaProb,MATCH($G163,Etapas,0)),0))</f>
        <v/>
      </c>
      <c r="O163" s="21">
        <f>IF($C163="","",IF($P163="Aberto",N($H163)*$N163,0))</f>
        <v/>
      </c>
      <c r="P163" s="18">
        <f>IF($C163="","",IF($G163="Ganho","Ganho",IF($G163="Perdido","Perdido","Aberto")))</f>
        <v/>
      </c>
      <c r="Q163" s="18">
        <f>IF(OR($C163="",$P163&lt;&gt;"Aberto"),"",IF($I163="",Hoje-$B163,Hoje-$I163))</f>
        <v/>
      </c>
      <c r="R163" s="22">
        <f>IF(OR($C163="",$P163&lt;&gt;"Aberto"),"",IF($J163="",IF($Q163&gt;DiasSC,"ATRASADO","Definir data"),IF($J163&lt;Hoje,"ATRASADO",IF($J163=Hoje,"HOJE","Em dia"))))</f>
        <v/>
      </c>
      <c r="S163" s="23">
        <f>IF($R163="","",IF(OR($R163="ATRASADO",$R163="HOJE",$R163="Definir data"),COUNTIF($R$5:$R163,"ATRASADO")+COUNTIF($R$5:$R163,"HOJE")+COUNTIF($R$5:$R163,"Definir data"),""))</f>
        <v/>
      </c>
      <c r="T163" s="18">
        <f>IF($C163="","",IF(OR($B163="",$E163="",$F163="",$G163=""),"Preencher entrada/origem/vendedor/etapa",IF(AND(OR($P163="Ganho",$P163="Perdido"),$K163=""),"Falta data de fechamento",IF(AND($P163="Perdido",$L163=""),"Informe o motivo da perda","OK"))))</f>
        <v/>
      </c>
    </row>
    <row r="164" spans="1:20">
      <c r="A164" s="18">
        <f>IF($C164="","",ROW()-4)</f>
        <v/>
      </c>
      <c r="B164" s="19"/>
      <c r="C164" s="13"/>
      <c r="D164" s="13"/>
      <c r="E164" s="13"/>
      <c r="F164" s="13"/>
      <c r="G164" s="13"/>
      <c r="H164" s="15"/>
      <c r="I164" s="19"/>
      <c r="J164" s="19"/>
      <c r="K164" s="19"/>
      <c r="L164" s="13"/>
      <c r="M164" s="13"/>
      <c r="N164" s="20">
        <f>IF($C164="","",IFERROR(INDEX(EtapaProb,MATCH($G164,Etapas,0)),0))</f>
        <v/>
      </c>
      <c r="O164" s="21">
        <f>IF($C164="","",IF($P164="Aberto",N($H164)*$N164,0))</f>
        <v/>
      </c>
      <c r="P164" s="18">
        <f>IF($C164="","",IF($G164="Ganho","Ganho",IF($G164="Perdido","Perdido","Aberto")))</f>
        <v/>
      </c>
      <c r="Q164" s="18">
        <f>IF(OR($C164="",$P164&lt;&gt;"Aberto"),"",IF($I164="",Hoje-$B164,Hoje-$I164))</f>
        <v/>
      </c>
      <c r="R164" s="22">
        <f>IF(OR($C164="",$P164&lt;&gt;"Aberto"),"",IF($J164="",IF($Q164&gt;DiasSC,"ATRASADO","Definir data"),IF($J164&lt;Hoje,"ATRASADO",IF($J164=Hoje,"HOJE","Em dia"))))</f>
        <v/>
      </c>
      <c r="S164" s="23">
        <f>IF($R164="","",IF(OR($R164="ATRASADO",$R164="HOJE",$R164="Definir data"),COUNTIF($R$5:$R164,"ATRASADO")+COUNTIF($R$5:$R164,"HOJE")+COUNTIF($R$5:$R164,"Definir data"),""))</f>
        <v/>
      </c>
      <c r="T164" s="18">
        <f>IF($C164="","",IF(OR($B164="",$E164="",$F164="",$G164=""),"Preencher entrada/origem/vendedor/etapa",IF(AND(OR($P164="Ganho",$P164="Perdido"),$K164=""),"Falta data de fechamento",IF(AND($P164="Perdido",$L164=""),"Informe o motivo da perda","OK"))))</f>
        <v/>
      </c>
    </row>
    <row r="165" spans="1:20">
      <c r="A165" s="18">
        <f>IF($C165="","",ROW()-4)</f>
        <v/>
      </c>
      <c r="B165" s="19"/>
      <c r="C165" s="13"/>
      <c r="D165" s="13"/>
      <c r="E165" s="13"/>
      <c r="F165" s="13"/>
      <c r="G165" s="13"/>
      <c r="H165" s="15"/>
      <c r="I165" s="19"/>
      <c r="J165" s="19"/>
      <c r="K165" s="19"/>
      <c r="L165" s="13"/>
      <c r="M165" s="13"/>
      <c r="N165" s="20">
        <f>IF($C165="","",IFERROR(INDEX(EtapaProb,MATCH($G165,Etapas,0)),0))</f>
        <v/>
      </c>
      <c r="O165" s="21">
        <f>IF($C165="","",IF($P165="Aberto",N($H165)*$N165,0))</f>
        <v/>
      </c>
      <c r="P165" s="18">
        <f>IF($C165="","",IF($G165="Ganho","Ganho",IF($G165="Perdido","Perdido","Aberto")))</f>
        <v/>
      </c>
      <c r="Q165" s="18">
        <f>IF(OR($C165="",$P165&lt;&gt;"Aberto"),"",IF($I165="",Hoje-$B165,Hoje-$I165))</f>
        <v/>
      </c>
      <c r="R165" s="22">
        <f>IF(OR($C165="",$P165&lt;&gt;"Aberto"),"",IF($J165="",IF($Q165&gt;DiasSC,"ATRASADO","Definir data"),IF($J165&lt;Hoje,"ATRASADO",IF($J165=Hoje,"HOJE","Em dia"))))</f>
        <v/>
      </c>
      <c r="S165" s="23">
        <f>IF($R165="","",IF(OR($R165="ATRASADO",$R165="HOJE",$R165="Definir data"),COUNTIF($R$5:$R165,"ATRASADO")+COUNTIF($R$5:$R165,"HOJE")+COUNTIF($R$5:$R165,"Definir data"),""))</f>
        <v/>
      </c>
      <c r="T165" s="18">
        <f>IF($C165="","",IF(OR($B165="",$E165="",$F165="",$G165=""),"Preencher entrada/origem/vendedor/etapa",IF(AND(OR($P165="Ganho",$P165="Perdido"),$K165=""),"Falta data de fechamento",IF(AND($P165="Perdido",$L165=""),"Informe o motivo da perda","OK"))))</f>
        <v/>
      </c>
    </row>
    <row r="166" spans="1:20">
      <c r="A166" s="18">
        <f>IF($C166="","",ROW()-4)</f>
        <v/>
      </c>
      <c r="B166" s="19"/>
      <c r="C166" s="13"/>
      <c r="D166" s="13"/>
      <c r="E166" s="13"/>
      <c r="F166" s="13"/>
      <c r="G166" s="13"/>
      <c r="H166" s="15"/>
      <c r="I166" s="19"/>
      <c r="J166" s="19"/>
      <c r="K166" s="19"/>
      <c r="L166" s="13"/>
      <c r="M166" s="13"/>
      <c r="N166" s="20">
        <f>IF($C166="","",IFERROR(INDEX(EtapaProb,MATCH($G166,Etapas,0)),0))</f>
        <v/>
      </c>
      <c r="O166" s="21">
        <f>IF($C166="","",IF($P166="Aberto",N($H166)*$N166,0))</f>
        <v/>
      </c>
      <c r="P166" s="18">
        <f>IF($C166="","",IF($G166="Ganho","Ganho",IF($G166="Perdido","Perdido","Aberto")))</f>
        <v/>
      </c>
      <c r="Q166" s="18">
        <f>IF(OR($C166="",$P166&lt;&gt;"Aberto"),"",IF($I166="",Hoje-$B166,Hoje-$I166))</f>
        <v/>
      </c>
      <c r="R166" s="22">
        <f>IF(OR($C166="",$P166&lt;&gt;"Aberto"),"",IF($J166="",IF($Q166&gt;DiasSC,"ATRASADO","Definir data"),IF($J166&lt;Hoje,"ATRASADO",IF($J166=Hoje,"HOJE","Em dia"))))</f>
        <v/>
      </c>
      <c r="S166" s="23">
        <f>IF($R166="","",IF(OR($R166="ATRASADO",$R166="HOJE",$R166="Definir data"),COUNTIF($R$5:$R166,"ATRASADO")+COUNTIF($R$5:$R166,"HOJE")+COUNTIF($R$5:$R166,"Definir data"),""))</f>
        <v/>
      </c>
      <c r="T166" s="18">
        <f>IF($C166="","",IF(OR($B166="",$E166="",$F166="",$G166=""),"Preencher entrada/origem/vendedor/etapa",IF(AND(OR($P166="Ganho",$P166="Perdido"),$K166=""),"Falta data de fechamento",IF(AND($P166="Perdido",$L166=""),"Informe o motivo da perda","OK"))))</f>
        <v/>
      </c>
    </row>
    <row r="167" spans="1:20">
      <c r="A167" s="18">
        <f>IF($C167="","",ROW()-4)</f>
        <v/>
      </c>
      <c r="B167" s="19"/>
      <c r="C167" s="13"/>
      <c r="D167" s="13"/>
      <c r="E167" s="13"/>
      <c r="F167" s="13"/>
      <c r="G167" s="13"/>
      <c r="H167" s="15"/>
      <c r="I167" s="19"/>
      <c r="J167" s="19"/>
      <c r="K167" s="19"/>
      <c r="L167" s="13"/>
      <c r="M167" s="13"/>
      <c r="N167" s="20">
        <f>IF($C167="","",IFERROR(INDEX(EtapaProb,MATCH($G167,Etapas,0)),0))</f>
        <v/>
      </c>
      <c r="O167" s="21">
        <f>IF($C167="","",IF($P167="Aberto",N($H167)*$N167,0))</f>
        <v/>
      </c>
      <c r="P167" s="18">
        <f>IF($C167="","",IF($G167="Ganho","Ganho",IF($G167="Perdido","Perdido","Aberto")))</f>
        <v/>
      </c>
      <c r="Q167" s="18">
        <f>IF(OR($C167="",$P167&lt;&gt;"Aberto"),"",IF($I167="",Hoje-$B167,Hoje-$I167))</f>
        <v/>
      </c>
      <c r="R167" s="22">
        <f>IF(OR($C167="",$P167&lt;&gt;"Aberto"),"",IF($J167="",IF($Q167&gt;DiasSC,"ATRASADO","Definir data"),IF($J167&lt;Hoje,"ATRASADO",IF($J167=Hoje,"HOJE","Em dia"))))</f>
        <v/>
      </c>
      <c r="S167" s="23">
        <f>IF($R167="","",IF(OR($R167="ATRASADO",$R167="HOJE",$R167="Definir data"),COUNTIF($R$5:$R167,"ATRASADO")+COUNTIF($R$5:$R167,"HOJE")+COUNTIF($R$5:$R167,"Definir data"),""))</f>
        <v/>
      </c>
      <c r="T167" s="18">
        <f>IF($C167="","",IF(OR($B167="",$E167="",$F167="",$G167=""),"Preencher entrada/origem/vendedor/etapa",IF(AND(OR($P167="Ganho",$P167="Perdido"),$K167=""),"Falta data de fechamento",IF(AND($P167="Perdido",$L167=""),"Informe o motivo da perda","OK"))))</f>
        <v/>
      </c>
    </row>
    <row r="168" spans="1:20">
      <c r="A168" s="18">
        <f>IF($C168="","",ROW()-4)</f>
        <v/>
      </c>
      <c r="B168" s="19"/>
      <c r="C168" s="13"/>
      <c r="D168" s="13"/>
      <c r="E168" s="13"/>
      <c r="F168" s="13"/>
      <c r="G168" s="13"/>
      <c r="H168" s="15"/>
      <c r="I168" s="19"/>
      <c r="J168" s="19"/>
      <c r="K168" s="19"/>
      <c r="L168" s="13"/>
      <c r="M168" s="13"/>
      <c r="N168" s="20">
        <f>IF($C168="","",IFERROR(INDEX(EtapaProb,MATCH($G168,Etapas,0)),0))</f>
        <v/>
      </c>
      <c r="O168" s="21">
        <f>IF($C168="","",IF($P168="Aberto",N($H168)*$N168,0))</f>
        <v/>
      </c>
      <c r="P168" s="18">
        <f>IF($C168="","",IF($G168="Ganho","Ganho",IF($G168="Perdido","Perdido","Aberto")))</f>
        <v/>
      </c>
      <c r="Q168" s="18">
        <f>IF(OR($C168="",$P168&lt;&gt;"Aberto"),"",IF($I168="",Hoje-$B168,Hoje-$I168))</f>
        <v/>
      </c>
      <c r="R168" s="22">
        <f>IF(OR($C168="",$P168&lt;&gt;"Aberto"),"",IF($J168="",IF($Q168&gt;DiasSC,"ATRASADO","Definir data"),IF($J168&lt;Hoje,"ATRASADO",IF($J168=Hoje,"HOJE","Em dia"))))</f>
        <v/>
      </c>
      <c r="S168" s="23">
        <f>IF($R168="","",IF(OR($R168="ATRASADO",$R168="HOJE",$R168="Definir data"),COUNTIF($R$5:$R168,"ATRASADO")+COUNTIF($R$5:$R168,"HOJE")+COUNTIF($R$5:$R168,"Definir data"),""))</f>
        <v/>
      </c>
      <c r="T168" s="18">
        <f>IF($C168="","",IF(OR($B168="",$E168="",$F168="",$G168=""),"Preencher entrada/origem/vendedor/etapa",IF(AND(OR($P168="Ganho",$P168="Perdido"),$K168=""),"Falta data de fechamento",IF(AND($P168="Perdido",$L168=""),"Informe o motivo da perda","OK"))))</f>
        <v/>
      </c>
    </row>
    <row r="169" spans="1:20">
      <c r="A169" s="18">
        <f>IF($C169="","",ROW()-4)</f>
        <v/>
      </c>
      <c r="B169" s="19"/>
      <c r="C169" s="13"/>
      <c r="D169" s="13"/>
      <c r="E169" s="13"/>
      <c r="F169" s="13"/>
      <c r="G169" s="13"/>
      <c r="H169" s="15"/>
      <c r="I169" s="19"/>
      <c r="J169" s="19"/>
      <c r="K169" s="19"/>
      <c r="L169" s="13"/>
      <c r="M169" s="13"/>
      <c r="N169" s="20">
        <f>IF($C169="","",IFERROR(INDEX(EtapaProb,MATCH($G169,Etapas,0)),0))</f>
        <v/>
      </c>
      <c r="O169" s="21">
        <f>IF($C169="","",IF($P169="Aberto",N($H169)*$N169,0))</f>
        <v/>
      </c>
      <c r="P169" s="18">
        <f>IF($C169="","",IF($G169="Ganho","Ganho",IF($G169="Perdido","Perdido","Aberto")))</f>
        <v/>
      </c>
      <c r="Q169" s="18">
        <f>IF(OR($C169="",$P169&lt;&gt;"Aberto"),"",IF($I169="",Hoje-$B169,Hoje-$I169))</f>
        <v/>
      </c>
      <c r="R169" s="22">
        <f>IF(OR($C169="",$P169&lt;&gt;"Aberto"),"",IF($J169="",IF($Q169&gt;DiasSC,"ATRASADO","Definir data"),IF($J169&lt;Hoje,"ATRASADO",IF($J169=Hoje,"HOJE","Em dia"))))</f>
        <v/>
      </c>
      <c r="S169" s="23">
        <f>IF($R169="","",IF(OR($R169="ATRASADO",$R169="HOJE",$R169="Definir data"),COUNTIF($R$5:$R169,"ATRASADO")+COUNTIF($R$5:$R169,"HOJE")+COUNTIF($R$5:$R169,"Definir data"),""))</f>
        <v/>
      </c>
      <c r="T169" s="18">
        <f>IF($C169="","",IF(OR($B169="",$E169="",$F169="",$G169=""),"Preencher entrada/origem/vendedor/etapa",IF(AND(OR($P169="Ganho",$P169="Perdido"),$K169=""),"Falta data de fechamento",IF(AND($P169="Perdido",$L169=""),"Informe o motivo da perda","OK"))))</f>
        <v/>
      </c>
    </row>
    <row r="170" spans="1:20">
      <c r="A170" s="18">
        <f>IF($C170="","",ROW()-4)</f>
        <v/>
      </c>
      <c r="B170" s="19"/>
      <c r="C170" s="13"/>
      <c r="D170" s="13"/>
      <c r="E170" s="13"/>
      <c r="F170" s="13"/>
      <c r="G170" s="13"/>
      <c r="H170" s="15"/>
      <c r="I170" s="19"/>
      <c r="J170" s="19"/>
      <c r="K170" s="19"/>
      <c r="L170" s="13"/>
      <c r="M170" s="13"/>
      <c r="N170" s="20">
        <f>IF($C170="","",IFERROR(INDEX(EtapaProb,MATCH($G170,Etapas,0)),0))</f>
        <v/>
      </c>
      <c r="O170" s="21">
        <f>IF($C170="","",IF($P170="Aberto",N($H170)*$N170,0))</f>
        <v/>
      </c>
      <c r="P170" s="18">
        <f>IF($C170="","",IF($G170="Ganho","Ganho",IF($G170="Perdido","Perdido","Aberto")))</f>
        <v/>
      </c>
      <c r="Q170" s="18">
        <f>IF(OR($C170="",$P170&lt;&gt;"Aberto"),"",IF($I170="",Hoje-$B170,Hoje-$I170))</f>
        <v/>
      </c>
      <c r="R170" s="22">
        <f>IF(OR($C170="",$P170&lt;&gt;"Aberto"),"",IF($J170="",IF($Q170&gt;DiasSC,"ATRASADO","Definir data"),IF($J170&lt;Hoje,"ATRASADO",IF($J170=Hoje,"HOJE","Em dia"))))</f>
        <v/>
      </c>
      <c r="S170" s="23">
        <f>IF($R170="","",IF(OR($R170="ATRASADO",$R170="HOJE",$R170="Definir data"),COUNTIF($R$5:$R170,"ATRASADO")+COUNTIF($R$5:$R170,"HOJE")+COUNTIF($R$5:$R170,"Definir data"),""))</f>
        <v/>
      </c>
      <c r="T170" s="18">
        <f>IF($C170="","",IF(OR($B170="",$E170="",$F170="",$G170=""),"Preencher entrada/origem/vendedor/etapa",IF(AND(OR($P170="Ganho",$P170="Perdido"),$K170=""),"Falta data de fechamento",IF(AND($P170="Perdido",$L170=""),"Informe o motivo da perda","OK"))))</f>
        <v/>
      </c>
    </row>
    <row r="171" spans="1:20">
      <c r="A171" s="18">
        <f>IF($C171="","",ROW()-4)</f>
        <v/>
      </c>
      <c r="B171" s="19"/>
      <c r="C171" s="13"/>
      <c r="D171" s="13"/>
      <c r="E171" s="13"/>
      <c r="F171" s="13"/>
      <c r="G171" s="13"/>
      <c r="H171" s="15"/>
      <c r="I171" s="19"/>
      <c r="J171" s="19"/>
      <c r="K171" s="19"/>
      <c r="L171" s="13"/>
      <c r="M171" s="13"/>
      <c r="N171" s="20">
        <f>IF($C171="","",IFERROR(INDEX(EtapaProb,MATCH($G171,Etapas,0)),0))</f>
        <v/>
      </c>
      <c r="O171" s="21">
        <f>IF($C171="","",IF($P171="Aberto",N($H171)*$N171,0))</f>
        <v/>
      </c>
      <c r="P171" s="18">
        <f>IF($C171="","",IF($G171="Ganho","Ganho",IF($G171="Perdido","Perdido","Aberto")))</f>
        <v/>
      </c>
      <c r="Q171" s="18">
        <f>IF(OR($C171="",$P171&lt;&gt;"Aberto"),"",IF($I171="",Hoje-$B171,Hoje-$I171))</f>
        <v/>
      </c>
      <c r="R171" s="22">
        <f>IF(OR($C171="",$P171&lt;&gt;"Aberto"),"",IF($J171="",IF($Q171&gt;DiasSC,"ATRASADO","Definir data"),IF($J171&lt;Hoje,"ATRASADO",IF($J171=Hoje,"HOJE","Em dia"))))</f>
        <v/>
      </c>
      <c r="S171" s="23">
        <f>IF($R171="","",IF(OR($R171="ATRASADO",$R171="HOJE",$R171="Definir data"),COUNTIF($R$5:$R171,"ATRASADO")+COUNTIF($R$5:$R171,"HOJE")+COUNTIF($R$5:$R171,"Definir data"),""))</f>
        <v/>
      </c>
      <c r="T171" s="18">
        <f>IF($C171="","",IF(OR($B171="",$E171="",$F171="",$G171=""),"Preencher entrada/origem/vendedor/etapa",IF(AND(OR($P171="Ganho",$P171="Perdido"),$K171=""),"Falta data de fechamento",IF(AND($P171="Perdido",$L171=""),"Informe o motivo da perda","OK"))))</f>
        <v/>
      </c>
    </row>
    <row r="172" spans="1:20">
      <c r="A172" s="18">
        <f>IF($C172="","",ROW()-4)</f>
        <v/>
      </c>
      <c r="B172" s="19"/>
      <c r="C172" s="13"/>
      <c r="D172" s="13"/>
      <c r="E172" s="13"/>
      <c r="F172" s="13"/>
      <c r="G172" s="13"/>
      <c r="H172" s="15"/>
      <c r="I172" s="19"/>
      <c r="J172" s="19"/>
      <c r="K172" s="19"/>
      <c r="L172" s="13"/>
      <c r="M172" s="13"/>
      <c r="N172" s="20">
        <f>IF($C172="","",IFERROR(INDEX(EtapaProb,MATCH($G172,Etapas,0)),0))</f>
        <v/>
      </c>
      <c r="O172" s="21">
        <f>IF($C172="","",IF($P172="Aberto",N($H172)*$N172,0))</f>
        <v/>
      </c>
      <c r="P172" s="18">
        <f>IF($C172="","",IF($G172="Ganho","Ganho",IF($G172="Perdido","Perdido","Aberto")))</f>
        <v/>
      </c>
      <c r="Q172" s="18">
        <f>IF(OR($C172="",$P172&lt;&gt;"Aberto"),"",IF($I172="",Hoje-$B172,Hoje-$I172))</f>
        <v/>
      </c>
      <c r="R172" s="22">
        <f>IF(OR($C172="",$P172&lt;&gt;"Aberto"),"",IF($J172="",IF($Q172&gt;DiasSC,"ATRASADO","Definir data"),IF($J172&lt;Hoje,"ATRASADO",IF($J172=Hoje,"HOJE","Em dia"))))</f>
        <v/>
      </c>
      <c r="S172" s="23">
        <f>IF($R172="","",IF(OR($R172="ATRASADO",$R172="HOJE",$R172="Definir data"),COUNTIF($R$5:$R172,"ATRASADO")+COUNTIF($R$5:$R172,"HOJE")+COUNTIF($R$5:$R172,"Definir data"),""))</f>
        <v/>
      </c>
      <c r="T172" s="18">
        <f>IF($C172="","",IF(OR($B172="",$E172="",$F172="",$G172=""),"Preencher entrada/origem/vendedor/etapa",IF(AND(OR($P172="Ganho",$P172="Perdido"),$K172=""),"Falta data de fechamento",IF(AND($P172="Perdido",$L172=""),"Informe o motivo da perda","OK"))))</f>
        <v/>
      </c>
    </row>
    <row r="173" spans="1:20">
      <c r="A173" s="18">
        <f>IF($C173="","",ROW()-4)</f>
        <v/>
      </c>
      <c r="B173" s="19"/>
      <c r="C173" s="13"/>
      <c r="D173" s="13"/>
      <c r="E173" s="13"/>
      <c r="F173" s="13"/>
      <c r="G173" s="13"/>
      <c r="H173" s="15"/>
      <c r="I173" s="19"/>
      <c r="J173" s="19"/>
      <c r="K173" s="19"/>
      <c r="L173" s="13"/>
      <c r="M173" s="13"/>
      <c r="N173" s="20">
        <f>IF($C173="","",IFERROR(INDEX(EtapaProb,MATCH($G173,Etapas,0)),0))</f>
        <v/>
      </c>
      <c r="O173" s="21">
        <f>IF($C173="","",IF($P173="Aberto",N($H173)*$N173,0))</f>
        <v/>
      </c>
      <c r="P173" s="18">
        <f>IF($C173="","",IF($G173="Ganho","Ganho",IF($G173="Perdido","Perdido","Aberto")))</f>
        <v/>
      </c>
      <c r="Q173" s="18">
        <f>IF(OR($C173="",$P173&lt;&gt;"Aberto"),"",IF($I173="",Hoje-$B173,Hoje-$I173))</f>
        <v/>
      </c>
      <c r="R173" s="22">
        <f>IF(OR($C173="",$P173&lt;&gt;"Aberto"),"",IF($J173="",IF($Q173&gt;DiasSC,"ATRASADO","Definir data"),IF($J173&lt;Hoje,"ATRASADO",IF($J173=Hoje,"HOJE","Em dia"))))</f>
        <v/>
      </c>
      <c r="S173" s="23">
        <f>IF($R173="","",IF(OR($R173="ATRASADO",$R173="HOJE",$R173="Definir data"),COUNTIF($R$5:$R173,"ATRASADO")+COUNTIF($R$5:$R173,"HOJE")+COUNTIF($R$5:$R173,"Definir data"),""))</f>
        <v/>
      </c>
      <c r="T173" s="18">
        <f>IF($C173="","",IF(OR($B173="",$E173="",$F173="",$G173=""),"Preencher entrada/origem/vendedor/etapa",IF(AND(OR($P173="Ganho",$P173="Perdido"),$K173=""),"Falta data de fechamento",IF(AND($P173="Perdido",$L173=""),"Informe o motivo da perda","OK"))))</f>
        <v/>
      </c>
    </row>
    <row r="174" spans="1:20">
      <c r="A174" s="18">
        <f>IF($C174="","",ROW()-4)</f>
        <v/>
      </c>
      <c r="B174" s="19"/>
      <c r="C174" s="13"/>
      <c r="D174" s="13"/>
      <c r="E174" s="13"/>
      <c r="F174" s="13"/>
      <c r="G174" s="13"/>
      <c r="H174" s="15"/>
      <c r="I174" s="19"/>
      <c r="J174" s="19"/>
      <c r="K174" s="19"/>
      <c r="L174" s="13"/>
      <c r="M174" s="13"/>
      <c r="N174" s="20">
        <f>IF($C174="","",IFERROR(INDEX(EtapaProb,MATCH($G174,Etapas,0)),0))</f>
        <v/>
      </c>
      <c r="O174" s="21">
        <f>IF($C174="","",IF($P174="Aberto",N($H174)*$N174,0))</f>
        <v/>
      </c>
      <c r="P174" s="18">
        <f>IF($C174="","",IF($G174="Ganho","Ganho",IF($G174="Perdido","Perdido","Aberto")))</f>
        <v/>
      </c>
      <c r="Q174" s="18">
        <f>IF(OR($C174="",$P174&lt;&gt;"Aberto"),"",IF($I174="",Hoje-$B174,Hoje-$I174))</f>
        <v/>
      </c>
      <c r="R174" s="22">
        <f>IF(OR($C174="",$P174&lt;&gt;"Aberto"),"",IF($J174="",IF($Q174&gt;DiasSC,"ATRASADO","Definir data"),IF($J174&lt;Hoje,"ATRASADO",IF($J174=Hoje,"HOJE","Em dia"))))</f>
        <v/>
      </c>
      <c r="S174" s="23">
        <f>IF($R174="","",IF(OR($R174="ATRASADO",$R174="HOJE",$R174="Definir data"),COUNTIF($R$5:$R174,"ATRASADO")+COUNTIF($R$5:$R174,"HOJE")+COUNTIF($R$5:$R174,"Definir data"),""))</f>
        <v/>
      </c>
      <c r="T174" s="18">
        <f>IF($C174="","",IF(OR($B174="",$E174="",$F174="",$G174=""),"Preencher entrada/origem/vendedor/etapa",IF(AND(OR($P174="Ganho",$P174="Perdido"),$K174=""),"Falta data de fechamento",IF(AND($P174="Perdido",$L174=""),"Informe o motivo da perda","OK"))))</f>
        <v/>
      </c>
    </row>
    <row r="175" spans="1:20">
      <c r="A175" s="18">
        <f>IF($C175="","",ROW()-4)</f>
        <v/>
      </c>
      <c r="B175" s="19"/>
      <c r="C175" s="13"/>
      <c r="D175" s="13"/>
      <c r="E175" s="13"/>
      <c r="F175" s="13"/>
      <c r="G175" s="13"/>
      <c r="H175" s="15"/>
      <c r="I175" s="19"/>
      <c r="J175" s="19"/>
      <c r="K175" s="19"/>
      <c r="L175" s="13"/>
      <c r="M175" s="13"/>
      <c r="N175" s="20">
        <f>IF($C175="","",IFERROR(INDEX(EtapaProb,MATCH($G175,Etapas,0)),0))</f>
        <v/>
      </c>
      <c r="O175" s="21">
        <f>IF($C175="","",IF($P175="Aberto",N($H175)*$N175,0))</f>
        <v/>
      </c>
      <c r="P175" s="18">
        <f>IF($C175="","",IF($G175="Ganho","Ganho",IF($G175="Perdido","Perdido","Aberto")))</f>
        <v/>
      </c>
      <c r="Q175" s="18">
        <f>IF(OR($C175="",$P175&lt;&gt;"Aberto"),"",IF($I175="",Hoje-$B175,Hoje-$I175))</f>
        <v/>
      </c>
      <c r="R175" s="22">
        <f>IF(OR($C175="",$P175&lt;&gt;"Aberto"),"",IF($J175="",IF($Q175&gt;DiasSC,"ATRASADO","Definir data"),IF($J175&lt;Hoje,"ATRASADO",IF($J175=Hoje,"HOJE","Em dia"))))</f>
        <v/>
      </c>
      <c r="S175" s="23">
        <f>IF($R175="","",IF(OR($R175="ATRASADO",$R175="HOJE",$R175="Definir data"),COUNTIF($R$5:$R175,"ATRASADO")+COUNTIF($R$5:$R175,"HOJE")+COUNTIF($R$5:$R175,"Definir data"),""))</f>
        <v/>
      </c>
      <c r="T175" s="18">
        <f>IF($C175="","",IF(OR($B175="",$E175="",$F175="",$G175=""),"Preencher entrada/origem/vendedor/etapa",IF(AND(OR($P175="Ganho",$P175="Perdido"),$K175=""),"Falta data de fechamento",IF(AND($P175="Perdido",$L175=""),"Informe o motivo da perda","OK"))))</f>
        <v/>
      </c>
    </row>
    <row r="176" spans="1:20">
      <c r="A176" s="18">
        <f>IF($C176="","",ROW()-4)</f>
        <v/>
      </c>
      <c r="B176" s="19"/>
      <c r="C176" s="13"/>
      <c r="D176" s="13"/>
      <c r="E176" s="13"/>
      <c r="F176" s="13"/>
      <c r="G176" s="13"/>
      <c r="H176" s="15"/>
      <c r="I176" s="19"/>
      <c r="J176" s="19"/>
      <c r="K176" s="19"/>
      <c r="L176" s="13"/>
      <c r="M176" s="13"/>
      <c r="N176" s="20">
        <f>IF($C176="","",IFERROR(INDEX(EtapaProb,MATCH($G176,Etapas,0)),0))</f>
        <v/>
      </c>
      <c r="O176" s="21">
        <f>IF($C176="","",IF($P176="Aberto",N($H176)*$N176,0))</f>
        <v/>
      </c>
      <c r="P176" s="18">
        <f>IF($C176="","",IF($G176="Ganho","Ganho",IF($G176="Perdido","Perdido","Aberto")))</f>
        <v/>
      </c>
      <c r="Q176" s="18">
        <f>IF(OR($C176="",$P176&lt;&gt;"Aberto"),"",IF($I176="",Hoje-$B176,Hoje-$I176))</f>
        <v/>
      </c>
      <c r="R176" s="22">
        <f>IF(OR($C176="",$P176&lt;&gt;"Aberto"),"",IF($J176="",IF($Q176&gt;DiasSC,"ATRASADO","Definir data"),IF($J176&lt;Hoje,"ATRASADO",IF($J176=Hoje,"HOJE","Em dia"))))</f>
        <v/>
      </c>
      <c r="S176" s="23">
        <f>IF($R176="","",IF(OR($R176="ATRASADO",$R176="HOJE",$R176="Definir data"),COUNTIF($R$5:$R176,"ATRASADO")+COUNTIF($R$5:$R176,"HOJE")+COUNTIF($R$5:$R176,"Definir data"),""))</f>
        <v/>
      </c>
      <c r="T176" s="18">
        <f>IF($C176="","",IF(OR($B176="",$E176="",$F176="",$G176=""),"Preencher entrada/origem/vendedor/etapa",IF(AND(OR($P176="Ganho",$P176="Perdido"),$K176=""),"Falta data de fechamento",IF(AND($P176="Perdido",$L176=""),"Informe o motivo da perda","OK"))))</f>
        <v/>
      </c>
    </row>
    <row r="177" spans="1:20">
      <c r="A177" s="18">
        <f>IF($C177="","",ROW()-4)</f>
        <v/>
      </c>
      <c r="B177" s="19"/>
      <c r="C177" s="13"/>
      <c r="D177" s="13"/>
      <c r="E177" s="13"/>
      <c r="F177" s="13"/>
      <c r="G177" s="13"/>
      <c r="H177" s="15"/>
      <c r="I177" s="19"/>
      <c r="J177" s="19"/>
      <c r="K177" s="19"/>
      <c r="L177" s="13"/>
      <c r="M177" s="13"/>
      <c r="N177" s="20">
        <f>IF($C177="","",IFERROR(INDEX(EtapaProb,MATCH($G177,Etapas,0)),0))</f>
        <v/>
      </c>
      <c r="O177" s="21">
        <f>IF($C177="","",IF($P177="Aberto",N($H177)*$N177,0))</f>
        <v/>
      </c>
      <c r="P177" s="18">
        <f>IF($C177="","",IF($G177="Ganho","Ganho",IF($G177="Perdido","Perdido","Aberto")))</f>
        <v/>
      </c>
      <c r="Q177" s="18">
        <f>IF(OR($C177="",$P177&lt;&gt;"Aberto"),"",IF($I177="",Hoje-$B177,Hoje-$I177))</f>
        <v/>
      </c>
      <c r="R177" s="22">
        <f>IF(OR($C177="",$P177&lt;&gt;"Aberto"),"",IF($J177="",IF($Q177&gt;DiasSC,"ATRASADO","Definir data"),IF($J177&lt;Hoje,"ATRASADO",IF($J177=Hoje,"HOJE","Em dia"))))</f>
        <v/>
      </c>
      <c r="S177" s="23">
        <f>IF($R177="","",IF(OR($R177="ATRASADO",$R177="HOJE",$R177="Definir data"),COUNTIF($R$5:$R177,"ATRASADO")+COUNTIF($R$5:$R177,"HOJE")+COUNTIF($R$5:$R177,"Definir data"),""))</f>
        <v/>
      </c>
      <c r="T177" s="18">
        <f>IF($C177="","",IF(OR($B177="",$E177="",$F177="",$G177=""),"Preencher entrada/origem/vendedor/etapa",IF(AND(OR($P177="Ganho",$P177="Perdido"),$K177=""),"Falta data de fechamento",IF(AND($P177="Perdido",$L177=""),"Informe o motivo da perda","OK"))))</f>
        <v/>
      </c>
    </row>
    <row r="178" spans="1:20">
      <c r="A178" s="18">
        <f>IF($C178="","",ROW()-4)</f>
        <v/>
      </c>
      <c r="B178" s="19"/>
      <c r="C178" s="13"/>
      <c r="D178" s="13"/>
      <c r="E178" s="13"/>
      <c r="F178" s="13"/>
      <c r="G178" s="13"/>
      <c r="H178" s="15"/>
      <c r="I178" s="19"/>
      <c r="J178" s="19"/>
      <c r="K178" s="19"/>
      <c r="L178" s="13"/>
      <c r="M178" s="13"/>
      <c r="N178" s="20">
        <f>IF($C178="","",IFERROR(INDEX(EtapaProb,MATCH($G178,Etapas,0)),0))</f>
        <v/>
      </c>
      <c r="O178" s="21">
        <f>IF($C178="","",IF($P178="Aberto",N($H178)*$N178,0))</f>
        <v/>
      </c>
      <c r="P178" s="18">
        <f>IF($C178="","",IF($G178="Ganho","Ganho",IF($G178="Perdido","Perdido","Aberto")))</f>
        <v/>
      </c>
      <c r="Q178" s="18">
        <f>IF(OR($C178="",$P178&lt;&gt;"Aberto"),"",IF($I178="",Hoje-$B178,Hoje-$I178))</f>
        <v/>
      </c>
      <c r="R178" s="22">
        <f>IF(OR($C178="",$P178&lt;&gt;"Aberto"),"",IF($J178="",IF($Q178&gt;DiasSC,"ATRASADO","Definir data"),IF($J178&lt;Hoje,"ATRASADO",IF($J178=Hoje,"HOJE","Em dia"))))</f>
        <v/>
      </c>
      <c r="S178" s="23">
        <f>IF($R178="","",IF(OR($R178="ATRASADO",$R178="HOJE",$R178="Definir data"),COUNTIF($R$5:$R178,"ATRASADO")+COUNTIF($R$5:$R178,"HOJE")+COUNTIF($R$5:$R178,"Definir data"),""))</f>
        <v/>
      </c>
      <c r="T178" s="18">
        <f>IF($C178="","",IF(OR($B178="",$E178="",$F178="",$G178=""),"Preencher entrada/origem/vendedor/etapa",IF(AND(OR($P178="Ganho",$P178="Perdido"),$K178=""),"Falta data de fechamento",IF(AND($P178="Perdido",$L178=""),"Informe o motivo da perda","OK"))))</f>
        <v/>
      </c>
    </row>
    <row r="179" spans="1:20">
      <c r="A179" s="18">
        <f>IF($C179="","",ROW()-4)</f>
        <v/>
      </c>
      <c r="B179" s="19"/>
      <c r="C179" s="13"/>
      <c r="D179" s="13"/>
      <c r="E179" s="13"/>
      <c r="F179" s="13"/>
      <c r="G179" s="13"/>
      <c r="H179" s="15"/>
      <c r="I179" s="19"/>
      <c r="J179" s="19"/>
      <c r="K179" s="19"/>
      <c r="L179" s="13"/>
      <c r="M179" s="13"/>
      <c r="N179" s="20">
        <f>IF($C179="","",IFERROR(INDEX(EtapaProb,MATCH($G179,Etapas,0)),0))</f>
        <v/>
      </c>
      <c r="O179" s="21">
        <f>IF($C179="","",IF($P179="Aberto",N($H179)*$N179,0))</f>
        <v/>
      </c>
      <c r="P179" s="18">
        <f>IF($C179="","",IF($G179="Ganho","Ganho",IF($G179="Perdido","Perdido","Aberto")))</f>
        <v/>
      </c>
      <c r="Q179" s="18">
        <f>IF(OR($C179="",$P179&lt;&gt;"Aberto"),"",IF($I179="",Hoje-$B179,Hoje-$I179))</f>
        <v/>
      </c>
      <c r="R179" s="22">
        <f>IF(OR($C179="",$P179&lt;&gt;"Aberto"),"",IF($J179="",IF($Q179&gt;DiasSC,"ATRASADO","Definir data"),IF($J179&lt;Hoje,"ATRASADO",IF($J179=Hoje,"HOJE","Em dia"))))</f>
        <v/>
      </c>
      <c r="S179" s="23">
        <f>IF($R179="","",IF(OR($R179="ATRASADO",$R179="HOJE",$R179="Definir data"),COUNTIF($R$5:$R179,"ATRASADO")+COUNTIF($R$5:$R179,"HOJE")+COUNTIF($R$5:$R179,"Definir data"),""))</f>
        <v/>
      </c>
      <c r="T179" s="18">
        <f>IF($C179="","",IF(OR($B179="",$E179="",$F179="",$G179=""),"Preencher entrada/origem/vendedor/etapa",IF(AND(OR($P179="Ganho",$P179="Perdido"),$K179=""),"Falta data de fechamento",IF(AND($P179="Perdido",$L179=""),"Informe o motivo da perda","OK"))))</f>
        <v/>
      </c>
    </row>
    <row r="180" spans="1:20">
      <c r="A180" s="18">
        <f>IF($C180="","",ROW()-4)</f>
        <v/>
      </c>
      <c r="B180" s="19"/>
      <c r="C180" s="13"/>
      <c r="D180" s="13"/>
      <c r="E180" s="13"/>
      <c r="F180" s="13"/>
      <c r="G180" s="13"/>
      <c r="H180" s="15"/>
      <c r="I180" s="19"/>
      <c r="J180" s="19"/>
      <c r="K180" s="19"/>
      <c r="L180" s="13"/>
      <c r="M180" s="13"/>
      <c r="N180" s="20">
        <f>IF($C180="","",IFERROR(INDEX(EtapaProb,MATCH($G180,Etapas,0)),0))</f>
        <v/>
      </c>
      <c r="O180" s="21">
        <f>IF($C180="","",IF($P180="Aberto",N($H180)*$N180,0))</f>
        <v/>
      </c>
      <c r="P180" s="18">
        <f>IF($C180="","",IF($G180="Ganho","Ganho",IF($G180="Perdido","Perdido","Aberto")))</f>
        <v/>
      </c>
      <c r="Q180" s="18">
        <f>IF(OR($C180="",$P180&lt;&gt;"Aberto"),"",IF($I180="",Hoje-$B180,Hoje-$I180))</f>
        <v/>
      </c>
      <c r="R180" s="22">
        <f>IF(OR($C180="",$P180&lt;&gt;"Aberto"),"",IF($J180="",IF($Q180&gt;DiasSC,"ATRASADO","Definir data"),IF($J180&lt;Hoje,"ATRASADO",IF($J180=Hoje,"HOJE","Em dia"))))</f>
        <v/>
      </c>
      <c r="S180" s="23">
        <f>IF($R180="","",IF(OR($R180="ATRASADO",$R180="HOJE",$R180="Definir data"),COUNTIF($R$5:$R180,"ATRASADO")+COUNTIF($R$5:$R180,"HOJE")+COUNTIF($R$5:$R180,"Definir data"),""))</f>
        <v/>
      </c>
      <c r="T180" s="18">
        <f>IF($C180="","",IF(OR($B180="",$E180="",$F180="",$G180=""),"Preencher entrada/origem/vendedor/etapa",IF(AND(OR($P180="Ganho",$P180="Perdido"),$K180=""),"Falta data de fechamento",IF(AND($P180="Perdido",$L180=""),"Informe o motivo da perda","OK"))))</f>
        <v/>
      </c>
    </row>
    <row r="181" spans="1:20">
      <c r="A181" s="18">
        <f>IF($C181="","",ROW()-4)</f>
        <v/>
      </c>
      <c r="B181" s="19"/>
      <c r="C181" s="13"/>
      <c r="D181" s="13"/>
      <c r="E181" s="13"/>
      <c r="F181" s="13"/>
      <c r="G181" s="13"/>
      <c r="H181" s="15"/>
      <c r="I181" s="19"/>
      <c r="J181" s="19"/>
      <c r="K181" s="19"/>
      <c r="L181" s="13"/>
      <c r="M181" s="13"/>
      <c r="N181" s="20">
        <f>IF($C181="","",IFERROR(INDEX(EtapaProb,MATCH($G181,Etapas,0)),0))</f>
        <v/>
      </c>
      <c r="O181" s="21">
        <f>IF($C181="","",IF($P181="Aberto",N($H181)*$N181,0))</f>
        <v/>
      </c>
      <c r="P181" s="18">
        <f>IF($C181="","",IF($G181="Ganho","Ganho",IF($G181="Perdido","Perdido","Aberto")))</f>
        <v/>
      </c>
      <c r="Q181" s="18">
        <f>IF(OR($C181="",$P181&lt;&gt;"Aberto"),"",IF($I181="",Hoje-$B181,Hoje-$I181))</f>
        <v/>
      </c>
      <c r="R181" s="22">
        <f>IF(OR($C181="",$P181&lt;&gt;"Aberto"),"",IF($J181="",IF($Q181&gt;DiasSC,"ATRASADO","Definir data"),IF($J181&lt;Hoje,"ATRASADO",IF($J181=Hoje,"HOJE","Em dia"))))</f>
        <v/>
      </c>
      <c r="S181" s="23">
        <f>IF($R181="","",IF(OR($R181="ATRASADO",$R181="HOJE",$R181="Definir data"),COUNTIF($R$5:$R181,"ATRASADO")+COUNTIF($R$5:$R181,"HOJE")+COUNTIF($R$5:$R181,"Definir data"),""))</f>
        <v/>
      </c>
      <c r="T181" s="18">
        <f>IF($C181="","",IF(OR($B181="",$E181="",$F181="",$G181=""),"Preencher entrada/origem/vendedor/etapa",IF(AND(OR($P181="Ganho",$P181="Perdido"),$K181=""),"Falta data de fechamento",IF(AND($P181="Perdido",$L181=""),"Informe o motivo da perda","OK"))))</f>
        <v/>
      </c>
    </row>
    <row r="182" spans="1:20">
      <c r="A182" s="18">
        <f>IF($C182="","",ROW()-4)</f>
        <v/>
      </c>
      <c r="B182" s="19"/>
      <c r="C182" s="13"/>
      <c r="D182" s="13"/>
      <c r="E182" s="13"/>
      <c r="F182" s="13"/>
      <c r="G182" s="13"/>
      <c r="H182" s="15"/>
      <c r="I182" s="19"/>
      <c r="J182" s="19"/>
      <c r="K182" s="19"/>
      <c r="L182" s="13"/>
      <c r="M182" s="13"/>
      <c r="N182" s="20">
        <f>IF($C182="","",IFERROR(INDEX(EtapaProb,MATCH($G182,Etapas,0)),0))</f>
        <v/>
      </c>
      <c r="O182" s="21">
        <f>IF($C182="","",IF($P182="Aberto",N($H182)*$N182,0))</f>
        <v/>
      </c>
      <c r="P182" s="18">
        <f>IF($C182="","",IF($G182="Ganho","Ganho",IF($G182="Perdido","Perdido","Aberto")))</f>
        <v/>
      </c>
      <c r="Q182" s="18">
        <f>IF(OR($C182="",$P182&lt;&gt;"Aberto"),"",IF($I182="",Hoje-$B182,Hoje-$I182))</f>
        <v/>
      </c>
      <c r="R182" s="22">
        <f>IF(OR($C182="",$P182&lt;&gt;"Aberto"),"",IF($J182="",IF($Q182&gt;DiasSC,"ATRASADO","Definir data"),IF($J182&lt;Hoje,"ATRASADO",IF($J182=Hoje,"HOJE","Em dia"))))</f>
        <v/>
      </c>
      <c r="S182" s="23">
        <f>IF($R182="","",IF(OR($R182="ATRASADO",$R182="HOJE",$R182="Definir data"),COUNTIF($R$5:$R182,"ATRASADO")+COUNTIF($R$5:$R182,"HOJE")+COUNTIF($R$5:$R182,"Definir data"),""))</f>
        <v/>
      </c>
      <c r="T182" s="18">
        <f>IF($C182="","",IF(OR($B182="",$E182="",$F182="",$G182=""),"Preencher entrada/origem/vendedor/etapa",IF(AND(OR($P182="Ganho",$P182="Perdido"),$K182=""),"Falta data de fechamento",IF(AND($P182="Perdido",$L182=""),"Informe o motivo da perda","OK"))))</f>
        <v/>
      </c>
    </row>
    <row r="183" spans="1:20">
      <c r="A183" s="18">
        <f>IF($C183="","",ROW()-4)</f>
        <v/>
      </c>
      <c r="B183" s="19"/>
      <c r="C183" s="13"/>
      <c r="D183" s="13"/>
      <c r="E183" s="13"/>
      <c r="F183" s="13"/>
      <c r="G183" s="13"/>
      <c r="H183" s="15"/>
      <c r="I183" s="19"/>
      <c r="J183" s="19"/>
      <c r="K183" s="19"/>
      <c r="L183" s="13"/>
      <c r="M183" s="13"/>
      <c r="N183" s="20">
        <f>IF($C183="","",IFERROR(INDEX(EtapaProb,MATCH($G183,Etapas,0)),0))</f>
        <v/>
      </c>
      <c r="O183" s="21">
        <f>IF($C183="","",IF($P183="Aberto",N($H183)*$N183,0))</f>
        <v/>
      </c>
      <c r="P183" s="18">
        <f>IF($C183="","",IF($G183="Ganho","Ganho",IF($G183="Perdido","Perdido","Aberto")))</f>
        <v/>
      </c>
      <c r="Q183" s="18">
        <f>IF(OR($C183="",$P183&lt;&gt;"Aberto"),"",IF($I183="",Hoje-$B183,Hoje-$I183))</f>
        <v/>
      </c>
      <c r="R183" s="22">
        <f>IF(OR($C183="",$P183&lt;&gt;"Aberto"),"",IF($J183="",IF($Q183&gt;DiasSC,"ATRASADO","Definir data"),IF($J183&lt;Hoje,"ATRASADO",IF($J183=Hoje,"HOJE","Em dia"))))</f>
        <v/>
      </c>
      <c r="S183" s="23">
        <f>IF($R183="","",IF(OR($R183="ATRASADO",$R183="HOJE",$R183="Definir data"),COUNTIF($R$5:$R183,"ATRASADO")+COUNTIF($R$5:$R183,"HOJE")+COUNTIF($R$5:$R183,"Definir data"),""))</f>
        <v/>
      </c>
      <c r="T183" s="18">
        <f>IF($C183="","",IF(OR($B183="",$E183="",$F183="",$G183=""),"Preencher entrada/origem/vendedor/etapa",IF(AND(OR($P183="Ganho",$P183="Perdido"),$K183=""),"Falta data de fechamento",IF(AND($P183="Perdido",$L183=""),"Informe o motivo da perda","OK"))))</f>
        <v/>
      </c>
    </row>
    <row r="184" spans="1:20">
      <c r="A184" s="18">
        <f>IF($C184="","",ROW()-4)</f>
        <v/>
      </c>
      <c r="B184" s="19"/>
      <c r="C184" s="13"/>
      <c r="D184" s="13"/>
      <c r="E184" s="13"/>
      <c r="F184" s="13"/>
      <c r="G184" s="13"/>
      <c r="H184" s="15"/>
      <c r="I184" s="19"/>
      <c r="J184" s="19"/>
      <c r="K184" s="19"/>
      <c r="L184" s="13"/>
      <c r="M184" s="13"/>
      <c r="N184" s="20">
        <f>IF($C184="","",IFERROR(INDEX(EtapaProb,MATCH($G184,Etapas,0)),0))</f>
        <v/>
      </c>
      <c r="O184" s="21">
        <f>IF($C184="","",IF($P184="Aberto",N($H184)*$N184,0))</f>
        <v/>
      </c>
      <c r="P184" s="18">
        <f>IF($C184="","",IF($G184="Ganho","Ganho",IF($G184="Perdido","Perdido","Aberto")))</f>
        <v/>
      </c>
      <c r="Q184" s="18">
        <f>IF(OR($C184="",$P184&lt;&gt;"Aberto"),"",IF($I184="",Hoje-$B184,Hoje-$I184))</f>
        <v/>
      </c>
      <c r="R184" s="22">
        <f>IF(OR($C184="",$P184&lt;&gt;"Aberto"),"",IF($J184="",IF($Q184&gt;DiasSC,"ATRASADO","Definir data"),IF($J184&lt;Hoje,"ATRASADO",IF($J184=Hoje,"HOJE","Em dia"))))</f>
        <v/>
      </c>
      <c r="S184" s="23">
        <f>IF($R184="","",IF(OR($R184="ATRASADO",$R184="HOJE",$R184="Definir data"),COUNTIF($R$5:$R184,"ATRASADO")+COUNTIF($R$5:$R184,"HOJE")+COUNTIF($R$5:$R184,"Definir data"),""))</f>
        <v/>
      </c>
      <c r="T184" s="18">
        <f>IF($C184="","",IF(OR($B184="",$E184="",$F184="",$G184=""),"Preencher entrada/origem/vendedor/etapa",IF(AND(OR($P184="Ganho",$P184="Perdido"),$K184=""),"Falta data de fechamento",IF(AND($P184="Perdido",$L184=""),"Informe o motivo da perda","OK"))))</f>
        <v/>
      </c>
    </row>
    <row r="185" spans="1:20">
      <c r="A185" s="18">
        <f>IF($C185="","",ROW()-4)</f>
        <v/>
      </c>
      <c r="B185" s="19"/>
      <c r="C185" s="13"/>
      <c r="D185" s="13"/>
      <c r="E185" s="13"/>
      <c r="F185" s="13"/>
      <c r="G185" s="13"/>
      <c r="H185" s="15"/>
      <c r="I185" s="19"/>
      <c r="J185" s="19"/>
      <c r="K185" s="19"/>
      <c r="L185" s="13"/>
      <c r="M185" s="13"/>
      <c r="N185" s="20">
        <f>IF($C185="","",IFERROR(INDEX(EtapaProb,MATCH($G185,Etapas,0)),0))</f>
        <v/>
      </c>
      <c r="O185" s="21">
        <f>IF($C185="","",IF($P185="Aberto",N($H185)*$N185,0))</f>
        <v/>
      </c>
      <c r="P185" s="18">
        <f>IF($C185="","",IF($G185="Ganho","Ganho",IF($G185="Perdido","Perdido","Aberto")))</f>
        <v/>
      </c>
      <c r="Q185" s="18">
        <f>IF(OR($C185="",$P185&lt;&gt;"Aberto"),"",IF($I185="",Hoje-$B185,Hoje-$I185))</f>
        <v/>
      </c>
      <c r="R185" s="22">
        <f>IF(OR($C185="",$P185&lt;&gt;"Aberto"),"",IF($J185="",IF($Q185&gt;DiasSC,"ATRASADO","Definir data"),IF($J185&lt;Hoje,"ATRASADO",IF($J185=Hoje,"HOJE","Em dia"))))</f>
        <v/>
      </c>
      <c r="S185" s="23">
        <f>IF($R185="","",IF(OR($R185="ATRASADO",$R185="HOJE",$R185="Definir data"),COUNTIF($R$5:$R185,"ATRASADO")+COUNTIF($R$5:$R185,"HOJE")+COUNTIF($R$5:$R185,"Definir data"),""))</f>
        <v/>
      </c>
      <c r="T185" s="18">
        <f>IF($C185="","",IF(OR($B185="",$E185="",$F185="",$G185=""),"Preencher entrada/origem/vendedor/etapa",IF(AND(OR($P185="Ganho",$P185="Perdido"),$K185=""),"Falta data de fechamento",IF(AND($P185="Perdido",$L185=""),"Informe o motivo da perda","OK"))))</f>
        <v/>
      </c>
    </row>
    <row r="186" spans="1:20">
      <c r="A186" s="18">
        <f>IF($C186="","",ROW()-4)</f>
        <v/>
      </c>
      <c r="B186" s="19"/>
      <c r="C186" s="13"/>
      <c r="D186" s="13"/>
      <c r="E186" s="13"/>
      <c r="F186" s="13"/>
      <c r="G186" s="13"/>
      <c r="H186" s="15"/>
      <c r="I186" s="19"/>
      <c r="J186" s="19"/>
      <c r="K186" s="19"/>
      <c r="L186" s="13"/>
      <c r="M186" s="13"/>
      <c r="N186" s="20">
        <f>IF($C186="","",IFERROR(INDEX(EtapaProb,MATCH($G186,Etapas,0)),0))</f>
        <v/>
      </c>
      <c r="O186" s="21">
        <f>IF($C186="","",IF($P186="Aberto",N($H186)*$N186,0))</f>
        <v/>
      </c>
      <c r="P186" s="18">
        <f>IF($C186="","",IF($G186="Ganho","Ganho",IF($G186="Perdido","Perdido","Aberto")))</f>
        <v/>
      </c>
      <c r="Q186" s="18">
        <f>IF(OR($C186="",$P186&lt;&gt;"Aberto"),"",IF($I186="",Hoje-$B186,Hoje-$I186))</f>
        <v/>
      </c>
      <c r="R186" s="22">
        <f>IF(OR($C186="",$P186&lt;&gt;"Aberto"),"",IF($J186="",IF($Q186&gt;DiasSC,"ATRASADO","Definir data"),IF($J186&lt;Hoje,"ATRASADO",IF($J186=Hoje,"HOJE","Em dia"))))</f>
        <v/>
      </c>
      <c r="S186" s="23">
        <f>IF($R186="","",IF(OR($R186="ATRASADO",$R186="HOJE",$R186="Definir data"),COUNTIF($R$5:$R186,"ATRASADO")+COUNTIF($R$5:$R186,"HOJE")+COUNTIF($R$5:$R186,"Definir data"),""))</f>
        <v/>
      </c>
      <c r="T186" s="18">
        <f>IF($C186="","",IF(OR($B186="",$E186="",$F186="",$G186=""),"Preencher entrada/origem/vendedor/etapa",IF(AND(OR($P186="Ganho",$P186="Perdido"),$K186=""),"Falta data de fechamento",IF(AND($P186="Perdido",$L186=""),"Informe o motivo da perda","OK"))))</f>
        <v/>
      </c>
    </row>
    <row r="187" spans="1:20">
      <c r="A187" s="18">
        <f>IF($C187="","",ROW()-4)</f>
        <v/>
      </c>
      <c r="B187" s="19"/>
      <c r="C187" s="13"/>
      <c r="D187" s="13"/>
      <c r="E187" s="13"/>
      <c r="F187" s="13"/>
      <c r="G187" s="13"/>
      <c r="H187" s="15"/>
      <c r="I187" s="19"/>
      <c r="J187" s="19"/>
      <c r="K187" s="19"/>
      <c r="L187" s="13"/>
      <c r="M187" s="13"/>
      <c r="N187" s="20">
        <f>IF($C187="","",IFERROR(INDEX(EtapaProb,MATCH($G187,Etapas,0)),0))</f>
        <v/>
      </c>
      <c r="O187" s="21">
        <f>IF($C187="","",IF($P187="Aberto",N($H187)*$N187,0))</f>
        <v/>
      </c>
      <c r="P187" s="18">
        <f>IF($C187="","",IF($G187="Ganho","Ganho",IF($G187="Perdido","Perdido","Aberto")))</f>
        <v/>
      </c>
      <c r="Q187" s="18">
        <f>IF(OR($C187="",$P187&lt;&gt;"Aberto"),"",IF($I187="",Hoje-$B187,Hoje-$I187))</f>
        <v/>
      </c>
      <c r="R187" s="22">
        <f>IF(OR($C187="",$P187&lt;&gt;"Aberto"),"",IF($J187="",IF($Q187&gt;DiasSC,"ATRASADO","Definir data"),IF($J187&lt;Hoje,"ATRASADO",IF($J187=Hoje,"HOJE","Em dia"))))</f>
        <v/>
      </c>
      <c r="S187" s="23">
        <f>IF($R187="","",IF(OR($R187="ATRASADO",$R187="HOJE",$R187="Definir data"),COUNTIF($R$5:$R187,"ATRASADO")+COUNTIF($R$5:$R187,"HOJE")+COUNTIF($R$5:$R187,"Definir data"),""))</f>
        <v/>
      </c>
      <c r="T187" s="18">
        <f>IF($C187="","",IF(OR($B187="",$E187="",$F187="",$G187=""),"Preencher entrada/origem/vendedor/etapa",IF(AND(OR($P187="Ganho",$P187="Perdido"),$K187=""),"Falta data de fechamento",IF(AND($P187="Perdido",$L187=""),"Informe o motivo da perda","OK"))))</f>
        <v/>
      </c>
    </row>
    <row r="188" spans="1:20">
      <c r="A188" s="18">
        <f>IF($C188="","",ROW()-4)</f>
        <v/>
      </c>
      <c r="B188" s="19"/>
      <c r="C188" s="13"/>
      <c r="D188" s="13"/>
      <c r="E188" s="13"/>
      <c r="F188" s="13"/>
      <c r="G188" s="13"/>
      <c r="H188" s="15"/>
      <c r="I188" s="19"/>
      <c r="J188" s="19"/>
      <c r="K188" s="19"/>
      <c r="L188" s="13"/>
      <c r="M188" s="13"/>
      <c r="N188" s="20">
        <f>IF($C188="","",IFERROR(INDEX(EtapaProb,MATCH($G188,Etapas,0)),0))</f>
        <v/>
      </c>
      <c r="O188" s="21">
        <f>IF($C188="","",IF($P188="Aberto",N($H188)*$N188,0))</f>
        <v/>
      </c>
      <c r="P188" s="18">
        <f>IF($C188="","",IF($G188="Ganho","Ganho",IF($G188="Perdido","Perdido","Aberto")))</f>
        <v/>
      </c>
      <c r="Q188" s="18">
        <f>IF(OR($C188="",$P188&lt;&gt;"Aberto"),"",IF($I188="",Hoje-$B188,Hoje-$I188))</f>
        <v/>
      </c>
      <c r="R188" s="22">
        <f>IF(OR($C188="",$P188&lt;&gt;"Aberto"),"",IF($J188="",IF($Q188&gt;DiasSC,"ATRASADO","Definir data"),IF($J188&lt;Hoje,"ATRASADO",IF($J188=Hoje,"HOJE","Em dia"))))</f>
        <v/>
      </c>
      <c r="S188" s="23">
        <f>IF($R188="","",IF(OR($R188="ATRASADO",$R188="HOJE",$R188="Definir data"),COUNTIF($R$5:$R188,"ATRASADO")+COUNTIF($R$5:$R188,"HOJE")+COUNTIF($R$5:$R188,"Definir data"),""))</f>
        <v/>
      </c>
      <c r="T188" s="18">
        <f>IF($C188="","",IF(OR($B188="",$E188="",$F188="",$G188=""),"Preencher entrada/origem/vendedor/etapa",IF(AND(OR($P188="Ganho",$P188="Perdido"),$K188=""),"Falta data de fechamento",IF(AND($P188="Perdido",$L188=""),"Informe o motivo da perda","OK"))))</f>
        <v/>
      </c>
    </row>
    <row r="189" spans="1:20">
      <c r="A189" s="18">
        <f>IF($C189="","",ROW()-4)</f>
        <v/>
      </c>
      <c r="B189" s="19"/>
      <c r="C189" s="13"/>
      <c r="D189" s="13"/>
      <c r="E189" s="13"/>
      <c r="F189" s="13"/>
      <c r="G189" s="13"/>
      <c r="H189" s="15"/>
      <c r="I189" s="19"/>
      <c r="J189" s="19"/>
      <c r="K189" s="19"/>
      <c r="L189" s="13"/>
      <c r="M189" s="13"/>
      <c r="N189" s="20">
        <f>IF($C189="","",IFERROR(INDEX(EtapaProb,MATCH($G189,Etapas,0)),0))</f>
        <v/>
      </c>
      <c r="O189" s="21">
        <f>IF($C189="","",IF($P189="Aberto",N($H189)*$N189,0))</f>
        <v/>
      </c>
      <c r="P189" s="18">
        <f>IF($C189="","",IF($G189="Ganho","Ganho",IF($G189="Perdido","Perdido","Aberto")))</f>
        <v/>
      </c>
      <c r="Q189" s="18">
        <f>IF(OR($C189="",$P189&lt;&gt;"Aberto"),"",IF($I189="",Hoje-$B189,Hoje-$I189))</f>
        <v/>
      </c>
      <c r="R189" s="22">
        <f>IF(OR($C189="",$P189&lt;&gt;"Aberto"),"",IF($J189="",IF($Q189&gt;DiasSC,"ATRASADO","Definir data"),IF($J189&lt;Hoje,"ATRASADO",IF($J189=Hoje,"HOJE","Em dia"))))</f>
        <v/>
      </c>
      <c r="S189" s="23">
        <f>IF($R189="","",IF(OR($R189="ATRASADO",$R189="HOJE",$R189="Definir data"),COUNTIF($R$5:$R189,"ATRASADO")+COUNTIF($R$5:$R189,"HOJE")+COUNTIF($R$5:$R189,"Definir data"),""))</f>
        <v/>
      </c>
      <c r="T189" s="18">
        <f>IF($C189="","",IF(OR($B189="",$E189="",$F189="",$G189=""),"Preencher entrada/origem/vendedor/etapa",IF(AND(OR($P189="Ganho",$P189="Perdido"),$K189=""),"Falta data de fechamento",IF(AND($P189="Perdido",$L189=""),"Informe o motivo da perda","OK"))))</f>
        <v/>
      </c>
    </row>
    <row r="190" spans="1:20">
      <c r="A190" s="18">
        <f>IF($C190="","",ROW()-4)</f>
        <v/>
      </c>
      <c r="B190" s="19"/>
      <c r="C190" s="13"/>
      <c r="D190" s="13"/>
      <c r="E190" s="13"/>
      <c r="F190" s="13"/>
      <c r="G190" s="13"/>
      <c r="H190" s="15"/>
      <c r="I190" s="19"/>
      <c r="J190" s="19"/>
      <c r="K190" s="19"/>
      <c r="L190" s="13"/>
      <c r="M190" s="13"/>
      <c r="N190" s="20">
        <f>IF($C190="","",IFERROR(INDEX(EtapaProb,MATCH($G190,Etapas,0)),0))</f>
        <v/>
      </c>
      <c r="O190" s="21">
        <f>IF($C190="","",IF($P190="Aberto",N($H190)*$N190,0))</f>
        <v/>
      </c>
      <c r="P190" s="18">
        <f>IF($C190="","",IF($G190="Ganho","Ganho",IF($G190="Perdido","Perdido","Aberto")))</f>
        <v/>
      </c>
      <c r="Q190" s="18">
        <f>IF(OR($C190="",$P190&lt;&gt;"Aberto"),"",IF($I190="",Hoje-$B190,Hoje-$I190))</f>
        <v/>
      </c>
      <c r="R190" s="22">
        <f>IF(OR($C190="",$P190&lt;&gt;"Aberto"),"",IF($J190="",IF($Q190&gt;DiasSC,"ATRASADO","Definir data"),IF($J190&lt;Hoje,"ATRASADO",IF($J190=Hoje,"HOJE","Em dia"))))</f>
        <v/>
      </c>
      <c r="S190" s="23">
        <f>IF($R190="","",IF(OR($R190="ATRASADO",$R190="HOJE",$R190="Definir data"),COUNTIF($R$5:$R190,"ATRASADO")+COUNTIF($R$5:$R190,"HOJE")+COUNTIF($R$5:$R190,"Definir data"),""))</f>
        <v/>
      </c>
      <c r="T190" s="18">
        <f>IF($C190="","",IF(OR($B190="",$E190="",$F190="",$G190=""),"Preencher entrada/origem/vendedor/etapa",IF(AND(OR($P190="Ganho",$P190="Perdido"),$K190=""),"Falta data de fechamento",IF(AND($P190="Perdido",$L190=""),"Informe o motivo da perda","OK"))))</f>
        <v/>
      </c>
    </row>
    <row r="191" spans="1:20">
      <c r="A191" s="18">
        <f>IF($C191="","",ROW()-4)</f>
        <v/>
      </c>
      <c r="B191" s="19"/>
      <c r="C191" s="13"/>
      <c r="D191" s="13"/>
      <c r="E191" s="13"/>
      <c r="F191" s="13"/>
      <c r="G191" s="13"/>
      <c r="H191" s="15"/>
      <c r="I191" s="19"/>
      <c r="J191" s="19"/>
      <c r="K191" s="19"/>
      <c r="L191" s="13"/>
      <c r="M191" s="13"/>
      <c r="N191" s="20">
        <f>IF($C191="","",IFERROR(INDEX(EtapaProb,MATCH($G191,Etapas,0)),0))</f>
        <v/>
      </c>
      <c r="O191" s="21">
        <f>IF($C191="","",IF($P191="Aberto",N($H191)*$N191,0))</f>
        <v/>
      </c>
      <c r="P191" s="18">
        <f>IF($C191="","",IF($G191="Ganho","Ganho",IF($G191="Perdido","Perdido","Aberto")))</f>
        <v/>
      </c>
      <c r="Q191" s="18">
        <f>IF(OR($C191="",$P191&lt;&gt;"Aberto"),"",IF($I191="",Hoje-$B191,Hoje-$I191))</f>
        <v/>
      </c>
      <c r="R191" s="22">
        <f>IF(OR($C191="",$P191&lt;&gt;"Aberto"),"",IF($J191="",IF($Q191&gt;DiasSC,"ATRASADO","Definir data"),IF($J191&lt;Hoje,"ATRASADO",IF($J191=Hoje,"HOJE","Em dia"))))</f>
        <v/>
      </c>
      <c r="S191" s="23">
        <f>IF($R191="","",IF(OR($R191="ATRASADO",$R191="HOJE",$R191="Definir data"),COUNTIF($R$5:$R191,"ATRASADO")+COUNTIF($R$5:$R191,"HOJE")+COUNTIF($R$5:$R191,"Definir data"),""))</f>
        <v/>
      </c>
      <c r="T191" s="18">
        <f>IF($C191="","",IF(OR($B191="",$E191="",$F191="",$G191=""),"Preencher entrada/origem/vendedor/etapa",IF(AND(OR($P191="Ganho",$P191="Perdido"),$K191=""),"Falta data de fechamento",IF(AND($P191="Perdido",$L191=""),"Informe o motivo da perda","OK"))))</f>
        <v/>
      </c>
    </row>
    <row r="192" spans="1:20">
      <c r="A192" s="18">
        <f>IF($C192="","",ROW()-4)</f>
        <v/>
      </c>
      <c r="B192" s="19"/>
      <c r="C192" s="13"/>
      <c r="D192" s="13"/>
      <c r="E192" s="13"/>
      <c r="F192" s="13"/>
      <c r="G192" s="13"/>
      <c r="H192" s="15"/>
      <c r="I192" s="19"/>
      <c r="J192" s="19"/>
      <c r="K192" s="19"/>
      <c r="L192" s="13"/>
      <c r="M192" s="13"/>
      <c r="N192" s="20">
        <f>IF($C192="","",IFERROR(INDEX(EtapaProb,MATCH($G192,Etapas,0)),0))</f>
        <v/>
      </c>
      <c r="O192" s="21">
        <f>IF($C192="","",IF($P192="Aberto",N($H192)*$N192,0))</f>
        <v/>
      </c>
      <c r="P192" s="18">
        <f>IF($C192="","",IF($G192="Ganho","Ganho",IF($G192="Perdido","Perdido","Aberto")))</f>
        <v/>
      </c>
      <c r="Q192" s="18">
        <f>IF(OR($C192="",$P192&lt;&gt;"Aberto"),"",IF($I192="",Hoje-$B192,Hoje-$I192))</f>
        <v/>
      </c>
      <c r="R192" s="22">
        <f>IF(OR($C192="",$P192&lt;&gt;"Aberto"),"",IF($J192="",IF($Q192&gt;DiasSC,"ATRASADO","Definir data"),IF($J192&lt;Hoje,"ATRASADO",IF($J192=Hoje,"HOJE","Em dia"))))</f>
        <v/>
      </c>
      <c r="S192" s="23">
        <f>IF($R192="","",IF(OR($R192="ATRASADO",$R192="HOJE",$R192="Definir data"),COUNTIF($R$5:$R192,"ATRASADO")+COUNTIF($R$5:$R192,"HOJE")+COUNTIF($R$5:$R192,"Definir data"),""))</f>
        <v/>
      </c>
      <c r="T192" s="18">
        <f>IF($C192="","",IF(OR($B192="",$E192="",$F192="",$G192=""),"Preencher entrada/origem/vendedor/etapa",IF(AND(OR($P192="Ganho",$P192="Perdido"),$K192=""),"Falta data de fechamento",IF(AND($P192="Perdido",$L192=""),"Informe o motivo da perda","OK"))))</f>
        <v/>
      </c>
    </row>
    <row r="193" spans="1:20">
      <c r="A193" s="18">
        <f>IF($C193="","",ROW()-4)</f>
        <v/>
      </c>
      <c r="B193" s="19"/>
      <c r="C193" s="13"/>
      <c r="D193" s="13"/>
      <c r="E193" s="13"/>
      <c r="F193" s="13"/>
      <c r="G193" s="13"/>
      <c r="H193" s="15"/>
      <c r="I193" s="19"/>
      <c r="J193" s="19"/>
      <c r="K193" s="19"/>
      <c r="L193" s="13"/>
      <c r="M193" s="13"/>
      <c r="N193" s="20">
        <f>IF($C193="","",IFERROR(INDEX(EtapaProb,MATCH($G193,Etapas,0)),0))</f>
        <v/>
      </c>
      <c r="O193" s="21">
        <f>IF($C193="","",IF($P193="Aberto",N($H193)*$N193,0))</f>
        <v/>
      </c>
      <c r="P193" s="18">
        <f>IF($C193="","",IF($G193="Ganho","Ganho",IF($G193="Perdido","Perdido","Aberto")))</f>
        <v/>
      </c>
      <c r="Q193" s="18">
        <f>IF(OR($C193="",$P193&lt;&gt;"Aberto"),"",IF($I193="",Hoje-$B193,Hoje-$I193))</f>
        <v/>
      </c>
      <c r="R193" s="22">
        <f>IF(OR($C193="",$P193&lt;&gt;"Aberto"),"",IF($J193="",IF($Q193&gt;DiasSC,"ATRASADO","Definir data"),IF($J193&lt;Hoje,"ATRASADO",IF($J193=Hoje,"HOJE","Em dia"))))</f>
        <v/>
      </c>
      <c r="S193" s="23">
        <f>IF($R193="","",IF(OR($R193="ATRASADO",$R193="HOJE",$R193="Definir data"),COUNTIF($R$5:$R193,"ATRASADO")+COUNTIF($R$5:$R193,"HOJE")+COUNTIF($R$5:$R193,"Definir data"),""))</f>
        <v/>
      </c>
      <c r="T193" s="18">
        <f>IF($C193="","",IF(OR($B193="",$E193="",$F193="",$G193=""),"Preencher entrada/origem/vendedor/etapa",IF(AND(OR($P193="Ganho",$P193="Perdido"),$K193=""),"Falta data de fechamento",IF(AND($P193="Perdido",$L193=""),"Informe o motivo da perda","OK"))))</f>
        <v/>
      </c>
    </row>
    <row r="194" spans="1:20">
      <c r="A194" s="18">
        <f>IF($C194="","",ROW()-4)</f>
        <v/>
      </c>
      <c r="B194" s="19"/>
      <c r="C194" s="13"/>
      <c r="D194" s="13"/>
      <c r="E194" s="13"/>
      <c r="F194" s="13"/>
      <c r="G194" s="13"/>
      <c r="H194" s="15"/>
      <c r="I194" s="19"/>
      <c r="J194" s="19"/>
      <c r="K194" s="19"/>
      <c r="L194" s="13"/>
      <c r="M194" s="13"/>
      <c r="N194" s="20">
        <f>IF($C194="","",IFERROR(INDEX(EtapaProb,MATCH($G194,Etapas,0)),0))</f>
        <v/>
      </c>
      <c r="O194" s="21">
        <f>IF($C194="","",IF($P194="Aberto",N($H194)*$N194,0))</f>
        <v/>
      </c>
      <c r="P194" s="18">
        <f>IF($C194="","",IF($G194="Ganho","Ganho",IF($G194="Perdido","Perdido","Aberto")))</f>
        <v/>
      </c>
      <c r="Q194" s="18">
        <f>IF(OR($C194="",$P194&lt;&gt;"Aberto"),"",IF($I194="",Hoje-$B194,Hoje-$I194))</f>
        <v/>
      </c>
      <c r="R194" s="22">
        <f>IF(OR($C194="",$P194&lt;&gt;"Aberto"),"",IF($J194="",IF($Q194&gt;DiasSC,"ATRASADO","Definir data"),IF($J194&lt;Hoje,"ATRASADO",IF($J194=Hoje,"HOJE","Em dia"))))</f>
        <v/>
      </c>
      <c r="S194" s="23">
        <f>IF($R194="","",IF(OR($R194="ATRASADO",$R194="HOJE",$R194="Definir data"),COUNTIF($R$5:$R194,"ATRASADO")+COUNTIF($R$5:$R194,"HOJE")+COUNTIF($R$5:$R194,"Definir data"),""))</f>
        <v/>
      </c>
      <c r="T194" s="18">
        <f>IF($C194="","",IF(OR($B194="",$E194="",$F194="",$G194=""),"Preencher entrada/origem/vendedor/etapa",IF(AND(OR($P194="Ganho",$P194="Perdido"),$K194=""),"Falta data de fechamento",IF(AND($P194="Perdido",$L194=""),"Informe o motivo da perda","OK"))))</f>
        <v/>
      </c>
    </row>
    <row r="195" spans="1:20">
      <c r="A195" s="18">
        <f>IF($C195="","",ROW()-4)</f>
        <v/>
      </c>
      <c r="B195" s="19"/>
      <c r="C195" s="13"/>
      <c r="D195" s="13"/>
      <c r="E195" s="13"/>
      <c r="F195" s="13"/>
      <c r="G195" s="13"/>
      <c r="H195" s="15"/>
      <c r="I195" s="19"/>
      <c r="J195" s="19"/>
      <c r="K195" s="19"/>
      <c r="L195" s="13"/>
      <c r="M195" s="13"/>
      <c r="N195" s="20">
        <f>IF($C195="","",IFERROR(INDEX(EtapaProb,MATCH($G195,Etapas,0)),0))</f>
        <v/>
      </c>
      <c r="O195" s="21">
        <f>IF($C195="","",IF($P195="Aberto",N($H195)*$N195,0))</f>
        <v/>
      </c>
      <c r="P195" s="18">
        <f>IF($C195="","",IF($G195="Ganho","Ganho",IF($G195="Perdido","Perdido","Aberto")))</f>
        <v/>
      </c>
      <c r="Q195" s="18">
        <f>IF(OR($C195="",$P195&lt;&gt;"Aberto"),"",IF($I195="",Hoje-$B195,Hoje-$I195))</f>
        <v/>
      </c>
      <c r="R195" s="22">
        <f>IF(OR($C195="",$P195&lt;&gt;"Aberto"),"",IF($J195="",IF($Q195&gt;DiasSC,"ATRASADO","Definir data"),IF($J195&lt;Hoje,"ATRASADO",IF($J195=Hoje,"HOJE","Em dia"))))</f>
        <v/>
      </c>
      <c r="S195" s="23">
        <f>IF($R195="","",IF(OR($R195="ATRASADO",$R195="HOJE",$R195="Definir data"),COUNTIF($R$5:$R195,"ATRASADO")+COUNTIF($R$5:$R195,"HOJE")+COUNTIF($R$5:$R195,"Definir data"),""))</f>
        <v/>
      </c>
      <c r="T195" s="18">
        <f>IF($C195="","",IF(OR($B195="",$E195="",$F195="",$G195=""),"Preencher entrada/origem/vendedor/etapa",IF(AND(OR($P195="Ganho",$P195="Perdido"),$K195=""),"Falta data de fechamento",IF(AND($P195="Perdido",$L195=""),"Informe o motivo da perda","OK"))))</f>
        <v/>
      </c>
    </row>
    <row r="196" spans="1:20">
      <c r="A196" s="18">
        <f>IF($C196="","",ROW()-4)</f>
        <v/>
      </c>
      <c r="B196" s="19"/>
      <c r="C196" s="13"/>
      <c r="D196" s="13"/>
      <c r="E196" s="13"/>
      <c r="F196" s="13"/>
      <c r="G196" s="13"/>
      <c r="H196" s="15"/>
      <c r="I196" s="19"/>
      <c r="J196" s="19"/>
      <c r="K196" s="19"/>
      <c r="L196" s="13"/>
      <c r="M196" s="13"/>
      <c r="N196" s="20">
        <f>IF($C196="","",IFERROR(INDEX(EtapaProb,MATCH($G196,Etapas,0)),0))</f>
        <v/>
      </c>
      <c r="O196" s="21">
        <f>IF($C196="","",IF($P196="Aberto",N($H196)*$N196,0))</f>
        <v/>
      </c>
      <c r="P196" s="18">
        <f>IF($C196="","",IF($G196="Ganho","Ganho",IF($G196="Perdido","Perdido","Aberto")))</f>
        <v/>
      </c>
      <c r="Q196" s="18">
        <f>IF(OR($C196="",$P196&lt;&gt;"Aberto"),"",IF($I196="",Hoje-$B196,Hoje-$I196))</f>
        <v/>
      </c>
      <c r="R196" s="22">
        <f>IF(OR($C196="",$P196&lt;&gt;"Aberto"),"",IF($J196="",IF($Q196&gt;DiasSC,"ATRASADO","Definir data"),IF($J196&lt;Hoje,"ATRASADO",IF($J196=Hoje,"HOJE","Em dia"))))</f>
        <v/>
      </c>
      <c r="S196" s="23">
        <f>IF($R196="","",IF(OR($R196="ATRASADO",$R196="HOJE",$R196="Definir data"),COUNTIF($R$5:$R196,"ATRASADO")+COUNTIF($R$5:$R196,"HOJE")+COUNTIF($R$5:$R196,"Definir data"),""))</f>
        <v/>
      </c>
      <c r="T196" s="18">
        <f>IF($C196="","",IF(OR($B196="",$E196="",$F196="",$G196=""),"Preencher entrada/origem/vendedor/etapa",IF(AND(OR($P196="Ganho",$P196="Perdido"),$K196=""),"Falta data de fechamento",IF(AND($P196="Perdido",$L196=""),"Informe o motivo da perda","OK"))))</f>
        <v/>
      </c>
    </row>
    <row r="197" spans="1:20">
      <c r="A197" s="18">
        <f>IF($C197="","",ROW()-4)</f>
        <v/>
      </c>
      <c r="B197" s="19"/>
      <c r="C197" s="13"/>
      <c r="D197" s="13"/>
      <c r="E197" s="13"/>
      <c r="F197" s="13"/>
      <c r="G197" s="13"/>
      <c r="H197" s="15"/>
      <c r="I197" s="19"/>
      <c r="J197" s="19"/>
      <c r="K197" s="19"/>
      <c r="L197" s="13"/>
      <c r="M197" s="13"/>
      <c r="N197" s="20">
        <f>IF($C197="","",IFERROR(INDEX(EtapaProb,MATCH($G197,Etapas,0)),0))</f>
        <v/>
      </c>
      <c r="O197" s="21">
        <f>IF($C197="","",IF($P197="Aberto",N($H197)*$N197,0))</f>
        <v/>
      </c>
      <c r="P197" s="18">
        <f>IF($C197="","",IF($G197="Ganho","Ganho",IF($G197="Perdido","Perdido","Aberto")))</f>
        <v/>
      </c>
      <c r="Q197" s="18">
        <f>IF(OR($C197="",$P197&lt;&gt;"Aberto"),"",IF($I197="",Hoje-$B197,Hoje-$I197))</f>
        <v/>
      </c>
      <c r="R197" s="22">
        <f>IF(OR($C197="",$P197&lt;&gt;"Aberto"),"",IF($J197="",IF($Q197&gt;DiasSC,"ATRASADO","Definir data"),IF($J197&lt;Hoje,"ATRASADO",IF($J197=Hoje,"HOJE","Em dia"))))</f>
        <v/>
      </c>
      <c r="S197" s="23">
        <f>IF($R197="","",IF(OR($R197="ATRASADO",$R197="HOJE",$R197="Definir data"),COUNTIF($R$5:$R197,"ATRASADO")+COUNTIF($R$5:$R197,"HOJE")+COUNTIF($R$5:$R197,"Definir data"),""))</f>
        <v/>
      </c>
      <c r="T197" s="18">
        <f>IF($C197="","",IF(OR($B197="",$E197="",$F197="",$G197=""),"Preencher entrada/origem/vendedor/etapa",IF(AND(OR($P197="Ganho",$P197="Perdido"),$K197=""),"Falta data de fechamento",IF(AND($P197="Perdido",$L197=""),"Informe o motivo da perda","OK"))))</f>
        <v/>
      </c>
    </row>
    <row r="198" spans="1:20">
      <c r="A198" s="18">
        <f>IF($C198="","",ROW()-4)</f>
        <v/>
      </c>
      <c r="B198" s="19"/>
      <c r="C198" s="13"/>
      <c r="D198" s="13"/>
      <c r="E198" s="13"/>
      <c r="F198" s="13"/>
      <c r="G198" s="13"/>
      <c r="H198" s="15"/>
      <c r="I198" s="19"/>
      <c r="J198" s="19"/>
      <c r="K198" s="19"/>
      <c r="L198" s="13"/>
      <c r="M198" s="13"/>
      <c r="N198" s="20">
        <f>IF($C198="","",IFERROR(INDEX(EtapaProb,MATCH($G198,Etapas,0)),0))</f>
        <v/>
      </c>
      <c r="O198" s="21">
        <f>IF($C198="","",IF($P198="Aberto",N($H198)*$N198,0))</f>
        <v/>
      </c>
      <c r="P198" s="18">
        <f>IF($C198="","",IF($G198="Ganho","Ganho",IF($G198="Perdido","Perdido","Aberto")))</f>
        <v/>
      </c>
      <c r="Q198" s="18">
        <f>IF(OR($C198="",$P198&lt;&gt;"Aberto"),"",IF($I198="",Hoje-$B198,Hoje-$I198))</f>
        <v/>
      </c>
      <c r="R198" s="22">
        <f>IF(OR($C198="",$P198&lt;&gt;"Aberto"),"",IF($J198="",IF($Q198&gt;DiasSC,"ATRASADO","Definir data"),IF($J198&lt;Hoje,"ATRASADO",IF($J198=Hoje,"HOJE","Em dia"))))</f>
        <v/>
      </c>
      <c r="S198" s="23">
        <f>IF($R198="","",IF(OR($R198="ATRASADO",$R198="HOJE",$R198="Definir data"),COUNTIF($R$5:$R198,"ATRASADO")+COUNTIF($R$5:$R198,"HOJE")+COUNTIF($R$5:$R198,"Definir data"),""))</f>
        <v/>
      </c>
      <c r="T198" s="18">
        <f>IF($C198="","",IF(OR($B198="",$E198="",$F198="",$G198=""),"Preencher entrada/origem/vendedor/etapa",IF(AND(OR($P198="Ganho",$P198="Perdido"),$K198=""),"Falta data de fechamento",IF(AND($P198="Perdido",$L198=""),"Informe o motivo da perda","OK"))))</f>
        <v/>
      </c>
    </row>
    <row r="199" spans="1:20">
      <c r="A199" s="18">
        <f>IF($C199="","",ROW()-4)</f>
        <v/>
      </c>
      <c r="B199" s="19"/>
      <c r="C199" s="13"/>
      <c r="D199" s="13"/>
      <c r="E199" s="13"/>
      <c r="F199" s="13"/>
      <c r="G199" s="13"/>
      <c r="H199" s="15"/>
      <c r="I199" s="19"/>
      <c r="J199" s="19"/>
      <c r="K199" s="19"/>
      <c r="L199" s="13"/>
      <c r="M199" s="13"/>
      <c r="N199" s="20">
        <f>IF($C199="","",IFERROR(INDEX(EtapaProb,MATCH($G199,Etapas,0)),0))</f>
        <v/>
      </c>
      <c r="O199" s="21">
        <f>IF($C199="","",IF($P199="Aberto",N($H199)*$N199,0))</f>
        <v/>
      </c>
      <c r="P199" s="18">
        <f>IF($C199="","",IF($G199="Ganho","Ganho",IF($G199="Perdido","Perdido","Aberto")))</f>
        <v/>
      </c>
      <c r="Q199" s="18">
        <f>IF(OR($C199="",$P199&lt;&gt;"Aberto"),"",IF($I199="",Hoje-$B199,Hoje-$I199))</f>
        <v/>
      </c>
      <c r="R199" s="22">
        <f>IF(OR($C199="",$P199&lt;&gt;"Aberto"),"",IF($J199="",IF($Q199&gt;DiasSC,"ATRASADO","Definir data"),IF($J199&lt;Hoje,"ATRASADO",IF($J199=Hoje,"HOJE","Em dia"))))</f>
        <v/>
      </c>
      <c r="S199" s="23">
        <f>IF($R199="","",IF(OR($R199="ATRASADO",$R199="HOJE",$R199="Definir data"),COUNTIF($R$5:$R199,"ATRASADO")+COUNTIF($R$5:$R199,"HOJE")+COUNTIF($R$5:$R199,"Definir data"),""))</f>
        <v/>
      </c>
      <c r="T199" s="18">
        <f>IF($C199="","",IF(OR($B199="",$E199="",$F199="",$G199=""),"Preencher entrada/origem/vendedor/etapa",IF(AND(OR($P199="Ganho",$P199="Perdido"),$K199=""),"Falta data de fechamento",IF(AND($P199="Perdido",$L199=""),"Informe o motivo da perda","OK"))))</f>
        <v/>
      </c>
    </row>
    <row r="200" spans="1:20">
      <c r="A200" s="18">
        <f>IF($C200="","",ROW()-4)</f>
        <v/>
      </c>
      <c r="B200" s="19"/>
      <c r="C200" s="13"/>
      <c r="D200" s="13"/>
      <c r="E200" s="13"/>
      <c r="F200" s="13"/>
      <c r="G200" s="13"/>
      <c r="H200" s="15"/>
      <c r="I200" s="19"/>
      <c r="J200" s="19"/>
      <c r="K200" s="19"/>
      <c r="L200" s="13"/>
      <c r="M200" s="13"/>
      <c r="N200" s="20">
        <f>IF($C200="","",IFERROR(INDEX(EtapaProb,MATCH($G200,Etapas,0)),0))</f>
        <v/>
      </c>
      <c r="O200" s="21">
        <f>IF($C200="","",IF($P200="Aberto",N($H200)*$N200,0))</f>
        <v/>
      </c>
      <c r="P200" s="18">
        <f>IF($C200="","",IF($G200="Ganho","Ganho",IF($G200="Perdido","Perdido","Aberto")))</f>
        <v/>
      </c>
      <c r="Q200" s="18">
        <f>IF(OR($C200="",$P200&lt;&gt;"Aberto"),"",IF($I200="",Hoje-$B200,Hoje-$I200))</f>
        <v/>
      </c>
      <c r="R200" s="22">
        <f>IF(OR($C200="",$P200&lt;&gt;"Aberto"),"",IF($J200="",IF($Q200&gt;DiasSC,"ATRASADO","Definir data"),IF($J200&lt;Hoje,"ATRASADO",IF($J200=Hoje,"HOJE","Em dia"))))</f>
        <v/>
      </c>
      <c r="S200" s="23">
        <f>IF($R200="","",IF(OR($R200="ATRASADO",$R200="HOJE",$R200="Definir data"),COUNTIF($R$5:$R200,"ATRASADO")+COUNTIF($R$5:$R200,"HOJE")+COUNTIF($R$5:$R200,"Definir data"),""))</f>
        <v/>
      </c>
      <c r="T200" s="18">
        <f>IF($C200="","",IF(OR($B200="",$E200="",$F200="",$G200=""),"Preencher entrada/origem/vendedor/etapa",IF(AND(OR($P200="Ganho",$P200="Perdido"),$K200=""),"Falta data de fechamento",IF(AND($P200="Perdido",$L200=""),"Informe o motivo da perda","OK"))))</f>
        <v/>
      </c>
    </row>
    <row r="201" spans="1:20">
      <c r="A201" s="18">
        <f>IF($C201="","",ROW()-4)</f>
        <v/>
      </c>
      <c r="B201" s="19"/>
      <c r="C201" s="13"/>
      <c r="D201" s="13"/>
      <c r="E201" s="13"/>
      <c r="F201" s="13"/>
      <c r="G201" s="13"/>
      <c r="H201" s="15"/>
      <c r="I201" s="19"/>
      <c r="J201" s="19"/>
      <c r="K201" s="19"/>
      <c r="L201" s="13"/>
      <c r="M201" s="13"/>
      <c r="N201" s="20">
        <f>IF($C201="","",IFERROR(INDEX(EtapaProb,MATCH($G201,Etapas,0)),0))</f>
        <v/>
      </c>
      <c r="O201" s="21">
        <f>IF($C201="","",IF($P201="Aberto",N($H201)*$N201,0))</f>
        <v/>
      </c>
      <c r="P201" s="18">
        <f>IF($C201="","",IF($G201="Ganho","Ganho",IF($G201="Perdido","Perdido","Aberto")))</f>
        <v/>
      </c>
      <c r="Q201" s="18">
        <f>IF(OR($C201="",$P201&lt;&gt;"Aberto"),"",IF($I201="",Hoje-$B201,Hoje-$I201))</f>
        <v/>
      </c>
      <c r="R201" s="22">
        <f>IF(OR($C201="",$P201&lt;&gt;"Aberto"),"",IF($J201="",IF($Q201&gt;DiasSC,"ATRASADO","Definir data"),IF($J201&lt;Hoje,"ATRASADO",IF($J201=Hoje,"HOJE","Em dia"))))</f>
        <v/>
      </c>
      <c r="S201" s="23">
        <f>IF($R201="","",IF(OR($R201="ATRASADO",$R201="HOJE",$R201="Definir data"),COUNTIF($R$5:$R201,"ATRASADO")+COUNTIF($R$5:$R201,"HOJE")+COUNTIF($R$5:$R201,"Definir data"),""))</f>
        <v/>
      </c>
      <c r="T201" s="18">
        <f>IF($C201="","",IF(OR($B201="",$E201="",$F201="",$G201=""),"Preencher entrada/origem/vendedor/etapa",IF(AND(OR($P201="Ganho",$P201="Perdido"),$K201=""),"Falta data de fechamento",IF(AND($P201="Perdido",$L201=""),"Informe o motivo da perda","OK"))))</f>
        <v/>
      </c>
    </row>
    <row r="202" spans="1:20">
      <c r="A202" s="18">
        <f>IF($C202="","",ROW()-4)</f>
        <v/>
      </c>
      <c r="B202" s="19"/>
      <c r="C202" s="13"/>
      <c r="D202" s="13"/>
      <c r="E202" s="13"/>
      <c r="F202" s="13"/>
      <c r="G202" s="13"/>
      <c r="H202" s="15"/>
      <c r="I202" s="19"/>
      <c r="J202" s="19"/>
      <c r="K202" s="19"/>
      <c r="L202" s="13"/>
      <c r="M202" s="13"/>
      <c r="N202" s="20">
        <f>IF($C202="","",IFERROR(INDEX(EtapaProb,MATCH($G202,Etapas,0)),0))</f>
        <v/>
      </c>
      <c r="O202" s="21">
        <f>IF($C202="","",IF($P202="Aberto",N($H202)*$N202,0))</f>
        <v/>
      </c>
      <c r="P202" s="18">
        <f>IF($C202="","",IF($G202="Ganho","Ganho",IF($G202="Perdido","Perdido","Aberto")))</f>
        <v/>
      </c>
      <c r="Q202" s="18">
        <f>IF(OR($C202="",$P202&lt;&gt;"Aberto"),"",IF($I202="",Hoje-$B202,Hoje-$I202))</f>
        <v/>
      </c>
      <c r="R202" s="22">
        <f>IF(OR($C202="",$P202&lt;&gt;"Aberto"),"",IF($J202="",IF($Q202&gt;DiasSC,"ATRASADO","Definir data"),IF($J202&lt;Hoje,"ATRASADO",IF($J202=Hoje,"HOJE","Em dia"))))</f>
        <v/>
      </c>
      <c r="S202" s="23">
        <f>IF($R202="","",IF(OR($R202="ATRASADO",$R202="HOJE",$R202="Definir data"),COUNTIF($R$5:$R202,"ATRASADO")+COUNTIF($R$5:$R202,"HOJE")+COUNTIF($R$5:$R202,"Definir data"),""))</f>
        <v/>
      </c>
      <c r="T202" s="18">
        <f>IF($C202="","",IF(OR($B202="",$E202="",$F202="",$G202=""),"Preencher entrada/origem/vendedor/etapa",IF(AND(OR($P202="Ganho",$P202="Perdido"),$K202=""),"Falta data de fechamento",IF(AND($P202="Perdido",$L202=""),"Informe o motivo da perda","OK"))))</f>
        <v/>
      </c>
    </row>
    <row r="203" spans="1:20">
      <c r="A203" s="18">
        <f>IF($C203="","",ROW()-4)</f>
        <v/>
      </c>
      <c r="B203" s="19"/>
      <c r="C203" s="13"/>
      <c r="D203" s="13"/>
      <c r="E203" s="13"/>
      <c r="F203" s="13"/>
      <c r="G203" s="13"/>
      <c r="H203" s="15"/>
      <c r="I203" s="19"/>
      <c r="J203" s="19"/>
      <c r="K203" s="19"/>
      <c r="L203" s="13"/>
      <c r="M203" s="13"/>
      <c r="N203" s="20">
        <f>IF($C203="","",IFERROR(INDEX(EtapaProb,MATCH($G203,Etapas,0)),0))</f>
        <v/>
      </c>
      <c r="O203" s="21">
        <f>IF($C203="","",IF($P203="Aberto",N($H203)*$N203,0))</f>
        <v/>
      </c>
      <c r="P203" s="18">
        <f>IF($C203="","",IF($G203="Ganho","Ganho",IF($G203="Perdido","Perdido","Aberto")))</f>
        <v/>
      </c>
      <c r="Q203" s="18">
        <f>IF(OR($C203="",$P203&lt;&gt;"Aberto"),"",IF($I203="",Hoje-$B203,Hoje-$I203))</f>
        <v/>
      </c>
      <c r="R203" s="22">
        <f>IF(OR($C203="",$P203&lt;&gt;"Aberto"),"",IF($J203="",IF($Q203&gt;DiasSC,"ATRASADO","Definir data"),IF($J203&lt;Hoje,"ATRASADO",IF($J203=Hoje,"HOJE","Em dia"))))</f>
        <v/>
      </c>
      <c r="S203" s="23">
        <f>IF($R203="","",IF(OR($R203="ATRASADO",$R203="HOJE",$R203="Definir data"),COUNTIF($R$5:$R203,"ATRASADO")+COUNTIF($R$5:$R203,"HOJE")+COUNTIF($R$5:$R203,"Definir data"),""))</f>
        <v/>
      </c>
      <c r="T203" s="18">
        <f>IF($C203="","",IF(OR($B203="",$E203="",$F203="",$G203=""),"Preencher entrada/origem/vendedor/etapa",IF(AND(OR($P203="Ganho",$P203="Perdido"),$K203=""),"Falta data de fechamento",IF(AND($P203="Perdido",$L203=""),"Informe o motivo da perda","OK"))))</f>
        <v/>
      </c>
    </row>
    <row r="204" spans="1:20">
      <c r="A204" s="18">
        <f>IF($C204="","",ROW()-4)</f>
        <v/>
      </c>
      <c r="B204" s="19"/>
      <c r="C204" s="13"/>
      <c r="D204" s="13"/>
      <c r="E204" s="13"/>
      <c r="F204" s="13"/>
      <c r="G204" s="13"/>
      <c r="H204" s="15"/>
      <c r="I204" s="19"/>
      <c r="J204" s="19"/>
      <c r="K204" s="19"/>
      <c r="L204" s="13"/>
      <c r="M204" s="13"/>
      <c r="N204" s="20">
        <f>IF($C204="","",IFERROR(INDEX(EtapaProb,MATCH($G204,Etapas,0)),0))</f>
        <v/>
      </c>
      <c r="O204" s="21">
        <f>IF($C204="","",IF($P204="Aberto",N($H204)*$N204,0))</f>
        <v/>
      </c>
      <c r="P204" s="18">
        <f>IF($C204="","",IF($G204="Ganho","Ganho",IF($G204="Perdido","Perdido","Aberto")))</f>
        <v/>
      </c>
      <c r="Q204" s="18">
        <f>IF(OR($C204="",$P204&lt;&gt;"Aberto"),"",IF($I204="",Hoje-$B204,Hoje-$I204))</f>
        <v/>
      </c>
      <c r="R204" s="22">
        <f>IF(OR($C204="",$P204&lt;&gt;"Aberto"),"",IF($J204="",IF($Q204&gt;DiasSC,"ATRASADO","Definir data"),IF($J204&lt;Hoje,"ATRASADO",IF($J204=Hoje,"HOJE","Em dia"))))</f>
        <v/>
      </c>
      <c r="S204" s="23">
        <f>IF($R204="","",IF(OR($R204="ATRASADO",$R204="HOJE",$R204="Definir data"),COUNTIF($R$5:$R204,"ATRASADO")+COUNTIF($R$5:$R204,"HOJE")+COUNTIF($R$5:$R204,"Definir data"),""))</f>
        <v/>
      </c>
      <c r="T204" s="18">
        <f>IF($C204="","",IF(OR($B204="",$E204="",$F204="",$G204=""),"Preencher entrada/origem/vendedor/etapa",IF(AND(OR($P204="Ganho",$P204="Perdido"),$K204=""),"Falta data de fechamento",IF(AND($P204="Perdido",$L204=""),"Informe o motivo da perda","OK"))))</f>
        <v/>
      </c>
    </row>
    <row r="205" spans="1:20">
      <c r="A205" s="18">
        <f>IF($C205="","",ROW()-4)</f>
        <v/>
      </c>
      <c r="B205" s="19"/>
      <c r="C205" s="13"/>
      <c r="D205" s="13"/>
      <c r="E205" s="13"/>
      <c r="F205" s="13"/>
      <c r="G205" s="13"/>
      <c r="H205" s="15"/>
      <c r="I205" s="19"/>
      <c r="J205" s="19"/>
      <c r="K205" s="19"/>
      <c r="L205" s="13"/>
      <c r="M205" s="13"/>
      <c r="N205" s="20">
        <f>IF($C205="","",IFERROR(INDEX(EtapaProb,MATCH($G205,Etapas,0)),0))</f>
        <v/>
      </c>
      <c r="O205" s="21">
        <f>IF($C205="","",IF($P205="Aberto",N($H205)*$N205,0))</f>
        <v/>
      </c>
      <c r="P205" s="18">
        <f>IF($C205="","",IF($G205="Ganho","Ganho",IF($G205="Perdido","Perdido","Aberto")))</f>
        <v/>
      </c>
      <c r="Q205" s="18">
        <f>IF(OR($C205="",$P205&lt;&gt;"Aberto"),"",IF($I205="",Hoje-$B205,Hoje-$I205))</f>
        <v/>
      </c>
      <c r="R205" s="22">
        <f>IF(OR($C205="",$P205&lt;&gt;"Aberto"),"",IF($J205="",IF($Q205&gt;DiasSC,"ATRASADO","Definir data"),IF($J205&lt;Hoje,"ATRASADO",IF($J205=Hoje,"HOJE","Em dia"))))</f>
        <v/>
      </c>
      <c r="S205" s="23">
        <f>IF($R205="","",IF(OR($R205="ATRASADO",$R205="HOJE",$R205="Definir data"),COUNTIF($R$5:$R205,"ATRASADO")+COUNTIF($R$5:$R205,"HOJE")+COUNTIF($R$5:$R205,"Definir data"),""))</f>
        <v/>
      </c>
      <c r="T205" s="18">
        <f>IF($C205="","",IF(OR($B205="",$E205="",$F205="",$G205=""),"Preencher entrada/origem/vendedor/etapa",IF(AND(OR($P205="Ganho",$P205="Perdido"),$K205=""),"Falta data de fechamento",IF(AND($P205="Perdido",$L205=""),"Informe o motivo da perda","OK"))))</f>
        <v/>
      </c>
    </row>
    <row r="206" spans="1:20">
      <c r="A206" s="18">
        <f>IF($C206="","",ROW()-4)</f>
        <v/>
      </c>
      <c r="B206" s="19"/>
      <c r="C206" s="13"/>
      <c r="D206" s="13"/>
      <c r="E206" s="13"/>
      <c r="F206" s="13"/>
      <c r="G206" s="13"/>
      <c r="H206" s="15"/>
      <c r="I206" s="19"/>
      <c r="J206" s="19"/>
      <c r="K206" s="19"/>
      <c r="L206" s="13"/>
      <c r="M206" s="13"/>
      <c r="N206" s="20">
        <f>IF($C206="","",IFERROR(INDEX(EtapaProb,MATCH($G206,Etapas,0)),0))</f>
        <v/>
      </c>
      <c r="O206" s="21">
        <f>IF($C206="","",IF($P206="Aberto",N($H206)*$N206,0))</f>
        <v/>
      </c>
      <c r="P206" s="18">
        <f>IF($C206="","",IF($G206="Ganho","Ganho",IF($G206="Perdido","Perdido","Aberto")))</f>
        <v/>
      </c>
      <c r="Q206" s="18">
        <f>IF(OR($C206="",$P206&lt;&gt;"Aberto"),"",IF($I206="",Hoje-$B206,Hoje-$I206))</f>
        <v/>
      </c>
      <c r="R206" s="22">
        <f>IF(OR($C206="",$P206&lt;&gt;"Aberto"),"",IF($J206="",IF($Q206&gt;DiasSC,"ATRASADO","Definir data"),IF($J206&lt;Hoje,"ATRASADO",IF($J206=Hoje,"HOJE","Em dia"))))</f>
        <v/>
      </c>
      <c r="S206" s="23">
        <f>IF($R206="","",IF(OR($R206="ATRASADO",$R206="HOJE",$R206="Definir data"),COUNTIF($R$5:$R206,"ATRASADO")+COUNTIF($R$5:$R206,"HOJE")+COUNTIF($R$5:$R206,"Definir data"),""))</f>
        <v/>
      </c>
      <c r="T206" s="18">
        <f>IF($C206="","",IF(OR($B206="",$E206="",$F206="",$G206=""),"Preencher entrada/origem/vendedor/etapa",IF(AND(OR($P206="Ganho",$P206="Perdido"),$K206=""),"Falta data de fechamento",IF(AND($P206="Perdido",$L206=""),"Informe o motivo da perda","OK"))))</f>
        <v/>
      </c>
    </row>
    <row r="207" spans="1:20">
      <c r="A207" s="18">
        <f>IF($C207="","",ROW()-4)</f>
        <v/>
      </c>
      <c r="B207" s="19"/>
      <c r="C207" s="13"/>
      <c r="D207" s="13"/>
      <c r="E207" s="13"/>
      <c r="F207" s="13"/>
      <c r="G207" s="13"/>
      <c r="H207" s="15"/>
      <c r="I207" s="19"/>
      <c r="J207" s="19"/>
      <c r="K207" s="19"/>
      <c r="L207" s="13"/>
      <c r="M207" s="13"/>
      <c r="N207" s="20">
        <f>IF($C207="","",IFERROR(INDEX(EtapaProb,MATCH($G207,Etapas,0)),0))</f>
        <v/>
      </c>
      <c r="O207" s="21">
        <f>IF($C207="","",IF($P207="Aberto",N($H207)*$N207,0))</f>
        <v/>
      </c>
      <c r="P207" s="18">
        <f>IF($C207="","",IF($G207="Ganho","Ganho",IF($G207="Perdido","Perdido","Aberto")))</f>
        <v/>
      </c>
      <c r="Q207" s="18">
        <f>IF(OR($C207="",$P207&lt;&gt;"Aberto"),"",IF($I207="",Hoje-$B207,Hoje-$I207))</f>
        <v/>
      </c>
      <c r="R207" s="22">
        <f>IF(OR($C207="",$P207&lt;&gt;"Aberto"),"",IF($J207="",IF($Q207&gt;DiasSC,"ATRASADO","Definir data"),IF($J207&lt;Hoje,"ATRASADO",IF($J207=Hoje,"HOJE","Em dia"))))</f>
        <v/>
      </c>
      <c r="S207" s="23">
        <f>IF($R207="","",IF(OR($R207="ATRASADO",$R207="HOJE",$R207="Definir data"),COUNTIF($R$5:$R207,"ATRASADO")+COUNTIF($R$5:$R207,"HOJE")+COUNTIF($R$5:$R207,"Definir data"),""))</f>
        <v/>
      </c>
      <c r="T207" s="18">
        <f>IF($C207="","",IF(OR($B207="",$E207="",$F207="",$G207=""),"Preencher entrada/origem/vendedor/etapa",IF(AND(OR($P207="Ganho",$P207="Perdido"),$K207=""),"Falta data de fechamento",IF(AND($P207="Perdido",$L207=""),"Informe o motivo da perda","OK"))))</f>
        <v/>
      </c>
    </row>
    <row r="208" spans="1:20">
      <c r="A208" s="18">
        <f>IF($C208="","",ROW()-4)</f>
        <v/>
      </c>
      <c r="B208" s="19"/>
      <c r="C208" s="13"/>
      <c r="D208" s="13"/>
      <c r="E208" s="13"/>
      <c r="F208" s="13"/>
      <c r="G208" s="13"/>
      <c r="H208" s="15"/>
      <c r="I208" s="19"/>
      <c r="J208" s="19"/>
      <c r="K208" s="19"/>
      <c r="L208" s="13"/>
      <c r="M208" s="13"/>
      <c r="N208" s="20">
        <f>IF($C208="","",IFERROR(INDEX(EtapaProb,MATCH($G208,Etapas,0)),0))</f>
        <v/>
      </c>
      <c r="O208" s="21">
        <f>IF($C208="","",IF($P208="Aberto",N($H208)*$N208,0))</f>
        <v/>
      </c>
      <c r="P208" s="18">
        <f>IF($C208="","",IF($G208="Ganho","Ganho",IF($G208="Perdido","Perdido","Aberto")))</f>
        <v/>
      </c>
      <c r="Q208" s="18">
        <f>IF(OR($C208="",$P208&lt;&gt;"Aberto"),"",IF($I208="",Hoje-$B208,Hoje-$I208))</f>
        <v/>
      </c>
      <c r="R208" s="22">
        <f>IF(OR($C208="",$P208&lt;&gt;"Aberto"),"",IF($J208="",IF($Q208&gt;DiasSC,"ATRASADO","Definir data"),IF($J208&lt;Hoje,"ATRASADO",IF($J208=Hoje,"HOJE","Em dia"))))</f>
        <v/>
      </c>
      <c r="S208" s="23">
        <f>IF($R208="","",IF(OR($R208="ATRASADO",$R208="HOJE",$R208="Definir data"),COUNTIF($R$5:$R208,"ATRASADO")+COUNTIF($R$5:$R208,"HOJE")+COUNTIF($R$5:$R208,"Definir data"),""))</f>
        <v/>
      </c>
      <c r="T208" s="18">
        <f>IF($C208="","",IF(OR($B208="",$E208="",$F208="",$G208=""),"Preencher entrada/origem/vendedor/etapa",IF(AND(OR($P208="Ganho",$P208="Perdido"),$K208=""),"Falta data de fechamento",IF(AND($P208="Perdido",$L208=""),"Informe o motivo da perda","OK"))))</f>
        <v/>
      </c>
    </row>
    <row r="209" spans="1:20">
      <c r="A209" s="18">
        <f>IF($C209="","",ROW()-4)</f>
        <v/>
      </c>
      <c r="B209" s="19"/>
      <c r="C209" s="13"/>
      <c r="D209" s="13"/>
      <c r="E209" s="13"/>
      <c r="F209" s="13"/>
      <c r="G209" s="13"/>
      <c r="H209" s="15"/>
      <c r="I209" s="19"/>
      <c r="J209" s="19"/>
      <c r="K209" s="19"/>
      <c r="L209" s="13"/>
      <c r="M209" s="13"/>
      <c r="N209" s="20">
        <f>IF($C209="","",IFERROR(INDEX(EtapaProb,MATCH($G209,Etapas,0)),0))</f>
        <v/>
      </c>
      <c r="O209" s="21">
        <f>IF($C209="","",IF($P209="Aberto",N($H209)*$N209,0))</f>
        <v/>
      </c>
      <c r="P209" s="18">
        <f>IF($C209="","",IF($G209="Ganho","Ganho",IF($G209="Perdido","Perdido","Aberto")))</f>
        <v/>
      </c>
      <c r="Q209" s="18">
        <f>IF(OR($C209="",$P209&lt;&gt;"Aberto"),"",IF($I209="",Hoje-$B209,Hoje-$I209))</f>
        <v/>
      </c>
      <c r="R209" s="22">
        <f>IF(OR($C209="",$P209&lt;&gt;"Aberto"),"",IF($J209="",IF($Q209&gt;DiasSC,"ATRASADO","Definir data"),IF($J209&lt;Hoje,"ATRASADO",IF($J209=Hoje,"HOJE","Em dia"))))</f>
        <v/>
      </c>
      <c r="S209" s="23">
        <f>IF($R209="","",IF(OR($R209="ATRASADO",$R209="HOJE",$R209="Definir data"),COUNTIF($R$5:$R209,"ATRASADO")+COUNTIF($R$5:$R209,"HOJE")+COUNTIF($R$5:$R209,"Definir data"),""))</f>
        <v/>
      </c>
      <c r="T209" s="18">
        <f>IF($C209="","",IF(OR($B209="",$E209="",$F209="",$G209=""),"Preencher entrada/origem/vendedor/etapa",IF(AND(OR($P209="Ganho",$P209="Perdido"),$K209=""),"Falta data de fechamento",IF(AND($P209="Perdido",$L209=""),"Informe o motivo da perda","OK"))))</f>
        <v/>
      </c>
    </row>
    <row r="210" spans="1:20">
      <c r="A210" s="18">
        <f>IF($C210="","",ROW()-4)</f>
        <v/>
      </c>
      <c r="B210" s="19"/>
      <c r="C210" s="13"/>
      <c r="D210" s="13"/>
      <c r="E210" s="13"/>
      <c r="F210" s="13"/>
      <c r="G210" s="13"/>
      <c r="H210" s="15"/>
      <c r="I210" s="19"/>
      <c r="J210" s="19"/>
      <c r="K210" s="19"/>
      <c r="L210" s="13"/>
      <c r="M210" s="13"/>
      <c r="N210" s="20">
        <f>IF($C210="","",IFERROR(INDEX(EtapaProb,MATCH($G210,Etapas,0)),0))</f>
        <v/>
      </c>
      <c r="O210" s="21">
        <f>IF($C210="","",IF($P210="Aberto",N($H210)*$N210,0))</f>
        <v/>
      </c>
      <c r="P210" s="18">
        <f>IF($C210="","",IF($G210="Ganho","Ganho",IF($G210="Perdido","Perdido","Aberto")))</f>
        <v/>
      </c>
      <c r="Q210" s="18">
        <f>IF(OR($C210="",$P210&lt;&gt;"Aberto"),"",IF($I210="",Hoje-$B210,Hoje-$I210))</f>
        <v/>
      </c>
      <c r="R210" s="22">
        <f>IF(OR($C210="",$P210&lt;&gt;"Aberto"),"",IF($J210="",IF($Q210&gt;DiasSC,"ATRASADO","Definir data"),IF($J210&lt;Hoje,"ATRASADO",IF($J210=Hoje,"HOJE","Em dia"))))</f>
        <v/>
      </c>
      <c r="S210" s="23">
        <f>IF($R210="","",IF(OR($R210="ATRASADO",$R210="HOJE",$R210="Definir data"),COUNTIF($R$5:$R210,"ATRASADO")+COUNTIF($R$5:$R210,"HOJE")+COUNTIF($R$5:$R210,"Definir data"),""))</f>
        <v/>
      </c>
      <c r="T210" s="18">
        <f>IF($C210="","",IF(OR($B210="",$E210="",$F210="",$G210=""),"Preencher entrada/origem/vendedor/etapa",IF(AND(OR($P210="Ganho",$P210="Perdido"),$K210=""),"Falta data de fechamento",IF(AND($P210="Perdido",$L210=""),"Informe o motivo da perda","OK"))))</f>
        <v/>
      </c>
    </row>
    <row r="211" spans="1:20">
      <c r="A211" s="18">
        <f>IF($C211="","",ROW()-4)</f>
        <v/>
      </c>
      <c r="B211" s="19"/>
      <c r="C211" s="13"/>
      <c r="D211" s="13"/>
      <c r="E211" s="13"/>
      <c r="F211" s="13"/>
      <c r="G211" s="13"/>
      <c r="H211" s="15"/>
      <c r="I211" s="19"/>
      <c r="J211" s="19"/>
      <c r="K211" s="19"/>
      <c r="L211" s="13"/>
      <c r="M211" s="13"/>
      <c r="N211" s="20">
        <f>IF($C211="","",IFERROR(INDEX(EtapaProb,MATCH($G211,Etapas,0)),0))</f>
        <v/>
      </c>
      <c r="O211" s="21">
        <f>IF($C211="","",IF($P211="Aberto",N($H211)*$N211,0))</f>
        <v/>
      </c>
      <c r="P211" s="18">
        <f>IF($C211="","",IF($G211="Ganho","Ganho",IF($G211="Perdido","Perdido","Aberto")))</f>
        <v/>
      </c>
      <c r="Q211" s="18">
        <f>IF(OR($C211="",$P211&lt;&gt;"Aberto"),"",IF($I211="",Hoje-$B211,Hoje-$I211))</f>
        <v/>
      </c>
      <c r="R211" s="22">
        <f>IF(OR($C211="",$P211&lt;&gt;"Aberto"),"",IF($J211="",IF($Q211&gt;DiasSC,"ATRASADO","Definir data"),IF($J211&lt;Hoje,"ATRASADO",IF($J211=Hoje,"HOJE","Em dia"))))</f>
        <v/>
      </c>
      <c r="S211" s="23">
        <f>IF($R211="","",IF(OR($R211="ATRASADO",$R211="HOJE",$R211="Definir data"),COUNTIF($R$5:$R211,"ATRASADO")+COUNTIF($R$5:$R211,"HOJE")+COUNTIF($R$5:$R211,"Definir data"),""))</f>
        <v/>
      </c>
      <c r="T211" s="18">
        <f>IF($C211="","",IF(OR($B211="",$E211="",$F211="",$G211=""),"Preencher entrada/origem/vendedor/etapa",IF(AND(OR($P211="Ganho",$P211="Perdido"),$K211=""),"Falta data de fechamento",IF(AND($P211="Perdido",$L211=""),"Informe o motivo da perda","OK"))))</f>
        <v/>
      </c>
    </row>
    <row r="212" spans="1:20">
      <c r="A212" s="18">
        <f>IF($C212="","",ROW()-4)</f>
        <v/>
      </c>
      <c r="B212" s="19"/>
      <c r="C212" s="13"/>
      <c r="D212" s="13"/>
      <c r="E212" s="13"/>
      <c r="F212" s="13"/>
      <c r="G212" s="13"/>
      <c r="H212" s="15"/>
      <c r="I212" s="19"/>
      <c r="J212" s="19"/>
      <c r="K212" s="19"/>
      <c r="L212" s="13"/>
      <c r="M212" s="13"/>
      <c r="N212" s="20">
        <f>IF($C212="","",IFERROR(INDEX(EtapaProb,MATCH($G212,Etapas,0)),0))</f>
        <v/>
      </c>
      <c r="O212" s="21">
        <f>IF($C212="","",IF($P212="Aberto",N($H212)*$N212,0))</f>
        <v/>
      </c>
      <c r="P212" s="18">
        <f>IF($C212="","",IF($G212="Ganho","Ganho",IF($G212="Perdido","Perdido","Aberto")))</f>
        <v/>
      </c>
      <c r="Q212" s="18">
        <f>IF(OR($C212="",$P212&lt;&gt;"Aberto"),"",IF($I212="",Hoje-$B212,Hoje-$I212))</f>
        <v/>
      </c>
      <c r="R212" s="22">
        <f>IF(OR($C212="",$P212&lt;&gt;"Aberto"),"",IF($J212="",IF($Q212&gt;DiasSC,"ATRASADO","Definir data"),IF($J212&lt;Hoje,"ATRASADO",IF($J212=Hoje,"HOJE","Em dia"))))</f>
        <v/>
      </c>
      <c r="S212" s="23">
        <f>IF($R212="","",IF(OR($R212="ATRASADO",$R212="HOJE",$R212="Definir data"),COUNTIF($R$5:$R212,"ATRASADO")+COUNTIF($R$5:$R212,"HOJE")+COUNTIF($R$5:$R212,"Definir data"),""))</f>
        <v/>
      </c>
      <c r="T212" s="18">
        <f>IF($C212="","",IF(OR($B212="",$E212="",$F212="",$G212=""),"Preencher entrada/origem/vendedor/etapa",IF(AND(OR($P212="Ganho",$P212="Perdido"),$K212=""),"Falta data de fechamento",IF(AND($P212="Perdido",$L212=""),"Informe o motivo da perda","OK"))))</f>
        <v/>
      </c>
    </row>
    <row r="213" spans="1:20">
      <c r="A213" s="18">
        <f>IF($C213="","",ROW()-4)</f>
        <v/>
      </c>
      <c r="B213" s="19"/>
      <c r="C213" s="13"/>
      <c r="D213" s="13"/>
      <c r="E213" s="13"/>
      <c r="F213" s="13"/>
      <c r="G213" s="13"/>
      <c r="H213" s="15"/>
      <c r="I213" s="19"/>
      <c r="J213" s="19"/>
      <c r="K213" s="19"/>
      <c r="L213" s="13"/>
      <c r="M213" s="13"/>
      <c r="N213" s="20">
        <f>IF($C213="","",IFERROR(INDEX(EtapaProb,MATCH($G213,Etapas,0)),0))</f>
        <v/>
      </c>
      <c r="O213" s="21">
        <f>IF($C213="","",IF($P213="Aberto",N($H213)*$N213,0))</f>
        <v/>
      </c>
      <c r="P213" s="18">
        <f>IF($C213="","",IF($G213="Ganho","Ganho",IF($G213="Perdido","Perdido","Aberto")))</f>
        <v/>
      </c>
      <c r="Q213" s="18">
        <f>IF(OR($C213="",$P213&lt;&gt;"Aberto"),"",IF($I213="",Hoje-$B213,Hoje-$I213))</f>
        <v/>
      </c>
      <c r="R213" s="22">
        <f>IF(OR($C213="",$P213&lt;&gt;"Aberto"),"",IF($J213="",IF($Q213&gt;DiasSC,"ATRASADO","Definir data"),IF($J213&lt;Hoje,"ATRASADO",IF($J213=Hoje,"HOJE","Em dia"))))</f>
        <v/>
      </c>
      <c r="S213" s="23">
        <f>IF($R213="","",IF(OR($R213="ATRASADO",$R213="HOJE",$R213="Definir data"),COUNTIF($R$5:$R213,"ATRASADO")+COUNTIF($R$5:$R213,"HOJE")+COUNTIF($R$5:$R213,"Definir data"),""))</f>
        <v/>
      </c>
      <c r="T213" s="18">
        <f>IF($C213="","",IF(OR($B213="",$E213="",$F213="",$G213=""),"Preencher entrada/origem/vendedor/etapa",IF(AND(OR($P213="Ganho",$P213="Perdido"),$K213=""),"Falta data de fechamento",IF(AND($P213="Perdido",$L213=""),"Informe o motivo da perda","OK"))))</f>
        <v/>
      </c>
    </row>
    <row r="214" spans="1:20">
      <c r="A214" s="18">
        <f>IF($C214="","",ROW()-4)</f>
        <v/>
      </c>
      <c r="B214" s="19"/>
      <c r="C214" s="13"/>
      <c r="D214" s="13"/>
      <c r="E214" s="13"/>
      <c r="F214" s="13"/>
      <c r="G214" s="13"/>
      <c r="H214" s="15"/>
      <c r="I214" s="19"/>
      <c r="J214" s="19"/>
      <c r="K214" s="19"/>
      <c r="L214" s="13"/>
      <c r="M214" s="13"/>
      <c r="N214" s="20">
        <f>IF($C214="","",IFERROR(INDEX(EtapaProb,MATCH($G214,Etapas,0)),0))</f>
        <v/>
      </c>
      <c r="O214" s="21">
        <f>IF($C214="","",IF($P214="Aberto",N($H214)*$N214,0))</f>
        <v/>
      </c>
      <c r="P214" s="18">
        <f>IF($C214="","",IF($G214="Ganho","Ganho",IF($G214="Perdido","Perdido","Aberto")))</f>
        <v/>
      </c>
      <c r="Q214" s="18">
        <f>IF(OR($C214="",$P214&lt;&gt;"Aberto"),"",IF($I214="",Hoje-$B214,Hoje-$I214))</f>
        <v/>
      </c>
      <c r="R214" s="22">
        <f>IF(OR($C214="",$P214&lt;&gt;"Aberto"),"",IF($J214="",IF($Q214&gt;DiasSC,"ATRASADO","Definir data"),IF($J214&lt;Hoje,"ATRASADO",IF($J214=Hoje,"HOJE","Em dia"))))</f>
        <v/>
      </c>
      <c r="S214" s="23">
        <f>IF($R214="","",IF(OR($R214="ATRASADO",$R214="HOJE",$R214="Definir data"),COUNTIF($R$5:$R214,"ATRASADO")+COUNTIF($R$5:$R214,"HOJE")+COUNTIF($R$5:$R214,"Definir data"),""))</f>
        <v/>
      </c>
      <c r="T214" s="18">
        <f>IF($C214="","",IF(OR($B214="",$E214="",$F214="",$G214=""),"Preencher entrada/origem/vendedor/etapa",IF(AND(OR($P214="Ganho",$P214="Perdido"),$K214=""),"Falta data de fechamento",IF(AND($P214="Perdido",$L214=""),"Informe o motivo da perda","OK"))))</f>
        <v/>
      </c>
    </row>
    <row r="215" spans="1:20">
      <c r="A215" s="18">
        <f>IF($C215="","",ROW()-4)</f>
        <v/>
      </c>
      <c r="B215" s="19"/>
      <c r="C215" s="13"/>
      <c r="D215" s="13"/>
      <c r="E215" s="13"/>
      <c r="F215" s="13"/>
      <c r="G215" s="13"/>
      <c r="H215" s="15"/>
      <c r="I215" s="19"/>
      <c r="J215" s="19"/>
      <c r="K215" s="19"/>
      <c r="L215" s="13"/>
      <c r="M215" s="13"/>
      <c r="N215" s="20">
        <f>IF($C215="","",IFERROR(INDEX(EtapaProb,MATCH($G215,Etapas,0)),0))</f>
        <v/>
      </c>
      <c r="O215" s="21">
        <f>IF($C215="","",IF($P215="Aberto",N($H215)*$N215,0))</f>
        <v/>
      </c>
      <c r="P215" s="18">
        <f>IF($C215="","",IF($G215="Ganho","Ganho",IF($G215="Perdido","Perdido","Aberto")))</f>
        <v/>
      </c>
      <c r="Q215" s="18">
        <f>IF(OR($C215="",$P215&lt;&gt;"Aberto"),"",IF($I215="",Hoje-$B215,Hoje-$I215))</f>
        <v/>
      </c>
      <c r="R215" s="22">
        <f>IF(OR($C215="",$P215&lt;&gt;"Aberto"),"",IF($J215="",IF($Q215&gt;DiasSC,"ATRASADO","Definir data"),IF($J215&lt;Hoje,"ATRASADO",IF($J215=Hoje,"HOJE","Em dia"))))</f>
        <v/>
      </c>
      <c r="S215" s="23">
        <f>IF($R215="","",IF(OR($R215="ATRASADO",$R215="HOJE",$R215="Definir data"),COUNTIF($R$5:$R215,"ATRASADO")+COUNTIF($R$5:$R215,"HOJE")+COUNTIF($R$5:$R215,"Definir data"),""))</f>
        <v/>
      </c>
      <c r="T215" s="18">
        <f>IF($C215="","",IF(OR($B215="",$E215="",$F215="",$G215=""),"Preencher entrada/origem/vendedor/etapa",IF(AND(OR($P215="Ganho",$P215="Perdido"),$K215=""),"Falta data de fechamento",IF(AND($P215="Perdido",$L215=""),"Informe o motivo da perda","OK"))))</f>
        <v/>
      </c>
    </row>
    <row r="216" spans="1:20">
      <c r="A216" s="18">
        <f>IF($C216="","",ROW()-4)</f>
        <v/>
      </c>
      <c r="B216" s="19"/>
      <c r="C216" s="13"/>
      <c r="D216" s="13"/>
      <c r="E216" s="13"/>
      <c r="F216" s="13"/>
      <c r="G216" s="13"/>
      <c r="H216" s="15"/>
      <c r="I216" s="19"/>
      <c r="J216" s="19"/>
      <c r="K216" s="19"/>
      <c r="L216" s="13"/>
      <c r="M216" s="13"/>
      <c r="N216" s="20">
        <f>IF($C216="","",IFERROR(INDEX(EtapaProb,MATCH($G216,Etapas,0)),0))</f>
        <v/>
      </c>
      <c r="O216" s="21">
        <f>IF($C216="","",IF($P216="Aberto",N($H216)*$N216,0))</f>
        <v/>
      </c>
      <c r="P216" s="18">
        <f>IF($C216="","",IF($G216="Ganho","Ganho",IF($G216="Perdido","Perdido","Aberto")))</f>
        <v/>
      </c>
      <c r="Q216" s="18">
        <f>IF(OR($C216="",$P216&lt;&gt;"Aberto"),"",IF($I216="",Hoje-$B216,Hoje-$I216))</f>
        <v/>
      </c>
      <c r="R216" s="22">
        <f>IF(OR($C216="",$P216&lt;&gt;"Aberto"),"",IF($J216="",IF($Q216&gt;DiasSC,"ATRASADO","Definir data"),IF($J216&lt;Hoje,"ATRASADO",IF($J216=Hoje,"HOJE","Em dia"))))</f>
        <v/>
      </c>
      <c r="S216" s="23">
        <f>IF($R216="","",IF(OR($R216="ATRASADO",$R216="HOJE",$R216="Definir data"),COUNTIF($R$5:$R216,"ATRASADO")+COUNTIF($R$5:$R216,"HOJE")+COUNTIF($R$5:$R216,"Definir data"),""))</f>
        <v/>
      </c>
      <c r="T216" s="18">
        <f>IF($C216="","",IF(OR($B216="",$E216="",$F216="",$G216=""),"Preencher entrada/origem/vendedor/etapa",IF(AND(OR($P216="Ganho",$P216="Perdido"),$K216=""),"Falta data de fechamento",IF(AND($P216="Perdido",$L216=""),"Informe o motivo da perda","OK"))))</f>
        <v/>
      </c>
    </row>
    <row r="217" spans="1:20">
      <c r="A217" s="18">
        <f>IF($C217="","",ROW()-4)</f>
        <v/>
      </c>
      <c r="B217" s="19"/>
      <c r="C217" s="13"/>
      <c r="D217" s="13"/>
      <c r="E217" s="13"/>
      <c r="F217" s="13"/>
      <c r="G217" s="13"/>
      <c r="H217" s="15"/>
      <c r="I217" s="19"/>
      <c r="J217" s="19"/>
      <c r="K217" s="19"/>
      <c r="L217" s="13"/>
      <c r="M217" s="13"/>
      <c r="N217" s="20">
        <f>IF($C217="","",IFERROR(INDEX(EtapaProb,MATCH($G217,Etapas,0)),0))</f>
        <v/>
      </c>
      <c r="O217" s="21">
        <f>IF($C217="","",IF($P217="Aberto",N($H217)*$N217,0))</f>
        <v/>
      </c>
      <c r="P217" s="18">
        <f>IF($C217="","",IF($G217="Ganho","Ganho",IF($G217="Perdido","Perdido","Aberto")))</f>
        <v/>
      </c>
      <c r="Q217" s="18">
        <f>IF(OR($C217="",$P217&lt;&gt;"Aberto"),"",IF($I217="",Hoje-$B217,Hoje-$I217))</f>
        <v/>
      </c>
      <c r="R217" s="22">
        <f>IF(OR($C217="",$P217&lt;&gt;"Aberto"),"",IF($J217="",IF($Q217&gt;DiasSC,"ATRASADO","Definir data"),IF($J217&lt;Hoje,"ATRASADO",IF($J217=Hoje,"HOJE","Em dia"))))</f>
        <v/>
      </c>
      <c r="S217" s="23">
        <f>IF($R217="","",IF(OR($R217="ATRASADO",$R217="HOJE",$R217="Definir data"),COUNTIF($R$5:$R217,"ATRASADO")+COUNTIF($R$5:$R217,"HOJE")+COUNTIF($R$5:$R217,"Definir data"),""))</f>
        <v/>
      </c>
      <c r="T217" s="18">
        <f>IF($C217="","",IF(OR($B217="",$E217="",$F217="",$G217=""),"Preencher entrada/origem/vendedor/etapa",IF(AND(OR($P217="Ganho",$P217="Perdido"),$K217=""),"Falta data de fechamento",IF(AND($P217="Perdido",$L217=""),"Informe o motivo da perda","OK"))))</f>
        <v/>
      </c>
    </row>
    <row r="218" spans="1:20">
      <c r="A218" s="18">
        <f>IF($C218="","",ROW()-4)</f>
        <v/>
      </c>
      <c r="B218" s="19"/>
      <c r="C218" s="13"/>
      <c r="D218" s="13"/>
      <c r="E218" s="13"/>
      <c r="F218" s="13"/>
      <c r="G218" s="13"/>
      <c r="H218" s="15"/>
      <c r="I218" s="19"/>
      <c r="J218" s="19"/>
      <c r="K218" s="19"/>
      <c r="L218" s="13"/>
      <c r="M218" s="13"/>
      <c r="N218" s="20">
        <f>IF($C218="","",IFERROR(INDEX(EtapaProb,MATCH($G218,Etapas,0)),0))</f>
        <v/>
      </c>
      <c r="O218" s="21">
        <f>IF($C218="","",IF($P218="Aberto",N($H218)*$N218,0))</f>
        <v/>
      </c>
      <c r="P218" s="18">
        <f>IF($C218="","",IF($G218="Ganho","Ganho",IF($G218="Perdido","Perdido","Aberto")))</f>
        <v/>
      </c>
      <c r="Q218" s="18">
        <f>IF(OR($C218="",$P218&lt;&gt;"Aberto"),"",IF($I218="",Hoje-$B218,Hoje-$I218))</f>
        <v/>
      </c>
      <c r="R218" s="22">
        <f>IF(OR($C218="",$P218&lt;&gt;"Aberto"),"",IF($J218="",IF($Q218&gt;DiasSC,"ATRASADO","Definir data"),IF($J218&lt;Hoje,"ATRASADO",IF($J218=Hoje,"HOJE","Em dia"))))</f>
        <v/>
      </c>
      <c r="S218" s="23">
        <f>IF($R218="","",IF(OR($R218="ATRASADO",$R218="HOJE",$R218="Definir data"),COUNTIF($R$5:$R218,"ATRASADO")+COUNTIF($R$5:$R218,"HOJE")+COUNTIF($R$5:$R218,"Definir data"),""))</f>
        <v/>
      </c>
      <c r="T218" s="18">
        <f>IF($C218="","",IF(OR($B218="",$E218="",$F218="",$G218=""),"Preencher entrada/origem/vendedor/etapa",IF(AND(OR($P218="Ganho",$P218="Perdido"),$K218=""),"Falta data de fechamento",IF(AND($P218="Perdido",$L218=""),"Informe o motivo da perda","OK"))))</f>
        <v/>
      </c>
    </row>
    <row r="219" spans="1:20">
      <c r="A219" s="18">
        <f>IF($C219="","",ROW()-4)</f>
        <v/>
      </c>
      <c r="B219" s="19"/>
      <c r="C219" s="13"/>
      <c r="D219" s="13"/>
      <c r="E219" s="13"/>
      <c r="F219" s="13"/>
      <c r="G219" s="13"/>
      <c r="H219" s="15"/>
      <c r="I219" s="19"/>
      <c r="J219" s="19"/>
      <c r="K219" s="19"/>
      <c r="L219" s="13"/>
      <c r="M219" s="13"/>
      <c r="N219" s="20">
        <f>IF($C219="","",IFERROR(INDEX(EtapaProb,MATCH($G219,Etapas,0)),0))</f>
        <v/>
      </c>
      <c r="O219" s="21">
        <f>IF($C219="","",IF($P219="Aberto",N($H219)*$N219,0))</f>
        <v/>
      </c>
      <c r="P219" s="18">
        <f>IF($C219="","",IF($G219="Ganho","Ganho",IF($G219="Perdido","Perdido","Aberto")))</f>
        <v/>
      </c>
      <c r="Q219" s="18">
        <f>IF(OR($C219="",$P219&lt;&gt;"Aberto"),"",IF($I219="",Hoje-$B219,Hoje-$I219))</f>
        <v/>
      </c>
      <c r="R219" s="22">
        <f>IF(OR($C219="",$P219&lt;&gt;"Aberto"),"",IF($J219="",IF($Q219&gt;DiasSC,"ATRASADO","Definir data"),IF($J219&lt;Hoje,"ATRASADO",IF($J219=Hoje,"HOJE","Em dia"))))</f>
        <v/>
      </c>
      <c r="S219" s="23">
        <f>IF($R219="","",IF(OR($R219="ATRASADO",$R219="HOJE",$R219="Definir data"),COUNTIF($R$5:$R219,"ATRASADO")+COUNTIF($R$5:$R219,"HOJE")+COUNTIF($R$5:$R219,"Definir data"),""))</f>
        <v/>
      </c>
      <c r="T219" s="18">
        <f>IF($C219="","",IF(OR($B219="",$E219="",$F219="",$G219=""),"Preencher entrada/origem/vendedor/etapa",IF(AND(OR($P219="Ganho",$P219="Perdido"),$K219=""),"Falta data de fechamento",IF(AND($P219="Perdido",$L219=""),"Informe o motivo da perda","OK"))))</f>
        <v/>
      </c>
    </row>
    <row r="220" spans="1:20">
      <c r="A220" s="18">
        <f>IF($C220="","",ROW()-4)</f>
        <v/>
      </c>
      <c r="B220" s="19"/>
      <c r="C220" s="13"/>
      <c r="D220" s="13"/>
      <c r="E220" s="13"/>
      <c r="F220" s="13"/>
      <c r="G220" s="13"/>
      <c r="H220" s="15"/>
      <c r="I220" s="19"/>
      <c r="J220" s="19"/>
      <c r="K220" s="19"/>
      <c r="L220" s="13"/>
      <c r="M220" s="13"/>
      <c r="N220" s="20">
        <f>IF($C220="","",IFERROR(INDEX(EtapaProb,MATCH($G220,Etapas,0)),0))</f>
        <v/>
      </c>
      <c r="O220" s="21">
        <f>IF($C220="","",IF($P220="Aberto",N($H220)*$N220,0))</f>
        <v/>
      </c>
      <c r="P220" s="18">
        <f>IF($C220="","",IF($G220="Ganho","Ganho",IF($G220="Perdido","Perdido","Aberto")))</f>
        <v/>
      </c>
      <c r="Q220" s="18">
        <f>IF(OR($C220="",$P220&lt;&gt;"Aberto"),"",IF($I220="",Hoje-$B220,Hoje-$I220))</f>
        <v/>
      </c>
      <c r="R220" s="22">
        <f>IF(OR($C220="",$P220&lt;&gt;"Aberto"),"",IF($J220="",IF($Q220&gt;DiasSC,"ATRASADO","Definir data"),IF($J220&lt;Hoje,"ATRASADO",IF($J220=Hoje,"HOJE","Em dia"))))</f>
        <v/>
      </c>
      <c r="S220" s="23">
        <f>IF($R220="","",IF(OR($R220="ATRASADO",$R220="HOJE",$R220="Definir data"),COUNTIF($R$5:$R220,"ATRASADO")+COUNTIF($R$5:$R220,"HOJE")+COUNTIF($R$5:$R220,"Definir data"),""))</f>
        <v/>
      </c>
      <c r="T220" s="18">
        <f>IF($C220="","",IF(OR($B220="",$E220="",$F220="",$G220=""),"Preencher entrada/origem/vendedor/etapa",IF(AND(OR($P220="Ganho",$P220="Perdido"),$K220=""),"Falta data de fechamento",IF(AND($P220="Perdido",$L220=""),"Informe o motivo da perda","OK"))))</f>
        <v/>
      </c>
    </row>
    <row r="221" spans="1:20">
      <c r="A221" s="18">
        <f>IF($C221="","",ROW()-4)</f>
        <v/>
      </c>
      <c r="B221" s="19"/>
      <c r="C221" s="13"/>
      <c r="D221" s="13"/>
      <c r="E221" s="13"/>
      <c r="F221" s="13"/>
      <c r="G221" s="13"/>
      <c r="H221" s="15"/>
      <c r="I221" s="19"/>
      <c r="J221" s="19"/>
      <c r="K221" s="19"/>
      <c r="L221" s="13"/>
      <c r="M221" s="13"/>
      <c r="N221" s="20">
        <f>IF($C221="","",IFERROR(INDEX(EtapaProb,MATCH($G221,Etapas,0)),0))</f>
        <v/>
      </c>
      <c r="O221" s="21">
        <f>IF($C221="","",IF($P221="Aberto",N($H221)*$N221,0))</f>
        <v/>
      </c>
      <c r="P221" s="18">
        <f>IF($C221="","",IF($G221="Ganho","Ganho",IF($G221="Perdido","Perdido","Aberto")))</f>
        <v/>
      </c>
      <c r="Q221" s="18">
        <f>IF(OR($C221="",$P221&lt;&gt;"Aberto"),"",IF($I221="",Hoje-$B221,Hoje-$I221))</f>
        <v/>
      </c>
      <c r="R221" s="22">
        <f>IF(OR($C221="",$P221&lt;&gt;"Aberto"),"",IF($J221="",IF($Q221&gt;DiasSC,"ATRASADO","Definir data"),IF($J221&lt;Hoje,"ATRASADO",IF($J221=Hoje,"HOJE","Em dia"))))</f>
        <v/>
      </c>
      <c r="S221" s="23">
        <f>IF($R221="","",IF(OR($R221="ATRASADO",$R221="HOJE",$R221="Definir data"),COUNTIF($R$5:$R221,"ATRASADO")+COUNTIF($R$5:$R221,"HOJE")+COUNTIF($R$5:$R221,"Definir data"),""))</f>
        <v/>
      </c>
      <c r="T221" s="18">
        <f>IF($C221="","",IF(OR($B221="",$E221="",$F221="",$G221=""),"Preencher entrada/origem/vendedor/etapa",IF(AND(OR($P221="Ganho",$P221="Perdido"),$K221=""),"Falta data de fechamento",IF(AND($P221="Perdido",$L221=""),"Informe o motivo da perda","OK"))))</f>
        <v/>
      </c>
    </row>
    <row r="222" spans="1:20">
      <c r="A222" s="18">
        <f>IF($C222="","",ROW()-4)</f>
        <v/>
      </c>
      <c r="B222" s="19"/>
      <c r="C222" s="13"/>
      <c r="D222" s="13"/>
      <c r="E222" s="13"/>
      <c r="F222" s="13"/>
      <c r="G222" s="13"/>
      <c r="H222" s="15"/>
      <c r="I222" s="19"/>
      <c r="J222" s="19"/>
      <c r="K222" s="19"/>
      <c r="L222" s="13"/>
      <c r="M222" s="13"/>
      <c r="N222" s="20">
        <f>IF($C222="","",IFERROR(INDEX(EtapaProb,MATCH($G222,Etapas,0)),0))</f>
        <v/>
      </c>
      <c r="O222" s="21">
        <f>IF($C222="","",IF($P222="Aberto",N($H222)*$N222,0))</f>
        <v/>
      </c>
      <c r="P222" s="18">
        <f>IF($C222="","",IF($G222="Ganho","Ganho",IF($G222="Perdido","Perdido","Aberto")))</f>
        <v/>
      </c>
      <c r="Q222" s="18">
        <f>IF(OR($C222="",$P222&lt;&gt;"Aberto"),"",IF($I222="",Hoje-$B222,Hoje-$I222))</f>
        <v/>
      </c>
      <c r="R222" s="22">
        <f>IF(OR($C222="",$P222&lt;&gt;"Aberto"),"",IF($J222="",IF($Q222&gt;DiasSC,"ATRASADO","Definir data"),IF($J222&lt;Hoje,"ATRASADO",IF($J222=Hoje,"HOJE","Em dia"))))</f>
        <v/>
      </c>
      <c r="S222" s="23">
        <f>IF($R222="","",IF(OR($R222="ATRASADO",$R222="HOJE",$R222="Definir data"),COUNTIF($R$5:$R222,"ATRASADO")+COUNTIF($R$5:$R222,"HOJE")+COUNTIF($R$5:$R222,"Definir data"),""))</f>
        <v/>
      </c>
      <c r="T222" s="18">
        <f>IF($C222="","",IF(OR($B222="",$E222="",$F222="",$G222=""),"Preencher entrada/origem/vendedor/etapa",IF(AND(OR($P222="Ganho",$P222="Perdido"),$K222=""),"Falta data de fechamento",IF(AND($P222="Perdido",$L222=""),"Informe o motivo da perda","OK"))))</f>
        <v/>
      </c>
    </row>
    <row r="223" spans="1:20">
      <c r="A223" s="18">
        <f>IF($C223="","",ROW()-4)</f>
        <v/>
      </c>
      <c r="B223" s="19"/>
      <c r="C223" s="13"/>
      <c r="D223" s="13"/>
      <c r="E223" s="13"/>
      <c r="F223" s="13"/>
      <c r="G223" s="13"/>
      <c r="H223" s="15"/>
      <c r="I223" s="19"/>
      <c r="J223" s="19"/>
      <c r="K223" s="19"/>
      <c r="L223" s="13"/>
      <c r="M223" s="13"/>
      <c r="N223" s="20">
        <f>IF($C223="","",IFERROR(INDEX(EtapaProb,MATCH($G223,Etapas,0)),0))</f>
        <v/>
      </c>
      <c r="O223" s="21">
        <f>IF($C223="","",IF($P223="Aberto",N($H223)*$N223,0))</f>
        <v/>
      </c>
      <c r="P223" s="18">
        <f>IF($C223="","",IF($G223="Ganho","Ganho",IF($G223="Perdido","Perdido","Aberto")))</f>
        <v/>
      </c>
      <c r="Q223" s="18">
        <f>IF(OR($C223="",$P223&lt;&gt;"Aberto"),"",IF($I223="",Hoje-$B223,Hoje-$I223))</f>
        <v/>
      </c>
      <c r="R223" s="22">
        <f>IF(OR($C223="",$P223&lt;&gt;"Aberto"),"",IF($J223="",IF($Q223&gt;DiasSC,"ATRASADO","Definir data"),IF($J223&lt;Hoje,"ATRASADO",IF($J223=Hoje,"HOJE","Em dia"))))</f>
        <v/>
      </c>
      <c r="S223" s="23">
        <f>IF($R223="","",IF(OR($R223="ATRASADO",$R223="HOJE",$R223="Definir data"),COUNTIF($R$5:$R223,"ATRASADO")+COUNTIF($R$5:$R223,"HOJE")+COUNTIF($R$5:$R223,"Definir data"),""))</f>
        <v/>
      </c>
      <c r="T223" s="18">
        <f>IF($C223="","",IF(OR($B223="",$E223="",$F223="",$G223=""),"Preencher entrada/origem/vendedor/etapa",IF(AND(OR($P223="Ganho",$P223="Perdido"),$K223=""),"Falta data de fechamento",IF(AND($P223="Perdido",$L223=""),"Informe o motivo da perda","OK"))))</f>
        <v/>
      </c>
    </row>
    <row r="224" spans="1:20">
      <c r="A224" s="18">
        <f>IF($C224="","",ROW()-4)</f>
        <v/>
      </c>
      <c r="B224" s="19"/>
      <c r="C224" s="13"/>
      <c r="D224" s="13"/>
      <c r="E224" s="13"/>
      <c r="F224" s="13"/>
      <c r="G224" s="13"/>
      <c r="H224" s="15"/>
      <c r="I224" s="19"/>
      <c r="J224" s="19"/>
      <c r="K224" s="19"/>
      <c r="L224" s="13"/>
      <c r="M224" s="13"/>
      <c r="N224" s="20">
        <f>IF($C224="","",IFERROR(INDEX(EtapaProb,MATCH($G224,Etapas,0)),0))</f>
        <v/>
      </c>
      <c r="O224" s="21">
        <f>IF($C224="","",IF($P224="Aberto",N($H224)*$N224,0))</f>
        <v/>
      </c>
      <c r="P224" s="18">
        <f>IF($C224="","",IF($G224="Ganho","Ganho",IF($G224="Perdido","Perdido","Aberto")))</f>
        <v/>
      </c>
      <c r="Q224" s="18">
        <f>IF(OR($C224="",$P224&lt;&gt;"Aberto"),"",IF($I224="",Hoje-$B224,Hoje-$I224))</f>
        <v/>
      </c>
      <c r="R224" s="22">
        <f>IF(OR($C224="",$P224&lt;&gt;"Aberto"),"",IF($J224="",IF($Q224&gt;DiasSC,"ATRASADO","Definir data"),IF($J224&lt;Hoje,"ATRASADO",IF($J224=Hoje,"HOJE","Em dia"))))</f>
        <v/>
      </c>
      <c r="S224" s="23">
        <f>IF($R224="","",IF(OR($R224="ATRASADO",$R224="HOJE",$R224="Definir data"),COUNTIF($R$5:$R224,"ATRASADO")+COUNTIF($R$5:$R224,"HOJE")+COUNTIF($R$5:$R224,"Definir data"),""))</f>
        <v/>
      </c>
      <c r="T224" s="18">
        <f>IF($C224="","",IF(OR($B224="",$E224="",$F224="",$G224=""),"Preencher entrada/origem/vendedor/etapa",IF(AND(OR($P224="Ganho",$P224="Perdido"),$K224=""),"Falta data de fechamento",IF(AND($P224="Perdido",$L224=""),"Informe o motivo da perda","OK"))))</f>
        <v/>
      </c>
    </row>
    <row r="225" spans="1:20">
      <c r="A225" s="18">
        <f>IF($C225="","",ROW()-4)</f>
        <v/>
      </c>
      <c r="B225" s="19"/>
      <c r="C225" s="13"/>
      <c r="D225" s="13"/>
      <c r="E225" s="13"/>
      <c r="F225" s="13"/>
      <c r="G225" s="13"/>
      <c r="H225" s="15"/>
      <c r="I225" s="19"/>
      <c r="J225" s="19"/>
      <c r="K225" s="19"/>
      <c r="L225" s="13"/>
      <c r="M225" s="13"/>
      <c r="N225" s="20">
        <f>IF($C225="","",IFERROR(INDEX(EtapaProb,MATCH($G225,Etapas,0)),0))</f>
        <v/>
      </c>
      <c r="O225" s="21">
        <f>IF($C225="","",IF($P225="Aberto",N($H225)*$N225,0))</f>
        <v/>
      </c>
      <c r="P225" s="18">
        <f>IF($C225="","",IF($G225="Ganho","Ganho",IF($G225="Perdido","Perdido","Aberto")))</f>
        <v/>
      </c>
      <c r="Q225" s="18">
        <f>IF(OR($C225="",$P225&lt;&gt;"Aberto"),"",IF($I225="",Hoje-$B225,Hoje-$I225))</f>
        <v/>
      </c>
      <c r="R225" s="22">
        <f>IF(OR($C225="",$P225&lt;&gt;"Aberto"),"",IF($J225="",IF($Q225&gt;DiasSC,"ATRASADO","Definir data"),IF($J225&lt;Hoje,"ATRASADO",IF($J225=Hoje,"HOJE","Em dia"))))</f>
        <v/>
      </c>
      <c r="S225" s="23">
        <f>IF($R225="","",IF(OR($R225="ATRASADO",$R225="HOJE",$R225="Definir data"),COUNTIF($R$5:$R225,"ATRASADO")+COUNTIF($R$5:$R225,"HOJE")+COUNTIF($R$5:$R225,"Definir data"),""))</f>
        <v/>
      </c>
      <c r="T225" s="18">
        <f>IF($C225="","",IF(OR($B225="",$E225="",$F225="",$G225=""),"Preencher entrada/origem/vendedor/etapa",IF(AND(OR($P225="Ganho",$P225="Perdido"),$K225=""),"Falta data de fechamento",IF(AND($P225="Perdido",$L225=""),"Informe o motivo da perda","OK"))))</f>
        <v/>
      </c>
    </row>
    <row r="226" spans="1:20">
      <c r="A226" s="18">
        <f>IF($C226="","",ROW()-4)</f>
        <v/>
      </c>
      <c r="B226" s="19"/>
      <c r="C226" s="13"/>
      <c r="D226" s="13"/>
      <c r="E226" s="13"/>
      <c r="F226" s="13"/>
      <c r="G226" s="13"/>
      <c r="H226" s="15"/>
      <c r="I226" s="19"/>
      <c r="J226" s="19"/>
      <c r="K226" s="19"/>
      <c r="L226" s="13"/>
      <c r="M226" s="13"/>
      <c r="N226" s="20">
        <f>IF($C226="","",IFERROR(INDEX(EtapaProb,MATCH($G226,Etapas,0)),0))</f>
        <v/>
      </c>
      <c r="O226" s="21">
        <f>IF($C226="","",IF($P226="Aberto",N($H226)*$N226,0))</f>
        <v/>
      </c>
      <c r="P226" s="18">
        <f>IF($C226="","",IF($G226="Ganho","Ganho",IF($G226="Perdido","Perdido","Aberto")))</f>
        <v/>
      </c>
      <c r="Q226" s="18">
        <f>IF(OR($C226="",$P226&lt;&gt;"Aberto"),"",IF($I226="",Hoje-$B226,Hoje-$I226))</f>
        <v/>
      </c>
      <c r="R226" s="22">
        <f>IF(OR($C226="",$P226&lt;&gt;"Aberto"),"",IF($J226="",IF($Q226&gt;DiasSC,"ATRASADO","Definir data"),IF($J226&lt;Hoje,"ATRASADO",IF($J226=Hoje,"HOJE","Em dia"))))</f>
        <v/>
      </c>
      <c r="S226" s="23">
        <f>IF($R226="","",IF(OR($R226="ATRASADO",$R226="HOJE",$R226="Definir data"),COUNTIF($R$5:$R226,"ATRASADO")+COUNTIF($R$5:$R226,"HOJE")+COUNTIF($R$5:$R226,"Definir data"),""))</f>
        <v/>
      </c>
      <c r="T226" s="18">
        <f>IF($C226="","",IF(OR($B226="",$E226="",$F226="",$G226=""),"Preencher entrada/origem/vendedor/etapa",IF(AND(OR($P226="Ganho",$P226="Perdido"),$K226=""),"Falta data de fechamento",IF(AND($P226="Perdido",$L226=""),"Informe o motivo da perda","OK"))))</f>
        <v/>
      </c>
    </row>
    <row r="227" spans="1:20">
      <c r="A227" s="18">
        <f>IF($C227="","",ROW()-4)</f>
        <v/>
      </c>
      <c r="B227" s="19"/>
      <c r="C227" s="13"/>
      <c r="D227" s="13"/>
      <c r="E227" s="13"/>
      <c r="F227" s="13"/>
      <c r="G227" s="13"/>
      <c r="H227" s="15"/>
      <c r="I227" s="19"/>
      <c r="J227" s="19"/>
      <c r="K227" s="19"/>
      <c r="L227" s="13"/>
      <c r="M227" s="13"/>
      <c r="N227" s="20">
        <f>IF($C227="","",IFERROR(INDEX(EtapaProb,MATCH($G227,Etapas,0)),0))</f>
        <v/>
      </c>
      <c r="O227" s="21">
        <f>IF($C227="","",IF($P227="Aberto",N($H227)*$N227,0))</f>
        <v/>
      </c>
      <c r="P227" s="18">
        <f>IF($C227="","",IF($G227="Ganho","Ganho",IF($G227="Perdido","Perdido","Aberto")))</f>
        <v/>
      </c>
      <c r="Q227" s="18">
        <f>IF(OR($C227="",$P227&lt;&gt;"Aberto"),"",IF($I227="",Hoje-$B227,Hoje-$I227))</f>
        <v/>
      </c>
      <c r="R227" s="22">
        <f>IF(OR($C227="",$P227&lt;&gt;"Aberto"),"",IF($J227="",IF($Q227&gt;DiasSC,"ATRASADO","Definir data"),IF($J227&lt;Hoje,"ATRASADO",IF($J227=Hoje,"HOJE","Em dia"))))</f>
        <v/>
      </c>
      <c r="S227" s="23">
        <f>IF($R227="","",IF(OR($R227="ATRASADO",$R227="HOJE",$R227="Definir data"),COUNTIF($R$5:$R227,"ATRASADO")+COUNTIF($R$5:$R227,"HOJE")+COUNTIF($R$5:$R227,"Definir data"),""))</f>
        <v/>
      </c>
      <c r="T227" s="18">
        <f>IF($C227="","",IF(OR($B227="",$E227="",$F227="",$G227=""),"Preencher entrada/origem/vendedor/etapa",IF(AND(OR($P227="Ganho",$P227="Perdido"),$K227=""),"Falta data de fechamento",IF(AND($P227="Perdido",$L227=""),"Informe o motivo da perda","OK"))))</f>
        <v/>
      </c>
    </row>
    <row r="228" spans="1:20">
      <c r="A228" s="18">
        <f>IF($C228="","",ROW()-4)</f>
        <v/>
      </c>
      <c r="B228" s="19"/>
      <c r="C228" s="13"/>
      <c r="D228" s="13"/>
      <c r="E228" s="13"/>
      <c r="F228" s="13"/>
      <c r="G228" s="13"/>
      <c r="H228" s="15"/>
      <c r="I228" s="19"/>
      <c r="J228" s="19"/>
      <c r="K228" s="19"/>
      <c r="L228" s="13"/>
      <c r="M228" s="13"/>
      <c r="N228" s="20">
        <f>IF($C228="","",IFERROR(INDEX(EtapaProb,MATCH($G228,Etapas,0)),0))</f>
        <v/>
      </c>
      <c r="O228" s="21">
        <f>IF($C228="","",IF($P228="Aberto",N($H228)*$N228,0))</f>
        <v/>
      </c>
      <c r="P228" s="18">
        <f>IF($C228="","",IF($G228="Ganho","Ganho",IF($G228="Perdido","Perdido","Aberto")))</f>
        <v/>
      </c>
      <c r="Q228" s="18">
        <f>IF(OR($C228="",$P228&lt;&gt;"Aberto"),"",IF($I228="",Hoje-$B228,Hoje-$I228))</f>
        <v/>
      </c>
      <c r="R228" s="22">
        <f>IF(OR($C228="",$P228&lt;&gt;"Aberto"),"",IF($J228="",IF($Q228&gt;DiasSC,"ATRASADO","Definir data"),IF($J228&lt;Hoje,"ATRASADO",IF($J228=Hoje,"HOJE","Em dia"))))</f>
        <v/>
      </c>
      <c r="S228" s="23">
        <f>IF($R228="","",IF(OR($R228="ATRASADO",$R228="HOJE",$R228="Definir data"),COUNTIF($R$5:$R228,"ATRASADO")+COUNTIF($R$5:$R228,"HOJE")+COUNTIF($R$5:$R228,"Definir data"),""))</f>
        <v/>
      </c>
      <c r="T228" s="18">
        <f>IF($C228="","",IF(OR($B228="",$E228="",$F228="",$G228=""),"Preencher entrada/origem/vendedor/etapa",IF(AND(OR($P228="Ganho",$P228="Perdido"),$K228=""),"Falta data de fechamento",IF(AND($P228="Perdido",$L228=""),"Informe o motivo da perda","OK"))))</f>
        <v/>
      </c>
    </row>
    <row r="229" spans="1:20">
      <c r="A229" s="18">
        <f>IF($C229="","",ROW()-4)</f>
        <v/>
      </c>
      <c r="B229" s="19"/>
      <c r="C229" s="13"/>
      <c r="D229" s="13"/>
      <c r="E229" s="13"/>
      <c r="F229" s="13"/>
      <c r="G229" s="13"/>
      <c r="H229" s="15"/>
      <c r="I229" s="19"/>
      <c r="J229" s="19"/>
      <c r="K229" s="19"/>
      <c r="L229" s="13"/>
      <c r="M229" s="13"/>
      <c r="N229" s="20">
        <f>IF($C229="","",IFERROR(INDEX(EtapaProb,MATCH($G229,Etapas,0)),0))</f>
        <v/>
      </c>
      <c r="O229" s="21">
        <f>IF($C229="","",IF($P229="Aberto",N($H229)*$N229,0))</f>
        <v/>
      </c>
      <c r="P229" s="18">
        <f>IF($C229="","",IF($G229="Ganho","Ganho",IF($G229="Perdido","Perdido","Aberto")))</f>
        <v/>
      </c>
      <c r="Q229" s="18">
        <f>IF(OR($C229="",$P229&lt;&gt;"Aberto"),"",IF($I229="",Hoje-$B229,Hoje-$I229))</f>
        <v/>
      </c>
      <c r="R229" s="22">
        <f>IF(OR($C229="",$P229&lt;&gt;"Aberto"),"",IF($J229="",IF($Q229&gt;DiasSC,"ATRASADO","Definir data"),IF($J229&lt;Hoje,"ATRASADO",IF($J229=Hoje,"HOJE","Em dia"))))</f>
        <v/>
      </c>
      <c r="S229" s="23">
        <f>IF($R229="","",IF(OR($R229="ATRASADO",$R229="HOJE",$R229="Definir data"),COUNTIF($R$5:$R229,"ATRASADO")+COUNTIF($R$5:$R229,"HOJE")+COUNTIF($R$5:$R229,"Definir data"),""))</f>
        <v/>
      </c>
      <c r="T229" s="18">
        <f>IF($C229="","",IF(OR($B229="",$E229="",$F229="",$G229=""),"Preencher entrada/origem/vendedor/etapa",IF(AND(OR($P229="Ganho",$P229="Perdido"),$K229=""),"Falta data de fechamento",IF(AND($P229="Perdido",$L229=""),"Informe o motivo da perda","OK"))))</f>
        <v/>
      </c>
    </row>
    <row r="230" spans="1:20">
      <c r="A230" s="18">
        <f>IF($C230="","",ROW()-4)</f>
        <v/>
      </c>
      <c r="B230" s="19"/>
      <c r="C230" s="13"/>
      <c r="D230" s="13"/>
      <c r="E230" s="13"/>
      <c r="F230" s="13"/>
      <c r="G230" s="13"/>
      <c r="H230" s="15"/>
      <c r="I230" s="19"/>
      <c r="J230" s="19"/>
      <c r="K230" s="19"/>
      <c r="L230" s="13"/>
      <c r="M230" s="13"/>
      <c r="N230" s="20">
        <f>IF($C230="","",IFERROR(INDEX(EtapaProb,MATCH($G230,Etapas,0)),0))</f>
        <v/>
      </c>
      <c r="O230" s="21">
        <f>IF($C230="","",IF($P230="Aberto",N($H230)*$N230,0))</f>
        <v/>
      </c>
      <c r="P230" s="18">
        <f>IF($C230="","",IF($G230="Ganho","Ganho",IF($G230="Perdido","Perdido","Aberto")))</f>
        <v/>
      </c>
      <c r="Q230" s="18">
        <f>IF(OR($C230="",$P230&lt;&gt;"Aberto"),"",IF($I230="",Hoje-$B230,Hoje-$I230))</f>
        <v/>
      </c>
      <c r="R230" s="22">
        <f>IF(OR($C230="",$P230&lt;&gt;"Aberto"),"",IF($J230="",IF($Q230&gt;DiasSC,"ATRASADO","Definir data"),IF($J230&lt;Hoje,"ATRASADO",IF($J230=Hoje,"HOJE","Em dia"))))</f>
        <v/>
      </c>
      <c r="S230" s="23">
        <f>IF($R230="","",IF(OR($R230="ATRASADO",$R230="HOJE",$R230="Definir data"),COUNTIF($R$5:$R230,"ATRASADO")+COUNTIF($R$5:$R230,"HOJE")+COUNTIF($R$5:$R230,"Definir data"),""))</f>
        <v/>
      </c>
      <c r="T230" s="18">
        <f>IF($C230="","",IF(OR($B230="",$E230="",$F230="",$G230=""),"Preencher entrada/origem/vendedor/etapa",IF(AND(OR($P230="Ganho",$P230="Perdido"),$K230=""),"Falta data de fechamento",IF(AND($P230="Perdido",$L230=""),"Informe o motivo da perda","OK"))))</f>
        <v/>
      </c>
    </row>
    <row r="231" spans="1:20">
      <c r="A231" s="18">
        <f>IF($C231="","",ROW()-4)</f>
        <v/>
      </c>
      <c r="B231" s="19"/>
      <c r="C231" s="13"/>
      <c r="D231" s="13"/>
      <c r="E231" s="13"/>
      <c r="F231" s="13"/>
      <c r="G231" s="13"/>
      <c r="H231" s="15"/>
      <c r="I231" s="19"/>
      <c r="J231" s="19"/>
      <c r="K231" s="19"/>
      <c r="L231" s="13"/>
      <c r="M231" s="13"/>
      <c r="N231" s="20">
        <f>IF($C231="","",IFERROR(INDEX(EtapaProb,MATCH($G231,Etapas,0)),0))</f>
        <v/>
      </c>
      <c r="O231" s="21">
        <f>IF($C231="","",IF($P231="Aberto",N($H231)*$N231,0))</f>
        <v/>
      </c>
      <c r="P231" s="18">
        <f>IF($C231="","",IF($G231="Ganho","Ganho",IF($G231="Perdido","Perdido","Aberto")))</f>
        <v/>
      </c>
      <c r="Q231" s="18">
        <f>IF(OR($C231="",$P231&lt;&gt;"Aberto"),"",IF($I231="",Hoje-$B231,Hoje-$I231))</f>
        <v/>
      </c>
      <c r="R231" s="22">
        <f>IF(OR($C231="",$P231&lt;&gt;"Aberto"),"",IF($J231="",IF($Q231&gt;DiasSC,"ATRASADO","Definir data"),IF($J231&lt;Hoje,"ATRASADO",IF($J231=Hoje,"HOJE","Em dia"))))</f>
        <v/>
      </c>
      <c r="S231" s="23">
        <f>IF($R231="","",IF(OR($R231="ATRASADO",$R231="HOJE",$R231="Definir data"),COUNTIF($R$5:$R231,"ATRASADO")+COUNTIF($R$5:$R231,"HOJE")+COUNTIF($R$5:$R231,"Definir data"),""))</f>
        <v/>
      </c>
      <c r="T231" s="18">
        <f>IF($C231="","",IF(OR($B231="",$E231="",$F231="",$G231=""),"Preencher entrada/origem/vendedor/etapa",IF(AND(OR($P231="Ganho",$P231="Perdido"),$K231=""),"Falta data de fechamento",IF(AND($P231="Perdido",$L231=""),"Informe o motivo da perda","OK"))))</f>
        <v/>
      </c>
    </row>
    <row r="232" spans="1:20">
      <c r="A232" s="18">
        <f>IF($C232="","",ROW()-4)</f>
        <v/>
      </c>
      <c r="B232" s="19"/>
      <c r="C232" s="13"/>
      <c r="D232" s="13"/>
      <c r="E232" s="13"/>
      <c r="F232" s="13"/>
      <c r="G232" s="13"/>
      <c r="H232" s="15"/>
      <c r="I232" s="19"/>
      <c r="J232" s="19"/>
      <c r="K232" s="19"/>
      <c r="L232" s="13"/>
      <c r="M232" s="13"/>
      <c r="N232" s="20">
        <f>IF($C232="","",IFERROR(INDEX(EtapaProb,MATCH($G232,Etapas,0)),0))</f>
        <v/>
      </c>
      <c r="O232" s="21">
        <f>IF($C232="","",IF($P232="Aberto",N($H232)*$N232,0))</f>
        <v/>
      </c>
      <c r="P232" s="18">
        <f>IF($C232="","",IF($G232="Ganho","Ganho",IF($G232="Perdido","Perdido","Aberto")))</f>
        <v/>
      </c>
      <c r="Q232" s="18">
        <f>IF(OR($C232="",$P232&lt;&gt;"Aberto"),"",IF($I232="",Hoje-$B232,Hoje-$I232))</f>
        <v/>
      </c>
      <c r="R232" s="22">
        <f>IF(OR($C232="",$P232&lt;&gt;"Aberto"),"",IF($J232="",IF($Q232&gt;DiasSC,"ATRASADO","Definir data"),IF($J232&lt;Hoje,"ATRASADO",IF($J232=Hoje,"HOJE","Em dia"))))</f>
        <v/>
      </c>
      <c r="S232" s="23">
        <f>IF($R232="","",IF(OR($R232="ATRASADO",$R232="HOJE",$R232="Definir data"),COUNTIF($R$5:$R232,"ATRASADO")+COUNTIF($R$5:$R232,"HOJE")+COUNTIF($R$5:$R232,"Definir data"),""))</f>
        <v/>
      </c>
      <c r="T232" s="18">
        <f>IF($C232="","",IF(OR($B232="",$E232="",$F232="",$G232=""),"Preencher entrada/origem/vendedor/etapa",IF(AND(OR($P232="Ganho",$P232="Perdido"),$K232=""),"Falta data de fechamento",IF(AND($P232="Perdido",$L232=""),"Informe o motivo da perda","OK"))))</f>
        <v/>
      </c>
    </row>
    <row r="233" spans="1:20">
      <c r="A233" s="18">
        <f>IF($C233="","",ROW()-4)</f>
        <v/>
      </c>
      <c r="B233" s="19"/>
      <c r="C233" s="13"/>
      <c r="D233" s="13"/>
      <c r="E233" s="13"/>
      <c r="F233" s="13"/>
      <c r="G233" s="13"/>
      <c r="H233" s="15"/>
      <c r="I233" s="19"/>
      <c r="J233" s="19"/>
      <c r="K233" s="19"/>
      <c r="L233" s="13"/>
      <c r="M233" s="13"/>
      <c r="N233" s="20">
        <f>IF($C233="","",IFERROR(INDEX(EtapaProb,MATCH($G233,Etapas,0)),0))</f>
        <v/>
      </c>
      <c r="O233" s="21">
        <f>IF($C233="","",IF($P233="Aberto",N($H233)*$N233,0))</f>
        <v/>
      </c>
      <c r="P233" s="18">
        <f>IF($C233="","",IF($G233="Ganho","Ganho",IF($G233="Perdido","Perdido","Aberto")))</f>
        <v/>
      </c>
      <c r="Q233" s="18">
        <f>IF(OR($C233="",$P233&lt;&gt;"Aberto"),"",IF($I233="",Hoje-$B233,Hoje-$I233))</f>
        <v/>
      </c>
      <c r="R233" s="22">
        <f>IF(OR($C233="",$P233&lt;&gt;"Aberto"),"",IF($J233="",IF($Q233&gt;DiasSC,"ATRASADO","Definir data"),IF($J233&lt;Hoje,"ATRASADO",IF($J233=Hoje,"HOJE","Em dia"))))</f>
        <v/>
      </c>
      <c r="S233" s="23">
        <f>IF($R233="","",IF(OR($R233="ATRASADO",$R233="HOJE",$R233="Definir data"),COUNTIF($R$5:$R233,"ATRASADO")+COUNTIF($R$5:$R233,"HOJE")+COUNTIF($R$5:$R233,"Definir data"),""))</f>
        <v/>
      </c>
      <c r="T233" s="18">
        <f>IF($C233="","",IF(OR($B233="",$E233="",$F233="",$G233=""),"Preencher entrada/origem/vendedor/etapa",IF(AND(OR($P233="Ganho",$P233="Perdido"),$K233=""),"Falta data de fechamento",IF(AND($P233="Perdido",$L233=""),"Informe o motivo da perda","OK"))))</f>
        <v/>
      </c>
    </row>
    <row r="234" spans="1:20">
      <c r="A234" s="18">
        <f>IF($C234="","",ROW()-4)</f>
        <v/>
      </c>
      <c r="B234" s="19"/>
      <c r="C234" s="13"/>
      <c r="D234" s="13"/>
      <c r="E234" s="13"/>
      <c r="F234" s="13"/>
      <c r="G234" s="13"/>
      <c r="H234" s="15"/>
      <c r="I234" s="19"/>
      <c r="J234" s="19"/>
      <c r="K234" s="19"/>
      <c r="L234" s="13"/>
      <c r="M234" s="13"/>
      <c r="N234" s="20">
        <f>IF($C234="","",IFERROR(INDEX(EtapaProb,MATCH($G234,Etapas,0)),0))</f>
        <v/>
      </c>
      <c r="O234" s="21">
        <f>IF($C234="","",IF($P234="Aberto",N($H234)*$N234,0))</f>
        <v/>
      </c>
      <c r="P234" s="18">
        <f>IF($C234="","",IF($G234="Ganho","Ganho",IF($G234="Perdido","Perdido","Aberto")))</f>
        <v/>
      </c>
      <c r="Q234" s="18">
        <f>IF(OR($C234="",$P234&lt;&gt;"Aberto"),"",IF($I234="",Hoje-$B234,Hoje-$I234))</f>
        <v/>
      </c>
      <c r="R234" s="22">
        <f>IF(OR($C234="",$P234&lt;&gt;"Aberto"),"",IF($J234="",IF($Q234&gt;DiasSC,"ATRASADO","Definir data"),IF($J234&lt;Hoje,"ATRASADO",IF($J234=Hoje,"HOJE","Em dia"))))</f>
        <v/>
      </c>
      <c r="S234" s="23">
        <f>IF($R234="","",IF(OR($R234="ATRASADO",$R234="HOJE",$R234="Definir data"),COUNTIF($R$5:$R234,"ATRASADO")+COUNTIF($R$5:$R234,"HOJE")+COUNTIF($R$5:$R234,"Definir data"),""))</f>
        <v/>
      </c>
      <c r="T234" s="18">
        <f>IF($C234="","",IF(OR($B234="",$E234="",$F234="",$G234=""),"Preencher entrada/origem/vendedor/etapa",IF(AND(OR($P234="Ganho",$P234="Perdido"),$K234=""),"Falta data de fechamento",IF(AND($P234="Perdido",$L234=""),"Informe o motivo da perda","OK"))))</f>
        <v/>
      </c>
    </row>
    <row r="235" spans="1:20">
      <c r="A235" s="18">
        <f>IF($C235="","",ROW()-4)</f>
        <v/>
      </c>
      <c r="B235" s="19"/>
      <c r="C235" s="13"/>
      <c r="D235" s="13"/>
      <c r="E235" s="13"/>
      <c r="F235" s="13"/>
      <c r="G235" s="13"/>
      <c r="H235" s="15"/>
      <c r="I235" s="19"/>
      <c r="J235" s="19"/>
      <c r="K235" s="19"/>
      <c r="L235" s="13"/>
      <c r="M235" s="13"/>
      <c r="N235" s="20">
        <f>IF($C235="","",IFERROR(INDEX(EtapaProb,MATCH($G235,Etapas,0)),0))</f>
        <v/>
      </c>
      <c r="O235" s="21">
        <f>IF($C235="","",IF($P235="Aberto",N($H235)*$N235,0))</f>
        <v/>
      </c>
      <c r="P235" s="18">
        <f>IF($C235="","",IF($G235="Ganho","Ganho",IF($G235="Perdido","Perdido","Aberto")))</f>
        <v/>
      </c>
      <c r="Q235" s="18">
        <f>IF(OR($C235="",$P235&lt;&gt;"Aberto"),"",IF($I235="",Hoje-$B235,Hoje-$I235))</f>
        <v/>
      </c>
      <c r="R235" s="22">
        <f>IF(OR($C235="",$P235&lt;&gt;"Aberto"),"",IF($J235="",IF($Q235&gt;DiasSC,"ATRASADO","Definir data"),IF($J235&lt;Hoje,"ATRASADO",IF($J235=Hoje,"HOJE","Em dia"))))</f>
        <v/>
      </c>
      <c r="S235" s="23">
        <f>IF($R235="","",IF(OR($R235="ATRASADO",$R235="HOJE",$R235="Definir data"),COUNTIF($R$5:$R235,"ATRASADO")+COUNTIF($R$5:$R235,"HOJE")+COUNTIF($R$5:$R235,"Definir data"),""))</f>
        <v/>
      </c>
      <c r="T235" s="18">
        <f>IF($C235="","",IF(OR($B235="",$E235="",$F235="",$G235=""),"Preencher entrada/origem/vendedor/etapa",IF(AND(OR($P235="Ganho",$P235="Perdido"),$K235=""),"Falta data de fechamento",IF(AND($P235="Perdido",$L235=""),"Informe o motivo da perda","OK"))))</f>
        <v/>
      </c>
    </row>
    <row r="236" spans="1:20">
      <c r="A236" s="18">
        <f>IF($C236="","",ROW()-4)</f>
        <v/>
      </c>
      <c r="B236" s="19"/>
      <c r="C236" s="13"/>
      <c r="D236" s="13"/>
      <c r="E236" s="13"/>
      <c r="F236" s="13"/>
      <c r="G236" s="13"/>
      <c r="H236" s="15"/>
      <c r="I236" s="19"/>
      <c r="J236" s="19"/>
      <c r="K236" s="19"/>
      <c r="L236" s="13"/>
      <c r="M236" s="13"/>
      <c r="N236" s="20">
        <f>IF($C236="","",IFERROR(INDEX(EtapaProb,MATCH($G236,Etapas,0)),0))</f>
        <v/>
      </c>
      <c r="O236" s="21">
        <f>IF($C236="","",IF($P236="Aberto",N($H236)*$N236,0))</f>
        <v/>
      </c>
      <c r="P236" s="18">
        <f>IF($C236="","",IF($G236="Ganho","Ganho",IF($G236="Perdido","Perdido","Aberto")))</f>
        <v/>
      </c>
      <c r="Q236" s="18">
        <f>IF(OR($C236="",$P236&lt;&gt;"Aberto"),"",IF($I236="",Hoje-$B236,Hoje-$I236))</f>
        <v/>
      </c>
      <c r="R236" s="22">
        <f>IF(OR($C236="",$P236&lt;&gt;"Aberto"),"",IF($J236="",IF($Q236&gt;DiasSC,"ATRASADO","Definir data"),IF($J236&lt;Hoje,"ATRASADO",IF($J236=Hoje,"HOJE","Em dia"))))</f>
        <v/>
      </c>
      <c r="S236" s="23">
        <f>IF($R236="","",IF(OR($R236="ATRASADO",$R236="HOJE",$R236="Definir data"),COUNTIF($R$5:$R236,"ATRASADO")+COUNTIF($R$5:$R236,"HOJE")+COUNTIF($R$5:$R236,"Definir data"),""))</f>
        <v/>
      </c>
      <c r="T236" s="18">
        <f>IF($C236="","",IF(OR($B236="",$E236="",$F236="",$G236=""),"Preencher entrada/origem/vendedor/etapa",IF(AND(OR($P236="Ganho",$P236="Perdido"),$K236=""),"Falta data de fechamento",IF(AND($P236="Perdido",$L236=""),"Informe o motivo da perda","OK"))))</f>
        <v/>
      </c>
    </row>
    <row r="237" spans="1:20">
      <c r="A237" s="18">
        <f>IF($C237="","",ROW()-4)</f>
        <v/>
      </c>
      <c r="B237" s="19"/>
      <c r="C237" s="13"/>
      <c r="D237" s="13"/>
      <c r="E237" s="13"/>
      <c r="F237" s="13"/>
      <c r="G237" s="13"/>
      <c r="H237" s="15"/>
      <c r="I237" s="19"/>
      <c r="J237" s="19"/>
      <c r="K237" s="19"/>
      <c r="L237" s="13"/>
      <c r="M237" s="13"/>
      <c r="N237" s="20">
        <f>IF($C237="","",IFERROR(INDEX(EtapaProb,MATCH($G237,Etapas,0)),0))</f>
        <v/>
      </c>
      <c r="O237" s="21">
        <f>IF($C237="","",IF($P237="Aberto",N($H237)*$N237,0))</f>
        <v/>
      </c>
      <c r="P237" s="18">
        <f>IF($C237="","",IF($G237="Ganho","Ganho",IF($G237="Perdido","Perdido","Aberto")))</f>
        <v/>
      </c>
      <c r="Q237" s="18">
        <f>IF(OR($C237="",$P237&lt;&gt;"Aberto"),"",IF($I237="",Hoje-$B237,Hoje-$I237))</f>
        <v/>
      </c>
      <c r="R237" s="22">
        <f>IF(OR($C237="",$P237&lt;&gt;"Aberto"),"",IF($J237="",IF($Q237&gt;DiasSC,"ATRASADO","Definir data"),IF($J237&lt;Hoje,"ATRASADO",IF($J237=Hoje,"HOJE","Em dia"))))</f>
        <v/>
      </c>
      <c r="S237" s="23">
        <f>IF($R237="","",IF(OR($R237="ATRASADO",$R237="HOJE",$R237="Definir data"),COUNTIF($R$5:$R237,"ATRASADO")+COUNTIF($R$5:$R237,"HOJE")+COUNTIF($R$5:$R237,"Definir data"),""))</f>
        <v/>
      </c>
      <c r="T237" s="18">
        <f>IF($C237="","",IF(OR($B237="",$E237="",$F237="",$G237=""),"Preencher entrada/origem/vendedor/etapa",IF(AND(OR($P237="Ganho",$P237="Perdido"),$K237=""),"Falta data de fechamento",IF(AND($P237="Perdido",$L237=""),"Informe o motivo da perda","OK"))))</f>
        <v/>
      </c>
    </row>
    <row r="238" spans="1:20">
      <c r="A238" s="18">
        <f>IF($C238="","",ROW()-4)</f>
        <v/>
      </c>
      <c r="B238" s="19"/>
      <c r="C238" s="13"/>
      <c r="D238" s="13"/>
      <c r="E238" s="13"/>
      <c r="F238" s="13"/>
      <c r="G238" s="13"/>
      <c r="H238" s="15"/>
      <c r="I238" s="19"/>
      <c r="J238" s="19"/>
      <c r="K238" s="19"/>
      <c r="L238" s="13"/>
      <c r="M238" s="13"/>
      <c r="N238" s="20">
        <f>IF($C238="","",IFERROR(INDEX(EtapaProb,MATCH($G238,Etapas,0)),0))</f>
        <v/>
      </c>
      <c r="O238" s="21">
        <f>IF($C238="","",IF($P238="Aberto",N($H238)*$N238,0))</f>
        <v/>
      </c>
      <c r="P238" s="18">
        <f>IF($C238="","",IF($G238="Ganho","Ganho",IF($G238="Perdido","Perdido","Aberto")))</f>
        <v/>
      </c>
      <c r="Q238" s="18">
        <f>IF(OR($C238="",$P238&lt;&gt;"Aberto"),"",IF($I238="",Hoje-$B238,Hoje-$I238))</f>
        <v/>
      </c>
      <c r="R238" s="22">
        <f>IF(OR($C238="",$P238&lt;&gt;"Aberto"),"",IF($J238="",IF($Q238&gt;DiasSC,"ATRASADO","Definir data"),IF($J238&lt;Hoje,"ATRASADO",IF($J238=Hoje,"HOJE","Em dia"))))</f>
        <v/>
      </c>
      <c r="S238" s="23">
        <f>IF($R238="","",IF(OR($R238="ATRASADO",$R238="HOJE",$R238="Definir data"),COUNTIF($R$5:$R238,"ATRASADO")+COUNTIF($R$5:$R238,"HOJE")+COUNTIF($R$5:$R238,"Definir data"),""))</f>
        <v/>
      </c>
      <c r="T238" s="18">
        <f>IF($C238="","",IF(OR($B238="",$E238="",$F238="",$G238=""),"Preencher entrada/origem/vendedor/etapa",IF(AND(OR($P238="Ganho",$P238="Perdido"),$K238=""),"Falta data de fechamento",IF(AND($P238="Perdido",$L238=""),"Informe o motivo da perda","OK"))))</f>
        <v/>
      </c>
    </row>
    <row r="239" spans="1:20">
      <c r="A239" s="18">
        <f>IF($C239="","",ROW()-4)</f>
        <v/>
      </c>
      <c r="B239" s="19"/>
      <c r="C239" s="13"/>
      <c r="D239" s="13"/>
      <c r="E239" s="13"/>
      <c r="F239" s="13"/>
      <c r="G239" s="13"/>
      <c r="H239" s="15"/>
      <c r="I239" s="19"/>
      <c r="J239" s="19"/>
      <c r="K239" s="19"/>
      <c r="L239" s="13"/>
      <c r="M239" s="13"/>
      <c r="N239" s="20">
        <f>IF($C239="","",IFERROR(INDEX(EtapaProb,MATCH($G239,Etapas,0)),0))</f>
        <v/>
      </c>
      <c r="O239" s="21">
        <f>IF($C239="","",IF($P239="Aberto",N($H239)*$N239,0))</f>
        <v/>
      </c>
      <c r="P239" s="18">
        <f>IF($C239="","",IF($G239="Ganho","Ganho",IF($G239="Perdido","Perdido","Aberto")))</f>
        <v/>
      </c>
      <c r="Q239" s="18">
        <f>IF(OR($C239="",$P239&lt;&gt;"Aberto"),"",IF($I239="",Hoje-$B239,Hoje-$I239))</f>
        <v/>
      </c>
      <c r="R239" s="22">
        <f>IF(OR($C239="",$P239&lt;&gt;"Aberto"),"",IF($J239="",IF($Q239&gt;DiasSC,"ATRASADO","Definir data"),IF($J239&lt;Hoje,"ATRASADO",IF($J239=Hoje,"HOJE","Em dia"))))</f>
        <v/>
      </c>
      <c r="S239" s="23">
        <f>IF($R239="","",IF(OR($R239="ATRASADO",$R239="HOJE",$R239="Definir data"),COUNTIF($R$5:$R239,"ATRASADO")+COUNTIF($R$5:$R239,"HOJE")+COUNTIF($R$5:$R239,"Definir data"),""))</f>
        <v/>
      </c>
      <c r="T239" s="18">
        <f>IF($C239="","",IF(OR($B239="",$E239="",$F239="",$G239=""),"Preencher entrada/origem/vendedor/etapa",IF(AND(OR($P239="Ganho",$P239="Perdido"),$K239=""),"Falta data de fechamento",IF(AND($P239="Perdido",$L239=""),"Informe o motivo da perda","OK"))))</f>
        <v/>
      </c>
    </row>
    <row r="240" spans="1:20">
      <c r="A240" s="18">
        <f>IF($C240="","",ROW()-4)</f>
        <v/>
      </c>
      <c r="B240" s="19"/>
      <c r="C240" s="13"/>
      <c r="D240" s="13"/>
      <c r="E240" s="13"/>
      <c r="F240" s="13"/>
      <c r="G240" s="13"/>
      <c r="H240" s="15"/>
      <c r="I240" s="19"/>
      <c r="J240" s="19"/>
      <c r="K240" s="19"/>
      <c r="L240" s="13"/>
      <c r="M240" s="13"/>
      <c r="N240" s="20">
        <f>IF($C240="","",IFERROR(INDEX(EtapaProb,MATCH($G240,Etapas,0)),0))</f>
        <v/>
      </c>
      <c r="O240" s="21">
        <f>IF($C240="","",IF($P240="Aberto",N($H240)*$N240,0))</f>
        <v/>
      </c>
      <c r="P240" s="18">
        <f>IF($C240="","",IF($G240="Ganho","Ganho",IF($G240="Perdido","Perdido","Aberto")))</f>
        <v/>
      </c>
      <c r="Q240" s="18">
        <f>IF(OR($C240="",$P240&lt;&gt;"Aberto"),"",IF($I240="",Hoje-$B240,Hoje-$I240))</f>
        <v/>
      </c>
      <c r="R240" s="22">
        <f>IF(OR($C240="",$P240&lt;&gt;"Aberto"),"",IF($J240="",IF($Q240&gt;DiasSC,"ATRASADO","Definir data"),IF($J240&lt;Hoje,"ATRASADO",IF($J240=Hoje,"HOJE","Em dia"))))</f>
        <v/>
      </c>
      <c r="S240" s="23">
        <f>IF($R240="","",IF(OR($R240="ATRASADO",$R240="HOJE",$R240="Definir data"),COUNTIF($R$5:$R240,"ATRASADO")+COUNTIF($R$5:$R240,"HOJE")+COUNTIF($R$5:$R240,"Definir data"),""))</f>
        <v/>
      </c>
      <c r="T240" s="18">
        <f>IF($C240="","",IF(OR($B240="",$E240="",$F240="",$G240=""),"Preencher entrada/origem/vendedor/etapa",IF(AND(OR($P240="Ganho",$P240="Perdido"),$K240=""),"Falta data de fechamento",IF(AND($P240="Perdido",$L240=""),"Informe o motivo da perda","OK"))))</f>
        <v/>
      </c>
    </row>
    <row r="241" spans="1:20">
      <c r="A241" s="18">
        <f>IF($C241="","",ROW()-4)</f>
        <v/>
      </c>
      <c r="B241" s="19"/>
      <c r="C241" s="13"/>
      <c r="D241" s="13"/>
      <c r="E241" s="13"/>
      <c r="F241" s="13"/>
      <c r="G241" s="13"/>
      <c r="H241" s="15"/>
      <c r="I241" s="19"/>
      <c r="J241" s="19"/>
      <c r="K241" s="19"/>
      <c r="L241" s="13"/>
      <c r="M241" s="13"/>
      <c r="N241" s="20">
        <f>IF($C241="","",IFERROR(INDEX(EtapaProb,MATCH($G241,Etapas,0)),0))</f>
        <v/>
      </c>
      <c r="O241" s="21">
        <f>IF($C241="","",IF($P241="Aberto",N($H241)*$N241,0))</f>
        <v/>
      </c>
      <c r="P241" s="18">
        <f>IF($C241="","",IF($G241="Ganho","Ganho",IF($G241="Perdido","Perdido","Aberto")))</f>
        <v/>
      </c>
      <c r="Q241" s="18">
        <f>IF(OR($C241="",$P241&lt;&gt;"Aberto"),"",IF($I241="",Hoje-$B241,Hoje-$I241))</f>
        <v/>
      </c>
      <c r="R241" s="22">
        <f>IF(OR($C241="",$P241&lt;&gt;"Aberto"),"",IF($J241="",IF($Q241&gt;DiasSC,"ATRASADO","Definir data"),IF($J241&lt;Hoje,"ATRASADO",IF($J241=Hoje,"HOJE","Em dia"))))</f>
        <v/>
      </c>
      <c r="S241" s="23">
        <f>IF($R241="","",IF(OR($R241="ATRASADO",$R241="HOJE",$R241="Definir data"),COUNTIF($R$5:$R241,"ATRASADO")+COUNTIF($R$5:$R241,"HOJE")+COUNTIF($R$5:$R241,"Definir data"),""))</f>
        <v/>
      </c>
      <c r="T241" s="18">
        <f>IF($C241="","",IF(OR($B241="",$E241="",$F241="",$G241=""),"Preencher entrada/origem/vendedor/etapa",IF(AND(OR($P241="Ganho",$P241="Perdido"),$K241=""),"Falta data de fechamento",IF(AND($P241="Perdido",$L241=""),"Informe o motivo da perda","OK"))))</f>
        <v/>
      </c>
    </row>
    <row r="242" spans="1:20">
      <c r="A242" s="18">
        <f>IF($C242="","",ROW()-4)</f>
        <v/>
      </c>
      <c r="B242" s="19"/>
      <c r="C242" s="13"/>
      <c r="D242" s="13"/>
      <c r="E242" s="13"/>
      <c r="F242" s="13"/>
      <c r="G242" s="13"/>
      <c r="H242" s="15"/>
      <c r="I242" s="19"/>
      <c r="J242" s="19"/>
      <c r="K242" s="19"/>
      <c r="L242" s="13"/>
      <c r="M242" s="13"/>
      <c r="N242" s="20">
        <f>IF($C242="","",IFERROR(INDEX(EtapaProb,MATCH($G242,Etapas,0)),0))</f>
        <v/>
      </c>
      <c r="O242" s="21">
        <f>IF($C242="","",IF($P242="Aberto",N($H242)*$N242,0))</f>
        <v/>
      </c>
      <c r="P242" s="18">
        <f>IF($C242="","",IF($G242="Ganho","Ganho",IF($G242="Perdido","Perdido","Aberto")))</f>
        <v/>
      </c>
      <c r="Q242" s="18">
        <f>IF(OR($C242="",$P242&lt;&gt;"Aberto"),"",IF($I242="",Hoje-$B242,Hoje-$I242))</f>
        <v/>
      </c>
      <c r="R242" s="22">
        <f>IF(OR($C242="",$P242&lt;&gt;"Aberto"),"",IF($J242="",IF($Q242&gt;DiasSC,"ATRASADO","Definir data"),IF($J242&lt;Hoje,"ATRASADO",IF($J242=Hoje,"HOJE","Em dia"))))</f>
        <v/>
      </c>
      <c r="S242" s="23">
        <f>IF($R242="","",IF(OR($R242="ATRASADO",$R242="HOJE",$R242="Definir data"),COUNTIF($R$5:$R242,"ATRASADO")+COUNTIF($R$5:$R242,"HOJE")+COUNTIF($R$5:$R242,"Definir data"),""))</f>
        <v/>
      </c>
      <c r="T242" s="18">
        <f>IF($C242="","",IF(OR($B242="",$E242="",$F242="",$G242=""),"Preencher entrada/origem/vendedor/etapa",IF(AND(OR($P242="Ganho",$P242="Perdido"),$K242=""),"Falta data de fechamento",IF(AND($P242="Perdido",$L242=""),"Informe o motivo da perda","OK"))))</f>
        <v/>
      </c>
    </row>
    <row r="243" spans="1:20">
      <c r="A243" s="18">
        <f>IF($C243="","",ROW()-4)</f>
        <v/>
      </c>
      <c r="B243" s="19"/>
      <c r="C243" s="13"/>
      <c r="D243" s="13"/>
      <c r="E243" s="13"/>
      <c r="F243" s="13"/>
      <c r="G243" s="13"/>
      <c r="H243" s="15"/>
      <c r="I243" s="19"/>
      <c r="J243" s="19"/>
      <c r="K243" s="19"/>
      <c r="L243" s="13"/>
      <c r="M243" s="13"/>
      <c r="N243" s="20">
        <f>IF($C243="","",IFERROR(INDEX(EtapaProb,MATCH($G243,Etapas,0)),0))</f>
        <v/>
      </c>
      <c r="O243" s="21">
        <f>IF($C243="","",IF($P243="Aberto",N($H243)*$N243,0))</f>
        <v/>
      </c>
      <c r="P243" s="18">
        <f>IF($C243="","",IF($G243="Ganho","Ganho",IF($G243="Perdido","Perdido","Aberto")))</f>
        <v/>
      </c>
      <c r="Q243" s="18">
        <f>IF(OR($C243="",$P243&lt;&gt;"Aberto"),"",IF($I243="",Hoje-$B243,Hoje-$I243))</f>
        <v/>
      </c>
      <c r="R243" s="22">
        <f>IF(OR($C243="",$P243&lt;&gt;"Aberto"),"",IF($J243="",IF($Q243&gt;DiasSC,"ATRASADO","Definir data"),IF($J243&lt;Hoje,"ATRASADO",IF($J243=Hoje,"HOJE","Em dia"))))</f>
        <v/>
      </c>
      <c r="S243" s="23">
        <f>IF($R243="","",IF(OR($R243="ATRASADO",$R243="HOJE",$R243="Definir data"),COUNTIF($R$5:$R243,"ATRASADO")+COUNTIF($R$5:$R243,"HOJE")+COUNTIF($R$5:$R243,"Definir data"),""))</f>
        <v/>
      </c>
      <c r="T243" s="18">
        <f>IF($C243="","",IF(OR($B243="",$E243="",$F243="",$G243=""),"Preencher entrada/origem/vendedor/etapa",IF(AND(OR($P243="Ganho",$P243="Perdido"),$K243=""),"Falta data de fechamento",IF(AND($P243="Perdido",$L243=""),"Informe o motivo da perda","OK"))))</f>
        <v/>
      </c>
    </row>
    <row r="244" spans="1:20">
      <c r="A244" s="18">
        <f>IF($C244="","",ROW()-4)</f>
        <v/>
      </c>
      <c r="B244" s="19"/>
      <c r="C244" s="13"/>
      <c r="D244" s="13"/>
      <c r="E244" s="13"/>
      <c r="F244" s="13"/>
      <c r="G244" s="13"/>
      <c r="H244" s="15"/>
      <c r="I244" s="19"/>
      <c r="J244" s="19"/>
      <c r="K244" s="19"/>
      <c r="L244" s="13"/>
      <c r="M244" s="13"/>
      <c r="N244" s="20">
        <f>IF($C244="","",IFERROR(INDEX(EtapaProb,MATCH($G244,Etapas,0)),0))</f>
        <v/>
      </c>
      <c r="O244" s="21">
        <f>IF($C244="","",IF($P244="Aberto",N($H244)*$N244,0))</f>
        <v/>
      </c>
      <c r="P244" s="18">
        <f>IF($C244="","",IF($G244="Ganho","Ganho",IF($G244="Perdido","Perdido","Aberto")))</f>
        <v/>
      </c>
      <c r="Q244" s="18">
        <f>IF(OR($C244="",$P244&lt;&gt;"Aberto"),"",IF($I244="",Hoje-$B244,Hoje-$I244))</f>
        <v/>
      </c>
      <c r="R244" s="22">
        <f>IF(OR($C244="",$P244&lt;&gt;"Aberto"),"",IF($J244="",IF($Q244&gt;DiasSC,"ATRASADO","Definir data"),IF($J244&lt;Hoje,"ATRASADO",IF($J244=Hoje,"HOJE","Em dia"))))</f>
        <v/>
      </c>
      <c r="S244" s="23">
        <f>IF($R244="","",IF(OR($R244="ATRASADO",$R244="HOJE",$R244="Definir data"),COUNTIF($R$5:$R244,"ATRASADO")+COUNTIF($R$5:$R244,"HOJE")+COUNTIF($R$5:$R244,"Definir data"),""))</f>
        <v/>
      </c>
      <c r="T244" s="18">
        <f>IF($C244="","",IF(OR($B244="",$E244="",$F244="",$G244=""),"Preencher entrada/origem/vendedor/etapa",IF(AND(OR($P244="Ganho",$P244="Perdido"),$K244=""),"Falta data de fechamento",IF(AND($P244="Perdido",$L244=""),"Informe o motivo da perda","OK"))))</f>
        <v/>
      </c>
    </row>
    <row r="245" spans="1:20">
      <c r="A245" s="18">
        <f>IF($C245="","",ROW()-4)</f>
        <v/>
      </c>
      <c r="B245" s="19"/>
      <c r="C245" s="13"/>
      <c r="D245" s="13"/>
      <c r="E245" s="13"/>
      <c r="F245" s="13"/>
      <c r="G245" s="13"/>
      <c r="H245" s="15"/>
      <c r="I245" s="19"/>
      <c r="J245" s="19"/>
      <c r="K245" s="19"/>
      <c r="L245" s="13"/>
      <c r="M245" s="13"/>
      <c r="N245" s="20">
        <f>IF($C245="","",IFERROR(INDEX(EtapaProb,MATCH($G245,Etapas,0)),0))</f>
        <v/>
      </c>
      <c r="O245" s="21">
        <f>IF($C245="","",IF($P245="Aberto",N($H245)*$N245,0))</f>
        <v/>
      </c>
      <c r="P245" s="18">
        <f>IF($C245="","",IF($G245="Ganho","Ganho",IF($G245="Perdido","Perdido","Aberto")))</f>
        <v/>
      </c>
      <c r="Q245" s="18">
        <f>IF(OR($C245="",$P245&lt;&gt;"Aberto"),"",IF($I245="",Hoje-$B245,Hoje-$I245))</f>
        <v/>
      </c>
      <c r="R245" s="22">
        <f>IF(OR($C245="",$P245&lt;&gt;"Aberto"),"",IF($J245="",IF($Q245&gt;DiasSC,"ATRASADO","Definir data"),IF($J245&lt;Hoje,"ATRASADO",IF($J245=Hoje,"HOJE","Em dia"))))</f>
        <v/>
      </c>
      <c r="S245" s="23">
        <f>IF($R245="","",IF(OR($R245="ATRASADO",$R245="HOJE",$R245="Definir data"),COUNTIF($R$5:$R245,"ATRASADO")+COUNTIF($R$5:$R245,"HOJE")+COUNTIF($R$5:$R245,"Definir data"),""))</f>
        <v/>
      </c>
      <c r="T245" s="18">
        <f>IF($C245="","",IF(OR($B245="",$E245="",$F245="",$G245=""),"Preencher entrada/origem/vendedor/etapa",IF(AND(OR($P245="Ganho",$P245="Perdido"),$K245=""),"Falta data de fechamento",IF(AND($P245="Perdido",$L245=""),"Informe o motivo da perda","OK"))))</f>
        <v/>
      </c>
    </row>
    <row r="246" spans="1:20">
      <c r="A246" s="18">
        <f>IF($C246="","",ROW()-4)</f>
        <v/>
      </c>
      <c r="B246" s="19"/>
      <c r="C246" s="13"/>
      <c r="D246" s="13"/>
      <c r="E246" s="13"/>
      <c r="F246" s="13"/>
      <c r="G246" s="13"/>
      <c r="H246" s="15"/>
      <c r="I246" s="19"/>
      <c r="J246" s="19"/>
      <c r="K246" s="19"/>
      <c r="L246" s="13"/>
      <c r="M246" s="13"/>
      <c r="N246" s="20">
        <f>IF($C246="","",IFERROR(INDEX(EtapaProb,MATCH($G246,Etapas,0)),0))</f>
        <v/>
      </c>
      <c r="O246" s="21">
        <f>IF($C246="","",IF($P246="Aberto",N($H246)*$N246,0))</f>
        <v/>
      </c>
      <c r="P246" s="18">
        <f>IF($C246="","",IF($G246="Ganho","Ganho",IF($G246="Perdido","Perdido","Aberto")))</f>
        <v/>
      </c>
      <c r="Q246" s="18">
        <f>IF(OR($C246="",$P246&lt;&gt;"Aberto"),"",IF($I246="",Hoje-$B246,Hoje-$I246))</f>
        <v/>
      </c>
      <c r="R246" s="22">
        <f>IF(OR($C246="",$P246&lt;&gt;"Aberto"),"",IF($J246="",IF($Q246&gt;DiasSC,"ATRASADO","Definir data"),IF($J246&lt;Hoje,"ATRASADO",IF($J246=Hoje,"HOJE","Em dia"))))</f>
        <v/>
      </c>
      <c r="S246" s="23">
        <f>IF($R246="","",IF(OR($R246="ATRASADO",$R246="HOJE",$R246="Definir data"),COUNTIF($R$5:$R246,"ATRASADO")+COUNTIF($R$5:$R246,"HOJE")+COUNTIF($R$5:$R246,"Definir data"),""))</f>
        <v/>
      </c>
      <c r="T246" s="18">
        <f>IF($C246="","",IF(OR($B246="",$E246="",$F246="",$G246=""),"Preencher entrada/origem/vendedor/etapa",IF(AND(OR($P246="Ganho",$P246="Perdido"),$K246=""),"Falta data de fechamento",IF(AND($P246="Perdido",$L246=""),"Informe o motivo da perda","OK"))))</f>
        <v/>
      </c>
    </row>
    <row r="247" spans="1:20">
      <c r="A247" s="18">
        <f>IF($C247="","",ROW()-4)</f>
        <v/>
      </c>
      <c r="B247" s="19"/>
      <c r="C247" s="13"/>
      <c r="D247" s="13"/>
      <c r="E247" s="13"/>
      <c r="F247" s="13"/>
      <c r="G247" s="13"/>
      <c r="H247" s="15"/>
      <c r="I247" s="19"/>
      <c r="J247" s="19"/>
      <c r="K247" s="19"/>
      <c r="L247" s="13"/>
      <c r="M247" s="13"/>
      <c r="N247" s="20">
        <f>IF($C247="","",IFERROR(INDEX(EtapaProb,MATCH($G247,Etapas,0)),0))</f>
        <v/>
      </c>
      <c r="O247" s="21">
        <f>IF($C247="","",IF($P247="Aberto",N($H247)*$N247,0))</f>
        <v/>
      </c>
      <c r="P247" s="18">
        <f>IF($C247="","",IF($G247="Ganho","Ganho",IF($G247="Perdido","Perdido","Aberto")))</f>
        <v/>
      </c>
      <c r="Q247" s="18">
        <f>IF(OR($C247="",$P247&lt;&gt;"Aberto"),"",IF($I247="",Hoje-$B247,Hoje-$I247))</f>
        <v/>
      </c>
      <c r="R247" s="22">
        <f>IF(OR($C247="",$P247&lt;&gt;"Aberto"),"",IF($J247="",IF($Q247&gt;DiasSC,"ATRASADO","Definir data"),IF($J247&lt;Hoje,"ATRASADO",IF($J247=Hoje,"HOJE","Em dia"))))</f>
        <v/>
      </c>
      <c r="S247" s="23">
        <f>IF($R247="","",IF(OR($R247="ATRASADO",$R247="HOJE",$R247="Definir data"),COUNTIF($R$5:$R247,"ATRASADO")+COUNTIF($R$5:$R247,"HOJE")+COUNTIF($R$5:$R247,"Definir data"),""))</f>
        <v/>
      </c>
      <c r="T247" s="18">
        <f>IF($C247="","",IF(OR($B247="",$E247="",$F247="",$G247=""),"Preencher entrada/origem/vendedor/etapa",IF(AND(OR($P247="Ganho",$P247="Perdido"),$K247=""),"Falta data de fechamento",IF(AND($P247="Perdido",$L247=""),"Informe o motivo da perda","OK"))))</f>
        <v/>
      </c>
    </row>
    <row r="248" spans="1:20">
      <c r="A248" s="18">
        <f>IF($C248="","",ROW()-4)</f>
        <v/>
      </c>
      <c r="B248" s="19"/>
      <c r="C248" s="13"/>
      <c r="D248" s="13"/>
      <c r="E248" s="13"/>
      <c r="F248" s="13"/>
      <c r="G248" s="13"/>
      <c r="H248" s="15"/>
      <c r="I248" s="19"/>
      <c r="J248" s="19"/>
      <c r="K248" s="19"/>
      <c r="L248" s="13"/>
      <c r="M248" s="13"/>
      <c r="N248" s="20">
        <f>IF($C248="","",IFERROR(INDEX(EtapaProb,MATCH($G248,Etapas,0)),0))</f>
        <v/>
      </c>
      <c r="O248" s="21">
        <f>IF($C248="","",IF($P248="Aberto",N($H248)*$N248,0))</f>
        <v/>
      </c>
      <c r="P248" s="18">
        <f>IF($C248="","",IF($G248="Ganho","Ganho",IF($G248="Perdido","Perdido","Aberto")))</f>
        <v/>
      </c>
      <c r="Q248" s="18">
        <f>IF(OR($C248="",$P248&lt;&gt;"Aberto"),"",IF($I248="",Hoje-$B248,Hoje-$I248))</f>
        <v/>
      </c>
      <c r="R248" s="22">
        <f>IF(OR($C248="",$P248&lt;&gt;"Aberto"),"",IF($J248="",IF($Q248&gt;DiasSC,"ATRASADO","Definir data"),IF($J248&lt;Hoje,"ATRASADO",IF($J248=Hoje,"HOJE","Em dia"))))</f>
        <v/>
      </c>
      <c r="S248" s="23">
        <f>IF($R248="","",IF(OR($R248="ATRASADO",$R248="HOJE",$R248="Definir data"),COUNTIF($R$5:$R248,"ATRASADO")+COUNTIF($R$5:$R248,"HOJE")+COUNTIF($R$5:$R248,"Definir data"),""))</f>
        <v/>
      </c>
      <c r="T248" s="18">
        <f>IF($C248="","",IF(OR($B248="",$E248="",$F248="",$G248=""),"Preencher entrada/origem/vendedor/etapa",IF(AND(OR($P248="Ganho",$P248="Perdido"),$K248=""),"Falta data de fechamento",IF(AND($P248="Perdido",$L248=""),"Informe o motivo da perda","OK"))))</f>
        <v/>
      </c>
    </row>
    <row r="249" spans="1:20">
      <c r="A249" s="18">
        <f>IF($C249="","",ROW()-4)</f>
        <v/>
      </c>
      <c r="B249" s="19"/>
      <c r="C249" s="13"/>
      <c r="D249" s="13"/>
      <c r="E249" s="13"/>
      <c r="F249" s="13"/>
      <c r="G249" s="13"/>
      <c r="H249" s="15"/>
      <c r="I249" s="19"/>
      <c r="J249" s="19"/>
      <c r="K249" s="19"/>
      <c r="L249" s="13"/>
      <c r="M249" s="13"/>
      <c r="N249" s="20">
        <f>IF($C249="","",IFERROR(INDEX(EtapaProb,MATCH($G249,Etapas,0)),0))</f>
        <v/>
      </c>
      <c r="O249" s="21">
        <f>IF($C249="","",IF($P249="Aberto",N($H249)*$N249,0))</f>
        <v/>
      </c>
      <c r="P249" s="18">
        <f>IF($C249="","",IF($G249="Ganho","Ganho",IF($G249="Perdido","Perdido","Aberto")))</f>
        <v/>
      </c>
      <c r="Q249" s="18">
        <f>IF(OR($C249="",$P249&lt;&gt;"Aberto"),"",IF($I249="",Hoje-$B249,Hoje-$I249))</f>
        <v/>
      </c>
      <c r="R249" s="22">
        <f>IF(OR($C249="",$P249&lt;&gt;"Aberto"),"",IF($J249="",IF($Q249&gt;DiasSC,"ATRASADO","Definir data"),IF($J249&lt;Hoje,"ATRASADO",IF($J249=Hoje,"HOJE","Em dia"))))</f>
        <v/>
      </c>
      <c r="S249" s="23">
        <f>IF($R249="","",IF(OR($R249="ATRASADO",$R249="HOJE",$R249="Definir data"),COUNTIF($R$5:$R249,"ATRASADO")+COUNTIF($R$5:$R249,"HOJE")+COUNTIF($R$5:$R249,"Definir data"),""))</f>
        <v/>
      </c>
      <c r="T249" s="18">
        <f>IF($C249="","",IF(OR($B249="",$E249="",$F249="",$G249=""),"Preencher entrada/origem/vendedor/etapa",IF(AND(OR($P249="Ganho",$P249="Perdido"),$K249=""),"Falta data de fechamento",IF(AND($P249="Perdido",$L249=""),"Informe o motivo da perda","OK"))))</f>
        <v/>
      </c>
    </row>
    <row r="250" spans="1:20">
      <c r="A250" s="18">
        <f>IF($C250="","",ROW()-4)</f>
        <v/>
      </c>
      <c r="B250" s="19"/>
      <c r="C250" s="13"/>
      <c r="D250" s="13"/>
      <c r="E250" s="13"/>
      <c r="F250" s="13"/>
      <c r="G250" s="13"/>
      <c r="H250" s="15"/>
      <c r="I250" s="19"/>
      <c r="J250" s="19"/>
      <c r="K250" s="19"/>
      <c r="L250" s="13"/>
      <c r="M250" s="13"/>
      <c r="N250" s="20">
        <f>IF($C250="","",IFERROR(INDEX(EtapaProb,MATCH($G250,Etapas,0)),0))</f>
        <v/>
      </c>
      <c r="O250" s="21">
        <f>IF($C250="","",IF($P250="Aberto",N($H250)*$N250,0))</f>
        <v/>
      </c>
      <c r="P250" s="18">
        <f>IF($C250="","",IF($G250="Ganho","Ganho",IF($G250="Perdido","Perdido","Aberto")))</f>
        <v/>
      </c>
      <c r="Q250" s="18">
        <f>IF(OR($C250="",$P250&lt;&gt;"Aberto"),"",IF($I250="",Hoje-$B250,Hoje-$I250))</f>
        <v/>
      </c>
      <c r="R250" s="22">
        <f>IF(OR($C250="",$P250&lt;&gt;"Aberto"),"",IF($J250="",IF($Q250&gt;DiasSC,"ATRASADO","Definir data"),IF($J250&lt;Hoje,"ATRASADO",IF($J250=Hoje,"HOJE","Em dia"))))</f>
        <v/>
      </c>
      <c r="S250" s="23">
        <f>IF($R250="","",IF(OR($R250="ATRASADO",$R250="HOJE",$R250="Definir data"),COUNTIF($R$5:$R250,"ATRASADO")+COUNTIF($R$5:$R250,"HOJE")+COUNTIF($R$5:$R250,"Definir data"),""))</f>
        <v/>
      </c>
      <c r="T250" s="18">
        <f>IF($C250="","",IF(OR($B250="",$E250="",$F250="",$G250=""),"Preencher entrada/origem/vendedor/etapa",IF(AND(OR($P250="Ganho",$P250="Perdido"),$K250=""),"Falta data de fechamento",IF(AND($P250="Perdido",$L250=""),"Informe o motivo da perda","OK"))))</f>
        <v/>
      </c>
    </row>
    <row r="251" spans="1:20">
      <c r="A251" s="18">
        <f>IF($C251="","",ROW()-4)</f>
        <v/>
      </c>
      <c r="B251" s="19"/>
      <c r="C251" s="13"/>
      <c r="D251" s="13"/>
      <c r="E251" s="13"/>
      <c r="F251" s="13"/>
      <c r="G251" s="13"/>
      <c r="H251" s="15"/>
      <c r="I251" s="19"/>
      <c r="J251" s="19"/>
      <c r="K251" s="19"/>
      <c r="L251" s="13"/>
      <c r="M251" s="13"/>
      <c r="N251" s="20">
        <f>IF($C251="","",IFERROR(INDEX(EtapaProb,MATCH($G251,Etapas,0)),0))</f>
        <v/>
      </c>
      <c r="O251" s="21">
        <f>IF($C251="","",IF($P251="Aberto",N($H251)*$N251,0))</f>
        <v/>
      </c>
      <c r="P251" s="18">
        <f>IF($C251="","",IF($G251="Ganho","Ganho",IF($G251="Perdido","Perdido","Aberto")))</f>
        <v/>
      </c>
      <c r="Q251" s="18">
        <f>IF(OR($C251="",$P251&lt;&gt;"Aberto"),"",IF($I251="",Hoje-$B251,Hoje-$I251))</f>
        <v/>
      </c>
      <c r="R251" s="22">
        <f>IF(OR($C251="",$P251&lt;&gt;"Aberto"),"",IF($J251="",IF($Q251&gt;DiasSC,"ATRASADO","Definir data"),IF($J251&lt;Hoje,"ATRASADO",IF($J251=Hoje,"HOJE","Em dia"))))</f>
        <v/>
      </c>
      <c r="S251" s="23">
        <f>IF($R251="","",IF(OR($R251="ATRASADO",$R251="HOJE",$R251="Definir data"),COUNTIF($R$5:$R251,"ATRASADO")+COUNTIF($R$5:$R251,"HOJE")+COUNTIF($R$5:$R251,"Definir data"),""))</f>
        <v/>
      </c>
      <c r="T251" s="18">
        <f>IF($C251="","",IF(OR($B251="",$E251="",$F251="",$G251=""),"Preencher entrada/origem/vendedor/etapa",IF(AND(OR($P251="Ganho",$P251="Perdido"),$K251=""),"Falta data de fechamento",IF(AND($P251="Perdido",$L251=""),"Informe o motivo da perda","OK"))))</f>
        <v/>
      </c>
    </row>
    <row r="252" spans="1:20">
      <c r="A252" s="18">
        <f>IF($C252="","",ROW()-4)</f>
        <v/>
      </c>
      <c r="B252" s="19"/>
      <c r="C252" s="13"/>
      <c r="D252" s="13"/>
      <c r="E252" s="13"/>
      <c r="F252" s="13"/>
      <c r="G252" s="13"/>
      <c r="H252" s="15"/>
      <c r="I252" s="19"/>
      <c r="J252" s="19"/>
      <c r="K252" s="19"/>
      <c r="L252" s="13"/>
      <c r="M252" s="13"/>
      <c r="N252" s="20">
        <f>IF($C252="","",IFERROR(INDEX(EtapaProb,MATCH($G252,Etapas,0)),0))</f>
        <v/>
      </c>
      <c r="O252" s="21">
        <f>IF($C252="","",IF($P252="Aberto",N($H252)*$N252,0))</f>
        <v/>
      </c>
      <c r="P252" s="18">
        <f>IF($C252="","",IF($G252="Ganho","Ganho",IF($G252="Perdido","Perdido","Aberto")))</f>
        <v/>
      </c>
      <c r="Q252" s="18">
        <f>IF(OR($C252="",$P252&lt;&gt;"Aberto"),"",IF($I252="",Hoje-$B252,Hoje-$I252))</f>
        <v/>
      </c>
      <c r="R252" s="22">
        <f>IF(OR($C252="",$P252&lt;&gt;"Aberto"),"",IF($J252="",IF($Q252&gt;DiasSC,"ATRASADO","Definir data"),IF($J252&lt;Hoje,"ATRASADO",IF($J252=Hoje,"HOJE","Em dia"))))</f>
        <v/>
      </c>
      <c r="S252" s="23">
        <f>IF($R252="","",IF(OR($R252="ATRASADO",$R252="HOJE",$R252="Definir data"),COUNTIF($R$5:$R252,"ATRASADO")+COUNTIF($R$5:$R252,"HOJE")+COUNTIF($R$5:$R252,"Definir data"),""))</f>
        <v/>
      </c>
      <c r="T252" s="18">
        <f>IF($C252="","",IF(OR($B252="",$E252="",$F252="",$G252=""),"Preencher entrada/origem/vendedor/etapa",IF(AND(OR($P252="Ganho",$P252="Perdido"),$K252=""),"Falta data de fechamento",IF(AND($P252="Perdido",$L252=""),"Informe o motivo da perda","OK"))))</f>
        <v/>
      </c>
    </row>
    <row r="253" spans="1:20">
      <c r="A253" s="18">
        <f>IF($C253="","",ROW()-4)</f>
        <v/>
      </c>
      <c r="B253" s="19"/>
      <c r="C253" s="13"/>
      <c r="D253" s="13"/>
      <c r="E253" s="13"/>
      <c r="F253" s="13"/>
      <c r="G253" s="13"/>
      <c r="H253" s="15"/>
      <c r="I253" s="19"/>
      <c r="J253" s="19"/>
      <c r="K253" s="19"/>
      <c r="L253" s="13"/>
      <c r="M253" s="13"/>
      <c r="N253" s="20">
        <f>IF($C253="","",IFERROR(INDEX(EtapaProb,MATCH($G253,Etapas,0)),0))</f>
        <v/>
      </c>
      <c r="O253" s="21">
        <f>IF($C253="","",IF($P253="Aberto",N($H253)*$N253,0))</f>
        <v/>
      </c>
      <c r="P253" s="18">
        <f>IF($C253="","",IF($G253="Ganho","Ganho",IF($G253="Perdido","Perdido","Aberto")))</f>
        <v/>
      </c>
      <c r="Q253" s="18">
        <f>IF(OR($C253="",$P253&lt;&gt;"Aberto"),"",IF($I253="",Hoje-$B253,Hoje-$I253))</f>
        <v/>
      </c>
      <c r="R253" s="22">
        <f>IF(OR($C253="",$P253&lt;&gt;"Aberto"),"",IF($J253="",IF($Q253&gt;DiasSC,"ATRASADO","Definir data"),IF($J253&lt;Hoje,"ATRASADO",IF($J253=Hoje,"HOJE","Em dia"))))</f>
        <v/>
      </c>
      <c r="S253" s="23">
        <f>IF($R253="","",IF(OR($R253="ATRASADO",$R253="HOJE",$R253="Definir data"),COUNTIF($R$5:$R253,"ATRASADO")+COUNTIF($R$5:$R253,"HOJE")+COUNTIF($R$5:$R253,"Definir data"),""))</f>
        <v/>
      </c>
      <c r="T253" s="18">
        <f>IF($C253="","",IF(OR($B253="",$E253="",$F253="",$G253=""),"Preencher entrada/origem/vendedor/etapa",IF(AND(OR($P253="Ganho",$P253="Perdido"),$K253=""),"Falta data de fechamento",IF(AND($P253="Perdido",$L253=""),"Informe o motivo da perda","OK"))))</f>
        <v/>
      </c>
    </row>
    <row r="254" spans="1:20">
      <c r="A254" s="18">
        <f>IF($C254="","",ROW()-4)</f>
        <v/>
      </c>
      <c r="B254" s="19"/>
      <c r="C254" s="13"/>
      <c r="D254" s="13"/>
      <c r="E254" s="13"/>
      <c r="F254" s="13"/>
      <c r="G254" s="13"/>
      <c r="H254" s="15"/>
      <c r="I254" s="19"/>
      <c r="J254" s="19"/>
      <c r="K254" s="19"/>
      <c r="L254" s="13"/>
      <c r="M254" s="13"/>
      <c r="N254" s="20">
        <f>IF($C254="","",IFERROR(INDEX(EtapaProb,MATCH($G254,Etapas,0)),0))</f>
        <v/>
      </c>
      <c r="O254" s="21">
        <f>IF($C254="","",IF($P254="Aberto",N($H254)*$N254,0))</f>
        <v/>
      </c>
      <c r="P254" s="18">
        <f>IF($C254="","",IF($G254="Ganho","Ganho",IF($G254="Perdido","Perdido","Aberto")))</f>
        <v/>
      </c>
      <c r="Q254" s="18">
        <f>IF(OR($C254="",$P254&lt;&gt;"Aberto"),"",IF($I254="",Hoje-$B254,Hoje-$I254))</f>
        <v/>
      </c>
      <c r="R254" s="22">
        <f>IF(OR($C254="",$P254&lt;&gt;"Aberto"),"",IF($J254="",IF($Q254&gt;DiasSC,"ATRASADO","Definir data"),IF($J254&lt;Hoje,"ATRASADO",IF($J254=Hoje,"HOJE","Em dia"))))</f>
        <v/>
      </c>
      <c r="S254" s="23">
        <f>IF($R254="","",IF(OR($R254="ATRASADO",$R254="HOJE",$R254="Definir data"),COUNTIF($R$5:$R254,"ATRASADO")+COUNTIF($R$5:$R254,"HOJE")+COUNTIF($R$5:$R254,"Definir data"),""))</f>
        <v/>
      </c>
      <c r="T254" s="18">
        <f>IF($C254="","",IF(OR($B254="",$E254="",$F254="",$G254=""),"Preencher entrada/origem/vendedor/etapa",IF(AND(OR($P254="Ganho",$P254="Perdido"),$K254=""),"Falta data de fechamento",IF(AND($P254="Perdido",$L254=""),"Informe o motivo da perda","OK"))))</f>
        <v/>
      </c>
    </row>
    <row r="255" spans="1:20">
      <c r="A255" s="18">
        <f>IF($C255="","",ROW()-4)</f>
        <v/>
      </c>
      <c r="B255" s="19"/>
      <c r="C255" s="13"/>
      <c r="D255" s="13"/>
      <c r="E255" s="13"/>
      <c r="F255" s="13"/>
      <c r="G255" s="13"/>
      <c r="H255" s="15"/>
      <c r="I255" s="19"/>
      <c r="J255" s="19"/>
      <c r="K255" s="19"/>
      <c r="L255" s="13"/>
      <c r="M255" s="13"/>
      <c r="N255" s="20">
        <f>IF($C255="","",IFERROR(INDEX(EtapaProb,MATCH($G255,Etapas,0)),0))</f>
        <v/>
      </c>
      <c r="O255" s="21">
        <f>IF($C255="","",IF($P255="Aberto",N($H255)*$N255,0))</f>
        <v/>
      </c>
      <c r="P255" s="18">
        <f>IF($C255="","",IF($G255="Ganho","Ganho",IF($G255="Perdido","Perdido","Aberto")))</f>
        <v/>
      </c>
      <c r="Q255" s="18">
        <f>IF(OR($C255="",$P255&lt;&gt;"Aberto"),"",IF($I255="",Hoje-$B255,Hoje-$I255))</f>
        <v/>
      </c>
      <c r="R255" s="22">
        <f>IF(OR($C255="",$P255&lt;&gt;"Aberto"),"",IF($J255="",IF($Q255&gt;DiasSC,"ATRASADO","Definir data"),IF($J255&lt;Hoje,"ATRASADO",IF($J255=Hoje,"HOJE","Em dia"))))</f>
        <v/>
      </c>
      <c r="S255" s="23">
        <f>IF($R255="","",IF(OR($R255="ATRASADO",$R255="HOJE",$R255="Definir data"),COUNTIF($R$5:$R255,"ATRASADO")+COUNTIF($R$5:$R255,"HOJE")+COUNTIF($R$5:$R255,"Definir data"),""))</f>
        <v/>
      </c>
      <c r="T255" s="18">
        <f>IF($C255="","",IF(OR($B255="",$E255="",$F255="",$G255=""),"Preencher entrada/origem/vendedor/etapa",IF(AND(OR($P255="Ganho",$P255="Perdido"),$K255=""),"Falta data de fechamento",IF(AND($P255="Perdido",$L255=""),"Informe o motivo da perda","OK"))))</f>
        <v/>
      </c>
    </row>
    <row r="256" spans="1:20">
      <c r="A256" s="18">
        <f>IF($C256="","",ROW()-4)</f>
        <v/>
      </c>
      <c r="B256" s="19"/>
      <c r="C256" s="13"/>
      <c r="D256" s="13"/>
      <c r="E256" s="13"/>
      <c r="F256" s="13"/>
      <c r="G256" s="13"/>
      <c r="H256" s="15"/>
      <c r="I256" s="19"/>
      <c r="J256" s="19"/>
      <c r="K256" s="19"/>
      <c r="L256" s="13"/>
      <c r="M256" s="13"/>
      <c r="N256" s="20">
        <f>IF($C256="","",IFERROR(INDEX(EtapaProb,MATCH($G256,Etapas,0)),0))</f>
        <v/>
      </c>
      <c r="O256" s="21">
        <f>IF($C256="","",IF($P256="Aberto",N($H256)*$N256,0))</f>
        <v/>
      </c>
      <c r="P256" s="18">
        <f>IF($C256="","",IF($G256="Ganho","Ganho",IF($G256="Perdido","Perdido","Aberto")))</f>
        <v/>
      </c>
      <c r="Q256" s="18">
        <f>IF(OR($C256="",$P256&lt;&gt;"Aberto"),"",IF($I256="",Hoje-$B256,Hoje-$I256))</f>
        <v/>
      </c>
      <c r="R256" s="22">
        <f>IF(OR($C256="",$P256&lt;&gt;"Aberto"),"",IF($J256="",IF($Q256&gt;DiasSC,"ATRASADO","Definir data"),IF($J256&lt;Hoje,"ATRASADO",IF($J256=Hoje,"HOJE","Em dia"))))</f>
        <v/>
      </c>
      <c r="S256" s="23">
        <f>IF($R256="","",IF(OR($R256="ATRASADO",$R256="HOJE",$R256="Definir data"),COUNTIF($R$5:$R256,"ATRASADO")+COUNTIF($R$5:$R256,"HOJE")+COUNTIF($R$5:$R256,"Definir data"),""))</f>
        <v/>
      </c>
      <c r="T256" s="18">
        <f>IF($C256="","",IF(OR($B256="",$E256="",$F256="",$G256=""),"Preencher entrada/origem/vendedor/etapa",IF(AND(OR($P256="Ganho",$P256="Perdido"),$K256=""),"Falta data de fechamento",IF(AND($P256="Perdido",$L256=""),"Informe o motivo da perda","OK"))))</f>
        <v/>
      </c>
    </row>
    <row r="257" spans="1:20">
      <c r="A257" s="18">
        <f>IF($C257="","",ROW()-4)</f>
        <v/>
      </c>
      <c r="B257" s="19"/>
      <c r="C257" s="13"/>
      <c r="D257" s="13"/>
      <c r="E257" s="13"/>
      <c r="F257" s="13"/>
      <c r="G257" s="13"/>
      <c r="H257" s="15"/>
      <c r="I257" s="19"/>
      <c r="J257" s="19"/>
      <c r="K257" s="19"/>
      <c r="L257" s="13"/>
      <c r="M257" s="13"/>
      <c r="N257" s="20">
        <f>IF($C257="","",IFERROR(INDEX(EtapaProb,MATCH($G257,Etapas,0)),0))</f>
        <v/>
      </c>
      <c r="O257" s="21">
        <f>IF($C257="","",IF($P257="Aberto",N($H257)*$N257,0))</f>
        <v/>
      </c>
      <c r="P257" s="18">
        <f>IF($C257="","",IF($G257="Ganho","Ganho",IF($G257="Perdido","Perdido","Aberto")))</f>
        <v/>
      </c>
      <c r="Q257" s="18">
        <f>IF(OR($C257="",$P257&lt;&gt;"Aberto"),"",IF($I257="",Hoje-$B257,Hoje-$I257))</f>
        <v/>
      </c>
      <c r="R257" s="22">
        <f>IF(OR($C257="",$P257&lt;&gt;"Aberto"),"",IF($J257="",IF($Q257&gt;DiasSC,"ATRASADO","Definir data"),IF($J257&lt;Hoje,"ATRASADO",IF($J257=Hoje,"HOJE","Em dia"))))</f>
        <v/>
      </c>
      <c r="S257" s="23">
        <f>IF($R257="","",IF(OR($R257="ATRASADO",$R257="HOJE",$R257="Definir data"),COUNTIF($R$5:$R257,"ATRASADO")+COUNTIF($R$5:$R257,"HOJE")+COUNTIF($R$5:$R257,"Definir data"),""))</f>
        <v/>
      </c>
      <c r="T257" s="18">
        <f>IF($C257="","",IF(OR($B257="",$E257="",$F257="",$G257=""),"Preencher entrada/origem/vendedor/etapa",IF(AND(OR($P257="Ganho",$P257="Perdido"),$K257=""),"Falta data de fechamento",IF(AND($P257="Perdido",$L257=""),"Informe o motivo da perda","OK"))))</f>
        <v/>
      </c>
    </row>
    <row r="258" spans="1:20">
      <c r="A258" s="18">
        <f>IF($C258="","",ROW()-4)</f>
        <v/>
      </c>
      <c r="B258" s="19"/>
      <c r="C258" s="13"/>
      <c r="D258" s="13"/>
      <c r="E258" s="13"/>
      <c r="F258" s="13"/>
      <c r="G258" s="13"/>
      <c r="H258" s="15"/>
      <c r="I258" s="19"/>
      <c r="J258" s="19"/>
      <c r="K258" s="19"/>
      <c r="L258" s="13"/>
      <c r="M258" s="13"/>
      <c r="N258" s="20">
        <f>IF($C258="","",IFERROR(INDEX(EtapaProb,MATCH($G258,Etapas,0)),0))</f>
        <v/>
      </c>
      <c r="O258" s="21">
        <f>IF($C258="","",IF($P258="Aberto",N($H258)*$N258,0))</f>
        <v/>
      </c>
      <c r="P258" s="18">
        <f>IF($C258="","",IF($G258="Ganho","Ganho",IF($G258="Perdido","Perdido","Aberto")))</f>
        <v/>
      </c>
      <c r="Q258" s="18">
        <f>IF(OR($C258="",$P258&lt;&gt;"Aberto"),"",IF($I258="",Hoje-$B258,Hoje-$I258))</f>
        <v/>
      </c>
      <c r="R258" s="22">
        <f>IF(OR($C258="",$P258&lt;&gt;"Aberto"),"",IF($J258="",IF($Q258&gt;DiasSC,"ATRASADO","Definir data"),IF($J258&lt;Hoje,"ATRASADO",IF($J258=Hoje,"HOJE","Em dia"))))</f>
        <v/>
      </c>
      <c r="S258" s="23">
        <f>IF($R258="","",IF(OR($R258="ATRASADO",$R258="HOJE",$R258="Definir data"),COUNTIF($R$5:$R258,"ATRASADO")+COUNTIF($R$5:$R258,"HOJE")+COUNTIF($R$5:$R258,"Definir data"),""))</f>
        <v/>
      </c>
      <c r="T258" s="18">
        <f>IF($C258="","",IF(OR($B258="",$E258="",$F258="",$G258=""),"Preencher entrada/origem/vendedor/etapa",IF(AND(OR($P258="Ganho",$P258="Perdido"),$K258=""),"Falta data de fechamento",IF(AND($P258="Perdido",$L258=""),"Informe o motivo da perda","OK"))))</f>
        <v/>
      </c>
    </row>
    <row r="259" spans="1:20">
      <c r="A259" s="18">
        <f>IF($C259="","",ROW()-4)</f>
        <v/>
      </c>
      <c r="B259" s="19"/>
      <c r="C259" s="13"/>
      <c r="D259" s="13"/>
      <c r="E259" s="13"/>
      <c r="F259" s="13"/>
      <c r="G259" s="13"/>
      <c r="H259" s="15"/>
      <c r="I259" s="19"/>
      <c r="J259" s="19"/>
      <c r="K259" s="19"/>
      <c r="L259" s="13"/>
      <c r="M259" s="13"/>
      <c r="N259" s="20">
        <f>IF($C259="","",IFERROR(INDEX(EtapaProb,MATCH($G259,Etapas,0)),0))</f>
        <v/>
      </c>
      <c r="O259" s="21">
        <f>IF($C259="","",IF($P259="Aberto",N($H259)*$N259,0))</f>
        <v/>
      </c>
      <c r="P259" s="18">
        <f>IF($C259="","",IF($G259="Ganho","Ganho",IF($G259="Perdido","Perdido","Aberto")))</f>
        <v/>
      </c>
      <c r="Q259" s="18">
        <f>IF(OR($C259="",$P259&lt;&gt;"Aberto"),"",IF($I259="",Hoje-$B259,Hoje-$I259))</f>
        <v/>
      </c>
      <c r="R259" s="22">
        <f>IF(OR($C259="",$P259&lt;&gt;"Aberto"),"",IF($J259="",IF($Q259&gt;DiasSC,"ATRASADO","Definir data"),IF($J259&lt;Hoje,"ATRASADO",IF($J259=Hoje,"HOJE","Em dia"))))</f>
        <v/>
      </c>
      <c r="S259" s="23">
        <f>IF($R259="","",IF(OR($R259="ATRASADO",$R259="HOJE",$R259="Definir data"),COUNTIF($R$5:$R259,"ATRASADO")+COUNTIF($R$5:$R259,"HOJE")+COUNTIF($R$5:$R259,"Definir data"),""))</f>
        <v/>
      </c>
      <c r="T259" s="18">
        <f>IF($C259="","",IF(OR($B259="",$E259="",$F259="",$G259=""),"Preencher entrada/origem/vendedor/etapa",IF(AND(OR($P259="Ganho",$P259="Perdido"),$K259=""),"Falta data de fechamento",IF(AND($P259="Perdido",$L259=""),"Informe o motivo da perda","OK"))))</f>
        <v/>
      </c>
    </row>
    <row r="260" spans="1:20">
      <c r="A260" s="18">
        <f>IF($C260="","",ROW()-4)</f>
        <v/>
      </c>
      <c r="B260" s="19"/>
      <c r="C260" s="13"/>
      <c r="D260" s="13"/>
      <c r="E260" s="13"/>
      <c r="F260" s="13"/>
      <c r="G260" s="13"/>
      <c r="H260" s="15"/>
      <c r="I260" s="19"/>
      <c r="J260" s="19"/>
      <c r="K260" s="19"/>
      <c r="L260" s="13"/>
      <c r="M260" s="13"/>
      <c r="N260" s="20">
        <f>IF($C260="","",IFERROR(INDEX(EtapaProb,MATCH($G260,Etapas,0)),0))</f>
        <v/>
      </c>
      <c r="O260" s="21">
        <f>IF($C260="","",IF($P260="Aberto",N($H260)*$N260,0))</f>
        <v/>
      </c>
      <c r="P260" s="18">
        <f>IF($C260="","",IF($G260="Ganho","Ganho",IF($G260="Perdido","Perdido","Aberto")))</f>
        <v/>
      </c>
      <c r="Q260" s="18">
        <f>IF(OR($C260="",$P260&lt;&gt;"Aberto"),"",IF($I260="",Hoje-$B260,Hoje-$I260))</f>
        <v/>
      </c>
      <c r="R260" s="22">
        <f>IF(OR($C260="",$P260&lt;&gt;"Aberto"),"",IF($J260="",IF($Q260&gt;DiasSC,"ATRASADO","Definir data"),IF($J260&lt;Hoje,"ATRASADO",IF($J260=Hoje,"HOJE","Em dia"))))</f>
        <v/>
      </c>
      <c r="S260" s="23">
        <f>IF($R260="","",IF(OR($R260="ATRASADO",$R260="HOJE",$R260="Definir data"),COUNTIF($R$5:$R260,"ATRASADO")+COUNTIF($R$5:$R260,"HOJE")+COUNTIF($R$5:$R260,"Definir data"),""))</f>
        <v/>
      </c>
      <c r="T260" s="18">
        <f>IF($C260="","",IF(OR($B260="",$E260="",$F260="",$G260=""),"Preencher entrada/origem/vendedor/etapa",IF(AND(OR($P260="Ganho",$P260="Perdido"),$K260=""),"Falta data de fechamento",IF(AND($P260="Perdido",$L260=""),"Informe o motivo da perda","OK"))))</f>
        <v/>
      </c>
    </row>
    <row r="261" spans="1:20">
      <c r="A261" s="18">
        <f>IF($C261="","",ROW()-4)</f>
        <v/>
      </c>
      <c r="B261" s="19"/>
      <c r="C261" s="13"/>
      <c r="D261" s="13"/>
      <c r="E261" s="13"/>
      <c r="F261" s="13"/>
      <c r="G261" s="13"/>
      <c r="H261" s="15"/>
      <c r="I261" s="19"/>
      <c r="J261" s="19"/>
      <c r="K261" s="19"/>
      <c r="L261" s="13"/>
      <c r="M261" s="13"/>
      <c r="N261" s="20">
        <f>IF($C261="","",IFERROR(INDEX(EtapaProb,MATCH($G261,Etapas,0)),0))</f>
        <v/>
      </c>
      <c r="O261" s="21">
        <f>IF($C261="","",IF($P261="Aberto",N($H261)*$N261,0))</f>
        <v/>
      </c>
      <c r="P261" s="18">
        <f>IF($C261="","",IF($G261="Ganho","Ganho",IF($G261="Perdido","Perdido","Aberto")))</f>
        <v/>
      </c>
      <c r="Q261" s="18">
        <f>IF(OR($C261="",$P261&lt;&gt;"Aberto"),"",IF($I261="",Hoje-$B261,Hoje-$I261))</f>
        <v/>
      </c>
      <c r="R261" s="22">
        <f>IF(OR($C261="",$P261&lt;&gt;"Aberto"),"",IF($J261="",IF($Q261&gt;DiasSC,"ATRASADO","Definir data"),IF($J261&lt;Hoje,"ATRASADO",IF($J261=Hoje,"HOJE","Em dia"))))</f>
        <v/>
      </c>
      <c r="S261" s="23">
        <f>IF($R261="","",IF(OR($R261="ATRASADO",$R261="HOJE",$R261="Definir data"),COUNTIF($R$5:$R261,"ATRASADO")+COUNTIF($R$5:$R261,"HOJE")+COUNTIF($R$5:$R261,"Definir data"),""))</f>
        <v/>
      </c>
      <c r="T261" s="18">
        <f>IF($C261="","",IF(OR($B261="",$E261="",$F261="",$G261=""),"Preencher entrada/origem/vendedor/etapa",IF(AND(OR($P261="Ganho",$P261="Perdido"),$K261=""),"Falta data de fechamento",IF(AND($P261="Perdido",$L261=""),"Informe o motivo da perda","OK"))))</f>
        <v/>
      </c>
    </row>
    <row r="262" spans="1:20">
      <c r="A262" s="18">
        <f>IF($C262="","",ROW()-4)</f>
        <v/>
      </c>
      <c r="B262" s="19"/>
      <c r="C262" s="13"/>
      <c r="D262" s="13"/>
      <c r="E262" s="13"/>
      <c r="F262" s="13"/>
      <c r="G262" s="13"/>
      <c r="H262" s="15"/>
      <c r="I262" s="19"/>
      <c r="J262" s="19"/>
      <c r="K262" s="19"/>
      <c r="L262" s="13"/>
      <c r="M262" s="13"/>
      <c r="N262" s="20">
        <f>IF($C262="","",IFERROR(INDEX(EtapaProb,MATCH($G262,Etapas,0)),0))</f>
        <v/>
      </c>
      <c r="O262" s="21">
        <f>IF($C262="","",IF($P262="Aberto",N($H262)*$N262,0))</f>
        <v/>
      </c>
      <c r="P262" s="18">
        <f>IF($C262="","",IF($G262="Ganho","Ganho",IF($G262="Perdido","Perdido","Aberto")))</f>
        <v/>
      </c>
      <c r="Q262" s="18">
        <f>IF(OR($C262="",$P262&lt;&gt;"Aberto"),"",IF($I262="",Hoje-$B262,Hoje-$I262))</f>
        <v/>
      </c>
      <c r="R262" s="22">
        <f>IF(OR($C262="",$P262&lt;&gt;"Aberto"),"",IF($J262="",IF($Q262&gt;DiasSC,"ATRASADO","Definir data"),IF($J262&lt;Hoje,"ATRASADO",IF($J262=Hoje,"HOJE","Em dia"))))</f>
        <v/>
      </c>
      <c r="S262" s="23">
        <f>IF($R262="","",IF(OR($R262="ATRASADO",$R262="HOJE",$R262="Definir data"),COUNTIF($R$5:$R262,"ATRASADO")+COUNTIF($R$5:$R262,"HOJE")+COUNTIF($R$5:$R262,"Definir data"),""))</f>
        <v/>
      </c>
      <c r="T262" s="18">
        <f>IF($C262="","",IF(OR($B262="",$E262="",$F262="",$G262=""),"Preencher entrada/origem/vendedor/etapa",IF(AND(OR($P262="Ganho",$P262="Perdido"),$K262=""),"Falta data de fechamento",IF(AND($P262="Perdido",$L262=""),"Informe o motivo da perda","OK"))))</f>
        <v/>
      </c>
    </row>
    <row r="263" spans="1:20">
      <c r="A263" s="18">
        <f>IF($C263="","",ROW()-4)</f>
        <v/>
      </c>
      <c r="B263" s="19"/>
      <c r="C263" s="13"/>
      <c r="D263" s="13"/>
      <c r="E263" s="13"/>
      <c r="F263" s="13"/>
      <c r="G263" s="13"/>
      <c r="H263" s="15"/>
      <c r="I263" s="19"/>
      <c r="J263" s="19"/>
      <c r="K263" s="19"/>
      <c r="L263" s="13"/>
      <c r="M263" s="13"/>
      <c r="N263" s="20">
        <f>IF($C263="","",IFERROR(INDEX(EtapaProb,MATCH($G263,Etapas,0)),0))</f>
        <v/>
      </c>
      <c r="O263" s="21">
        <f>IF($C263="","",IF($P263="Aberto",N($H263)*$N263,0))</f>
        <v/>
      </c>
      <c r="P263" s="18">
        <f>IF($C263="","",IF($G263="Ganho","Ganho",IF($G263="Perdido","Perdido","Aberto")))</f>
        <v/>
      </c>
      <c r="Q263" s="18">
        <f>IF(OR($C263="",$P263&lt;&gt;"Aberto"),"",IF($I263="",Hoje-$B263,Hoje-$I263))</f>
        <v/>
      </c>
      <c r="R263" s="22">
        <f>IF(OR($C263="",$P263&lt;&gt;"Aberto"),"",IF($J263="",IF($Q263&gt;DiasSC,"ATRASADO","Definir data"),IF($J263&lt;Hoje,"ATRASADO",IF($J263=Hoje,"HOJE","Em dia"))))</f>
        <v/>
      </c>
      <c r="S263" s="23">
        <f>IF($R263="","",IF(OR($R263="ATRASADO",$R263="HOJE",$R263="Definir data"),COUNTIF($R$5:$R263,"ATRASADO")+COUNTIF($R$5:$R263,"HOJE")+COUNTIF($R$5:$R263,"Definir data"),""))</f>
        <v/>
      </c>
      <c r="T263" s="18">
        <f>IF($C263="","",IF(OR($B263="",$E263="",$F263="",$G263=""),"Preencher entrada/origem/vendedor/etapa",IF(AND(OR($P263="Ganho",$P263="Perdido"),$K263=""),"Falta data de fechamento",IF(AND($P263="Perdido",$L263=""),"Informe o motivo da perda","OK"))))</f>
        <v/>
      </c>
    </row>
    <row r="264" spans="1:20">
      <c r="A264" s="18">
        <f>IF($C264="","",ROW()-4)</f>
        <v/>
      </c>
      <c r="B264" s="19"/>
      <c r="C264" s="13"/>
      <c r="D264" s="13"/>
      <c r="E264" s="13"/>
      <c r="F264" s="13"/>
      <c r="G264" s="13"/>
      <c r="H264" s="15"/>
      <c r="I264" s="19"/>
      <c r="J264" s="19"/>
      <c r="K264" s="19"/>
      <c r="L264" s="13"/>
      <c r="M264" s="13"/>
      <c r="N264" s="20">
        <f>IF($C264="","",IFERROR(INDEX(EtapaProb,MATCH($G264,Etapas,0)),0))</f>
        <v/>
      </c>
      <c r="O264" s="21">
        <f>IF($C264="","",IF($P264="Aberto",N($H264)*$N264,0))</f>
        <v/>
      </c>
      <c r="P264" s="18">
        <f>IF($C264="","",IF($G264="Ganho","Ganho",IF($G264="Perdido","Perdido","Aberto")))</f>
        <v/>
      </c>
      <c r="Q264" s="18">
        <f>IF(OR($C264="",$P264&lt;&gt;"Aberto"),"",IF($I264="",Hoje-$B264,Hoje-$I264))</f>
        <v/>
      </c>
      <c r="R264" s="22">
        <f>IF(OR($C264="",$P264&lt;&gt;"Aberto"),"",IF($J264="",IF($Q264&gt;DiasSC,"ATRASADO","Definir data"),IF($J264&lt;Hoje,"ATRASADO",IF($J264=Hoje,"HOJE","Em dia"))))</f>
        <v/>
      </c>
      <c r="S264" s="23">
        <f>IF($R264="","",IF(OR($R264="ATRASADO",$R264="HOJE",$R264="Definir data"),COUNTIF($R$5:$R264,"ATRASADO")+COUNTIF($R$5:$R264,"HOJE")+COUNTIF($R$5:$R264,"Definir data"),""))</f>
        <v/>
      </c>
      <c r="T264" s="18">
        <f>IF($C264="","",IF(OR($B264="",$E264="",$F264="",$G264=""),"Preencher entrada/origem/vendedor/etapa",IF(AND(OR($P264="Ganho",$P264="Perdido"),$K264=""),"Falta data de fechamento",IF(AND($P264="Perdido",$L264=""),"Informe o motivo da perda","OK"))))</f>
        <v/>
      </c>
    </row>
    <row r="265" spans="1:20">
      <c r="A265" s="18">
        <f>IF($C265="","",ROW()-4)</f>
        <v/>
      </c>
      <c r="B265" s="19"/>
      <c r="C265" s="13"/>
      <c r="D265" s="13"/>
      <c r="E265" s="13"/>
      <c r="F265" s="13"/>
      <c r="G265" s="13"/>
      <c r="H265" s="15"/>
      <c r="I265" s="19"/>
      <c r="J265" s="19"/>
      <c r="K265" s="19"/>
      <c r="L265" s="13"/>
      <c r="M265" s="13"/>
      <c r="N265" s="20">
        <f>IF($C265="","",IFERROR(INDEX(EtapaProb,MATCH($G265,Etapas,0)),0))</f>
        <v/>
      </c>
      <c r="O265" s="21">
        <f>IF($C265="","",IF($P265="Aberto",N($H265)*$N265,0))</f>
        <v/>
      </c>
      <c r="P265" s="18">
        <f>IF($C265="","",IF($G265="Ganho","Ganho",IF($G265="Perdido","Perdido","Aberto")))</f>
        <v/>
      </c>
      <c r="Q265" s="18">
        <f>IF(OR($C265="",$P265&lt;&gt;"Aberto"),"",IF($I265="",Hoje-$B265,Hoje-$I265))</f>
        <v/>
      </c>
      <c r="R265" s="22">
        <f>IF(OR($C265="",$P265&lt;&gt;"Aberto"),"",IF($J265="",IF($Q265&gt;DiasSC,"ATRASADO","Definir data"),IF($J265&lt;Hoje,"ATRASADO",IF($J265=Hoje,"HOJE","Em dia"))))</f>
        <v/>
      </c>
      <c r="S265" s="23">
        <f>IF($R265="","",IF(OR($R265="ATRASADO",$R265="HOJE",$R265="Definir data"),COUNTIF($R$5:$R265,"ATRASADO")+COUNTIF($R$5:$R265,"HOJE")+COUNTIF($R$5:$R265,"Definir data"),""))</f>
        <v/>
      </c>
      <c r="T265" s="18">
        <f>IF($C265="","",IF(OR($B265="",$E265="",$F265="",$G265=""),"Preencher entrada/origem/vendedor/etapa",IF(AND(OR($P265="Ganho",$P265="Perdido"),$K265=""),"Falta data de fechamento",IF(AND($P265="Perdido",$L265=""),"Informe o motivo da perda","OK"))))</f>
        <v/>
      </c>
    </row>
    <row r="266" spans="1:20">
      <c r="A266" s="18">
        <f>IF($C266="","",ROW()-4)</f>
        <v/>
      </c>
      <c r="B266" s="19"/>
      <c r="C266" s="13"/>
      <c r="D266" s="13"/>
      <c r="E266" s="13"/>
      <c r="F266" s="13"/>
      <c r="G266" s="13"/>
      <c r="H266" s="15"/>
      <c r="I266" s="19"/>
      <c r="J266" s="19"/>
      <c r="K266" s="19"/>
      <c r="L266" s="13"/>
      <c r="M266" s="13"/>
      <c r="N266" s="20">
        <f>IF($C266="","",IFERROR(INDEX(EtapaProb,MATCH($G266,Etapas,0)),0))</f>
        <v/>
      </c>
      <c r="O266" s="21">
        <f>IF($C266="","",IF($P266="Aberto",N($H266)*$N266,0))</f>
        <v/>
      </c>
      <c r="P266" s="18">
        <f>IF($C266="","",IF($G266="Ganho","Ganho",IF($G266="Perdido","Perdido","Aberto")))</f>
        <v/>
      </c>
      <c r="Q266" s="18">
        <f>IF(OR($C266="",$P266&lt;&gt;"Aberto"),"",IF($I266="",Hoje-$B266,Hoje-$I266))</f>
        <v/>
      </c>
      <c r="R266" s="22">
        <f>IF(OR($C266="",$P266&lt;&gt;"Aberto"),"",IF($J266="",IF($Q266&gt;DiasSC,"ATRASADO","Definir data"),IF($J266&lt;Hoje,"ATRASADO",IF($J266=Hoje,"HOJE","Em dia"))))</f>
        <v/>
      </c>
      <c r="S266" s="23">
        <f>IF($R266="","",IF(OR($R266="ATRASADO",$R266="HOJE",$R266="Definir data"),COUNTIF($R$5:$R266,"ATRASADO")+COUNTIF($R$5:$R266,"HOJE")+COUNTIF($R$5:$R266,"Definir data"),""))</f>
        <v/>
      </c>
      <c r="T266" s="18">
        <f>IF($C266="","",IF(OR($B266="",$E266="",$F266="",$G266=""),"Preencher entrada/origem/vendedor/etapa",IF(AND(OR($P266="Ganho",$P266="Perdido"),$K266=""),"Falta data de fechamento",IF(AND($P266="Perdido",$L266=""),"Informe o motivo da perda","OK"))))</f>
        <v/>
      </c>
    </row>
    <row r="267" spans="1:20">
      <c r="A267" s="18">
        <f>IF($C267="","",ROW()-4)</f>
        <v/>
      </c>
      <c r="B267" s="19"/>
      <c r="C267" s="13"/>
      <c r="D267" s="13"/>
      <c r="E267" s="13"/>
      <c r="F267" s="13"/>
      <c r="G267" s="13"/>
      <c r="H267" s="15"/>
      <c r="I267" s="19"/>
      <c r="J267" s="19"/>
      <c r="K267" s="19"/>
      <c r="L267" s="13"/>
      <c r="M267" s="13"/>
      <c r="N267" s="20">
        <f>IF($C267="","",IFERROR(INDEX(EtapaProb,MATCH($G267,Etapas,0)),0))</f>
        <v/>
      </c>
      <c r="O267" s="21">
        <f>IF($C267="","",IF($P267="Aberto",N($H267)*$N267,0))</f>
        <v/>
      </c>
      <c r="P267" s="18">
        <f>IF($C267="","",IF($G267="Ganho","Ganho",IF($G267="Perdido","Perdido","Aberto")))</f>
        <v/>
      </c>
      <c r="Q267" s="18">
        <f>IF(OR($C267="",$P267&lt;&gt;"Aberto"),"",IF($I267="",Hoje-$B267,Hoje-$I267))</f>
        <v/>
      </c>
      <c r="R267" s="22">
        <f>IF(OR($C267="",$P267&lt;&gt;"Aberto"),"",IF($J267="",IF($Q267&gt;DiasSC,"ATRASADO","Definir data"),IF($J267&lt;Hoje,"ATRASADO",IF($J267=Hoje,"HOJE","Em dia"))))</f>
        <v/>
      </c>
      <c r="S267" s="23">
        <f>IF($R267="","",IF(OR($R267="ATRASADO",$R267="HOJE",$R267="Definir data"),COUNTIF($R$5:$R267,"ATRASADO")+COUNTIF($R$5:$R267,"HOJE")+COUNTIF($R$5:$R267,"Definir data"),""))</f>
        <v/>
      </c>
      <c r="T267" s="18">
        <f>IF($C267="","",IF(OR($B267="",$E267="",$F267="",$G267=""),"Preencher entrada/origem/vendedor/etapa",IF(AND(OR($P267="Ganho",$P267="Perdido"),$K267=""),"Falta data de fechamento",IF(AND($P267="Perdido",$L267=""),"Informe o motivo da perda","OK"))))</f>
        <v/>
      </c>
    </row>
    <row r="268" spans="1:20">
      <c r="A268" s="18">
        <f>IF($C268="","",ROW()-4)</f>
        <v/>
      </c>
      <c r="B268" s="19"/>
      <c r="C268" s="13"/>
      <c r="D268" s="13"/>
      <c r="E268" s="13"/>
      <c r="F268" s="13"/>
      <c r="G268" s="13"/>
      <c r="H268" s="15"/>
      <c r="I268" s="19"/>
      <c r="J268" s="19"/>
      <c r="K268" s="19"/>
      <c r="L268" s="13"/>
      <c r="M268" s="13"/>
      <c r="N268" s="20">
        <f>IF($C268="","",IFERROR(INDEX(EtapaProb,MATCH($G268,Etapas,0)),0))</f>
        <v/>
      </c>
      <c r="O268" s="21">
        <f>IF($C268="","",IF($P268="Aberto",N($H268)*$N268,0))</f>
        <v/>
      </c>
      <c r="P268" s="18">
        <f>IF($C268="","",IF($G268="Ganho","Ganho",IF($G268="Perdido","Perdido","Aberto")))</f>
        <v/>
      </c>
      <c r="Q268" s="18">
        <f>IF(OR($C268="",$P268&lt;&gt;"Aberto"),"",IF($I268="",Hoje-$B268,Hoje-$I268))</f>
        <v/>
      </c>
      <c r="R268" s="22">
        <f>IF(OR($C268="",$P268&lt;&gt;"Aberto"),"",IF($J268="",IF($Q268&gt;DiasSC,"ATRASADO","Definir data"),IF($J268&lt;Hoje,"ATRASADO",IF($J268=Hoje,"HOJE","Em dia"))))</f>
        <v/>
      </c>
      <c r="S268" s="23">
        <f>IF($R268="","",IF(OR($R268="ATRASADO",$R268="HOJE",$R268="Definir data"),COUNTIF($R$5:$R268,"ATRASADO")+COUNTIF($R$5:$R268,"HOJE")+COUNTIF($R$5:$R268,"Definir data"),""))</f>
        <v/>
      </c>
      <c r="T268" s="18">
        <f>IF($C268="","",IF(OR($B268="",$E268="",$F268="",$G268=""),"Preencher entrada/origem/vendedor/etapa",IF(AND(OR($P268="Ganho",$P268="Perdido"),$K268=""),"Falta data de fechamento",IF(AND($P268="Perdido",$L268=""),"Informe o motivo da perda","OK"))))</f>
        <v/>
      </c>
    </row>
    <row r="269" spans="1:20">
      <c r="A269" s="18">
        <f>IF($C269="","",ROW()-4)</f>
        <v/>
      </c>
      <c r="B269" s="19"/>
      <c r="C269" s="13"/>
      <c r="D269" s="13"/>
      <c r="E269" s="13"/>
      <c r="F269" s="13"/>
      <c r="G269" s="13"/>
      <c r="H269" s="15"/>
      <c r="I269" s="19"/>
      <c r="J269" s="19"/>
      <c r="K269" s="19"/>
      <c r="L269" s="13"/>
      <c r="M269" s="13"/>
      <c r="N269" s="20">
        <f>IF($C269="","",IFERROR(INDEX(EtapaProb,MATCH($G269,Etapas,0)),0))</f>
        <v/>
      </c>
      <c r="O269" s="21">
        <f>IF($C269="","",IF($P269="Aberto",N($H269)*$N269,0))</f>
        <v/>
      </c>
      <c r="P269" s="18">
        <f>IF($C269="","",IF($G269="Ganho","Ganho",IF($G269="Perdido","Perdido","Aberto")))</f>
        <v/>
      </c>
      <c r="Q269" s="18">
        <f>IF(OR($C269="",$P269&lt;&gt;"Aberto"),"",IF($I269="",Hoje-$B269,Hoje-$I269))</f>
        <v/>
      </c>
      <c r="R269" s="22">
        <f>IF(OR($C269="",$P269&lt;&gt;"Aberto"),"",IF($J269="",IF($Q269&gt;DiasSC,"ATRASADO","Definir data"),IF($J269&lt;Hoje,"ATRASADO",IF($J269=Hoje,"HOJE","Em dia"))))</f>
        <v/>
      </c>
      <c r="S269" s="23">
        <f>IF($R269="","",IF(OR($R269="ATRASADO",$R269="HOJE",$R269="Definir data"),COUNTIF($R$5:$R269,"ATRASADO")+COUNTIF($R$5:$R269,"HOJE")+COUNTIF($R$5:$R269,"Definir data"),""))</f>
        <v/>
      </c>
      <c r="T269" s="18">
        <f>IF($C269="","",IF(OR($B269="",$E269="",$F269="",$G269=""),"Preencher entrada/origem/vendedor/etapa",IF(AND(OR($P269="Ganho",$P269="Perdido"),$K269=""),"Falta data de fechamento",IF(AND($P269="Perdido",$L269=""),"Informe o motivo da perda","OK"))))</f>
        <v/>
      </c>
    </row>
    <row r="270" spans="1:20">
      <c r="A270" s="18">
        <f>IF($C270="","",ROW()-4)</f>
        <v/>
      </c>
      <c r="B270" s="19"/>
      <c r="C270" s="13"/>
      <c r="D270" s="13"/>
      <c r="E270" s="13"/>
      <c r="F270" s="13"/>
      <c r="G270" s="13"/>
      <c r="H270" s="15"/>
      <c r="I270" s="19"/>
      <c r="J270" s="19"/>
      <c r="K270" s="19"/>
      <c r="L270" s="13"/>
      <c r="M270" s="13"/>
      <c r="N270" s="20">
        <f>IF($C270="","",IFERROR(INDEX(EtapaProb,MATCH($G270,Etapas,0)),0))</f>
        <v/>
      </c>
      <c r="O270" s="21">
        <f>IF($C270="","",IF($P270="Aberto",N($H270)*$N270,0))</f>
        <v/>
      </c>
      <c r="P270" s="18">
        <f>IF($C270="","",IF($G270="Ganho","Ganho",IF($G270="Perdido","Perdido","Aberto")))</f>
        <v/>
      </c>
      <c r="Q270" s="18">
        <f>IF(OR($C270="",$P270&lt;&gt;"Aberto"),"",IF($I270="",Hoje-$B270,Hoje-$I270))</f>
        <v/>
      </c>
      <c r="R270" s="22">
        <f>IF(OR($C270="",$P270&lt;&gt;"Aberto"),"",IF($J270="",IF($Q270&gt;DiasSC,"ATRASADO","Definir data"),IF($J270&lt;Hoje,"ATRASADO",IF($J270=Hoje,"HOJE","Em dia"))))</f>
        <v/>
      </c>
      <c r="S270" s="23">
        <f>IF($R270="","",IF(OR($R270="ATRASADO",$R270="HOJE",$R270="Definir data"),COUNTIF($R$5:$R270,"ATRASADO")+COUNTIF($R$5:$R270,"HOJE")+COUNTIF($R$5:$R270,"Definir data"),""))</f>
        <v/>
      </c>
      <c r="T270" s="18">
        <f>IF($C270="","",IF(OR($B270="",$E270="",$F270="",$G270=""),"Preencher entrada/origem/vendedor/etapa",IF(AND(OR($P270="Ganho",$P270="Perdido"),$K270=""),"Falta data de fechamento",IF(AND($P270="Perdido",$L270=""),"Informe o motivo da perda","OK"))))</f>
        <v/>
      </c>
    </row>
    <row r="271" spans="1:20">
      <c r="A271" s="18">
        <f>IF($C271="","",ROW()-4)</f>
        <v/>
      </c>
      <c r="B271" s="19"/>
      <c r="C271" s="13"/>
      <c r="D271" s="13"/>
      <c r="E271" s="13"/>
      <c r="F271" s="13"/>
      <c r="G271" s="13"/>
      <c r="H271" s="15"/>
      <c r="I271" s="19"/>
      <c r="J271" s="19"/>
      <c r="K271" s="19"/>
      <c r="L271" s="13"/>
      <c r="M271" s="13"/>
      <c r="N271" s="20">
        <f>IF($C271="","",IFERROR(INDEX(EtapaProb,MATCH($G271,Etapas,0)),0))</f>
        <v/>
      </c>
      <c r="O271" s="21">
        <f>IF($C271="","",IF($P271="Aberto",N($H271)*$N271,0))</f>
        <v/>
      </c>
      <c r="P271" s="18">
        <f>IF($C271="","",IF($G271="Ganho","Ganho",IF($G271="Perdido","Perdido","Aberto")))</f>
        <v/>
      </c>
      <c r="Q271" s="18">
        <f>IF(OR($C271="",$P271&lt;&gt;"Aberto"),"",IF($I271="",Hoje-$B271,Hoje-$I271))</f>
        <v/>
      </c>
      <c r="R271" s="22">
        <f>IF(OR($C271="",$P271&lt;&gt;"Aberto"),"",IF($J271="",IF($Q271&gt;DiasSC,"ATRASADO","Definir data"),IF($J271&lt;Hoje,"ATRASADO",IF($J271=Hoje,"HOJE","Em dia"))))</f>
        <v/>
      </c>
      <c r="S271" s="23">
        <f>IF($R271="","",IF(OR($R271="ATRASADO",$R271="HOJE",$R271="Definir data"),COUNTIF($R$5:$R271,"ATRASADO")+COUNTIF($R$5:$R271,"HOJE")+COUNTIF($R$5:$R271,"Definir data"),""))</f>
        <v/>
      </c>
      <c r="T271" s="18">
        <f>IF($C271="","",IF(OR($B271="",$E271="",$F271="",$G271=""),"Preencher entrada/origem/vendedor/etapa",IF(AND(OR($P271="Ganho",$P271="Perdido"),$K271=""),"Falta data de fechamento",IF(AND($P271="Perdido",$L271=""),"Informe o motivo da perda","OK"))))</f>
        <v/>
      </c>
    </row>
    <row r="272" spans="1:20">
      <c r="A272" s="18">
        <f>IF($C272="","",ROW()-4)</f>
        <v/>
      </c>
      <c r="B272" s="19"/>
      <c r="C272" s="13"/>
      <c r="D272" s="13"/>
      <c r="E272" s="13"/>
      <c r="F272" s="13"/>
      <c r="G272" s="13"/>
      <c r="H272" s="15"/>
      <c r="I272" s="19"/>
      <c r="J272" s="19"/>
      <c r="K272" s="19"/>
      <c r="L272" s="13"/>
      <c r="M272" s="13"/>
      <c r="N272" s="20">
        <f>IF($C272="","",IFERROR(INDEX(EtapaProb,MATCH($G272,Etapas,0)),0))</f>
        <v/>
      </c>
      <c r="O272" s="21">
        <f>IF($C272="","",IF($P272="Aberto",N($H272)*$N272,0))</f>
        <v/>
      </c>
      <c r="P272" s="18">
        <f>IF($C272="","",IF($G272="Ganho","Ganho",IF($G272="Perdido","Perdido","Aberto")))</f>
        <v/>
      </c>
      <c r="Q272" s="18">
        <f>IF(OR($C272="",$P272&lt;&gt;"Aberto"),"",IF($I272="",Hoje-$B272,Hoje-$I272))</f>
        <v/>
      </c>
      <c r="R272" s="22">
        <f>IF(OR($C272="",$P272&lt;&gt;"Aberto"),"",IF($J272="",IF($Q272&gt;DiasSC,"ATRASADO","Definir data"),IF($J272&lt;Hoje,"ATRASADO",IF($J272=Hoje,"HOJE","Em dia"))))</f>
        <v/>
      </c>
      <c r="S272" s="23">
        <f>IF($R272="","",IF(OR($R272="ATRASADO",$R272="HOJE",$R272="Definir data"),COUNTIF($R$5:$R272,"ATRASADO")+COUNTIF($R$5:$R272,"HOJE")+COUNTIF($R$5:$R272,"Definir data"),""))</f>
        <v/>
      </c>
      <c r="T272" s="18">
        <f>IF($C272="","",IF(OR($B272="",$E272="",$F272="",$G272=""),"Preencher entrada/origem/vendedor/etapa",IF(AND(OR($P272="Ganho",$P272="Perdido"),$K272=""),"Falta data de fechamento",IF(AND($P272="Perdido",$L272=""),"Informe o motivo da perda","OK"))))</f>
        <v/>
      </c>
    </row>
    <row r="273" spans="1:20">
      <c r="A273" s="18">
        <f>IF($C273="","",ROW()-4)</f>
        <v/>
      </c>
      <c r="B273" s="19"/>
      <c r="C273" s="13"/>
      <c r="D273" s="13"/>
      <c r="E273" s="13"/>
      <c r="F273" s="13"/>
      <c r="G273" s="13"/>
      <c r="H273" s="15"/>
      <c r="I273" s="19"/>
      <c r="J273" s="19"/>
      <c r="K273" s="19"/>
      <c r="L273" s="13"/>
      <c r="M273" s="13"/>
      <c r="N273" s="20">
        <f>IF($C273="","",IFERROR(INDEX(EtapaProb,MATCH($G273,Etapas,0)),0))</f>
        <v/>
      </c>
      <c r="O273" s="21">
        <f>IF($C273="","",IF($P273="Aberto",N($H273)*$N273,0))</f>
        <v/>
      </c>
      <c r="P273" s="18">
        <f>IF($C273="","",IF($G273="Ganho","Ganho",IF($G273="Perdido","Perdido","Aberto")))</f>
        <v/>
      </c>
      <c r="Q273" s="18">
        <f>IF(OR($C273="",$P273&lt;&gt;"Aberto"),"",IF($I273="",Hoje-$B273,Hoje-$I273))</f>
        <v/>
      </c>
      <c r="R273" s="22">
        <f>IF(OR($C273="",$P273&lt;&gt;"Aberto"),"",IF($J273="",IF($Q273&gt;DiasSC,"ATRASADO","Definir data"),IF($J273&lt;Hoje,"ATRASADO",IF($J273=Hoje,"HOJE","Em dia"))))</f>
        <v/>
      </c>
      <c r="S273" s="23">
        <f>IF($R273="","",IF(OR($R273="ATRASADO",$R273="HOJE",$R273="Definir data"),COUNTIF($R$5:$R273,"ATRASADO")+COUNTIF($R$5:$R273,"HOJE")+COUNTIF($R$5:$R273,"Definir data"),""))</f>
        <v/>
      </c>
      <c r="T273" s="18">
        <f>IF($C273="","",IF(OR($B273="",$E273="",$F273="",$G273=""),"Preencher entrada/origem/vendedor/etapa",IF(AND(OR($P273="Ganho",$P273="Perdido"),$K273=""),"Falta data de fechamento",IF(AND($P273="Perdido",$L273=""),"Informe o motivo da perda","OK"))))</f>
        <v/>
      </c>
    </row>
    <row r="274" spans="1:20">
      <c r="A274" s="18">
        <f>IF($C274="","",ROW()-4)</f>
        <v/>
      </c>
      <c r="B274" s="19"/>
      <c r="C274" s="13"/>
      <c r="D274" s="13"/>
      <c r="E274" s="13"/>
      <c r="F274" s="13"/>
      <c r="G274" s="13"/>
      <c r="H274" s="15"/>
      <c r="I274" s="19"/>
      <c r="J274" s="19"/>
      <c r="K274" s="19"/>
      <c r="L274" s="13"/>
      <c r="M274" s="13"/>
      <c r="N274" s="20">
        <f>IF($C274="","",IFERROR(INDEX(EtapaProb,MATCH($G274,Etapas,0)),0))</f>
        <v/>
      </c>
      <c r="O274" s="21">
        <f>IF($C274="","",IF($P274="Aberto",N($H274)*$N274,0))</f>
        <v/>
      </c>
      <c r="P274" s="18">
        <f>IF($C274="","",IF($G274="Ganho","Ganho",IF($G274="Perdido","Perdido","Aberto")))</f>
        <v/>
      </c>
      <c r="Q274" s="18">
        <f>IF(OR($C274="",$P274&lt;&gt;"Aberto"),"",IF($I274="",Hoje-$B274,Hoje-$I274))</f>
        <v/>
      </c>
      <c r="R274" s="22">
        <f>IF(OR($C274="",$P274&lt;&gt;"Aberto"),"",IF($J274="",IF($Q274&gt;DiasSC,"ATRASADO","Definir data"),IF($J274&lt;Hoje,"ATRASADO",IF($J274=Hoje,"HOJE","Em dia"))))</f>
        <v/>
      </c>
      <c r="S274" s="23">
        <f>IF($R274="","",IF(OR($R274="ATRASADO",$R274="HOJE",$R274="Definir data"),COUNTIF($R$5:$R274,"ATRASADO")+COUNTIF($R$5:$R274,"HOJE")+COUNTIF($R$5:$R274,"Definir data"),""))</f>
        <v/>
      </c>
      <c r="T274" s="18">
        <f>IF($C274="","",IF(OR($B274="",$E274="",$F274="",$G274=""),"Preencher entrada/origem/vendedor/etapa",IF(AND(OR($P274="Ganho",$P274="Perdido"),$K274=""),"Falta data de fechamento",IF(AND($P274="Perdido",$L274=""),"Informe o motivo da perda","OK"))))</f>
        <v/>
      </c>
    </row>
    <row r="275" spans="1:20">
      <c r="A275" s="18">
        <f>IF($C275="","",ROW()-4)</f>
        <v/>
      </c>
      <c r="B275" s="19"/>
      <c r="C275" s="13"/>
      <c r="D275" s="13"/>
      <c r="E275" s="13"/>
      <c r="F275" s="13"/>
      <c r="G275" s="13"/>
      <c r="H275" s="15"/>
      <c r="I275" s="19"/>
      <c r="J275" s="19"/>
      <c r="K275" s="19"/>
      <c r="L275" s="13"/>
      <c r="M275" s="13"/>
      <c r="N275" s="20">
        <f>IF($C275="","",IFERROR(INDEX(EtapaProb,MATCH($G275,Etapas,0)),0))</f>
        <v/>
      </c>
      <c r="O275" s="21">
        <f>IF($C275="","",IF($P275="Aberto",N($H275)*$N275,0))</f>
        <v/>
      </c>
      <c r="P275" s="18">
        <f>IF($C275="","",IF($G275="Ganho","Ganho",IF($G275="Perdido","Perdido","Aberto")))</f>
        <v/>
      </c>
      <c r="Q275" s="18">
        <f>IF(OR($C275="",$P275&lt;&gt;"Aberto"),"",IF($I275="",Hoje-$B275,Hoje-$I275))</f>
        <v/>
      </c>
      <c r="R275" s="22">
        <f>IF(OR($C275="",$P275&lt;&gt;"Aberto"),"",IF($J275="",IF($Q275&gt;DiasSC,"ATRASADO","Definir data"),IF($J275&lt;Hoje,"ATRASADO",IF($J275=Hoje,"HOJE","Em dia"))))</f>
        <v/>
      </c>
      <c r="S275" s="23">
        <f>IF($R275="","",IF(OR($R275="ATRASADO",$R275="HOJE",$R275="Definir data"),COUNTIF($R$5:$R275,"ATRASADO")+COUNTIF($R$5:$R275,"HOJE")+COUNTIF($R$5:$R275,"Definir data"),""))</f>
        <v/>
      </c>
      <c r="T275" s="18">
        <f>IF($C275="","",IF(OR($B275="",$E275="",$F275="",$G275=""),"Preencher entrada/origem/vendedor/etapa",IF(AND(OR($P275="Ganho",$P275="Perdido"),$K275=""),"Falta data de fechamento",IF(AND($P275="Perdido",$L275=""),"Informe o motivo da perda","OK"))))</f>
        <v/>
      </c>
    </row>
    <row r="276" spans="1:20">
      <c r="A276" s="18">
        <f>IF($C276="","",ROW()-4)</f>
        <v/>
      </c>
      <c r="B276" s="19"/>
      <c r="C276" s="13"/>
      <c r="D276" s="13"/>
      <c r="E276" s="13"/>
      <c r="F276" s="13"/>
      <c r="G276" s="13"/>
      <c r="H276" s="15"/>
      <c r="I276" s="19"/>
      <c r="J276" s="19"/>
      <c r="K276" s="19"/>
      <c r="L276" s="13"/>
      <c r="M276" s="13"/>
      <c r="N276" s="20">
        <f>IF($C276="","",IFERROR(INDEX(EtapaProb,MATCH($G276,Etapas,0)),0))</f>
        <v/>
      </c>
      <c r="O276" s="21">
        <f>IF($C276="","",IF($P276="Aberto",N($H276)*$N276,0))</f>
        <v/>
      </c>
      <c r="P276" s="18">
        <f>IF($C276="","",IF($G276="Ganho","Ganho",IF($G276="Perdido","Perdido","Aberto")))</f>
        <v/>
      </c>
      <c r="Q276" s="18">
        <f>IF(OR($C276="",$P276&lt;&gt;"Aberto"),"",IF($I276="",Hoje-$B276,Hoje-$I276))</f>
        <v/>
      </c>
      <c r="R276" s="22">
        <f>IF(OR($C276="",$P276&lt;&gt;"Aberto"),"",IF($J276="",IF($Q276&gt;DiasSC,"ATRASADO","Definir data"),IF($J276&lt;Hoje,"ATRASADO",IF($J276=Hoje,"HOJE","Em dia"))))</f>
        <v/>
      </c>
      <c r="S276" s="23">
        <f>IF($R276="","",IF(OR($R276="ATRASADO",$R276="HOJE",$R276="Definir data"),COUNTIF($R$5:$R276,"ATRASADO")+COUNTIF($R$5:$R276,"HOJE")+COUNTIF($R$5:$R276,"Definir data"),""))</f>
        <v/>
      </c>
      <c r="T276" s="18">
        <f>IF($C276="","",IF(OR($B276="",$E276="",$F276="",$G276=""),"Preencher entrada/origem/vendedor/etapa",IF(AND(OR($P276="Ganho",$P276="Perdido"),$K276=""),"Falta data de fechamento",IF(AND($P276="Perdido",$L276=""),"Informe o motivo da perda","OK"))))</f>
        <v/>
      </c>
    </row>
    <row r="277" spans="1:20">
      <c r="A277" s="18">
        <f>IF($C277="","",ROW()-4)</f>
        <v/>
      </c>
      <c r="B277" s="19"/>
      <c r="C277" s="13"/>
      <c r="D277" s="13"/>
      <c r="E277" s="13"/>
      <c r="F277" s="13"/>
      <c r="G277" s="13"/>
      <c r="H277" s="15"/>
      <c r="I277" s="19"/>
      <c r="J277" s="19"/>
      <c r="K277" s="19"/>
      <c r="L277" s="13"/>
      <c r="M277" s="13"/>
      <c r="N277" s="20">
        <f>IF($C277="","",IFERROR(INDEX(EtapaProb,MATCH($G277,Etapas,0)),0))</f>
        <v/>
      </c>
      <c r="O277" s="21">
        <f>IF($C277="","",IF($P277="Aberto",N($H277)*$N277,0))</f>
        <v/>
      </c>
      <c r="P277" s="18">
        <f>IF($C277="","",IF($G277="Ganho","Ganho",IF($G277="Perdido","Perdido","Aberto")))</f>
        <v/>
      </c>
      <c r="Q277" s="18">
        <f>IF(OR($C277="",$P277&lt;&gt;"Aberto"),"",IF($I277="",Hoje-$B277,Hoje-$I277))</f>
        <v/>
      </c>
      <c r="R277" s="22">
        <f>IF(OR($C277="",$P277&lt;&gt;"Aberto"),"",IF($J277="",IF($Q277&gt;DiasSC,"ATRASADO","Definir data"),IF($J277&lt;Hoje,"ATRASADO",IF($J277=Hoje,"HOJE","Em dia"))))</f>
        <v/>
      </c>
      <c r="S277" s="23">
        <f>IF($R277="","",IF(OR($R277="ATRASADO",$R277="HOJE",$R277="Definir data"),COUNTIF($R$5:$R277,"ATRASADO")+COUNTIF($R$5:$R277,"HOJE")+COUNTIF($R$5:$R277,"Definir data"),""))</f>
        <v/>
      </c>
      <c r="T277" s="18">
        <f>IF($C277="","",IF(OR($B277="",$E277="",$F277="",$G277=""),"Preencher entrada/origem/vendedor/etapa",IF(AND(OR($P277="Ganho",$P277="Perdido"),$K277=""),"Falta data de fechamento",IF(AND($P277="Perdido",$L277=""),"Informe o motivo da perda","OK"))))</f>
        <v/>
      </c>
    </row>
    <row r="278" spans="1:20">
      <c r="A278" s="18">
        <f>IF($C278="","",ROW()-4)</f>
        <v/>
      </c>
      <c r="B278" s="19"/>
      <c r="C278" s="13"/>
      <c r="D278" s="13"/>
      <c r="E278" s="13"/>
      <c r="F278" s="13"/>
      <c r="G278" s="13"/>
      <c r="H278" s="15"/>
      <c r="I278" s="19"/>
      <c r="J278" s="19"/>
      <c r="K278" s="19"/>
      <c r="L278" s="13"/>
      <c r="M278" s="13"/>
      <c r="N278" s="20">
        <f>IF($C278="","",IFERROR(INDEX(EtapaProb,MATCH($G278,Etapas,0)),0))</f>
        <v/>
      </c>
      <c r="O278" s="21">
        <f>IF($C278="","",IF($P278="Aberto",N($H278)*$N278,0))</f>
        <v/>
      </c>
      <c r="P278" s="18">
        <f>IF($C278="","",IF($G278="Ganho","Ganho",IF($G278="Perdido","Perdido","Aberto")))</f>
        <v/>
      </c>
      <c r="Q278" s="18">
        <f>IF(OR($C278="",$P278&lt;&gt;"Aberto"),"",IF($I278="",Hoje-$B278,Hoje-$I278))</f>
        <v/>
      </c>
      <c r="R278" s="22">
        <f>IF(OR($C278="",$P278&lt;&gt;"Aberto"),"",IF($J278="",IF($Q278&gt;DiasSC,"ATRASADO","Definir data"),IF($J278&lt;Hoje,"ATRASADO",IF($J278=Hoje,"HOJE","Em dia"))))</f>
        <v/>
      </c>
      <c r="S278" s="23">
        <f>IF($R278="","",IF(OR($R278="ATRASADO",$R278="HOJE",$R278="Definir data"),COUNTIF($R$5:$R278,"ATRASADO")+COUNTIF($R$5:$R278,"HOJE")+COUNTIF($R$5:$R278,"Definir data"),""))</f>
        <v/>
      </c>
      <c r="T278" s="18">
        <f>IF($C278="","",IF(OR($B278="",$E278="",$F278="",$G278=""),"Preencher entrada/origem/vendedor/etapa",IF(AND(OR($P278="Ganho",$P278="Perdido"),$K278=""),"Falta data de fechamento",IF(AND($P278="Perdido",$L278=""),"Informe o motivo da perda","OK"))))</f>
        <v/>
      </c>
    </row>
    <row r="279" spans="1:20">
      <c r="A279" s="18">
        <f>IF($C279="","",ROW()-4)</f>
        <v/>
      </c>
      <c r="B279" s="19"/>
      <c r="C279" s="13"/>
      <c r="D279" s="13"/>
      <c r="E279" s="13"/>
      <c r="F279" s="13"/>
      <c r="G279" s="13"/>
      <c r="H279" s="15"/>
      <c r="I279" s="19"/>
      <c r="J279" s="19"/>
      <c r="K279" s="19"/>
      <c r="L279" s="13"/>
      <c r="M279" s="13"/>
      <c r="N279" s="20">
        <f>IF($C279="","",IFERROR(INDEX(EtapaProb,MATCH($G279,Etapas,0)),0))</f>
        <v/>
      </c>
      <c r="O279" s="21">
        <f>IF($C279="","",IF($P279="Aberto",N($H279)*$N279,0))</f>
        <v/>
      </c>
      <c r="P279" s="18">
        <f>IF($C279="","",IF($G279="Ganho","Ganho",IF($G279="Perdido","Perdido","Aberto")))</f>
        <v/>
      </c>
      <c r="Q279" s="18">
        <f>IF(OR($C279="",$P279&lt;&gt;"Aberto"),"",IF($I279="",Hoje-$B279,Hoje-$I279))</f>
        <v/>
      </c>
      <c r="R279" s="22">
        <f>IF(OR($C279="",$P279&lt;&gt;"Aberto"),"",IF($J279="",IF($Q279&gt;DiasSC,"ATRASADO","Definir data"),IF($J279&lt;Hoje,"ATRASADO",IF($J279=Hoje,"HOJE","Em dia"))))</f>
        <v/>
      </c>
      <c r="S279" s="23">
        <f>IF($R279="","",IF(OR($R279="ATRASADO",$R279="HOJE",$R279="Definir data"),COUNTIF($R$5:$R279,"ATRASADO")+COUNTIF($R$5:$R279,"HOJE")+COUNTIF($R$5:$R279,"Definir data"),""))</f>
        <v/>
      </c>
      <c r="T279" s="18">
        <f>IF($C279="","",IF(OR($B279="",$E279="",$F279="",$G279=""),"Preencher entrada/origem/vendedor/etapa",IF(AND(OR($P279="Ganho",$P279="Perdido"),$K279=""),"Falta data de fechamento",IF(AND($P279="Perdido",$L279=""),"Informe o motivo da perda","OK"))))</f>
        <v/>
      </c>
    </row>
    <row r="280" spans="1:20">
      <c r="A280" s="18">
        <f>IF($C280="","",ROW()-4)</f>
        <v/>
      </c>
      <c r="B280" s="19"/>
      <c r="C280" s="13"/>
      <c r="D280" s="13"/>
      <c r="E280" s="13"/>
      <c r="F280" s="13"/>
      <c r="G280" s="13"/>
      <c r="H280" s="15"/>
      <c r="I280" s="19"/>
      <c r="J280" s="19"/>
      <c r="K280" s="19"/>
      <c r="L280" s="13"/>
      <c r="M280" s="13"/>
      <c r="N280" s="20">
        <f>IF($C280="","",IFERROR(INDEX(EtapaProb,MATCH($G280,Etapas,0)),0))</f>
        <v/>
      </c>
      <c r="O280" s="21">
        <f>IF($C280="","",IF($P280="Aberto",N($H280)*$N280,0))</f>
        <v/>
      </c>
      <c r="P280" s="18">
        <f>IF($C280="","",IF($G280="Ganho","Ganho",IF($G280="Perdido","Perdido","Aberto")))</f>
        <v/>
      </c>
      <c r="Q280" s="18">
        <f>IF(OR($C280="",$P280&lt;&gt;"Aberto"),"",IF($I280="",Hoje-$B280,Hoje-$I280))</f>
        <v/>
      </c>
      <c r="R280" s="22">
        <f>IF(OR($C280="",$P280&lt;&gt;"Aberto"),"",IF($J280="",IF($Q280&gt;DiasSC,"ATRASADO","Definir data"),IF($J280&lt;Hoje,"ATRASADO",IF($J280=Hoje,"HOJE","Em dia"))))</f>
        <v/>
      </c>
      <c r="S280" s="23">
        <f>IF($R280="","",IF(OR($R280="ATRASADO",$R280="HOJE",$R280="Definir data"),COUNTIF($R$5:$R280,"ATRASADO")+COUNTIF($R$5:$R280,"HOJE")+COUNTIF($R$5:$R280,"Definir data"),""))</f>
        <v/>
      </c>
      <c r="T280" s="18">
        <f>IF($C280="","",IF(OR($B280="",$E280="",$F280="",$G280=""),"Preencher entrada/origem/vendedor/etapa",IF(AND(OR($P280="Ganho",$P280="Perdido"),$K280=""),"Falta data de fechamento",IF(AND($P280="Perdido",$L280=""),"Informe o motivo da perda","OK"))))</f>
        <v/>
      </c>
    </row>
    <row r="281" spans="1:20">
      <c r="A281" s="18">
        <f>IF($C281="","",ROW()-4)</f>
        <v/>
      </c>
      <c r="B281" s="19"/>
      <c r="C281" s="13"/>
      <c r="D281" s="13"/>
      <c r="E281" s="13"/>
      <c r="F281" s="13"/>
      <c r="G281" s="13"/>
      <c r="H281" s="15"/>
      <c r="I281" s="19"/>
      <c r="J281" s="19"/>
      <c r="K281" s="19"/>
      <c r="L281" s="13"/>
      <c r="M281" s="13"/>
      <c r="N281" s="20">
        <f>IF($C281="","",IFERROR(INDEX(EtapaProb,MATCH($G281,Etapas,0)),0))</f>
        <v/>
      </c>
      <c r="O281" s="21">
        <f>IF($C281="","",IF($P281="Aberto",N($H281)*$N281,0))</f>
        <v/>
      </c>
      <c r="P281" s="18">
        <f>IF($C281="","",IF($G281="Ganho","Ganho",IF($G281="Perdido","Perdido","Aberto")))</f>
        <v/>
      </c>
      <c r="Q281" s="18">
        <f>IF(OR($C281="",$P281&lt;&gt;"Aberto"),"",IF($I281="",Hoje-$B281,Hoje-$I281))</f>
        <v/>
      </c>
      <c r="R281" s="22">
        <f>IF(OR($C281="",$P281&lt;&gt;"Aberto"),"",IF($J281="",IF($Q281&gt;DiasSC,"ATRASADO","Definir data"),IF($J281&lt;Hoje,"ATRASADO",IF($J281=Hoje,"HOJE","Em dia"))))</f>
        <v/>
      </c>
      <c r="S281" s="23">
        <f>IF($R281="","",IF(OR($R281="ATRASADO",$R281="HOJE",$R281="Definir data"),COUNTIF($R$5:$R281,"ATRASADO")+COUNTIF($R$5:$R281,"HOJE")+COUNTIF($R$5:$R281,"Definir data"),""))</f>
        <v/>
      </c>
      <c r="T281" s="18">
        <f>IF($C281="","",IF(OR($B281="",$E281="",$F281="",$G281=""),"Preencher entrada/origem/vendedor/etapa",IF(AND(OR($P281="Ganho",$P281="Perdido"),$K281=""),"Falta data de fechamento",IF(AND($P281="Perdido",$L281=""),"Informe o motivo da perda","OK"))))</f>
        <v/>
      </c>
    </row>
    <row r="282" spans="1:20">
      <c r="A282" s="18">
        <f>IF($C282="","",ROW()-4)</f>
        <v/>
      </c>
      <c r="B282" s="19"/>
      <c r="C282" s="13"/>
      <c r="D282" s="13"/>
      <c r="E282" s="13"/>
      <c r="F282" s="13"/>
      <c r="G282" s="13"/>
      <c r="H282" s="15"/>
      <c r="I282" s="19"/>
      <c r="J282" s="19"/>
      <c r="K282" s="19"/>
      <c r="L282" s="13"/>
      <c r="M282" s="13"/>
      <c r="N282" s="20">
        <f>IF($C282="","",IFERROR(INDEX(EtapaProb,MATCH($G282,Etapas,0)),0))</f>
        <v/>
      </c>
      <c r="O282" s="21">
        <f>IF($C282="","",IF($P282="Aberto",N($H282)*$N282,0))</f>
        <v/>
      </c>
      <c r="P282" s="18">
        <f>IF($C282="","",IF($G282="Ganho","Ganho",IF($G282="Perdido","Perdido","Aberto")))</f>
        <v/>
      </c>
      <c r="Q282" s="18">
        <f>IF(OR($C282="",$P282&lt;&gt;"Aberto"),"",IF($I282="",Hoje-$B282,Hoje-$I282))</f>
        <v/>
      </c>
      <c r="R282" s="22">
        <f>IF(OR($C282="",$P282&lt;&gt;"Aberto"),"",IF($J282="",IF($Q282&gt;DiasSC,"ATRASADO","Definir data"),IF($J282&lt;Hoje,"ATRASADO",IF($J282=Hoje,"HOJE","Em dia"))))</f>
        <v/>
      </c>
      <c r="S282" s="23">
        <f>IF($R282="","",IF(OR($R282="ATRASADO",$R282="HOJE",$R282="Definir data"),COUNTIF($R$5:$R282,"ATRASADO")+COUNTIF($R$5:$R282,"HOJE")+COUNTIF($R$5:$R282,"Definir data"),""))</f>
        <v/>
      </c>
      <c r="T282" s="18">
        <f>IF($C282="","",IF(OR($B282="",$E282="",$F282="",$G282=""),"Preencher entrada/origem/vendedor/etapa",IF(AND(OR($P282="Ganho",$P282="Perdido"),$K282=""),"Falta data de fechamento",IF(AND($P282="Perdido",$L282=""),"Informe o motivo da perda","OK"))))</f>
        <v/>
      </c>
    </row>
    <row r="283" spans="1:20">
      <c r="A283" s="18">
        <f>IF($C283="","",ROW()-4)</f>
        <v/>
      </c>
      <c r="B283" s="19"/>
      <c r="C283" s="13"/>
      <c r="D283" s="13"/>
      <c r="E283" s="13"/>
      <c r="F283" s="13"/>
      <c r="G283" s="13"/>
      <c r="H283" s="15"/>
      <c r="I283" s="19"/>
      <c r="J283" s="19"/>
      <c r="K283" s="19"/>
      <c r="L283" s="13"/>
      <c r="M283" s="13"/>
      <c r="N283" s="20">
        <f>IF($C283="","",IFERROR(INDEX(EtapaProb,MATCH($G283,Etapas,0)),0))</f>
        <v/>
      </c>
      <c r="O283" s="21">
        <f>IF($C283="","",IF($P283="Aberto",N($H283)*$N283,0))</f>
        <v/>
      </c>
      <c r="P283" s="18">
        <f>IF($C283="","",IF($G283="Ganho","Ganho",IF($G283="Perdido","Perdido","Aberto")))</f>
        <v/>
      </c>
      <c r="Q283" s="18">
        <f>IF(OR($C283="",$P283&lt;&gt;"Aberto"),"",IF($I283="",Hoje-$B283,Hoje-$I283))</f>
        <v/>
      </c>
      <c r="R283" s="22">
        <f>IF(OR($C283="",$P283&lt;&gt;"Aberto"),"",IF($J283="",IF($Q283&gt;DiasSC,"ATRASADO","Definir data"),IF($J283&lt;Hoje,"ATRASADO",IF($J283=Hoje,"HOJE","Em dia"))))</f>
        <v/>
      </c>
      <c r="S283" s="23">
        <f>IF($R283="","",IF(OR($R283="ATRASADO",$R283="HOJE",$R283="Definir data"),COUNTIF($R$5:$R283,"ATRASADO")+COUNTIF($R$5:$R283,"HOJE")+COUNTIF($R$5:$R283,"Definir data"),""))</f>
        <v/>
      </c>
      <c r="T283" s="18">
        <f>IF($C283="","",IF(OR($B283="",$E283="",$F283="",$G283=""),"Preencher entrada/origem/vendedor/etapa",IF(AND(OR($P283="Ganho",$P283="Perdido"),$K283=""),"Falta data de fechamento",IF(AND($P283="Perdido",$L283=""),"Informe o motivo da perda","OK"))))</f>
        <v/>
      </c>
    </row>
    <row r="284" spans="1:20">
      <c r="A284" s="18">
        <f>IF($C284="","",ROW()-4)</f>
        <v/>
      </c>
      <c r="B284" s="19"/>
      <c r="C284" s="13"/>
      <c r="D284" s="13"/>
      <c r="E284" s="13"/>
      <c r="F284" s="13"/>
      <c r="G284" s="13"/>
      <c r="H284" s="15"/>
      <c r="I284" s="19"/>
      <c r="J284" s="19"/>
      <c r="K284" s="19"/>
      <c r="L284" s="13"/>
      <c r="M284" s="13"/>
      <c r="N284" s="20">
        <f>IF($C284="","",IFERROR(INDEX(EtapaProb,MATCH($G284,Etapas,0)),0))</f>
        <v/>
      </c>
      <c r="O284" s="21">
        <f>IF($C284="","",IF($P284="Aberto",N($H284)*$N284,0))</f>
        <v/>
      </c>
      <c r="P284" s="18">
        <f>IF($C284="","",IF($G284="Ganho","Ganho",IF($G284="Perdido","Perdido","Aberto")))</f>
        <v/>
      </c>
      <c r="Q284" s="18">
        <f>IF(OR($C284="",$P284&lt;&gt;"Aberto"),"",IF($I284="",Hoje-$B284,Hoje-$I284))</f>
        <v/>
      </c>
      <c r="R284" s="22">
        <f>IF(OR($C284="",$P284&lt;&gt;"Aberto"),"",IF($J284="",IF($Q284&gt;DiasSC,"ATRASADO","Definir data"),IF($J284&lt;Hoje,"ATRASADO",IF($J284=Hoje,"HOJE","Em dia"))))</f>
        <v/>
      </c>
      <c r="S284" s="23">
        <f>IF($R284="","",IF(OR($R284="ATRASADO",$R284="HOJE",$R284="Definir data"),COUNTIF($R$5:$R284,"ATRASADO")+COUNTIF($R$5:$R284,"HOJE")+COUNTIF($R$5:$R284,"Definir data"),""))</f>
        <v/>
      </c>
      <c r="T284" s="18">
        <f>IF($C284="","",IF(OR($B284="",$E284="",$F284="",$G284=""),"Preencher entrada/origem/vendedor/etapa",IF(AND(OR($P284="Ganho",$P284="Perdido"),$K284=""),"Falta data de fechamento",IF(AND($P284="Perdido",$L284=""),"Informe o motivo da perda","OK"))))</f>
        <v/>
      </c>
    </row>
    <row r="285" spans="1:20">
      <c r="A285" s="18">
        <f>IF($C285="","",ROW()-4)</f>
        <v/>
      </c>
      <c r="B285" s="19"/>
      <c r="C285" s="13"/>
      <c r="D285" s="13"/>
      <c r="E285" s="13"/>
      <c r="F285" s="13"/>
      <c r="G285" s="13"/>
      <c r="H285" s="15"/>
      <c r="I285" s="19"/>
      <c r="J285" s="19"/>
      <c r="K285" s="19"/>
      <c r="L285" s="13"/>
      <c r="M285" s="13"/>
      <c r="N285" s="20">
        <f>IF($C285="","",IFERROR(INDEX(EtapaProb,MATCH($G285,Etapas,0)),0))</f>
        <v/>
      </c>
      <c r="O285" s="21">
        <f>IF($C285="","",IF($P285="Aberto",N($H285)*$N285,0))</f>
        <v/>
      </c>
      <c r="P285" s="18">
        <f>IF($C285="","",IF($G285="Ganho","Ganho",IF($G285="Perdido","Perdido","Aberto")))</f>
        <v/>
      </c>
      <c r="Q285" s="18">
        <f>IF(OR($C285="",$P285&lt;&gt;"Aberto"),"",IF($I285="",Hoje-$B285,Hoje-$I285))</f>
        <v/>
      </c>
      <c r="R285" s="22">
        <f>IF(OR($C285="",$P285&lt;&gt;"Aberto"),"",IF($J285="",IF($Q285&gt;DiasSC,"ATRASADO","Definir data"),IF($J285&lt;Hoje,"ATRASADO",IF($J285=Hoje,"HOJE","Em dia"))))</f>
        <v/>
      </c>
      <c r="S285" s="23">
        <f>IF($R285="","",IF(OR($R285="ATRASADO",$R285="HOJE",$R285="Definir data"),COUNTIF($R$5:$R285,"ATRASADO")+COUNTIF($R$5:$R285,"HOJE")+COUNTIF($R$5:$R285,"Definir data"),""))</f>
        <v/>
      </c>
      <c r="T285" s="18">
        <f>IF($C285="","",IF(OR($B285="",$E285="",$F285="",$G285=""),"Preencher entrada/origem/vendedor/etapa",IF(AND(OR($P285="Ganho",$P285="Perdido"),$K285=""),"Falta data de fechamento",IF(AND($P285="Perdido",$L285=""),"Informe o motivo da perda","OK"))))</f>
        <v/>
      </c>
    </row>
    <row r="286" spans="1:20">
      <c r="A286" s="18">
        <f>IF($C286="","",ROW()-4)</f>
        <v/>
      </c>
      <c r="B286" s="19"/>
      <c r="C286" s="13"/>
      <c r="D286" s="13"/>
      <c r="E286" s="13"/>
      <c r="F286" s="13"/>
      <c r="G286" s="13"/>
      <c r="H286" s="15"/>
      <c r="I286" s="19"/>
      <c r="J286" s="19"/>
      <c r="K286" s="19"/>
      <c r="L286" s="13"/>
      <c r="M286" s="13"/>
      <c r="N286" s="20">
        <f>IF($C286="","",IFERROR(INDEX(EtapaProb,MATCH($G286,Etapas,0)),0))</f>
        <v/>
      </c>
      <c r="O286" s="21">
        <f>IF($C286="","",IF($P286="Aberto",N($H286)*$N286,0))</f>
        <v/>
      </c>
      <c r="P286" s="18">
        <f>IF($C286="","",IF($G286="Ganho","Ganho",IF($G286="Perdido","Perdido","Aberto")))</f>
        <v/>
      </c>
      <c r="Q286" s="18">
        <f>IF(OR($C286="",$P286&lt;&gt;"Aberto"),"",IF($I286="",Hoje-$B286,Hoje-$I286))</f>
        <v/>
      </c>
      <c r="R286" s="22">
        <f>IF(OR($C286="",$P286&lt;&gt;"Aberto"),"",IF($J286="",IF($Q286&gt;DiasSC,"ATRASADO","Definir data"),IF($J286&lt;Hoje,"ATRASADO",IF($J286=Hoje,"HOJE","Em dia"))))</f>
        <v/>
      </c>
      <c r="S286" s="23">
        <f>IF($R286="","",IF(OR($R286="ATRASADO",$R286="HOJE",$R286="Definir data"),COUNTIF($R$5:$R286,"ATRASADO")+COUNTIF($R$5:$R286,"HOJE")+COUNTIF($R$5:$R286,"Definir data"),""))</f>
        <v/>
      </c>
      <c r="T286" s="18">
        <f>IF($C286="","",IF(OR($B286="",$E286="",$F286="",$G286=""),"Preencher entrada/origem/vendedor/etapa",IF(AND(OR($P286="Ganho",$P286="Perdido"),$K286=""),"Falta data de fechamento",IF(AND($P286="Perdido",$L286=""),"Informe o motivo da perda","OK"))))</f>
        <v/>
      </c>
    </row>
    <row r="287" spans="1:20">
      <c r="A287" s="18">
        <f>IF($C287="","",ROW()-4)</f>
        <v/>
      </c>
      <c r="B287" s="19"/>
      <c r="C287" s="13"/>
      <c r="D287" s="13"/>
      <c r="E287" s="13"/>
      <c r="F287" s="13"/>
      <c r="G287" s="13"/>
      <c r="H287" s="15"/>
      <c r="I287" s="19"/>
      <c r="J287" s="19"/>
      <c r="K287" s="19"/>
      <c r="L287" s="13"/>
      <c r="M287" s="13"/>
      <c r="N287" s="20">
        <f>IF($C287="","",IFERROR(INDEX(EtapaProb,MATCH($G287,Etapas,0)),0))</f>
        <v/>
      </c>
      <c r="O287" s="21">
        <f>IF($C287="","",IF($P287="Aberto",N($H287)*$N287,0))</f>
        <v/>
      </c>
      <c r="P287" s="18">
        <f>IF($C287="","",IF($G287="Ganho","Ganho",IF($G287="Perdido","Perdido","Aberto")))</f>
        <v/>
      </c>
      <c r="Q287" s="18">
        <f>IF(OR($C287="",$P287&lt;&gt;"Aberto"),"",IF($I287="",Hoje-$B287,Hoje-$I287))</f>
        <v/>
      </c>
      <c r="R287" s="22">
        <f>IF(OR($C287="",$P287&lt;&gt;"Aberto"),"",IF($J287="",IF($Q287&gt;DiasSC,"ATRASADO","Definir data"),IF($J287&lt;Hoje,"ATRASADO",IF($J287=Hoje,"HOJE","Em dia"))))</f>
        <v/>
      </c>
      <c r="S287" s="23">
        <f>IF($R287="","",IF(OR($R287="ATRASADO",$R287="HOJE",$R287="Definir data"),COUNTIF($R$5:$R287,"ATRASADO")+COUNTIF($R$5:$R287,"HOJE")+COUNTIF($R$5:$R287,"Definir data"),""))</f>
        <v/>
      </c>
      <c r="T287" s="18">
        <f>IF($C287="","",IF(OR($B287="",$E287="",$F287="",$G287=""),"Preencher entrada/origem/vendedor/etapa",IF(AND(OR($P287="Ganho",$P287="Perdido"),$K287=""),"Falta data de fechamento",IF(AND($P287="Perdido",$L287=""),"Informe o motivo da perda","OK"))))</f>
        <v/>
      </c>
    </row>
    <row r="288" spans="1:20">
      <c r="A288" s="18">
        <f>IF($C288="","",ROW()-4)</f>
        <v/>
      </c>
      <c r="B288" s="19"/>
      <c r="C288" s="13"/>
      <c r="D288" s="13"/>
      <c r="E288" s="13"/>
      <c r="F288" s="13"/>
      <c r="G288" s="13"/>
      <c r="H288" s="15"/>
      <c r="I288" s="19"/>
      <c r="J288" s="19"/>
      <c r="K288" s="19"/>
      <c r="L288" s="13"/>
      <c r="M288" s="13"/>
      <c r="N288" s="20">
        <f>IF($C288="","",IFERROR(INDEX(EtapaProb,MATCH($G288,Etapas,0)),0))</f>
        <v/>
      </c>
      <c r="O288" s="21">
        <f>IF($C288="","",IF($P288="Aberto",N($H288)*$N288,0))</f>
        <v/>
      </c>
      <c r="P288" s="18">
        <f>IF($C288="","",IF($G288="Ganho","Ganho",IF($G288="Perdido","Perdido","Aberto")))</f>
        <v/>
      </c>
      <c r="Q288" s="18">
        <f>IF(OR($C288="",$P288&lt;&gt;"Aberto"),"",IF($I288="",Hoje-$B288,Hoje-$I288))</f>
        <v/>
      </c>
      <c r="R288" s="22">
        <f>IF(OR($C288="",$P288&lt;&gt;"Aberto"),"",IF($J288="",IF($Q288&gt;DiasSC,"ATRASADO","Definir data"),IF($J288&lt;Hoje,"ATRASADO",IF($J288=Hoje,"HOJE","Em dia"))))</f>
        <v/>
      </c>
      <c r="S288" s="23">
        <f>IF($R288="","",IF(OR($R288="ATRASADO",$R288="HOJE",$R288="Definir data"),COUNTIF($R$5:$R288,"ATRASADO")+COUNTIF($R$5:$R288,"HOJE")+COUNTIF($R$5:$R288,"Definir data"),""))</f>
        <v/>
      </c>
      <c r="T288" s="18">
        <f>IF($C288="","",IF(OR($B288="",$E288="",$F288="",$G288=""),"Preencher entrada/origem/vendedor/etapa",IF(AND(OR($P288="Ganho",$P288="Perdido"),$K288=""),"Falta data de fechamento",IF(AND($P288="Perdido",$L288=""),"Informe o motivo da perda","OK"))))</f>
        <v/>
      </c>
    </row>
    <row r="289" spans="1:20">
      <c r="A289" s="18">
        <f>IF($C289="","",ROW()-4)</f>
        <v/>
      </c>
      <c r="B289" s="19"/>
      <c r="C289" s="13"/>
      <c r="D289" s="13"/>
      <c r="E289" s="13"/>
      <c r="F289" s="13"/>
      <c r="G289" s="13"/>
      <c r="H289" s="15"/>
      <c r="I289" s="19"/>
      <c r="J289" s="19"/>
      <c r="K289" s="19"/>
      <c r="L289" s="13"/>
      <c r="M289" s="13"/>
      <c r="N289" s="20">
        <f>IF($C289="","",IFERROR(INDEX(EtapaProb,MATCH($G289,Etapas,0)),0))</f>
        <v/>
      </c>
      <c r="O289" s="21">
        <f>IF($C289="","",IF($P289="Aberto",N($H289)*$N289,0))</f>
        <v/>
      </c>
      <c r="P289" s="18">
        <f>IF($C289="","",IF($G289="Ganho","Ganho",IF($G289="Perdido","Perdido","Aberto")))</f>
        <v/>
      </c>
      <c r="Q289" s="18">
        <f>IF(OR($C289="",$P289&lt;&gt;"Aberto"),"",IF($I289="",Hoje-$B289,Hoje-$I289))</f>
        <v/>
      </c>
      <c r="R289" s="22">
        <f>IF(OR($C289="",$P289&lt;&gt;"Aberto"),"",IF($J289="",IF($Q289&gt;DiasSC,"ATRASADO","Definir data"),IF($J289&lt;Hoje,"ATRASADO",IF($J289=Hoje,"HOJE","Em dia"))))</f>
        <v/>
      </c>
      <c r="S289" s="23">
        <f>IF($R289="","",IF(OR($R289="ATRASADO",$R289="HOJE",$R289="Definir data"),COUNTIF($R$5:$R289,"ATRASADO")+COUNTIF($R$5:$R289,"HOJE")+COUNTIF($R$5:$R289,"Definir data"),""))</f>
        <v/>
      </c>
      <c r="T289" s="18">
        <f>IF($C289="","",IF(OR($B289="",$E289="",$F289="",$G289=""),"Preencher entrada/origem/vendedor/etapa",IF(AND(OR($P289="Ganho",$P289="Perdido"),$K289=""),"Falta data de fechamento",IF(AND($P289="Perdido",$L289=""),"Informe o motivo da perda","OK"))))</f>
        <v/>
      </c>
    </row>
    <row r="290" spans="1:20">
      <c r="A290" s="18">
        <f>IF($C290="","",ROW()-4)</f>
        <v/>
      </c>
      <c r="B290" s="19"/>
      <c r="C290" s="13"/>
      <c r="D290" s="13"/>
      <c r="E290" s="13"/>
      <c r="F290" s="13"/>
      <c r="G290" s="13"/>
      <c r="H290" s="15"/>
      <c r="I290" s="19"/>
      <c r="J290" s="19"/>
      <c r="K290" s="19"/>
      <c r="L290" s="13"/>
      <c r="M290" s="13"/>
      <c r="N290" s="20">
        <f>IF($C290="","",IFERROR(INDEX(EtapaProb,MATCH($G290,Etapas,0)),0))</f>
        <v/>
      </c>
      <c r="O290" s="21">
        <f>IF($C290="","",IF($P290="Aberto",N($H290)*$N290,0))</f>
        <v/>
      </c>
      <c r="P290" s="18">
        <f>IF($C290="","",IF($G290="Ganho","Ganho",IF($G290="Perdido","Perdido","Aberto")))</f>
        <v/>
      </c>
      <c r="Q290" s="18">
        <f>IF(OR($C290="",$P290&lt;&gt;"Aberto"),"",IF($I290="",Hoje-$B290,Hoje-$I290))</f>
        <v/>
      </c>
      <c r="R290" s="22">
        <f>IF(OR($C290="",$P290&lt;&gt;"Aberto"),"",IF($J290="",IF($Q290&gt;DiasSC,"ATRASADO","Definir data"),IF($J290&lt;Hoje,"ATRASADO",IF($J290=Hoje,"HOJE","Em dia"))))</f>
        <v/>
      </c>
      <c r="S290" s="23">
        <f>IF($R290="","",IF(OR($R290="ATRASADO",$R290="HOJE",$R290="Definir data"),COUNTIF($R$5:$R290,"ATRASADO")+COUNTIF($R$5:$R290,"HOJE")+COUNTIF($R$5:$R290,"Definir data"),""))</f>
        <v/>
      </c>
      <c r="T290" s="18">
        <f>IF($C290="","",IF(OR($B290="",$E290="",$F290="",$G290=""),"Preencher entrada/origem/vendedor/etapa",IF(AND(OR($P290="Ganho",$P290="Perdido"),$K290=""),"Falta data de fechamento",IF(AND($P290="Perdido",$L290=""),"Informe o motivo da perda","OK"))))</f>
        <v/>
      </c>
    </row>
    <row r="291" spans="1:20">
      <c r="A291" s="18">
        <f>IF($C291="","",ROW()-4)</f>
        <v/>
      </c>
      <c r="B291" s="19"/>
      <c r="C291" s="13"/>
      <c r="D291" s="13"/>
      <c r="E291" s="13"/>
      <c r="F291" s="13"/>
      <c r="G291" s="13"/>
      <c r="H291" s="15"/>
      <c r="I291" s="19"/>
      <c r="J291" s="19"/>
      <c r="K291" s="19"/>
      <c r="L291" s="13"/>
      <c r="M291" s="13"/>
      <c r="N291" s="20">
        <f>IF($C291="","",IFERROR(INDEX(EtapaProb,MATCH($G291,Etapas,0)),0))</f>
        <v/>
      </c>
      <c r="O291" s="21">
        <f>IF($C291="","",IF($P291="Aberto",N($H291)*$N291,0))</f>
        <v/>
      </c>
      <c r="P291" s="18">
        <f>IF($C291="","",IF($G291="Ganho","Ganho",IF($G291="Perdido","Perdido","Aberto")))</f>
        <v/>
      </c>
      <c r="Q291" s="18">
        <f>IF(OR($C291="",$P291&lt;&gt;"Aberto"),"",IF($I291="",Hoje-$B291,Hoje-$I291))</f>
        <v/>
      </c>
      <c r="R291" s="22">
        <f>IF(OR($C291="",$P291&lt;&gt;"Aberto"),"",IF($J291="",IF($Q291&gt;DiasSC,"ATRASADO","Definir data"),IF($J291&lt;Hoje,"ATRASADO",IF($J291=Hoje,"HOJE","Em dia"))))</f>
        <v/>
      </c>
      <c r="S291" s="23">
        <f>IF($R291="","",IF(OR($R291="ATRASADO",$R291="HOJE",$R291="Definir data"),COUNTIF($R$5:$R291,"ATRASADO")+COUNTIF($R$5:$R291,"HOJE")+COUNTIF($R$5:$R291,"Definir data"),""))</f>
        <v/>
      </c>
      <c r="T291" s="18">
        <f>IF($C291="","",IF(OR($B291="",$E291="",$F291="",$G291=""),"Preencher entrada/origem/vendedor/etapa",IF(AND(OR($P291="Ganho",$P291="Perdido"),$K291=""),"Falta data de fechamento",IF(AND($P291="Perdido",$L291=""),"Informe o motivo da perda","OK"))))</f>
        <v/>
      </c>
    </row>
    <row r="292" spans="1:20">
      <c r="A292" s="18">
        <f>IF($C292="","",ROW()-4)</f>
        <v/>
      </c>
      <c r="B292" s="19"/>
      <c r="C292" s="13"/>
      <c r="D292" s="13"/>
      <c r="E292" s="13"/>
      <c r="F292" s="13"/>
      <c r="G292" s="13"/>
      <c r="H292" s="15"/>
      <c r="I292" s="19"/>
      <c r="J292" s="19"/>
      <c r="K292" s="19"/>
      <c r="L292" s="13"/>
      <c r="M292" s="13"/>
      <c r="N292" s="20">
        <f>IF($C292="","",IFERROR(INDEX(EtapaProb,MATCH($G292,Etapas,0)),0))</f>
        <v/>
      </c>
      <c r="O292" s="21">
        <f>IF($C292="","",IF($P292="Aberto",N($H292)*$N292,0))</f>
        <v/>
      </c>
      <c r="P292" s="18">
        <f>IF($C292="","",IF($G292="Ganho","Ganho",IF($G292="Perdido","Perdido","Aberto")))</f>
        <v/>
      </c>
      <c r="Q292" s="18">
        <f>IF(OR($C292="",$P292&lt;&gt;"Aberto"),"",IF($I292="",Hoje-$B292,Hoje-$I292))</f>
        <v/>
      </c>
      <c r="R292" s="22">
        <f>IF(OR($C292="",$P292&lt;&gt;"Aberto"),"",IF($J292="",IF($Q292&gt;DiasSC,"ATRASADO","Definir data"),IF($J292&lt;Hoje,"ATRASADO",IF($J292=Hoje,"HOJE","Em dia"))))</f>
        <v/>
      </c>
      <c r="S292" s="23">
        <f>IF($R292="","",IF(OR($R292="ATRASADO",$R292="HOJE",$R292="Definir data"),COUNTIF($R$5:$R292,"ATRASADO")+COUNTIF($R$5:$R292,"HOJE")+COUNTIF($R$5:$R292,"Definir data"),""))</f>
        <v/>
      </c>
      <c r="T292" s="18">
        <f>IF($C292="","",IF(OR($B292="",$E292="",$F292="",$G292=""),"Preencher entrada/origem/vendedor/etapa",IF(AND(OR($P292="Ganho",$P292="Perdido"),$K292=""),"Falta data de fechamento",IF(AND($P292="Perdido",$L292=""),"Informe o motivo da perda","OK"))))</f>
        <v/>
      </c>
    </row>
    <row r="293" spans="1:20">
      <c r="A293" s="18">
        <f>IF($C293="","",ROW()-4)</f>
        <v/>
      </c>
      <c r="B293" s="19"/>
      <c r="C293" s="13"/>
      <c r="D293" s="13"/>
      <c r="E293" s="13"/>
      <c r="F293" s="13"/>
      <c r="G293" s="13"/>
      <c r="H293" s="15"/>
      <c r="I293" s="19"/>
      <c r="J293" s="19"/>
      <c r="K293" s="19"/>
      <c r="L293" s="13"/>
      <c r="M293" s="13"/>
      <c r="N293" s="20">
        <f>IF($C293="","",IFERROR(INDEX(EtapaProb,MATCH($G293,Etapas,0)),0))</f>
        <v/>
      </c>
      <c r="O293" s="21">
        <f>IF($C293="","",IF($P293="Aberto",N($H293)*$N293,0))</f>
        <v/>
      </c>
      <c r="P293" s="18">
        <f>IF($C293="","",IF($G293="Ganho","Ganho",IF($G293="Perdido","Perdido","Aberto")))</f>
        <v/>
      </c>
      <c r="Q293" s="18">
        <f>IF(OR($C293="",$P293&lt;&gt;"Aberto"),"",IF($I293="",Hoje-$B293,Hoje-$I293))</f>
        <v/>
      </c>
      <c r="R293" s="22">
        <f>IF(OR($C293="",$P293&lt;&gt;"Aberto"),"",IF($J293="",IF($Q293&gt;DiasSC,"ATRASADO","Definir data"),IF($J293&lt;Hoje,"ATRASADO",IF($J293=Hoje,"HOJE","Em dia"))))</f>
        <v/>
      </c>
      <c r="S293" s="23">
        <f>IF($R293="","",IF(OR($R293="ATRASADO",$R293="HOJE",$R293="Definir data"),COUNTIF($R$5:$R293,"ATRASADO")+COUNTIF($R$5:$R293,"HOJE")+COUNTIF($R$5:$R293,"Definir data"),""))</f>
        <v/>
      </c>
      <c r="T293" s="18">
        <f>IF($C293="","",IF(OR($B293="",$E293="",$F293="",$G293=""),"Preencher entrada/origem/vendedor/etapa",IF(AND(OR($P293="Ganho",$P293="Perdido"),$K293=""),"Falta data de fechamento",IF(AND($P293="Perdido",$L293=""),"Informe o motivo da perda","OK"))))</f>
        <v/>
      </c>
    </row>
    <row r="294" spans="1:20">
      <c r="A294" s="18">
        <f>IF($C294="","",ROW()-4)</f>
        <v/>
      </c>
      <c r="B294" s="19"/>
      <c r="C294" s="13"/>
      <c r="D294" s="13"/>
      <c r="E294" s="13"/>
      <c r="F294" s="13"/>
      <c r="G294" s="13"/>
      <c r="H294" s="15"/>
      <c r="I294" s="19"/>
      <c r="J294" s="19"/>
      <c r="K294" s="19"/>
      <c r="L294" s="13"/>
      <c r="M294" s="13"/>
      <c r="N294" s="20">
        <f>IF($C294="","",IFERROR(INDEX(EtapaProb,MATCH($G294,Etapas,0)),0))</f>
        <v/>
      </c>
      <c r="O294" s="21">
        <f>IF($C294="","",IF($P294="Aberto",N($H294)*$N294,0))</f>
        <v/>
      </c>
      <c r="P294" s="18">
        <f>IF($C294="","",IF($G294="Ganho","Ganho",IF($G294="Perdido","Perdido","Aberto")))</f>
        <v/>
      </c>
      <c r="Q294" s="18">
        <f>IF(OR($C294="",$P294&lt;&gt;"Aberto"),"",IF($I294="",Hoje-$B294,Hoje-$I294))</f>
        <v/>
      </c>
      <c r="R294" s="22">
        <f>IF(OR($C294="",$P294&lt;&gt;"Aberto"),"",IF($J294="",IF($Q294&gt;DiasSC,"ATRASADO","Definir data"),IF($J294&lt;Hoje,"ATRASADO",IF($J294=Hoje,"HOJE","Em dia"))))</f>
        <v/>
      </c>
      <c r="S294" s="23">
        <f>IF($R294="","",IF(OR($R294="ATRASADO",$R294="HOJE",$R294="Definir data"),COUNTIF($R$5:$R294,"ATRASADO")+COUNTIF($R$5:$R294,"HOJE")+COUNTIF($R$5:$R294,"Definir data"),""))</f>
        <v/>
      </c>
      <c r="T294" s="18">
        <f>IF($C294="","",IF(OR($B294="",$E294="",$F294="",$G294=""),"Preencher entrada/origem/vendedor/etapa",IF(AND(OR($P294="Ganho",$P294="Perdido"),$K294=""),"Falta data de fechamento",IF(AND($P294="Perdido",$L294=""),"Informe o motivo da perda","OK"))))</f>
        <v/>
      </c>
    </row>
    <row r="295" spans="1:20">
      <c r="A295" s="18">
        <f>IF($C295="","",ROW()-4)</f>
        <v/>
      </c>
      <c r="B295" s="19"/>
      <c r="C295" s="13"/>
      <c r="D295" s="13"/>
      <c r="E295" s="13"/>
      <c r="F295" s="13"/>
      <c r="G295" s="13"/>
      <c r="H295" s="15"/>
      <c r="I295" s="19"/>
      <c r="J295" s="19"/>
      <c r="K295" s="19"/>
      <c r="L295" s="13"/>
      <c r="M295" s="13"/>
      <c r="N295" s="20">
        <f>IF($C295="","",IFERROR(INDEX(EtapaProb,MATCH($G295,Etapas,0)),0))</f>
        <v/>
      </c>
      <c r="O295" s="21">
        <f>IF($C295="","",IF($P295="Aberto",N($H295)*$N295,0))</f>
        <v/>
      </c>
      <c r="P295" s="18">
        <f>IF($C295="","",IF($G295="Ganho","Ganho",IF($G295="Perdido","Perdido","Aberto")))</f>
        <v/>
      </c>
      <c r="Q295" s="18">
        <f>IF(OR($C295="",$P295&lt;&gt;"Aberto"),"",IF($I295="",Hoje-$B295,Hoje-$I295))</f>
        <v/>
      </c>
      <c r="R295" s="22">
        <f>IF(OR($C295="",$P295&lt;&gt;"Aberto"),"",IF($J295="",IF($Q295&gt;DiasSC,"ATRASADO","Definir data"),IF($J295&lt;Hoje,"ATRASADO",IF($J295=Hoje,"HOJE","Em dia"))))</f>
        <v/>
      </c>
      <c r="S295" s="23">
        <f>IF($R295="","",IF(OR($R295="ATRASADO",$R295="HOJE",$R295="Definir data"),COUNTIF($R$5:$R295,"ATRASADO")+COUNTIF($R$5:$R295,"HOJE")+COUNTIF($R$5:$R295,"Definir data"),""))</f>
        <v/>
      </c>
      <c r="T295" s="18">
        <f>IF($C295="","",IF(OR($B295="",$E295="",$F295="",$G295=""),"Preencher entrada/origem/vendedor/etapa",IF(AND(OR($P295="Ganho",$P295="Perdido"),$K295=""),"Falta data de fechamento",IF(AND($P295="Perdido",$L295=""),"Informe o motivo da perda","OK"))))</f>
        <v/>
      </c>
    </row>
    <row r="296" spans="1:20">
      <c r="A296" s="18">
        <f>IF($C296="","",ROW()-4)</f>
        <v/>
      </c>
      <c r="B296" s="19"/>
      <c r="C296" s="13"/>
      <c r="D296" s="13"/>
      <c r="E296" s="13"/>
      <c r="F296" s="13"/>
      <c r="G296" s="13"/>
      <c r="H296" s="15"/>
      <c r="I296" s="19"/>
      <c r="J296" s="19"/>
      <c r="K296" s="19"/>
      <c r="L296" s="13"/>
      <c r="M296" s="13"/>
      <c r="N296" s="20">
        <f>IF($C296="","",IFERROR(INDEX(EtapaProb,MATCH($G296,Etapas,0)),0))</f>
        <v/>
      </c>
      <c r="O296" s="21">
        <f>IF($C296="","",IF($P296="Aberto",N($H296)*$N296,0))</f>
        <v/>
      </c>
      <c r="P296" s="18">
        <f>IF($C296="","",IF($G296="Ganho","Ganho",IF($G296="Perdido","Perdido","Aberto")))</f>
        <v/>
      </c>
      <c r="Q296" s="18">
        <f>IF(OR($C296="",$P296&lt;&gt;"Aberto"),"",IF($I296="",Hoje-$B296,Hoje-$I296))</f>
        <v/>
      </c>
      <c r="R296" s="22">
        <f>IF(OR($C296="",$P296&lt;&gt;"Aberto"),"",IF($J296="",IF($Q296&gt;DiasSC,"ATRASADO","Definir data"),IF($J296&lt;Hoje,"ATRASADO",IF($J296=Hoje,"HOJE","Em dia"))))</f>
        <v/>
      </c>
      <c r="S296" s="23">
        <f>IF($R296="","",IF(OR($R296="ATRASADO",$R296="HOJE",$R296="Definir data"),COUNTIF($R$5:$R296,"ATRASADO")+COUNTIF($R$5:$R296,"HOJE")+COUNTIF($R$5:$R296,"Definir data"),""))</f>
        <v/>
      </c>
      <c r="T296" s="18">
        <f>IF($C296="","",IF(OR($B296="",$E296="",$F296="",$G296=""),"Preencher entrada/origem/vendedor/etapa",IF(AND(OR($P296="Ganho",$P296="Perdido"),$K296=""),"Falta data de fechamento",IF(AND($P296="Perdido",$L296=""),"Informe o motivo da perda","OK"))))</f>
        <v/>
      </c>
    </row>
    <row r="297" spans="1:20">
      <c r="A297" s="18">
        <f>IF($C297="","",ROW()-4)</f>
        <v/>
      </c>
      <c r="B297" s="19"/>
      <c r="C297" s="13"/>
      <c r="D297" s="13"/>
      <c r="E297" s="13"/>
      <c r="F297" s="13"/>
      <c r="G297" s="13"/>
      <c r="H297" s="15"/>
      <c r="I297" s="19"/>
      <c r="J297" s="19"/>
      <c r="K297" s="19"/>
      <c r="L297" s="13"/>
      <c r="M297" s="13"/>
      <c r="N297" s="20">
        <f>IF($C297="","",IFERROR(INDEX(EtapaProb,MATCH($G297,Etapas,0)),0))</f>
        <v/>
      </c>
      <c r="O297" s="21">
        <f>IF($C297="","",IF($P297="Aberto",N($H297)*$N297,0))</f>
        <v/>
      </c>
      <c r="P297" s="18">
        <f>IF($C297="","",IF($G297="Ganho","Ganho",IF($G297="Perdido","Perdido","Aberto")))</f>
        <v/>
      </c>
      <c r="Q297" s="18">
        <f>IF(OR($C297="",$P297&lt;&gt;"Aberto"),"",IF($I297="",Hoje-$B297,Hoje-$I297))</f>
        <v/>
      </c>
      <c r="R297" s="22">
        <f>IF(OR($C297="",$P297&lt;&gt;"Aberto"),"",IF($J297="",IF($Q297&gt;DiasSC,"ATRASADO","Definir data"),IF($J297&lt;Hoje,"ATRASADO",IF($J297=Hoje,"HOJE","Em dia"))))</f>
        <v/>
      </c>
      <c r="S297" s="23">
        <f>IF($R297="","",IF(OR($R297="ATRASADO",$R297="HOJE",$R297="Definir data"),COUNTIF($R$5:$R297,"ATRASADO")+COUNTIF($R$5:$R297,"HOJE")+COUNTIF($R$5:$R297,"Definir data"),""))</f>
        <v/>
      </c>
      <c r="T297" s="18">
        <f>IF($C297="","",IF(OR($B297="",$E297="",$F297="",$G297=""),"Preencher entrada/origem/vendedor/etapa",IF(AND(OR($P297="Ganho",$P297="Perdido"),$K297=""),"Falta data de fechamento",IF(AND($P297="Perdido",$L297=""),"Informe o motivo da perda","OK"))))</f>
        <v/>
      </c>
    </row>
    <row r="298" spans="1:20">
      <c r="A298" s="18">
        <f>IF($C298="","",ROW()-4)</f>
        <v/>
      </c>
      <c r="B298" s="19"/>
      <c r="C298" s="13"/>
      <c r="D298" s="13"/>
      <c r="E298" s="13"/>
      <c r="F298" s="13"/>
      <c r="G298" s="13"/>
      <c r="H298" s="15"/>
      <c r="I298" s="19"/>
      <c r="J298" s="19"/>
      <c r="K298" s="19"/>
      <c r="L298" s="13"/>
      <c r="M298" s="13"/>
      <c r="N298" s="20">
        <f>IF($C298="","",IFERROR(INDEX(EtapaProb,MATCH($G298,Etapas,0)),0))</f>
        <v/>
      </c>
      <c r="O298" s="21">
        <f>IF($C298="","",IF($P298="Aberto",N($H298)*$N298,0))</f>
        <v/>
      </c>
      <c r="P298" s="18">
        <f>IF($C298="","",IF($G298="Ganho","Ganho",IF($G298="Perdido","Perdido","Aberto")))</f>
        <v/>
      </c>
      <c r="Q298" s="18">
        <f>IF(OR($C298="",$P298&lt;&gt;"Aberto"),"",IF($I298="",Hoje-$B298,Hoje-$I298))</f>
        <v/>
      </c>
      <c r="R298" s="22">
        <f>IF(OR($C298="",$P298&lt;&gt;"Aberto"),"",IF($J298="",IF($Q298&gt;DiasSC,"ATRASADO","Definir data"),IF($J298&lt;Hoje,"ATRASADO",IF($J298=Hoje,"HOJE","Em dia"))))</f>
        <v/>
      </c>
      <c r="S298" s="23">
        <f>IF($R298="","",IF(OR($R298="ATRASADO",$R298="HOJE",$R298="Definir data"),COUNTIF($R$5:$R298,"ATRASADO")+COUNTIF($R$5:$R298,"HOJE")+COUNTIF($R$5:$R298,"Definir data"),""))</f>
        <v/>
      </c>
      <c r="T298" s="18">
        <f>IF($C298="","",IF(OR($B298="",$E298="",$F298="",$G298=""),"Preencher entrada/origem/vendedor/etapa",IF(AND(OR($P298="Ganho",$P298="Perdido"),$K298=""),"Falta data de fechamento",IF(AND($P298="Perdido",$L298=""),"Informe o motivo da perda","OK"))))</f>
        <v/>
      </c>
    </row>
    <row r="299" spans="1:20">
      <c r="A299" s="18">
        <f>IF($C299="","",ROW()-4)</f>
        <v/>
      </c>
      <c r="B299" s="19"/>
      <c r="C299" s="13"/>
      <c r="D299" s="13"/>
      <c r="E299" s="13"/>
      <c r="F299" s="13"/>
      <c r="G299" s="13"/>
      <c r="H299" s="15"/>
      <c r="I299" s="19"/>
      <c r="J299" s="19"/>
      <c r="K299" s="19"/>
      <c r="L299" s="13"/>
      <c r="M299" s="13"/>
      <c r="N299" s="20">
        <f>IF($C299="","",IFERROR(INDEX(EtapaProb,MATCH($G299,Etapas,0)),0))</f>
        <v/>
      </c>
      <c r="O299" s="21">
        <f>IF($C299="","",IF($P299="Aberto",N($H299)*$N299,0))</f>
        <v/>
      </c>
      <c r="P299" s="18">
        <f>IF($C299="","",IF($G299="Ganho","Ganho",IF($G299="Perdido","Perdido","Aberto")))</f>
        <v/>
      </c>
      <c r="Q299" s="18">
        <f>IF(OR($C299="",$P299&lt;&gt;"Aberto"),"",IF($I299="",Hoje-$B299,Hoje-$I299))</f>
        <v/>
      </c>
      <c r="R299" s="22">
        <f>IF(OR($C299="",$P299&lt;&gt;"Aberto"),"",IF($J299="",IF($Q299&gt;DiasSC,"ATRASADO","Definir data"),IF($J299&lt;Hoje,"ATRASADO",IF($J299=Hoje,"HOJE","Em dia"))))</f>
        <v/>
      </c>
      <c r="S299" s="23">
        <f>IF($R299="","",IF(OR($R299="ATRASADO",$R299="HOJE",$R299="Definir data"),COUNTIF($R$5:$R299,"ATRASADO")+COUNTIF($R$5:$R299,"HOJE")+COUNTIF($R$5:$R299,"Definir data"),""))</f>
        <v/>
      </c>
      <c r="T299" s="18">
        <f>IF($C299="","",IF(OR($B299="",$E299="",$F299="",$G299=""),"Preencher entrada/origem/vendedor/etapa",IF(AND(OR($P299="Ganho",$P299="Perdido"),$K299=""),"Falta data de fechamento",IF(AND($P299="Perdido",$L299=""),"Informe o motivo da perda","OK"))))</f>
        <v/>
      </c>
    </row>
    <row r="300" spans="1:20">
      <c r="A300" s="18">
        <f>IF($C300="","",ROW()-4)</f>
        <v/>
      </c>
      <c r="B300" s="19"/>
      <c r="C300" s="13"/>
      <c r="D300" s="13"/>
      <c r="E300" s="13"/>
      <c r="F300" s="13"/>
      <c r="G300" s="13"/>
      <c r="H300" s="15"/>
      <c r="I300" s="19"/>
      <c r="J300" s="19"/>
      <c r="K300" s="19"/>
      <c r="L300" s="13"/>
      <c r="M300" s="13"/>
      <c r="N300" s="20">
        <f>IF($C300="","",IFERROR(INDEX(EtapaProb,MATCH($G300,Etapas,0)),0))</f>
        <v/>
      </c>
      <c r="O300" s="21">
        <f>IF($C300="","",IF($P300="Aberto",N($H300)*$N300,0))</f>
        <v/>
      </c>
      <c r="P300" s="18">
        <f>IF($C300="","",IF($G300="Ganho","Ganho",IF($G300="Perdido","Perdido","Aberto")))</f>
        <v/>
      </c>
      <c r="Q300" s="18">
        <f>IF(OR($C300="",$P300&lt;&gt;"Aberto"),"",IF($I300="",Hoje-$B300,Hoje-$I300))</f>
        <v/>
      </c>
      <c r="R300" s="22">
        <f>IF(OR($C300="",$P300&lt;&gt;"Aberto"),"",IF($J300="",IF($Q300&gt;DiasSC,"ATRASADO","Definir data"),IF($J300&lt;Hoje,"ATRASADO",IF($J300=Hoje,"HOJE","Em dia"))))</f>
        <v/>
      </c>
      <c r="S300" s="23">
        <f>IF($R300="","",IF(OR($R300="ATRASADO",$R300="HOJE",$R300="Definir data"),COUNTIF($R$5:$R300,"ATRASADO")+COUNTIF($R$5:$R300,"HOJE")+COUNTIF($R$5:$R300,"Definir data"),""))</f>
        <v/>
      </c>
      <c r="T300" s="18">
        <f>IF($C300="","",IF(OR($B300="",$E300="",$F300="",$G300=""),"Preencher entrada/origem/vendedor/etapa",IF(AND(OR($P300="Ganho",$P300="Perdido"),$K300=""),"Falta data de fechamento",IF(AND($P300="Perdido",$L300=""),"Informe o motivo da perda","OK"))))</f>
        <v/>
      </c>
    </row>
    <row r="301" spans="1:20">
      <c r="A301" s="18">
        <f>IF($C301="","",ROW()-4)</f>
        <v/>
      </c>
      <c r="B301" s="19"/>
      <c r="C301" s="13"/>
      <c r="D301" s="13"/>
      <c r="E301" s="13"/>
      <c r="F301" s="13"/>
      <c r="G301" s="13"/>
      <c r="H301" s="15"/>
      <c r="I301" s="19"/>
      <c r="J301" s="19"/>
      <c r="K301" s="19"/>
      <c r="L301" s="13"/>
      <c r="M301" s="13"/>
      <c r="N301" s="20">
        <f>IF($C301="","",IFERROR(INDEX(EtapaProb,MATCH($G301,Etapas,0)),0))</f>
        <v/>
      </c>
      <c r="O301" s="21">
        <f>IF($C301="","",IF($P301="Aberto",N($H301)*$N301,0))</f>
        <v/>
      </c>
      <c r="P301" s="18">
        <f>IF($C301="","",IF($G301="Ganho","Ganho",IF($G301="Perdido","Perdido","Aberto")))</f>
        <v/>
      </c>
      <c r="Q301" s="18">
        <f>IF(OR($C301="",$P301&lt;&gt;"Aberto"),"",IF($I301="",Hoje-$B301,Hoje-$I301))</f>
        <v/>
      </c>
      <c r="R301" s="22">
        <f>IF(OR($C301="",$P301&lt;&gt;"Aberto"),"",IF($J301="",IF($Q301&gt;DiasSC,"ATRASADO","Definir data"),IF($J301&lt;Hoje,"ATRASADO",IF($J301=Hoje,"HOJE","Em dia"))))</f>
        <v/>
      </c>
      <c r="S301" s="23">
        <f>IF($R301="","",IF(OR($R301="ATRASADO",$R301="HOJE",$R301="Definir data"),COUNTIF($R$5:$R301,"ATRASADO")+COUNTIF($R$5:$R301,"HOJE")+COUNTIF($R$5:$R301,"Definir data"),""))</f>
        <v/>
      </c>
      <c r="T301" s="18">
        <f>IF($C301="","",IF(OR($B301="",$E301="",$F301="",$G301=""),"Preencher entrada/origem/vendedor/etapa",IF(AND(OR($P301="Ganho",$P301="Perdido"),$K301=""),"Falta data de fechamento",IF(AND($P301="Perdido",$L301=""),"Informe o motivo da perda","OK"))))</f>
        <v/>
      </c>
    </row>
    <row r="302" spans="1:20">
      <c r="A302" s="18">
        <f>IF($C302="","",ROW()-4)</f>
        <v/>
      </c>
      <c r="B302" s="19"/>
      <c r="C302" s="13"/>
      <c r="D302" s="13"/>
      <c r="E302" s="13"/>
      <c r="F302" s="13"/>
      <c r="G302" s="13"/>
      <c r="H302" s="15"/>
      <c r="I302" s="19"/>
      <c r="J302" s="19"/>
      <c r="K302" s="19"/>
      <c r="L302" s="13"/>
      <c r="M302" s="13"/>
      <c r="N302" s="20">
        <f>IF($C302="","",IFERROR(INDEX(EtapaProb,MATCH($G302,Etapas,0)),0))</f>
        <v/>
      </c>
      <c r="O302" s="21">
        <f>IF($C302="","",IF($P302="Aberto",N($H302)*$N302,0))</f>
        <v/>
      </c>
      <c r="P302" s="18">
        <f>IF($C302="","",IF($G302="Ganho","Ganho",IF($G302="Perdido","Perdido","Aberto")))</f>
        <v/>
      </c>
      <c r="Q302" s="18">
        <f>IF(OR($C302="",$P302&lt;&gt;"Aberto"),"",IF($I302="",Hoje-$B302,Hoje-$I302))</f>
        <v/>
      </c>
      <c r="R302" s="22">
        <f>IF(OR($C302="",$P302&lt;&gt;"Aberto"),"",IF($J302="",IF($Q302&gt;DiasSC,"ATRASADO","Definir data"),IF($J302&lt;Hoje,"ATRASADO",IF($J302=Hoje,"HOJE","Em dia"))))</f>
        <v/>
      </c>
      <c r="S302" s="23">
        <f>IF($R302="","",IF(OR($R302="ATRASADO",$R302="HOJE",$R302="Definir data"),COUNTIF($R$5:$R302,"ATRASADO")+COUNTIF($R$5:$R302,"HOJE")+COUNTIF($R$5:$R302,"Definir data"),""))</f>
        <v/>
      </c>
      <c r="T302" s="18">
        <f>IF($C302="","",IF(OR($B302="",$E302="",$F302="",$G302=""),"Preencher entrada/origem/vendedor/etapa",IF(AND(OR($P302="Ganho",$P302="Perdido"),$K302=""),"Falta data de fechamento",IF(AND($P302="Perdido",$L302=""),"Informe o motivo da perda","OK"))))</f>
        <v/>
      </c>
    </row>
    <row r="303" spans="1:20">
      <c r="A303" s="18">
        <f>IF($C303="","",ROW()-4)</f>
        <v/>
      </c>
      <c r="B303" s="19"/>
      <c r="C303" s="13"/>
      <c r="D303" s="13"/>
      <c r="E303" s="13"/>
      <c r="F303" s="13"/>
      <c r="G303" s="13"/>
      <c r="H303" s="15"/>
      <c r="I303" s="19"/>
      <c r="J303" s="19"/>
      <c r="K303" s="19"/>
      <c r="L303" s="13"/>
      <c r="M303" s="13"/>
      <c r="N303" s="20">
        <f>IF($C303="","",IFERROR(INDEX(EtapaProb,MATCH($G303,Etapas,0)),0))</f>
        <v/>
      </c>
      <c r="O303" s="21">
        <f>IF($C303="","",IF($P303="Aberto",N($H303)*$N303,0))</f>
        <v/>
      </c>
      <c r="P303" s="18">
        <f>IF($C303="","",IF($G303="Ganho","Ganho",IF($G303="Perdido","Perdido","Aberto")))</f>
        <v/>
      </c>
      <c r="Q303" s="18">
        <f>IF(OR($C303="",$P303&lt;&gt;"Aberto"),"",IF($I303="",Hoje-$B303,Hoje-$I303))</f>
        <v/>
      </c>
      <c r="R303" s="22">
        <f>IF(OR($C303="",$P303&lt;&gt;"Aberto"),"",IF($J303="",IF($Q303&gt;DiasSC,"ATRASADO","Definir data"),IF($J303&lt;Hoje,"ATRASADO",IF($J303=Hoje,"HOJE","Em dia"))))</f>
        <v/>
      </c>
      <c r="S303" s="23">
        <f>IF($R303="","",IF(OR($R303="ATRASADO",$R303="HOJE",$R303="Definir data"),COUNTIF($R$5:$R303,"ATRASADO")+COUNTIF($R$5:$R303,"HOJE")+COUNTIF($R$5:$R303,"Definir data"),""))</f>
        <v/>
      </c>
      <c r="T303" s="18">
        <f>IF($C303="","",IF(OR($B303="",$E303="",$F303="",$G303=""),"Preencher entrada/origem/vendedor/etapa",IF(AND(OR($P303="Ganho",$P303="Perdido"),$K303=""),"Falta data de fechamento",IF(AND($P303="Perdido",$L303=""),"Informe o motivo da perda","OK"))))</f>
        <v/>
      </c>
    </row>
    <row r="304" spans="1:20">
      <c r="A304" s="18">
        <f>IF($C304="","",ROW()-4)</f>
        <v/>
      </c>
      <c r="B304" s="19"/>
      <c r="C304" s="13"/>
      <c r="D304" s="13"/>
      <c r="E304" s="13"/>
      <c r="F304" s="13"/>
      <c r="G304" s="13"/>
      <c r="H304" s="15"/>
      <c r="I304" s="19"/>
      <c r="J304" s="19"/>
      <c r="K304" s="19"/>
      <c r="L304" s="13"/>
      <c r="M304" s="13"/>
      <c r="N304" s="20">
        <f>IF($C304="","",IFERROR(INDEX(EtapaProb,MATCH($G304,Etapas,0)),0))</f>
        <v/>
      </c>
      <c r="O304" s="21">
        <f>IF($C304="","",IF($P304="Aberto",N($H304)*$N304,0))</f>
        <v/>
      </c>
      <c r="P304" s="18">
        <f>IF($C304="","",IF($G304="Ganho","Ganho",IF($G304="Perdido","Perdido","Aberto")))</f>
        <v/>
      </c>
      <c r="Q304" s="18">
        <f>IF(OR($C304="",$P304&lt;&gt;"Aberto"),"",IF($I304="",Hoje-$B304,Hoje-$I304))</f>
        <v/>
      </c>
      <c r="R304" s="22">
        <f>IF(OR($C304="",$P304&lt;&gt;"Aberto"),"",IF($J304="",IF($Q304&gt;DiasSC,"ATRASADO","Definir data"),IF($J304&lt;Hoje,"ATRASADO",IF($J304=Hoje,"HOJE","Em dia"))))</f>
        <v/>
      </c>
      <c r="S304" s="23">
        <f>IF($R304="","",IF(OR($R304="ATRASADO",$R304="HOJE",$R304="Definir data"),COUNTIF($R$5:$R304,"ATRASADO")+COUNTIF($R$5:$R304,"HOJE")+COUNTIF($R$5:$R304,"Definir data"),""))</f>
        <v/>
      </c>
      <c r="T304" s="18">
        <f>IF($C304="","",IF(OR($B304="",$E304="",$F304="",$G304=""),"Preencher entrada/origem/vendedor/etapa",IF(AND(OR($P304="Ganho",$P304="Perdido"),$K304=""),"Falta data de fechamento",IF(AND($P304="Perdido",$L304=""),"Informe o motivo da perda","OK"))))</f>
        <v/>
      </c>
    </row>
    <row r="305" spans="1:20">
      <c r="A305" s="18">
        <f>IF($C305="","",ROW()-4)</f>
        <v/>
      </c>
      <c r="B305" s="19"/>
      <c r="C305" s="13"/>
      <c r="D305" s="13"/>
      <c r="E305" s="13"/>
      <c r="F305" s="13"/>
      <c r="G305" s="13"/>
      <c r="H305" s="15"/>
      <c r="I305" s="19"/>
      <c r="J305" s="19"/>
      <c r="K305" s="19"/>
      <c r="L305" s="13"/>
      <c r="M305" s="13"/>
      <c r="N305" s="20">
        <f>IF($C305="","",IFERROR(INDEX(EtapaProb,MATCH($G305,Etapas,0)),0))</f>
        <v/>
      </c>
      <c r="O305" s="21">
        <f>IF($C305="","",IF($P305="Aberto",N($H305)*$N305,0))</f>
        <v/>
      </c>
      <c r="P305" s="18">
        <f>IF($C305="","",IF($G305="Ganho","Ganho",IF($G305="Perdido","Perdido","Aberto")))</f>
        <v/>
      </c>
      <c r="Q305" s="18">
        <f>IF(OR($C305="",$P305&lt;&gt;"Aberto"),"",IF($I305="",Hoje-$B305,Hoje-$I305))</f>
        <v/>
      </c>
      <c r="R305" s="22">
        <f>IF(OR($C305="",$P305&lt;&gt;"Aberto"),"",IF($J305="",IF($Q305&gt;DiasSC,"ATRASADO","Definir data"),IF($J305&lt;Hoje,"ATRASADO",IF($J305=Hoje,"HOJE","Em dia"))))</f>
        <v/>
      </c>
      <c r="S305" s="23">
        <f>IF($R305="","",IF(OR($R305="ATRASADO",$R305="HOJE",$R305="Definir data"),COUNTIF($R$5:$R305,"ATRASADO")+COUNTIF($R$5:$R305,"HOJE")+COUNTIF($R$5:$R305,"Definir data"),""))</f>
        <v/>
      </c>
      <c r="T305" s="18">
        <f>IF($C305="","",IF(OR($B305="",$E305="",$F305="",$G305=""),"Preencher entrada/origem/vendedor/etapa",IF(AND(OR($P305="Ganho",$P305="Perdido"),$K305=""),"Falta data de fechamento",IF(AND($P305="Perdido",$L305=""),"Informe o motivo da perda","OK"))))</f>
        <v/>
      </c>
    </row>
    <row r="306" spans="1:20">
      <c r="A306" s="18">
        <f>IF($C306="","",ROW()-4)</f>
        <v/>
      </c>
      <c r="B306" s="19"/>
      <c r="C306" s="13"/>
      <c r="D306" s="13"/>
      <c r="E306" s="13"/>
      <c r="F306" s="13"/>
      <c r="G306" s="13"/>
      <c r="H306" s="15"/>
      <c r="I306" s="19"/>
      <c r="J306" s="19"/>
      <c r="K306" s="19"/>
      <c r="L306" s="13"/>
      <c r="M306" s="13"/>
      <c r="N306" s="20">
        <f>IF($C306="","",IFERROR(INDEX(EtapaProb,MATCH($G306,Etapas,0)),0))</f>
        <v/>
      </c>
      <c r="O306" s="21">
        <f>IF($C306="","",IF($P306="Aberto",N($H306)*$N306,0))</f>
        <v/>
      </c>
      <c r="P306" s="18">
        <f>IF($C306="","",IF($G306="Ganho","Ganho",IF($G306="Perdido","Perdido","Aberto")))</f>
        <v/>
      </c>
      <c r="Q306" s="18">
        <f>IF(OR($C306="",$P306&lt;&gt;"Aberto"),"",IF($I306="",Hoje-$B306,Hoje-$I306))</f>
        <v/>
      </c>
      <c r="R306" s="22">
        <f>IF(OR($C306="",$P306&lt;&gt;"Aberto"),"",IF($J306="",IF($Q306&gt;DiasSC,"ATRASADO","Definir data"),IF($J306&lt;Hoje,"ATRASADO",IF($J306=Hoje,"HOJE","Em dia"))))</f>
        <v/>
      </c>
      <c r="S306" s="23">
        <f>IF($R306="","",IF(OR($R306="ATRASADO",$R306="HOJE",$R306="Definir data"),COUNTIF($R$5:$R306,"ATRASADO")+COUNTIF($R$5:$R306,"HOJE")+COUNTIF($R$5:$R306,"Definir data"),""))</f>
        <v/>
      </c>
      <c r="T306" s="18">
        <f>IF($C306="","",IF(OR($B306="",$E306="",$F306="",$G306=""),"Preencher entrada/origem/vendedor/etapa",IF(AND(OR($P306="Ganho",$P306="Perdido"),$K306=""),"Falta data de fechamento",IF(AND($P306="Perdido",$L306=""),"Informe o motivo da perda","OK"))))</f>
        <v/>
      </c>
    </row>
    <row r="307" spans="1:20">
      <c r="A307" s="18">
        <f>IF($C307="","",ROW()-4)</f>
        <v/>
      </c>
      <c r="B307" s="19"/>
      <c r="C307" s="13"/>
      <c r="D307" s="13"/>
      <c r="E307" s="13"/>
      <c r="F307" s="13"/>
      <c r="G307" s="13"/>
      <c r="H307" s="15"/>
      <c r="I307" s="19"/>
      <c r="J307" s="19"/>
      <c r="K307" s="19"/>
      <c r="L307" s="13"/>
      <c r="M307" s="13"/>
      <c r="N307" s="20">
        <f>IF($C307="","",IFERROR(INDEX(EtapaProb,MATCH($G307,Etapas,0)),0))</f>
        <v/>
      </c>
      <c r="O307" s="21">
        <f>IF($C307="","",IF($P307="Aberto",N($H307)*$N307,0))</f>
        <v/>
      </c>
      <c r="P307" s="18">
        <f>IF($C307="","",IF($G307="Ganho","Ganho",IF($G307="Perdido","Perdido","Aberto")))</f>
        <v/>
      </c>
      <c r="Q307" s="18">
        <f>IF(OR($C307="",$P307&lt;&gt;"Aberto"),"",IF($I307="",Hoje-$B307,Hoje-$I307))</f>
        <v/>
      </c>
      <c r="R307" s="22">
        <f>IF(OR($C307="",$P307&lt;&gt;"Aberto"),"",IF($J307="",IF($Q307&gt;DiasSC,"ATRASADO","Definir data"),IF($J307&lt;Hoje,"ATRASADO",IF($J307=Hoje,"HOJE","Em dia"))))</f>
        <v/>
      </c>
      <c r="S307" s="23">
        <f>IF($R307="","",IF(OR($R307="ATRASADO",$R307="HOJE",$R307="Definir data"),COUNTIF($R$5:$R307,"ATRASADO")+COUNTIF($R$5:$R307,"HOJE")+COUNTIF($R$5:$R307,"Definir data"),""))</f>
        <v/>
      </c>
      <c r="T307" s="18">
        <f>IF($C307="","",IF(OR($B307="",$E307="",$F307="",$G307=""),"Preencher entrada/origem/vendedor/etapa",IF(AND(OR($P307="Ganho",$P307="Perdido"),$K307=""),"Falta data de fechamento",IF(AND($P307="Perdido",$L307=""),"Informe o motivo da perda","OK"))))</f>
        <v/>
      </c>
    </row>
    <row r="308" spans="1:20">
      <c r="A308" s="18">
        <f>IF($C308="","",ROW()-4)</f>
        <v/>
      </c>
      <c r="B308" s="19"/>
      <c r="C308" s="13"/>
      <c r="D308" s="13"/>
      <c r="E308" s="13"/>
      <c r="F308" s="13"/>
      <c r="G308" s="13"/>
      <c r="H308" s="15"/>
      <c r="I308" s="19"/>
      <c r="J308" s="19"/>
      <c r="K308" s="19"/>
      <c r="L308" s="13"/>
      <c r="M308" s="13"/>
      <c r="N308" s="20">
        <f>IF($C308="","",IFERROR(INDEX(EtapaProb,MATCH($G308,Etapas,0)),0))</f>
        <v/>
      </c>
      <c r="O308" s="21">
        <f>IF($C308="","",IF($P308="Aberto",N($H308)*$N308,0))</f>
        <v/>
      </c>
      <c r="P308" s="18">
        <f>IF($C308="","",IF($G308="Ganho","Ganho",IF($G308="Perdido","Perdido","Aberto")))</f>
        <v/>
      </c>
      <c r="Q308" s="18">
        <f>IF(OR($C308="",$P308&lt;&gt;"Aberto"),"",IF($I308="",Hoje-$B308,Hoje-$I308))</f>
        <v/>
      </c>
      <c r="R308" s="22">
        <f>IF(OR($C308="",$P308&lt;&gt;"Aberto"),"",IF($J308="",IF($Q308&gt;DiasSC,"ATRASADO","Definir data"),IF($J308&lt;Hoje,"ATRASADO",IF($J308=Hoje,"HOJE","Em dia"))))</f>
        <v/>
      </c>
      <c r="S308" s="23">
        <f>IF($R308="","",IF(OR($R308="ATRASADO",$R308="HOJE",$R308="Definir data"),COUNTIF($R$5:$R308,"ATRASADO")+COUNTIF($R$5:$R308,"HOJE")+COUNTIF($R$5:$R308,"Definir data"),""))</f>
        <v/>
      </c>
      <c r="T308" s="18">
        <f>IF($C308="","",IF(OR($B308="",$E308="",$F308="",$G308=""),"Preencher entrada/origem/vendedor/etapa",IF(AND(OR($P308="Ganho",$P308="Perdido"),$K308=""),"Falta data de fechamento",IF(AND($P308="Perdido",$L308=""),"Informe o motivo da perda","OK"))))</f>
        <v/>
      </c>
    </row>
    <row r="309" spans="1:20">
      <c r="A309" s="18">
        <f>IF($C309="","",ROW()-4)</f>
        <v/>
      </c>
      <c r="B309" s="19"/>
      <c r="C309" s="13"/>
      <c r="D309" s="13"/>
      <c r="E309" s="13"/>
      <c r="F309" s="13"/>
      <c r="G309" s="13"/>
      <c r="H309" s="15"/>
      <c r="I309" s="19"/>
      <c r="J309" s="19"/>
      <c r="K309" s="19"/>
      <c r="L309" s="13"/>
      <c r="M309" s="13"/>
      <c r="N309" s="20">
        <f>IF($C309="","",IFERROR(INDEX(EtapaProb,MATCH($G309,Etapas,0)),0))</f>
        <v/>
      </c>
      <c r="O309" s="21">
        <f>IF($C309="","",IF($P309="Aberto",N($H309)*$N309,0))</f>
        <v/>
      </c>
      <c r="P309" s="18">
        <f>IF($C309="","",IF($G309="Ganho","Ganho",IF($G309="Perdido","Perdido","Aberto")))</f>
        <v/>
      </c>
      <c r="Q309" s="18">
        <f>IF(OR($C309="",$P309&lt;&gt;"Aberto"),"",IF($I309="",Hoje-$B309,Hoje-$I309))</f>
        <v/>
      </c>
      <c r="R309" s="22">
        <f>IF(OR($C309="",$P309&lt;&gt;"Aberto"),"",IF($J309="",IF($Q309&gt;DiasSC,"ATRASADO","Definir data"),IF($J309&lt;Hoje,"ATRASADO",IF($J309=Hoje,"HOJE","Em dia"))))</f>
        <v/>
      </c>
      <c r="S309" s="23">
        <f>IF($R309="","",IF(OR($R309="ATRASADO",$R309="HOJE",$R309="Definir data"),COUNTIF($R$5:$R309,"ATRASADO")+COUNTIF($R$5:$R309,"HOJE")+COUNTIF($R$5:$R309,"Definir data"),""))</f>
        <v/>
      </c>
      <c r="T309" s="18">
        <f>IF($C309="","",IF(OR($B309="",$E309="",$F309="",$G309=""),"Preencher entrada/origem/vendedor/etapa",IF(AND(OR($P309="Ganho",$P309="Perdido"),$K309=""),"Falta data de fechamento",IF(AND($P309="Perdido",$L309=""),"Informe o motivo da perda","OK"))))</f>
        <v/>
      </c>
    </row>
    <row r="310" spans="1:20">
      <c r="A310" s="18">
        <f>IF($C310="","",ROW()-4)</f>
        <v/>
      </c>
      <c r="B310" s="19"/>
      <c r="C310" s="13"/>
      <c r="D310" s="13"/>
      <c r="E310" s="13"/>
      <c r="F310" s="13"/>
      <c r="G310" s="13"/>
      <c r="H310" s="15"/>
      <c r="I310" s="19"/>
      <c r="J310" s="19"/>
      <c r="K310" s="19"/>
      <c r="L310" s="13"/>
      <c r="M310" s="13"/>
      <c r="N310" s="20">
        <f>IF($C310="","",IFERROR(INDEX(EtapaProb,MATCH($G310,Etapas,0)),0))</f>
        <v/>
      </c>
      <c r="O310" s="21">
        <f>IF($C310="","",IF($P310="Aberto",N($H310)*$N310,0))</f>
        <v/>
      </c>
      <c r="P310" s="18">
        <f>IF($C310="","",IF($G310="Ganho","Ganho",IF($G310="Perdido","Perdido","Aberto")))</f>
        <v/>
      </c>
      <c r="Q310" s="18">
        <f>IF(OR($C310="",$P310&lt;&gt;"Aberto"),"",IF($I310="",Hoje-$B310,Hoje-$I310))</f>
        <v/>
      </c>
      <c r="R310" s="22">
        <f>IF(OR($C310="",$P310&lt;&gt;"Aberto"),"",IF($J310="",IF($Q310&gt;DiasSC,"ATRASADO","Definir data"),IF($J310&lt;Hoje,"ATRASADO",IF($J310=Hoje,"HOJE","Em dia"))))</f>
        <v/>
      </c>
      <c r="S310" s="23">
        <f>IF($R310="","",IF(OR($R310="ATRASADO",$R310="HOJE",$R310="Definir data"),COUNTIF($R$5:$R310,"ATRASADO")+COUNTIF($R$5:$R310,"HOJE")+COUNTIF($R$5:$R310,"Definir data"),""))</f>
        <v/>
      </c>
      <c r="T310" s="18">
        <f>IF($C310="","",IF(OR($B310="",$E310="",$F310="",$G310=""),"Preencher entrada/origem/vendedor/etapa",IF(AND(OR($P310="Ganho",$P310="Perdido"),$K310=""),"Falta data de fechamento",IF(AND($P310="Perdido",$L310=""),"Informe o motivo da perda","OK"))))</f>
        <v/>
      </c>
    </row>
    <row r="311" spans="1:20">
      <c r="A311" s="18">
        <f>IF($C311="","",ROW()-4)</f>
        <v/>
      </c>
      <c r="B311" s="19"/>
      <c r="C311" s="13"/>
      <c r="D311" s="13"/>
      <c r="E311" s="13"/>
      <c r="F311" s="13"/>
      <c r="G311" s="13"/>
      <c r="H311" s="15"/>
      <c r="I311" s="19"/>
      <c r="J311" s="19"/>
      <c r="K311" s="19"/>
      <c r="L311" s="13"/>
      <c r="M311" s="13"/>
      <c r="N311" s="20">
        <f>IF($C311="","",IFERROR(INDEX(EtapaProb,MATCH($G311,Etapas,0)),0))</f>
        <v/>
      </c>
      <c r="O311" s="21">
        <f>IF($C311="","",IF($P311="Aberto",N($H311)*$N311,0))</f>
        <v/>
      </c>
      <c r="P311" s="18">
        <f>IF($C311="","",IF($G311="Ganho","Ganho",IF($G311="Perdido","Perdido","Aberto")))</f>
        <v/>
      </c>
      <c r="Q311" s="18">
        <f>IF(OR($C311="",$P311&lt;&gt;"Aberto"),"",IF($I311="",Hoje-$B311,Hoje-$I311))</f>
        <v/>
      </c>
      <c r="R311" s="22">
        <f>IF(OR($C311="",$P311&lt;&gt;"Aberto"),"",IF($J311="",IF($Q311&gt;DiasSC,"ATRASADO","Definir data"),IF($J311&lt;Hoje,"ATRASADO",IF($J311=Hoje,"HOJE","Em dia"))))</f>
        <v/>
      </c>
      <c r="S311" s="23">
        <f>IF($R311="","",IF(OR($R311="ATRASADO",$R311="HOJE",$R311="Definir data"),COUNTIF($R$5:$R311,"ATRASADO")+COUNTIF($R$5:$R311,"HOJE")+COUNTIF($R$5:$R311,"Definir data"),""))</f>
        <v/>
      </c>
      <c r="T311" s="18">
        <f>IF($C311="","",IF(OR($B311="",$E311="",$F311="",$G311=""),"Preencher entrada/origem/vendedor/etapa",IF(AND(OR($P311="Ganho",$P311="Perdido"),$K311=""),"Falta data de fechamento",IF(AND($P311="Perdido",$L311=""),"Informe o motivo da perda","OK"))))</f>
        <v/>
      </c>
    </row>
    <row r="312" spans="1:20">
      <c r="A312" s="18">
        <f>IF($C312="","",ROW()-4)</f>
        <v/>
      </c>
      <c r="B312" s="19"/>
      <c r="C312" s="13"/>
      <c r="D312" s="13"/>
      <c r="E312" s="13"/>
      <c r="F312" s="13"/>
      <c r="G312" s="13"/>
      <c r="H312" s="15"/>
      <c r="I312" s="19"/>
      <c r="J312" s="19"/>
      <c r="K312" s="19"/>
      <c r="L312" s="13"/>
      <c r="M312" s="13"/>
      <c r="N312" s="20">
        <f>IF($C312="","",IFERROR(INDEX(EtapaProb,MATCH($G312,Etapas,0)),0))</f>
        <v/>
      </c>
      <c r="O312" s="21">
        <f>IF($C312="","",IF($P312="Aberto",N($H312)*$N312,0))</f>
        <v/>
      </c>
      <c r="P312" s="18">
        <f>IF($C312="","",IF($G312="Ganho","Ganho",IF($G312="Perdido","Perdido","Aberto")))</f>
        <v/>
      </c>
      <c r="Q312" s="18">
        <f>IF(OR($C312="",$P312&lt;&gt;"Aberto"),"",IF($I312="",Hoje-$B312,Hoje-$I312))</f>
        <v/>
      </c>
      <c r="R312" s="22">
        <f>IF(OR($C312="",$P312&lt;&gt;"Aberto"),"",IF($J312="",IF($Q312&gt;DiasSC,"ATRASADO","Definir data"),IF($J312&lt;Hoje,"ATRASADO",IF($J312=Hoje,"HOJE","Em dia"))))</f>
        <v/>
      </c>
      <c r="S312" s="23">
        <f>IF($R312="","",IF(OR($R312="ATRASADO",$R312="HOJE",$R312="Definir data"),COUNTIF($R$5:$R312,"ATRASADO")+COUNTIF($R$5:$R312,"HOJE")+COUNTIF($R$5:$R312,"Definir data"),""))</f>
        <v/>
      </c>
      <c r="T312" s="18">
        <f>IF($C312="","",IF(OR($B312="",$E312="",$F312="",$G312=""),"Preencher entrada/origem/vendedor/etapa",IF(AND(OR($P312="Ganho",$P312="Perdido"),$K312=""),"Falta data de fechamento",IF(AND($P312="Perdido",$L312=""),"Informe o motivo da perda","OK"))))</f>
        <v/>
      </c>
    </row>
    <row r="313" spans="1:20">
      <c r="A313" s="18">
        <f>IF($C313="","",ROW()-4)</f>
        <v/>
      </c>
      <c r="B313" s="19"/>
      <c r="C313" s="13"/>
      <c r="D313" s="13"/>
      <c r="E313" s="13"/>
      <c r="F313" s="13"/>
      <c r="G313" s="13"/>
      <c r="H313" s="15"/>
      <c r="I313" s="19"/>
      <c r="J313" s="19"/>
      <c r="K313" s="19"/>
      <c r="L313" s="13"/>
      <c r="M313" s="13"/>
      <c r="N313" s="20">
        <f>IF($C313="","",IFERROR(INDEX(EtapaProb,MATCH($G313,Etapas,0)),0))</f>
        <v/>
      </c>
      <c r="O313" s="21">
        <f>IF($C313="","",IF($P313="Aberto",N($H313)*$N313,0))</f>
        <v/>
      </c>
      <c r="P313" s="18">
        <f>IF($C313="","",IF($G313="Ganho","Ganho",IF($G313="Perdido","Perdido","Aberto")))</f>
        <v/>
      </c>
      <c r="Q313" s="18">
        <f>IF(OR($C313="",$P313&lt;&gt;"Aberto"),"",IF($I313="",Hoje-$B313,Hoje-$I313))</f>
        <v/>
      </c>
      <c r="R313" s="22">
        <f>IF(OR($C313="",$P313&lt;&gt;"Aberto"),"",IF($J313="",IF($Q313&gt;DiasSC,"ATRASADO","Definir data"),IF($J313&lt;Hoje,"ATRASADO",IF($J313=Hoje,"HOJE","Em dia"))))</f>
        <v/>
      </c>
      <c r="S313" s="23">
        <f>IF($R313="","",IF(OR($R313="ATRASADO",$R313="HOJE",$R313="Definir data"),COUNTIF($R$5:$R313,"ATRASADO")+COUNTIF($R$5:$R313,"HOJE")+COUNTIF($R$5:$R313,"Definir data"),""))</f>
        <v/>
      </c>
      <c r="T313" s="18">
        <f>IF($C313="","",IF(OR($B313="",$E313="",$F313="",$G313=""),"Preencher entrada/origem/vendedor/etapa",IF(AND(OR($P313="Ganho",$P313="Perdido"),$K313=""),"Falta data de fechamento",IF(AND($P313="Perdido",$L313=""),"Informe o motivo da perda","OK"))))</f>
        <v/>
      </c>
    </row>
    <row r="314" spans="1:20">
      <c r="A314" s="18">
        <f>IF($C314="","",ROW()-4)</f>
        <v/>
      </c>
      <c r="B314" s="19"/>
      <c r="C314" s="13"/>
      <c r="D314" s="13"/>
      <c r="E314" s="13"/>
      <c r="F314" s="13"/>
      <c r="G314" s="13"/>
      <c r="H314" s="15"/>
      <c r="I314" s="19"/>
      <c r="J314" s="19"/>
      <c r="K314" s="19"/>
      <c r="L314" s="13"/>
      <c r="M314" s="13"/>
      <c r="N314" s="20">
        <f>IF($C314="","",IFERROR(INDEX(EtapaProb,MATCH($G314,Etapas,0)),0))</f>
        <v/>
      </c>
      <c r="O314" s="21">
        <f>IF($C314="","",IF($P314="Aberto",N($H314)*$N314,0))</f>
        <v/>
      </c>
      <c r="P314" s="18">
        <f>IF($C314="","",IF($G314="Ganho","Ganho",IF($G314="Perdido","Perdido","Aberto")))</f>
        <v/>
      </c>
      <c r="Q314" s="18">
        <f>IF(OR($C314="",$P314&lt;&gt;"Aberto"),"",IF($I314="",Hoje-$B314,Hoje-$I314))</f>
        <v/>
      </c>
      <c r="R314" s="22">
        <f>IF(OR($C314="",$P314&lt;&gt;"Aberto"),"",IF($J314="",IF($Q314&gt;DiasSC,"ATRASADO","Definir data"),IF($J314&lt;Hoje,"ATRASADO",IF($J314=Hoje,"HOJE","Em dia"))))</f>
        <v/>
      </c>
      <c r="S314" s="23">
        <f>IF($R314="","",IF(OR($R314="ATRASADO",$R314="HOJE",$R314="Definir data"),COUNTIF($R$5:$R314,"ATRASADO")+COUNTIF($R$5:$R314,"HOJE")+COUNTIF($R$5:$R314,"Definir data"),""))</f>
        <v/>
      </c>
      <c r="T314" s="18">
        <f>IF($C314="","",IF(OR($B314="",$E314="",$F314="",$G314=""),"Preencher entrada/origem/vendedor/etapa",IF(AND(OR($P314="Ganho",$P314="Perdido"),$K314=""),"Falta data de fechamento",IF(AND($P314="Perdido",$L314=""),"Informe o motivo da perda","OK"))))</f>
        <v/>
      </c>
    </row>
    <row r="315" spans="1:20">
      <c r="A315" s="18">
        <f>IF($C315="","",ROW()-4)</f>
        <v/>
      </c>
      <c r="B315" s="19"/>
      <c r="C315" s="13"/>
      <c r="D315" s="13"/>
      <c r="E315" s="13"/>
      <c r="F315" s="13"/>
      <c r="G315" s="13"/>
      <c r="H315" s="15"/>
      <c r="I315" s="19"/>
      <c r="J315" s="19"/>
      <c r="K315" s="19"/>
      <c r="L315" s="13"/>
      <c r="M315" s="13"/>
      <c r="N315" s="20">
        <f>IF($C315="","",IFERROR(INDEX(EtapaProb,MATCH($G315,Etapas,0)),0))</f>
        <v/>
      </c>
      <c r="O315" s="21">
        <f>IF($C315="","",IF($P315="Aberto",N($H315)*$N315,0))</f>
        <v/>
      </c>
      <c r="P315" s="18">
        <f>IF($C315="","",IF($G315="Ganho","Ganho",IF($G315="Perdido","Perdido","Aberto")))</f>
        <v/>
      </c>
      <c r="Q315" s="18">
        <f>IF(OR($C315="",$P315&lt;&gt;"Aberto"),"",IF($I315="",Hoje-$B315,Hoje-$I315))</f>
        <v/>
      </c>
      <c r="R315" s="22">
        <f>IF(OR($C315="",$P315&lt;&gt;"Aberto"),"",IF($J315="",IF($Q315&gt;DiasSC,"ATRASADO","Definir data"),IF($J315&lt;Hoje,"ATRASADO",IF($J315=Hoje,"HOJE","Em dia"))))</f>
        <v/>
      </c>
      <c r="S315" s="23">
        <f>IF($R315="","",IF(OR($R315="ATRASADO",$R315="HOJE",$R315="Definir data"),COUNTIF($R$5:$R315,"ATRASADO")+COUNTIF($R$5:$R315,"HOJE")+COUNTIF($R$5:$R315,"Definir data"),""))</f>
        <v/>
      </c>
      <c r="T315" s="18">
        <f>IF($C315="","",IF(OR($B315="",$E315="",$F315="",$G315=""),"Preencher entrada/origem/vendedor/etapa",IF(AND(OR($P315="Ganho",$P315="Perdido"),$K315=""),"Falta data de fechamento",IF(AND($P315="Perdido",$L315=""),"Informe o motivo da perda","OK"))))</f>
        <v/>
      </c>
    </row>
    <row r="316" spans="1:20">
      <c r="A316" s="18">
        <f>IF($C316="","",ROW()-4)</f>
        <v/>
      </c>
      <c r="B316" s="19"/>
      <c r="C316" s="13"/>
      <c r="D316" s="13"/>
      <c r="E316" s="13"/>
      <c r="F316" s="13"/>
      <c r="G316" s="13"/>
      <c r="H316" s="15"/>
      <c r="I316" s="19"/>
      <c r="J316" s="19"/>
      <c r="K316" s="19"/>
      <c r="L316" s="13"/>
      <c r="M316" s="13"/>
      <c r="N316" s="20">
        <f>IF($C316="","",IFERROR(INDEX(EtapaProb,MATCH($G316,Etapas,0)),0))</f>
        <v/>
      </c>
      <c r="O316" s="21">
        <f>IF($C316="","",IF($P316="Aberto",N($H316)*$N316,0))</f>
        <v/>
      </c>
      <c r="P316" s="18">
        <f>IF($C316="","",IF($G316="Ganho","Ganho",IF($G316="Perdido","Perdido","Aberto")))</f>
        <v/>
      </c>
      <c r="Q316" s="18">
        <f>IF(OR($C316="",$P316&lt;&gt;"Aberto"),"",IF($I316="",Hoje-$B316,Hoje-$I316))</f>
        <v/>
      </c>
      <c r="R316" s="22">
        <f>IF(OR($C316="",$P316&lt;&gt;"Aberto"),"",IF($J316="",IF($Q316&gt;DiasSC,"ATRASADO","Definir data"),IF($J316&lt;Hoje,"ATRASADO",IF($J316=Hoje,"HOJE","Em dia"))))</f>
        <v/>
      </c>
      <c r="S316" s="23">
        <f>IF($R316="","",IF(OR($R316="ATRASADO",$R316="HOJE",$R316="Definir data"),COUNTIF($R$5:$R316,"ATRASADO")+COUNTIF($R$5:$R316,"HOJE")+COUNTIF($R$5:$R316,"Definir data"),""))</f>
        <v/>
      </c>
      <c r="T316" s="18">
        <f>IF($C316="","",IF(OR($B316="",$E316="",$F316="",$G316=""),"Preencher entrada/origem/vendedor/etapa",IF(AND(OR($P316="Ganho",$P316="Perdido"),$K316=""),"Falta data de fechamento",IF(AND($P316="Perdido",$L316=""),"Informe o motivo da perda","OK"))))</f>
        <v/>
      </c>
    </row>
    <row r="317" spans="1:20">
      <c r="A317" s="18">
        <f>IF($C317="","",ROW()-4)</f>
        <v/>
      </c>
      <c r="B317" s="19"/>
      <c r="C317" s="13"/>
      <c r="D317" s="13"/>
      <c r="E317" s="13"/>
      <c r="F317" s="13"/>
      <c r="G317" s="13"/>
      <c r="H317" s="15"/>
      <c r="I317" s="19"/>
      <c r="J317" s="19"/>
      <c r="K317" s="19"/>
      <c r="L317" s="13"/>
      <c r="M317" s="13"/>
      <c r="N317" s="20">
        <f>IF($C317="","",IFERROR(INDEX(EtapaProb,MATCH($G317,Etapas,0)),0))</f>
        <v/>
      </c>
      <c r="O317" s="21">
        <f>IF($C317="","",IF($P317="Aberto",N($H317)*$N317,0))</f>
        <v/>
      </c>
      <c r="P317" s="18">
        <f>IF($C317="","",IF($G317="Ganho","Ganho",IF($G317="Perdido","Perdido","Aberto")))</f>
        <v/>
      </c>
      <c r="Q317" s="18">
        <f>IF(OR($C317="",$P317&lt;&gt;"Aberto"),"",IF($I317="",Hoje-$B317,Hoje-$I317))</f>
        <v/>
      </c>
      <c r="R317" s="22">
        <f>IF(OR($C317="",$P317&lt;&gt;"Aberto"),"",IF($J317="",IF($Q317&gt;DiasSC,"ATRASADO","Definir data"),IF($J317&lt;Hoje,"ATRASADO",IF($J317=Hoje,"HOJE","Em dia"))))</f>
        <v/>
      </c>
      <c r="S317" s="23">
        <f>IF($R317="","",IF(OR($R317="ATRASADO",$R317="HOJE",$R317="Definir data"),COUNTIF($R$5:$R317,"ATRASADO")+COUNTIF($R$5:$R317,"HOJE")+COUNTIF($R$5:$R317,"Definir data"),""))</f>
        <v/>
      </c>
      <c r="T317" s="18">
        <f>IF($C317="","",IF(OR($B317="",$E317="",$F317="",$G317=""),"Preencher entrada/origem/vendedor/etapa",IF(AND(OR($P317="Ganho",$P317="Perdido"),$K317=""),"Falta data de fechamento",IF(AND($P317="Perdido",$L317=""),"Informe o motivo da perda","OK"))))</f>
        <v/>
      </c>
    </row>
    <row r="318" spans="1:20">
      <c r="A318" s="18">
        <f>IF($C318="","",ROW()-4)</f>
        <v/>
      </c>
      <c r="B318" s="19"/>
      <c r="C318" s="13"/>
      <c r="D318" s="13"/>
      <c r="E318" s="13"/>
      <c r="F318" s="13"/>
      <c r="G318" s="13"/>
      <c r="H318" s="15"/>
      <c r="I318" s="19"/>
      <c r="J318" s="19"/>
      <c r="K318" s="19"/>
      <c r="L318" s="13"/>
      <c r="M318" s="13"/>
      <c r="N318" s="20">
        <f>IF($C318="","",IFERROR(INDEX(EtapaProb,MATCH($G318,Etapas,0)),0))</f>
        <v/>
      </c>
      <c r="O318" s="21">
        <f>IF($C318="","",IF($P318="Aberto",N($H318)*$N318,0))</f>
        <v/>
      </c>
      <c r="P318" s="18">
        <f>IF($C318="","",IF($G318="Ganho","Ganho",IF($G318="Perdido","Perdido","Aberto")))</f>
        <v/>
      </c>
      <c r="Q318" s="18">
        <f>IF(OR($C318="",$P318&lt;&gt;"Aberto"),"",IF($I318="",Hoje-$B318,Hoje-$I318))</f>
        <v/>
      </c>
      <c r="R318" s="22">
        <f>IF(OR($C318="",$P318&lt;&gt;"Aberto"),"",IF($J318="",IF($Q318&gt;DiasSC,"ATRASADO","Definir data"),IF($J318&lt;Hoje,"ATRASADO",IF($J318=Hoje,"HOJE","Em dia"))))</f>
        <v/>
      </c>
      <c r="S318" s="23">
        <f>IF($R318="","",IF(OR($R318="ATRASADO",$R318="HOJE",$R318="Definir data"),COUNTIF($R$5:$R318,"ATRASADO")+COUNTIF($R$5:$R318,"HOJE")+COUNTIF($R$5:$R318,"Definir data"),""))</f>
        <v/>
      </c>
      <c r="T318" s="18">
        <f>IF($C318="","",IF(OR($B318="",$E318="",$F318="",$G318=""),"Preencher entrada/origem/vendedor/etapa",IF(AND(OR($P318="Ganho",$P318="Perdido"),$K318=""),"Falta data de fechamento",IF(AND($P318="Perdido",$L318=""),"Informe o motivo da perda","OK"))))</f>
        <v/>
      </c>
    </row>
    <row r="319" spans="1:20">
      <c r="A319" s="18">
        <f>IF($C319="","",ROW()-4)</f>
        <v/>
      </c>
      <c r="B319" s="19"/>
      <c r="C319" s="13"/>
      <c r="D319" s="13"/>
      <c r="E319" s="13"/>
      <c r="F319" s="13"/>
      <c r="G319" s="13"/>
      <c r="H319" s="15"/>
      <c r="I319" s="19"/>
      <c r="J319" s="19"/>
      <c r="K319" s="19"/>
      <c r="L319" s="13"/>
      <c r="M319" s="13"/>
      <c r="N319" s="20">
        <f>IF($C319="","",IFERROR(INDEX(EtapaProb,MATCH($G319,Etapas,0)),0))</f>
        <v/>
      </c>
      <c r="O319" s="21">
        <f>IF($C319="","",IF($P319="Aberto",N($H319)*$N319,0))</f>
        <v/>
      </c>
      <c r="P319" s="18">
        <f>IF($C319="","",IF($G319="Ganho","Ganho",IF($G319="Perdido","Perdido","Aberto")))</f>
        <v/>
      </c>
      <c r="Q319" s="18">
        <f>IF(OR($C319="",$P319&lt;&gt;"Aberto"),"",IF($I319="",Hoje-$B319,Hoje-$I319))</f>
        <v/>
      </c>
      <c r="R319" s="22">
        <f>IF(OR($C319="",$P319&lt;&gt;"Aberto"),"",IF($J319="",IF($Q319&gt;DiasSC,"ATRASADO","Definir data"),IF($J319&lt;Hoje,"ATRASADO",IF($J319=Hoje,"HOJE","Em dia"))))</f>
        <v/>
      </c>
      <c r="S319" s="23">
        <f>IF($R319="","",IF(OR($R319="ATRASADO",$R319="HOJE",$R319="Definir data"),COUNTIF($R$5:$R319,"ATRASADO")+COUNTIF($R$5:$R319,"HOJE")+COUNTIF($R$5:$R319,"Definir data"),""))</f>
        <v/>
      </c>
      <c r="T319" s="18">
        <f>IF($C319="","",IF(OR($B319="",$E319="",$F319="",$G319=""),"Preencher entrada/origem/vendedor/etapa",IF(AND(OR($P319="Ganho",$P319="Perdido"),$K319=""),"Falta data de fechamento",IF(AND($P319="Perdido",$L319=""),"Informe o motivo da perda","OK"))))</f>
        <v/>
      </c>
    </row>
    <row r="320" spans="1:20">
      <c r="A320" s="18">
        <f>IF($C320="","",ROW()-4)</f>
        <v/>
      </c>
      <c r="B320" s="19"/>
      <c r="C320" s="13"/>
      <c r="D320" s="13"/>
      <c r="E320" s="13"/>
      <c r="F320" s="13"/>
      <c r="G320" s="13"/>
      <c r="H320" s="15"/>
      <c r="I320" s="19"/>
      <c r="J320" s="19"/>
      <c r="K320" s="19"/>
      <c r="L320" s="13"/>
      <c r="M320" s="13"/>
      <c r="N320" s="20">
        <f>IF($C320="","",IFERROR(INDEX(EtapaProb,MATCH($G320,Etapas,0)),0))</f>
        <v/>
      </c>
      <c r="O320" s="21">
        <f>IF($C320="","",IF($P320="Aberto",N($H320)*$N320,0))</f>
        <v/>
      </c>
      <c r="P320" s="18">
        <f>IF($C320="","",IF($G320="Ganho","Ganho",IF($G320="Perdido","Perdido","Aberto")))</f>
        <v/>
      </c>
      <c r="Q320" s="18">
        <f>IF(OR($C320="",$P320&lt;&gt;"Aberto"),"",IF($I320="",Hoje-$B320,Hoje-$I320))</f>
        <v/>
      </c>
      <c r="R320" s="22">
        <f>IF(OR($C320="",$P320&lt;&gt;"Aberto"),"",IF($J320="",IF($Q320&gt;DiasSC,"ATRASADO","Definir data"),IF($J320&lt;Hoje,"ATRASADO",IF($J320=Hoje,"HOJE","Em dia"))))</f>
        <v/>
      </c>
      <c r="S320" s="23">
        <f>IF($R320="","",IF(OR($R320="ATRASADO",$R320="HOJE",$R320="Definir data"),COUNTIF($R$5:$R320,"ATRASADO")+COUNTIF($R$5:$R320,"HOJE")+COUNTIF($R$5:$R320,"Definir data"),""))</f>
        <v/>
      </c>
      <c r="T320" s="18">
        <f>IF($C320="","",IF(OR($B320="",$E320="",$F320="",$G320=""),"Preencher entrada/origem/vendedor/etapa",IF(AND(OR($P320="Ganho",$P320="Perdido"),$K320=""),"Falta data de fechamento",IF(AND($P320="Perdido",$L320=""),"Informe o motivo da perda","OK"))))</f>
        <v/>
      </c>
    </row>
    <row r="321" spans="1:20">
      <c r="A321" s="18">
        <f>IF($C321="","",ROW()-4)</f>
        <v/>
      </c>
      <c r="B321" s="19"/>
      <c r="C321" s="13"/>
      <c r="D321" s="13"/>
      <c r="E321" s="13"/>
      <c r="F321" s="13"/>
      <c r="G321" s="13"/>
      <c r="H321" s="15"/>
      <c r="I321" s="19"/>
      <c r="J321" s="19"/>
      <c r="K321" s="19"/>
      <c r="L321" s="13"/>
      <c r="M321" s="13"/>
      <c r="N321" s="20">
        <f>IF($C321="","",IFERROR(INDEX(EtapaProb,MATCH($G321,Etapas,0)),0))</f>
        <v/>
      </c>
      <c r="O321" s="21">
        <f>IF($C321="","",IF($P321="Aberto",N($H321)*$N321,0))</f>
        <v/>
      </c>
      <c r="P321" s="18">
        <f>IF($C321="","",IF($G321="Ganho","Ganho",IF($G321="Perdido","Perdido","Aberto")))</f>
        <v/>
      </c>
      <c r="Q321" s="18">
        <f>IF(OR($C321="",$P321&lt;&gt;"Aberto"),"",IF($I321="",Hoje-$B321,Hoje-$I321))</f>
        <v/>
      </c>
      <c r="R321" s="22">
        <f>IF(OR($C321="",$P321&lt;&gt;"Aberto"),"",IF($J321="",IF($Q321&gt;DiasSC,"ATRASADO","Definir data"),IF($J321&lt;Hoje,"ATRASADO",IF($J321=Hoje,"HOJE","Em dia"))))</f>
        <v/>
      </c>
      <c r="S321" s="23">
        <f>IF($R321="","",IF(OR($R321="ATRASADO",$R321="HOJE",$R321="Definir data"),COUNTIF($R$5:$R321,"ATRASADO")+COUNTIF($R$5:$R321,"HOJE")+COUNTIF($R$5:$R321,"Definir data"),""))</f>
        <v/>
      </c>
      <c r="T321" s="18">
        <f>IF($C321="","",IF(OR($B321="",$E321="",$F321="",$G321=""),"Preencher entrada/origem/vendedor/etapa",IF(AND(OR($P321="Ganho",$P321="Perdido"),$K321=""),"Falta data de fechamento",IF(AND($P321="Perdido",$L321=""),"Informe o motivo da perda","OK"))))</f>
        <v/>
      </c>
    </row>
    <row r="322" spans="1:20">
      <c r="A322" s="18">
        <f>IF($C322="","",ROW()-4)</f>
        <v/>
      </c>
      <c r="B322" s="19"/>
      <c r="C322" s="13"/>
      <c r="D322" s="13"/>
      <c r="E322" s="13"/>
      <c r="F322" s="13"/>
      <c r="G322" s="13"/>
      <c r="H322" s="15"/>
      <c r="I322" s="19"/>
      <c r="J322" s="19"/>
      <c r="K322" s="19"/>
      <c r="L322" s="13"/>
      <c r="M322" s="13"/>
      <c r="N322" s="20">
        <f>IF($C322="","",IFERROR(INDEX(EtapaProb,MATCH($G322,Etapas,0)),0))</f>
        <v/>
      </c>
      <c r="O322" s="21">
        <f>IF($C322="","",IF($P322="Aberto",N($H322)*$N322,0))</f>
        <v/>
      </c>
      <c r="P322" s="18">
        <f>IF($C322="","",IF($G322="Ganho","Ganho",IF($G322="Perdido","Perdido","Aberto")))</f>
        <v/>
      </c>
      <c r="Q322" s="18">
        <f>IF(OR($C322="",$P322&lt;&gt;"Aberto"),"",IF($I322="",Hoje-$B322,Hoje-$I322))</f>
        <v/>
      </c>
      <c r="R322" s="22">
        <f>IF(OR($C322="",$P322&lt;&gt;"Aberto"),"",IF($J322="",IF($Q322&gt;DiasSC,"ATRASADO","Definir data"),IF($J322&lt;Hoje,"ATRASADO",IF($J322=Hoje,"HOJE","Em dia"))))</f>
        <v/>
      </c>
      <c r="S322" s="23">
        <f>IF($R322="","",IF(OR($R322="ATRASADO",$R322="HOJE",$R322="Definir data"),COUNTIF($R$5:$R322,"ATRASADO")+COUNTIF($R$5:$R322,"HOJE")+COUNTIF($R$5:$R322,"Definir data"),""))</f>
        <v/>
      </c>
      <c r="T322" s="18">
        <f>IF($C322="","",IF(OR($B322="",$E322="",$F322="",$G322=""),"Preencher entrada/origem/vendedor/etapa",IF(AND(OR($P322="Ganho",$P322="Perdido"),$K322=""),"Falta data de fechamento",IF(AND($P322="Perdido",$L322=""),"Informe o motivo da perda","OK"))))</f>
        <v/>
      </c>
    </row>
    <row r="323" spans="1:20">
      <c r="A323" s="18">
        <f>IF($C323="","",ROW()-4)</f>
        <v/>
      </c>
      <c r="B323" s="19"/>
      <c r="C323" s="13"/>
      <c r="D323" s="13"/>
      <c r="E323" s="13"/>
      <c r="F323" s="13"/>
      <c r="G323" s="13"/>
      <c r="H323" s="15"/>
      <c r="I323" s="19"/>
      <c r="J323" s="19"/>
      <c r="K323" s="19"/>
      <c r="L323" s="13"/>
      <c r="M323" s="13"/>
      <c r="N323" s="20">
        <f>IF($C323="","",IFERROR(INDEX(EtapaProb,MATCH($G323,Etapas,0)),0))</f>
        <v/>
      </c>
      <c r="O323" s="21">
        <f>IF($C323="","",IF($P323="Aberto",N($H323)*$N323,0))</f>
        <v/>
      </c>
      <c r="P323" s="18">
        <f>IF($C323="","",IF($G323="Ganho","Ganho",IF($G323="Perdido","Perdido","Aberto")))</f>
        <v/>
      </c>
      <c r="Q323" s="18">
        <f>IF(OR($C323="",$P323&lt;&gt;"Aberto"),"",IF($I323="",Hoje-$B323,Hoje-$I323))</f>
        <v/>
      </c>
      <c r="R323" s="22">
        <f>IF(OR($C323="",$P323&lt;&gt;"Aberto"),"",IF($J323="",IF($Q323&gt;DiasSC,"ATRASADO","Definir data"),IF($J323&lt;Hoje,"ATRASADO",IF($J323=Hoje,"HOJE","Em dia"))))</f>
        <v/>
      </c>
      <c r="S323" s="23">
        <f>IF($R323="","",IF(OR($R323="ATRASADO",$R323="HOJE",$R323="Definir data"),COUNTIF($R$5:$R323,"ATRASADO")+COUNTIF($R$5:$R323,"HOJE")+COUNTIF($R$5:$R323,"Definir data"),""))</f>
        <v/>
      </c>
      <c r="T323" s="18">
        <f>IF($C323="","",IF(OR($B323="",$E323="",$F323="",$G323=""),"Preencher entrada/origem/vendedor/etapa",IF(AND(OR($P323="Ganho",$P323="Perdido"),$K323=""),"Falta data de fechamento",IF(AND($P323="Perdido",$L323=""),"Informe o motivo da perda","OK"))))</f>
        <v/>
      </c>
    </row>
    <row r="324" spans="1:20">
      <c r="A324" s="18">
        <f>IF($C324="","",ROW()-4)</f>
        <v/>
      </c>
      <c r="B324" s="19"/>
      <c r="C324" s="13"/>
      <c r="D324" s="13"/>
      <c r="E324" s="13"/>
      <c r="F324" s="13"/>
      <c r="G324" s="13"/>
      <c r="H324" s="15"/>
      <c r="I324" s="19"/>
      <c r="J324" s="19"/>
      <c r="K324" s="19"/>
      <c r="L324" s="13"/>
      <c r="M324" s="13"/>
      <c r="N324" s="20">
        <f>IF($C324="","",IFERROR(INDEX(EtapaProb,MATCH($G324,Etapas,0)),0))</f>
        <v/>
      </c>
      <c r="O324" s="21">
        <f>IF($C324="","",IF($P324="Aberto",N($H324)*$N324,0))</f>
        <v/>
      </c>
      <c r="P324" s="18">
        <f>IF($C324="","",IF($G324="Ganho","Ganho",IF($G324="Perdido","Perdido","Aberto")))</f>
        <v/>
      </c>
      <c r="Q324" s="18">
        <f>IF(OR($C324="",$P324&lt;&gt;"Aberto"),"",IF($I324="",Hoje-$B324,Hoje-$I324))</f>
        <v/>
      </c>
      <c r="R324" s="22">
        <f>IF(OR($C324="",$P324&lt;&gt;"Aberto"),"",IF($J324="",IF($Q324&gt;DiasSC,"ATRASADO","Definir data"),IF($J324&lt;Hoje,"ATRASADO",IF($J324=Hoje,"HOJE","Em dia"))))</f>
        <v/>
      </c>
      <c r="S324" s="23">
        <f>IF($R324="","",IF(OR($R324="ATRASADO",$R324="HOJE",$R324="Definir data"),COUNTIF($R$5:$R324,"ATRASADO")+COUNTIF($R$5:$R324,"HOJE")+COUNTIF($R$5:$R324,"Definir data"),""))</f>
        <v/>
      </c>
      <c r="T324" s="18">
        <f>IF($C324="","",IF(OR($B324="",$E324="",$F324="",$G324=""),"Preencher entrada/origem/vendedor/etapa",IF(AND(OR($P324="Ganho",$P324="Perdido"),$K324=""),"Falta data de fechamento",IF(AND($P324="Perdido",$L324=""),"Informe o motivo da perda","OK"))))</f>
        <v/>
      </c>
    </row>
    <row r="325" spans="1:20">
      <c r="A325" s="18">
        <f>IF($C325="","",ROW()-4)</f>
        <v/>
      </c>
      <c r="B325" s="19"/>
      <c r="C325" s="13"/>
      <c r="D325" s="13"/>
      <c r="E325" s="13"/>
      <c r="F325" s="13"/>
      <c r="G325" s="13"/>
      <c r="H325" s="15"/>
      <c r="I325" s="19"/>
      <c r="J325" s="19"/>
      <c r="K325" s="19"/>
      <c r="L325" s="13"/>
      <c r="M325" s="13"/>
      <c r="N325" s="20">
        <f>IF($C325="","",IFERROR(INDEX(EtapaProb,MATCH($G325,Etapas,0)),0))</f>
        <v/>
      </c>
      <c r="O325" s="21">
        <f>IF($C325="","",IF($P325="Aberto",N($H325)*$N325,0))</f>
        <v/>
      </c>
      <c r="P325" s="18">
        <f>IF($C325="","",IF($G325="Ganho","Ganho",IF($G325="Perdido","Perdido","Aberto")))</f>
        <v/>
      </c>
      <c r="Q325" s="18">
        <f>IF(OR($C325="",$P325&lt;&gt;"Aberto"),"",IF($I325="",Hoje-$B325,Hoje-$I325))</f>
        <v/>
      </c>
      <c r="R325" s="22">
        <f>IF(OR($C325="",$P325&lt;&gt;"Aberto"),"",IF($J325="",IF($Q325&gt;DiasSC,"ATRASADO","Definir data"),IF($J325&lt;Hoje,"ATRASADO",IF($J325=Hoje,"HOJE","Em dia"))))</f>
        <v/>
      </c>
      <c r="S325" s="23">
        <f>IF($R325="","",IF(OR($R325="ATRASADO",$R325="HOJE",$R325="Definir data"),COUNTIF($R$5:$R325,"ATRASADO")+COUNTIF($R$5:$R325,"HOJE")+COUNTIF($R$5:$R325,"Definir data"),""))</f>
        <v/>
      </c>
      <c r="T325" s="18">
        <f>IF($C325="","",IF(OR($B325="",$E325="",$F325="",$G325=""),"Preencher entrada/origem/vendedor/etapa",IF(AND(OR($P325="Ganho",$P325="Perdido"),$K325=""),"Falta data de fechamento",IF(AND($P325="Perdido",$L325=""),"Informe o motivo da perda","OK"))))</f>
        <v/>
      </c>
    </row>
    <row r="326" spans="1:20">
      <c r="A326" s="18">
        <f>IF($C326="","",ROW()-4)</f>
        <v/>
      </c>
      <c r="B326" s="19"/>
      <c r="C326" s="13"/>
      <c r="D326" s="13"/>
      <c r="E326" s="13"/>
      <c r="F326" s="13"/>
      <c r="G326" s="13"/>
      <c r="H326" s="15"/>
      <c r="I326" s="19"/>
      <c r="J326" s="19"/>
      <c r="K326" s="19"/>
      <c r="L326" s="13"/>
      <c r="M326" s="13"/>
      <c r="N326" s="20">
        <f>IF($C326="","",IFERROR(INDEX(EtapaProb,MATCH($G326,Etapas,0)),0))</f>
        <v/>
      </c>
      <c r="O326" s="21">
        <f>IF($C326="","",IF($P326="Aberto",N($H326)*$N326,0))</f>
        <v/>
      </c>
      <c r="P326" s="18">
        <f>IF($C326="","",IF($G326="Ganho","Ganho",IF($G326="Perdido","Perdido","Aberto")))</f>
        <v/>
      </c>
      <c r="Q326" s="18">
        <f>IF(OR($C326="",$P326&lt;&gt;"Aberto"),"",IF($I326="",Hoje-$B326,Hoje-$I326))</f>
        <v/>
      </c>
      <c r="R326" s="22">
        <f>IF(OR($C326="",$P326&lt;&gt;"Aberto"),"",IF($J326="",IF($Q326&gt;DiasSC,"ATRASADO","Definir data"),IF($J326&lt;Hoje,"ATRASADO",IF($J326=Hoje,"HOJE","Em dia"))))</f>
        <v/>
      </c>
      <c r="S326" s="23">
        <f>IF($R326="","",IF(OR($R326="ATRASADO",$R326="HOJE",$R326="Definir data"),COUNTIF($R$5:$R326,"ATRASADO")+COUNTIF($R$5:$R326,"HOJE")+COUNTIF($R$5:$R326,"Definir data"),""))</f>
        <v/>
      </c>
      <c r="T326" s="18">
        <f>IF($C326="","",IF(OR($B326="",$E326="",$F326="",$G326=""),"Preencher entrada/origem/vendedor/etapa",IF(AND(OR($P326="Ganho",$P326="Perdido"),$K326=""),"Falta data de fechamento",IF(AND($P326="Perdido",$L326=""),"Informe o motivo da perda","OK"))))</f>
        <v/>
      </c>
    </row>
    <row r="327" spans="1:20">
      <c r="A327" s="18">
        <f>IF($C327="","",ROW()-4)</f>
        <v/>
      </c>
      <c r="B327" s="19"/>
      <c r="C327" s="13"/>
      <c r="D327" s="13"/>
      <c r="E327" s="13"/>
      <c r="F327" s="13"/>
      <c r="G327" s="13"/>
      <c r="H327" s="15"/>
      <c r="I327" s="19"/>
      <c r="J327" s="19"/>
      <c r="K327" s="19"/>
      <c r="L327" s="13"/>
      <c r="M327" s="13"/>
      <c r="N327" s="20">
        <f>IF($C327="","",IFERROR(INDEX(EtapaProb,MATCH($G327,Etapas,0)),0))</f>
        <v/>
      </c>
      <c r="O327" s="21">
        <f>IF($C327="","",IF($P327="Aberto",N($H327)*$N327,0))</f>
        <v/>
      </c>
      <c r="P327" s="18">
        <f>IF($C327="","",IF($G327="Ganho","Ganho",IF($G327="Perdido","Perdido","Aberto")))</f>
        <v/>
      </c>
      <c r="Q327" s="18">
        <f>IF(OR($C327="",$P327&lt;&gt;"Aberto"),"",IF($I327="",Hoje-$B327,Hoje-$I327))</f>
        <v/>
      </c>
      <c r="R327" s="22">
        <f>IF(OR($C327="",$P327&lt;&gt;"Aberto"),"",IF($J327="",IF($Q327&gt;DiasSC,"ATRASADO","Definir data"),IF($J327&lt;Hoje,"ATRASADO",IF($J327=Hoje,"HOJE","Em dia"))))</f>
        <v/>
      </c>
      <c r="S327" s="23">
        <f>IF($R327="","",IF(OR($R327="ATRASADO",$R327="HOJE",$R327="Definir data"),COUNTIF($R$5:$R327,"ATRASADO")+COUNTIF($R$5:$R327,"HOJE")+COUNTIF($R$5:$R327,"Definir data"),""))</f>
        <v/>
      </c>
      <c r="T327" s="18">
        <f>IF($C327="","",IF(OR($B327="",$E327="",$F327="",$G327=""),"Preencher entrada/origem/vendedor/etapa",IF(AND(OR($P327="Ganho",$P327="Perdido"),$K327=""),"Falta data de fechamento",IF(AND($P327="Perdido",$L327=""),"Informe o motivo da perda","OK"))))</f>
        <v/>
      </c>
    </row>
    <row r="328" spans="1:20">
      <c r="A328" s="18">
        <f>IF($C328="","",ROW()-4)</f>
        <v/>
      </c>
      <c r="B328" s="19"/>
      <c r="C328" s="13"/>
      <c r="D328" s="13"/>
      <c r="E328" s="13"/>
      <c r="F328" s="13"/>
      <c r="G328" s="13"/>
      <c r="H328" s="15"/>
      <c r="I328" s="19"/>
      <c r="J328" s="19"/>
      <c r="K328" s="19"/>
      <c r="L328" s="13"/>
      <c r="M328" s="13"/>
      <c r="N328" s="20">
        <f>IF($C328="","",IFERROR(INDEX(EtapaProb,MATCH($G328,Etapas,0)),0))</f>
        <v/>
      </c>
      <c r="O328" s="21">
        <f>IF($C328="","",IF($P328="Aberto",N($H328)*$N328,0))</f>
        <v/>
      </c>
      <c r="P328" s="18">
        <f>IF($C328="","",IF($G328="Ganho","Ganho",IF($G328="Perdido","Perdido","Aberto")))</f>
        <v/>
      </c>
      <c r="Q328" s="18">
        <f>IF(OR($C328="",$P328&lt;&gt;"Aberto"),"",IF($I328="",Hoje-$B328,Hoje-$I328))</f>
        <v/>
      </c>
      <c r="R328" s="22">
        <f>IF(OR($C328="",$P328&lt;&gt;"Aberto"),"",IF($J328="",IF($Q328&gt;DiasSC,"ATRASADO","Definir data"),IF($J328&lt;Hoje,"ATRASADO",IF($J328=Hoje,"HOJE","Em dia"))))</f>
        <v/>
      </c>
      <c r="S328" s="23">
        <f>IF($R328="","",IF(OR($R328="ATRASADO",$R328="HOJE",$R328="Definir data"),COUNTIF($R$5:$R328,"ATRASADO")+COUNTIF($R$5:$R328,"HOJE")+COUNTIF($R$5:$R328,"Definir data"),""))</f>
        <v/>
      </c>
      <c r="T328" s="18">
        <f>IF($C328="","",IF(OR($B328="",$E328="",$F328="",$G328=""),"Preencher entrada/origem/vendedor/etapa",IF(AND(OR($P328="Ganho",$P328="Perdido"),$K328=""),"Falta data de fechamento",IF(AND($P328="Perdido",$L328=""),"Informe o motivo da perda","OK"))))</f>
        <v/>
      </c>
    </row>
    <row r="329" spans="1:20">
      <c r="A329" s="18">
        <f>IF($C329="","",ROW()-4)</f>
        <v/>
      </c>
      <c r="B329" s="19"/>
      <c r="C329" s="13"/>
      <c r="D329" s="13"/>
      <c r="E329" s="13"/>
      <c r="F329" s="13"/>
      <c r="G329" s="13"/>
      <c r="H329" s="15"/>
      <c r="I329" s="19"/>
      <c r="J329" s="19"/>
      <c r="K329" s="19"/>
      <c r="L329" s="13"/>
      <c r="M329" s="13"/>
      <c r="N329" s="20">
        <f>IF($C329="","",IFERROR(INDEX(EtapaProb,MATCH($G329,Etapas,0)),0))</f>
        <v/>
      </c>
      <c r="O329" s="21">
        <f>IF($C329="","",IF($P329="Aberto",N($H329)*$N329,0))</f>
        <v/>
      </c>
      <c r="P329" s="18">
        <f>IF($C329="","",IF($G329="Ganho","Ganho",IF($G329="Perdido","Perdido","Aberto")))</f>
        <v/>
      </c>
      <c r="Q329" s="18">
        <f>IF(OR($C329="",$P329&lt;&gt;"Aberto"),"",IF($I329="",Hoje-$B329,Hoje-$I329))</f>
        <v/>
      </c>
      <c r="R329" s="22">
        <f>IF(OR($C329="",$P329&lt;&gt;"Aberto"),"",IF($J329="",IF($Q329&gt;DiasSC,"ATRASADO","Definir data"),IF($J329&lt;Hoje,"ATRASADO",IF($J329=Hoje,"HOJE","Em dia"))))</f>
        <v/>
      </c>
      <c r="S329" s="23">
        <f>IF($R329="","",IF(OR($R329="ATRASADO",$R329="HOJE",$R329="Definir data"),COUNTIF($R$5:$R329,"ATRASADO")+COUNTIF($R$5:$R329,"HOJE")+COUNTIF($R$5:$R329,"Definir data"),""))</f>
        <v/>
      </c>
      <c r="T329" s="18">
        <f>IF($C329="","",IF(OR($B329="",$E329="",$F329="",$G329=""),"Preencher entrada/origem/vendedor/etapa",IF(AND(OR($P329="Ganho",$P329="Perdido"),$K329=""),"Falta data de fechamento",IF(AND($P329="Perdido",$L329=""),"Informe o motivo da perda","OK"))))</f>
        <v/>
      </c>
    </row>
    <row r="330" spans="1:20">
      <c r="A330" s="18">
        <f>IF($C330="","",ROW()-4)</f>
        <v/>
      </c>
      <c r="B330" s="19"/>
      <c r="C330" s="13"/>
      <c r="D330" s="13"/>
      <c r="E330" s="13"/>
      <c r="F330" s="13"/>
      <c r="G330" s="13"/>
      <c r="H330" s="15"/>
      <c r="I330" s="19"/>
      <c r="J330" s="19"/>
      <c r="K330" s="19"/>
      <c r="L330" s="13"/>
      <c r="M330" s="13"/>
      <c r="N330" s="20">
        <f>IF($C330="","",IFERROR(INDEX(EtapaProb,MATCH($G330,Etapas,0)),0))</f>
        <v/>
      </c>
      <c r="O330" s="21">
        <f>IF($C330="","",IF($P330="Aberto",N($H330)*$N330,0))</f>
        <v/>
      </c>
      <c r="P330" s="18">
        <f>IF($C330="","",IF($G330="Ganho","Ganho",IF($G330="Perdido","Perdido","Aberto")))</f>
        <v/>
      </c>
      <c r="Q330" s="18">
        <f>IF(OR($C330="",$P330&lt;&gt;"Aberto"),"",IF($I330="",Hoje-$B330,Hoje-$I330))</f>
        <v/>
      </c>
      <c r="R330" s="22">
        <f>IF(OR($C330="",$P330&lt;&gt;"Aberto"),"",IF($J330="",IF($Q330&gt;DiasSC,"ATRASADO","Definir data"),IF($J330&lt;Hoje,"ATRASADO",IF($J330=Hoje,"HOJE","Em dia"))))</f>
        <v/>
      </c>
      <c r="S330" s="23">
        <f>IF($R330="","",IF(OR($R330="ATRASADO",$R330="HOJE",$R330="Definir data"),COUNTIF($R$5:$R330,"ATRASADO")+COUNTIF($R$5:$R330,"HOJE")+COUNTIF($R$5:$R330,"Definir data"),""))</f>
        <v/>
      </c>
      <c r="T330" s="18">
        <f>IF($C330="","",IF(OR($B330="",$E330="",$F330="",$G330=""),"Preencher entrada/origem/vendedor/etapa",IF(AND(OR($P330="Ganho",$P330="Perdido"),$K330=""),"Falta data de fechamento",IF(AND($P330="Perdido",$L330=""),"Informe o motivo da perda","OK"))))</f>
        <v/>
      </c>
    </row>
    <row r="331" spans="1:20">
      <c r="A331" s="18">
        <f>IF($C331="","",ROW()-4)</f>
        <v/>
      </c>
      <c r="B331" s="19"/>
      <c r="C331" s="13"/>
      <c r="D331" s="13"/>
      <c r="E331" s="13"/>
      <c r="F331" s="13"/>
      <c r="G331" s="13"/>
      <c r="H331" s="15"/>
      <c r="I331" s="19"/>
      <c r="J331" s="19"/>
      <c r="K331" s="19"/>
      <c r="L331" s="13"/>
      <c r="M331" s="13"/>
      <c r="N331" s="20">
        <f>IF($C331="","",IFERROR(INDEX(EtapaProb,MATCH($G331,Etapas,0)),0))</f>
        <v/>
      </c>
      <c r="O331" s="21">
        <f>IF($C331="","",IF($P331="Aberto",N($H331)*$N331,0))</f>
        <v/>
      </c>
      <c r="P331" s="18">
        <f>IF($C331="","",IF($G331="Ganho","Ganho",IF($G331="Perdido","Perdido","Aberto")))</f>
        <v/>
      </c>
      <c r="Q331" s="18">
        <f>IF(OR($C331="",$P331&lt;&gt;"Aberto"),"",IF($I331="",Hoje-$B331,Hoje-$I331))</f>
        <v/>
      </c>
      <c r="R331" s="22">
        <f>IF(OR($C331="",$P331&lt;&gt;"Aberto"),"",IF($J331="",IF($Q331&gt;DiasSC,"ATRASADO","Definir data"),IF($J331&lt;Hoje,"ATRASADO",IF($J331=Hoje,"HOJE","Em dia"))))</f>
        <v/>
      </c>
      <c r="S331" s="23">
        <f>IF($R331="","",IF(OR($R331="ATRASADO",$R331="HOJE",$R331="Definir data"),COUNTIF($R$5:$R331,"ATRASADO")+COUNTIF($R$5:$R331,"HOJE")+COUNTIF($R$5:$R331,"Definir data"),""))</f>
        <v/>
      </c>
      <c r="T331" s="18">
        <f>IF($C331="","",IF(OR($B331="",$E331="",$F331="",$G331=""),"Preencher entrada/origem/vendedor/etapa",IF(AND(OR($P331="Ganho",$P331="Perdido"),$K331=""),"Falta data de fechamento",IF(AND($P331="Perdido",$L331=""),"Informe o motivo da perda","OK"))))</f>
        <v/>
      </c>
    </row>
    <row r="332" spans="1:20">
      <c r="A332" s="18">
        <f>IF($C332="","",ROW()-4)</f>
        <v/>
      </c>
      <c r="B332" s="19"/>
      <c r="C332" s="13"/>
      <c r="D332" s="13"/>
      <c r="E332" s="13"/>
      <c r="F332" s="13"/>
      <c r="G332" s="13"/>
      <c r="H332" s="15"/>
      <c r="I332" s="19"/>
      <c r="J332" s="19"/>
      <c r="K332" s="19"/>
      <c r="L332" s="13"/>
      <c r="M332" s="13"/>
      <c r="N332" s="20">
        <f>IF($C332="","",IFERROR(INDEX(EtapaProb,MATCH($G332,Etapas,0)),0))</f>
        <v/>
      </c>
      <c r="O332" s="21">
        <f>IF($C332="","",IF($P332="Aberto",N($H332)*$N332,0))</f>
        <v/>
      </c>
      <c r="P332" s="18">
        <f>IF($C332="","",IF($G332="Ganho","Ganho",IF($G332="Perdido","Perdido","Aberto")))</f>
        <v/>
      </c>
      <c r="Q332" s="18">
        <f>IF(OR($C332="",$P332&lt;&gt;"Aberto"),"",IF($I332="",Hoje-$B332,Hoje-$I332))</f>
        <v/>
      </c>
      <c r="R332" s="22">
        <f>IF(OR($C332="",$P332&lt;&gt;"Aberto"),"",IF($J332="",IF($Q332&gt;DiasSC,"ATRASADO","Definir data"),IF($J332&lt;Hoje,"ATRASADO",IF($J332=Hoje,"HOJE","Em dia"))))</f>
        <v/>
      </c>
      <c r="S332" s="23">
        <f>IF($R332="","",IF(OR($R332="ATRASADO",$R332="HOJE",$R332="Definir data"),COUNTIF($R$5:$R332,"ATRASADO")+COUNTIF($R$5:$R332,"HOJE")+COUNTIF($R$5:$R332,"Definir data"),""))</f>
        <v/>
      </c>
      <c r="T332" s="18">
        <f>IF($C332="","",IF(OR($B332="",$E332="",$F332="",$G332=""),"Preencher entrada/origem/vendedor/etapa",IF(AND(OR($P332="Ganho",$P332="Perdido"),$K332=""),"Falta data de fechamento",IF(AND($P332="Perdido",$L332=""),"Informe o motivo da perda","OK"))))</f>
        <v/>
      </c>
    </row>
    <row r="333" spans="1:20">
      <c r="A333" s="18">
        <f>IF($C333="","",ROW()-4)</f>
        <v/>
      </c>
      <c r="B333" s="19"/>
      <c r="C333" s="13"/>
      <c r="D333" s="13"/>
      <c r="E333" s="13"/>
      <c r="F333" s="13"/>
      <c r="G333" s="13"/>
      <c r="H333" s="15"/>
      <c r="I333" s="19"/>
      <c r="J333" s="19"/>
      <c r="K333" s="19"/>
      <c r="L333" s="13"/>
      <c r="M333" s="13"/>
      <c r="N333" s="20">
        <f>IF($C333="","",IFERROR(INDEX(EtapaProb,MATCH($G333,Etapas,0)),0))</f>
        <v/>
      </c>
      <c r="O333" s="21">
        <f>IF($C333="","",IF($P333="Aberto",N($H333)*$N333,0))</f>
        <v/>
      </c>
      <c r="P333" s="18">
        <f>IF($C333="","",IF($G333="Ganho","Ganho",IF($G333="Perdido","Perdido","Aberto")))</f>
        <v/>
      </c>
      <c r="Q333" s="18">
        <f>IF(OR($C333="",$P333&lt;&gt;"Aberto"),"",IF($I333="",Hoje-$B333,Hoje-$I333))</f>
        <v/>
      </c>
      <c r="R333" s="22">
        <f>IF(OR($C333="",$P333&lt;&gt;"Aberto"),"",IF($J333="",IF($Q333&gt;DiasSC,"ATRASADO","Definir data"),IF($J333&lt;Hoje,"ATRASADO",IF($J333=Hoje,"HOJE","Em dia"))))</f>
        <v/>
      </c>
      <c r="S333" s="23">
        <f>IF($R333="","",IF(OR($R333="ATRASADO",$R333="HOJE",$R333="Definir data"),COUNTIF($R$5:$R333,"ATRASADO")+COUNTIF($R$5:$R333,"HOJE")+COUNTIF($R$5:$R333,"Definir data"),""))</f>
        <v/>
      </c>
      <c r="T333" s="18">
        <f>IF($C333="","",IF(OR($B333="",$E333="",$F333="",$G333=""),"Preencher entrada/origem/vendedor/etapa",IF(AND(OR($P333="Ganho",$P333="Perdido"),$K333=""),"Falta data de fechamento",IF(AND($P333="Perdido",$L333=""),"Informe o motivo da perda","OK"))))</f>
        <v/>
      </c>
    </row>
    <row r="334" spans="1:20">
      <c r="A334" s="18">
        <f>IF($C334="","",ROW()-4)</f>
        <v/>
      </c>
      <c r="B334" s="19"/>
      <c r="C334" s="13"/>
      <c r="D334" s="13"/>
      <c r="E334" s="13"/>
      <c r="F334" s="13"/>
      <c r="G334" s="13"/>
      <c r="H334" s="15"/>
      <c r="I334" s="19"/>
      <c r="J334" s="19"/>
      <c r="K334" s="19"/>
      <c r="L334" s="13"/>
      <c r="M334" s="13"/>
      <c r="N334" s="20">
        <f>IF($C334="","",IFERROR(INDEX(EtapaProb,MATCH($G334,Etapas,0)),0))</f>
        <v/>
      </c>
      <c r="O334" s="21">
        <f>IF($C334="","",IF($P334="Aberto",N($H334)*$N334,0))</f>
        <v/>
      </c>
      <c r="P334" s="18">
        <f>IF($C334="","",IF($G334="Ganho","Ganho",IF($G334="Perdido","Perdido","Aberto")))</f>
        <v/>
      </c>
      <c r="Q334" s="18">
        <f>IF(OR($C334="",$P334&lt;&gt;"Aberto"),"",IF($I334="",Hoje-$B334,Hoje-$I334))</f>
        <v/>
      </c>
      <c r="R334" s="22">
        <f>IF(OR($C334="",$P334&lt;&gt;"Aberto"),"",IF($J334="",IF($Q334&gt;DiasSC,"ATRASADO","Definir data"),IF($J334&lt;Hoje,"ATRASADO",IF($J334=Hoje,"HOJE","Em dia"))))</f>
        <v/>
      </c>
      <c r="S334" s="23">
        <f>IF($R334="","",IF(OR($R334="ATRASADO",$R334="HOJE",$R334="Definir data"),COUNTIF($R$5:$R334,"ATRASADO")+COUNTIF($R$5:$R334,"HOJE")+COUNTIF($R$5:$R334,"Definir data"),""))</f>
        <v/>
      </c>
      <c r="T334" s="18">
        <f>IF($C334="","",IF(OR($B334="",$E334="",$F334="",$G334=""),"Preencher entrada/origem/vendedor/etapa",IF(AND(OR($P334="Ganho",$P334="Perdido"),$K334=""),"Falta data de fechamento",IF(AND($P334="Perdido",$L334=""),"Informe o motivo da perda","OK"))))</f>
        <v/>
      </c>
    </row>
    <row r="335" spans="1:20">
      <c r="A335" s="18">
        <f>IF($C335="","",ROW()-4)</f>
        <v/>
      </c>
      <c r="B335" s="19"/>
      <c r="C335" s="13"/>
      <c r="D335" s="13"/>
      <c r="E335" s="13"/>
      <c r="F335" s="13"/>
      <c r="G335" s="13"/>
      <c r="H335" s="15"/>
      <c r="I335" s="19"/>
      <c r="J335" s="19"/>
      <c r="K335" s="19"/>
      <c r="L335" s="13"/>
      <c r="M335" s="13"/>
      <c r="N335" s="20">
        <f>IF($C335="","",IFERROR(INDEX(EtapaProb,MATCH($G335,Etapas,0)),0))</f>
        <v/>
      </c>
      <c r="O335" s="21">
        <f>IF($C335="","",IF($P335="Aberto",N($H335)*$N335,0))</f>
        <v/>
      </c>
      <c r="P335" s="18">
        <f>IF($C335="","",IF($G335="Ganho","Ganho",IF($G335="Perdido","Perdido","Aberto")))</f>
        <v/>
      </c>
      <c r="Q335" s="18">
        <f>IF(OR($C335="",$P335&lt;&gt;"Aberto"),"",IF($I335="",Hoje-$B335,Hoje-$I335))</f>
        <v/>
      </c>
      <c r="R335" s="22">
        <f>IF(OR($C335="",$P335&lt;&gt;"Aberto"),"",IF($J335="",IF($Q335&gt;DiasSC,"ATRASADO","Definir data"),IF($J335&lt;Hoje,"ATRASADO",IF($J335=Hoje,"HOJE","Em dia"))))</f>
        <v/>
      </c>
      <c r="S335" s="23">
        <f>IF($R335="","",IF(OR($R335="ATRASADO",$R335="HOJE",$R335="Definir data"),COUNTIF($R$5:$R335,"ATRASADO")+COUNTIF($R$5:$R335,"HOJE")+COUNTIF($R$5:$R335,"Definir data"),""))</f>
        <v/>
      </c>
      <c r="T335" s="18">
        <f>IF($C335="","",IF(OR($B335="",$E335="",$F335="",$G335=""),"Preencher entrada/origem/vendedor/etapa",IF(AND(OR($P335="Ganho",$P335="Perdido"),$K335=""),"Falta data de fechamento",IF(AND($P335="Perdido",$L335=""),"Informe o motivo da perda","OK"))))</f>
        <v/>
      </c>
    </row>
    <row r="336" spans="1:20">
      <c r="A336" s="18">
        <f>IF($C336="","",ROW()-4)</f>
        <v/>
      </c>
      <c r="B336" s="19"/>
      <c r="C336" s="13"/>
      <c r="D336" s="13"/>
      <c r="E336" s="13"/>
      <c r="F336" s="13"/>
      <c r="G336" s="13"/>
      <c r="H336" s="15"/>
      <c r="I336" s="19"/>
      <c r="J336" s="19"/>
      <c r="K336" s="19"/>
      <c r="L336" s="13"/>
      <c r="M336" s="13"/>
      <c r="N336" s="20">
        <f>IF($C336="","",IFERROR(INDEX(EtapaProb,MATCH($G336,Etapas,0)),0))</f>
        <v/>
      </c>
      <c r="O336" s="21">
        <f>IF($C336="","",IF($P336="Aberto",N($H336)*$N336,0))</f>
        <v/>
      </c>
      <c r="P336" s="18">
        <f>IF($C336="","",IF($G336="Ganho","Ganho",IF($G336="Perdido","Perdido","Aberto")))</f>
        <v/>
      </c>
      <c r="Q336" s="18">
        <f>IF(OR($C336="",$P336&lt;&gt;"Aberto"),"",IF($I336="",Hoje-$B336,Hoje-$I336))</f>
        <v/>
      </c>
      <c r="R336" s="22">
        <f>IF(OR($C336="",$P336&lt;&gt;"Aberto"),"",IF($J336="",IF($Q336&gt;DiasSC,"ATRASADO","Definir data"),IF($J336&lt;Hoje,"ATRASADO",IF($J336=Hoje,"HOJE","Em dia"))))</f>
        <v/>
      </c>
      <c r="S336" s="23">
        <f>IF($R336="","",IF(OR($R336="ATRASADO",$R336="HOJE",$R336="Definir data"),COUNTIF($R$5:$R336,"ATRASADO")+COUNTIF($R$5:$R336,"HOJE")+COUNTIF($R$5:$R336,"Definir data"),""))</f>
        <v/>
      </c>
      <c r="T336" s="18">
        <f>IF($C336="","",IF(OR($B336="",$E336="",$F336="",$G336=""),"Preencher entrada/origem/vendedor/etapa",IF(AND(OR($P336="Ganho",$P336="Perdido"),$K336=""),"Falta data de fechamento",IF(AND($P336="Perdido",$L336=""),"Informe o motivo da perda","OK"))))</f>
        <v/>
      </c>
    </row>
    <row r="337" spans="1:20">
      <c r="A337" s="18">
        <f>IF($C337="","",ROW()-4)</f>
        <v/>
      </c>
      <c r="B337" s="19"/>
      <c r="C337" s="13"/>
      <c r="D337" s="13"/>
      <c r="E337" s="13"/>
      <c r="F337" s="13"/>
      <c r="G337" s="13"/>
      <c r="H337" s="15"/>
      <c r="I337" s="19"/>
      <c r="J337" s="19"/>
      <c r="K337" s="19"/>
      <c r="L337" s="13"/>
      <c r="M337" s="13"/>
      <c r="N337" s="20">
        <f>IF($C337="","",IFERROR(INDEX(EtapaProb,MATCH($G337,Etapas,0)),0))</f>
        <v/>
      </c>
      <c r="O337" s="21">
        <f>IF($C337="","",IF($P337="Aberto",N($H337)*$N337,0))</f>
        <v/>
      </c>
      <c r="P337" s="18">
        <f>IF($C337="","",IF($G337="Ganho","Ganho",IF($G337="Perdido","Perdido","Aberto")))</f>
        <v/>
      </c>
      <c r="Q337" s="18">
        <f>IF(OR($C337="",$P337&lt;&gt;"Aberto"),"",IF($I337="",Hoje-$B337,Hoje-$I337))</f>
        <v/>
      </c>
      <c r="R337" s="22">
        <f>IF(OR($C337="",$P337&lt;&gt;"Aberto"),"",IF($J337="",IF($Q337&gt;DiasSC,"ATRASADO","Definir data"),IF($J337&lt;Hoje,"ATRASADO",IF($J337=Hoje,"HOJE","Em dia"))))</f>
        <v/>
      </c>
      <c r="S337" s="23">
        <f>IF($R337="","",IF(OR($R337="ATRASADO",$R337="HOJE",$R337="Definir data"),COUNTIF($R$5:$R337,"ATRASADO")+COUNTIF($R$5:$R337,"HOJE")+COUNTIF($R$5:$R337,"Definir data"),""))</f>
        <v/>
      </c>
      <c r="T337" s="18">
        <f>IF($C337="","",IF(OR($B337="",$E337="",$F337="",$G337=""),"Preencher entrada/origem/vendedor/etapa",IF(AND(OR($P337="Ganho",$P337="Perdido"),$K337=""),"Falta data de fechamento",IF(AND($P337="Perdido",$L337=""),"Informe o motivo da perda","OK"))))</f>
        <v/>
      </c>
    </row>
    <row r="338" spans="1:20">
      <c r="A338" s="18">
        <f>IF($C338="","",ROW()-4)</f>
        <v/>
      </c>
      <c r="B338" s="19"/>
      <c r="C338" s="13"/>
      <c r="D338" s="13"/>
      <c r="E338" s="13"/>
      <c r="F338" s="13"/>
      <c r="G338" s="13"/>
      <c r="H338" s="15"/>
      <c r="I338" s="19"/>
      <c r="J338" s="19"/>
      <c r="K338" s="19"/>
      <c r="L338" s="13"/>
      <c r="M338" s="13"/>
      <c r="N338" s="20">
        <f>IF($C338="","",IFERROR(INDEX(EtapaProb,MATCH($G338,Etapas,0)),0))</f>
        <v/>
      </c>
      <c r="O338" s="21">
        <f>IF($C338="","",IF($P338="Aberto",N($H338)*$N338,0))</f>
        <v/>
      </c>
      <c r="P338" s="18">
        <f>IF($C338="","",IF($G338="Ganho","Ganho",IF($G338="Perdido","Perdido","Aberto")))</f>
        <v/>
      </c>
      <c r="Q338" s="18">
        <f>IF(OR($C338="",$P338&lt;&gt;"Aberto"),"",IF($I338="",Hoje-$B338,Hoje-$I338))</f>
        <v/>
      </c>
      <c r="R338" s="22">
        <f>IF(OR($C338="",$P338&lt;&gt;"Aberto"),"",IF($J338="",IF($Q338&gt;DiasSC,"ATRASADO","Definir data"),IF($J338&lt;Hoje,"ATRASADO",IF($J338=Hoje,"HOJE","Em dia"))))</f>
        <v/>
      </c>
      <c r="S338" s="23">
        <f>IF($R338="","",IF(OR($R338="ATRASADO",$R338="HOJE",$R338="Definir data"),COUNTIF($R$5:$R338,"ATRASADO")+COUNTIF($R$5:$R338,"HOJE")+COUNTIF($R$5:$R338,"Definir data"),""))</f>
        <v/>
      </c>
      <c r="T338" s="18">
        <f>IF($C338="","",IF(OR($B338="",$E338="",$F338="",$G338=""),"Preencher entrada/origem/vendedor/etapa",IF(AND(OR($P338="Ganho",$P338="Perdido"),$K338=""),"Falta data de fechamento",IF(AND($P338="Perdido",$L338=""),"Informe o motivo da perda","OK"))))</f>
        <v/>
      </c>
    </row>
    <row r="339" spans="1:20">
      <c r="A339" s="18">
        <f>IF($C339="","",ROW()-4)</f>
        <v/>
      </c>
      <c r="B339" s="19"/>
      <c r="C339" s="13"/>
      <c r="D339" s="13"/>
      <c r="E339" s="13"/>
      <c r="F339" s="13"/>
      <c r="G339" s="13"/>
      <c r="H339" s="15"/>
      <c r="I339" s="19"/>
      <c r="J339" s="19"/>
      <c r="K339" s="19"/>
      <c r="L339" s="13"/>
      <c r="M339" s="13"/>
      <c r="N339" s="20">
        <f>IF($C339="","",IFERROR(INDEX(EtapaProb,MATCH($G339,Etapas,0)),0))</f>
        <v/>
      </c>
      <c r="O339" s="21">
        <f>IF($C339="","",IF($P339="Aberto",N($H339)*$N339,0))</f>
        <v/>
      </c>
      <c r="P339" s="18">
        <f>IF($C339="","",IF($G339="Ganho","Ganho",IF($G339="Perdido","Perdido","Aberto")))</f>
        <v/>
      </c>
      <c r="Q339" s="18">
        <f>IF(OR($C339="",$P339&lt;&gt;"Aberto"),"",IF($I339="",Hoje-$B339,Hoje-$I339))</f>
        <v/>
      </c>
      <c r="R339" s="22">
        <f>IF(OR($C339="",$P339&lt;&gt;"Aberto"),"",IF($J339="",IF($Q339&gt;DiasSC,"ATRASADO","Definir data"),IF($J339&lt;Hoje,"ATRASADO",IF($J339=Hoje,"HOJE","Em dia"))))</f>
        <v/>
      </c>
      <c r="S339" s="23">
        <f>IF($R339="","",IF(OR($R339="ATRASADO",$R339="HOJE",$R339="Definir data"),COUNTIF($R$5:$R339,"ATRASADO")+COUNTIF($R$5:$R339,"HOJE")+COUNTIF($R$5:$R339,"Definir data"),""))</f>
        <v/>
      </c>
      <c r="T339" s="18">
        <f>IF($C339="","",IF(OR($B339="",$E339="",$F339="",$G339=""),"Preencher entrada/origem/vendedor/etapa",IF(AND(OR($P339="Ganho",$P339="Perdido"),$K339=""),"Falta data de fechamento",IF(AND($P339="Perdido",$L339=""),"Informe o motivo da perda","OK"))))</f>
        <v/>
      </c>
    </row>
    <row r="340" spans="1:20">
      <c r="A340" s="18">
        <f>IF($C340="","",ROW()-4)</f>
        <v/>
      </c>
      <c r="B340" s="19"/>
      <c r="C340" s="13"/>
      <c r="D340" s="13"/>
      <c r="E340" s="13"/>
      <c r="F340" s="13"/>
      <c r="G340" s="13"/>
      <c r="H340" s="15"/>
      <c r="I340" s="19"/>
      <c r="J340" s="19"/>
      <c r="K340" s="19"/>
      <c r="L340" s="13"/>
      <c r="M340" s="13"/>
      <c r="N340" s="20">
        <f>IF($C340="","",IFERROR(INDEX(EtapaProb,MATCH($G340,Etapas,0)),0))</f>
        <v/>
      </c>
      <c r="O340" s="21">
        <f>IF($C340="","",IF($P340="Aberto",N($H340)*$N340,0))</f>
        <v/>
      </c>
      <c r="P340" s="18">
        <f>IF($C340="","",IF($G340="Ganho","Ganho",IF($G340="Perdido","Perdido","Aberto")))</f>
        <v/>
      </c>
      <c r="Q340" s="18">
        <f>IF(OR($C340="",$P340&lt;&gt;"Aberto"),"",IF($I340="",Hoje-$B340,Hoje-$I340))</f>
        <v/>
      </c>
      <c r="R340" s="22">
        <f>IF(OR($C340="",$P340&lt;&gt;"Aberto"),"",IF($J340="",IF($Q340&gt;DiasSC,"ATRASADO","Definir data"),IF($J340&lt;Hoje,"ATRASADO",IF($J340=Hoje,"HOJE","Em dia"))))</f>
        <v/>
      </c>
      <c r="S340" s="23">
        <f>IF($R340="","",IF(OR($R340="ATRASADO",$R340="HOJE",$R340="Definir data"),COUNTIF($R$5:$R340,"ATRASADO")+COUNTIF($R$5:$R340,"HOJE")+COUNTIF($R$5:$R340,"Definir data"),""))</f>
        <v/>
      </c>
      <c r="T340" s="18">
        <f>IF($C340="","",IF(OR($B340="",$E340="",$F340="",$G340=""),"Preencher entrada/origem/vendedor/etapa",IF(AND(OR($P340="Ganho",$P340="Perdido"),$K340=""),"Falta data de fechamento",IF(AND($P340="Perdido",$L340=""),"Informe o motivo da perda","OK"))))</f>
        <v/>
      </c>
    </row>
    <row r="341" spans="1:20">
      <c r="A341" s="18">
        <f>IF($C341="","",ROW()-4)</f>
        <v/>
      </c>
      <c r="B341" s="19"/>
      <c r="C341" s="13"/>
      <c r="D341" s="13"/>
      <c r="E341" s="13"/>
      <c r="F341" s="13"/>
      <c r="G341" s="13"/>
      <c r="H341" s="15"/>
      <c r="I341" s="19"/>
      <c r="J341" s="19"/>
      <c r="K341" s="19"/>
      <c r="L341" s="13"/>
      <c r="M341" s="13"/>
      <c r="N341" s="20">
        <f>IF($C341="","",IFERROR(INDEX(EtapaProb,MATCH($G341,Etapas,0)),0))</f>
        <v/>
      </c>
      <c r="O341" s="21">
        <f>IF($C341="","",IF($P341="Aberto",N($H341)*$N341,0))</f>
        <v/>
      </c>
      <c r="P341" s="18">
        <f>IF($C341="","",IF($G341="Ganho","Ganho",IF($G341="Perdido","Perdido","Aberto")))</f>
        <v/>
      </c>
      <c r="Q341" s="18">
        <f>IF(OR($C341="",$P341&lt;&gt;"Aberto"),"",IF($I341="",Hoje-$B341,Hoje-$I341))</f>
        <v/>
      </c>
      <c r="R341" s="22">
        <f>IF(OR($C341="",$P341&lt;&gt;"Aberto"),"",IF($J341="",IF($Q341&gt;DiasSC,"ATRASADO","Definir data"),IF($J341&lt;Hoje,"ATRASADO",IF($J341=Hoje,"HOJE","Em dia"))))</f>
        <v/>
      </c>
      <c r="S341" s="23">
        <f>IF($R341="","",IF(OR($R341="ATRASADO",$R341="HOJE",$R341="Definir data"),COUNTIF($R$5:$R341,"ATRASADO")+COUNTIF($R$5:$R341,"HOJE")+COUNTIF($R$5:$R341,"Definir data"),""))</f>
        <v/>
      </c>
      <c r="T341" s="18">
        <f>IF($C341="","",IF(OR($B341="",$E341="",$F341="",$G341=""),"Preencher entrada/origem/vendedor/etapa",IF(AND(OR($P341="Ganho",$P341="Perdido"),$K341=""),"Falta data de fechamento",IF(AND($P341="Perdido",$L341=""),"Informe o motivo da perda","OK"))))</f>
        <v/>
      </c>
    </row>
    <row r="342" spans="1:20">
      <c r="A342" s="18">
        <f>IF($C342="","",ROW()-4)</f>
        <v/>
      </c>
      <c r="B342" s="19"/>
      <c r="C342" s="13"/>
      <c r="D342" s="13"/>
      <c r="E342" s="13"/>
      <c r="F342" s="13"/>
      <c r="G342" s="13"/>
      <c r="H342" s="15"/>
      <c r="I342" s="19"/>
      <c r="J342" s="19"/>
      <c r="K342" s="19"/>
      <c r="L342" s="13"/>
      <c r="M342" s="13"/>
      <c r="N342" s="20">
        <f>IF($C342="","",IFERROR(INDEX(EtapaProb,MATCH($G342,Etapas,0)),0))</f>
        <v/>
      </c>
      <c r="O342" s="21">
        <f>IF($C342="","",IF($P342="Aberto",N($H342)*$N342,0))</f>
        <v/>
      </c>
      <c r="P342" s="18">
        <f>IF($C342="","",IF($G342="Ganho","Ganho",IF($G342="Perdido","Perdido","Aberto")))</f>
        <v/>
      </c>
      <c r="Q342" s="18">
        <f>IF(OR($C342="",$P342&lt;&gt;"Aberto"),"",IF($I342="",Hoje-$B342,Hoje-$I342))</f>
        <v/>
      </c>
      <c r="R342" s="22">
        <f>IF(OR($C342="",$P342&lt;&gt;"Aberto"),"",IF($J342="",IF($Q342&gt;DiasSC,"ATRASADO","Definir data"),IF($J342&lt;Hoje,"ATRASADO",IF($J342=Hoje,"HOJE","Em dia"))))</f>
        <v/>
      </c>
      <c r="S342" s="23">
        <f>IF($R342="","",IF(OR($R342="ATRASADO",$R342="HOJE",$R342="Definir data"),COUNTIF($R$5:$R342,"ATRASADO")+COUNTIF($R$5:$R342,"HOJE")+COUNTIF($R$5:$R342,"Definir data"),""))</f>
        <v/>
      </c>
      <c r="T342" s="18">
        <f>IF($C342="","",IF(OR($B342="",$E342="",$F342="",$G342=""),"Preencher entrada/origem/vendedor/etapa",IF(AND(OR($P342="Ganho",$P342="Perdido"),$K342=""),"Falta data de fechamento",IF(AND($P342="Perdido",$L342=""),"Informe o motivo da perda","OK"))))</f>
        <v/>
      </c>
    </row>
    <row r="343" spans="1:20">
      <c r="A343" s="18">
        <f>IF($C343="","",ROW()-4)</f>
        <v/>
      </c>
      <c r="B343" s="19"/>
      <c r="C343" s="13"/>
      <c r="D343" s="13"/>
      <c r="E343" s="13"/>
      <c r="F343" s="13"/>
      <c r="G343" s="13"/>
      <c r="H343" s="15"/>
      <c r="I343" s="19"/>
      <c r="J343" s="19"/>
      <c r="K343" s="19"/>
      <c r="L343" s="13"/>
      <c r="M343" s="13"/>
      <c r="N343" s="20">
        <f>IF($C343="","",IFERROR(INDEX(EtapaProb,MATCH($G343,Etapas,0)),0))</f>
        <v/>
      </c>
      <c r="O343" s="21">
        <f>IF($C343="","",IF($P343="Aberto",N($H343)*$N343,0))</f>
        <v/>
      </c>
      <c r="P343" s="18">
        <f>IF($C343="","",IF($G343="Ganho","Ganho",IF($G343="Perdido","Perdido","Aberto")))</f>
        <v/>
      </c>
      <c r="Q343" s="18">
        <f>IF(OR($C343="",$P343&lt;&gt;"Aberto"),"",IF($I343="",Hoje-$B343,Hoje-$I343))</f>
        <v/>
      </c>
      <c r="R343" s="22">
        <f>IF(OR($C343="",$P343&lt;&gt;"Aberto"),"",IF($J343="",IF($Q343&gt;DiasSC,"ATRASADO","Definir data"),IF($J343&lt;Hoje,"ATRASADO",IF($J343=Hoje,"HOJE","Em dia"))))</f>
        <v/>
      </c>
      <c r="S343" s="23">
        <f>IF($R343="","",IF(OR($R343="ATRASADO",$R343="HOJE",$R343="Definir data"),COUNTIF($R$5:$R343,"ATRASADO")+COUNTIF($R$5:$R343,"HOJE")+COUNTIF($R$5:$R343,"Definir data"),""))</f>
        <v/>
      </c>
      <c r="T343" s="18">
        <f>IF($C343="","",IF(OR($B343="",$E343="",$F343="",$G343=""),"Preencher entrada/origem/vendedor/etapa",IF(AND(OR($P343="Ganho",$P343="Perdido"),$K343=""),"Falta data de fechamento",IF(AND($P343="Perdido",$L343=""),"Informe o motivo da perda","OK"))))</f>
        <v/>
      </c>
    </row>
    <row r="344" spans="1:20">
      <c r="A344" s="18">
        <f>IF($C344="","",ROW()-4)</f>
        <v/>
      </c>
      <c r="B344" s="19"/>
      <c r="C344" s="13"/>
      <c r="D344" s="13"/>
      <c r="E344" s="13"/>
      <c r="F344" s="13"/>
      <c r="G344" s="13"/>
      <c r="H344" s="15"/>
      <c r="I344" s="19"/>
      <c r="J344" s="19"/>
      <c r="K344" s="19"/>
      <c r="L344" s="13"/>
      <c r="M344" s="13"/>
      <c r="N344" s="20">
        <f>IF($C344="","",IFERROR(INDEX(EtapaProb,MATCH($G344,Etapas,0)),0))</f>
        <v/>
      </c>
      <c r="O344" s="21">
        <f>IF($C344="","",IF($P344="Aberto",N($H344)*$N344,0))</f>
        <v/>
      </c>
      <c r="P344" s="18">
        <f>IF($C344="","",IF($G344="Ganho","Ganho",IF($G344="Perdido","Perdido","Aberto")))</f>
        <v/>
      </c>
      <c r="Q344" s="18">
        <f>IF(OR($C344="",$P344&lt;&gt;"Aberto"),"",IF($I344="",Hoje-$B344,Hoje-$I344))</f>
        <v/>
      </c>
      <c r="R344" s="22">
        <f>IF(OR($C344="",$P344&lt;&gt;"Aberto"),"",IF($J344="",IF($Q344&gt;DiasSC,"ATRASADO","Definir data"),IF($J344&lt;Hoje,"ATRASADO",IF($J344=Hoje,"HOJE","Em dia"))))</f>
        <v/>
      </c>
      <c r="S344" s="23">
        <f>IF($R344="","",IF(OR($R344="ATRASADO",$R344="HOJE",$R344="Definir data"),COUNTIF($R$5:$R344,"ATRASADO")+COUNTIF($R$5:$R344,"HOJE")+COUNTIF($R$5:$R344,"Definir data"),""))</f>
        <v/>
      </c>
      <c r="T344" s="18">
        <f>IF($C344="","",IF(OR($B344="",$E344="",$F344="",$G344=""),"Preencher entrada/origem/vendedor/etapa",IF(AND(OR($P344="Ganho",$P344="Perdido"),$K344=""),"Falta data de fechamento",IF(AND($P344="Perdido",$L344=""),"Informe o motivo da perda","OK"))))</f>
        <v/>
      </c>
    </row>
    <row r="345" spans="1:20">
      <c r="A345" s="18">
        <f>IF($C345="","",ROW()-4)</f>
        <v/>
      </c>
      <c r="B345" s="19"/>
      <c r="C345" s="13"/>
      <c r="D345" s="13"/>
      <c r="E345" s="13"/>
      <c r="F345" s="13"/>
      <c r="G345" s="13"/>
      <c r="H345" s="15"/>
      <c r="I345" s="19"/>
      <c r="J345" s="19"/>
      <c r="K345" s="19"/>
      <c r="L345" s="13"/>
      <c r="M345" s="13"/>
      <c r="N345" s="20">
        <f>IF($C345="","",IFERROR(INDEX(EtapaProb,MATCH($G345,Etapas,0)),0))</f>
        <v/>
      </c>
      <c r="O345" s="21">
        <f>IF($C345="","",IF($P345="Aberto",N($H345)*$N345,0))</f>
        <v/>
      </c>
      <c r="P345" s="18">
        <f>IF($C345="","",IF($G345="Ganho","Ganho",IF($G345="Perdido","Perdido","Aberto")))</f>
        <v/>
      </c>
      <c r="Q345" s="18">
        <f>IF(OR($C345="",$P345&lt;&gt;"Aberto"),"",IF($I345="",Hoje-$B345,Hoje-$I345))</f>
        <v/>
      </c>
      <c r="R345" s="22">
        <f>IF(OR($C345="",$P345&lt;&gt;"Aberto"),"",IF($J345="",IF($Q345&gt;DiasSC,"ATRASADO","Definir data"),IF($J345&lt;Hoje,"ATRASADO",IF($J345=Hoje,"HOJE","Em dia"))))</f>
        <v/>
      </c>
      <c r="S345" s="23">
        <f>IF($R345="","",IF(OR($R345="ATRASADO",$R345="HOJE",$R345="Definir data"),COUNTIF($R$5:$R345,"ATRASADO")+COUNTIF($R$5:$R345,"HOJE")+COUNTIF($R$5:$R345,"Definir data"),""))</f>
        <v/>
      </c>
      <c r="T345" s="18">
        <f>IF($C345="","",IF(OR($B345="",$E345="",$F345="",$G345=""),"Preencher entrada/origem/vendedor/etapa",IF(AND(OR($P345="Ganho",$P345="Perdido"),$K345=""),"Falta data de fechamento",IF(AND($P345="Perdido",$L345=""),"Informe o motivo da perda","OK"))))</f>
        <v/>
      </c>
    </row>
    <row r="346" spans="1:20">
      <c r="A346" s="18">
        <f>IF($C346="","",ROW()-4)</f>
        <v/>
      </c>
      <c r="B346" s="19"/>
      <c r="C346" s="13"/>
      <c r="D346" s="13"/>
      <c r="E346" s="13"/>
      <c r="F346" s="13"/>
      <c r="G346" s="13"/>
      <c r="H346" s="15"/>
      <c r="I346" s="19"/>
      <c r="J346" s="19"/>
      <c r="K346" s="19"/>
      <c r="L346" s="13"/>
      <c r="M346" s="13"/>
      <c r="N346" s="20">
        <f>IF($C346="","",IFERROR(INDEX(EtapaProb,MATCH($G346,Etapas,0)),0))</f>
        <v/>
      </c>
      <c r="O346" s="21">
        <f>IF($C346="","",IF($P346="Aberto",N($H346)*$N346,0))</f>
        <v/>
      </c>
      <c r="P346" s="18">
        <f>IF($C346="","",IF($G346="Ganho","Ganho",IF($G346="Perdido","Perdido","Aberto")))</f>
        <v/>
      </c>
      <c r="Q346" s="18">
        <f>IF(OR($C346="",$P346&lt;&gt;"Aberto"),"",IF($I346="",Hoje-$B346,Hoje-$I346))</f>
        <v/>
      </c>
      <c r="R346" s="22">
        <f>IF(OR($C346="",$P346&lt;&gt;"Aberto"),"",IF($J346="",IF($Q346&gt;DiasSC,"ATRASADO","Definir data"),IF($J346&lt;Hoje,"ATRASADO",IF($J346=Hoje,"HOJE","Em dia"))))</f>
        <v/>
      </c>
      <c r="S346" s="23">
        <f>IF($R346="","",IF(OR($R346="ATRASADO",$R346="HOJE",$R346="Definir data"),COUNTIF($R$5:$R346,"ATRASADO")+COUNTIF($R$5:$R346,"HOJE")+COUNTIF($R$5:$R346,"Definir data"),""))</f>
        <v/>
      </c>
      <c r="T346" s="18">
        <f>IF($C346="","",IF(OR($B346="",$E346="",$F346="",$G346=""),"Preencher entrada/origem/vendedor/etapa",IF(AND(OR($P346="Ganho",$P346="Perdido"),$K346=""),"Falta data de fechamento",IF(AND($P346="Perdido",$L346=""),"Informe o motivo da perda","OK"))))</f>
        <v/>
      </c>
    </row>
    <row r="347" spans="1:20">
      <c r="A347" s="18">
        <f>IF($C347="","",ROW()-4)</f>
        <v/>
      </c>
      <c r="B347" s="19"/>
      <c r="C347" s="13"/>
      <c r="D347" s="13"/>
      <c r="E347" s="13"/>
      <c r="F347" s="13"/>
      <c r="G347" s="13"/>
      <c r="H347" s="15"/>
      <c r="I347" s="19"/>
      <c r="J347" s="19"/>
      <c r="K347" s="19"/>
      <c r="L347" s="13"/>
      <c r="M347" s="13"/>
      <c r="N347" s="20">
        <f>IF($C347="","",IFERROR(INDEX(EtapaProb,MATCH($G347,Etapas,0)),0))</f>
        <v/>
      </c>
      <c r="O347" s="21">
        <f>IF($C347="","",IF($P347="Aberto",N($H347)*$N347,0))</f>
        <v/>
      </c>
      <c r="P347" s="18">
        <f>IF($C347="","",IF($G347="Ganho","Ganho",IF($G347="Perdido","Perdido","Aberto")))</f>
        <v/>
      </c>
      <c r="Q347" s="18">
        <f>IF(OR($C347="",$P347&lt;&gt;"Aberto"),"",IF($I347="",Hoje-$B347,Hoje-$I347))</f>
        <v/>
      </c>
      <c r="R347" s="22">
        <f>IF(OR($C347="",$P347&lt;&gt;"Aberto"),"",IF($J347="",IF($Q347&gt;DiasSC,"ATRASADO","Definir data"),IF($J347&lt;Hoje,"ATRASADO",IF($J347=Hoje,"HOJE","Em dia"))))</f>
        <v/>
      </c>
      <c r="S347" s="23">
        <f>IF($R347="","",IF(OR($R347="ATRASADO",$R347="HOJE",$R347="Definir data"),COUNTIF($R$5:$R347,"ATRASADO")+COUNTIF($R$5:$R347,"HOJE")+COUNTIF($R$5:$R347,"Definir data"),""))</f>
        <v/>
      </c>
      <c r="T347" s="18">
        <f>IF($C347="","",IF(OR($B347="",$E347="",$F347="",$G347=""),"Preencher entrada/origem/vendedor/etapa",IF(AND(OR($P347="Ganho",$P347="Perdido"),$K347=""),"Falta data de fechamento",IF(AND($P347="Perdido",$L347=""),"Informe o motivo da perda","OK"))))</f>
        <v/>
      </c>
    </row>
    <row r="348" spans="1:20">
      <c r="A348" s="18">
        <f>IF($C348="","",ROW()-4)</f>
        <v/>
      </c>
      <c r="B348" s="19"/>
      <c r="C348" s="13"/>
      <c r="D348" s="13"/>
      <c r="E348" s="13"/>
      <c r="F348" s="13"/>
      <c r="G348" s="13"/>
      <c r="H348" s="15"/>
      <c r="I348" s="19"/>
      <c r="J348" s="19"/>
      <c r="K348" s="19"/>
      <c r="L348" s="13"/>
      <c r="M348" s="13"/>
      <c r="N348" s="20">
        <f>IF($C348="","",IFERROR(INDEX(EtapaProb,MATCH($G348,Etapas,0)),0))</f>
        <v/>
      </c>
      <c r="O348" s="21">
        <f>IF($C348="","",IF($P348="Aberto",N($H348)*$N348,0))</f>
        <v/>
      </c>
      <c r="P348" s="18">
        <f>IF($C348="","",IF($G348="Ganho","Ganho",IF($G348="Perdido","Perdido","Aberto")))</f>
        <v/>
      </c>
      <c r="Q348" s="18">
        <f>IF(OR($C348="",$P348&lt;&gt;"Aberto"),"",IF($I348="",Hoje-$B348,Hoje-$I348))</f>
        <v/>
      </c>
      <c r="R348" s="22">
        <f>IF(OR($C348="",$P348&lt;&gt;"Aberto"),"",IF($J348="",IF($Q348&gt;DiasSC,"ATRASADO","Definir data"),IF($J348&lt;Hoje,"ATRASADO",IF($J348=Hoje,"HOJE","Em dia"))))</f>
        <v/>
      </c>
      <c r="S348" s="23">
        <f>IF($R348="","",IF(OR($R348="ATRASADO",$R348="HOJE",$R348="Definir data"),COUNTIF($R$5:$R348,"ATRASADO")+COUNTIF($R$5:$R348,"HOJE")+COUNTIF($R$5:$R348,"Definir data"),""))</f>
        <v/>
      </c>
      <c r="T348" s="18">
        <f>IF($C348="","",IF(OR($B348="",$E348="",$F348="",$G348=""),"Preencher entrada/origem/vendedor/etapa",IF(AND(OR($P348="Ganho",$P348="Perdido"),$K348=""),"Falta data de fechamento",IF(AND($P348="Perdido",$L348=""),"Informe o motivo da perda","OK"))))</f>
        <v/>
      </c>
    </row>
    <row r="349" spans="1:20">
      <c r="A349" s="18">
        <f>IF($C349="","",ROW()-4)</f>
        <v/>
      </c>
      <c r="B349" s="19"/>
      <c r="C349" s="13"/>
      <c r="D349" s="13"/>
      <c r="E349" s="13"/>
      <c r="F349" s="13"/>
      <c r="G349" s="13"/>
      <c r="H349" s="15"/>
      <c r="I349" s="19"/>
      <c r="J349" s="19"/>
      <c r="K349" s="19"/>
      <c r="L349" s="13"/>
      <c r="M349" s="13"/>
      <c r="N349" s="20">
        <f>IF($C349="","",IFERROR(INDEX(EtapaProb,MATCH($G349,Etapas,0)),0))</f>
        <v/>
      </c>
      <c r="O349" s="21">
        <f>IF($C349="","",IF($P349="Aberto",N($H349)*$N349,0))</f>
        <v/>
      </c>
      <c r="P349" s="18">
        <f>IF($C349="","",IF($G349="Ganho","Ganho",IF($G349="Perdido","Perdido","Aberto")))</f>
        <v/>
      </c>
      <c r="Q349" s="18">
        <f>IF(OR($C349="",$P349&lt;&gt;"Aberto"),"",IF($I349="",Hoje-$B349,Hoje-$I349))</f>
        <v/>
      </c>
      <c r="R349" s="22">
        <f>IF(OR($C349="",$P349&lt;&gt;"Aberto"),"",IF($J349="",IF($Q349&gt;DiasSC,"ATRASADO","Definir data"),IF($J349&lt;Hoje,"ATRASADO",IF($J349=Hoje,"HOJE","Em dia"))))</f>
        <v/>
      </c>
      <c r="S349" s="23">
        <f>IF($R349="","",IF(OR($R349="ATRASADO",$R349="HOJE",$R349="Definir data"),COUNTIF($R$5:$R349,"ATRASADO")+COUNTIF($R$5:$R349,"HOJE")+COUNTIF($R$5:$R349,"Definir data"),""))</f>
        <v/>
      </c>
      <c r="T349" s="18">
        <f>IF($C349="","",IF(OR($B349="",$E349="",$F349="",$G349=""),"Preencher entrada/origem/vendedor/etapa",IF(AND(OR($P349="Ganho",$P349="Perdido"),$K349=""),"Falta data de fechamento",IF(AND($P349="Perdido",$L349=""),"Informe o motivo da perda","OK"))))</f>
        <v/>
      </c>
    </row>
    <row r="350" spans="1:20">
      <c r="A350" s="18">
        <f>IF($C350="","",ROW()-4)</f>
        <v/>
      </c>
      <c r="B350" s="19"/>
      <c r="C350" s="13"/>
      <c r="D350" s="13"/>
      <c r="E350" s="13"/>
      <c r="F350" s="13"/>
      <c r="G350" s="13"/>
      <c r="H350" s="15"/>
      <c r="I350" s="19"/>
      <c r="J350" s="19"/>
      <c r="K350" s="19"/>
      <c r="L350" s="13"/>
      <c r="M350" s="13"/>
      <c r="N350" s="20">
        <f>IF($C350="","",IFERROR(INDEX(EtapaProb,MATCH($G350,Etapas,0)),0))</f>
        <v/>
      </c>
      <c r="O350" s="21">
        <f>IF($C350="","",IF($P350="Aberto",N($H350)*$N350,0))</f>
        <v/>
      </c>
      <c r="P350" s="18">
        <f>IF($C350="","",IF($G350="Ganho","Ganho",IF($G350="Perdido","Perdido","Aberto")))</f>
        <v/>
      </c>
      <c r="Q350" s="18">
        <f>IF(OR($C350="",$P350&lt;&gt;"Aberto"),"",IF($I350="",Hoje-$B350,Hoje-$I350))</f>
        <v/>
      </c>
      <c r="R350" s="22">
        <f>IF(OR($C350="",$P350&lt;&gt;"Aberto"),"",IF($J350="",IF($Q350&gt;DiasSC,"ATRASADO","Definir data"),IF($J350&lt;Hoje,"ATRASADO",IF($J350=Hoje,"HOJE","Em dia"))))</f>
        <v/>
      </c>
      <c r="S350" s="23">
        <f>IF($R350="","",IF(OR($R350="ATRASADO",$R350="HOJE",$R350="Definir data"),COUNTIF($R$5:$R350,"ATRASADO")+COUNTIF($R$5:$R350,"HOJE")+COUNTIF($R$5:$R350,"Definir data"),""))</f>
        <v/>
      </c>
      <c r="T350" s="18">
        <f>IF($C350="","",IF(OR($B350="",$E350="",$F350="",$G350=""),"Preencher entrada/origem/vendedor/etapa",IF(AND(OR($P350="Ganho",$P350="Perdido"),$K350=""),"Falta data de fechamento",IF(AND($P350="Perdido",$L350=""),"Informe o motivo da perda","OK"))))</f>
        <v/>
      </c>
    </row>
    <row r="351" spans="1:20">
      <c r="A351" s="18">
        <f>IF($C351="","",ROW()-4)</f>
        <v/>
      </c>
      <c r="B351" s="19"/>
      <c r="C351" s="13"/>
      <c r="D351" s="13"/>
      <c r="E351" s="13"/>
      <c r="F351" s="13"/>
      <c r="G351" s="13"/>
      <c r="H351" s="15"/>
      <c r="I351" s="19"/>
      <c r="J351" s="19"/>
      <c r="K351" s="19"/>
      <c r="L351" s="13"/>
      <c r="M351" s="13"/>
      <c r="N351" s="20">
        <f>IF($C351="","",IFERROR(INDEX(EtapaProb,MATCH($G351,Etapas,0)),0))</f>
        <v/>
      </c>
      <c r="O351" s="21">
        <f>IF($C351="","",IF($P351="Aberto",N($H351)*$N351,0))</f>
        <v/>
      </c>
      <c r="P351" s="18">
        <f>IF($C351="","",IF($G351="Ganho","Ganho",IF($G351="Perdido","Perdido","Aberto")))</f>
        <v/>
      </c>
      <c r="Q351" s="18">
        <f>IF(OR($C351="",$P351&lt;&gt;"Aberto"),"",IF($I351="",Hoje-$B351,Hoje-$I351))</f>
        <v/>
      </c>
      <c r="R351" s="22">
        <f>IF(OR($C351="",$P351&lt;&gt;"Aberto"),"",IF($J351="",IF($Q351&gt;DiasSC,"ATRASADO","Definir data"),IF($J351&lt;Hoje,"ATRASADO",IF($J351=Hoje,"HOJE","Em dia"))))</f>
        <v/>
      </c>
      <c r="S351" s="23">
        <f>IF($R351="","",IF(OR($R351="ATRASADO",$R351="HOJE",$R351="Definir data"),COUNTIF($R$5:$R351,"ATRASADO")+COUNTIF($R$5:$R351,"HOJE")+COUNTIF($R$5:$R351,"Definir data"),""))</f>
        <v/>
      </c>
      <c r="T351" s="18">
        <f>IF($C351="","",IF(OR($B351="",$E351="",$F351="",$G351=""),"Preencher entrada/origem/vendedor/etapa",IF(AND(OR($P351="Ganho",$P351="Perdido"),$K351=""),"Falta data de fechamento",IF(AND($P351="Perdido",$L351=""),"Informe o motivo da perda","OK"))))</f>
        <v/>
      </c>
    </row>
    <row r="352" spans="1:20">
      <c r="A352" s="18">
        <f>IF($C352="","",ROW()-4)</f>
        <v/>
      </c>
      <c r="B352" s="19"/>
      <c r="C352" s="13"/>
      <c r="D352" s="13"/>
      <c r="E352" s="13"/>
      <c r="F352" s="13"/>
      <c r="G352" s="13"/>
      <c r="H352" s="15"/>
      <c r="I352" s="19"/>
      <c r="J352" s="19"/>
      <c r="K352" s="19"/>
      <c r="L352" s="13"/>
      <c r="M352" s="13"/>
      <c r="N352" s="20">
        <f>IF($C352="","",IFERROR(INDEX(EtapaProb,MATCH($G352,Etapas,0)),0))</f>
        <v/>
      </c>
      <c r="O352" s="21">
        <f>IF($C352="","",IF($P352="Aberto",N($H352)*$N352,0))</f>
        <v/>
      </c>
      <c r="P352" s="18">
        <f>IF($C352="","",IF($G352="Ganho","Ganho",IF($G352="Perdido","Perdido","Aberto")))</f>
        <v/>
      </c>
      <c r="Q352" s="18">
        <f>IF(OR($C352="",$P352&lt;&gt;"Aberto"),"",IF($I352="",Hoje-$B352,Hoje-$I352))</f>
        <v/>
      </c>
      <c r="R352" s="22">
        <f>IF(OR($C352="",$P352&lt;&gt;"Aberto"),"",IF($J352="",IF($Q352&gt;DiasSC,"ATRASADO","Definir data"),IF($J352&lt;Hoje,"ATRASADO",IF($J352=Hoje,"HOJE","Em dia"))))</f>
        <v/>
      </c>
      <c r="S352" s="23">
        <f>IF($R352="","",IF(OR($R352="ATRASADO",$R352="HOJE",$R352="Definir data"),COUNTIF($R$5:$R352,"ATRASADO")+COUNTIF($R$5:$R352,"HOJE")+COUNTIF($R$5:$R352,"Definir data"),""))</f>
        <v/>
      </c>
      <c r="T352" s="18">
        <f>IF($C352="","",IF(OR($B352="",$E352="",$F352="",$G352=""),"Preencher entrada/origem/vendedor/etapa",IF(AND(OR($P352="Ganho",$P352="Perdido"),$K352=""),"Falta data de fechamento",IF(AND($P352="Perdido",$L352=""),"Informe o motivo da perda","OK"))))</f>
        <v/>
      </c>
    </row>
    <row r="353" spans="1:20">
      <c r="A353" s="18">
        <f>IF($C353="","",ROW()-4)</f>
        <v/>
      </c>
      <c r="B353" s="19"/>
      <c r="C353" s="13"/>
      <c r="D353" s="13"/>
      <c r="E353" s="13"/>
      <c r="F353" s="13"/>
      <c r="G353" s="13"/>
      <c r="H353" s="15"/>
      <c r="I353" s="19"/>
      <c r="J353" s="19"/>
      <c r="K353" s="19"/>
      <c r="L353" s="13"/>
      <c r="M353" s="13"/>
      <c r="N353" s="20">
        <f>IF($C353="","",IFERROR(INDEX(EtapaProb,MATCH($G353,Etapas,0)),0))</f>
        <v/>
      </c>
      <c r="O353" s="21">
        <f>IF($C353="","",IF($P353="Aberto",N($H353)*$N353,0))</f>
        <v/>
      </c>
      <c r="P353" s="18">
        <f>IF($C353="","",IF($G353="Ganho","Ganho",IF($G353="Perdido","Perdido","Aberto")))</f>
        <v/>
      </c>
      <c r="Q353" s="18">
        <f>IF(OR($C353="",$P353&lt;&gt;"Aberto"),"",IF($I353="",Hoje-$B353,Hoje-$I353))</f>
        <v/>
      </c>
      <c r="R353" s="22">
        <f>IF(OR($C353="",$P353&lt;&gt;"Aberto"),"",IF($J353="",IF($Q353&gt;DiasSC,"ATRASADO","Definir data"),IF($J353&lt;Hoje,"ATRASADO",IF($J353=Hoje,"HOJE","Em dia"))))</f>
        <v/>
      </c>
      <c r="S353" s="23">
        <f>IF($R353="","",IF(OR($R353="ATRASADO",$R353="HOJE",$R353="Definir data"),COUNTIF($R$5:$R353,"ATRASADO")+COUNTIF($R$5:$R353,"HOJE")+COUNTIF($R$5:$R353,"Definir data"),""))</f>
        <v/>
      </c>
      <c r="T353" s="18">
        <f>IF($C353="","",IF(OR($B353="",$E353="",$F353="",$G353=""),"Preencher entrada/origem/vendedor/etapa",IF(AND(OR($P353="Ganho",$P353="Perdido"),$K353=""),"Falta data de fechamento",IF(AND($P353="Perdido",$L353=""),"Informe o motivo da perda","OK"))))</f>
        <v/>
      </c>
    </row>
    <row r="354" spans="1:20">
      <c r="A354" s="18">
        <f>IF($C354="","",ROW()-4)</f>
        <v/>
      </c>
      <c r="B354" s="19"/>
      <c r="C354" s="13"/>
      <c r="D354" s="13"/>
      <c r="E354" s="13"/>
      <c r="F354" s="13"/>
      <c r="G354" s="13"/>
      <c r="H354" s="15"/>
      <c r="I354" s="19"/>
      <c r="J354" s="19"/>
      <c r="K354" s="19"/>
      <c r="L354" s="13"/>
      <c r="M354" s="13"/>
      <c r="N354" s="20">
        <f>IF($C354="","",IFERROR(INDEX(EtapaProb,MATCH($G354,Etapas,0)),0))</f>
        <v/>
      </c>
      <c r="O354" s="21">
        <f>IF($C354="","",IF($P354="Aberto",N($H354)*$N354,0))</f>
        <v/>
      </c>
      <c r="P354" s="18">
        <f>IF($C354="","",IF($G354="Ganho","Ganho",IF($G354="Perdido","Perdido","Aberto")))</f>
        <v/>
      </c>
      <c r="Q354" s="18">
        <f>IF(OR($C354="",$P354&lt;&gt;"Aberto"),"",IF($I354="",Hoje-$B354,Hoje-$I354))</f>
        <v/>
      </c>
      <c r="R354" s="22">
        <f>IF(OR($C354="",$P354&lt;&gt;"Aberto"),"",IF($J354="",IF($Q354&gt;DiasSC,"ATRASADO","Definir data"),IF($J354&lt;Hoje,"ATRASADO",IF($J354=Hoje,"HOJE","Em dia"))))</f>
        <v/>
      </c>
      <c r="S354" s="23">
        <f>IF($R354="","",IF(OR($R354="ATRASADO",$R354="HOJE",$R354="Definir data"),COUNTIF($R$5:$R354,"ATRASADO")+COUNTIF($R$5:$R354,"HOJE")+COUNTIF($R$5:$R354,"Definir data"),""))</f>
        <v/>
      </c>
      <c r="T354" s="18">
        <f>IF($C354="","",IF(OR($B354="",$E354="",$F354="",$G354=""),"Preencher entrada/origem/vendedor/etapa",IF(AND(OR($P354="Ganho",$P354="Perdido"),$K354=""),"Falta data de fechamento",IF(AND($P354="Perdido",$L354=""),"Informe o motivo da perda","OK"))))</f>
        <v/>
      </c>
    </row>
    <row r="355" spans="1:20">
      <c r="A355" s="18">
        <f>IF($C355="","",ROW()-4)</f>
        <v/>
      </c>
      <c r="B355" s="19"/>
      <c r="C355" s="13"/>
      <c r="D355" s="13"/>
      <c r="E355" s="13"/>
      <c r="F355" s="13"/>
      <c r="G355" s="13"/>
      <c r="H355" s="15"/>
      <c r="I355" s="19"/>
      <c r="J355" s="19"/>
      <c r="K355" s="19"/>
      <c r="L355" s="13"/>
      <c r="M355" s="13"/>
      <c r="N355" s="20">
        <f>IF($C355="","",IFERROR(INDEX(EtapaProb,MATCH($G355,Etapas,0)),0))</f>
        <v/>
      </c>
      <c r="O355" s="21">
        <f>IF($C355="","",IF($P355="Aberto",N($H355)*$N355,0))</f>
        <v/>
      </c>
      <c r="P355" s="18">
        <f>IF($C355="","",IF($G355="Ganho","Ganho",IF($G355="Perdido","Perdido","Aberto")))</f>
        <v/>
      </c>
      <c r="Q355" s="18">
        <f>IF(OR($C355="",$P355&lt;&gt;"Aberto"),"",IF($I355="",Hoje-$B355,Hoje-$I355))</f>
        <v/>
      </c>
      <c r="R355" s="22">
        <f>IF(OR($C355="",$P355&lt;&gt;"Aberto"),"",IF($J355="",IF($Q355&gt;DiasSC,"ATRASADO","Definir data"),IF($J355&lt;Hoje,"ATRASADO",IF($J355=Hoje,"HOJE","Em dia"))))</f>
        <v/>
      </c>
      <c r="S355" s="23">
        <f>IF($R355="","",IF(OR($R355="ATRASADO",$R355="HOJE",$R355="Definir data"),COUNTIF($R$5:$R355,"ATRASADO")+COUNTIF($R$5:$R355,"HOJE")+COUNTIF($R$5:$R355,"Definir data"),""))</f>
        <v/>
      </c>
      <c r="T355" s="18">
        <f>IF($C355="","",IF(OR($B355="",$E355="",$F355="",$G355=""),"Preencher entrada/origem/vendedor/etapa",IF(AND(OR($P355="Ganho",$P355="Perdido"),$K355=""),"Falta data de fechamento",IF(AND($P355="Perdido",$L355=""),"Informe o motivo da perda","OK"))))</f>
        <v/>
      </c>
    </row>
    <row r="356" spans="1:20">
      <c r="A356" s="18">
        <f>IF($C356="","",ROW()-4)</f>
        <v/>
      </c>
      <c r="B356" s="19"/>
      <c r="C356" s="13"/>
      <c r="D356" s="13"/>
      <c r="E356" s="13"/>
      <c r="F356" s="13"/>
      <c r="G356" s="13"/>
      <c r="H356" s="15"/>
      <c r="I356" s="19"/>
      <c r="J356" s="19"/>
      <c r="K356" s="19"/>
      <c r="L356" s="13"/>
      <c r="M356" s="13"/>
      <c r="N356" s="20">
        <f>IF($C356="","",IFERROR(INDEX(EtapaProb,MATCH($G356,Etapas,0)),0))</f>
        <v/>
      </c>
      <c r="O356" s="21">
        <f>IF($C356="","",IF($P356="Aberto",N($H356)*$N356,0))</f>
        <v/>
      </c>
      <c r="P356" s="18">
        <f>IF($C356="","",IF($G356="Ganho","Ganho",IF($G356="Perdido","Perdido","Aberto")))</f>
        <v/>
      </c>
      <c r="Q356" s="18">
        <f>IF(OR($C356="",$P356&lt;&gt;"Aberto"),"",IF($I356="",Hoje-$B356,Hoje-$I356))</f>
        <v/>
      </c>
      <c r="R356" s="22">
        <f>IF(OR($C356="",$P356&lt;&gt;"Aberto"),"",IF($J356="",IF($Q356&gt;DiasSC,"ATRASADO","Definir data"),IF($J356&lt;Hoje,"ATRASADO",IF($J356=Hoje,"HOJE","Em dia"))))</f>
        <v/>
      </c>
      <c r="S356" s="23">
        <f>IF($R356="","",IF(OR($R356="ATRASADO",$R356="HOJE",$R356="Definir data"),COUNTIF($R$5:$R356,"ATRASADO")+COUNTIF($R$5:$R356,"HOJE")+COUNTIF($R$5:$R356,"Definir data"),""))</f>
        <v/>
      </c>
      <c r="T356" s="18">
        <f>IF($C356="","",IF(OR($B356="",$E356="",$F356="",$G356=""),"Preencher entrada/origem/vendedor/etapa",IF(AND(OR($P356="Ganho",$P356="Perdido"),$K356=""),"Falta data de fechamento",IF(AND($P356="Perdido",$L356=""),"Informe o motivo da perda","OK"))))</f>
        <v/>
      </c>
    </row>
    <row r="357" spans="1:20">
      <c r="A357" s="18">
        <f>IF($C357="","",ROW()-4)</f>
        <v/>
      </c>
      <c r="B357" s="19"/>
      <c r="C357" s="13"/>
      <c r="D357" s="13"/>
      <c r="E357" s="13"/>
      <c r="F357" s="13"/>
      <c r="G357" s="13"/>
      <c r="H357" s="15"/>
      <c r="I357" s="19"/>
      <c r="J357" s="19"/>
      <c r="K357" s="19"/>
      <c r="L357" s="13"/>
      <c r="M357" s="13"/>
      <c r="N357" s="20">
        <f>IF($C357="","",IFERROR(INDEX(EtapaProb,MATCH($G357,Etapas,0)),0))</f>
        <v/>
      </c>
      <c r="O357" s="21">
        <f>IF($C357="","",IF($P357="Aberto",N($H357)*$N357,0))</f>
        <v/>
      </c>
      <c r="P357" s="18">
        <f>IF($C357="","",IF($G357="Ganho","Ganho",IF($G357="Perdido","Perdido","Aberto")))</f>
        <v/>
      </c>
      <c r="Q357" s="18">
        <f>IF(OR($C357="",$P357&lt;&gt;"Aberto"),"",IF($I357="",Hoje-$B357,Hoje-$I357))</f>
        <v/>
      </c>
      <c r="R357" s="22">
        <f>IF(OR($C357="",$P357&lt;&gt;"Aberto"),"",IF($J357="",IF($Q357&gt;DiasSC,"ATRASADO","Definir data"),IF($J357&lt;Hoje,"ATRASADO",IF($J357=Hoje,"HOJE","Em dia"))))</f>
        <v/>
      </c>
      <c r="S357" s="23">
        <f>IF($R357="","",IF(OR($R357="ATRASADO",$R357="HOJE",$R357="Definir data"),COUNTIF($R$5:$R357,"ATRASADO")+COUNTIF($R$5:$R357,"HOJE")+COUNTIF($R$5:$R357,"Definir data"),""))</f>
        <v/>
      </c>
      <c r="T357" s="18">
        <f>IF($C357="","",IF(OR($B357="",$E357="",$F357="",$G357=""),"Preencher entrada/origem/vendedor/etapa",IF(AND(OR($P357="Ganho",$P357="Perdido"),$K357=""),"Falta data de fechamento",IF(AND($P357="Perdido",$L357=""),"Informe o motivo da perda","OK"))))</f>
        <v/>
      </c>
    </row>
    <row r="358" spans="1:20">
      <c r="A358" s="18">
        <f>IF($C358="","",ROW()-4)</f>
        <v/>
      </c>
      <c r="B358" s="19"/>
      <c r="C358" s="13"/>
      <c r="D358" s="13"/>
      <c r="E358" s="13"/>
      <c r="F358" s="13"/>
      <c r="G358" s="13"/>
      <c r="H358" s="15"/>
      <c r="I358" s="19"/>
      <c r="J358" s="19"/>
      <c r="K358" s="19"/>
      <c r="L358" s="13"/>
      <c r="M358" s="13"/>
      <c r="N358" s="20">
        <f>IF($C358="","",IFERROR(INDEX(EtapaProb,MATCH($G358,Etapas,0)),0))</f>
        <v/>
      </c>
      <c r="O358" s="21">
        <f>IF($C358="","",IF($P358="Aberto",N($H358)*$N358,0))</f>
        <v/>
      </c>
      <c r="P358" s="18">
        <f>IF($C358="","",IF($G358="Ganho","Ganho",IF($G358="Perdido","Perdido","Aberto")))</f>
        <v/>
      </c>
      <c r="Q358" s="18">
        <f>IF(OR($C358="",$P358&lt;&gt;"Aberto"),"",IF($I358="",Hoje-$B358,Hoje-$I358))</f>
        <v/>
      </c>
      <c r="R358" s="22">
        <f>IF(OR($C358="",$P358&lt;&gt;"Aberto"),"",IF($J358="",IF($Q358&gt;DiasSC,"ATRASADO","Definir data"),IF($J358&lt;Hoje,"ATRASADO",IF($J358=Hoje,"HOJE","Em dia"))))</f>
        <v/>
      </c>
      <c r="S358" s="23">
        <f>IF($R358="","",IF(OR($R358="ATRASADO",$R358="HOJE",$R358="Definir data"),COUNTIF($R$5:$R358,"ATRASADO")+COUNTIF($R$5:$R358,"HOJE")+COUNTIF($R$5:$R358,"Definir data"),""))</f>
        <v/>
      </c>
      <c r="T358" s="18">
        <f>IF($C358="","",IF(OR($B358="",$E358="",$F358="",$G358=""),"Preencher entrada/origem/vendedor/etapa",IF(AND(OR($P358="Ganho",$P358="Perdido"),$K358=""),"Falta data de fechamento",IF(AND($P358="Perdido",$L358=""),"Informe o motivo da perda","OK"))))</f>
        <v/>
      </c>
    </row>
    <row r="359" spans="1:20">
      <c r="A359" s="18">
        <f>IF($C359="","",ROW()-4)</f>
        <v/>
      </c>
      <c r="B359" s="19"/>
      <c r="C359" s="13"/>
      <c r="D359" s="13"/>
      <c r="E359" s="13"/>
      <c r="F359" s="13"/>
      <c r="G359" s="13"/>
      <c r="H359" s="15"/>
      <c r="I359" s="19"/>
      <c r="J359" s="19"/>
      <c r="K359" s="19"/>
      <c r="L359" s="13"/>
      <c r="M359" s="13"/>
      <c r="N359" s="20">
        <f>IF($C359="","",IFERROR(INDEX(EtapaProb,MATCH($G359,Etapas,0)),0))</f>
        <v/>
      </c>
      <c r="O359" s="21">
        <f>IF($C359="","",IF($P359="Aberto",N($H359)*$N359,0))</f>
        <v/>
      </c>
      <c r="P359" s="18">
        <f>IF($C359="","",IF($G359="Ganho","Ganho",IF($G359="Perdido","Perdido","Aberto")))</f>
        <v/>
      </c>
      <c r="Q359" s="18">
        <f>IF(OR($C359="",$P359&lt;&gt;"Aberto"),"",IF($I359="",Hoje-$B359,Hoje-$I359))</f>
        <v/>
      </c>
      <c r="R359" s="22">
        <f>IF(OR($C359="",$P359&lt;&gt;"Aberto"),"",IF($J359="",IF($Q359&gt;DiasSC,"ATRASADO","Definir data"),IF($J359&lt;Hoje,"ATRASADO",IF($J359=Hoje,"HOJE","Em dia"))))</f>
        <v/>
      </c>
      <c r="S359" s="23">
        <f>IF($R359="","",IF(OR($R359="ATRASADO",$R359="HOJE",$R359="Definir data"),COUNTIF($R$5:$R359,"ATRASADO")+COUNTIF($R$5:$R359,"HOJE")+COUNTIF($R$5:$R359,"Definir data"),""))</f>
        <v/>
      </c>
      <c r="T359" s="18">
        <f>IF($C359="","",IF(OR($B359="",$E359="",$F359="",$G359=""),"Preencher entrada/origem/vendedor/etapa",IF(AND(OR($P359="Ganho",$P359="Perdido"),$K359=""),"Falta data de fechamento",IF(AND($P359="Perdido",$L359=""),"Informe o motivo da perda","OK"))))</f>
        <v/>
      </c>
    </row>
    <row r="360" spans="1:20">
      <c r="A360" s="18">
        <f>IF($C360="","",ROW()-4)</f>
        <v/>
      </c>
      <c r="B360" s="19"/>
      <c r="C360" s="13"/>
      <c r="D360" s="13"/>
      <c r="E360" s="13"/>
      <c r="F360" s="13"/>
      <c r="G360" s="13"/>
      <c r="H360" s="15"/>
      <c r="I360" s="19"/>
      <c r="J360" s="19"/>
      <c r="K360" s="19"/>
      <c r="L360" s="13"/>
      <c r="M360" s="13"/>
      <c r="N360" s="20">
        <f>IF($C360="","",IFERROR(INDEX(EtapaProb,MATCH($G360,Etapas,0)),0))</f>
        <v/>
      </c>
      <c r="O360" s="21">
        <f>IF($C360="","",IF($P360="Aberto",N($H360)*$N360,0))</f>
        <v/>
      </c>
      <c r="P360" s="18">
        <f>IF($C360="","",IF($G360="Ganho","Ganho",IF($G360="Perdido","Perdido","Aberto")))</f>
        <v/>
      </c>
      <c r="Q360" s="18">
        <f>IF(OR($C360="",$P360&lt;&gt;"Aberto"),"",IF($I360="",Hoje-$B360,Hoje-$I360))</f>
        <v/>
      </c>
      <c r="R360" s="22">
        <f>IF(OR($C360="",$P360&lt;&gt;"Aberto"),"",IF($J360="",IF($Q360&gt;DiasSC,"ATRASADO","Definir data"),IF($J360&lt;Hoje,"ATRASADO",IF($J360=Hoje,"HOJE","Em dia"))))</f>
        <v/>
      </c>
      <c r="S360" s="23">
        <f>IF($R360="","",IF(OR($R360="ATRASADO",$R360="HOJE",$R360="Definir data"),COUNTIF($R$5:$R360,"ATRASADO")+COUNTIF($R$5:$R360,"HOJE")+COUNTIF($R$5:$R360,"Definir data"),""))</f>
        <v/>
      </c>
      <c r="T360" s="18">
        <f>IF($C360="","",IF(OR($B360="",$E360="",$F360="",$G360=""),"Preencher entrada/origem/vendedor/etapa",IF(AND(OR($P360="Ganho",$P360="Perdido"),$K360=""),"Falta data de fechamento",IF(AND($P360="Perdido",$L360=""),"Informe o motivo da perda","OK"))))</f>
        <v/>
      </c>
    </row>
    <row r="361" spans="1:20">
      <c r="A361" s="18">
        <f>IF($C361="","",ROW()-4)</f>
        <v/>
      </c>
      <c r="B361" s="19"/>
      <c r="C361" s="13"/>
      <c r="D361" s="13"/>
      <c r="E361" s="13"/>
      <c r="F361" s="13"/>
      <c r="G361" s="13"/>
      <c r="H361" s="15"/>
      <c r="I361" s="19"/>
      <c r="J361" s="19"/>
      <c r="K361" s="19"/>
      <c r="L361" s="13"/>
      <c r="M361" s="13"/>
      <c r="N361" s="20">
        <f>IF($C361="","",IFERROR(INDEX(EtapaProb,MATCH($G361,Etapas,0)),0))</f>
        <v/>
      </c>
      <c r="O361" s="21">
        <f>IF($C361="","",IF($P361="Aberto",N($H361)*$N361,0))</f>
        <v/>
      </c>
      <c r="P361" s="18">
        <f>IF($C361="","",IF($G361="Ganho","Ganho",IF($G361="Perdido","Perdido","Aberto")))</f>
        <v/>
      </c>
      <c r="Q361" s="18">
        <f>IF(OR($C361="",$P361&lt;&gt;"Aberto"),"",IF($I361="",Hoje-$B361,Hoje-$I361))</f>
        <v/>
      </c>
      <c r="R361" s="22">
        <f>IF(OR($C361="",$P361&lt;&gt;"Aberto"),"",IF($J361="",IF($Q361&gt;DiasSC,"ATRASADO","Definir data"),IF($J361&lt;Hoje,"ATRASADO",IF($J361=Hoje,"HOJE","Em dia"))))</f>
        <v/>
      </c>
      <c r="S361" s="23">
        <f>IF($R361="","",IF(OR($R361="ATRASADO",$R361="HOJE",$R361="Definir data"),COUNTIF($R$5:$R361,"ATRASADO")+COUNTIF($R$5:$R361,"HOJE")+COUNTIF($R$5:$R361,"Definir data"),""))</f>
        <v/>
      </c>
      <c r="T361" s="18">
        <f>IF($C361="","",IF(OR($B361="",$E361="",$F361="",$G361=""),"Preencher entrada/origem/vendedor/etapa",IF(AND(OR($P361="Ganho",$P361="Perdido"),$K361=""),"Falta data de fechamento",IF(AND($P361="Perdido",$L361=""),"Informe o motivo da perda","OK"))))</f>
        <v/>
      </c>
    </row>
    <row r="362" spans="1:20">
      <c r="A362" s="18">
        <f>IF($C362="","",ROW()-4)</f>
        <v/>
      </c>
      <c r="B362" s="19"/>
      <c r="C362" s="13"/>
      <c r="D362" s="13"/>
      <c r="E362" s="13"/>
      <c r="F362" s="13"/>
      <c r="G362" s="13"/>
      <c r="H362" s="15"/>
      <c r="I362" s="19"/>
      <c r="J362" s="19"/>
      <c r="K362" s="19"/>
      <c r="L362" s="13"/>
      <c r="M362" s="13"/>
      <c r="N362" s="20">
        <f>IF($C362="","",IFERROR(INDEX(EtapaProb,MATCH($G362,Etapas,0)),0))</f>
        <v/>
      </c>
      <c r="O362" s="21">
        <f>IF($C362="","",IF($P362="Aberto",N($H362)*$N362,0))</f>
        <v/>
      </c>
      <c r="P362" s="18">
        <f>IF($C362="","",IF($G362="Ganho","Ganho",IF($G362="Perdido","Perdido","Aberto")))</f>
        <v/>
      </c>
      <c r="Q362" s="18">
        <f>IF(OR($C362="",$P362&lt;&gt;"Aberto"),"",IF($I362="",Hoje-$B362,Hoje-$I362))</f>
        <v/>
      </c>
      <c r="R362" s="22">
        <f>IF(OR($C362="",$P362&lt;&gt;"Aberto"),"",IF($J362="",IF($Q362&gt;DiasSC,"ATRASADO","Definir data"),IF($J362&lt;Hoje,"ATRASADO",IF($J362=Hoje,"HOJE","Em dia"))))</f>
        <v/>
      </c>
      <c r="S362" s="23">
        <f>IF($R362="","",IF(OR($R362="ATRASADO",$R362="HOJE",$R362="Definir data"),COUNTIF($R$5:$R362,"ATRASADO")+COUNTIF($R$5:$R362,"HOJE")+COUNTIF($R$5:$R362,"Definir data"),""))</f>
        <v/>
      </c>
      <c r="T362" s="18">
        <f>IF($C362="","",IF(OR($B362="",$E362="",$F362="",$G362=""),"Preencher entrada/origem/vendedor/etapa",IF(AND(OR($P362="Ganho",$P362="Perdido"),$K362=""),"Falta data de fechamento",IF(AND($P362="Perdido",$L362=""),"Informe o motivo da perda","OK"))))</f>
        <v/>
      </c>
    </row>
    <row r="363" spans="1:20">
      <c r="A363" s="18">
        <f>IF($C363="","",ROW()-4)</f>
        <v/>
      </c>
      <c r="B363" s="19"/>
      <c r="C363" s="13"/>
      <c r="D363" s="13"/>
      <c r="E363" s="13"/>
      <c r="F363" s="13"/>
      <c r="G363" s="13"/>
      <c r="H363" s="15"/>
      <c r="I363" s="19"/>
      <c r="J363" s="19"/>
      <c r="K363" s="19"/>
      <c r="L363" s="13"/>
      <c r="M363" s="13"/>
      <c r="N363" s="20">
        <f>IF($C363="","",IFERROR(INDEX(EtapaProb,MATCH($G363,Etapas,0)),0))</f>
        <v/>
      </c>
      <c r="O363" s="21">
        <f>IF($C363="","",IF($P363="Aberto",N($H363)*$N363,0))</f>
        <v/>
      </c>
      <c r="P363" s="18">
        <f>IF($C363="","",IF($G363="Ganho","Ganho",IF($G363="Perdido","Perdido","Aberto")))</f>
        <v/>
      </c>
      <c r="Q363" s="18">
        <f>IF(OR($C363="",$P363&lt;&gt;"Aberto"),"",IF($I363="",Hoje-$B363,Hoje-$I363))</f>
        <v/>
      </c>
      <c r="R363" s="22">
        <f>IF(OR($C363="",$P363&lt;&gt;"Aberto"),"",IF($J363="",IF($Q363&gt;DiasSC,"ATRASADO","Definir data"),IF($J363&lt;Hoje,"ATRASADO",IF($J363=Hoje,"HOJE","Em dia"))))</f>
        <v/>
      </c>
      <c r="S363" s="23">
        <f>IF($R363="","",IF(OR($R363="ATRASADO",$R363="HOJE",$R363="Definir data"),COUNTIF($R$5:$R363,"ATRASADO")+COUNTIF($R$5:$R363,"HOJE")+COUNTIF($R$5:$R363,"Definir data"),""))</f>
        <v/>
      </c>
      <c r="T363" s="18">
        <f>IF($C363="","",IF(OR($B363="",$E363="",$F363="",$G363=""),"Preencher entrada/origem/vendedor/etapa",IF(AND(OR($P363="Ganho",$P363="Perdido"),$K363=""),"Falta data de fechamento",IF(AND($P363="Perdido",$L363=""),"Informe o motivo da perda","OK"))))</f>
        <v/>
      </c>
    </row>
    <row r="364" spans="1:20">
      <c r="A364" s="18">
        <f>IF($C364="","",ROW()-4)</f>
        <v/>
      </c>
      <c r="B364" s="19"/>
      <c r="C364" s="13"/>
      <c r="D364" s="13"/>
      <c r="E364" s="13"/>
      <c r="F364" s="13"/>
      <c r="G364" s="13"/>
      <c r="H364" s="15"/>
      <c r="I364" s="19"/>
      <c r="J364" s="19"/>
      <c r="K364" s="19"/>
      <c r="L364" s="13"/>
      <c r="M364" s="13"/>
      <c r="N364" s="20">
        <f>IF($C364="","",IFERROR(INDEX(EtapaProb,MATCH($G364,Etapas,0)),0))</f>
        <v/>
      </c>
      <c r="O364" s="21">
        <f>IF($C364="","",IF($P364="Aberto",N($H364)*$N364,0))</f>
        <v/>
      </c>
      <c r="P364" s="18">
        <f>IF($C364="","",IF($G364="Ganho","Ganho",IF($G364="Perdido","Perdido","Aberto")))</f>
        <v/>
      </c>
      <c r="Q364" s="18">
        <f>IF(OR($C364="",$P364&lt;&gt;"Aberto"),"",IF($I364="",Hoje-$B364,Hoje-$I364))</f>
        <v/>
      </c>
      <c r="R364" s="22">
        <f>IF(OR($C364="",$P364&lt;&gt;"Aberto"),"",IF($J364="",IF($Q364&gt;DiasSC,"ATRASADO","Definir data"),IF($J364&lt;Hoje,"ATRASADO",IF($J364=Hoje,"HOJE","Em dia"))))</f>
        <v/>
      </c>
      <c r="S364" s="23">
        <f>IF($R364="","",IF(OR($R364="ATRASADO",$R364="HOJE",$R364="Definir data"),COUNTIF($R$5:$R364,"ATRASADO")+COUNTIF($R$5:$R364,"HOJE")+COUNTIF($R$5:$R364,"Definir data"),""))</f>
        <v/>
      </c>
      <c r="T364" s="18">
        <f>IF($C364="","",IF(OR($B364="",$E364="",$F364="",$G364=""),"Preencher entrada/origem/vendedor/etapa",IF(AND(OR($P364="Ganho",$P364="Perdido"),$K364=""),"Falta data de fechamento",IF(AND($P364="Perdido",$L364=""),"Informe o motivo da perda","OK"))))</f>
        <v/>
      </c>
    </row>
    <row r="365" spans="1:20">
      <c r="A365" s="18">
        <f>IF($C365="","",ROW()-4)</f>
        <v/>
      </c>
      <c r="B365" s="19"/>
      <c r="C365" s="13"/>
      <c r="D365" s="13"/>
      <c r="E365" s="13"/>
      <c r="F365" s="13"/>
      <c r="G365" s="13"/>
      <c r="H365" s="15"/>
      <c r="I365" s="19"/>
      <c r="J365" s="19"/>
      <c r="K365" s="19"/>
      <c r="L365" s="13"/>
      <c r="M365" s="13"/>
      <c r="N365" s="20">
        <f>IF($C365="","",IFERROR(INDEX(EtapaProb,MATCH($G365,Etapas,0)),0))</f>
        <v/>
      </c>
      <c r="O365" s="21">
        <f>IF($C365="","",IF($P365="Aberto",N($H365)*$N365,0))</f>
        <v/>
      </c>
      <c r="P365" s="18">
        <f>IF($C365="","",IF($G365="Ganho","Ganho",IF($G365="Perdido","Perdido","Aberto")))</f>
        <v/>
      </c>
      <c r="Q365" s="18">
        <f>IF(OR($C365="",$P365&lt;&gt;"Aberto"),"",IF($I365="",Hoje-$B365,Hoje-$I365))</f>
        <v/>
      </c>
      <c r="R365" s="22">
        <f>IF(OR($C365="",$P365&lt;&gt;"Aberto"),"",IF($J365="",IF($Q365&gt;DiasSC,"ATRASADO","Definir data"),IF($J365&lt;Hoje,"ATRASADO",IF($J365=Hoje,"HOJE","Em dia"))))</f>
        <v/>
      </c>
      <c r="S365" s="23">
        <f>IF($R365="","",IF(OR($R365="ATRASADO",$R365="HOJE",$R365="Definir data"),COUNTIF($R$5:$R365,"ATRASADO")+COUNTIF($R$5:$R365,"HOJE")+COUNTIF($R$5:$R365,"Definir data"),""))</f>
        <v/>
      </c>
      <c r="T365" s="18">
        <f>IF($C365="","",IF(OR($B365="",$E365="",$F365="",$G365=""),"Preencher entrada/origem/vendedor/etapa",IF(AND(OR($P365="Ganho",$P365="Perdido"),$K365=""),"Falta data de fechamento",IF(AND($P365="Perdido",$L365=""),"Informe o motivo da perda","OK"))))</f>
        <v/>
      </c>
    </row>
    <row r="366" spans="1:20">
      <c r="A366" s="18">
        <f>IF($C366="","",ROW()-4)</f>
        <v/>
      </c>
      <c r="B366" s="19"/>
      <c r="C366" s="13"/>
      <c r="D366" s="13"/>
      <c r="E366" s="13"/>
      <c r="F366" s="13"/>
      <c r="G366" s="13"/>
      <c r="H366" s="15"/>
      <c r="I366" s="19"/>
      <c r="J366" s="19"/>
      <c r="K366" s="19"/>
      <c r="L366" s="13"/>
      <c r="M366" s="13"/>
      <c r="N366" s="20">
        <f>IF($C366="","",IFERROR(INDEX(EtapaProb,MATCH($G366,Etapas,0)),0))</f>
        <v/>
      </c>
      <c r="O366" s="21">
        <f>IF($C366="","",IF($P366="Aberto",N($H366)*$N366,0))</f>
        <v/>
      </c>
      <c r="P366" s="18">
        <f>IF($C366="","",IF($G366="Ganho","Ganho",IF($G366="Perdido","Perdido","Aberto")))</f>
        <v/>
      </c>
      <c r="Q366" s="18">
        <f>IF(OR($C366="",$P366&lt;&gt;"Aberto"),"",IF($I366="",Hoje-$B366,Hoje-$I366))</f>
        <v/>
      </c>
      <c r="R366" s="22">
        <f>IF(OR($C366="",$P366&lt;&gt;"Aberto"),"",IF($J366="",IF($Q366&gt;DiasSC,"ATRASADO","Definir data"),IF($J366&lt;Hoje,"ATRASADO",IF($J366=Hoje,"HOJE","Em dia"))))</f>
        <v/>
      </c>
      <c r="S366" s="23">
        <f>IF($R366="","",IF(OR($R366="ATRASADO",$R366="HOJE",$R366="Definir data"),COUNTIF($R$5:$R366,"ATRASADO")+COUNTIF($R$5:$R366,"HOJE")+COUNTIF($R$5:$R366,"Definir data"),""))</f>
        <v/>
      </c>
      <c r="T366" s="18">
        <f>IF($C366="","",IF(OR($B366="",$E366="",$F366="",$G366=""),"Preencher entrada/origem/vendedor/etapa",IF(AND(OR($P366="Ganho",$P366="Perdido"),$K366=""),"Falta data de fechamento",IF(AND($P366="Perdido",$L366=""),"Informe o motivo da perda","OK"))))</f>
        <v/>
      </c>
    </row>
    <row r="367" spans="1:20">
      <c r="A367" s="18">
        <f>IF($C367="","",ROW()-4)</f>
        <v/>
      </c>
      <c r="B367" s="19"/>
      <c r="C367" s="13"/>
      <c r="D367" s="13"/>
      <c r="E367" s="13"/>
      <c r="F367" s="13"/>
      <c r="G367" s="13"/>
      <c r="H367" s="15"/>
      <c r="I367" s="19"/>
      <c r="J367" s="19"/>
      <c r="K367" s="19"/>
      <c r="L367" s="13"/>
      <c r="M367" s="13"/>
      <c r="N367" s="20">
        <f>IF($C367="","",IFERROR(INDEX(EtapaProb,MATCH($G367,Etapas,0)),0))</f>
        <v/>
      </c>
      <c r="O367" s="21">
        <f>IF($C367="","",IF($P367="Aberto",N($H367)*$N367,0))</f>
        <v/>
      </c>
      <c r="P367" s="18">
        <f>IF($C367="","",IF($G367="Ganho","Ganho",IF($G367="Perdido","Perdido","Aberto")))</f>
        <v/>
      </c>
      <c r="Q367" s="18">
        <f>IF(OR($C367="",$P367&lt;&gt;"Aberto"),"",IF($I367="",Hoje-$B367,Hoje-$I367))</f>
        <v/>
      </c>
      <c r="R367" s="22">
        <f>IF(OR($C367="",$P367&lt;&gt;"Aberto"),"",IF($J367="",IF($Q367&gt;DiasSC,"ATRASADO","Definir data"),IF($J367&lt;Hoje,"ATRASADO",IF($J367=Hoje,"HOJE","Em dia"))))</f>
        <v/>
      </c>
      <c r="S367" s="23">
        <f>IF($R367="","",IF(OR($R367="ATRASADO",$R367="HOJE",$R367="Definir data"),COUNTIF($R$5:$R367,"ATRASADO")+COUNTIF($R$5:$R367,"HOJE")+COUNTIF($R$5:$R367,"Definir data"),""))</f>
        <v/>
      </c>
      <c r="T367" s="18">
        <f>IF($C367="","",IF(OR($B367="",$E367="",$F367="",$G367=""),"Preencher entrada/origem/vendedor/etapa",IF(AND(OR($P367="Ganho",$P367="Perdido"),$K367=""),"Falta data de fechamento",IF(AND($P367="Perdido",$L367=""),"Informe o motivo da perda","OK"))))</f>
        <v/>
      </c>
    </row>
    <row r="368" spans="1:20">
      <c r="A368" s="18">
        <f>IF($C368="","",ROW()-4)</f>
        <v/>
      </c>
      <c r="B368" s="19"/>
      <c r="C368" s="13"/>
      <c r="D368" s="13"/>
      <c r="E368" s="13"/>
      <c r="F368" s="13"/>
      <c r="G368" s="13"/>
      <c r="H368" s="15"/>
      <c r="I368" s="19"/>
      <c r="J368" s="19"/>
      <c r="K368" s="19"/>
      <c r="L368" s="13"/>
      <c r="M368" s="13"/>
      <c r="N368" s="20">
        <f>IF($C368="","",IFERROR(INDEX(EtapaProb,MATCH($G368,Etapas,0)),0))</f>
        <v/>
      </c>
      <c r="O368" s="21">
        <f>IF($C368="","",IF($P368="Aberto",N($H368)*$N368,0))</f>
        <v/>
      </c>
      <c r="P368" s="18">
        <f>IF($C368="","",IF($G368="Ganho","Ganho",IF($G368="Perdido","Perdido","Aberto")))</f>
        <v/>
      </c>
      <c r="Q368" s="18">
        <f>IF(OR($C368="",$P368&lt;&gt;"Aberto"),"",IF($I368="",Hoje-$B368,Hoje-$I368))</f>
        <v/>
      </c>
      <c r="R368" s="22">
        <f>IF(OR($C368="",$P368&lt;&gt;"Aberto"),"",IF($J368="",IF($Q368&gt;DiasSC,"ATRASADO","Definir data"),IF($J368&lt;Hoje,"ATRASADO",IF($J368=Hoje,"HOJE","Em dia"))))</f>
        <v/>
      </c>
      <c r="S368" s="23">
        <f>IF($R368="","",IF(OR($R368="ATRASADO",$R368="HOJE",$R368="Definir data"),COUNTIF($R$5:$R368,"ATRASADO")+COUNTIF($R$5:$R368,"HOJE")+COUNTIF($R$5:$R368,"Definir data"),""))</f>
        <v/>
      </c>
      <c r="T368" s="18">
        <f>IF($C368="","",IF(OR($B368="",$E368="",$F368="",$G368=""),"Preencher entrada/origem/vendedor/etapa",IF(AND(OR($P368="Ganho",$P368="Perdido"),$K368=""),"Falta data de fechamento",IF(AND($P368="Perdido",$L368=""),"Informe o motivo da perda","OK"))))</f>
        <v/>
      </c>
    </row>
    <row r="369" spans="1:20">
      <c r="A369" s="18">
        <f>IF($C369="","",ROW()-4)</f>
        <v/>
      </c>
      <c r="B369" s="19"/>
      <c r="C369" s="13"/>
      <c r="D369" s="13"/>
      <c r="E369" s="13"/>
      <c r="F369" s="13"/>
      <c r="G369" s="13"/>
      <c r="H369" s="15"/>
      <c r="I369" s="19"/>
      <c r="J369" s="19"/>
      <c r="K369" s="19"/>
      <c r="L369" s="13"/>
      <c r="M369" s="13"/>
      <c r="N369" s="20">
        <f>IF($C369="","",IFERROR(INDEX(EtapaProb,MATCH($G369,Etapas,0)),0))</f>
        <v/>
      </c>
      <c r="O369" s="21">
        <f>IF($C369="","",IF($P369="Aberto",N($H369)*$N369,0))</f>
        <v/>
      </c>
      <c r="P369" s="18">
        <f>IF($C369="","",IF($G369="Ganho","Ganho",IF($G369="Perdido","Perdido","Aberto")))</f>
        <v/>
      </c>
      <c r="Q369" s="18">
        <f>IF(OR($C369="",$P369&lt;&gt;"Aberto"),"",IF($I369="",Hoje-$B369,Hoje-$I369))</f>
        <v/>
      </c>
      <c r="R369" s="22">
        <f>IF(OR($C369="",$P369&lt;&gt;"Aberto"),"",IF($J369="",IF($Q369&gt;DiasSC,"ATRASADO","Definir data"),IF($J369&lt;Hoje,"ATRASADO",IF($J369=Hoje,"HOJE","Em dia"))))</f>
        <v/>
      </c>
      <c r="S369" s="23">
        <f>IF($R369="","",IF(OR($R369="ATRASADO",$R369="HOJE",$R369="Definir data"),COUNTIF($R$5:$R369,"ATRASADO")+COUNTIF($R$5:$R369,"HOJE")+COUNTIF($R$5:$R369,"Definir data"),""))</f>
        <v/>
      </c>
      <c r="T369" s="18">
        <f>IF($C369="","",IF(OR($B369="",$E369="",$F369="",$G369=""),"Preencher entrada/origem/vendedor/etapa",IF(AND(OR($P369="Ganho",$P369="Perdido"),$K369=""),"Falta data de fechamento",IF(AND($P369="Perdido",$L369=""),"Informe o motivo da perda","OK"))))</f>
        <v/>
      </c>
    </row>
    <row r="370" spans="1:20">
      <c r="A370" s="18">
        <f>IF($C370="","",ROW()-4)</f>
        <v/>
      </c>
      <c r="B370" s="19"/>
      <c r="C370" s="13"/>
      <c r="D370" s="13"/>
      <c r="E370" s="13"/>
      <c r="F370" s="13"/>
      <c r="G370" s="13"/>
      <c r="H370" s="15"/>
      <c r="I370" s="19"/>
      <c r="J370" s="19"/>
      <c r="K370" s="19"/>
      <c r="L370" s="13"/>
      <c r="M370" s="13"/>
      <c r="N370" s="20">
        <f>IF($C370="","",IFERROR(INDEX(EtapaProb,MATCH($G370,Etapas,0)),0))</f>
        <v/>
      </c>
      <c r="O370" s="21">
        <f>IF($C370="","",IF($P370="Aberto",N($H370)*$N370,0))</f>
        <v/>
      </c>
      <c r="P370" s="18">
        <f>IF($C370="","",IF($G370="Ganho","Ganho",IF($G370="Perdido","Perdido","Aberto")))</f>
        <v/>
      </c>
      <c r="Q370" s="18">
        <f>IF(OR($C370="",$P370&lt;&gt;"Aberto"),"",IF($I370="",Hoje-$B370,Hoje-$I370))</f>
        <v/>
      </c>
      <c r="R370" s="22">
        <f>IF(OR($C370="",$P370&lt;&gt;"Aberto"),"",IF($J370="",IF($Q370&gt;DiasSC,"ATRASADO","Definir data"),IF($J370&lt;Hoje,"ATRASADO",IF($J370=Hoje,"HOJE","Em dia"))))</f>
        <v/>
      </c>
      <c r="S370" s="23">
        <f>IF($R370="","",IF(OR($R370="ATRASADO",$R370="HOJE",$R370="Definir data"),COUNTIF($R$5:$R370,"ATRASADO")+COUNTIF($R$5:$R370,"HOJE")+COUNTIF($R$5:$R370,"Definir data"),""))</f>
        <v/>
      </c>
      <c r="T370" s="18">
        <f>IF($C370="","",IF(OR($B370="",$E370="",$F370="",$G370=""),"Preencher entrada/origem/vendedor/etapa",IF(AND(OR($P370="Ganho",$P370="Perdido"),$K370=""),"Falta data de fechamento",IF(AND($P370="Perdido",$L370=""),"Informe o motivo da perda","OK"))))</f>
        <v/>
      </c>
    </row>
    <row r="371" spans="1:20">
      <c r="A371" s="18">
        <f>IF($C371="","",ROW()-4)</f>
        <v/>
      </c>
      <c r="B371" s="19"/>
      <c r="C371" s="13"/>
      <c r="D371" s="13"/>
      <c r="E371" s="13"/>
      <c r="F371" s="13"/>
      <c r="G371" s="13"/>
      <c r="H371" s="15"/>
      <c r="I371" s="19"/>
      <c r="J371" s="19"/>
      <c r="K371" s="19"/>
      <c r="L371" s="13"/>
      <c r="M371" s="13"/>
      <c r="N371" s="20">
        <f>IF($C371="","",IFERROR(INDEX(EtapaProb,MATCH($G371,Etapas,0)),0))</f>
        <v/>
      </c>
      <c r="O371" s="21">
        <f>IF($C371="","",IF($P371="Aberto",N($H371)*$N371,0))</f>
        <v/>
      </c>
      <c r="P371" s="18">
        <f>IF($C371="","",IF($G371="Ganho","Ganho",IF($G371="Perdido","Perdido","Aberto")))</f>
        <v/>
      </c>
      <c r="Q371" s="18">
        <f>IF(OR($C371="",$P371&lt;&gt;"Aberto"),"",IF($I371="",Hoje-$B371,Hoje-$I371))</f>
        <v/>
      </c>
      <c r="R371" s="22">
        <f>IF(OR($C371="",$P371&lt;&gt;"Aberto"),"",IF($J371="",IF($Q371&gt;DiasSC,"ATRASADO","Definir data"),IF($J371&lt;Hoje,"ATRASADO",IF($J371=Hoje,"HOJE","Em dia"))))</f>
        <v/>
      </c>
      <c r="S371" s="23">
        <f>IF($R371="","",IF(OR($R371="ATRASADO",$R371="HOJE",$R371="Definir data"),COUNTIF($R$5:$R371,"ATRASADO")+COUNTIF($R$5:$R371,"HOJE")+COUNTIF($R$5:$R371,"Definir data"),""))</f>
        <v/>
      </c>
      <c r="T371" s="18">
        <f>IF($C371="","",IF(OR($B371="",$E371="",$F371="",$G371=""),"Preencher entrada/origem/vendedor/etapa",IF(AND(OR($P371="Ganho",$P371="Perdido"),$K371=""),"Falta data de fechamento",IF(AND($P371="Perdido",$L371=""),"Informe o motivo da perda","OK"))))</f>
        <v/>
      </c>
    </row>
    <row r="372" spans="1:20">
      <c r="A372" s="18">
        <f>IF($C372="","",ROW()-4)</f>
        <v/>
      </c>
      <c r="B372" s="19"/>
      <c r="C372" s="13"/>
      <c r="D372" s="13"/>
      <c r="E372" s="13"/>
      <c r="F372" s="13"/>
      <c r="G372" s="13"/>
      <c r="H372" s="15"/>
      <c r="I372" s="19"/>
      <c r="J372" s="19"/>
      <c r="K372" s="19"/>
      <c r="L372" s="13"/>
      <c r="M372" s="13"/>
      <c r="N372" s="20">
        <f>IF($C372="","",IFERROR(INDEX(EtapaProb,MATCH($G372,Etapas,0)),0))</f>
        <v/>
      </c>
      <c r="O372" s="21">
        <f>IF($C372="","",IF($P372="Aberto",N($H372)*$N372,0))</f>
        <v/>
      </c>
      <c r="P372" s="18">
        <f>IF($C372="","",IF($G372="Ganho","Ganho",IF($G372="Perdido","Perdido","Aberto")))</f>
        <v/>
      </c>
      <c r="Q372" s="18">
        <f>IF(OR($C372="",$P372&lt;&gt;"Aberto"),"",IF($I372="",Hoje-$B372,Hoje-$I372))</f>
        <v/>
      </c>
      <c r="R372" s="22">
        <f>IF(OR($C372="",$P372&lt;&gt;"Aberto"),"",IF($J372="",IF($Q372&gt;DiasSC,"ATRASADO","Definir data"),IF($J372&lt;Hoje,"ATRASADO",IF($J372=Hoje,"HOJE","Em dia"))))</f>
        <v/>
      </c>
      <c r="S372" s="23">
        <f>IF($R372="","",IF(OR($R372="ATRASADO",$R372="HOJE",$R372="Definir data"),COUNTIF($R$5:$R372,"ATRASADO")+COUNTIF($R$5:$R372,"HOJE")+COUNTIF($R$5:$R372,"Definir data"),""))</f>
        <v/>
      </c>
      <c r="T372" s="18">
        <f>IF($C372="","",IF(OR($B372="",$E372="",$F372="",$G372=""),"Preencher entrada/origem/vendedor/etapa",IF(AND(OR($P372="Ganho",$P372="Perdido"),$K372=""),"Falta data de fechamento",IF(AND($P372="Perdido",$L372=""),"Informe o motivo da perda","OK"))))</f>
        <v/>
      </c>
    </row>
    <row r="373" spans="1:20">
      <c r="A373" s="18">
        <f>IF($C373="","",ROW()-4)</f>
        <v/>
      </c>
      <c r="B373" s="19"/>
      <c r="C373" s="13"/>
      <c r="D373" s="13"/>
      <c r="E373" s="13"/>
      <c r="F373" s="13"/>
      <c r="G373" s="13"/>
      <c r="H373" s="15"/>
      <c r="I373" s="19"/>
      <c r="J373" s="19"/>
      <c r="K373" s="19"/>
      <c r="L373" s="13"/>
      <c r="M373" s="13"/>
      <c r="N373" s="20">
        <f>IF($C373="","",IFERROR(INDEX(EtapaProb,MATCH($G373,Etapas,0)),0))</f>
        <v/>
      </c>
      <c r="O373" s="21">
        <f>IF($C373="","",IF($P373="Aberto",N($H373)*$N373,0))</f>
        <v/>
      </c>
      <c r="P373" s="18">
        <f>IF($C373="","",IF($G373="Ganho","Ganho",IF($G373="Perdido","Perdido","Aberto")))</f>
        <v/>
      </c>
      <c r="Q373" s="18">
        <f>IF(OR($C373="",$P373&lt;&gt;"Aberto"),"",IF($I373="",Hoje-$B373,Hoje-$I373))</f>
        <v/>
      </c>
      <c r="R373" s="22">
        <f>IF(OR($C373="",$P373&lt;&gt;"Aberto"),"",IF($J373="",IF($Q373&gt;DiasSC,"ATRASADO","Definir data"),IF($J373&lt;Hoje,"ATRASADO",IF($J373=Hoje,"HOJE","Em dia"))))</f>
        <v/>
      </c>
      <c r="S373" s="23">
        <f>IF($R373="","",IF(OR($R373="ATRASADO",$R373="HOJE",$R373="Definir data"),COUNTIF($R$5:$R373,"ATRASADO")+COUNTIF($R$5:$R373,"HOJE")+COUNTIF($R$5:$R373,"Definir data"),""))</f>
        <v/>
      </c>
      <c r="T373" s="18">
        <f>IF($C373="","",IF(OR($B373="",$E373="",$F373="",$G373=""),"Preencher entrada/origem/vendedor/etapa",IF(AND(OR($P373="Ganho",$P373="Perdido"),$K373=""),"Falta data de fechamento",IF(AND($P373="Perdido",$L373=""),"Informe o motivo da perda","OK"))))</f>
        <v/>
      </c>
    </row>
    <row r="374" spans="1:20">
      <c r="A374" s="18">
        <f>IF($C374="","",ROW()-4)</f>
        <v/>
      </c>
      <c r="B374" s="19"/>
      <c r="C374" s="13"/>
      <c r="D374" s="13"/>
      <c r="E374" s="13"/>
      <c r="F374" s="13"/>
      <c r="G374" s="13"/>
      <c r="H374" s="15"/>
      <c r="I374" s="19"/>
      <c r="J374" s="19"/>
      <c r="K374" s="19"/>
      <c r="L374" s="13"/>
      <c r="M374" s="13"/>
      <c r="N374" s="20">
        <f>IF($C374="","",IFERROR(INDEX(EtapaProb,MATCH($G374,Etapas,0)),0))</f>
        <v/>
      </c>
      <c r="O374" s="21">
        <f>IF($C374="","",IF($P374="Aberto",N($H374)*$N374,0))</f>
        <v/>
      </c>
      <c r="P374" s="18">
        <f>IF($C374="","",IF($G374="Ganho","Ganho",IF($G374="Perdido","Perdido","Aberto")))</f>
        <v/>
      </c>
      <c r="Q374" s="18">
        <f>IF(OR($C374="",$P374&lt;&gt;"Aberto"),"",IF($I374="",Hoje-$B374,Hoje-$I374))</f>
        <v/>
      </c>
      <c r="R374" s="22">
        <f>IF(OR($C374="",$P374&lt;&gt;"Aberto"),"",IF($J374="",IF($Q374&gt;DiasSC,"ATRASADO","Definir data"),IF($J374&lt;Hoje,"ATRASADO",IF($J374=Hoje,"HOJE","Em dia"))))</f>
        <v/>
      </c>
      <c r="S374" s="23">
        <f>IF($R374="","",IF(OR($R374="ATRASADO",$R374="HOJE",$R374="Definir data"),COUNTIF($R$5:$R374,"ATRASADO")+COUNTIF($R$5:$R374,"HOJE")+COUNTIF($R$5:$R374,"Definir data"),""))</f>
        <v/>
      </c>
      <c r="T374" s="18">
        <f>IF($C374="","",IF(OR($B374="",$E374="",$F374="",$G374=""),"Preencher entrada/origem/vendedor/etapa",IF(AND(OR($P374="Ganho",$P374="Perdido"),$K374=""),"Falta data de fechamento",IF(AND($P374="Perdido",$L374=""),"Informe o motivo da perda","OK"))))</f>
        <v/>
      </c>
    </row>
    <row r="375" spans="1:20">
      <c r="A375" s="18">
        <f>IF($C375="","",ROW()-4)</f>
        <v/>
      </c>
      <c r="B375" s="19"/>
      <c r="C375" s="13"/>
      <c r="D375" s="13"/>
      <c r="E375" s="13"/>
      <c r="F375" s="13"/>
      <c r="G375" s="13"/>
      <c r="H375" s="15"/>
      <c r="I375" s="19"/>
      <c r="J375" s="19"/>
      <c r="K375" s="19"/>
      <c r="L375" s="13"/>
      <c r="M375" s="13"/>
      <c r="N375" s="20">
        <f>IF($C375="","",IFERROR(INDEX(EtapaProb,MATCH($G375,Etapas,0)),0))</f>
        <v/>
      </c>
      <c r="O375" s="21">
        <f>IF($C375="","",IF($P375="Aberto",N($H375)*$N375,0))</f>
        <v/>
      </c>
      <c r="P375" s="18">
        <f>IF($C375="","",IF($G375="Ganho","Ganho",IF($G375="Perdido","Perdido","Aberto")))</f>
        <v/>
      </c>
      <c r="Q375" s="18">
        <f>IF(OR($C375="",$P375&lt;&gt;"Aberto"),"",IF($I375="",Hoje-$B375,Hoje-$I375))</f>
        <v/>
      </c>
      <c r="R375" s="22">
        <f>IF(OR($C375="",$P375&lt;&gt;"Aberto"),"",IF($J375="",IF($Q375&gt;DiasSC,"ATRASADO","Definir data"),IF($J375&lt;Hoje,"ATRASADO",IF($J375=Hoje,"HOJE","Em dia"))))</f>
        <v/>
      </c>
      <c r="S375" s="23">
        <f>IF($R375="","",IF(OR($R375="ATRASADO",$R375="HOJE",$R375="Definir data"),COUNTIF($R$5:$R375,"ATRASADO")+COUNTIF($R$5:$R375,"HOJE")+COUNTIF($R$5:$R375,"Definir data"),""))</f>
        <v/>
      </c>
      <c r="T375" s="18">
        <f>IF($C375="","",IF(OR($B375="",$E375="",$F375="",$G375=""),"Preencher entrada/origem/vendedor/etapa",IF(AND(OR($P375="Ganho",$P375="Perdido"),$K375=""),"Falta data de fechamento",IF(AND($P375="Perdido",$L375=""),"Informe o motivo da perda","OK"))))</f>
        <v/>
      </c>
    </row>
    <row r="376" spans="1:20">
      <c r="A376" s="18">
        <f>IF($C376="","",ROW()-4)</f>
        <v/>
      </c>
      <c r="B376" s="19"/>
      <c r="C376" s="13"/>
      <c r="D376" s="13"/>
      <c r="E376" s="13"/>
      <c r="F376" s="13"/>
      <c r="G376" s="13"/>
      <c r="H376" s="15"/>
      <c r="I376" s="19"/>
      <c r="J376" s="19"/>
      <c r="K376" s="19"/>
      <c r="L376" s="13"/>
      <c r="M376" s="13"/>
      <c r="N376" s="20">
        <f>IF($C376="","",IFERROR(INDEX(EtapaProb,MATCH($G376,Etapas,0)),0))</f>
        <v/>
      </c>
      <c r="O376" s="21">
        <f>IF($C376="","",IF($P376="Aberto",N($H376)*$N376,0))</f>
        <v/>
      </c>
      <c r="P376" s="18">
        <f>IF($C376="","",IF($G376="Ganho","Ganho",IF($G376="Perdido","Perdido","Aberto")))</f>
        <v/>
      </c>
      <c r="Q376" s="18">
        <f>IF(OR($C376="",$P376&lt;&gt;"Aberto"),"",IF($I376="",Hoje-$B376,Hoje-$I376))</f>
        <v/>
      </c>
      <c r="R376" s="22">
        <f>IF(OR($C376="",$P376&lt;&gt;"Aberto"),"",IF($J376="",IF($Q376&gt;DiasSC,"ATRASADO","Definir data"),IF($J376&lt;Hoje,"ATRASADO",IF($J376=Hoje,"HOJE","Em dia"))))</f>
        <v/>
      </c>
      <c r="S376" s="23">
        <f>IF($R376="","",IF(OR($R376="ATRASADO",$R376="HOJE",$R376="Definir data"),COUNTIF($R$5:$R376,"ATRASADO")+COUNTIF($R$5:$R376,"HOJE")+COUNTIF($R$5:$R376,"Definir data"),""))</f>
        <v/>
      </c>
      <c r="T376" s="18">
        <f>IF($C376="","",IF(OR($B376="",$E376="",$F376="",$G376=""),"Preencher entrada/origem/vendedor/etapa",IF(AND(OR($P376="Ganho",$P376="Perdido"),$K376=""),"Falta data de fechamento",IF(AND($P376="Perdido",$L376=""),"Informe o motivo da perda","OK"))))</f>
        <v/>
      </c>
    </row>
    <row r="377" spans="1:20">
      <c r="A377" s="18">
        <f>IF($C377="","",ROW()-4)</f>
        <v/>
      </c>
      <c r="B377" s="19"/>
      <c r="C377" s="13"/>
      <c r="D377" s="13"/>
      <c r="E377" s="13"/>
      <c r="F377" s="13"/>
      <c r="G377" s="13"/>
      <c r="H377" s="15"/>
      <c r="I377" s="19"/>
      <c r="J377" s="19"/>
      <c r="K377" s="19"/>
      <c r="L377" s="13"/>
      <c r="M377" s="13"/>
      <c r="N377" s="20">
        <f>IF($C377="","",IFERROR(INDEX(EtapaProb,MATCH($G377,Etapas,0)),0))</f>
        <v/>
      </c>
      <c r="O377" s="21">
        <f>IF($C377="","",IF($P377="Aberto",N($H377)*$N377,0))</f>
        <v/>
      </c>
      <c r="P377" s="18">
        <f>IF($C377="","",IF($G377="Ganho","Ganho",IF($G377="Perdido","Perdido","Aberto")))</f>
        <v/>
      </c>
      <c r="Q377" s="18">
        <f>IF(OR($C377="",$P377&lt;&gt;"Aberto"),"",IF($I377="",Hoje-$B377,Hoje-$I377))</f>
        <v/>
      </c>
      <c r="R377" s="22">
        <f>IF(OR($C377="",$P377&lt;&gt;"Aberto"),"",IF($J377="",IF($Q377&gt;DiasSC,"ATRASADO","Definir data"),IF($J377&lt;Hoje,"ATRASADO",IF($J377=Hoje,"HOJE","Em dia"))))</f>
        <v/>
      </c>
      <c r="S377" s="23">
        <f>IF($R377="","",IF(OR($R377="ATRASADO",$R377="HOJE",$R377="Definir data"),COUNTIF($R$5:$R377,"ATRASADO")+COUNTIF($R$5:$R377,"HOJE")+COUNTIF($R$5:$R377,"Definir data"),""))</f>
        <v/>
      </c>
      <c r="T377" s="18">
        <f>IF($C377="","",IF(OR($B377="",$E377="",$F377="",$G377=""),"Preencher entrada/origem/vendedor/etapa",IF(AND(OR($P377="Ganho",$P377="Perdido"),$K377=""),"Falta data de fechamento",IF(AND($P377="Perdido",$L377=""),"Informe o motivo da perda","OK"))))</f>
        <v/>
      </c>
    </row>
    <row r="378" spans="1:20">
      <c r="A378" s="18">
        <f>IF($C378="","",ROW()-4)</f>
        <v/>
      </c>
      <c r="B378" s="19"/>
      <c r="C378" s="13"/>
      <c r="D378" s="13"/>
      <c r="E378" s="13"/>
      <c r="F378" s="13"/>
      <c r="G378" s="13"/>
      <c r="H378" s="15"/>
      <c r="I378" s="19"/>
      <c r="J378" s="19"/>
      <c r="K378" s="19"/>
      <c r="L378" s="13"/>
      <c r="M378" s="13"/>
      <c r="N378" s="20">
        <f>IF($C378="","",IFERROR(INDEX(EtapaProb,MATCH($G378,Etapas,0)),0))</f>
        <v/>
      </c>
      <c r="O378" s="21">
        <f>IF($C378="","",IF($P378="Aberto",N($H378)*$N378,0))</f>
        <v/>
      </c>
      <c r="P378" s="18">
        <f>IF($C378="","",IF($G378="Ganho","Ganho",IF($G378="Perdido","Perdido","Aberto")))</f>
        <v/>
      </c>
      <c r="Q378" s="18">
        <f>IF(OR($C378="",$P378&lt;&gt;"Aberto"),"",IF($I378="",Hoje-$B378,Hoje-$I378))</f>
        <v/>
      </c>
      <c r="R378" s="22">
        <f>IF(OR($C378="",$P378&lt;&gt;"Aberto"),"",IF($J378="",IF($Q378&gt;DiasSC,"ATRASADO","Definir data"),IF($J378&lt;Hoje,"ATRASADO",IF($J378=Hoje,"HOJE","Em dia"))))</f>
        <v/>
      </c>
      <c r="S378" s="23">
        <f>IF($R378="","",IF(OR($R378="ATRASADO",$R378="HOJE",$R378="Definir data"),COUNTIF($R$5:$R378,"ATRASADO")+COUNTIF($R$5:$R378,"HOJE")+COUNTIF($R$5:$R378,"Definir data"),""))</f>
        <v/>
      </c>
      <c r="T378" s="18">
        <f>IF($C378="","",IF(OR($B378="",$E378="",$F378="",$G378=""),"Preencher entrada/origem/vendedor/etapa",IF(AND(OR($P378="Ganho",$P378="Perdido"),$K378=""),"Falta data de fechamento",IF(AND($P378="Perdido",$L378=""),"Informe o motivo da perda","OK"))))</f>
        <v/>
      </c>
    </row>
    <row r="379" spans="1:20">
      <c r="A379" s="18">
        <f>IF($C379="","",ROW()-4)</f>
        <v/>
      </c>
      <c r="B379" s="19"/>
      <c r="C379" s="13"/>
      <c r="D379" s="13"/>
      <c r="E379" s="13"/>
      <c r="F379" s="13"/>
      <c r="G379" s="13"/>
      <c r="H379" s="15"/>
      <c r="I379" s="19"/>
      <c r="J379" s="19"/>
      <c r="K379" s="19"/>
      <c r="L379" s="13"/>
      <c r="M379" s="13"/>
      <c r="N379" s="20">
        <f>IF($C379="","",IFERROR(INDEX(EtapaProb,MATCH($G379,Etapas,0)),0))</f>
        <v/>
      </c>
      <c r="O379" s="21">
        <f>IF($C379="","",IF($P379="Aberto",N($H379)*$N379,0))</f>
        <v/>
      </c>
      <c r="P379" s="18">
        <f>IF($C379="","",IF($G379="Ganho","Ganho",IF($G379="Perdido","Perdido","Aberto")))</f>
        <v/>
      </c>
      <c r="Q379" s="18">
        <f>IF(OR($C379="",$P379&lt;&gt;"Aberto"),"",IF($I379="",Hoje-$B379,Hoje-$I379))</f>
        <v/>
      </c>
      <c r="R379" s="22">
        <f>IF(OR($C379="",$P379&lt;&gt;"Aberto"),"",IF($J379="",IF($Q379&gt;DiasSC,"ATRASADO","Definir data"),IF($J379&lt;Hoje,"ATRASADO",IF($J379=Hoje,"HOJE","Em dia"))))</f>
        <v/>
      </c>
      <c r="S379" s="23">
        <f>IF($R379="","",IF(OR($R379="ATRASADO",$R379="HOJE",$R379="Definir data"),COUNTIF($R$5:$R379,"ATRASADO")+COUNTIF($R$5:$R379,"HOJE")+COUNTIF($R$5:$R379,"Definir data"),""))</f>
        <v/>
      </c>
      <c r="T379" s="18">
        <f>IF($C379="","",IF(OR($B379="",$E379="",$F379="",$G379=""),"Preencher entrada/origem/vendedor/etapa",IF(AND(OR($P379="Ganho",$P379="Perdido"),$K379=""),"Falta data de fechamento",IF(AND($P379="Perdido",$L379=""),"Informe o motivo da perda","OK"))))</f>
        <v/>
      </c>
    </row>
    <row r="380" spans="1:20">
      <c r="A380" s="18">
        <f>IF($C380="","",ROW()-4)</f>
        <v/>
      </c>
      <c r="B380" s="19"/>
      <c r="C380" s="13"/>
      <c r="D380" s="13"/>
      <c r="E380" s="13"/>
      <c r="F380" s="13"/>
      <c r="G380" s="13"/>
      <c r="H380" s="15"/>
      <c r="I380" s="19"/>
      <c r="J380" s="19"/>
      <c r="K380" s="19"/>
      <c r="L380" s="13"/>
      <c r="M380" s="13"/>
      <c r="N380" s="20">
        <f>IF($C380="","",IFERROR(INDEX(EtapaProb,MATCH($G380,Etapas,0)),0))</f>
        <v/>
      </c>
      <c r="O380" s="21">
        <f>IF($C380="","",IF($P380="Aberto",N($H380)*$N380,0))</f>
        <v/>
      </c>
      <c r="P380" s="18">
        <f>IF($C380="","",IF($G380="Ganho","Ganho",IF($G380="Perdido","Perdido","Aberto")))</f>
        <v/>
      </c>
      <c r="Q380" s="18">
        <f>IF(OR($C380="",$P380&lt;&gt;"Aberto"),"",IF($I380="",Hoje-$B380,Hoje-$I380))</f>
        <v/>
      </c>
      <c r="R380" s="22">
        <f>IF(OR($C380="",$P380&lt;&gt;"Aberto"),"",IF($J380="",IF($Q380&gt;DiasSC,"ATRASADO","Definir data"),IF($J380&lt;Hoje,"ATRASADO",IF($J380=Hoje,"HOJE","Em dia"))))</f>
        <v/>
      </c>
      <c r="S380" s="23">
        <f>IF($R380="","",IF(OR($R380="ATRASADO",$R380="HOJE",$R380="Definir data"),COUNTIF($R$5:$R380,"ATRASADO")+COUNTIF($R$5:$R380,"HOJE")+COUNTIF($R$5:$R380,"Definir data"),""))</f>
        <v/>
      </c>
      <c r="T380" s="18">
        <f>IF($C380="","",IF(OR($B380="",$E380="",$F380="",$G380=""),"Preencher entrada/origem/vendedor/etapa",IF(AND(OR($P380="Ganho",$P380="Perdido"),$K380=""),"Falta data de fechamento",IF(AND($P380="Perdido",$L380=""),"Informe o motivo da perda","OK"))))</f>
        <v/>
      </c>
    </row>
    <row r="381" spans="1:20">
      <c r="A381" s="18">
        <f>IF($C381="","",ROW()-4)</f>
        <v/>
      </c>
      <c r="B381" s="19"/>
      <c r="C381" s="13"/>
      <c r="D381" s="13"/>
      <c r="E381" s="13"/>
      <c r="F381" s="13"/>
      <c r="G381" s="13"/>
      <c r="H381" s="15"/>
      <c r="I381" s="19"/>
      <c r="J381" s="19"/>
      <c r="K381" s="19"/>
      <c r="L381" s="13"/>
      <c r="M381" s="13"/>
      <c r="N381" s="20">
        <f>IF($C381="","",IFERROR(INDEX(EtapaProb,MATCH($G381,Etapas,0)),0))</f>
        <v/>
      </c>
      <c r="O381" s="21">
        <f>IF($C381="","",IF($P381="Aberto",N($H381)*$N381,0))</f>
        <v/>
      </c>
      <c r="P381" s="18">
        <f>IF($C381="","",IF($G381="Ganho","Ganho",IF($G381="Perdido","Perdido","Aberto")))</f>
        <v/>
      </c>
      <c r="Q381" s="18">
        <f>IF(OR($C381="",$P381&lt;&gt;"Aberto"),"",IF($I381="",Hoje-$B381,Hoje-$I381))</f>
        <v/>
      </c>
      <c r="R381" s="22">
        <f>IF(OR($C381="",$P381&lt;&gt;"Aberto"),"",IF($J381="",IF($Q381&gt;DiasSC,"ATRASADO","Definir data"),IF($J381&lt;Hoje,"ATRASADO",IF($J381=Hoje,"HOJE","Em dia"))))</f>
        <v/>
      </c>
      <c r="S381" s="23">
        <f>IF($R381="","",IF(OR($R381="ATRASADO",$R381="HOJE",$R381="Definir data"),COUNTIF($R$5:$R381,"ATRASADO")+COUNTIF($R$5:$R381,"HOJE")+COUNTIF($R$5:$R381,"Definir data"),""))</f>
        <v/>
      </c>
      <c r="T381" s="18">
        <f>IF($C381="","",IF(OR($B381="",$E381="",$F381="",$G381=""),"Preencher entrada/origem/vendedor/etapa",IF(AND(OR($P381="Ganho",$P381="Perdido"),$K381=""),"Falta data de fechamento",IF(AND($P381="Perdido",$L381=""),"Informe o motivo da perda","OK"))))</f>
        <v/>
      </c>
    </row>
    <row r="382" spans="1:20">
      <c r="A382" s="18">
        <f>IF($C382="","",ROW()-4)</f>
        <v/>
      </c>
      <c r="B382" s="19"/>
      <c r="C382" s="13"/>
      <c r="D382" s="13"/>
      <c r="E382" s="13"/>
      <c r="F382" s="13"/>
      <c r="G382" s="13"/>
      <c r="H382" s="15"/>
      <c r="I382" s="19"/>
      <c r="J382" s="19"/>
      <c r="K382" s="19"/>
      <c r="L382" s="13"/>
      <c r="M382" s="13"/>
      <c r="N382" s="20">
        <f>IF($C382="","",IFERROR(INDEX(EtapaProb,MATCH($G382,Etapas,0)),0))</f>
        <v/>
      </c>
      <c r="O382" s="21">
        <f>IF($C382="","",IF($P382="Aberto",N($H382)*$N382,0))</f>
        <v/>
      </c>
      <c r="P382" s="18">
        <f>IF($C382="","",IF($G382="Ganho","Ganho",IF($G382="Perdido","Perdido","Aberto")))</f>
        <v/>
      </c>
      <c r="Q382" s="18">
        <f>IF(OR($C382="",$P382&lt;&gt;"Aberto"),"",IF($I382="",Hoje-$B382,Hoje-$I382))</f>
        <v/>
      </c>
      <c r="R382" s="22">
        <f>IF(OR($C382="",$P382&lt;&gt;"Aberto"),"",IF($J382="",IF($Q382&gt;DiasSC,"ATRASADO","Definir data"),IF($J382&lt;Hoje,"ATRASADO",IF($J382=Hoje,"HOJE","Em dia"))))</f>
        <v/>
      </c>
      <c r="S382" s="23">
        <f>IF($R382="","",IF(OR($R382="ATRASADO",$R382="HOJE",$R382="Definir data"),COUNTIF($R$5:$R382,"ATRASADO")+COUNTIF($R$5:$R382,"HOJE")+COUNTIF($R$5:$R382,"Definir data"),""))</f>
        <v/>
      </c>
      <c r="T382" s="18">
        <f>IF($C382="","",IF(OR($B382="",$E382="",$F382="",$G382=""),"Preencher entrada/origem/vendedor/etapa",IF(AND(OR($P382="Ganho",$P382="Perdido"),$K382=""),"Falta data de fechamento",IF(AND($P382="Perdido",$L382=""),"Informe o motivo da perda","OK"))))</f>
        <v/>
      </c>
    </row>
    <row r="383" spans="1:20">
      <c r="A383" s="18">
        <f>IF($C383="","",ROW()-4)</f>
        <v/>
      </c>
      <c r="B383" s="19"/>
      <c r="C383" s="13"/>
      <c r="D383" s="13"/>
      <c r="E383" s="13"/>
      <c r="F383" s="13"/>
      <c r="G383" s="13"/>
      <c r="H383" s="15"/>
      <c r="I383" s="19"/>
      <c r="J383" s="19"/>
      <c r="K383" s="19"/>
      <c r="L383" s="13"/>
      <c r="M383" s="13"/>
      <c r="N383" s="20">
        <f>IF($C383="","",IFERROR(INDEX(EtapaProb,MATCH($G383,Etapas,0)),0))</f>
        <v/>
      </c>
      <c r="O383" s="21">
        <f>IF($C383="","",IF($P383="Aberto",N($H383)*$N383,0))</f>
        <v/>
      </c>
      <c r="P383" s="18">
        <f>IF($C383="","",IF($G383="Ganho","Ganho",IF($G383="Perdido","Perdido","Aberto")))</f>
        <v/>
      </c>
      <c r="Q383" s="18">
        <f>IF(OR($C383="",$P383&lt;&gt;"Aberto"),"",IF($I383="",Hoje-$B383,Hoje-$I383))</f>
        <v/>
      </c>
      <c r="R383" s="22">
        <f>IF(OR($C383="",$P383&lt;&gt;"Aberto"),"",IF($J383="",IF($Q383&gt;DiasSC,"ATRASADO","Definir data"),IF($J383&lt;Hoje,"ATRASADO",IF($J383=Hoje,"HOJE","Em dia"))))</f>
        <v/>
      </c>
      <c r="S383" s="23">
        <f>IF($R383="","",IF(OR($R383="ATRASADO",$R383="HOJE",$R383="Definir data"),COUNTIF($R$5:$R383,"ATRASADO")+COUNTIF($R$5:$R383,"HOJE")+COUNTIF($R$5:$R383,"Definir data"),""))</f>
        <v/>
      </c>
      <c r="T383" s="18">
        <f>IF($C383="","",IF(OR($B383="",$E383="",$F383="",$G383=""),"Preencher entrada/origem/vendedor/etapa",IF(AND(OR($P383="Ganho",$P383="Perdido"),$K383=""),"Falta data de fechamento",IF(AND($P383="Perdido",$L383=""),"Informe o motivo da perda","OK"))))</f>
        <v/>
      </c>
    </row>
    <row r="384" spans="1:20">
      <c r="A384" s="18">
        <f>IF($C384="","",ROW()-4)</f>
        <v/>
      </c>
      <c r="B384" s="19"/>
      <c r="C384" s="13"/>
      <c r="D384" s="13"/>
      <c r="E384" s="13"/>
      <c r="F384" s="13"/>
      <c r="G384" s="13"/>
      <c r="H384" s="15"/>
      <c r="I384" s="19"/>
      <c r="J384" s="19"/>
      <c r="K384" s="19"/>
      <c r="L384" s="13"/>
      <c r="M384" s="13"/>
      <c r="N384" s="20">
        <f>IF($C384="","",IFERROR(INDEX(EtapaProb,MATCH($G384,Etapas,0)),0))</f>
        <v/>
      </c>
      <c r="O384" s="21">
        <f>IF($C384="","",IF($P384="Aberto",N($H384)*$N384,0))</f>
        <v/>
      </c>
      <c r="P384" s="18">
        <f>IF($C384="","",IF($G384="Ganho","Ganho",IF($G384="Perdido","Perdido","Aberto")))</f>
        <v/>
      </c>
      <c r="Q384" s="18">
        <f>IF(OR($C384="",$P384&lt;&gt;"Aberto"),"",IF($I384="",Hoje-$B384,Hoje-$I384))</f>
        <v/>
      </c>
      <c r="R384" s="22">
        <f>IF(OR($C384="",$P384&lt;&gt;"Aberto"),"",IF($J384="",IF($Q384&gt;DiasSC,"ATRASADO","Definir data"),IF($J384&lt;Hoje,"ATRASADO",IF($J384=Hoje,"HOJE","Em dia"))))</f>
        <v/>
      </c>
      <c r="S384" s="23">
        <f>IF($R384="","",IF(OR($R384="ATRASADO",$R384="HOJE",$R384="Definir data"),COUNTIF($R$5:$R384,"ATRASADO")+COUNTIF($R$5:$R384,"HOJE")+COUNTIF($R$5:$R384,"Definir data"),""))</f>
        <v/>
      </c>
      <c r="T384" s="18">
        <f>IF($C384="","",IF(OR($B384="",$E384="",$F384="",$G384=""),"Preencher entrada/origem/vendedor/etapa",IF(AND(OR($P384="Ganho",$P384="Perdido"),$K384=""),"Falta data de fechamento",IF(AND($P384="Perdido",$L384=""),"Informe o motivo da perda","OK"))))</f>
        <v/>
      </c>
    </row>
    <row r="385" spans="1:20">
      <c r="A385" s="18">
        <f>IF($C385="","",ROW()-4)</f>
        <v/>
      </c>
      <c r="B385" s="19"/>
      <c r="C385" s="13"/>
      <c r="D385" s="13"/>
      <c r="E385" s="13"/>
      <c r="F385" s="13"/>
      <c r="G385" s="13"/>
      <c r="H385" s="15"/>
      <c r="I385" s="19"/>
      <c r="J385" s="19"/>
      <c r="K385" s="19"/>
      <c r="L385" s="13"/>
      <c r="M385" s="13"/>
      <c r="N385" s="20">
        <f>IF($C385="","",IFERROR(INDEX(EtapaProb,MATCH($G385,Etapas,0)),0))</f>
        <v/>
      </c>
      <c r="O385" s="21">
        <f>IF($C385="","",IF($P385="Aberto",N($H385)*$N385,0))</f>
        <v/>
      </c>
      <c r="P385" s="18">
        <f>IF($C385="","",IF($G385="Ganho","Ganho",IF($G385="Perdido","Perdido","Aberto")))</f>
        <v/>
      </c>
      <c r="Q385" s="18">
        <f>IF(OR($C385="",$P385&lt;&gt;"Aberto"),"",IF($I385="",Hoje-$B385,Hoje-$I385))</f>
        <v/>
      </c>
      <c r="R385" s="22">
        <f>IF(OR($C385="",$P385&lt;&gt;"Aberto"),"",IF($J385="",IF($Q385&gt;DiasSC,"ATRASADO","Definir data"),IF($J385&lt;Hoje,"ATRASADO",IF($J385=Hoje,"HOJE","Em dia"))))</f>
        <v/>
      </c>
      <c r="S385" s="23">
        <f>IF($R385="","",IF(OR($R385="ATRASADO",$R385="HOJE",$R385="Definir data"),COUNTIF($R$5:$R385,"ATRASADO")+COUNTIF($R$5:$R385,"HOJE")+COUNTIF($R$5:$R385,"Definir data"),""))</f>
        <v/>
      </c>
      <c r="T385" s="18">
        <f>IF($C385="","",IF(OR($B385="",$E385="",$F385="",$G385=""),"Preencher entrada/origem/vendedor/etapa",IF(AND(OR($P385="Ganho",$P385="Perdido"),$K385=""),"Falta data de fechamento",IF(AND($P385="Perdido",$L385=""),"Informe o motivo da perda","OK"))))</f>
        <v/>
      </c>
    </row>
    <row r="386" spans="1:20">
      <c r="A386" s="18">
        <f>IF($C386="","",ROW()-4)</f>
        <v/>
      </c>
      <c r="B386" s="19"/>
      <c r="C386" s="13"/>
      <c r="D386" s="13"/>
      <c r="E386" s="13"/>
      <c r="F386" s="13"/>
      <c r="G386" s="13"/>
      <c r="H386" s="15"/>
      <c r="I386" s="19"/>
      <c r="J386" s="19"/>
      <c r="K386" s="19"/>
      <c r="L386" s="13"/>
      <c r="M386" s="13"/>
      <c r="N386" s="20">
        <f>IF($C386="","",IFERROR(INDEX(EtapaProb,MATCH($G386,Etapas,0)),0))</f>
        <v/>
      </c>
      <c r="O386" s="21">
        <f>IF($C386="","",IF($P386="Aberto",N($H386)*$N386,0))</f>
        <v/>
      </c>
      <c r="P386" s="18">
        <f>IF($C386="","",IF($G386="Ganho","Ganho",IF($G386="Perdido","Perdido","Aberto")))</f>
        <v/>
      </c>
      <c r="Q386" s="18">
        <f>IF(OR($C386="",$P386&lt;&gt;"Aberto"),"",IF($I386="",Hoje-$B386,Hoje-$I386))</f>
        <v/>
      </c>
      <c r="R386" s="22">
        <f>IF(OR($C386="",$P386&lt;&gt;"Aberto"),"",IF($J386="",IF($Q386&gt;DiasSC,"ATRASADO","Definir data"),IF($J386&lt;Hoje,"ATRASADO",IF($J386=Hoje,"HOJE","Em dia"))))</f>
        <v/>
      </c>
      <c r="S386" s="23">
        <f>IF($R386="","",IF(OR($R386="ATRASADO",$R386="HOJE",$R386="Definir data"),COUNTIF($R$5:$R386,"ATRASADO")+COUNTIF($R$5:$R386,"HOJE")+COUNTIF($R$5:$R386,"Definir data"),""))</f>
        <v/>
      </c>
      <c r="T386" s="18">
        <f>IF($C386="","",IF(OR($B386="",$E386="",$F386="",$G386=""),"Preencher entrada/origem/vendedor/etapa",IF(AND(OR($P386="Ganho",$P386="Perdido"),$K386=""),"Falta data de fechamento",IF(AND($P386="Perdido",$L386=""),"Informe o motivo da perda","OK"))))</f>
        <v/>
      </c>
    </row>
    <row r="387" spans="1:20">
      <c r="A387" s="18">
        <f>IF($C387="","",ROW()-4)</f>
        <v/>
      </c>
      <c r="B387" s="19"/>
      <c r="C387" s="13"/>
      <c r="D387" s="13"/>
      <c r="E387" s="13"/>
      <c r="F387" s="13"/>
      <c r="G387" s="13"/>
      <c r="H387" s="15"/>
      <c r="I387" s="19"/>
      <c r="J387" s="19"/>
      <c r="K387" s="19"/>
      <c r="L387" s="13"/>
      <c r="M387" s="13"/>
      <c r="N387" s="20">
        <f>IF($C387="","",IFERROR(INDEX(EtapaProb,MATCH($G387,Etapas,0)),0))</f>
        <v/>
      </c>
      <c r="O387" s="21">
        <f>IF($C387="","",IF($P387="Aberto",N($H387)*$N387,0))</f>
        <v/>
      </c>
      <c r="P387" s="18">
        <f>IF($C387="","",IF($G387="Ganho","Ganho",IF($G387="Perdido","Perdido","Aberto")))</f>
        <v/>
      </c>
      <c r="Q387" s="18">
        <f>IF(OR($C387="",$P387&lt;&gt;"Aberto"),"",IF($I387="",Hoje-$B387,Hoje-$I387))</f>
        <v/>
      </c>
      <c r="R387" s="22">
        <f>IF(OR($C387="",$P387&lt;&gt;"Aberto"),"",IF($J387="",IF($Q387&gt;DiasSC,"ATRASADO","Definir data"),IF($J387&lt;Hoje,"ATRASADO",IF($J387=Hoje,"HOJE","Em dia"))))</f>
        <v/>
      </c>
      <c r="S387" s="23">
        <f>IF($R387="","",IF(OR($R387="ATRASADO",$R387="HOJE",$R387="Definir data"),COUNTIF($R$5:$R387,"ATRASADO")+COUNTIF($R$5:$R387,"HOJE")+COUNTIF($R$5:$R387,"Definir data"),""))</f>
        <v/>
      </c>
      <c r="T387" s="18">
        <f>IF($C387="","",IF(OR($B387="",$E387="",$F387="",$G387=""),"Preencher entrada/origem/vendedor/etapa",IF(AND(OR($P387="Ganho",$P387="Perdido"),$K387=""),"Falta data de fechamento",IF(AND($P387="Perdido",$L387=""),"Informe o motivo da perda","OK"))))</f>
        <v/>
      </c>
    </row>
    <row r="388" spans="1:20">
      <c r="A388" s="18">
        <f>IF($C388="","",ROW()-4)</f>
        <v/>
      </c>
      <c r="B388" s="19"/>
      <c r="C388" s="13"/>
      <c r="D388" s="13"/>
      <c r="E388" s="13"/>
      <c r="F388" s="13"/>
      <c r="G388" s="13"/>
      <c r="H388" s="15"/>
      <c r="I388" s="19"/>
      <c r="J388" s="19"/>
      <c r="K388" s="19"/>
      <c r="L388" s="13"/>
      <c r="M388" s="13"/>
      <c r="N388" s="20">
        <f>IF($C388="","",IFERROR(INDEX(EtapaProb,MATCH($G388,Etapas,0)),0))</f>
        <v/>
      </c>
      <c r="O388" s="21">
        <f>IF($C388="","",IF($P388="Aberto",N($H388)*$N388,0))</f>
        <v/>
      </c>
      <c r="P388" s="18">
        <f>IF($C388="","",IF($G388="Ganho","Ganho",IF($G388="Perdido","Perdido","Aberto")))</f>
        <v/>
      </c>
      <c r="Q388" s="18">
        <f>IF(OR($C388="",$P388&lt;&gt;"Aberto"),"",IF($I388="",Hoje-$B388,Hoje-$I388))</f>
        <v/>
      </c>
      <c r="R388" s="22">
        <f>IF(OR($C388="",$P388&lt;&gt;"Aberto"),"",IF($J388="",IF($Q388&gt;DiasSC,"ATRASADO","Definir data"),IF($J388&lt;Hoje,"ATRASADO",IF($J388=Hoje,"HOJE","Em dia"))))</f>
        <v/>
      </c>
      <c r="S388" s="23">
        <f>IF($R388="","",IF(OR($R388="ATRASADO",$R388="HOJE",$R388="Definir data"),COUNTIF($R$5:$R388,"ATRASADO")+COUNTIF($R$5:$R388,"HOJE")+COUNTIF($R$5:$R388,"Definir data"),""))</f>
        <v/>
      </c>
      <c r="T388" s="18">
        <f>IF($C388="","",IF(OR($B388="",$E388="",$F388="",$G388=""),"Preencher entrada/origem/vendedor/etapa",IF(AND(OR($P388="Ganho",$P388="Perdido"),$K388=""),"Falta data de fechamento",IF(AND($P388="Perdido",$L388=""),"Informe o motivo da perda","OK"))))</f>
        <v/>
      </c>
    </row>
    <row r="389" spans="1:20">
      <c r="A389" s="18">
        <f>IF($C389="","",ROW()-4)</f>
        <v/>
      </c>
      <c r="B389" s="19"/>
      <c r="C389" s="13"/>
      <c r="D389" s="13"/>
      <c r="E389" s="13"/>
      <c r="F389" s="13"/>
      <c r="G389" s="13"/>
      <c r="H389" s="15"/>
      <c r="I389" s="19"/>
      <c r="J389" s="19"/>
      <c r="K389" s="19"/>
      <c r="L389" s="13"/>
      <c r="M389" s="13"/>
      <c r="N389" s="20">
        <f>IF($C389="","",IFERROR(INDEX(EtapaProb,MATCH($G389,Etapas,0)),0))</f>
        <v/>
      </c>
      <c r="O389" s="21">
        <f>IF($C389="","",IF($P389="Aberto",N($H389)*$N389,0))</f>
        <v/>
      </c>
      <c r="P389" s="18">
        <f>IF($C389="","",IF($G389="Ganho","Ganho",IF($G389="Perdido","Perdido","Aberto")))</f>
        <v/>
      </c>
      <c r="Q389" s="18">
        <f>IF(OR($C389="",$P389&lt;&gt;"Aberto"),"",IF($I389="",Hoje-$B389,Hoje-$I389))</f>
        <v/>
      </c>
      <c r="R389" s="22">
        <f>IF(OR($C389="",$P389&lt;&gt;"Aberto"),"",IF($J389="",IF($Q389&gt;DiasSC,"ATRASADO","Definir data"),IF($J389&lt;Hoje,"ATRASADO",IF($J389=Hoje,"HOJE","Em dia"))))</f>
        <v/>
      </c>
      <c r="S389" s="23">
        <f>IF($R389="","",IF(OR($R389="ATRASADO",$R389="HOJE",$R389="Definir data"),COUNTIF($R$5:$R389,"ATRASADO")+COUNTIF($R$5:$R389,"HOJE")+COUNTIF($R$5:$R389,"Definir data"),""))</f>
        <v/>
      </c>
      <c r="T389" s="18">
        <f>IF($C389="","",IF(OR($B389="",$E389="",$F389="",$G389=""),"Preencher entrada/origem/vendedor/etapa",IF(AND(OR($P389="Ganho",$P389="Perdido"),$K389=""),"Falta data de fechamento",IF(AND($P389="Perdido",$L389=""),"Informe o motivo da perda","OK"))))</f>
        <v/>
      </c>
    </row>
    <row r="390" spans="1:20">
      <c r="A390" s="18">
        <f>IF($C390="","",ROW()-4)</f>
        <v/>
      </c>
      <c r="B390" s="19"/>
      <c r="C390" s="13"/>
      <c r="D390" s="13"/>
      <c r="E390" s="13"/>
      <c r="F390" s="13"/>
      <c r="G390" s="13"/>
      <c r="H390" s="15"/>
      <c r="I390" s="19"/>
      <c r="J390" s="19"/>
      <c r="K390" s="19"/>
      <c r="L390" s="13"/>
      <c r="M390" s="13"/>
      <c r="N390" s="20">
        <f>IF($C390="","",IFERROR(INDEX(EtapaProb,MATCH($G390,Etapas,0)),0))</f>
        <v/>
      </c>
      <c r="O390" s="21">
        <f>IF($C390="","",IF($P390="Aberto",N($H390)*$N390,0))</f>
        <v/>
      </c>
      <c r="P390" s="18">
        <f>IF($C390="","",IF($G390="Ganho","Ganho",IF($G390="Perdido","Perdido","Aberto")))</f>
        <v/>
      </c>
      <c r="Q390" s="18">
        <f>IF(OR($C390="",$P390&lt;&gt;"Aberto"),"",IF($I390="",Hoje-$B390,Hoje-$I390))</f>
        <v/>
      </c>
      <c r="R390" s="22">
        <f>IF(OR($C390="",$P390&lt;&gt;"Aberto"),"",IF($J390="",IF($Q390&gt;DiasSC,"ATRASADO","Definir data"),IF($J390&lt;Hoje,"ATRASADO",IF($J390=Hoje,"HOJE","Em dia"))))</f>
        <v/>
      </c>
      <c r="S390" s="23">
        <f>IF($R390="","",IF(OR($R390="ATRASADO",$R390="HOJE",$R390="Definir data"),COUNTIF($R$5:$R390,"ATRASADO")+COUNTIF($R$5:$R390,"HOJE")+COUNTIF($R$5:$R390,"Definir data"),""))</f>
        <v/>
      </c>
      <c r="T390" s="18">
        <f>IF($C390="","",IF(OR($B390="",$E390="",$F390="",$G390=""),"Preencher entrada/origem/vendedor/etapa",IF(AND(OR($P390="Ganho",$P390="Perdido"),$K390=""),"Falta data de fechamento",IF(AND($P390="Perdido",$L390=""),"Informe o motivo da perda","OK"))))</f>
        <v/>
      </c>
    </row>
    <row r="391" spans="1:20">
      <c r="A391" s="18">
        <f>IF($C391="","",ROW()-4)</f>
        <v/>
      </c>
      <c r="B391" s="19"/>
      <c r="C391" s="13"/>
      <c r="D391" s="13"/>
      <c r="E391" s="13"/>
      <c r="F391" s="13"/>
      <c r="G391" s="13"/>
      <c r="H391" s="15"/>
      <c r="I391" s="19"/>
      <c r="J391" s="19"/>
      <c r="K391" s="19"/>
      <c r="L391" s="13"/>
      <c r="M391" s="13"/>
      <c r="N391" s="20">
        <f>IF($C391="","",IFERROR(INDEX(EtapaProb,MATCH($G391,Etapas,0)),0))</f>
        <v/>
      </c>
      <c r="O391" s="21">
        <f>IF($C391="","",IF($P391="Aberto",N($H391)*$N391,0))</f>
        <v/>
      </c>
      <c r="P391" s="18">
        <f>IF($C391="","",IF($G391="Ganho","Ganho",IF($G391="Perdido","Perdido","Aberto")))</f>
        <v/>
      </c>
      <c r="Q391" s="18">
        <f>IF(OR($C391="",$P391&lt;&gt;"Aberto"),"",IF($I391="",Hoje-$B391,Hoje-$I391))</f>
        <v/>
      </c>
      <c r="R391" s="22">
        <f>IF(OR($C391="",$P391&lt;&gt;"Aberto"),"",IF($J391="",IF($Q391&gt;DiasSC,"ATRASADO","Definir data"),IF($J391&lt;Hoje,"ATRASADO",IF($J391=Hoje,"HOJE","Em dia"))))</f>
        <v/>
      </c>
      <c r="S391" s="23">
        <f>IF($R391="","",IF(OR($R391="ATRASADO",$R391="HOJE",$R391="Definir data"),COUNTIF($R$5:$R391,"ATRASADO")+COUNTIF($R$5:$R391,"HOJE")+COUNTIF($R$5:$R391,"Definir data"),""))</f>
        <v/>
      </c>
      <c r="T391" s="18">
        <f>IF($C391="","",IF(OR($B391="",$E391="",$F391="",$G391=""),"Preencher entrada/origem/vendedor/etapa",IF(AND(OR($P391="Ganho",$P391="Perdido"),$K391=""),"Falta data de fechamento",IF(AND($P391="Perdido",$L391=""),"Informe o motivo da perda","OK"))))</f>
        <v/>
      </c>
    </row>
    <row r="392" spans="1:20">
      <c r="A392" s="18">
        <f>IF($C392="","",ROW()-4)</f>
        <v/>
      </c>
      <c r="B392" s="19"/>
      <c r="C392" s="13"/>
      <c r="D392" s="13"/>
      <c r="E392" s="13"/>
      <c r="F392" s="13"/>
      <c r="G392" s="13"/>
      <c r="H392" s="15"/>
      <c r="I392" s="19"/>
      <c r="J392" s="19"/>
      <c r="K392" s="19"/>
      <c r="L392" s="13"/>
      <c r="M392" s="13"/>
      <c r="N392" s="20">
        <f>IF($C392="","",IFERROR(INDEX(EtapaProb,MATCH($G392,Etapas,0)),0))</f>
        <v/>
      </c>
      <c r="O392" s="21">
        <f>IF($C392="","",IF($P392="Aberto",N($H392)*$N392,0))</f>
        <v/>
      </c>
      <c r="P392" s="18">
        <f>IF($C392="","",IF($G392="Ganho","Ganho",IF($G392="Perdido","Perdido","Aberto")))</f>
        <v/>
      </c>
      <c r="Q392" s="18">
        <f>IF(OR($C392="",$P392&lt;&gt;"Aberto"),"",IF($I392="",Hoje-$B392,Hoje-$I392))</f>
        <v/>
      </c>
      <c r="R392" s="22">
        <f>IF(OR($C392="",$P392&lt;&gt;"Aberto"),"",IF($J392="",IF($Q392&gt;DiasSC,"ATRASADO","Definir data"),IF($J392&lt;Hoje,"ATRASADO",IF($J392=Hoje,"HOJE","Em dia"))))</f>
        <v/>
      </c>
      <c r="S392" s="23">
        <f>IF($R392="","",IF(OR($R392="ATRASADO",$R392="HOJE",$R392="Definir data"),COUNTIF($R$5:$R392,"ATRASADO")+COUNTIF($R$5:$R392,"HOJE")+COUNTIF($R$5:$R392,"Definir data"),""))</f>
        <v/>
      </c>
      <c r="T392" s="18">
        <f>IF($C392="","",IF(OR($B392="",$E392="",$F392="",$G392=""),"Preencher entrada/origem/vendedor/etapa",IF(AND(OR($P392="Ganho",$P392="Perdido"),$K392=""),"Falta data de fechamento",IF(AND($P392="Perdido",$L392=""),"Informe o motivo da perda","OK"))))</f>
        <v/>
      </c>
    </row>
    <row r="393" spans="1:20">
      <c r="A393" s="18">
        <f>IF($C393="","",ROW()-4)</f>
        <v/>
      </c>
      <c r="B393" s="19"/>
      <c r="C393" s="13"/>
      <c r="D393" s="13"/>
      <c r="E393" s="13"/>
      <c r="F393" s="13"/>
      <c r="G393" s="13"/>
      <c r="H393" s="15"/>
      <c r="I393" s="19"/>
      <c r="J393" s="19"/>
      <c r="K393" s="19"/>
      <c r="L393" s="13"/>
      <c r="M393" s="13"/>
      <c r="N393" s="20">
        <f>IF($C393="","",IFERROR(INDEX(EtapaProb,MATCH($G393,Etapas,0)),0))</f>
        <v/>
      </c>
      <c r="O393" s="21">
        <f>IF($C393="","",IF($P393="Aberto",N($H393)*$N393,0))</f>
        <v/>
      </c>
      <c r="P393" s="18">
        <f>IF($C393="","",IF($G393="Ganho","Ganho",IF($G393="Perdido","Perdido","Aberto")))</f>
        <v/>
      </c>
      <c r="Q393" s="18">
        <f>IF(OR($C393="",$P393&lt;&gt;"Aberto"),"",IF($I393="",Hoje-$B393,Hoje-$I393))</f>
        <v/>
      </c>
      <c r="R393" s="22">
        <f>IF(OR($C393="",$P393&lt;&gt;"Aberto"),"",IF($J393="",IF($Q393&gt;DiasSC,"ATRASADO","Definir data"),IF($J393&lt;Hoje,"ATRASADO",IF($J393=Hoje,"HOJE","Em dia"))))</f>
        <v/>
      </c>
      <c r="S393" s="23">
        <f>IF($R393="","",IF(OR($R393="ATRASADO",$R393="HOJE",$R393="Definir data"),COUNTIF($R$5:$R393,"ATRASADO")+COUNTIF($R$5:$R393,"HOJE")+COUNTIF($R$5:$R393,"Definir data"),""))</f>
        <v/>
      </c>
      <c r="T393" s="18">
        <f>IF($C393="","",IF(OR($B393="",$E393="",$F393="",$G393=""),"Preencher entrada/origem/vendedor/etapa",IF(AND(OR($P393="Ganho",$P393="Perdido"),$K393=""),"Falta data de fechamento",IF(AND($P393="Perdido",$L393=""),"Informe o motivo da perda","OK"))))</f>
        <v/>
      </c>
    </row>
    <row r="394" spans="1:20">
      <c r="A394" s="18">
        <f>IF($C394="","",ROW()-4)</f>
        <v/>
      </c>
      <c r="B394" s="19"/>
      <c r="C394" s="13"/>
      <c r="D394" s="13"/>
      <c r="E394" s="13"/>
      <c r="F394" s="13"/>
      <c r="G394" s="13"/>
      <c r="H394" s="15"/>
      <c r="I394" s="19"/>
      <c r="J394" s="19"/>
      <c r="K394" s="19"/>
      <c r="L394" s="13"/>
      <c r="M394" s="13"/>
      <c r="N394" s="20">
        <f>IF($C394="","",IFERROR(INDEX(EtapaProb,MATCH($G394,Etapas,0)),0))</f>
        <v/>
      </c>
      <c r="O394" s="21">
        <f>IF($C394="","",IF($P394="Aberto",N($H394)*$N394,0))</f>
        <v/>
      </c>
      <c r="P394" s="18">
        <f>IF($C394="","",IF($G394="Ganho","Ganho",IF($G394="Perdido","Perdido","Aberto")))</f>
        <v/>
      </c>
      <c r="Q394" s="18">
        <f>IF(OR($C394="",$P394&lt;&gt;"Aberto"),"",IF($I394="",Hoje-$B394,Hoje-$I394))</f>
        <v/>
      </c>
      <c r="R394" s="22">
        <f>IF(OR($C394="",$P394&lt;&gt;"Aberto"),"",IF($J394="",IF($Q394&gt;DiasSC,"ATRASADO","Definir data"),IF($J394&lt;Hoje,"ATRASADO",IF($J394=Hoje,"HOJE","Em dia"))))</f>
        <v/>
      </c>
      <c r="S394" s="23">
        <f>IF($R394="","",IF(OR($R394="ATRASADO",$R394="HOJE",$R394="Definir data"),COUNTIF($R$5:$R394,"ATRASADO")+COUNTIF($R$5:$R394,"HOJE")+COUNTIF($R$5:$R394,"Definir data"),""))</f>
        <v/>
      </c>
      <c r="T394" s="18">
        <f>IF($C394="","",IF(OR($B394="",$E394="",$F394="",$G394=""),"Preencher entrada/origem/vendedor/etapa",IF(AND(OR($P394="Ganho",$P394="Perdido"),$K394=""),"Falta data de fechamento",IF(AND($P394="Perdido",$L394=""),"Informe o motivo da perda","OK"))))</f>
        <v/>
      </c>
    </row>
    <row r="395" spans="1:20">
      <c r="A395" s="18">
        <f>IF($C395="","",ROW()-4)</f>
        <v/>
      </c>
      <c r="B395" s="19"/>
      <c r="C395" s="13"/>
      <c r="D395" s="13"/>
      <c r="E395" s="13"/>
      <c r="F395" s="13"/>
      <c r="G395" s="13"/>
      <c r="H395" s="15"/>
      <c r="I395" s="19"/>
      <c r="J395" s="19"/>
      <c r="K395" s="19"/>
      <c r="L395" s="13"/>
      <c r="M395" s="13"/>
      <c r="N395" s="20">
        <f>IF($C395="","",IFERROR(INDEX(EtapaProb,MATCH($G395,Etapas,0)),0))</f>
        <v/>
      </c>
      <c r="O395" s="21">
        <f>IF($C395="","",IF($P395="Aberto",N($H395)*$N395,0))</f>
        <v/>
      </c>
      <c r="P395" s="18">
        <f>IF($C395="","",IF($G395="Ganho","Ganho",IF($G395="Perdido","Perdido","Aberto")))</f>
        <v/>
      </c>
      <c r="Q395" s="18">
        <f>IF(OR($C395="",$P395&lt;&gt;"Aberto"),"",IF($I395="",Hoje-$B395,Hoje-$I395))</f>
        <v/>
      </c>
      <c r="R395" s="22">
        <f>IF(OR($C395="",$P395&lt;&gt;"Aberto"),"",IF($J395="",IF($Q395&gt;DiasSC,"ATRASADO","Definir data"),IF($J395&lt;Hoje,"ATRASADO",IF($J395=Hoje,"HOJE","Em dia"))))</f>
        <v/>
      </c>
      <c r="S395" s="23">
        <f>IF($R395="","",IF(OR($R395="ATRASADO",$R395="HOJE",$R395="Definir data"),COUNTIF($R$5:$R395,"ATRASADO")+COUNTIF($R$5:$R395,"HOJE")+COUNTIF($R$5:$R395,"Definir data"),""))</f>
        <v/>
      </c>
      <c r="T395" s="18">
        <f>IF($C395="","",IF(OR($B395="",$E395="",$F395="",$G395=""),"Preencher entrada/origem/vendedor/etapa",IF(AND(OR($P395="Ganho",$P395="Perdido"),$K395=""),"Falta data de fechamento",IF(AND($P395="Perdido",$L395=""),"Informe o motivo da perda","OK"))))</f>
        <v/>
      </c>
    </row>
    <row r="396" spans="1:20">
      <c r="A396" s="18">
        <f>IF($C396="","",ROW()-4)</f>
        <v/>
      </c>
      <c r="B396" s="19"/>
      <c r="C396" s="13"/>
      <c r="D396" s="13"/>
      <c r="E396" s="13"/>
      <c r="F396" s="13"/>
      <c r="G396" s="13"/>
      <c r="H396" s="15"/>
      <c r="I396" s="19"/>
      <c r="J396" s="19"/>
      <c r="K396" s="19"/>
      <c r="L396" s="13"/>
      <c r="M396" s="13"/>
      <c r="N396" s="20">
        <f>IF($C396="","",IFERROR(INDEX(EtapaProb,MATCH($G396,Etapas,0)),0))</f>
        <v/>
      </c>
      <c r="O396" s="21">
        <f>IF($C396="","",IF($P396="Aberto",N($H396)*$N396,0))</f>
        <v/>
      </c>
      <c r="P396" s="18">
        <f>IF($C396="","",IF($G396="Ganho","Ganho",IF($G396="Perdido","Perdido","Aberto")))</f>
        <v/>
      </c>
      <c r="Q396" s="18">
        <f>IF(OR($C396="",$P396&lt;&gt;"Aberto"),"",IF($I396="",Hoje-$B396,Hoje-$I396))</f>
        <v/>
      </c>
      <c r="R396" s="22">
        <f>IF(OR($C396="",$P396&lt;&gt;"Aberto"),"",IF($J396="",IF($Q396&gt;DiasSC,"ATRASADO","Definir data"),IF($J396&lt;Hoje,"ATRASADO",IF($J396=Hoje,"HOJE","Em dia"))))</f>
        <v/>
      </c>
      <c r="S396" s="23">
        <f>IF($R396="","",IF(OR($R396="ATRASADO",$R396="HOJE",$R396="Definir data"),COUNTIF($R$5:$R396,"ATRASADO")+COUNTIF($R$5:$R396,"HOJE")+COUNTIF($R$5:$R396,"Definir data"),""))</f>
        <v/>
      </c>
      <c r="T396" s="18">
        <f>IF($C396="","",IF(OR($B396="",$E396="",$F396="",$G396=""),"Preencher entrada/origem/vendedor/etapa",IF(AND(OR($P396="Ganho",$P396="Perdido"),$K396=""),"Falta data de fechamento",IF(AND($P396="Perdido",$L396=""),"Informe o motivo da perda","OK"))))</f>
        <v/>
      </c>
    </row>
    <row r="397" spans="1:20">
      <c r="A397" s="18">
        <f>IF($C397="","",ROW()-4)</f>
        <v/>
      </c>
      <c r="B397" s="19"/>
      <c r="C397" s="13"/>
      <c r="D397" s="13"/>
      <c r="E397" s="13"/>
      <c r="F397" s="13"/>
      <c r="G397" s="13"/>
      <c r="H397" s="15"/>
      <c r="I397" s="19"/>
      <c r="J397" s="19"/>
      <c r="K397" s="19"/>
      <c r="L397" s="13"/>
      <c r="M397" s="13"/>
      <c r="N397" s="20">
        <f>IF($C397="","",IFERROR(INDEX(EtapaProb,MATCH($G397,Etapas,0)),0))</f>
        <v/>
      </c>
      <c r="O397" s="21">
        <f>IF($C397="","",IF($P397="Aberto",N($H397)*$N397,0))</f>
        <v/>
      </c>
      <c r="P397" s="18">
        <f>IF($C397="","",IF($G397="Ganho","Ganho",IF($G397="Perdido","Perdido","Aberto")))</f>
        <v/>
      </c>
      <c r="Q397" s="18">
        <f>IF(OR($C397="",$P397&lt;&gt;"Aberto"),"",IF($I397="",Hoje-$B397,Hoje-$I397))</f>
        <v/>
      </c>
      <c r="R397" s="22">
        <f>IF(OR($C397="",$P397&lt;&gt;"Aberto"),"",IF($J397="",IF($Q397&gt;DiasSC,"ATRASADO","Definir data"),IF($J397&lt;Hoje,"ATRASADO",IF($J397=Hoje,"HOJE","Em dia"))))</f>
        <v/>
      </c>
      <c r="S397" s="23">
        <f>IF($R397="","",IF(OR($R397="ATRASADO",$R397="HOJE",$R397="Definir data"),COUNTIF($R$5:$R397,"ATRASADO")+COUNTIF($R$5:$R397,"HOJE")+COUNTIF($R$5:$R397,"Definir data"),""))</f>
        <v/>
      </c>
      <c r="T397" s="18">
        <f>IF($C397="","",IF(OR($B397="",$E397="",$F397="",$G397=""),"Preencher entrada/origem/vendedor/etapa",IF(AND(OR($P397="Ganho",$P397="Perdido"),$K397=""),"Falta data de fechamento",IF(AND($P397="Perdido",$L397=""),"Informe o motivo da perda","OK"))))</f>
        <v/>
      </c>
    </row>
    <row r="398" spans="1:20">
      <c r="A398" s="18">
        <f>IF($C398="","",ROW()-4)</f>
        <v/>
      </c>
      <c r="B398" s="19"/>
      <c r="C398" s="13"/>
      <c r="D398" s="13"/>
      <c r="E398" s="13"/>
      <c r="F398" s="13"/>
      <c r="G398" s="13"/>
      <c r="H398" s="15"/>
      <c r="I398" s="19"/>
      <c r="J398" s="19"/>
      <c r="K398" s="19"/>
      <c r="L398" s="13"/>
      <c r="M398" s="13"/>
      <c r="N398" s="20">
        <f>IF($C398="","",IFERROR(INDEX(EtapaProb,MATCH($G398,Etapas,0)),0))</f>
        <v/>
      </c>
      <c r="O398" s="21">
        <f>IF($C398="","",IF($P398="Aberto",N($H398)*$N398,0))</f>
        <v/>
      </c>
      <c r="P398" s="18">
        <f>IF($C398="","",IF($G398="Ganho","Ganho",IF($G398="Perdido","Perdido","Aberto")))</f>
        <v/>
      </c>
      <c r="Q398" s="18">
        <f>IF(OR($C398="",$P398&lt;&gt;"Aberto"),"",IF($I398="",Hoje-$B398,Hoje-$I398))</f>
        <v/>
      </c>
      <c r="R398" s="22">
        <f>IF(OR($C398="",$P398&lt;&gt;"Aberto"),"",IF($J398="",IF($Q398&gt;DiasSC,"ATRASADO","Definir data"),IF($J398&lt;Hoje,"ATRASADO",IF($J398=Hoje,"HOJE","Em dia"))))</f>
        <v/>
      </c>
      <c r="S398" s="23">
        <f>IF($R398="","",IF(OR($R398="ATRASADO",$R398="HOJE",$R398="Definir data"),COUNTIF($R$5:$R398,"ATRASADO")+COUNTIF($R$5:$R398,"HOJE")+COUNTIF($R$5:$R398,"Definir data"),""))</f>
        <v/>
      </c>
      <c r="T398" s="18">
        <f>IF($C398="","",IF(OR($B398="",$E398="",$F398="",$G398=""),"Preencher entrada/origem/vendedor/etapa",IF(AND(OR($P398="Ganho",$P398="Perdido"),$K398=""),"Falta data de fechamento",IF(AND($P398="Perdido",$L398=""),"Informe o motivo da perda","OK"))))</f>
        <v/>
      </c>
    </row>
    <row r="399" spans="1:20">
      <c r="A399" s="18">
        <f>IF($C399="","",ROW()-4)</f>
        <v/>
      </c>
      <c r="B399" s="19"/>
      <c r="C399" s="13"/>
      <c r="D399" s="13"/>
      <c r="E399" s="13"/>
      <c r="F399" s="13"/>
      <c r="G399" s="13"/>
      <c r="H399" s="15"/>
      <c r="I399" s="19"/>
      <c r="J399" s="19"/>
      <c r="K399" s="19"/>
      <c r="L399" s="13"/>
      <c r="M399" s="13"/>
      <c r="N399" s="20">
        <f>IF($C399="","",IFERROR(INDEX(EtapaProb,MATCH($G399,Etapas,0)),0))</f>
        <v/>
      </c>
      <c r="O399" s="21">
        <f>IF($C399="","",IF($P399="Aberto",N($H399)*$N399,0))</f>
        <v/>
      </c>
      <c r="P399" s="18">
        <f>IF($C399="","",IF($G399="Ganho","Ganho",IF($G399="Perdido","Perdido","Aberto")))</f>
        <v/>
      </c>
      <c r="Q399" s="18">
        <f>IF(OR($C399="",$P399&lt;&gt;"Aberto"),"",IF($I399="",Hoje-$B399,Hoje-$I399))</f>
        <v/>
      </c>
      <c r="R399" s="22">
        <f>IF(OR($C399="",$P399&lt;&gt;"Aberto"),"",IF($J399="",IF($Q399&gt;DiasSC,"ATRASADO","Definir data"),IF($J399&lt;Hoje,"ATRASADO",IF($J399=Hoje,"HOJE","Em dia"))))</f>
        <v/>
      </c>
      <c r="S399" s="23">
        <f>IF($R399="","",IF(OR($R399="ATRASADO",$R399="HOJE",$R399="Definir data"),COUNTIF($R$5:$R399,"ATRASADO")+COUNTIF($R$5:$R399,"HOJE")+COUNTIF($R$5:$R399,"Definir data"),""))</f>
        <v/>
      </c>
      <c r="T399" s="18">
        <f>IF($C399="","",IF(OR($B399="",$E399="",$F399="",$G399=""),"Preencher entrada/origem/vendedor/etapa",IF(AND(OR($P399="Ganho",$P399="Perdido"),$K399=""),"Falta data de fechamento",IF(AND($P399="Perdido",$L399=""),"Informe o motivo da perda","OK"))))</f>
        <v/>
      </c>
    </row>
    <row r="400" spans="1:20">
      <c r="A400" s="18">
        <f>IF($C400="","",ROW()-4)</f>
        <v/>
      </c>
      <c r="B400" s="19"/>
      <c r="C400" s="13"/>
      <c r="D400" s="13"/>
      <c r="E400" s="13"/>
      <c r="F400" s="13"/>
      <c r="G400" s="13"/>
      <c r="H400" s="15"/>
      <c r="I400" s="19"/>
      <c r="J400" s="19"/>
      <c r="K400" s="19"/>
      <c r="L400" s="13"/>
      <c r="M400" s="13"/>
      <c r="N400" s="20">
        <f>IF($C400="","",IFERROR(INDEX(EtapaProb,MATCH($G400,Etapas,0)),0))</f>
        <v/>
      </c>
      <c r="O400" s="21">
        <f>IF($C400="","",IF($P400="Aberto",N($H400)*$N400,0))</f>
        <v/>
      </c>
      <c r="P400" s="18">
        <f>IF($C400="","",IF($G400="Ganho","Ganho",IF($G400="Perdido","Perdido","Aberto")))</f>
        <v/>
      </c>
      <c r="Q400" s="18">
        <f>IF(OR($C400="",$P400&lt;&gt;"Aberto"),"",IF($I400="",Hoje-$B400,Hoje-$I400))</f>
        <v/>
      </c>
      <c r="R400" s="22">
        <f>IF(OR($C400="",$P400&lt;&gt;"Aberto"),"",IF($J400="",IF($Q400&gt;DiasSC,"ATRASADO","Definir data"),IF($J400&lt;Hoje,"ATRASADO",IF($J400=Hoje,"HOJE","Em dia"))))</f>
        <v/>
      </c>
      <c r="S400" s="23">
        <f>IF($R400="","",IF(OR($R400="ATRASADO",$R400="HOJE",$R400="Definir data"),COUNTIF($R$5:$R400,"ATRASADO")+COUNTIF($R$5:$R400,"HOJE")+COUNTIF($R$5:$R400,"Definir data"),""))</f>
        <v/>
      </c>
      <c r="T400" s="18">
        <f>IF($C400="","",IF(OR($B400="",$E400="",$F400="",$G400=""),"Preencher entrada/origem/vendedor/etapa",IF(AND(OR($P400="Ganho",$P400="Perdido"),$K400=""),"Falta data de fechamento",IF(AND($P400="Perdido",$L400=""),"Informe o motivo da perda","OK"))))</f>
        <v/>
      </c>
    </row>
    <row r="401" spans="1:20">
      <c r="A401" s="18">
        <f>IF($C401="","",ROW()-4)</f>
        <v/>
      </c>
      <c r="B401" s="19"/>
      <c r="C401" s="13"/>
      <c r="D401" s="13"/>
      <c r="E401" s="13"/>
      <c r="F401" s="13"/>
      <c r="G401" s="13"/>
      <c r="H401" s="15"/>
      <c r="I401" s="19"/>
      <c r="J401" s="19"/>
      <c r="K401" s="19"/>
      <c r="L401" s="13"/>
      <c r="M401" s="13"/>
      <c r="N401" s="20">
        <f>IF($C401="","",IFERROR(INDEX(EtapaProb,MATCH($G401,Etapas,0)),0))</f>
        <v/>
      </c>
      <c r="O401" s="21">
        <f>IF($C401="","",IF($P401="Aberto",N($H401)*$N401,0))</f>
        <v/>
      </c>
      <c r="P401" s="18">
        <f>IF($C401="","",IF($G401="Ganho","Ganho",IF($G401="Perdido","Perdido","Aberto")))</f>
        <v/>
      </c>
      <c r="Q401" s="18">
        <f>IF(OR($C401="",$P401&lt;&gt;"Aberto"),"",IF($I401="",Hoje-$B401,Hoje-$I401))</f>
        <v/>
      </c>
      <c r="R401" s="22">
        <f>IF(OR($C401="",$P401&lt;&gt;"Aberto"),"",IF($J401="",IF($Q401&gt;DiasSC,"ATRASADO","Definir data"),IF($J401&lt;Hoje,"ATRASADO",IF($J401=Hoje,"HOJE","Em dia"))))</f>
        <v/>
      </c>
      <c r="S401" s="23">
        <f>IF($R401="","",IF(OR($R401="ATRASADO",$R401="HOJE",$R401="Definir data"),COUNTIF($R$5:$R401,"ATRASADO")+COUNTIF($R$5:$R401,"HOJE")+COUNTIF($R$5:$R401,"Definir data"),""))</f>
        <v/>
      </c>
      <c r="T401" s="18">
        <f>IF($C401="","",IF(OR($B401="",$E401="",$F401="",$G401=""),"Preencher entrada/origem/vendedor/etapa",IF(AND(OR($P401="Ganho",$P401="Perdido"),$K401=""),"Falta data de fechamento",IF(AND($P401="Perdido",$L401=""),"Informe o motivo da perda","OK"))))</f>
        <v/>
      </c>
    </row>
    <row r="402" spans="1:20">
      <c r="A402" s="18">
        <f>IF($C402="","",ROW()-4)</f>
        <v/>
      </c>
      <c r="B402" s="19"/>
      <c r="C402" s="13"/>
      <c r="D402" s="13"/>
      <c r="E402" s="13"/>
      <c r="F402" s="13"/>
      <c r="G402" s="13"/>
      <c r="H402" s="15"/>
      <c r="I402" s="19"/>
      <c r="J402" s="19"/>
      <c r="K402" s="19"/>
      <c r="L402" s="13"/>
      <c r="M402" s="13"/>
      <c r="N402" s="20">
        <f>IF($C402="","",IFERROR(INDEX(EtapaProb,MATCH($G402,Etapas,0)),0))</f>
        <v/>
      </c>
      <c r="O402" s="21">
        <f>IF($C402="","",IF($P402="Aberto",N($H402)*$N402,0))</f>
        <v/>
      </c>
      <c r="P402" s="18">
        <f>IF($C402="","",IF($G402="Ganho","Ganho",IF($G402="Perdido","Perdido","Aberto")))</f>
        <v/>
      </c>
      <c r="Q402" s="18">
        <f>IF(OR($C402="",$P402&lt;&gt;"Aberto"),"",IF($I402="",Hoje-$B402,Hoje-$I402))</f>
        <v/>
      </c>
      <c r="R402" s="22">
        <f>IF(OR($C402="",$P402&lt;&gt;"Aberto"),"",IF($J402="",IF($Q402&gt;DiasSC,"ATRASADO","Definir data"),IF($J402&lt;Hoje,"ATRASADO",IF($J402=Hoje,"HOJE","Em dia"))))</f>
        <v/>
      </c>
      <c r="S402" s="23">
        <f>IF($R402="","",IF(OR($R402="ATRASADO",$R402="HOJE",$R402="Definir data"),COUNTIF($R$5:$R402,"ATRASADO")+COUNTIF($R$5:$R402,"HOJE")+COUNTIF($R$5:$R402,"Definir data"),""))</f>
        <v/>
      </c>
      <c r="T402" s="18">
        <f>IF($C402="","",IF(OR($B402="",$E402="",$F402="",$G402=""),"Preencher entrada/origem/vendedor/etapa",IF(AND(OR($P402="Ganho",$P402="Perdido"),$K402=""),"Falta data de fechamento",IF(AND($P402="Perdido",$L402=""),"Informe o motivo da perda","OK"))))</f>
        <v/>
      </c>
    </row>
    <row r="403" spans="1:20">
      <c r="A403" s="18">
        <f>IF($C403="","",ROW()-4)</f>
        <v/>
      </c>
      <c r="B403" s="19"/>
      <c r="C403" s="13"/>
      <c r="D403" s="13"/>
      <c r="E403" s="13"/>
      <c r="F403" s="13"/>
      <c r="G403" s="13"/>
      <c r="H403" s="15"/>
      <c r="I403" s="19"/>
      <c r="J403" s="19"/>
      <c r="K403" s="19"/>
      <c r="L403" s="13"/>
      <c r="M403" s="13"/>
      <c r="N403" s="20">
        <f>IF($C403="","",IFERROR(INDEX(EtapaProb,MATCH($G403,Etapas,0)),0))</f>
        <v/>
      </c>
      <c r="O403" s="21">
        <f>IF($C403="","",IF($P403="Aberto",N($H403)*$N403,0))</f>
        <v/>
      </c>
      <c r="P403" s="18">
        <f>IF($C403="","",IF($G403="Ganho","Ganho",IF($G403="Perdido","Perdido","Aberto")))</f>
        <v/>
      </c>
      <c r="Q403" s="18">
        <f>IF(OR($C403="",$P403&lt;&gt;"Aberto"),"",IF($I403="",Hoje-$B403,Hoje-$I403))</f>
        <v/>
      </c>
      <c r="R403" s="22">
        <f>IF(OR($C403="",$P403&lt;&gt;"Aberto"),"",IF($J403="",IF($Q403&gt;DiasSC,"ATRASADO","Definir data"),IF($J403&lt;Hoje,"ATRASADO",IF($J403=Hoje,"HOJE","Em dia"))))</f>
        <v/>
      </c>
      <c r="S403" s="23">
        <f>IF($R403="","",IF(OR($R403="ATRASADO",$R403="HOJE",$R403="Definir data"),COUNTIF($R$5:$R403,"ATRASADO")+COUNTIF($R$5:$R403,"HOJE")+COUNTIF($R$5:$R403,"Definir data"),""))</f>
        <v/>
      </c>
      <c r="T403" s="18">
        <f>IF($C403="","",IF(OR($B403="",$E403="",$F403="",$G403=""),"Preencher entrada/origem/vendedor/etapa",IF(AND(OR($P403="Ganho",$P403="Perdido"),$K403=""),"Falta data de fechamento",IF(AND($P403="Perdido",$L403=""),"Informe o motivo da perda","OK"))))</f>
        <v/>
      </c>
    </row>
    <row r="404" spans="1:20">
      <c r="A404" s="18">
        <f>IF($C404="","",ROW()-4)</f>
        <v/>
      </c>
      <c r="B404" s="19"/>
      <c r="C404" s="13"/>
      <c r="D404" s="13"/>
      <c r="E404" s="13"/>
      <c r="F404" s="13"/>
      <c r="G404" s="13"/>
      <c r="H404" s="15"/>
      <c r="I404" s="19"/>
      <c r="J404" s="19"/>
      <c r="K404" s="19"/>
      <c r="L404" s="13"/>
      <c r="M404" s="13"/>
      <c r="N404" s="20">
        <f>IF($C404="","",IFERROR(INDEX(EtapaProb,MATCH($G404,Etapas,0)),0))</f>
        <v/>
      </c>
      <c r="O404" s="21">
        <f>IF($C404="","",IF($P404="Aberto",N($H404)*$N404,0))</f>
        <v/>
      </c>
      <c r="P404" s="18">
        <f>IF($C404="","",IF($G404="Ganho","Ganho",IF($G404="Perdido","Perdido","Aberto")))</f>
        <v/>
      </c>
      <c r="Q404" s="18">
        <f>IF(OR($C404="",$P404&lt;&gt;"Aberto"),"",IF($I404="",Hoje-$B404,Hoje-$I404))</f>
        <v/>
      </c>
      <c r="R404" s="22">
        <f>IF(OR($C404="",$P404&lt;&gt;"Aberto"),"",IF($J404="",IF($Q404&gt;DiasSC,"ATRASADO","Definir data"),IF($J404&lt;Hoje,"ATRASADO",IF($J404=Hoje,"HOJE","Em dia"))))</f>
        <v/>
      </c>
      <c r="S404" s="23">
        <f>IF($R404="","",IF(OR($R404="ATRASADO",$R404="HOJE",$R404="Definir data"),COUNTIF($R$5:$R404,"ATRASADO")+COUNTIF($R$5:$R404,"HOJE")+COUNTIF($R$5:$R404,"Definir data"),""))</f>
        <v/>
      </c>
      <c r="T404" s="18">
        <f>IF($C404="","",IF(OR($B404="",$E404="",$F404="",$G404=""),"Preencher entrada/origem/vendedor/etapa",IF(AND(OR($P404="Ganho",$P404="Perdido"),$K404=""),"Falta data de fechamento",IF(AND($P404="Perdido",$L404=""),"Informe o motivo da perda","OK"))))</f>
        <v/>
      </c>
    </row>
    <row r="405" spans="1:20">
      <c r="A405" s="18">
        <f>IF($C405="","",ROW()-4)</f>
        <v/>
      </c>
      <c r="B405" s="19"/>
      <c r="C405" s="13"/>
      <c r="D405" s="13"/>
      <c r="E405" s="13"/>
      <c r="F405" s="13"/>
      <c r="G405" s="13"/>
      <c r="H405" s="15"/>
      <c r="I405" s="19"/>
      <c r="J405" s="19"/>
      <c r="K405" s="19"/>
      <c r="L405" s="13"/>
      <c r="M405" s="13"/>
      <c r="N405" s="20">
        <f>IF($C405="","",IFERROR(INDEX(EtapaProb,MATCH($G405,Etapas,0)),0))</f>
        <v/>
      </c>
      <c r="O405" s="21">
        <f>IF($C405="","",IF($P405="Aberto",N($H405)*$N405,0))</f>
        <v/>
      </c>
      <c r="P405" s="18">
        <f>IF($C405="","",IF($G405="Ganho","Ganho",IF($G405="Perdido","Perdido","Aberto")))</f>
        <v/>
      </c>
      <c r="Q405" s="18">
        <f>IF(OR($C405="",$P405&lt;&gt;"Aberto"),"",IF($I405="",Hoje-$B405,Hoje-$I405))</f>
        <v/>
      </c>
      <c r="R405" s="22">
        <f>IF(OR($C405="",$P405&lt;&gt;"Aberto"),"",IF($J405="",IF($Q405&gt;DiasSC,"ATRASADO","Definir data"),IF($J405&lt;Hoje,"ATRASADO",IF($J405=Hoje,"HOJE","Em dia"))))</f>
        <v/>
      </c>
      <c r="S405" s="23">
        <f>IF($R405="","",IF(OR($R405="ATRASADO",$R405="HOJE",$R405="Definir data"),COUNTIF($R$5:$R405,"ATRASADO")+COUNTIF($R$5:$R405,"HOJE")+COUNTIF($R$5:$R405,"Definir data"),""))</f>
        <v/>
      </c>
      <c r="T405" s="18">
        <f>IF($C405="","",IF(OR($B405="",$E405="",$F405="",$G405=""),"Preencher entrada/origem/vendedor/etapa",IF(AND(OR($P405="Ganho",$P405="Perdido"),$K405=""),"Falta data de fechamento",IF(AND($P405="Perdido",$L405=""),"Informe o motivo da perda","OK"))))</f>
        <v/>
      </c>
    </row>
    <row r="406" spans="1:20">
      <c r="A406" s="18">
        <f>IF($C406="","",ROW()-4)</f>
        <v/>
      </c>
      <c r="B406" s="19"/>
      <c r="C406" s="13"/>
      <c r="D406" s="13"/>
      <c r="E406" s="13"/>
      <c r="F406" s="13"/>
      <c r="G406" s="13"/>
      <c r="H406" s="15"/>
      <c r="I406" s="19"/>
      <c r="J406" s="19"/>
      <c r="K406" s="19"/>
      <c r="L406" s="13"/>
      <c r="M406" s="13"/>
      <c r="N406" s="20">
        <f>IF($C406="","",IFERROR(INDEX(EtapaProb,MATCH($G406,Etapas,0)),0))</f>
        <v/>
      </c>
      <c r="O406" s="21">
        <f>IF($C406="","",IF($P406="Aberto",N($H406)*$N406,0))</f>
        <v/>
      </c>
      <c r="P406" s="18">
        <f>IF($C406="","",IF($G406="Ganho","Ganho",IF($G406="Perdido","Perdido","Aberto")))</f>
        <v/>
      </c>
      <c r="Q406" s="18">
        <f>IF(OR($C406="",$P406&lt;&gt;"Aberto"),"",IF($I406="",Hoje-$B406,Hoje-$I406))</f>
        <v/>
      </c>
      <c r="R406" s="22">
        <f>IF(OR($C406="",$P406&lt;&gt;"Aberto"),"",IF($J406="",IF($Q406&gt;DiasSC,"ATRASADO","Definir data"),IF($J406&lt;Hoje,"ATRASADO",IF($J406=Hoje,"HOJE","Em dia"))))</f>
        <v/>
      </c>
      <c r="S406" s="23">
        <f>IF($R406="","",IF(OR($R406="ATRASADO",$R406="HOJE",$R406="Definir data"),COUNTIF($R$5:$R406,"ATRASADO")+COUNTIF($R$5:$R406,"HOJE")+COUNTIF($R$5:$R406,"Definir data"),""))</f>
        <v/>
      </c>
      <c r="T406" s="18">
        <f>IF($C406="","",IF(OR($B406="",$E406="",$F406="",$G406=""),"Preencher entrada/origem/vendedor/etapa",IF(AND(OR($P406="Ganho",$P406="Perdido"),$K406=""),"Falta data de fechamento",IF(AND($P406="Perdido",$L406=""),"Informe o motivo da perda","OK"))))</f>
        <v/>
      </c>
    </row>
    <row r="407" spans="1:20">
      <c r="A407" s="18">
        <f>IF($C407="","",ROW()-4)</f>
        <v/>
      </c>
      <c r="B407" s="19"/>
      <c r="C407" s="13"/>
      <c r="D407" s="13"/>
      <c r="E407" s="13"/>
      <c r="F407" s="13"/>
      <c r="G407" s="13"/>
      <c r="H407" s="15"/>
      <c r="I407" s="19"/>
      <c r="J407" s="19"/>
      <c r="K407" s="19"/>
      <c r="L407" s="13"/>
      <c r="M407" s="13"/>
      <c r="N407" s="20">
        <f>IF($C407="","",IFERROR(INDEX(EtapaProb,MATCH($G407,Etapas,0)),0))</f>
        <v/>
      </c>
      <c r="O407" s="21">
        <f>IF($C407="","",IF($P407="Aberto",N($H407)*$N407,0))</f>
        <v/>
      </c>
      <c r="P407" s="18">
        <f>IF($C407="","",IF($G407="Ganho","Ganho",IF($G407="Perdido","Perdido","Aberto")))</f>
        <v/>
      </c>
      <c r="Q407" s="18">
        <f>IF(OR($C407="",$P407&lt;&gt;"Aberto"),"",IF($I407="",Hoje-$B407,Hoje-$I407))</f>
        <v/>
      </c>
      <c r="R407" s="22">
        <f>IF(OR($C407="",$P407&lt;&gt;"Aberto"),"",IF($J407="",IF($Q407&gt;DiasSC,"ATRASADO","Definir data"),IF($J407&lt;Hoje,"ATRASADO",IF($J407=Hoje,"HOJE","Em dia"))))</f>
        <v/>
      </c>
      <c r="S407" s="23">
        <f>IF($R407="","",IF(OR($R407="ATRASADO",$R407="HOJE",$R407="Definir data"),COUNTIF($R$5:$R407,"ATRASADO")+COUNTIF($R$5:$R407,"HOJE")+COUNTIF($R$5:$R407,"Definir data"),""))</f>
        <v/>
      </c>
      <c r="T407" s="18">
        <f>IF($C407="","",IF(OR($B407="",$E407="",$F407="",$G407=""),"Preencher entrada/origem/vendedor/etapa",IF(AND(OR($P407="Ganho",$P407="Perdido"),$K407=""),"Falta data de fechamento",IF(AND($P407="Perdido",$L407=""),"Informe o motivo da perda","OK"))))</f>
        <v/>
      </c>
    </row>
    <row r="408" spans="1:20">
      <c r="A408" s="18">
        <f>IF($C408="","",ROW()-4)</f>
        <v/>
      </c>
      <c r="B408" s="19"/>
      <c r="C408" s="13"/>
      <c r="D408" s="13"/>
      <c r="E408" s="13"/>
      <c r="F408" s="13"/>
      <c r="G408" s="13"/>
      <c r="H408" s="15"/>
      <c r="I408" s="19"/>
      <c r="J408" s="19"/>
      <c r="K408" s="19"/>
      <c r="L408" s="13"/>
      <c r="M408" s="13"/>
      <c r="N408" s="20">
        <f>IF($C408="","",IFERROR(INDEX(EtapaProb,MATCH($G408,Etapas,0)),0))</f>
        <v/>
      </c>
      <c r="O408" s="21">
        <f>IF($C408="","",IF($P408="Aberto",N($H408)*$N408,0))</f>
        <v/>
      </c>
      <c r="P408" s="18">
        <f>IF($C408="","",IF($G408="Ganho","Ganho",IF($G408="Perdido","Perdido","Aberto")))</f>
        <v/>
      </c>
      <c r="Q408" s="18">
        <f>IF(OR($C408="",$P408&lt;&gt;"Aberto"),"",IF($I408="",Hoje-$B408,Hoje-$I408))</f>
        <v/>
      </c>
      <c r="R408" s="22">
        <f>IF(OR($C408="",$P408&lt;&gt;"Aberto"),"",IF($J408="",IF($Q408&gt;DiasSC,"ATRASADO","Definir data"),IF($J408&lt;Hoje,"ATRASADO",IF($J408=Hoje,"HOJE","Em dia"))))</f>
        <v/>
      </c>
      <c r="S408" s="23">
        <f>IF($R408="","",IF(OR($R408="ATRASADO",$R408="HOJE",$R408="Definir data"),COUNTIF($R$5:$R408,"ATRASADO")+COUNTIF($R$5:$R408,"HOJE")+COUNTIF($R$5:$R408,"Definir data"),""))</f>
        <v/>
      </c>
      <c r="T408" s="18">
        <f>IF($C408="","",IF(OR($B408="",$E408="",$F408="",$G408=""),"Preencher entrada/origem/vendedor/etapa",IF(AND(OR($P408="Ganho",$P408="Perdido"),$K408=""),"Falta data de fechamento",IF(AND($P408="Perdido",$L408=""),"Informe o motivo da perda","OK"))))</f>
        <v/>
      </c>
    </row>
    <row r="409" spans="1:20">
      <c r="A409" s="18">
        <f>IF($C409="","",ROW()-4)</f>
        <v/>
      </c>
      <c r="B409" s="19"/>
      <c r="C409" s="13"/>
      <c r="D409" s="13"/>
      <c r="E409" s="13"/>
      <c r="F409" s="13"/>
      <c r="G409" s="13"/>
      <c r="H409" s="15"/>
      <c r="I409" s="19"/>
      <c r="J409" s="19"/>
      <c r="K409" s="19"/>
      <c r="L409" s="13"/>
      <c r="M409" s="13"/>
      <c r="N409" s="20">
        <f>IF($C409="","",IFERROR(INDEX(EtapaProb,MATCH($G409,Etapas,0)),0))</f>
        <v/>
      </c>
      <c r="O409" s="21">
        <f>IF($C409="","",IF($P409="Aberto",N($H409)*$N409,0))</f>
        <v/>
      </c>
      <c r="P409" s="18">
        <f>IF($C409="","",IF($G409="Ganho","Ganho",IF($G409="Perdido","Perdido","Aberto")))</f>
        <v/>
      </c>
      <c r="Q409" s="18">
        <f>IF(OR($C409="",$P409&lt;&gt;"Aberto"),"",IF($I409="",Hoje-$B409,Hoje-$I409))</f>
        <v/>
      </c>
      <c r="R409" s="22">
        <f>IF(OR($C409="",$P409&lt;&gt;"Aberto"),"",IF($J409="",IF($Q409&gt;DiasSC,"ATRASADO","Definir data"),IF($J409&lt;Hoje,"ATRASADO",IF($J409=Hoje,"HOJE","Em dia"))))</f>
        <v/>
      </c>
      <c r="S409" s="23">
        <f>IF($R409="","",IF(OR($R409="ATRASADO",$R409="HOJE",$R409="Definir data"),COUNTIF($R$5:$R409,"ATRASADO")+COUNTIF($R$5:$R409,"HOJE")+COUNTIF($R$5:$R409,"Definir data"),""))</f>
        <v/>
      </c>
      <c r="T409" s="18">
        <f>IF($C409="","",IF(OR($B409="",$E409="",$F409="",$G409=""),"Preencher entrada/origem/vendedor/etapa",IF(AND(OR($P409="Ganho",$P409="Perdido"),$K409=""),"Falta data de fechamento",IF(AND($P409="Perdido",$L409=""),"Informe o motivo da perda","OK"))))</f>
        <v/>
      </c>
    </row>
    <row r="410" spans="1:20">
      <c r="A410" s="18">
        <f>IF($C410="","",ROW()-4)</f>
        <v/>
      </c>
      <c r="B410" s="19"/>
      <c r="C410" s="13"/>
      <c r="D410" s="13"/>
      <c r="E410" s="13"/>
      <c r="F410" s="13"/>
      <c r="G410" s="13"/>
      <c r="H410" s="15"/>
      <c r="I410" s="19"/>
      <c r="J410" s="19"/>
      <c r="K410" s="19"/>
      <c r="L410" s="13"/>
      <c r="M410" s="13"/>
      <c r="N410" s="20">
        <f>IF($C410="","",IFERROR(INDEX(EtapaProb,MATCH($G410,Etapas,0)),0))</f>
        <v/>
      </c>
      <c r="O410" s="21">
        <f>IF($C410="","",IF($P410="Aberto",N($H410)*$N410,0))</f>
        <v/>
      </c>
      <c r="P410" s="18">
        <f>IF($C410="","",IF($G410="Ganho","Ganho",IF($G410="Perdido","Perdido","Aberto")))</f>
        <v/>
      </c>
      <c r="Q410" s="18">
        <f>IF(OR($C410="",$P410&lt;&gt;"Aberto"),"",IF($I410="",Hoje-$B410,Hoje-$I410))</f>
        <v/>
      </c>
      <c r="R410" s="22">
        <f>IF(OR($C410="",$P410&lt;&gt;"Aberto"),"",IF($J410="",IF($Q410&gt;DiasSC,"ATRASADO","Definir data"),IF($J410&lt;Hoje,"ATRASADO",IF($J410=Hoje,"HOJE","Em dia"))))</f>
        <v/>
      </c>
      <c r="S410" s="23">
        <f>IF($R410="","",IF(OR($R410="ATRASADO",$R410="HOJE",$R410="Definir data"),COUNTIF($R$5:$R410,"ATRASADO")+COUNTIF($R$5:$R410,"HOJE")+COUNTIF($R$5:$R410,"Definir data"),""))</f>
        <v/>
      </c>
      <c r="T410" s="18">
        <f>IF($C410="","",IF(OR($B410="",$E410="",$F410="",$G410=""),"Preencher entrada/origem/vendedor/etapa",IF(AND(OR($P410="Ganho",$P410="Perdido"),$K410=""),"Falta data de fechamento",IF(AND($P410="Perdido",$L410=""),"Informe o motivo da perda","OK"))))</f>
        <v/>
      </c>
    </row>
    <row r="411" spans="1:20">
      <c r="A411" s="18">
        <f>IF($C411="","",ROW()-4)</f>
        <v/>
      </c>
      <c r="B411" s="19"/>
      <c r="C411" s="13"/>
      <c r="D411" s="13"/>
      <c r="E411" s="13"/>
      <c r="F411" s="13"/>
      <c r="G411" s="13"/>
      <c r="H411" s="15"/>
      <c r="I411" s="19"/>
      <c r="J411" s="19"/>
      <c r="K411" s="19"/>
      <c r="L411" s="13"/>
      <c r="M411" s="13"/>
      <c r="N411" s="20">
        <f>IF($C411="","",IFERROR(INDEX(EtapaProb,MATCH($G411,Etapas,0)),0))</f>
        <v/>
      </c>
      <c r="O411" s="21">
        <f>IF($C411="","",IF($P411="Aberto",N($H411)*$N411,0))</f>
        <v/>
      </c>
      <c r="P411" s="18">
        <f>IF($C411="","",IF($G411="Ganho","Ganho",IF($G411="Perdido","Perdido","Aberto")))</f>
        <v/>
      </c>
      <c r="Q411" s="18">
        <f>IF(OR($C411="",$P411&lt;&gt;"Aberto"),"",IF($I411="",Hoje-$B411,Hoje-$I411))</f>
        <v/>
      </c>
      <c r="R411" s="22">
        <f>IF(OR($C411="",$P411&lt;&gt;"Aberto"),"",IF($J411="",IF($Q411&gt;DiasSC,"ATRASADO","Definir data"),IF($J411&lt;Hoje,"ATRASADO",IF($J411=Hoje,"HOJE","Em dia"))))</f>
        <v/>
      </c>
      <c r="S411" s="23">
        <f>IF($R411="","",IF(OR($R411="ATRASADO",$R411="HOJE",$R411="Definir data"),COUNTIF($R$5:$R411,"ATRASADO")+COUNTIF($R$5:$R411,"HOJE")+COUNTIF($R$5:$R411,"Definir data"),""))</f>
        <v/>
      </c>
      <c r="T411" s="18">
        <f>IF($C411="","",IF(OR($B411="",$E411="",$F411="",$G411=""),"Preencher entrada/origem/vendedor/etapa",IF(AND(OR($P411="Ganho",$P411="Perdido"),$K411=""),"Falta data de fechamento",IF(AND($P411="Perdido",$L411=""),"Informe o motivo da perda","OK"))))</f>
        <v/>
      </c>
    </row>
    <row r="412" spans="1:20">
      <c r="A412" s="18">
        <f>IF($C412="","",ROW()-4)</f>
        <v/>
      </c>
      <c r="B412" s="19"/>
      <c r="C412" s="13"/>
      <c r="D412" s="13"/>
      <c r="E412" s="13"/>
      <c r="F412" s="13"/>
      <c r="G412" s="13"/>
      <c r="H412" s="15"/>
      <c r="I412" s="19"/>
      <c r="J412" s="19"/>
      <c r="K412" s="19"/>
      <c r="L412" s="13"/>
      <c r="M412" s="13"/>
      <c r="N412" s="20">
        <f>IF($C412="","",IFERROR(INDEX(EtapaProb,MATCH($G412,Etapas,0)),0))</f>
        <v/>
      </c>
      <c r="O412" s="21">
        <f>IF($C412="","",IF($P412="Aberto",N($H412)*$N412,0))</f>
        <v/>
      </c>
      <c r="P412" s="18">
        <f>IF($C412="","",IF($G412="Ganho","Ganho",IF($G412="Perdido","Perdido","Aberto")))</f>
        <v/>
      </c>
      <c r="Q412" s="18">
        <f>IF(OR($C412="",$P412&lt;&gt;"Aberto"),"",IF($I412="",Hoje-$B412,Hoje-$I412))</f>
        <v/>
      </c>
      <c r="R412" s="22">
        <f>IF(OR($C412="",$P412&lt;&gt;"Aberto"),"",IF($J412="",IF($Q412&gt;DiasSC,"ATRASADO","Definir data"),IF($J412&lt;Hoje,"ATRASADO",IF($J412=Hoje,"HOJE","Em dia"))))</f>
        <v/>
      </c>
      <c r="S412" s="23">
        <f>IF($R412="","",IF(OR($R412="ATRASADO",$R412="HOJE",$R412="Definir data"),COUNTIF($R$5:$R412,"ATRASADO")+COUNTIF($R$5:$R412,"HOJE")+COUNTIF($R$5:$R412,"Definir data"),""))</f>
        <v/>
      </c>
      <c r="T412" s="18">
        <f>IF($C412="","",IF(OR($B412="",$E412="",$F412="",$G412=""),"Preencher entrada/origem/vendedor/etapa",IF(AND(OR($P412="Ganho",$P412="Perdido"),$K412=""),"Falta data de fechamento",IF(AND($P412="Perdido",$L412=""),"Informe o motivo da perda","OK"))))</f>
        <v/>
      </c>
    </row>
    <row r="413" spans="1:20">
      <c r="A413" s="18">
        <f>IF($C413="","",ROW()-4)</f>
        <v/>
      </c>
      <c r="B413" s="19"/>
      <c r="C413" s="13"/>
      <c r="D413" s="13"/>
      <c r="E413" s="13"/>
      <c r="F413" s="13"/>
      <c r="G413" s="13"/>
      <c r="H413" s="15"/>
      <c r="I413" s="19"/>
      <c r="J413" s="19"/>
      <c r="K413" s="19"/>
      <c r="L413" s="13"/>
      <c r="M413" s="13"/>
      <c r="N413" s="20">
        <f>IF($C413="","",IFERROR(INDEX(EtapaProb,MATCH($G413,Etapas,0)),0))</f>
        <v/>
      </c>
      <c r="O413" s="21">
        <f>IF($C413="","",IF($P413="Aberto",N($H413)*$N413,0))</f>
        <v/>
      </c>
      <c r="P413" s="18">
        <f>IF($C413="","",IF($G413="Ganho","Ganho",IF($G413="Perdido","Perdido","Aberto")))</f>
        <v/>
      </c>
      <c r="Q413" s="18">
        <f>IF(OR($C413="",$P413&lt;&gt;"Aberto"),"",IF($I413="",Hoje-$B413,Hoje-$I413))</f>
        <v/>
      </c>
      <c r="R413" s="22">
        <f>IF(OR($C413="",$P413&lt;&gt;"Aberto"),"",IF($J413="",IF($Q413&gt;DiasSC,"ATRASADO","Definir data"),IF($J413&lt;Hoje,"ATRASADO",IF($J413=Hoje,"HOJE","Em dia"))))</f>
        <v/>
      </c>
      <c r="S413" s="23">
        <f>IF($R413="","",IF(OR($R413="ATRASADO",$R413="HOJE",$R413="Definir data"),COUNTIF($R$5:$R413,"ATRASADO")+COUNTIF($R$5:$R413,"HOJE")+COUNTIF($R$5:$R413,"Definir data"),""))</f>
        <v/>
      </c>
      <c r="T413" s="18">
        <f>IF($C413="","",IF(OR($B413="",$E413="",$F413="",$G413=""),"Preencher entrada/origem/vendedor/etapa",IF(AND(OR($P413="Ganho",$P413="Perdido"),$K413=""),"Falta data de fechamento",IF(AND($P413="Perdido",$L413=""),"Informe o motivo da perda","OK"))))</f>
        <v/>
      </c>
    </row>
    <row r="414" spans="1:20">
      <c r="A414" s="18">
        <f>IF($C414="","",ROW()-4)</f>
        <v/>
      </c>
      <c r="B414" s="19"/>
      <c r="C414" s="13"/>
      <c r="D414" s="13"/>
      <c r="E414" s="13"/>
      <c r="F414" s="13"/>
      <c r="G414" s="13"/>
      <c r="H414" s="15"/>
      <c r="I414" s="19"/>
      <c r="J414" s="19"/>
      <c r="K414" s="19"/>
      <c r="L414" s="13"/>
      <c r="M414" s="13"/>
      <c r="N414" s="20">
        <f>IF($C414="","",IFERROR(INDEX(EtapaProb,MATCH($G414,Etapas,0)),0))</f>
        <v/>
      </c>
      <c r="O414" s="21">
        <f>IF($C414="","",IF($P414="Aberto",N($H414)*$N414,0))</f>
        <v/>
      </c>
      <c r="P414" s="18">
        <f>IF($C414="","",IF($G414="Ganho","Ganho",IF($G414="Perdido","Perdido","Aberto")))</f>
        <v/>
      </c>
      <c r="Q414" s="18">
        <f>IF(OR($C414="",$P414&lt;&gt;"Aberto"),"",IF($I414="",Hoje-$B414,Hoje-$I414))</f>
        <v/>
      </c>
      <c r="R414" s="22">
        <f>IF(OR($C414="",$P414&lt;&gt;"Aberto"),"",IF($J414="",IF($Q414&gt;DiasSC,"ATRASADO","Definir data"),IF($J414&lt;Hoje,"ATRASADO",IF($J414=Hoje,"HOJE","Em dia"))))</f>
        <v/>
      </c>
      <c r="S414" s="23">
        <f>IF($R414="","",IF(OR($R414="ATRASADO",$R414="HOJE",$R414="Definir data"),COUNTIF($R$5:$R414,"ATRASADO")+COUNTIF($R$5:$R414,"HOJE")+COUNTIF($R$5:$R414,"Definir data"),""))</f>
        <v/>
      </c>
      <c r="T414" s="18">
        <f>IF($C414="","",IF(OR($B414="",$E414="",$F414="",$G414=""),"Preencher entrada/origem/vendedor/etapa",IF(AND(OR($P414="Ganho",$P414="Perdido"),$K414=""),"Falta data de fechamento",IF(AND($P414="Perdido",$L414=""),"Informe o motivo da perda","OK"))))</f>
        <v/>
      </c>
    </row>
    <row r="415" spans="1:20">
      <c r="A415" s="18">
        <f>IF($C415="","",ROW()-4)</f>
        <v/>
      </c>
      <c r="B415" s="19"/>
      <c r="C415" s="13"/>
      <c r="D415" s="13"/>
      <c r="E415" s="13"/>
      <c r="F415" s="13"/>
      <c r="G415" s="13"/>
      <c r="H415" s="15"/>
      <c r="I415" s="19"/>
      <c r="J415" s="19"/>
      <c r="K415" s="19"/>
      <c r="L415" s="13"/>
      <c r="M415" s="13"/>
      <c r="N415" s="20">
        <f>IF($C415="","",IFERROR(INDEX(EtapaProb,MATCH($G415,Etapas,0)),0))</f>
        <v/>
      </c>
      <c r="O415" s="21">
        <f>IF($C415="","",IF($P415="Aberto",N($H415)*$N415,0))</f>
        <v/>
      </c>
      <c r="P415" s="18">
        <f>IF($C415="","",IF($G415="Ganho","Ganho",IF($G415="Perdido","Perdido","Aberto")))</f>
        <v/>
      </c>
      <c r="Q415" s="18">
        <f>IF(OR($C415="",$P415&lt;&gt;"Aberto"),"",IF($I415="",Hoje-$B415,Hoje-$I415))</f>
        <v/>
      </c>
      <c r="R415" s="22">
        <f>IF(OR($C415="",$P415&lt;&gt;"Aberto"),"",IF($J415="",IF($Q415&gt;DiasSC,"ATRASADO","Definir data"),IF($J415&lt;Hoje,"ATRASADO",IF($J415=Hoje,"HOJE","Em dia"))))</f>
        <v/>
      </c>
      <c r="S415" s="23">
        <f>IF($R415="","",IF(OR($R415="ATRASADO",$R415="HOJE",$R415="Definir data"),COUNTIF($R$5:$R415,"ATRASADO")+COUNTIF($R$5:$R415,"HOJE")+COUNTIF($R$5:$R415,"Definir data"),""))</f>
        <v/>
      </c>
      <c r="T415" s="18">
        <f>IF($C415="","",IF(OR($B415="",$E415="",$F415="",$G415=""),"Preencher entrada/origem/vendedor/etapa",IF(AND(OR($P415="Ganho",$P415="Perdido"),$K415=""),"Falta data de fechamento",IF(AND($P415="Perdido",$L415=""),"Informe o motivo da perda","OK"))))</f>
        <v/>
      </c>
    </row>
    <row r="416" spans="1:20">
      <c r="A416" s="18">
        <f>IF($C416="","",ROW()-4)</f>
        <v/>
      </c>
      <c r="B416" s="19"/>
      <c r="C416" s="13"/>
      <c r="D416" s="13"/>
      <c r="E416" s="13"/>
      <c r="F416" s="13"/>
      <c r="G416" s="13"/>
      <c r="H416" s="15"/>
      <c r="I416" s="19"/>
      <c r="J416" s="19"/>
      <c r="K416" s="19"/>
      <c r="L416" s="13"/>
      <c r="M416" s="13"/>
      <c r="N416" s="20">
        <f>IF($C416="","",IFERROR(INDEX(EtapaProb,MATCH($G416,Etapas,0)),0))</f>
        <v/>
      </c>
      <c r="O416" s="21">
        <f>IF($C416="","",IF($P416="Aberto",N($H416)*$N416,0))</f>
        <v/>
      </c>
      <c r="P416" s="18">
        <f>IF($C416="","",IF($G416="Ganho","Ganho",IF($G416="Perdido","Perdido","Aberto")))</f>
        <v/>
      </c>
      <c r="Q416" s="18">
        <f>IF(OR($C416="",$P416&lt;&gt;"Aberto"),"",IF($I416="",Hoje-$B416,Hoje-$I416))</f>
        <v/>
      </c>
      <c r="R416" s="22">
        <f>IF(OR($C416="",$P416&lt;&gt;"Aberto"),"",IF($J416="",IF($Q416&gt;DiasSC,"ATRASADO","Definir data"),IF($J416&lt;Hoje,"ATRASADO",IF($J416=Hoje,"HOJE","Em dia"))))</f>
        <v/>
      </c>
      <c r="S416" s="23">
        <f>IF($R416="","",IF(OR($R416="ATRASADO",$R416="HOJE",$R416="Definir data"),COUNTIF($R$5:$R416,"ATRASADO")+COUNTIF($R$5:$R416,"HOJE")+COUNTIF($R$5:$R416,"Definir data"),""))</f>
        <v/>
      </c>
      <c r="T416" s="18">
        <f>IF($C416="","",IF(OR($B416="",$E416="",$F416="",$G416=""),"Preencher entrada/origem/vendedor/etapa",IF(AND(OR($P416="Ganho",$P416="Perdido"),$K416=""),"Falta data de fechamento",IF(AND($P416="Perdido",$L416=""),"Informe o motivo da perda","OK"))))</f>
        <v/>
      </c>
    </row>
    <row r="417" spans="1:20">
      <c r="A417" s="18">
        <f>IF($C417="","",ROW()-4)</f>
        <v/>
      </c>
      <c r="B417" s="19"/>
      <c r="C417" s="13"/>
      <c r="D417" s="13"/>
      <c r="E417" s="13"/>
      <c r="F417" s="13"/>
      <c r="G417" s="13"/>
      <c r="H417" s="15"/>
      <c r="I417" s="19"/>
      <c r="J417" s="19"/>
      <c r="K417" s="19"/>
      <c r="L417" s="13"/>
      <c r="M417" s="13"/>
      <c r="N417" s="20">
        <f>IF($C417="","",IFERROR(INDEX(EtapaProb,MATCH($G417,Etapas,0)),0))</f>
        <v/>
      </c>
      <c r="O417" s="21">
        <f>IF($C417="","",IF($P417="Aberto",N($H417)*$N417,0))</f>
        <v/>
      </c>
      <c r="P417" s="18">
        <f>IF($C417="","",IF($G417="Ganho","Ganho",IF($G417="Perdido","Perdido","Aberto")))</f>
        <v/>
      </c>
      <c r="Q417" s="18">
        <f>IF(OR($C417="",$P417&lt;&gt;"Aberto"),"",IF($I417="",Hoje-$B417,Hoje-$I417))</f>
        <v/>
      </c>
      <c r="R417" s="22">
        <f>IF(OR($C417="",$P417&lt;&gt;"Aberto"),"",IF($J417="",IF($Q417&gt;DiasSC,"ATRASADO","Definir data"),IF($J417&lt;Hoje,"ATRASADO",IF($J417=Hoje,"HOJE","Em dia"))))</f>
        <v/>
      </c>
      <c r="S417" s="23">
        <f>IF($R417="","",IF(OR($R417="ATRASADO",$R417="HOJE",$R417="Definir data"),COUNTIF($R$5:$R417,"ATRASADO")+COUNTIF($R$5:$R417,"HOJE")+COUNTIF($R$5:$R417,"Definir data"),""))</f>
        <v/>
      </c>
      <c r="T417" s="18">
        <f>IF($C417="","",IF(OR($B417="",$E417="",$F417="",$G417=""),"Preencher entrada/origem/vendedor/etapa",IF(AND(OR($P417="Ganho",$P417="Perdido"),$K417=""),"Falta data de fechamento",IF(AND($P417="Perdido",$L417=""),"Informe o motivo da perda","OK"))))</f>
        <v/>
      </c>
    </row>
    <row r="418" spans="1:20">
      <c r="A418" s="18">
        <f>IF($C418="","",ROW()-4)</f>
        <v/>
      </c>
      <c r="B418" s="19"/>
      <c r="C418" s="13"/>
      <c r="D418" s="13"/>
      <c r="E418" s="13"/>
      <c r="F418" s="13"/>
      <c r="G418" s="13"/>
      <c r="H418" s="15"/>
      <c r="I418" s="19"/>
      <c r="J418" s="19"/>
      <c r="K418" s="19"/>
      <c r="L418" s="13"/>
      <c r="M418" s="13"/>
      <c r="N418" s="20">
        <f>IF($C418="","",IFERROR(INDEX(EtapaProb,MATCH($G418,Etapas,0)),0))</f>
        <v/>
      </c>
      <c r="O418" s="21">
        <f>IF($C418="","",IF($P418="Aberto",N($H418)*$N418,0))</f>
        <v/>
      </c>
      <c r="P418" s="18">
        <f>IF($C418="","",IF($G418="Ganho","Ganho",IF($G418="Perdido","Perdido","Aberto")))</f>
        <v/>
      </c>
      <c r="Q418" s="18">
        <f>IF(OR($C418="",$P418&lt;&gt;"Aberto"),"",IF($I418="",Hoje-$B418,Hoje-$I418))</f>
        <v/>
      </c>
      <c r="R418" s="22">
        <f>IF(OR($C418="",$P418&lt;&gt;"Aberto"),"",IF($J418="",IF($Q418&gt;DiasSC,"ATRASADO","Definir data"),IF($J418&lt;Hoje,"ATRASADO",IF($J418=Hoje,"HOJE","Em dia"))))</f>
        <v/>
      </c>
      <c r="S418" s="23">
        <f>IF($R418="","",IF(OR($R418="ATRASADO",$R418="HOJE",$R418="Definir data"),COUNTIF($R$5:$R418,"ATRASADO")+COUNTIF($R$5:$R418,"HOJE")+COUNTIF($R$5:$R418,"Definir data"),""))</f>
        <v/>
      </c>
      <c r="T418" s="18">
        <f>IF($C418="","",IF(OR($B418="",$E418="",$F418="",$G418=""),"Preencher entrada/origem/vendedor/etapa",IF(AND(OR($P418="Ganho",$P418="Perdido"),$K418=""),"Falta data de fechamento",IF(AND($P418="Perdido",$L418=""),"Informe o motivo da perda","OK"))))</f>
        <v/>
      </c>
    </row>
    <row r="419" spans="1:20">
      <c r="A419" s="18">
        <f>IF($C419="","",ROW()-4)</f>
        <v/>
      </c>
      <c r="B419" s="19"/>
      <c r="C419" s="13"/>
      <c r="D419" s="13"/>
      <c r="E419" s="13"/>
      <c r="F419" s="13"/>
      <c r="G419" s="13"/>
      <c r="H419" s="15"/>
      <c r="I419" s="19"/>
      <c r="J419" s="19"/>
      <c r="K419" s="19"/>
      <c r="L419" s="13"/>
      <c r="M419" s="13"/>
      <c r="N419" s="20">
        <f>IF($C419="","",IFERROR(INDEX(EtapaProb,MATCH($G419,Etapas,0)),0))</f>
        <v/>
      </c>
      <c r="O419" s="21">
        <f>IF($C419="","",IF($P419="Aberto",N($H419)*$N419,0))</f>
        <v/>
      </c>
      <c r="P419" s="18">
        <f>IF($C419="","",IF($G419="Ganho","Ganho",IF($G419="Perdido","Perdido","Aberto")))</f>
        <v/>
      </c>
      <c r="Q419" s="18">
        <f>IF(OR($C419="",$P419&lt;&gt;"Aberto"),"",IF($I419="",Hoje-$B419,Hoje-$I419))</f>
        <v/>
      </c>
      <c r="R419" s="22">
        <f>IF(OR($C419="",$P419&lt;&gt;"Aberto"),"",IF($J419="",IF($Q419&gt;DiasSC,"ATRASADO","Definir data"),IF($J419&lt;Hoje,"ATRASADO",IF($J419=Hoje,"HOJE","Em dia"))))</f>
        <v/>
      </c>
      <c r="S419" s="23">
        <f>IF($R419="","",IF(OR($R419="ATRASADO",$R419="HOJE",$R419="Definir data"),COUNTIF($R$5:$R419,"ATRASADO")+COUNTIF($R$5:$R419,"HOJE")+COUNTIF($R$5:$R419,"Definir data"),""))</f>
        <v/>
      </c>
      <c r="T419" s="18">
        <f>IF($C419="","",IF(OR($B419="",$E419="",$F419="",$G419=""),"Preencher entrada/origem/vendedor/etapa",IF(AND(OR($P419="Ganho",$P419="Perdido"),$K419=""),"Falta data de fechamento",IF(AND($P419="Perdido",$L419=""),"Informe o motivo da perda","OK"))))</f>
        <v/>
      </c>
    </row>
    <row r="420" spans="1:20">
      <c r="A420" s="18">
        <f>IF($C420="","",ROW()-4)</f>
        <v/>
      </c>
      <c r="B420" s="19"/>
      <c r="C420" s="13"/>
      <c r="D420" s="13"/>
      <c r="E420" s="13"/>
      <c r="F420" s="13"/>
      <c r="G420" s="13"/>
      <c r="H420" s="15"/>
      <c r="I420" s="19"/>
      <c r="J420" s="19"/>
      <c r="K420" s="19"/>
      <c r="L420" s="13"/>
      <c r="M420" s="13"/>
      <c r="N420" s="20">
        <f>IF($C420="","",IFERROR(INDEX(EtapaProb,MATCH($G420,Etapas,0)),0))</f>
        <v/>
      </c>
      <c r="O420" s="21">
        <f>IF($C420="","",IF($P420="Aberto",N($H420)*$N420,0))</f>
        <v/>
      </c>
      <c r="P420" s="18">
        <f>IF($C420="","",IF($G420="Ganho","Ganho",IF($G420="Perdido","Perdido","Aberto")))</f>
        <v/>
      </c>
      <c r="Q420" s="18">
        <f>IF(OR($C420="",$P420&lt;&gt;"Aberto"),"",IF($I420="",Hoje-$B420,Hoje-$I420))</f>
        <v/>
      </c>
      <c r="R420" s="22">
        <f>IF(OR($C420="",$P420&lt;&gt;"Aberto"),"",IF($J420="",IF($Q420&gt;DiasSC,"ATRASADO","Definir data"),IF($J420&lt;Hoje,"ATRASADO",IF($J420=Hoje,"HOJE","Em dia"))))</f>
        <v/>
      </c>
      <c r="S420" s="23">
        <f>IF($R420="","",IF(OR($R420="ATRASADO",$R420="HOJE",$R420="Definir data"),COUNTIF($R$5:$R420,"ATRASADO")+COUNTIF($R$5:$R420,"HOJE")+COUNTIF($R$5:$R420,"Definir data"),""))</f>
        <v/>
      </c>
      <c r="T420" s="18">
        <f>IF($C420="","",IF(OR($B420="",$E420="",$F420="",$G420=""),"Preencher entrada/origem/vendedor/etapa",IF(AND(OR($P420="Ganho",$P420="Perdido"),$K420=""),"Falta data de fechamento",IF(AND($P420="Perdido",$L420=""),"Informe o motivo da perda","OK"))))</f>
        <v/>
      </c>
    </row>
    <row r="421" spans="1:20">
      <c r="A421" s="18">
        <f>IF($C421="","",ROW()-4)</f>
        <v/>
      </c>
      <c r="B421" s="19"/>
      <c r="C421" s="13"/>
      <c r="D421" s="13"/>
      <c r="E421" s="13"/>
      <c r="F421" s="13"/>
      <c r="G421" s="13"/>
      <c r="H421" s="15"/>
      <c r="I421" s="19"/>
      <c r="J421" s="19"/>
      <c r="K421" s="19"/>
      <c r="L421" s="13"/>
      <c r="M421" s="13"/>
      <c r="N421" s="20">
        <f>IF($C421="","",IFERROR(INDEX(EtapaProb,MATCH($G421,Etapas,0)),0))</f>
        <v/>
      </c>
      <c r="O421" s="21">
        <f>IF($C421="","",IF($P421="Aberto",N($H421)*$N421,0))</f>
        <v/>
      </c>
      <c r="P421" s="18">
        <f>IF($C421="","",IF($G421="Ganho","Ganho",IF($G421="Perdido","Perdido","Aberto")))</f>
        <v/>
      </c>
      <c r="Q421" s="18">
        <f>IF(OR($C421="",$P421&lt;&gt;"Aberto"),"",IF($I421="",Hoje-$B421,Hoje-$I421))</f>
        <v/>
      </c>
      <c r="R421" s="22">
        <f>IF(OR($C421="",$P421&lt;&gt;"Aberto"),"",IF($J421="",IF($Q421&gt;DiasSC,"ATRASADO","Definir data"),IF($J421&lt;Hoje,"ATRASADO",IF($J421=Hoje,"HOJE","Em dia"))))</f>
        <v/>
      </c>
      <c r="S421" s="23">
        <f>IF($R421="","",IF(OR($R421="ATRASADO",$R421="HOJE",$R421="Definir data"),COUNTIF($R$5:$R421,"ATRASADO")+COUNTIF($R$5:$R421,"HOJE")+COUNTIF($R$5:$R421,"Definir data"),""))</f>
        <v/>
      </c>
      <c r="T421" s="18">
        <f>IF($C421="","",IF(OR($B421="",$E421="",$F421="",$G421=""),"Preencher entrada/origem/vendedor/etapa",IF(AND(OR($P421="Ganho",$P421="Perdido"),$K421=""),"Falta data de fechamento",IF(AND($P421="Perdido",$L421=""),"Informe o motivo da perda","OK"))))</f>
        <v/>
      </c>
    </row>
    <row r="422" spans="1:20">
      <c r="A422" s="18">
        <f>IF($C422="","",ROW()-4)</f>
        <v/>
      </c>
      <c r="B422" s="19"/>
      <c r="C422" s="13"/>
      <c r="D422" s="13"/>
      <c r="E422" s="13"/>
      <c r="F422" s="13"/>
      <c r="G422" s="13"/>
      <c r="H422" s="15"/>
      <c r="I422" s="19"/>
      <c r="J422" s="19"/>
      <c r="K422" s="19"/>
      <c r="L422" s="13"/>
      <c r="M422" s="13"/>
      <c r="N422" s="20">
        <f>IF($C422="","",IFERROR(INDEX(EtapaProb,MATCH($G422,Etapas,0)),0))</f>
        <v/>
      </c>
      <c r="O422" s="21">
        <f>IF($C422="","",IF($P422="Aberto",N($H422)*$N422,0))</f>
        <v/>
      </c>
      <c r="P422" s="18">
        <f>IF($C422="","",IF($G422="Ganho","Ganho",IF($G422="Perdido","Perdido","Aberto")))</f>
        <v/>
      </c>
      <c r="Q422" s="18">
        <f>IF(OR($C422="",$P422&lt;&gt;"Aberto"),"",IF($I422="",Hoje-$B422,Hoje-$I422))</f>
        <v/>
      </c>
      <c r="R422" s="22">
        <f>IF(OR($C422="",$P422&lt;&gt;"Aberto"),"",IF($J422="",IF($Q422&gt;DiasSC,"ATRASADO","Definir data"),IF($J422&lt;Hoje,"ATRASADO",IF($J422=Hoje,"HOJE","Em dia"))))</f>
        <v/>
      </c>
      <c r="S422" s="23">
        <f>IF($R422="","",IF(OR($R422="ATRASADO",$R422="HOJE",$R422="Definir data"),COUNTIF($R$5:$R422,"ATRASADO")+COUNTIF($R$5:$R422,"HOJE")+COUNTIF($R$5:$R422,"Definir data"),""))</f>
        <v/>
      </c>
      <c r="T422" s="18">
        <f>IF($C422="","",IF(OR($B422="",$E422="",$F422="",$G422=""),"Preencher entrada/origem/vendedor/etapa",IF(AND(OR($P422="Ganho",$P422="Perdido"),$K422=""),"Falta data de fechamento",IF(AND($P422="Perdido",$L422=""),"Informe o motivo da perda","OK"))))</f>
        <v/>
      </c>
    </row>
    <row r="423" spans="1:20">
      <c r="A423" s="18">
        <f>IF($C423="","",ROW()-4)</f>
        <v/>
      </c>
      <c r="B423" s="19"/>
      <c r="C423" s="13"/>
      <c r="D423" s="13"/>
      <c r="E423" s="13"/>
      <c r="F423" s="13"/>
      <c r="G423" s="13"/>
      <c r="H423" s="15"/>
      <c r="I423" s="19"/>
      <c r="J423" s="19"/>
      <c r="K423" s="19"/>
      <c r="L423" s="13"/>
      <c r="M423" s="13"/>
      <c r="N423" s="20">
        <f>IF($C423="","",IFERROR(INDEX(EtapaProb,MATCH($G423,Etapas,0)),0))</f>
        <v/>
      </c>
      <c r="O423" s="21">
        <f>IF($C423="","",IF($P423="Aberto",N($H423)*$N423,0))</f>
        <v/>
      </c>
      <c r="P423" s="18">
        <f>IF($C423="","",IF($G423="Ganho","Ganho",IF($G423="Perdido","Perdido","Aberto")))</f>
        <v/>
      </c>
      <c r="Q423" s="18">
        <f>IF(OR($C423="",$P423&lt;&gt;"Aberto"),"",IF($I423="",Hoje-$B423,Hoje-$I423))</f>
        <v/>
      </c>
      <c r="R423" s="22">
        <f>IF(OR($C423="",$P423&lt;&gt;"Aberto"),"",IF($J423="",IF($Q423&gt;DiasSC,"ATRASADO","Definir data"),IF($J423&lt;Hoje,"ATRASADO",IF($J423=Hoje,"HOJE","Em dia"))))</f>
        <v/>
      </c>
      <c r="S423" s="23">
        <f>IF($R423="","",IF(OR($R423="ATRASADO",$R423="HOJE",$R423="Definir data"),COUNTIF($R$5:$R423,"ATRASADO")+COUNTIF($R$5:$R423,"HOJE")+COUNTIF($R$5:$R423,"Definir data"),""))</f>
        <v/>
      </c>
      <c r="T423" s="18">
        <f>IF($C423="","",IF(OR($B423="",$E423="",$F423="",$G423=""),"Preencher entrada/origem/vendedor/etapa",IF(AND(OR($P423="Ganho",$P423="Perdido"),$K423=""),"Falta data de fechamento",IF(AND($P423="Perdido",$L423=""),"Informe o motivo da perda","OK"))))</f>
        <v/>
      </c>
    </row>
    <row r="424" spans="1:20">
      <c r="A424" s="18">
        <f>IF($C424="","",ROW()-4)</f>
        <v/>
      </c>
      <c r="B424" s="19"/>
      <c r="C424" s="13"/>
      <c r="D424" s="13"/>
      <c r="E424" s="13"/>
      <c r="F424" s="13"/>
      <c r="G424" s="13"/>
      <c r="H424" s="15"/>
      <c r="I424" s="19"/>
      <c r="J424" s="19"/>
      <c r="K424" s="19"/>
      <c r="L424" s="13"/>
      <c r="M424" s="13"/>
      <c r="N424" s="20">
        <f>IF($C424="","",IFERROR(INDEX(EtapaProb,MATCH($G424,Etapas,0)),0))</f>
        <v/>
      </c>
      <c r="O424" s="21">
        <f>IF($C424="","",IF($P424="Aberto",N($H424)*$N424,0))</f>
        <v/>
      </c>
      <c r="P424" s="18">
        <f>IF($C424="","",IF($G424="Ganho","Ganho",IF($G424="Perdido","Perdido","Aberto")))</f>
        <v/>
      </c>
      <c r="Q424" s="18">
        <f>IF(OR($C424="",$P424&lt;&gt;"Aberto"),"",IF($I424="",Hoje-$B424,Hoje-$I424))</f>
        <v/>
      </c>
      <c r="R424" s="22">
        <f>IF(OR($C424="",$P424&lt;&gt;"Aberto"),"",IF($J424="",IF($Q424&gt;DiasSC,"ATRASADO","Definir data"),IF($J424&lt;Hoje,"ATRASADO",IF($J424=Hoje,"HOJE","Em dia"))))</f>
        <v/>
      </c>
      <c r="S424" s="23">
        <f>IF($R424="","",IF(OR($R424="ATRASADO",$R424="HOJE",$R424="Definir data"),COUNTIF($R$5:$R424,"ATRASADO")+COUNTIF($R$5:$R424,"HOJE")+COUNTIF($R$5:$R424,"Definir data"),""))</f>
        <v/>
      </c>
      <c r="T424" s="18">
        <f>IF($C424="","",IF(OR($B424="",$E424="",$F424="",$G424=""),"Preencher entrada/origem/vendedor/etapa",IF(AND(OR($P424="Ganho",$P424="Perdido"),$K424=""),"Falta data de fechamento",IF(AND($P424="Perdido",$L424=""),"Informe o motivo da perda","OK"))))</f>
        <v/>
      </c>
    </row>
    <row r="425" spans="1:20">
      <c r="A425" s="18">
        <f>IF($C425="","",ROW()-4)</f>
        <v/>
      </c>
      <c r="B425" s="19"/>
      <c r="C425" s="13"/>
      <c r="D425" s="13"/>
      <c r="E425" s="13"/>
      <c r="F425" s="13"/>
      <c r="G425" s="13"/>
      <c r="H425" s="15"/>
      <c r="I425" s="19"/>
      <c r="J425" s="19"/>
      <c r="K425" s="19"/>
      <c r="L425" s="13"/>
      <c r="M425" s="13"/>
      <c r="N425" s="20">
        <f>IF($C425="","",IFERROR(INDEX(EtapaProb,MATCH($G425,Etapas,0)),0))</f>
        <v/>
      </c>
      <c r="O425" s="21">
        <f>IF($C425="","",IF($P425="Aberto",N($H425)*$N425,0))</f>
        <v/>
      </c>
      <c r="P425" s="18">
        <f>IF($C425="","",IF($G425="Ganho","Ganho",IF($G425="Perdido","Perdido","Aberto")))</f>
        <v/>
      </c>
      <c r="Q425" s="18">
        <f>IF(OR($C425="",$P425&lt;&gt;"Aberto"),"",IF($I425="",Hoje-$B425,Hoje-$I425))</f>
        <v/>
      </c>
      <c r="R425" s="22">
        <f>IF(OR($C425="",$P425&lt;&gt;"Aberto"),"",IF($J425="",IF($Q425&gt;DiasSC,"ATRASADO","Definir data"),IF($J425&lt;Hoje,"ATRASADO",IF($J425=Hoje,"HOJE","Em dia"))))</f>
        <v/>
      </c>
      <c r="S425" s="23">
        <f>IF($R425="","",IF(OR($R425="ATRASADO",$R425="HOJE",$R425="Definir data"),COUNTIF($R$5:$R425,"ATRASADO")+COUNTIF($R$5:$R425,"HOJE")+COUNTIF($R$5:$R425,"Definir data"),""))</f>
        <v/>
      </c>
      <c r="T425" s="18">
        <f>IF($C425="","",IF(OR($B425="",$E425="",$F425="",$G425=""),"Preencher entrada/origem/vendedor/etapa",IF(AND(OR($P425="Ganho",$P425="Perdido"),$K425=""),"Falta data de fechamento",IF(AND($P425="Perdido",$L425=""),"Informe o motivo da perda","OK"))))</f>
        <v/>
      </c>
    </row>
    <row r="426" spans="1:20">
      <c r="A426" s="18">
        <f>IF($C426="","",ROW()-4)</f>
        <v/>
      </c>
      <c r="B426" s="19"/>
      <c r="C426" s="13"/>
      <c r="D426" s="13"/>
      <c r="E426" s="13"/>
      <c r="F426" s="13"/>
      <c r="G426" s="13"/>
      <c r="H426" s="15"/>
      <c r="I426" s="19"/>
      <c r="J426" s="19"/>
      <c r="K426" s="19"/>
      <c r="L426" s="13"/>
      <c r="M426" s="13"/>
      <c r="N426" s="20">
        <f>IF($C426="","",IFERROR(INDEX(EtapaProb,MATCH($G426,Etapas,0)),0))</f>
        <v/>
      </c>
      <c r="O426" s="21">
        <f>IF($C426="","",IF($P426="Aberto",N($H426)*$N426,0))</f>
        <v/>
      </c>
      <c r="P426" s="18">
        <f>IF($C426="","",IF($G426="Ganho","Ganho",IF($G426="Perdido","Perdido","Aberto")))</f>
        <v/>
      </c>
      <c r="Q426" s="18">
        <f>IF(OR($C426="",$P426&lt;&gt;"Aberto"),"",IF($I426="",Hoje-$B426,Hoje-$I426))</f>
        <v/>
      </c>
      <c r="R426" s="22">
        <f>IF(OR($C426="",$P426&lt;&gt;"Aberto"),"",IF($J426="",IF($Q426&gt;DiasSC,"ATRASADO","Definir data"),IF($J426&lt;Hoje,"ATRASADO",IF($J426=Hoje,"HOJE","Em dia"))))</f>
        <v/>
      </c>
      <c r="S426" s="23">
        <f>IF($R426="","",IF(OR($R426="ATRASADO",$R426="HOJE",$R426="Definir data"),COUNTIF($R$5:$R426,"ATRASADO")+COUNTIF($R$5:$R426,"HOJE")+COUNTIF($R$5:$R426,"Definir data"),""))</f>
        <v/>
      </c>
      <c r="T426" s="18">
        <f>IF($C426="","",IF(OR($B426="",$E426="",$F426="",$G426=""),"Preencher entrada/origem/vendedor/etapa",IF(AND(OR($P426="Ganho",$P426="Perdido"),$K426=""),"Falta data de fechamento",IF(AND($P426="Perdido",$L426=""),"Informe o motivo da perda","OK"))))</f>
        <v/>
      </c>
    </row>
    <row r="427" spans="1:20">
      <c r="A427" s="18">
        <f>IF($C427="","",ROW()-4)</f>
        <v/>
      </c>
      <c r="B427" s="19"/>
      <c r="C427" s="13"/>
      <c r="D427" s="13"/>
      <c r="E427" s="13"/>
      <c r="F427" s="13"/>
      <c r="G427" s="13"/>
      <c r="H427" s="15"/>
      <c r="I427" s="19"/>
      <c r="J427" s="19"/>
      <c r="K427" s="19"/>
      <c r="L427" s="13"/>
      <c r="M427" s="13"/>
      <c r="N427" s="20">
        <f>IF($C427="","",IFERROR(INDEX(EtapaProb,MATCH($G427,Etapas,0)),0))</f>
        <v/>
      </c>
      <c r="O427" s="21">
        <f>IF($C427="","",IF($P427="Aberto",N($H427)*$N427,0))</f>
        <v/>
      </c>
      <c r="P427" s="18">
        <f>IF($C427="","",IF($G427="Ganho","Ganho",IF($G427="Perdido","Perdido","Aberto")))</f>
        <v/>
      </c>
      <c r="Q427" s="18">
        <f>IF(OR($C427="",$P427&lt;&gt;"Aberto"),"",IF($I427="",Hoje-$B427,Hoje-$I427))</f>
        <v/>
      </c>
      <c r="R427" s="22">
        <f>IF(OR($C427="",$P427&lt;&gt;"Aberto"),"",IF($J427="",IF($Q427&gt;DiasSC,"ATRASADO","Definir data"),IF($J427&lt;Hoje,"ATRASADO",IF($J427=Hoje,"HOJE","Em dia"))))</f>
        <v/>
      </c>
      <c r="S427" s="23">
        <f>IF($R427="","",IF(OR($R427="ATRASADO",$R427="HOJE",$R427="Definir data"),COUNTIF($R$5:$R427,"ATRASADO")+COUNTIF($R$5:$R427,"HOJE")+COUNTIF($R$5:$R427,"Definir data"),""))</f>
        <v/>
      </c>
      <c r="T427" s="18">
        <f>IF($C427="","",IF(OR($B427="",$E427="",$F427="",$G427=""),"Preencher entrada/origem/vendedor/etapa",IF(AND(OR($P427="Ganho",$P427="Perdido"),$K427=""),"Falta data de fechamento",IF(AND($P427="Perdido",$L427=""),"Informe o motivo da perda","OK"))))</f>
        <v/>
      </c>
    </row>
    <row r="428" spans="1:20">
      <c r="A428" s="18">
        <f>IF($C428="","",ROW()-4)</f>
        <v/>
      </c>
      <c r="B428" s="19"/>
      <c r="C428" s="13"/>
      <c r="D428" s="13"/>
      <c r="E428" s="13"/>
      <c r="F428" s="13"/>
      <c r="G428" s="13"/>
      <c r="H428" s="15"/>
      <c r="I428" s="19"/>
      <c r="J428" s="19"/>
      <c r="K428" s="19"/>
      <c r="L428" s="13"/>
      <c r="M428" s="13"/>
      <c r="N428" s="20">
        <f>IF($C428="","",IFERROR(INDEX(EtapaProb,MATCH($G428,Etapas,0)),0))</f>
        <v/>
      </c>
      <c r="O428" s="21">
        <f>IF($C428="","",IF($P428="Aberto",N($H428)*$N428,0))</f>
        <v/>
      </c>
      <c r="P428" s="18">
        <f>IF($C428="","",IF($G428="Ganho","Ganho",IF($G428="Perdido","Perdido","Aberto")))</f>
        <v/>
      </c>
      <c r="Q428" s="18">
        <f>IF(OR($C428="",$P428&lt;&gt;"Aberto"),"",IF($I428="",Hoje-$B428,Hoje-$I428))</f>
        <v/>
      </c>
      <c r="R428" s="22">
        <f>IF(OR($C428="",$P428&lt;&gt;"Aberto"),"",IF($J428="",IF($Q428&gt;DiasSC,"ATRASADO","Definir data"),IF($J428&lt;Hoje,"ATRASADO",IF($J428=Hoje,"HOJE","Em dia"))))</f>
        <v/>
      </c>
      <c r="S428" s="23">
        <f>IF($R428="","",IF(OR($R428="ATRASADO",$R428="HOJE",$R428="Definir data"),COUNTIF($R$5:$R428,"ATRASADO")+COUNTIF($R$5:$R428,"HOJE")+COUNTIF($R$5:$R428,"Definir data"),""))</f>
        <v/>
      </c>
      <c r="T428" s="18">
        <f>IF($C428="","",IF(OR($B428="",$E428="",$F428="",$G428=""),"Preencher entrada/origem/vendedor/etapa",IF(AND(OR($P428="Ganho",$P428="Perdido"),$K428=""),"Falta data de fechamento",IF(AND($P428="Perdido",$L428=""),"Informe o motivo da perda","OK"))))</f>
        <v/>
      </c>
    </row>
    <row r="429" spans="1:20">
      <c r="A429" s="18">
        <f>IF($C429="","",ROW()-4)</f>
        <v/>
      </c>
      <c r="B429" s="19"/>
      <c r="C429" s="13"/>
      <c r="D429" s="13"/>
      <c r="E429" s="13"/>
      <c r="F429" s="13"/>
      <c r="G429" s="13"/>
      <c r="H429" s="15"/>
      <c r="I429" s="19"/>
      <c r="J429" s="19"/>
      <c r="K429" s="19"/>
      <c r="L429" s="13"/>
      <c r="M429" s="13"/>
      <c r="N429" s="20">
        <f>IF($C429="","",IFERROR(INDEX(EtapaProb,MATCH($G429,Etapas,0)),0))</f>
        <v/>
      </c>
      <c r="O429" s="21">
        <f>IF($C429="","",IF($P429="Aberto",N($H429)*$N429,0))</f>
        <v/>
      </c>
      <c r="P429" s="18">
        <f>IF($C429="","",IF($G429="Ganho","Ganho",IF($G429="Perdido","Perdido","Aberto")))</f>
        <v/>
      </c>
      <c r="Q429" s="18">
        <f>IF(OR($C429="",$P429&lt;&gt;"Aberto"),"",IF($I429="",Hoje-$B429,Hoje-$I429))</f>
        <v/>
      </c>
      <c r="R429" s="22">
        <f>IF(OR($C429="",$P429&lt;&gt;"Aberto"),"",IF($J429="",IF($Q429&gt;DiasSC,"ATRASADO","Definir data"),IF($J429&lt;Hoje,"ATRASADO",IF($J429=Hoje,"HOJE","Em dia"))))</f>
        <v/>
      </c>
      <c r="S429" s="23">
        <f>IF($R429="","",IF(OR($R429="ATRASADO",$R429="HOJE",$R429="Definir data"),COUNTIF($R$5:$R429,"ATRASADO")+COUNTIF($R$5:$R429,"HOJE")+COUNTIF($R$5:$R429,"Definir data"),""))</f>
        <v/>
      </c>
      <c r="T429" s="18">
        <f>IF($C429="","",IF(OR($B429="",$E429="",$F429="",$G429=""),"Preencher entrada/origem/vendedor/etapa",IF(AND(OR($P429="Ganho",$P429="Perdido"),$K429=""),"Falta data de fechamento",IF(AND($P429="Perdido",$L429=""),"Informe o motivo da perda","OK"))))</f>
        <v/>
      </c>
    </row>
    <row r="430" spans="1:20">
      <c r="A430" s="18">
        <f>IF($C430="","",ROW()-4)</f>
        <v/>
      </c>
      <c r="B430" s="19"/>
      <c r="C430" s="13"/>
      <c r="D430" s="13"/>
      <c r="E430" s="13"/>
      <c r="F430" s="13"/>
      <c r="G430" s="13"/>
      <c r="H430" s="15"/>
      <c r="I430" s="19"/>
      <c r="J430" s="19"/>
      <c r="K430" s="19"/>
      <c r="L430" s="13"/>
      <c r="M430" s="13"/>
      <c r="N430" s="20">
        <f>IF($C430="","",IFERROR(INDEX(EtapaProb,MATCH($G430,Etapas,0)),0))</f>
        <v/>
      </c>
      <c r="O430" s="21">
        <f>IF($C430="","",IF($P430="Aberto",N($H430)*$N430,0))</f>
        <v/>
      </c>
      <c r="P430" s="18">
        <f>IF($C430="","",IF($G430="Ganho","Ganho",IF($G430="Perdido","Perdido","Aberto")))</f>
        <v/>
      </c>
      <c r="Q430" s="18">
        <f>IF(OR($C430="",$P430&lt;&gt;"Aberto"),"",IF($I430="",Hoje-$B430,Hoje-$I430))</f>
        <v/>
      </c>
      <c r="R430" s="22">
        <f>IF(OR($C430="",$P430&lt;&gt;"Aberto"),"",IF($J430="",IF($Q430&gt;DiasSC,"ATRASADO","Definir data"),IF($J430&lt;Hoje,"ATRASADO",IF($J430=Hoje,"HOJE","Em dia"))))</f>
        <v/>
      </c>
      <c r="S430" s="23">
        <f>IF($R430="","",IF(OR($R430="ATRASADO",$R430="HOJE",$R430="Definir data"),COUNTIF($R$5:$R430,"ATRASADO")+COUNTIF($R$5:$R430,"HOJE")+COUNTIF($R$5:$R430,"Definir data"),""))</f>
        <v/>
      </c>
      <c r="T430" s="18">
        <f>IF($C430="","",IF(OR($B430="",$E430="",$F430="",$G430=""),"Preencher entrada/origem/vendedor/etapa",IF(AND(OR($P430="Ganho",$P430="Perdido"),$K430=""),"Falta data de fechamento",IF(AND($P430="Perdido",$L430=""),"Informe o motivo da perda","OK"))))</f>
        <v/>
      </c>
    </row>
    <row r="431" spans="1:20">
      <c r="A431" s="18">
        <f>IF($C431="","",ROW()-4)</f>
        <v/>
      </c>
      <c r="B431" s="19"/>
      <c r="C431" s="13"/>
      <c r="D431" s="13"/>
      <c r="E431" s="13"/>
      <c r="F431" s="13"/>
      <c r="G431" s="13"/>
      <c r="H431" s="15"/>
      <c r="I431" s="19"/>
      <c r="J431" s="19"/>
      <c r="K431" s="19"/>
      <c r="L431" s="13"/>
      <c r="M431" s="13"/>
      <c r="N431" s="20">
        <f>IF($C431="","",IFERROR(INDEX(EtapaProb,MATCH($G431,Etapas,0)),0))</f>
        <v/>
      </c>
      <c r="O431" s="21">
        <f>IF($C431="","",IF($P431="Aberto",N($H431)*$N431,0))</f>
        <v/>
      </c>
      <c r="P431" s="18">
        <f>IF($C431="","",IF($G431="Ganho","Ganho",IF($G431="Perdido","Perdido","Aberto")))</f>
        <v/>
      </c>
      <c r="Q431" s="18">
        <f>IF(OR($C431="",$P431&lt;&gt;"Aberto"),"",IF($I431="",Hoje-$B431,Hoje-$I431))</f>
        <v/>
      </c>
      <c r="R431" s="22">
        <f>IF(OR($C431="",$P431&lt;&gt;"Aberto"),"",IF($J431="",IF($Q431&gt;DiasSC,"ATRASADO","Definir data"),IF($J431&lt;Hoje,"ATRASADO",IF($J431=Hoje,"HOJE","Em dia"))))</f>
        <v/>
      </c>
      <c r="S431" s="23">
        <f>IF($R431="","",IF(OR($R431="ATRASADO",$R431="HOJE",$R431="Definir data"),COUNTIF($R$5:$R431,"ATRASADO")+COUNTIF($R$5:$R431,"HOJE")+COUNTIF($R$5:$R431,"Definir data"),""))</f>
        <v/>
      </c>
      <c r="T431" s="18">
        <f>IF($C431="","",IF(OR($B431="",$E431="",$F431="",$G431=""),"Preencher entrada/origem/vendedor/etapa",IF(AND(OR($P431="Ganho",$P431="Perdido"),$K431=""),"Falta data de fechamento",IF(AND($P431="Perdido",$L431=""),"Informe o motivo da perda","OK"))))</f>
        <v/>
      </c>
    </row>
    <row r="432" spans="1:20">
      <c r="A432" s="18">
        <f>IF($C432="","",ROW()-4)</f>
        <v/>
      </c>
      <c r="B432" s="19"/>
      <c r="C432" s="13"/>
      <c r="D432" s="13"/>
      <c r="E432" s="13"/>
      <c r="F432" s="13"/>
      <c r="G432" s="13"/>
      <c r="H432" s="15"/>
      <c r="I432" s="19"/>
      <c r="J432" s="19"/>
      <c r="K432" s="19"/>
      <c r="L432" s="13"/>
      <c r="M432" s="13"/>
      <c r="N432" s="20">
        <f>IF($C432="","",IFERROR(INDEX(EtapaProb,MATCH($G432,Etapas,0)),0))</f>
        <v/>
      </c>
      <c r="O432" s="21">
        <f>IF($C432="","",IF($P432="Aberto",N($H432)*$N432,0))</f>
        <v/>
      </c>
      <c r="P432" s="18">
        <f>IF($C432="","",IF($G432="Ganho","Ganho",IF($G432="Perdido","Perdido","Aberto")))</f>
        <v/>
      </c>
      <c r="Q432" s="18">
        <f>IF(OR($C432="",$P432&lt;&gt;"Aberto"),"",IF($I432="",Hoje-$B432,Hoje-$I432))</f>
        <v/>
      </c>
      <c r="R432" s="22">
        <f>IF(OR($C432="",$P432&lt;&gt;"Aberto"),"",IF($J432="",IF($Q432&gt;DiasSC,"ATRASADO","Definir data"),IF($J432&lt;Hoje,"ATRASADO",IF($J432=Hoje,"HOJE","Em dia"))))</f>
        <v/>
      </c>
      <c r="S432" s="23">
        <f>IF($R432="","",IF(OR($R432="ATRASADO",$R432="HOJE",$R432="Definir data"),COUNTIF($R$5:$R432,"ATRASADO")+COUNTIF($R$5:$R432,"HOJE")+COUNTIF($R$5:$R432,"Definir data"),""))</f>
        <v/>
      </c>
      <c r="T432" s="18">
        <f>IF($C432="","",IF(OR($B432="",$E432="",$F432="",$G432=""),"Preencher entrada/origem/vendedor/etapa",IF(AND(OR($P432="Ganho",$P432="Perdido"),$K432=""),"Falta data de fechamento",IF(AND($P432="Perdido",$L432=""),"Informe o motivo da perda","OK"))))</f>
        <v/>
      </c>
    </row>
    <row r="433" spans="1:20">
      <c r="A433" s="18">
        <f>IF($C433="","",ROW()-4)</f>
        <v/>
      </c>
      <c r="B433" s="19"/>
      <c r="C433" s="13"/>
      <c r="D433" s="13"/>
      <c r="E433" s="13"/>
      <c r="F433" s="13"/>
      <c r="G433" s="13"/>
      <c r="H433" s="15"/>
      <c r="I433" s="19"/>
      <c r="J433" s="19"/>
      <c r="K433" s="19"/>
      <c r="L433" s="13"/>
      <c r="M433" s="13"/>
      <c r="N433" s="20">
        <f>IF($C433="","",IFERROR(INDEX(EtapaProb,MATCH($G433,Etapas,0)),0))</f>
        <v/>
      </c>
      <c r="O433" s="21">
        <f>IF($C433="","",IF($P433="Aberto",N($H433)*$N433,0))</f>
        <v/>
      </c>
      <c r="P433" s="18">
        <f>IF($C433="","",IF($G433="Ganho","Ganho",IF($G433="Perdido","Perdido","Aberto")))</f>
        <v/>
      </c>
      <c r="Q433" s="18">
        <f>IF(OR($C433="",$P433&lt;&gt;"Aberto"),"",IF($I433="",Hoje-$B433,Hoje-$I433))</f>
        <v/>
      </c>
      <c r="R433" s="22">
        <f>IF(OR($C433="",$P433&lt;&gt;"Aberto"),"",IF($J433="",IF($Q433&gt;DiasSC,"ATRASADO","Definir data"),IF($J433&lt;Hoje,"ATRASADO",IF($J433=Hoje,"HOJE","Em dia"))))</f>
        <v/>
      </c>
      <c r="S433" s="23">
        <f>IF($R433="","",IF(OR($R433="ATRASADO",$R433="HOJE",$R433="Definir data"),COUNTIF($R$5:$R433,"ATRASADO")+COUNTIF($R$5:$R433,"HOJE")+COUNTIF($R$5:$R433,"Definir data"),""))</f>
        <v/>
      </c>
      <c r="T433" s="18">
        <f>IF($C433="","",IF(OR($B433="",$E433="",$F433="",$G433=""),"Preencher entrada/origem/vendedor/etapa",IF(AND(OR($P433="Ganho",$P433="Perdido"),$K433=""),"Falta data de fechamento",IF(AND($P433="Perdido",$L433=""),"Informe o motivo da perda","OK"))))</f>
        <v/>
      </c>
    </row>
    <row r="434" spans="1:20">
      <c r="A434" s="18">
        <f>IF($C434="","",ROW()-4)</f>
        <v/>
      </c>
      <c r="B434" s="19"/>
      <c r="C434" s="13"/>
      <c r="D434" s="13"/>
      <c r="E434" s="13"/>
      <c r="F434" s="13"/>
      <c r="G434" s="13"/>
      <c r="H434" s="15"/>
      <c r="I434" s="19"/>
      <c r="J434" s="19"/>
      <c r="K434" s="19"/>
      <c r="L434" s="13"/>
      <c r="M434" s="13"/>
      <c r="N434" s="20">
        <f>IF($C434="","",IFERROR(INDEX(EtapaProb,MATCH($G434,Etapas,0)),0))</f>
        <v/>
      </c>
      <c r="O434" s="21">
        <f>IF($C434="","",IF($P434="Aberto",N($H434)*$N434,0))</f>
        <v/>
      </c>
      <c r="P434" s="18">
        <f>IF($C434="","",IF($G434="Ganho","Ganho",IF($G434="Perdido","Perdido","Aberto")))</f>
        <v/>
      </c>
      <c r="Q434" s="18">
        <f>IF(OR($C434="",$P434&lt;&gt;"Aberto"),"",IF($I434="",Hoje-$B434,Hoje-$I434))</f>
        <v/>
      </c>
      <c r="R434" s="22">
        <f>IF(OR($C434="",$P434&lt;&gt;"Aberto"),"",IF($J434="",IF($Q434&gt;DiasSC,"ATRASADO","Definir data"),IF($J434&lt;Hoje,"ATRASADO",IF($J434=Hoje,"HOJE","Em dia"))))</f>
        <v/>
      </c>
      <c r="S434" s="23">
        <f>IF($R434="","",IF(OR($R434="ATRASADO",$R434="HOJE",$R434="Definir data"),COUNTIF($R$5:$R434,"ATRASADO")+COUNTIF($R$5:$R434,"HOJE")+COUNTIF($R$5:$R434,"Definir data"),""))</f>
        <v/>
      </c>
      <c r="T434" s="18">
        <f>IF($C434="","",IF(OR($B434="",$E434="",$F434="",$G434=""),"Preencher entrada/origem/vendedor/etapa",IF(AND(OR($P434="Ganho",$P434="Perdido"),$K434=""),"Falta data de fechamento",IF(AND($P434="Perdido",$L434=""),"Informe o motivo da perda","OK"))))</f>
        <v/>
      </c>
    </row>
    <row r="435" spans="1:20">
      <c r="A435" s="18">
        <f>IF($C435="","",ROW()-4)</f>
        <v/>
      </c>
      <c r="B435" s="19"/>
      <c r="C435" s="13"/>
      <c r="D435" s="13"/>
      <c r="E435" s="13"/>
      <c r="F435" s="13"/>
      <c r="G435" s="13"/>
      <c r="H435" s="15"/>
      <c r="I435" s="19"/>
      <c r="J435" s="19"/>
      <c r="K435" s="19"/>
      <c r="L435" s="13"/>
      <c r="M435" s="13"/>
      <c r="N435" s="20">
        <f>IF($C435="","",IFERROR(INDEX(EtapaProb,MATCH($G435,Etapas,0)),0))</f>
        <v/>
      </c>
      <c r="O435" s="21">
        <f>IF($C435="","",IF($P435="Aberto",N($H435)*$N435,0))</f>
        <v/>
      </c>
      <c r="P435" s="18">
        <f>IF($C435="","",IF($G435="Ganho","Ganho",IF($G435="Perdido","Perdido","Aberto")))</f>
        <v/>
      </c>
      <c r="Q435" s="18">
        <f>IF(OR($C435="",$P435&lt;&gt;"Aberto"),"",IF($I435="",Hoje-$B435,Hoje-$I435))</f>
        <v/>
      </c>
      <c r="R435" s="22">
        <f>IF(OR($C435="",$P435&lt;&gt;"Aberto"),"",IF($J435="",IF($Q435&gt;DiasSC,"ATRASADO","Definir data"),IF($J435&lt;Hoje,"ATRASADO",IF($J435=Hoje,"HOJE","Em dia"))))</f>
        <v/>
      </c>
      <c r="S435" s="23">
        <f>IF($R435="","",IF(OR($R435="ATRASADO",$R435="HOJE",$R435="Definir data"),COUNTIF($R$5:$R435,"ATRASADO")+COUNTIF($R$5:$R435,"HOJE")+COUNTIF($R$5:$R435,"Definir data"),""))</f>
        <v/>
      </c>
      <c r="T435" s="18">
        <f>IF($C435="","",IF(OR($B435="",$E435="",$F435="",$G435=""),"Preencher entrada/origem/vendedor/etapa",IF(AND(OR($P435="Ganho",$P435="Perdido"),$K435=""),"Falta data de fechamento",IF(AND($P435="Perdido",$L435=""),"Informe o motivo da perda","OK"))))</f>
        <v/>
      </c>
    </row>
    <row r="436" spans="1:20">
      <c r="A436" s="18">
        <f>IF($C436="","",ROW()-4)</f>
        <v/>
      </c>
      <c r="B436" s="19"/>
      <c r="C436" s="13"/>
      <c r="D436" s="13"/>
      <c r="E436" s="13"/>
      <c r="F436" s="13"/>
      <c r="G436" s="13"/>
      <c r="H436" s="15"/>
      <c r="I436" s="19"/>
      <c r="J436" s="19"/>
      <c r="K436" s="19"/>
      <c r="L436" s="13"/>
      <c r="M436" s="13"/>
      <c r="N436" s="20">
        <f>IF($C436="","",IFERROR(INDEX(EtapaProb,MATCH($G436,Etapas,0)),0))</f>
        <v/>
      </c>
      <c r="O436" s="21">
        <f>IF($C436="","",IF($P436="Aberto",N($H436)*$N436,0))</f>
        <v/>
      </c>
      <c r="P436" s="18">
        <f>IF($C436="","",IF($G436="Ganho","Ganho",IF($G436="Perdido","Perdido","Aberto")))</f>
        <v/>
      </c>
      <c r="Q436" s="18">
        <f>IF(OR($C436="",$P436&lt;&gt;"Aberto"),"",IF($I436="",Hoje-$B436,Hoje-$I436))</f>
        <v/>
      </c>
      <c r="R436" s="22">
        <f>IF(OR($C436="",$P436&lt;&gt;"Aberto"),"",IF($J436="",IF($Q436&gt;DiasSC,"ATRASADO","Definir data"),IF($J436&lt;Hoje,"ATRASADO",IF($J436=Hoje,"HOJE","Em dia"))))</f>
        <v/>
      </c>
      <c r="S436" s="23">
        <f>IF($R436="","",IF(OR($R436="ATRASADO",$R436="HOJE",$R436="Definir data"),COUNTIF($R$5:$R436,"ATRASADO")+COUNTIF($R$5:$R436,"HOJE")+COUNTIF($R$5:$R436,"Definir data"),""))</f>
        <v/>
      </c>
      <c r="T436" s="18">
        <f>IF($C436="","",IF(OR($B436="",$E436="",$F436="",$G436=""),"Preencher entrada/origem/vendedor/etapa",IF(AND(OR($P436="Ganho",$P436="Perdido"),$K436=""),"Falta data de fechamento",IF(AND($P436="Perdido",$L436=""),"Informe o motivo da perda","OK"))))</f>
        <v/>
      </c>
    </row>
    <row r="437" spans="1:20">
      <c r="A437" s="18">
        <f>IF($C437="","",ROW()-4)</f>
        <v/>
      </c>
      <c r="B437" s="19"/>
      <c r="C437" s="13"/>
      <c r="D437" s="13"/>
      <c r="E437" s="13"/>
      <c r="F437" s="13"/>
      <c r="G437" s="13"/>
      <c r="H437" s="15"/>
      <c r="I437" s="19"/>
      <c r="J437" s="19"/>
      <c r="K437" s="19"/>
      <c r="L437" s="13"/>
      <c r="M437" s="13"/>
      <c r="N437" s="20">
        <f>IF($C437="","",IFERROR(INDEX(EtapaProb,MATCH($G437,Etapas,0)),0))</f>
        <v/>
      </c>
      <c r="O437" s="21">
        <f>IF($C437="","",IF($P437="Aberto",N($H437)*$N437,0))</f>
        <v/>
      </c>
      <c r="P437" s="18">
        <f>IF($C437="","",IF($G437="Ganho","Ganho",IF($G437="Perdido","Perdido","Aberto")))</f>
        <v/>
      </c>
      <c r="Q437" s="18">
        <f>IF(OR($C437="",$P437&lt;&gt;"Aberto"),"",IF($I437="",Hoje-$B437,Hoje-$I437))</f>
        <v/>
      </c>
      <c r="R437" s="22">
        <f>IF(OR($C437="",$P437&lt;&gt;"Aberto"),"",IF($J437="",IF($Q437&gt;DiasSC,"ATRASADO","Definir data"),IF($J437&lt;Hoje,"ATRASADO",IF($J437=Hoje,"HOJE","Em dia"))))</f>
        <v/>
      </c>
      <c r="S437" s="23">
        <f>IF($R437="","",IF(OR($R437="ATRASADO",$R437="HOJE",$R437="Definir data"),COUNTIF($R$5:$R437,"ATRASADO")+COUNTIF($R$5:$R437,"HOJE")+COUNTIF($R$5:$R437,"Definir data"),""))</f>
        <v/>
      </c>
      <c r="T437" s="18">
        <f>IF($C437="","",IF(OR($B437="",$E437="",$F437="",$G437=""),"Preencher entrada/origem/vendedor/etapa",IF(AND(OR($P437="Ganho",$P437="Perdido"),$K437=""),"Falta data de fechamento",IF(AND($P437="Perdido",$L437=""),"Informe o motivo da perda","OK"))))</f>
        <v/>
      </c>
    </row>
    <row r="438" spans="1:20">
      <c r="A438" s="18">
        <f>IF($C438="","",ROW()-4)</f>
        <v/>
      </c>
      <c r="B438" s="19"/>
      <c r="C438" s="13"/>
      <c r="D438" s="13"/>
      <c r="E438" s="13"/>
      <c r="F438" s="13"/>
      <c r="G438" s="13"/>
      <c r="H438" s="15"/>
      <c r="I438" s="19"/>
      <c r="J438" s="19"/>
      <c r="K438" s="19"/>
      <c r="L438" s="13"/>
      <c r="M438" s="13"/>
      <c r="N438" s="20">
        <f>IF($C438="","",IFERROR(INDEX(EtapaProb,MATCH($G438,Etapas,0)),0))</f>
        <v/>
      </c>
      <c r="O438" s="21">
        <f>IF($C438="","",IF($P438="Aberto",N($H438)*$N438,0))</f>
        <v/>
      </c>
      <c r="P438" s="18">
        <f>IF($C438="","",IF($G438="Ganho","Ganho",IF($G438="Perdido","Perdido","Aberto")))</f>
        <v/>
      </c>
      <c r="Q438" s="18">
        <f>IF(OR($C438="",$P438&lt;&gt;"Aberto"),"",IF($I438="",Hoje-$B438,Hoje-$I438))</f>
        <v/>
      </c>
      <c r="R438" s="22">
        <f>IF(OR($C438="",$P438&lt;&gt;"Aberto"),"",IF($J438="",IF($Q438&gt;DiasSC,"ATRASADO","Definir data"),IF($J438&lt;Hoje,"ATRASADO",IF($J438=Hoje,"HOJE","Em dia"))))</f>
        <v/>
      </c>
      <c r="S438" s="23">
        <f>IF($R438="","",IF(OR($R438="ATRASADO",$R438="HOJE",$R438="Definir data"),COUNTIF($R$5:$R438,"ATRASADO")+COUNTIF($R$5:$R438,"HOJE")+COUNTIF($R$5:$R438,"Definir data"),""))</f>
        <v/>
      </c>
      <c r="T438" s="18">
        <f>IF($C438="","",IF(OR($B438="",$E438="",$F438="",$G438=""),"Preencher entrada/origem/vendedor/etapa",IF(AND(OR($P438="Ganho",$P438="Perdido"),$K438=""),"Falta data de fechamento",IF(AND($P438="Perdido",$L438=""),"Informe o motivo da perda","OK"))))</f>
        <v/>
      </c>
    </row>
    <row r="439" spans="1:20">
      <c r="A439" s="18">
        <f>IF($C439="","",ROW()-4)</f>
        <v/>
      </c>
      <c r="B439" s="19"/>
      <c r="C439" s="13"/>
      <c r="D439" s="13"/>
      <c r="E439" s="13"/>
      <c r="F439" s="13"/>
      <c r="G439" s="13"/>
      <c r="H439" s="15"/>
      <c r="I439" s="19"/>
      <c r="J439" s="19"/>
      <c r="K439" s="19"/>
      <c r="L439" s="13"/>
      <c r="M439" s="13"/>
      <c r="N439" s="20">
        <f>IF($C439="","",IFERROR(INDEX(EtapaProb,MATCH($G439,Etapas,0)),0))</f>
        <v/>
      </c>
      <c r="O439" s="21">
        <f>IF($C439="","",IF($P439="Aberto",N($H439)*$N439,0))</f>
        <v/>
      </c>
      <c r="P439" s="18">
        <f>IF($C439="","",IF($G439="Ganho","Ganho",IF($G439="Perdido","Perdido","Aberto")))</f>
        <v/>
      </c>
      <c r="Q439" s="18">
        <f>IF(OR($C439="",$P439&lt;&gt;"Aberto"),"",IF($I439="",Hoje-$B439,Hoje-$I439))</f>
        <v/>
      </c>
      <c r="R439" s="22">
        <f>IF(OR($C439="",$P439&lt;&gt;"Aberto"),"",IF($J439="",IF($Q439&gt;DiasSC,"ATRASADO","Definir data"),IF($J439&lt;Hoje,"ATRASADO",IF($J439=Hoje,"HOJE","Em dia"))))</f>
        <v/>
      </c>
      <c r="S439" s="23">
        <f>IF($R439="","",IF(OR($R439="ATRASADO",$R439="HOJE",$R439="Definir data"),COUNTIF($R$5:$R439,"ATRASADO")+COUNTIF($R$5:$R439,"HOJE")+COUNTIF($R$5:$R439,"Definir data"),""))</f>
        <v/>
      </c>
      <c r="T439" s="18">
        <f>IF($C439="","",IF(OR($B439="",$E439="",$F439="",$G439=""),"Preencher entrada/origem/vendedor/etapa",IF(AND(OR($P439="Ganho",$P439="Perdido"),$K439=""),"Falta data de fechamento",IF(AND($P439="Perdido",$L439=""),"Informe o motivo da perda","OK"))))</f>
        <v/>
      </c>
    </row>
    <row r="440" spans="1:20">
      <c r="A440" s="18">
        <f>IF($C440="","",ROW()-4)</f>
        <v/>
      </c>
      <c r="B440" s="19"/>
      <c r="C440" s="13"/>
      <c r="D440" s="13"/>
      <c r="E440" s="13"/>
      <c r="F440" s="13"/>
      <c r="G440" s="13"/>
      <c r="H440" s="15"/>
      <c r="I440" s="19"/>
      <c r="J440" s="19"/>
      <c r="K440" s="19"/>
      <c r="L440" s="13"/>
      <c r="M440" s="13"/>
      <c r="N440" s="20">
        <f>IF($C440="","",IFERROR(INDEX(EtapaProb,MATCH($G440,Etapas,0)),0))</f>
        <v/>
      </c>
      <c r="O440" s="21">
        <f>IF($C440="","",IF($P440="Aberto",N($H440)*$N440,0))</f>
        <v/>
      </c>
      <c r="P440" s="18">
        <f>IF($C440="","",IF($G440="Ganho","Ganho",IF($G440="Perdido","Perdido","Aberto")))</f>
        <v/>
      </c>
      <c r="Q440" s="18">
        <f>IF(OR($C440="",$P440&lt;&gt;"Aberto"),"",IF($I440="",Hoje-$B440,Hoje-$I440))</f>
        <v/>
      </c>
      <c r="R440" s="22">
        <f>IF(OR($C440="",$P440&lt;&gt;"Aberto"),"",IF($J440="",IF($Q440&gt;DiasSC,"ATRASADO","Definir data"),IF($J440&lt;Hoje,"ATRASADO",IF($J440=Hoje,"HOJE","Em dia"))))</f>
        <v/>
      </c>
      <c r="S440" s="23">
        <f>IF($R440="","",IF(OR($R440="ATRASADO",$R440="HOJE",$R440="Definir data"),COUNTIF($R$5:$R440,"ATRASADO")+COUNTIF($R$5:$R440,"HOJE")+COUNTIF($R$5:$R440,"Definir data"),""))</f>
        <v/>
      </c>
      <c r="T440" s="18">
        <f>IF($C440="","",IF(OR($B440="",$E440="",$F440="",$G440=""),"Preencher entrada/origem/vendedor/etapa",IF(AND(OR($P440="Ganho",$P440="Perdido"),$K440=""),"Falta data de fechamento",IF(AND($P440="Perdido",$L440=""),"Informe o motivo da perda","OK"))))</f>
        <v/>
      </c>
    </row>
    <row r="441" spans="1:20">
      <c r="A441" s="18">
        <f>IF($C441="","",ROW()-4)</f>
        <v/>
      </c>
      <c r="B441" s="19"/>
      <c r="C441" s="13"/>
      <c r="D441" s="13"/>
      <c r="E441" s="13"/>
      <c r="F441" s="13"/>
      <c r="G441" s="13"/>
      <c r="H441" s="15"/>
      <c r="I441" s="19"/>
      <c r="J441" s="19"/>
      <c r="K441" s="19"/>
      <c r="L441" s="13"/>
      <c r="M441" s="13"/>
      <c r="N441" s="20">
        <f>IF($C441="","",IFERROR(INDEX(EtapaProb,MATCH($G441,Etapas,0)),0))</f>
        <v/>
      </c>
      <c r="O441" s="21">
        <f>IF($C441="","",IF($P441="Aberto",N($H441)*$N441,0))</f>
        <v/>
      </c>
      <c r="P441" s="18">
        <f>IF($C441="","",IF($G441="Ganho","Ganho",IF($G441="Perdido","Perdido","Aberto")))</f>
        <v/>
      </c>
      <c r="Q441" s="18">
        <f>IF(OR($C441="",$P441&lt;&gt;"Aberto"),"",IF($I441="",Hoje-$B441,Hoje-$I441))</f>
        <v/>
      </c>
      <c r="R441" s="22">
        <f>IF(OR($C441="",$P441&lt;&gt;"Aberto"),"",IF($J441="",IF($Q441&gt;DiasSC,"ATRASADO","Definir data"),IF($J441&lt;Hoje,"ATRASADO",IF($J441=Hoje,"HOJE","Em dia"))))</f>
        <v/>
      </c>
      <c r="S441" s="23">
        <f>IF($R441="","",IF(OR($R441="ATRASADO",$R441="HOJE",$R441="Definir data"),COUNTIF($R$5:$R441,"ATRASADO")+COUNTIF($R$5:$R441,"HOJE")+COUNTIF($R$5:$R441,"Definir data"),""))</f>
        <v/>
      </c>
      <c r="T441" s="18">
        <f>IF($C441="","",IF(OR($B441="",$E441="",$F441="",$G441=""),"Preencher entrada/origem/vendedor/etapa",IF(AND(OR($P441="Ganho",$P441="Perdido"),$K441=""),"Falta data de fechamento",IF(AND($P441="Perdido",$L441=""),"Informe o motivo da perda","OK"))))</f>
        <v/>
      </c>
    </row>
    <row r="442" spans="1:20">
      <c r="A442" s="18">
        <f>IF($C442="","",ROW()-4)</f>
        <v/>
      </c>
      <c r="B442" s="19"/>
      <c r="C442" s="13"/>
      <c r="D442" s="13"/>
      <c r="E442" s="13"/>
      <c r="F442" s="13"/>
      <c r="G442" s="13"/>
      <c r="H442" s="15"/>
      <c r="I442" s="19"/>
      <c r="J442" s="19"/>
      <c r="K442" s="19"/>
      <c r="L442" s="13"/>
      <c r="M442" s="13"/>
      <c r="N442" s="20">
        <f>IF($C442="","",IFERROR(INDEX(EtapaProb,MATCH($G442,Etapas,0)),0))</f>
        <v/>
      </c>
      <c r="O442" s="21">
        <f>IF($C442="","",IF($P442="Aberto",N($H442)*$N442,0))</f>
        <v/>
      </c>
      <c r="P442" s="18">
        <f>IF($C442="","",IF($G442="Ganho","Ganho",IF($G442="Perdido","Perdido","Aberto")))</f>
        <v/>
      </c>
      <c r="Q442" s="18">
        <f>IF(OR($C442="",$P442&lt;&gt;"Aberto"),"",IF($I442="",Hoje-$B442,Hoje-$I442))</f>
        <v/>
      </c>
      <c r="R442" s="22">
        <f>IF(OR($C442="",$P442&lt;&gt;"Aberto"),"",IF($J442="",IF($Q442&gt;DiasSC,"ATRASADO","Definir data"),IF($J442&lt;Hoje,"ATRASADO",IF($J442=Hoje,"HOJE","Em dia"))))</f>
        <v/>
      </c>
      <c r="S442" s="23">
        <f>IF($R442="","",IF(OR($R442="ATRASADO",$R442="HOJE",$R442="Definir data"),COUNTIF($R$5:$R442,"ATRASADO")+COUNTIF($R$5:$R442,"HOJE")+COUNTIF($R$5:$R442,"Definir data"),""))</f>
        <v/>
      </c>
      <c r="T442" s="18">
        <f>IF($C442="","",IF(OR($B442="",$E442="",$F442="",$G442=""),"Preencher entrada/origem/vendedor/etapa",IF(AND(OR($P442="Ganho",$P442="Perdido"),$K442=""),"Falta data de fechamento",IF(AND($P442="Perdido",$L442=""),"Informe o motivo da perda","OK"))))</f>
        <v/>
      </c>
    </row>
    <row r="443" spans="1:20">
      <c r="A443" s="18">
        <f>IF($C443="","",ROW()-4)</f>
        <v/>
      </c>
      <c r="B443" s="19"/>
      <c r="C443" s="13"/>
      <c r="D443" s="13"/>
      <c r="E443" s="13"/>
      <c r="F443" s="13"/>
      <c r="G443" s="13"/>
      <c r="H443" s="15"/>
      <c r="I443" s="19"/>
      <c r="J443" s="19"/>
      <c r="K443" s="19"/>
      <c r="L443" s="13"/>
      <c r="M443" s="13"/>
      <c r="N443" s="20">
        <f>IF($C443="","",IFERROR(INDEX(EtapaProb,MATCH($G443,Etapas,0)),0))</f>
        <v/>
      </c>
      <c r="O443" s="21">
        <f>IF($C443="","",IF($P443="Aberto",N($H443)*$N443,0))</f>
        <v/>
      </c>
      <c r="P443" s="18">
        <f>IF($C443="","",IF($G443="Ganho","Ganho",IF($G443="Perdido","Perdido","Aberto")))</f>
        <v/>
      </c>
      <c r="Q443" s="18">
        <f>IF(OR($C443="",$P443&lt;&gt;"Aberto"),"",IF($I443="",Hoje-$B443,Hoje-$I443))</f>
        <v/>
      </c>
      <c r="R443" s="22">
        <f>IF(OR($C443="",$P443&lt;&gt;"Aberto"),"",IF($J443="",IF($Q443&gt;DiasSC,"ATRASADO","Definir data"),IF($J443&lt;Hoje,"ATRASADO",IF($J443=Hoje,"HOJE","Em dia"))))</f>
        <v/>
      </c>
      <c r="S443" s="23">
        <f>IF($R443="","",IF(OR($R443="ATRASADO",$R443="HOJE",$R443="Definir data"),COUNTIF($R$5:$R443,"ATRASADO")+COUNTIF($R$5:$R443,"HOJE")+COUNTIF($R$5:$R443,"Definir data"),""))</f>
        <v/>
      </c>
      <c r="T443" s="18">
        <f>IF($C443="","",IF(OR($B443="",$E443="",$F443="",$G443=""),"Preencher entrada/origem/vendedor/etapa",IF(AND(OR($P443="Ganho",$P443="Perdido"),$K443=""),"Falta data de fechamento",IF(AND($P443="Perdido",$L443=""),"Informe o motivo da perda","OK"))))</f>
        <v/>
      </c>
    </row>
    <row r="444" spans="1:20">
      <c r="A444" s="18">
        <f>IF($C444="","",ROW()-4)</f>
        <v/>
      </c>
      <c r="B444" s="19"/>
      <c r="C444" s="13"/>
      <c r="D444" s="13"/>
      <c r="E444" s="13"/>
      <c r="F444" s="13"/>
      <c r="G444" s="13"/>
      <c r="H444" s="15"/>
      <c r="I444" s="19"/>
      <c r="J444" s="19"/>
      <c r="K444" s="19"/>
      <c r="L444" s="13"/>
      <c r="M444" s="13"/>
      <c r="N444" s="20">
        <f>IF($C444="","",IFERROR(INDEX(EtapaProb,MATCH($G444,Etapas,0)),0))</f>
        <v/>
      </c>
      <c r="O444" s="21">
        <f>IF($C444="","",IF($P444="Aberto",N($H444)*$N444,0))</f>
        <v/>
      </c>
      <c r="P444" s="18">
        <f>IF($C444="","",IF($G444="Ganho","Ganho",IF($G444="Perdido","Perdido","Aberto")))</f>
        <v/>
      </c>
      <c r="Q444" s="18">
        <f>IF(OR($C444="",$P444&lt;&gt;"Aberto"),"",IF($I444="",Hoje-$B444,Hoje-$I444))</f>
        <v/>
      </c>
      <c r="R444" s="22">
        <f>IF(OR($C444="",$P444&lt;&gt;"Aberto"),"",IF($J444="",IF($Q444&gt;DiasSC,"ATRASADO","Definir data"),IF($J444&lt;Hoje,"ATRASADO",IF($J444=Hoje,"HOJE","Em dia"))))</f>
        <v/>
      </c>
      <c r="S444" s="23">
        <f>IF($R444="","",IF(OR($R444="ATRASADO",$R444="HOJE",$R444="Definir data"),COUNTIF($R$5:$R444,"ATRASADO")+COUNTIF($R$5:$R444,"HOJE")+COUNTIF($R$5:$R444,"Definir data"),""))</f>
        <v/>
      </c>
      <c r="T444" s="18">
        <f>IF($C444="","",IF(OR($B444="",$E444="",$F444="",$G444=""),"Preencher entrada/origem/vendedor/etapa",IF(AND(OR($P444="Ganho",$P444="Perdido"),$K444=""),"Falta data de fechamento",IF(AND($P444="Perdido",$L444=""),"Informe o motivo da perda","OK"))))</f>
        <v/>
      </c>
    </row>
    <row r="445" spans="1:20">
      <c r="A445" s="18">
        <f>IF($C445="","",ROW()-4)</f>
        <v/>
      </c>
      <c r="B445" s="19"/>
      <c r="C445" s="13"/>
      <c r="D445" s="13"/>
      <c r="E445" s="13"/>
      <c r="F445" s="13"/>
      <c r="G445" s="13"/>
      <c r="H445" s="15"/>
      <c r="I445" s="19"/>
      <c r="J445" s="19"/>
      <c r="K445" s="19"/>
      <c r="L445" s="13"/>
      <c r="M445" s="13"/>
      <c r="N445" s="20">
        <f>IF($C445="","",IFERROR(INDEX(EtapaProb,MATCH($G445,Etapas,0)),0))</f>
        <v/>
      </c>
      <c r="O445" s="21">
        <f>IF($C445="","",IF($P445="Aberto",N($H445)*$N445,0))</f>
        <v/>
      </c>
      <c r="P445" s="18">
        <f>IF($C445="","",IF($G445="Ganho","Ganho",IF($G445="Perdido","Perdido","Aberto")))</f>
        <v/>
      </c>
      <c r="Q445" s="18">
        <f>IF(OR($C445="",$P445&lt;&gt;"Aberto"),"",IF($I445="",Hoje-$B445,Hoje-$I445))</f>
        <v/>
      </c>
      <c r="R445" s="22">
        <f>IF(OR($C445="",$P445&lt;&gt;"Aberto"),"",IF($J445="",IF($Q445&gt;DiasSC,"ATRASADO","Definir data"),IF($J445&lt;Hoje,"ATRASADO",IF($J445=Hoje,"HOJE","Em dia"))))</f>
        <v/>
      </c>
      <c r="S445" s="23">
        <f>IF($R445="","",IF(OR($R445="ATRASADO",$R445="HOJE",$R445="Definir data"),COUNTIF($R$5:$R445,"ATRASADO")+COUNTIF($R$5:$R445,"HOJE")+COUNTIF($R$5:$R445,"Definir data"),""))</f>
        <v/>
      </c>
      <c r="T445" s="18">
        <f>IF($C445="","",IF(OR($B445="",$E445="",$F445="",$G445=""),"Preencher entrada/origem/vendedor/etapa",IF(AND(OR($P445="Ganho",$P445="Perdido"),$K445=""),"Falta data de fechamento",IF(AND($P445="Perdido",$L445=""),"Informe o motivo da perda","OK"))))</f>
        <v/>
      </c>
    </row>
    <row r="446" spans="1:20">
      <c r="A446" s="18">
        <f>IF($C446="","",ROW()-4)</f>
        <v/>
      </c>
      <c r="B446" s="19"/>
      <c r="C446" s="13"/>
      <c r="D446" s="13"/>
      <c r="E446" s="13"/>
      <c r="F446" s="13"/>
      <c r="G446" s="13"/>
      <c r="H446" s="15"/>
      <c r="I446" s="19"/>
      <c r="J446" s="19"/>
      <c r="K446" s="19"/>
      <c r="L446" s="13"/>
      <c r="M446" s="13"/>
      <c r="N446" s="20">
        <f>IF($C446="","",IFERROR(INDEX(EtapaProb,MATCH($G446,Etapas,0)),0))</f>
        <v/>
      </c>
      <c r="O446" s="21">
        <f>IF($C446="","",IF($P446="Aberto",N($H446)*$N446,0))</f>
        <v/>
      </c>
      <c r="P446" s="18">
        <f>IF($C446="","",IF($G446="Ganho","Ganho",IF($G446="Perdido","Perdido","Aberto")))</f>
        <v/>
      </c>
      <c r="Q446" s="18">
        <f>IF(OR($C446="",$P446&lt;&gt;"Aberto"),"",IF($I446="",Hoje-$B446,Hoje-$I446))</f>
        <v/>
      </c>
      <c r="R446" s="22">
        <f>IF(OR($C446="",$P446&lt;&gt;"Aberto"),"",IF($J446="",IF($Q446&gt;DiasSC,"ATRASADO","Definir data"),IF($J446&lt;Hoje,"ATRASADO",IF($J446=Hoje,"HOJE","Em dia"))))</f>
        <v/>
      </c>
      <c r="S446" s="23">
        <f>IF($R446="","",IF(OR($R446="ATRASADO",$R446="HOJE",$R446="Definir data"),COUNTIF($R$5:$R446,"ATRASADO")+COUNTIF($R$5:$R446,"HOJE")+COUNTIF($R$5:$R446,"Definir data"),""))</f>
        <v/>
      </c>
      <c r="T446" s="18">
        <f>IF($C446="","",IF(OR($B446="",$E446="",$F446="",$G446=""),"Preencher entrada/origem/vendedor/etapa",IF(AND(OR($P446="Ganho",$P446="Perdido"),$K446=""),"Falta data de fechamento",IF(AND($P446="Perdido",$L446=""),"Informe o motivo da perda","OK"))))</f>
        <v/>
      </c>
    </row>
    <row r="447" spans="1:20">
      <c r="A447" s="18">
        <f>IF($C447="","",ROW()-4)</f>
        <v/>
      </c>
      <c r="B447" s="19"/>
      <c r="C447" s="13"/>
      <c r="D447" s="13"/>
      <c r="E447" s="13"/>
      <c r="F447" s="13"/>
      <c r="G447" s="13"/>
      <c r="H447" s="15"/>
      <c r="I447" s="19"/>
      <c r="J447" s="19"/>
      <c r="K447" s="19"/>
      <c r="L447" s="13"/>
      <c r="M447" s="13"/>
      <c r="N447" s="20">
        <f>IF($C447="","",IFERROR(INDEX(EtapaProb,MATCH($G447,Etapas,0)),0))</f>
        <v/>
      </c>
      <c r="O447" s="21">
        <f>IF($C447="","",IF($P447="Aberto",N($H447)*$N447,0))</f>
        <v/>
      </c>
      <c r="P447" s="18">
        <f>IF($C447="","",IF($G447="Ganho","Ganho",IF($G447="Perdido","Perdido","Aberto")))</f>
        <v/>
      </c>
      <c r="Q447" s="18">
        <f>IF(OR($C447="",$P447&lt;&gt;"Aberto"),"",IF($I447="",Hoje-$B447,Hoje-$I447))</f>
        <v/>
      </c>
      <c r="R447" s="22">
        <f>IF(OR($C447="",$P447&lt;&gt;"Aberto"),"",IF($J447="",IF($Q447&gt;DiasSC,"ATRASADO","Definir data"),IF($J447&lt;Hoje,"ATRASADO",IF($J447=Hoje,"HOJE","Em dia"))))</f>
        <v/>
      </c>
      <c r="S447" s="23">
        <f>IF($R447="","",IF(OR($R447="ATRASADO",$R447="HOJE",$R447="Definir data"),COUNTIF($R$5:$R447,"ATRASADO")+COUNTIF($R$5:$R447,"HOJE")+COUNTIF($R$5:$R447,"Definir data"),""))</f>
        <v/>
      </c>
      <c r="T447" s="18">
        <f>IF($C447="","",IF(OR($B447="",$E447="",$F447="",$G447=""),"Preencher entrada/origem/vendedor/etapa",IF(AND(OR($P447="Ganho",$P447="Perdido"),$K447=""),"Falta data de fechamento",IF(AND($P447="Perdido",$L447=""),"Informe o motivo da perda","OK"))))</f>
        <v/>
      </c>
    </row>
    <row r="448" spans="1:20">
      <c r="A448" s="18">
        <f>IF($C448="","",ROW()-4)</f>
        <v/>
      </c>
      <c r="B448" s="19"/>
      <c r="C448" s="13"/>
      <c r="D448" s="13"/>
      <c r="E448" s="13"/>
      <c r="F448" s="13"/>
      <c r="G448" s="13"/>
      <c r="H448" s="15"/>
      <c r="I448" s="19"/>
      <c r="J448" s="19"/>
      <c r="K448" s="19"/>
      <c r="L448" s="13"/>
      <c r="M448" s="13"/>
      <c r="N448" s="20">
        <f>IF($C448="","",IFERROR(INDEX(EtapaProb,MATCH($G448,Etapas,0)),0))</f>
        <v/>
      </c>
      <c r="O448" s="21">
        <f>IF($C448="","",IF($P448="Aberto",N($H448)*$N448,0))</f>
        <v/>
      </c>
      <c r="P448" s="18">
        <f>IF($C448="","",IF($G448="Ganho","Ganho",IF($G448="Perdido","Perdido","Aberto")))</f>
        <v/>
      </c>
      <c r="Q448" s="18">
        <f>IF(OR($C448="",$P448&lt;&gt;"Aberto"),"",IF($I448="",Hoje-$B448,Hoje-$I448))</f>
        <v/>
      </c>
      <c r="R448" s="22">
        <f>IF(OR($C448="",$P448&lt;&gt;"Aberto"),"",IF($J448="",IF($Q448&gt;DiasSC,"ATRASADO","Definir data"),IF($J448&lt;Hoje,"ATRASADO",IF($J448=Hoje,"HOJE","Em dia"))))</f>
        <v/>
      </c>
      <c r="S448" s="23">
        <f>IF($R448="","",IF(OR($R448="ATRASADO",$R448="HOJE",$R448="Definir data"),COUNTIF($R$5:$R448,"ATRASADO")+COUNTIF($R$5:$R448,"HOJE")+COUNTIF($R$5:$R448,"Definir data"),""))</f>
        <v/>
      </c>
      <c r="T448" s="18">
        <f>IF($C448="","",IF(OR($B448="",$E448="",$F448="",$G448=""),"Preencher entrada/origem/vendedor/etapa",IF(AND(OR($P448="Ganho",$P448="Perdido"),$K448=""),"Falta data de fechamento",IF(AND($P448="Perdido",$L448=""),"Informe o motivo da perda","OK"))))</f>
        <v/>
      </c>
    </row>
    <row r="449" spans="1:20">
      <c r="A449" s="18">
        <f>IF($C449="","",ROW()-4)</f>
        <v/>
      </c>
      <c r="B449" s="19"/>
      <c r="C449" s="13"/>
      <c r="D449" s="13"/>
      <c r="E449" s="13"/>
      <c r="F449" s="13"/>
      <c r="G449" s="13"/>
      <c r="H449" s="15"/>
      <c r="I449" s="19"/>
      <c r="J449" s="19"/>
      <c r="K449" s="19"/>
      <c r="L449" s="13"/>
      <c r="M449" s="13"/>
      <c r="N449" s="20">
        <f>IF($C449="","",IFERROR(INDEX(EtapaProb,MATCH($G449,Etapas,0)),0))</f>
        <v/>
      </c>
      <c r="O449" s="21">
        <f>IF($C449="","",IF($P449="Aberto",N($H449)*$N449,0))</f>
        <v/>
      </c>
      <c r="P449" s="18">
        <f>IF($C449="","",IF($G449="Ganho","Ganho",IF($G449="Perdido","Perdido","Aberto")))</f>
        <v/>
      </c>
      <c r="Q449" s="18">
        <f>IF(OR($C449="",$P449&lt;&gt;"Aberto"),"",IF($I449="",Hoje-$B449,Hoje-$I449))</f>
        <v/>
      </c>
      <c r="R449" s="22">
        <f>IF(OR($C449="",$P449&lt;&gt;"Aberto"),"",IF($J449="",IF($Q449&gt;DiasSC,"ATRASADO","Definir data"),IF($J449&lt;Hoje,"ATRASADO",IF($J449=Hoje,"HOJE","Em dia"))))</f>
        <v/>
      </c>
      <c r="S449" s="23">
        <f>IF($R449="","",IF(OR($R449="ATRASADO",$R449="HOJE",$R449="Definir data"),COUNTIF($R$5:$R449,"ATRASADO")+COUNTIF($R$5:$R449,"HOJE")+COUNTIF($R$5:$R449,"Definir data"),""))</f>
        <v/>
      </c>
      <c r="T449" s="18">
        <f>IF($C449="","",IF(OR($B449="",$E449="",$F449="",$G449=""),"Preencher entrada/origem/vendedor/etapa",IF(AND(OR($P449="Ganho",$P449="Perdido"),$K449=""),"Falta data de fechamento",IF(AND($P449="Perdido",$L449=""),"Informe o motivo da perda","OK"))))</f>
        <v/>
      </c>
    </row>
    <row r="450" spans="1:20">
      <c r="A450" s="18">
        <f>IF($C450="","",ROW()-4)</f>
        <v/>
      </c>
      <c r="B450" s="19"/>
      <c r="C450" s="13"/>
      <c r="D450" s="13"/>
      <c r="E450" s="13"/>
      <c r="F450" s="13"/>
      <c r="G450" s="13"/>
      <c r="H450" s="15"/>
      <c r="I450" s="19"/>
      <c r="J450" s="19"/>
      <c r="K450" s="19"/>
      <c r="L450" s="13"/>
      <c r="M450" s="13"/>
      <c r="N450" s="20">
        <f>IF($C450="","",IFERROR(INDEX(EtapaProb,MATCH($G450,Etapas,0)),0))</f>
        <v/>
      </c>
      <c r="O450" s="21">
        <f>IF($C450="","",IF($P450="Aberto",N($H450)*$N450,0))</f>
        <v/>
      </c>
      <c r="P450" s="18">
        <f>IF($C450="","",IF($G450="Ganho","Ganho",IF($G450="Perdido","Perdido","Aberto")))</f>
        <v/>
      </c>
      <c r="Q450" s="18">
        <f>IF(OR($C450="",$P450&lt;&gt;"Aberto"),"",IF($I450="",Hoje-$B450,Hoje-$I450))</f>
        <v/>
      </c>
      <c r="R450" s="22">
        <f>IF(OR($C450="",$P450&lt;&gt;"Aberto"),"",IF($J450="",IF($Q450&gt;DiasSC,"ATRASADO","Definir data"),IF($J450&lt;Hoje,"ATRASADO",IF($J450=Hoje,"HOJE","Em dia"))))</f>
        <v/>
      </c>
      <c r="S450" s="23">
        <f>IF($R450="","",IF(OR($R450="ATRASADO",$R450="HOJE",$R450="Definir data"),COUNTIF($R$5:$R450,"ATRASADO")+COUNTIF($R$5:$R450,"HOJE")+COUNTIF($R$5:$R450,"Definir data"),""))</f>
        <v/>
      </c>
      <c r="T450" s="18">
        <f>IF($C450="","",IF(OR($B450="",$E450="",$F450="",$G450=""),"Preencher entrada/origem/vendedor/etapa",IF(AND(OR($P450="Ganho",$P450="Perdido"),$K450=""),"Falta data de fechamento",IF(AND($P450="Perdido",$L450=""),"Informe o motivo da perda","OK"))))</f>
        <v/>
      </c>
    </row>
    <row r="451" spans="1:20">
      <c r="A451" s="18">
        <f>IF($C451="","",ROW()-4)</f>
        <v/>
      </c>
      <c r="B451" s="19"/>
      <c r="C451" s="13"/>
      <c r="D451" s="13"/>
      <c r="E451" s="13"/>
      <c r="F451" s="13"/>
      <c r="G451" s="13"/>
      <c r="H451" s="15"/>
      <c r="I451" s="19"/>
      <c r="J451" s="19"/>
      <c r="K451" s="19"/>
      <c r="L451" s="13"/>
      <c r="M451" s="13"/>
      <c r="N451" s="20">
        <f>IF($C451="","",IFERROR(INDEX(EtapaProb,MATCH($G451,Etapas,0)),0))</f>
        <v/>
      </c>
      <c r="O451" s="21">
        <f>IF($C451="","",IF($P451="Aberto",N($H451)*$N451,0))</f>
        <v/>
      </c>
      <c r="P451" s="18">
        <f>IF($C451="","",IF($G451="Ganho","Ganho",IF($G451="Perdido","Perdido","Aberto")))</f>
        <v/>
      </c>
      <c r="Q451" s="18">
        <f>IF(OR($C451="",$P451&lt;&gt;"Aberto"),"",IF($I451="",Hoje-$B451,Hoje-$I451))</f>
        <v/>
      </c>
      <c r="R451" s="22">
        <f>IF(OR($C451="",$P451&lt;&gt;"Aberto"),"",IF($J451="",IF($Q451&gt;DiasSC,"ATRASADO","Definir data"),IF($J451&lt;Hoje,"ATRASADO",IF($J451=Hoje,"HOJE","Em dia"))))</f>
        <v/>
      </c>
      <c r="S451" s="23">
        <f>IF($R451="","",IF(OR($R451="ATRASADO",$R451="HOJE",$R451="Definir data"),COUNTIF($R$5:$R451,"ATRASADO")+COUNTIF($R$5:$R451,"HOJE")+COUNTIF($R$5:$R451,"Definir data"),""))</f>
        <v/>
      </c>
      <c r="T451" s="18">
        <f>IF($C451="","",IF(OR($B451="",$E451="",$F451="",$G451=""),"Preencher entrada/origem/vendedor/etapa",IF(AND(OR($P451="Ganho",$P451="Perdido"),$K451=""),"Falta data de fechamento",IF(AND($P451="Perdido",$L451=""),"Informe o motivo da perda","OK"))))</f>
        <v/>
      </c>
    </row>
    <row r="452" spans="1:20">
      <c r="A452" s="18">
        <f>IF($C452="","",ROW()-4)</f>
        <v/>
      </c>
      <c r="B452" s="19"/>
      <c r="C452" s="13"/>
      <c r="D452" s="13"/>
      <c r="E452" s="13"/>
      <c r="F452" s="13"/>
      <c r="G452" s="13"/>
      <c r="H452" s="15"/>
      <c r="I452" s="19"/>
      <c r="J452" s="19"/>
      <c r="K452" s="19"/>
      <c r="L452" s="13"/>
      <c r="M452" s="13"/>
      <c r="N452" s="20">
        <f>IF($C452="","",IFERROR(INDEX(EtapaProb,MATCH($G452,Etapas,0)),0))</f>
        <v/>
      </c>
      <c r="O452" s="21">
        <f>IF($C452="","",IF($P452="Aberto",N($H452)*$N452,0))</f>
        <v/>
      </c>
      <c r="P452" s="18">
        <f>IF($C452="","",IF($G452="Ganho","Ganho",IF($G452="Perdido","Perdido","Aberto")))</f>
        <v/>
      </c>
      <c r="Q452" s="18">
        <f>IF(OR($C452="",$P452&lt;&gt;"Aberto"),"",IF($I452="",Hoje-$B452,Hoje-$I452))</f>
        <v/>
      </c>
      <c r="R452" s="22">
        <f>IF(OR($C452="",$P452&lt;&gt;"Aberto"),"",IF($J452="",IF($Q452&gt;DiasSC,"ATRASADO","Definir data"),IF($J452&lt;Hoje,"ATRASADO",IF($J452=Hoje,"HOJE","Em dia"))))</f>
        <v/>
      </c>
      <c r="S452" s="23">
        <f>IF($R452="","",IF(OR($R452="ATRASADO",$R452="HOJE",$R452="Definir data"),COUNTIF($R$5:$R452,"ATRASADO")+COUNTIF($R$5:$R452,"HOJE")+COUNTIF($R$5:$R452,"Definir data"),""))</f>
        <v/>
      </c>
      <c r="T452" s="18">
        <f>IF($C452="","",IF(OR($B452="",$E452="",$F452="",$G452=""),"Preencher entrada/origem/vendedor/etapa",IF(AND(OR($P452="Ganho",$P452="Perdido"),$K452=""),"Falta data de fechamento",IF(AND($P452="Perdido",$L452=""),"Informe o motivo da perda","OK"))))</f>
        <v/>
      </c>
    </row>
    <row r="453" spans="1:20">
      <c r="A453" s="18">
        <f>IF($C453="","",ROW()-4)</f>
        <v/>
      </c>
      <c r="B453" s="19"/>
      <c r="C453" s="13"/>
      <c r="D453" s="13"/>
      <c r="E453" s="13"/>
      <c r="F453" s="13"/>
      <c r="G453" s="13"/>
      <c r="H453" s="15"/>
      <c r="I453" s="19"/>
      <c r="J453" s="19"/>
      <c r="K453" s="19"/>
      <c r="L453" s="13"/>
      <c r="M453" s="13"/>
      <c r="N453" s="20">
        <f>IF($C453="","",IFERROR(INDEX(EtapaProb,MATCH($G453,Etapas,0)),0))</f>
        <v/>
      </c>
      <c r="O453" s="21">
        <f>IF($C453="","",IF($P453="Aberto",N($H453)*$N453,0))</f>
        <v/>
      </c>
      <c r="P453" s="18">
        <f>IF($C453="","",IF($G453="Ganho","Ganho",IF($G453="Perdido","Perdido","Aberto")))</f>
        <v/>
      </c>
      <c r="Q453" s="18">
        <f>IF(OR($C453="",$P453&lt;&gt;"Aberto"),"",IF($I453="",Hoje-$B453,Hoje-$I453))</f>
        <v/>
      </c>
      <c r="R453" s="22">
        <f>IF(OR($C453="",$P453&lt;&gt;"Aberto"),"",IF($J453="",IF($Q453&gt;DiasSC,"ATRASADO","Definir data"),IF($J453&lt;Hoje,"ATRASADO",IF($J453=Hoje,"HOJE","Em dia"))))</f>
        <v/>
      </c>
      <c r="S453" s="23">
        <f>IF($R453="","",IF(OR($R453="ATRASADO",$R453="HOJE",$R453="Definir data"),COUNTIF($R$5:$R453,"ATRASADO")+COUNTIF($R$5:$R453,"HOJE")+COUNTIF($R$5:$R453,"Definir data"),""))</f>
        <v/>
      </c>
      <c r="T453" s="18">
        <f>IF($C453="","",IF(OR($B453="",$E453="",$F453="",$G453=""),"Preencher entrada/origem/vendedor/etapa",IF(AND(OR($P453="Ganho",$P453="Perdido"),$K453=""),"Falta data de fechamento",IF(AND($P453="Perdido",$L453=""),"Informe o motivo da perda","OK"))))</f>
        <v/>
      </c>
    </row>
    <row r="454" spans="1:20">
      <c r="A454" s="18">
        <f>IF($C454="","",ROW()-4)</f>
        <v/>
      </c>
      <c r="B454" s="19"/>
      <c r="C454" s="13"/>
      <c r="D454" s="13"/>
      <c r="E454" s="13"/>
      <c r="F454" s="13"/>
      <c r="G454" s="13"/>
      <c r="H454" s="15"/>
      <c r="I454" s="19"/>
      <c r="J454" s="19"/>
      <c r="K454" s="19"/>
      <c r="L454" s="13"/>
      <c r="M454" s="13"/>
      <c r="N454" s="20">
        <f>IF($C454="","",IFERROR(INDEX(EtapaProb,MATCH($G454,Etapas,0)),0))</f>
        <v/>
      </c>
      <c r="O454" s="21">
        <f>IF($C454="","",IF($P454="Aberto",N($H454)*$N454,0))</f>
        <v/>
      </c>
      <c r="P454" s="18">
        <f>IF($C454="","",IF($G454="Ganho","Ganho",IF($G454="Perdido","Perdido","Aberto")))</f>
        <v/>
      </c>
      <c r="Q454" s="18">
        <f>IF(OR($C454="",$P454&lt;&gt;"Aberto"),"",IF($I454="",Hoje-$B454,Hoje-$I454))</f>
        <v/>
      </c>
      <c r="R454" s="22">
        <f>IF(OR($C454="",$P454&lt;&gt;"Aberto"),"",IF($J454="",IF($Q454&gt;DiasSC,"ATRASADO","Definir data"),IF($J454&lt;Hoje,"ATRASADO",IF($J454=Hoje,"HOJE","Em dia"))))</f>
        <v/>
      </c>
      <c r="S454" s="23">
        <f>IF($R454="","",IF(OR($R454="ATRASADO",$R454="HOJE",$R454="Definir data"),COUNTIF($R$5:$R454,"ATRASADO")+COUNTIF($R$5:$R454,"HOJE")+COUNTIF($R$5:$R454,"Definir data"),""))</f>
        <v/>
      </c>
      <c r="T454" s="18">
        <f>IF($C454="","",IF(OR($B454="",$E454="",$F454="",$G454=""),"Preencher entrada/origem/vendedor/etapa",IF(AND(OR($P454="Ganho",$P454="Perdido"),$K454=""),"Falta data de fechamento",IF(AND($P454="Perdido",$L454=""),"Informe o motivo da perda","OK"))))</f>
        <v/>
      </c>
    </row>
    <row r="455" spans="1:20">
      <c r="A455" s="18">
        <f>IF($C455="","",ROW()-4)</f>
        <v/>
      </c>
      <c r="B455" s="19"/>
      <c r="C455" s="13"/>
      <c r="D455" s="13"/>
      <c r="E455" s="13"/>
      <c r="F455" s="13"/>
      <c r="G455" s="13"/>
      <c r="H455" s="15"/>
      <c r="I455" s="19"/>
      <c r="J455" s="19"/>
      <c r="K455" s="19"/>
      <c r="L455" s="13"/>
      <c r="M455" s="13"/>
      <c r="N455" s="20">
        <f>IF($C455="","",IFERROR(INDEX(EtapaProb,MATCH($G455,Etapas,0)),0))</f>
        <v/>
      </c>
      <c r="O455" s="21">
        <f>IF($C455="","",IF($P455="Aberto",N($H455)*$N455,0))</f>
        <v/>
      </c>
      <c r="P455" s="18">
        <f>IF($C455="","",IF($G455="Ganho","Ganho",IF($G455="Perdido","Perdido","Aberto")))</f>
        <v/>
      </c>
      <c r="Q455" s="18">
        <f>IF(OR($C455="",$P455&lt;&gt;"Aberto"),"",IF($I455="",Hoje-$B455,Hoje-$I455))</f>
        <v/>
      </c>
      <c r="R455" s="22">
        <f>IF(OR($C455="",$P455&lt;&gt;"Aberto"),"",IF($J455="",IF($Q455&gt;DiasSC,"ATRASADO","Definir data"),IF($J455&lt;Hoje,"ATRASADO",IF($J455=Hoje,"HOJE","Em dia"))))</f>
        <v/>
      </c>
      <c r="S455" s="23">
        <f>IF($R455="","",IF(OR($R455="ATRASADO",$R455="HOJE",$R455="Definir data"),COUNTIF($R$5:$R455,"ATRASADO")+COUNTIF($R$5:$R455,"HOJE")+COUNTIF($R$5:$R455,"Definir data"),""))</f>
        <v/>
      </c>
      <c r="T455" s="18">
        <f>IF($C455="","",IF(OR($B455="",$E455="",$F455="",$G455=""),"Preencher entrada/origem/vendedor/etapa",IF(AND(OR($P455="Ganho",$P455="Perdido"),$K455=""),"Falta data de fechamento",IF(AND($P455="Perdido",$L455=""),"Informe o motivo da perda","OK"))))</f>
        <v/>
      </c>
    </row>
    <row r="456" spans="1:20">
      <c r="A456" s="18">
        <f>IF($C456="","",ROW()-4)</f>
        <v/>
      </c>
      <c r="B456" s="19"/>
      <c r="C456" s="13"/>
      <c r="D456" s="13"/>
      <c r="E456" s="13"/>
      <c r="F456" s="13"/>
      <c r="G456" s="13"/>
      <c r="H456" s="15"/>
      <c r="I456" s="19"/>
      <c r="J456" s="19"/>
      <c r="K456" s="19"/>
      <c r="L456" s="13"/>
      <c r="M456" s="13"/>
      <c r="N456" s="20">
        <f>IF($C456="","",IFERROR(INDEX(EtapaProb,MATCH($G456,Etapas,0)),0))</f>
        <v/>
      </c>
      <c r="O456" s="21">
        <f>IF($C456="","",IF($P456="Aberto",N($H456)*$N456,0))</f>
        <v/>
      </c>
      <c r="P456" s="18">
        <f>IF($C456="","",IF($G456="Ganho","Ganho",IF($G456="Perdido","Perdido","Aberto")))</f>
        <v/>
      </c>
      <c r="Q456" s="18">
        <f>IF(OR($C456="",$P456&lt;&gt;"Aberto"),"",IF($I456="",Hoje-$B456,Hoje-$I456))</f>
        <v/>
      </c>
      <c r="R456" s="22">
        <f>IF(OR($C456="",$P456&lt;&gt;"Aberto"),"",IF($J456="",IF($Q456&gt;DiasSC,"ATRASADO","Definir data"),IF($J456&lt;Hoje,"ATRASADO",IF($J456=Hoje,"HOJE","Em dia"))))</f>
        <v/>
      </c>
      <c r="S456" s="23">
        <f>IF($R456="","",IF(OR($R456="ATRASADO",$R456="HOJE",$R456="Definir data"),COUNTIF($R$5:$R456,"ATRASADO")+COUNTIF($R$5:$R456,"HOJE")+COUNTIF($R$5:$R456,"Definir data"),""))</f>
        <v/>
      </c>
      <c r="T456" s="18">
        <f>IF($C456="","",IF(OR($B456="",$E456="",$F456="",$G456=""),"Preencher entrada/origem/vendedor/etapa",IF(AND(OR($P456="Ganho",$P456="Perdido"),$K456=""),"Falta data de fechamento",IF(AND($P456="Perdido",$L456=""),"Informe o motivo da perda","OK"))))</f>
        <v/>
      </c>
    </row>
    <row r="457" spans="1:20">
      <c r="A457" s="18">
        <f>IF($C457="","",ROW()-4)</f>
        <v/>
      </c>
      <c r="B457" s="19"/>
      <c r="C457" s="13"/>
      <c r="D457" s="13"/>
      <c r="E457" s="13"/>
      <c r="F457" s="13"/>
      <c r="G457" s="13"/>
      <c r="H457" s="15"/>
      <c r="I457" s="19"/>
      <c r="J457" s="19"/>
      <c r="K457" s="19"/>
      <c r="L457" s="13"/>
      <c r="M457" s="13"/>
      <c r="N457" s="20">
        <f>IF($C457="","",IFERROR(INDEX(EtapaProb,MATCH($G457,Etapas,0)),0))</f>
        <v/>
      </c>
      <c r="O457" s="21">
        <f>IF($C457="","",IF($P457="Aberto",N($H457)*$N457,0))</f>
        <v/>
      </c>
      <c r="P457" s="18">
        <f>IF($C457="","",IF($G457="Ganho","Ganho",IF($G457="Perdido","Perdido","Aberto")))</f>
        <v/>
      </c>
      <c r="Q457" s="18">
        <f>IF(OR($C457="",$P457&lt;&gt;"Aberto"),"",IF($I457="",Hoje-$B457,Hoje-$I457))</f>
        <v/>
      </c>
      <c r="R457" s="22">
        <f>IF(OR($C457="",$P457&lt;&gt;"Aberto"),"",IF($J457="",IF($Q457&gt;DiasSC,"ATRASADO","Definir data"),IF($J457&lt;Hoje,"ATRASADO",IF($J457=Hoje,"HOJE","Em dia"))))</f>
        <v/>
      </c>
      <c r="S457" s="23">
        <f>IF($R457="","",IF(OR($R457="ATRASADO",$R457="HOJE",$R457="Definir data"),COUNTIF($R$5:$R457,"ATRASADO")+COUNTIF($R$5:$R457,"HOJE")+COUNTIF($R$5:$R457,"Definir data"),""))</f>
        <v/>
      </c>
      <c r="T457" s="18">
        <f>IF($C457="","",IF(OR($B457="",$E457="",$F457="",$G457=""),"Preencher entrada/origem/vendedor/etapa",IF(AND(OR($P457="Ganho",$P457="Perdido"),$K457=""),"Falta data de fechamento",IF(AND($P457="Perdido",$L457=""),"Informe o motivo da perda","OK"))))</f>
        <v/>
      </c>
    </row>
    <row r="458" spans="1:20">
      <c r="A458" s="18">
        <f>IF($C458="","",ROW()-4)</f>
        <v/>
      </c>
      <c r="B458" s="19"/>
      <c r="C458" s="13"/>
      <c r="D458" s="13"/>
      <c r="E458" s="13"/>
      <c r="F458" s="13"/>
      <c r="G458" s="13"/>
      <c r="H458" s="15"/>
      <c r="I458" s="19"/>
      <c r="J458" s="19"/>
      <c r="K458" s="19"/>
      <c r="L458" s="13"/>
      <c r="M458" s="13"/>
      <c r="N458" s="20">
        <f>IF($C458="","",IFERROR(INDEX(EtapaProb,MATCH($G458,Etapas,0)),0))</f>
        <v/>
      </c>
      <c r="O458" s="21">
        <f>IF($C458="","",IF($P458="Aberto",N($H458)*$N458,0))</f>
        <v/>
      </c>
      <c r="P458" s="18">
        <f>IF($C458="","",IF($G458="Ganho","Ganho",IF($G458="Perdido","Perdido","Aberto")))</f>
        <v/>
      </c>
      <c r="Q458" s="18">
        <f>IF(OR($C458="",$P458&lt;&gt;"Aberto"),"",IF($I458="",Hoje-$B458,Hoje-$I458))</f>
        <v/>
      </c>
      <c r="R458" s="22">
        <f>IF(OR($C458="",$P458&lt;&gt;"Aberto"),"",IF($J458="",IF($Q458&gt;DiasSC,"ATRASADO","Definir data"),IF($J458&lt;Hoje,"ATRASADO",IF($J458=Hoje,"HOJE","Em dia"))))</f>
        <v/>
      </c>
      <c r="S458" s="23">
        <f>IF($R458="","",IF(OR($R458="ATRASADO",$R458="HOJE",$R458="Definir data"),COUNTIF($R$5:$R458,"ATRASADO")+COUNTIF($R$5:$R458,"HOJE")+COUNTIF($R$5:$R458,"Definir data"),""))</f>
        <v/>
      </c>
      <c r="T458" s="18">
        <f>IF($C458="","",IF(OR($B458="",$E458="",$F458="",$G458=""),"Preencher entrada/origem/vendedor/etapa",IF(AND(OR($P458="Ganho",$P458="Perdido"),$K458=""),"Falta data de fechamento",IF(AND($P458="Perdido",$L458=""),"Informe o motivo da perda","OK"))))</f>
        <v/>
      </c>
    </row>
    <row r="459" spans="1:20">
      <c r="A459" s="18">
        <f>IF($C459="","",ROW()-4)</f>
        <v/>
      </c>
      <c r="B459" s="19"/>
      <c r="C459" s="13"/>
      <c r="D459" s="13"/>
      <c r="E459" s="13"/>
      <c r="F459" s="13"/>
      <c r="G459" s="13"/>
      <c r="H459" s="15"/>
      <c r="I459" s="19"/>
      <c r="J459" s="19"/>
      <c r="K459" s="19"/>
      <c r="L459" s="13"/>
      <c r="M459" s="13"/>
      <c r="N459" s="20">
        <f>IF($C459="","",IFERROR(INDEX(EtapaProb,MATCH($G459,Etapas,0)),0))</f>
        <v/>
      </c>
      <c r="O459" s="21">
        <f>IF($C459="","",IF($P459="Aberto",N($H459)*$N459,0))</f>
        <v/>
      </c>
      <c r="P459" s="18">
        <f>IF($C459="","",IF($G459="Ganho","Ganho",IF($G459="Perdido","Perdido","Aberto")))</f>
        <v/>
      </c>
      <c r="Q459" s="18">
        <f>IF(OR($C459="",$P459&lt;&gt;"Aberto"),"",IF($I459="",Hoje-$B459,Hoje-$I459))</f>
        <v/>
      </c>
      <c r="R459" s="22">
        <f>IF(OR($C459="",$P459&lt;&gt;"Aberto"),"",IF($J459="",IF($Q459&gt;DiasSC,"ATRASADO","Definir data"),IF($J459&lt;Hoje,"ATRASADO",IF($J459=Hoje,"HOJE","Em dia"))))</f>
        <v/>
      </c>
      <c r="S459" s="23">
        <f>IF($R459="","",IF(OR($R459="ATRASADO",$R459="HOJE",$R459="Definir data"),COUNTIF($R$5:$R459,"ATRASADO")+COUNTIF($R$5:$R459,"HOJE")+COUNTIF($R$5:$R459,"Definir data"),""))</f>
        <v/>
      </c>
      <c r="T459" s="18">
        <f>IF($C459="","",IF(OR($B459="",$E459="",$F459="",$G459=""),"Preencher entrada/origem/vendedor/etapa",IF(AND(OR($P459="Ganho",$P459="Perdido"),$K459=""),"Falta data de fechamento",IF(AND($P459="Perdido",$L459=""),"Informe o motivo da perda","OK"))))</f>
        <v/>
      </c>
    </row>
    <row r="460" spans="1:20">
      <c r="A460" s="18">
        <f>IF($C460="","",ROW()-4)</f>
        <v/>
      </c>
      <c r="B460" s="19"/>
      <c r="C460" s="13"/>
      <c r="D460" s="13"/>
      <c r="E460" s="13"/>
      <c r="F460" s="13"/>
      <c r="G460" s="13"/>
      <c r="H460" s="15"/>
      <c r="I460" s="19"/>
      <c r="J460" s="19"/>
      <c r="K460" s="19"/>
      <c r="L460" s="13"/>
      <c r="M460" s="13"/>
      <c r="N460" s="20">
        <f>IF($C460="","",IFERROR(INDEX(EtapaProb,MATCH($G460,Etapas,0)),0))</f>
        <v/>
      </c>
      <c r="O460" s="21">
        <f>IF($C460="","",IF($P460="Aberto",N($H460)*$N460,0))</f>
        <v/>
      </c>
      <c r="P460" s="18">
        <f>IF($C460="","",IF($G460="Ganho","Ganho",IF($G460="Perdido","Perdido","Aberto")))</f>
        <v/>
      </c>
      <c r="Q460" s="18">
        <f>IF(OR($C460="",$P460&lt;&gt;"Aberto"),"",IF($I460="",Hoje-$B460,Hoje-$I460))</f>
        <v/>
      </c>
      <c r="R460" s="22">
        <f>IF(OR($C460="",$P460&lt;&gt;"Aberto"),"",IF($J460="",IF($Q460&gt;DiasSC,"ATRASADO","Definir data"),IF($J460&lt;Hoje,"ATRASADO",IF($J460=Hoje,"HOJE","Em dia"))))</f>
        <v/>
      </c>
      <c r="S460" s="23">
        <f>IF($R460="","",IF(OR($R460="ATRASADO",$R460="HOJE",$R460="Definir data"),COUNTIF($R$5:$R460,"ATRASADO")+COUNTIF($R$5:$R460,"HOJE")+COUNTIF($R$5:$R460,"Definir data"),""))</f>
        <v/>
      </c>
      <c r="T460" s="18">
        <f>IF($C460="","",IF(OR($B460="",$E460="",$F460="",$G460=""),"Preencher entrada/origem/vendedor/etapa",IF(AND(OR($P460="Ganho",$P460="Perdido"),$K460=""),"Falta data de fechamento",IF(AND($P460="Perdido",$L460=""),"Informe o motivo da perda","OK"))))</f>
        <v/>
      </c>
    </row>
    <row r="461" spans="1:20">
      <c r="A461" s="18">
        <f>IF($C461="","",ROW()-4)</f>
        <v/>
      </c>
      <c r="B461" s="19"/>
      <c r="C461" s="13"/>
      <c r="D461" s="13"/>
      <c r="E461" s="13"/>
      <c r="F461" s="13"/>
      <c r="G461" s="13"/>
      <c r="H461" s="15"/>
      <c r="I461" s="19"/>
      <c r="J461" s="19"/>
      <c r="K461" s="19"/>
      <c r="L461" s="13"/>
      <c r="M461" s="13"/>
      <c r="N461" s="20">
        <f>IF($C461="","",IFERROR(INDEX(EtapaProb,MATCH($G461,Etapas,0)),0))</f>
        <v/>
      </c>
      <c r="O461" s="21">
        <f>IF($C461="","",IF($P461="Aberto",N($H461)*$N461,0))</f>
        <v/>
      </c>
      <c r="P461" s="18">
        <f>IF($C461="","",IF($G461="Ganho","Ganho",IF($G461="Perdido","Perdido","Aberto")))</f>
        <v/>
      </c>
      <c r="Q461" s="18">
        <f>IF(OR($C461="",$P461&lt;&gt;"Aberto"),"",IF($I461="",Hoje-$B461,Hoje-$I461))</f>
        <v/>
      </c>
      <c r="R461" s="22">
        <f>IF(OR($C461="",$P461&lt;&gt;"Aberto"),"",IF($J461="",IF($Q461&gt;DiasSC,"ATRASADO","Definir data"),IF($J461&lt;Hoje,"ATRASADO",IF($J461=Hoje,"HOJE","Em dia"))))</f>
        <v/>
      </c>
      <c r="S461" s="23">
        <f>IF($R461="","",IF(OR($R461="ATRASADO",$R461="HOJE",$R461="Definir data"),COUNTIF($R$5:$R461,"ATRASADO")+COUNTIF($R$5:$R461,"HOJE")+COUNTIF($R$5:$R461,"Definir data"),""))</f>
        <v/>
      </c>
      <c r="T461" s="18">
        <f>IF($C461="","",IF(OR($B461="",$E461="",$F461="",$G461=""),"Preencher entrada/origem/vendedor/etapa",IF(AND(OR($P461="Ganho",$P461="Perdido"),$K461=""),"Falta data de fechamento",IF(AND($P461="Perdido",$L461=""),"Informe o motivo da perda","OK"))))</f>
        <v/>
      </c>
    </row>
    <row r="462" spans="1:20">
      <c r="A462" s="18">
        <f>IF($C462="","",ROW()-4)</f>
        <v/>
      </c>
      <c r="B462" s="19"/>
      <c r="C462" s="13"/>
      <c r="D462" s="13"/>
      <c r="E462" s="13"/>
      <c r="F462" s="13"/>
      <c r="G462" s="13"/>
      <c r="H462" s="15"/>
      <c r="I462" s="19"/>
      <c r="J462" s="19"/>
      <c r="K462" s="19"/>
      <c r="L462" s="13"/>
      <c r="M462" s="13"/>
      <c r="N462" s="20">
        <f>IF($C462="","",IFERROR(INDEX(EtapaProb,MATCH($G462,Etapas,0)),0))</f>
        <v/>
      </c>
      <c r="O462" s="21">
        <f>IF($C462="","",IF($P462="Aberto",N($H462)*$N462,0))</f>
        <v/>
      </c>
      <c r="P462" s="18">
        <f>IF($C462="","",IF($G462="Ganho","Ganho",IF($G462="Perdido","Perdido","Aberto")))</f>
        <v/>
      </c>
      <c r="Q462" s="18">
        <f>IF(OR($C462="",$P462&lt;&gt;"Aberto"),"",IF($I462="",Hoje-$B462,Hoje-$I462))</f>
        <v/>
      </c>
      <c r="R462" s="22">
        <f>IF(OR($C462="",$P462&lt;&gt;"Aberto"),"",IF($J462="",IF($Q462&gt;DiasSC,"ATRASADO","Definir data"),IF($J462&lt;Hoje,"ATRASADO",IF($J462=Hoje,"HOJE","Em dia"))))</f>
        <v/>
      </c>
      <c r="S462" s="23">
        <f>IF($R462="","",IF(OR($R462="ATRASADO",$R462="HOJE",$R462="Definir data"),COUNTIF($R$5:$R462,"ATRASADO")+COUNTIF($R$5:$R462,"HOJE")+COUNTIF($R$5:$R462,"Definir data"),""))</f>
        <v/>
      </c>
      <c r="T462" s="18">
        <f>IF($C462="","",IF(OR($B462="",$E462="",$F462="",$G462=""),"Preencher entrada/origem/vendedor/etapa",IF(AND(OR($P462="Ganho",$P462="Perdido"),$K462=""),"Falta data de fechamento",IF(AND($P462="Perdido",$L462=""),"Informe o motivo da perda","OK"))))</f>
        <v/>
      </c>
    </row>
    <row r="463" spans="1:20">
      <c r="A463" s="18">
        <f>IF($C463="","",ROW()-4)</f>
        <v/>
      </c>
      <c r="B463" s="19"/>
      <c r="C463" s="13"/>
      <c r="D463" s="13"/>
      <c r="E463" s="13"/>
      <c r="F463" s="13"/>
      <c r="G463" s="13"/>
      <c r="H463" s="15"/>
      <c r="I463" s="19"/>
      <c r="J463" s="19"/>
      <c r="K463" s="19"/>
      <c r="L463" s="13"/>
      <c r="M463" s="13"/>
      <c r="N463" s="20">
        <f>IF($C463="","",IFERROR(INDEX(EtapaProb,MATCH($G463,Etapas,0)),0))</f>
        <v/>
      </c>
      <c r="O463" s="21">
        <f>IF($C463="","",IF($P463="Aberto",N($H463)*$N463,0))</f>
        <v/>
      </c>
      <c r="P463" s="18">
        <f>IF($C463="","",IF($G463="Ganho","Ganho",IF($G463="Perdido","Perdido","Aberto")))</f>
        <v/>
      </c>
      <c r="Q463" s="18">
        <f>IF(OR($C463="",$P463&lt;&gt;"Aberto"),"",IF($I463="",Hoje-$B463,Hoje-$I463))</f>
        <v/>
      </c>
      <c r="R463" s="22">
        <f>IF(OR($C463="",$P463&lt;&gt;"Aberto"),"",IF($J463="",IF($Q463&gt;DiasSC,"ATRASADO","Definir data"),IF($J463&lt;Hoje,"ATRASADO",IF($J463=Hoje,"HOJE","Em dia"))))</f>
        <v/>
      </c>
      <c r="S463" s="23">
        <f>IF($R463="","",IF(OR($R463="ATRASADO",$R463="HOJE",$R463="Definir data"),COUNTIF($R$5:$R463,"ATRASADO")+COUNTIF($R$5:$R463,"HOJE")+COUNTIF($R$5:$R463,"Definir data"),""))</f>
        <v/>
      </c>
      <c r="T463" s="18">
        <f>IF($C463="","",IF(OR($B463="",$E463="",$F463="",$G463=""),"Preencher entrada/origem/vendedor/etapa",IF(AND(OR($P463="Ganho",$P463="Perdido"),$K463=""),"Falta data de fechamento",IF(AND($P463="Perdido",$L463=""),"Informe o motivo da perda","OK"))))</f>
        <v/>
      </c>
    </row>
    <row r="464" spans="1:20">
      <c r="A464" s="18">
        <f>IF($C464="","",ROW()-4)</f>
        <v/>
      </c>
      <c r="B464" s="19"/>
      <c r="C464" s="13"/>
      <c r="D464" s="13"/>
      <c r="E464" s="13"/>
      <c r="F464" s="13"/>
      <c r="G464" s="13"/>
      <c r="H464" s="15"/>
      <c r="I464" s="19"/>
      <c r="J464" s="19"/>
      <c r="K464" s="19"/>
      <c r="L464" s="13"/>
      <c r="M464" s="13"/>
      <c r="N464" s="20">
        <f>IF($C464="","",IFERROR(INDEX(EtapaProb,MATCH($G464,Etapas,0)),0))</f>
        <v/>
      </c>
      <c r="O464" s="21">
        <f>IF($C464="","",IF($P464="Aberto",N($H464)*$N464,0))</f>
        <v/>
      </c>
      <c r="P464" s="18">
        <f>IF($C464="","",IF($G464="Ganho","Ganho",IF($G464="Perdido","Perdido","Aberto")))</f>
        <v/>
      </c>
      <c r="Q464" s="18">
        <f>IF(OR($C464="",$P464&lt;&gt;"Aberto"),"",IF($I464="",Hoje-$B464,Hoje-$I464))</f>
        <v/>
      </c>
      <c r="R464" s="22">
        <f>IF(OR($C464="",$P464&lt;&gt;"Aberto"),"",IF($J464="",IF($Q464&gt;DiasSC,"ATRASADO","Definir data"),IF($J464&lt;Hoje,"ATRASADO",IF($J464=Hoje,"HOJE","Em dia"))))</f>
        <v/>
      </c>
      <c r="S464" s="23">
        <f>IF($R464="","",IF(OR($R464="ATRASADO",$R464="HOJE",$R464="Definir data"),COUNTIF($R$5:$R464,"ATRASADO")+COUNTIF($R$5:$R464,"HOJE")+COUNTIF($R$5:$R464,"Definir data"),""))</f>
        <v/>
      </c>
      <c r="T464" s="18">
        <f>IF($C464="","",IF(OR($B464="",$E464="",$F464="",$G464=""),"Preencher entrada/origem/vendedor/etapa",IF(AND(OR($P464="Ganho",$P464="Perdido"),$K464=""),"Falta data de fechamento",IF(AND($P464="Perdido",$L464=""),"Informe o motivo da perda","OK"))))</f>
        <v/>
      </c>
    </row>
    <row r="465" spans="1:20">
      <c r="A465" s="18">
        <f>IF($C465="","",ROW()-4)</f>
        <v/>
      </c>
      <c r="B465" s="19"/>
      <c r="C465" s="13"/>
      <c r="D465" s="13"/>
      <c r="E465" s="13"/>
      <c r="F465" s="13"/>
      <c r="G465" s="13"/>
      <c r="H465" s="15"/>
      <c r="I465" s="19"/>
      <c r="J465" s="19"/>
      <c r="K465" s="19"/>
      <c r="L465" s="13"/>
      <c r="M465" s="13"/>
      <c r="N465" s="20">
        <f>IF($C465="","",IFERROR(INDEX(EtapaProb,MATCH($G465,Etapas,0)),0))</f>
        <v/>
      </c>
      <c r="O465" s="21">
        <f>IF($C465="","",IF($P465="Aberto",N($H465)*$N465,0))</f>
        <v/>
      </c>
      <c r="P465" s="18">
        <f>IF($C465="","",IF($G465="Ganho","Ganho",IF($G465="Perdido","Perdido","Aberto")))</f>
        <v/>
      </c>
      <c r="Q465" s="18">
        <f>IF(OR($C465="",$P465&lt;&gt;"Aberto"),"",IF($I465="",Hoje-$B465,Hoje-$I465))</f>
        <v/>
      </c>
      <c r="R465" s="22">
        <f>IF(OR($C465="",$P465&lt;&gt;"Aberto"),"",IF($J465="",IF($Q465&gt;DiasSC,"ATRASADO","Definir data"),IF($J465&lt;Hoje,"ATRASADO",IF($J465=Hoje,"HOJE","Em dia"))))</f>
        <v/>
      </c>
      <c r="S465" s="23">
        <f>IF($R465="","",IF(OR($R465="ATRASADO",$R465="HOJE",$R465="Definir data"),COUNTIF($R$5:$R465,"ATRASADO")+COUNTIF($R$5:$R465,"HOJE")+COUNTIF($R$5:$R465,"Definir data"),""))</f>
        <v/>
      </c>
      <c r="T465" s="18">
        <f>IF($C465="","",IF(OR($B465="",$E465="",$F465="",$G465=""),"Preencher entrada/origem/vendedor/etapa",IF(AND(OR($P465="Ganho",$P465="Perdido"),$K465=""),"Falta data de fechamento",IF(AND($P465="Perdido",$L465=""),"Informe o motivo da perda","OK"))))</f>
        <v/>
      </c>
    </row>
    <row r="466" spans="1:20">
      <c r="A466" s="18">
        <f>IF($C466="","",ROW()-4)</f>
        <v/>
      </c>
      <c r="B466" s="19"/>
      <c r="C466" s="13"/>
      <c r="D466" s="13"/>
      <c r="E466" s="13"/>
      <c r="F466" s="13"/>
      <c r="G466" s="13"/>
      <c r="H466" s="15"/>
      <c r="I466" s="19"/>
      <c r="J466" s="19"/>
      <c r="K466" s="19"/>
      <c r="L466" s="13"/>
      <c r="M466" s="13"/>
      <c r="N466" s="20">
        <f>IF($C466="","",IFERROR(INDEX(EtapaProb,MATCH($G466,Etapas,0)),0))</f>
        <v/>
      </c>
      <c r="O466" s="21">
        <f>IF($C466="","",IF($P466="Aberto",N($H466)*$N466,0))</f>
        <v/>
      </c>
      <c r="P466" s="18">
        <f>IF($C466="","",IF($G466="Ganho","Ganho",IF($G466="Perdido","Perdido","Aberto")))</f>
        <v/>
      </c>
      <c r="Q466" s="18">
        <f>IF(OR($C466="",$P466&lt;&gt;"Aberto"),"",IF($I466="",Hoje-$B466,Hoje-$I466))</f>
        <v/>
      </c>
      <c r="R466" s="22">
        <f>IF(OR($C466="",$P466&lt;&gt;"Aberto"),"",IF($J466="",IF($Q466&gt;DiasSC,"ATRASADO","Definir data"),IF($J466&lt;Hoje,"ATRASADO",IF($J466=Hoje,"HOJE","Em dia"))))</f>
        <v/>
      </c>
      <c r="S466" s="23">
        <f>IF($R466="","",IF(OR($R466="ATRASADO",$R466="HOJE",$R466="Definir data"),COUNTIF($R$5:$R466,"ATRASADO")+COUNTIF($R$5:$R466,"HOJE")+COUNTIF($R$5:$R466,"Definir data"),""))</f>
        <v/>
      </c>
      <c r="T466" s="18">
        <f>IF($C466="","",IF(OR($B466="",$E466="",$F466="",$G466=""),"Preencher entrada/origem/vendedor/etapa",IF(AND(OR($P466="Ganho",$P466="Perdido"),$K466=""),"Falta data de fechamento",IF(AND($P466="Perdido",$L466=""),"Informe o motivo da perda","OK"))))</f>
        <v/>
      </c>
    </row>
    <row r="467" spans="1:20">
      <c r="A467" s="18">
        <f>IF($C467="","",ROW()-4)</f>
        <v/>
      </c>
      <c r="B467" s="19"/>
      <c r="C467" s="13"/>
      <c r="D467" s="13"/>
      <c r="E467" s="13"/>
      <c r="F467" s="13"/>
      <c r="G467" s="13"/>
      <c r="H467" s="15"/>
      <c r="I467" s="19"/>
      <c r="J467" s="19"/>
      <c r="K467" s="19"/>
      <c r="L467" s="13"/>
      <c r="M467" s="13"/>
      <c r="N467" s="20">
        <f>IF($C467="","",IFERROR(INDEX(EtapaProb,MATCH($G467,Etapas,0)),0))</f>
        <v/>
      </c>
      <c r="O467" s="21">
        <f>IF($C467="","",IF($P467="Aberto",N($H467)*$N467,0))</f>
        <v/>
      </c>
      <c r="P467" s="18">
        <f>IF($C467="","",IF($G467="Ganho","Ganho",IF($G467="Perdido","Perdido","Aberto")))</f>
        <v/>
      </c>
      <c r="Q467" s="18">
        <f>IF(OR($C467="",$P467&lt;&gt;"Aberto"),"",IF($I467="",Hoje-$B467,Hoje-$I467))</f>
        <v/>
      </c>
      <c r="R467" s="22">
        <f>IF(OR($C467="",$P467&lt;&gt;"Aberto"),"",IF($J467="",IF($Q467&gt;DiasSC,"ATRASADO","Definir data"),IF($J467&lt;Hoje,"ATRASADO",IF($J467=Hoje,"HOJE","Em dia"))))</f>
        <v/>
      </c>
      <c r="S467" s="23">
        <f>IF($R467="","",IF(OR($R467="ATRASADO",$R467="HOJE",$R467="Definir data"),COUNTIF($R$5:$R467,"ATRASADO")+COUNTIF($R$5:$R467,"HOJE")+COUNTIF($R$5:$R467,"Definir data"),""))</f>
        <v/>
      </c>
      <c r="T467" s="18">
        <f>IF($C467="","",IF(OR($B467="",$E467="",$F467="",$G467=""),"Preencher entrada/origem/vendedor/etapa",IF(AND(OR($P467="Ganho",$P467="Perdido"),$K467=""),"Falta data de fechamento",IF(AND($P467="Perdido",$L467=""),"Informe o motivo da perda","OK"))))</f>
        <v/>
      </c>
    </row>
    <row r="468" spans="1:20">
      <c r="A468" s="18">
        <f>IF($C468="","",ROW()-4)</f>
        <v/>
      </c>
      <c r="B468" s="19"/>
      <c r="C468" s="13"/>
      <c r="D468" s="13"/>
      <c r="E468" s="13"/>
      <c r="F468" s="13"/>
      <c r="G468" s="13"/>
      <c r="H468" s="15"/>
      <c r="I468" s="19"/>
      <c r="J468" s="19"/>
      <c r="K468" s="19"/>
      <c r="L468" s="13"/>
      <c r="M468" s="13"/>
      <c r="N468" s="20">
        <f>IF($C468="","",IFERROR(INDEX(EtapaProb,MATCH($G468,Etapas,0)),0))</f>
        <v/>
      </c>
      <c r="O468" s="21">
        <f>IF($C468="","",IF($P468="Aberto",N($H468)*$N468,0))</f>
        <v/>
      </c>
      <c r="P468" s="18">
        <f>IF($C468="","",IF($G468="Ganho","Ganho",IF($G468="Perdido","Perdido","Aberto")))</f>
        <v/>
      </c>
      <c r="Q468" s="18">
        <f>IF(OR($C468="",$P468&lt;&gt;"Aberto"),"",IF($I468="",Hoje-$B468,Hoje-$I468))</f>
        <v/>
      </c>
      <c r="R468" s="22">
        <f>IF(OR($C468="",$P468&lt;&gt;"Aberto"),"",IF($J468="",IF($Q468&gt;DiasSC,"ATRASADO","Definir data"),IF($J468&lt;Hoje,"ATRASADO",IF($J468=Hoje,"HOJE","Em dia"))))</f>
        <v/>
      </c>
      <c r="S468" s="23">
        <f>IF($R468="","",IF(OR($R468="ATRASADO",$R468="HOJE",$R468="Definir data"),COUNTIF($R$5:$R468,"ATRASADO")+COUNTIF($R$5:$R468,"HOJE")+COUNTIF($R$5:$R468,"Definir data"),""))</f>
        <v/>
      </c>
      <c r="T468" s="18">
        <f>IF($C468="","",IF(OR($B468="",$E468="",$F468="",$G468=""),"Preencher entrada/origem/vendedor/etapa",IF(AND(OR($P468="Ganho",$P468="Perdido"),$K468=""),"Falta data de fechamento",IF(AND($P468="Perdido",$L468=""),"Informe o motivo da perda","OK"))))</f>
        <v/>
      </c>
    </row>
    <row r="469" spans="1:20">
      <c r="A469" s="18">
        <f>IF($C469="","",ROW()-4)</f>
        <v/>
      </c>
      <c r="B469" s="19"/>
      <c r="C469" s="13"/>
      <c r="D469" s="13"/>
      <c r="E469" s="13"/>
      <c r="F469" s="13"/>
      <c r="G469" s="13"/>
      <c r="H469" s="15"/>
      <c r="I469" s="19"/>
      <c r="J469" s="19"/>
      <c r="K469" s="19"/>
      <c r="L469" s="13"/>
      <c r="M469" s="13"/>
      <c r="N469" s="20">
        <f>IF($C469="","",IFERROR(INDEX(EtapaProb,MATCH($G469,Etapas,0)),0))</f>
        <v/>
      </c>
      <c r="O469" s="21">
        <f>IF($C469="","",IF($P469="Aberto",N($H469)*$N469,0))</f>
        <v/>
      </c>
      <c r="P469" s="18">
        <f>IF($C469="","",IF($G469="Ganho","Ganho",IF($G469="Perdido","Perdido","Aberto")))</f>
        <v/>
      </c>
      <c r="Q469" s="18">
        <f>IF(OR($C469="",$P469&lt;&gt;"Aberto"),"",IF($I469="",Hoje-$B469,Hoje-$I469))</f>
        <v/>
      </c>
      <c r="R469" s="22">
        <f>IF(OR($C469="",$P469&lt;&gt;"Aberto"),"",IF($J469="",IF($Q469&gt;DiasSC,"ATRASADO","Definir data"),IF($J469&lt;Hoje,"ATRASADO",IF($J469=Hoje,"HOJE","Em dia"))))</f>
        <v/>
      </c>
      <c r="S469" s="23">
        <f>IF($R469="","",IF(OR($R469="ATRASADO",$R469="HOJE",$R469="Definir data"),COUNTIF($R$5:$R469,"ATRASADO")+COUNTIF($R$5:$R469,"HOJE")+COUNTIF($R$5:$R469,"Definir data"),""))</f>
        <v/>
      </c>
      <c r="T469" s="18">
        <f>IF($C469="","",IF(OR($B469="",$E469="",$F469="",$G469=""),"Preencher entrada/origem/vendedor/etapa",IF(AND(OR($P469="Ganho",$P469="Perdido"),$K469=""),"Falta data de fechamento",IF(AND($P469="Perdido",$L469=""),"Informe o motivo da perda","OK"))))</f>
        <v/>
      </c>
    </row>
    <row r="470" spans="1:20">
      <c r="A470" s="18">
        <f>IF($C470="","",ROW()-4)</f>
        <v/>
      </c>
      <c r="B470" s="19"/>
      <c r="C470" s="13"/>
      <c r="D470" s="13"/>
      <c r="E470" s="13"/>
      <c r="F470" s="13"/>
      <c r="G470" s="13"/>
      <c r="H470" s="15"/>
      <c r="I470" s="19"/>
      <c r="J470" s="19"/>
      <c r="K470" s="19"/>
      <c r="L470" s="13"/>
      <c r="M470" s="13"/>
      <c r="N470" s="20">
        <f>IF($C470="","",IFERROR(INDEX(EtapaProb,MATCH($G470,Etapas,0)),0))</f>
        <v/>
      </c>
      <c r="O470" s="21">
        <f>IF($C470="","",IF($P470="Aberto",N($H470)*$N470,0))</f>
        <v/>
      </c>
      <c r="P470" s="18">
        <f>IF($C470="","",IF($G470="Ganho","Ganho",IF($G470="Perdido","Perdido","Aberto")))</f>
        <v/>
      </c>
      <c r="Q470" s="18">
        <f>IF(OR($C470="",$P470&lt;&gt;"Aberto"),"",IF($I470="",Hoje-$B470,Hoje-$I470))</f>
        <v/>
      </c>
      <c r="R470" s="22">
        <f>IF(OR($C470="",$P470&lt;&gt;"Aberto"),"",IF($J470="",IF($Q470&gt;DiasSC,"ATRASADO","Definir data"),IF($J470&lt;Hoje,"ATRASADO",IF($J470=Hoje,"HOJE","Em dia"))))</f>
        <v/>
      </c>
      <c r="S470" s="23">
        <f>IF($R470="","",IF(OR($R470="ATRASADO",$R470="HOJE",$R470="Definir data"),COUNTIF($R$5:$R470,"ATRASADO")+COUNTIF($R$5:$R470,"HOJE")+COUNTIF($R$5:$R470,"Definir data"),""))</f>
        <v/>
      </c>
      <c r="T470" s="18">
        <f>IF($C470="","",IF(OR($B470="",$E470="",$F470="",$G470=""),"Preencher entrada/origem/vendedor/etapa",IF(AND(OR($P470="Ganho",$P470="Perdido"),$K470=""),"Falta data de fechamento",IF(AND($P470="Perdido",$L470=""),"Informe o motivo da perda","OK"))))</f>
        <v/>
      </c>
    </row>
    <row r="471" spans="1:20">
      <c r="A471" s="18">
        <f>IF($C471="","",ROW()-4)</f>
        <v/>
      </c>
      <c r="B471" s="19"/>
      <c r="C471" s="13"/>
      <c r="D471" s="13"/>
      <c r="E471" s="13"/>
      <c r="F471" s="13"/>
      <c r="G471" s="13"/>
      <c r="H471" s="15"/>
      <c r="I471" s="19"/>
      <c r="J471" s="19"/>
      <c r="K471" s="19"/>
      <c r="L471" s="13"/>
      <c r="M471" s="13"/>
      <c r="N471" s="20">
        <f>IF($C471="","",IFERROR(INDEX(EtapaProb,MATCH($G471,Etapas,0)),0))</f>
        <v/>
      </c>
      <c r="O471" s="21">
        <f>IF($C471="","",IF($P471="Aberto",N($H471)*$N471,0))</f>
        <v/>
      </c>
      <c r="P471" s="18">
        <f>IF($C471="","",IF($G471="Ganho","Ganho",IF($G471="Perdido","Perdido","Aberto")))</f>
        <v/>
      </c>
      <c r="Q471" s="18">
        <f>IF(OR($C471="",$P471&lt;&gt;"Aberto"),"",IF($I471="",Hoje-$B471,Hoje-$I471))</f>
        <v/>
      </c>
      <c r="R471" s="22">
        <f>IF(OR($C471="",$P471&lt;&gt;"Aberto"),"",IF($J471="",IF($Q471&gt;DiasSC,"ATRASADO","Definir data"),IF($J471&lt;Hoje,"ATRASADO",IF($J471=Hoje,"HOJE","Em dia"))))</f>
        <v/>
      </c>
      <c r="S471" s="23">
        <f>IF($R471="","",IF(OR($R471="ATRASADO",$R471="HOJE",$R471="Definir data"),COUNTIF($R$5:$R471,"ATRASADO")+COUNTIF($R$5:$R471,"HOJE")+COUNTIF($R$5:$R471,"Definir data"),""))</f>
        <v/>
      </c>
      <c r="T471" s="18">
        <f>IF($C471="","",IF(OR($B471="",$E471="",$F471="",$G471=""),"Preencher entrada/origem/vendedor/etapa",IF(AND(OR($P471="Ganho",$P471="Perdido"),$K471=""),"Falta data de fechamento",IF(AND($P471="Perdido",$L471=""),"Informe o motivo da perda","OK"))))</f>
        <v/>
      </c>
    </row>
    <row r="472" spans="1:20">
      <c r="A472" s="18">
        <f>IF($C472="","",ROW()-4)</f>
        <v/>
      </c>
      <c r="B472" s="19"/>
      <c r="C472" s="13"/>
      <c r="D472" s="13"/>
      <c r="E472" s="13"/>
      <c r="F472" s="13"/>
      <c r="G472" s="13"/>
      <c r="H472" s="15"/>
      <c r="I472" s="19"/>
      <c r="J472" s="19"/>
      <c r="K472" s="19"/>
      <c r="L472" s="13"/>
      <c r="M472" s="13"/>
      <c r="N472" s="20">
        <f>IF($C472="","",IFERROR(INDEX(EtapaProb,MATCH($G472,Etapas,0)),0))</f>
        <v/>
      </c>
      <c r="O472" s="21">
        <f>IF($C472="","",IF($P472="Aberto",N($H472)*$N472,0))</f>
        <v/>
      </c>
      <c r="P472" s="18">
        <f>IF($C472="","",IF($G472="Ganho","Ganho",IF($G472="Perdido","Perdido","Aberto")))</f>
        <v/>
      </c>
      <c r="Q472" s="18">
        <f>IF(OR($C472="",$P472&lt;&gt;"Aberto"),"",IF($I472="",Hoje-$B472,Hoje-$I472))</f>
        <v/>
      </c>
      <c r="R472" s="22">
        <f>IF(OR($C472="",$P472&lt;&gt;"Aberto"),"",IF($J472="",IF($Q472&gt;DiasSC,"ATRASADO","Definir data"),IF($J472&lt;Hoje,"ATRASADO",IF($J472=Hoje,"HOJE","Em dia"))))</f>
        <v/>
      </c>
      <c r="S472" s="23">
        <f>IF($R472="","",IF(OR($R472="ATRASADO",$R472="HOJE",$R472="Definir data"),COUNTIF($R$5:$R472,"ATRASADO")+COUNTIF($R$5:$R472,"HOJE")+COUNTIF($R$5:$R472,"Definir data"),""))</f>
        <v/>
      </c>
      <c r="T472" s="18">
        <f>IF($C472="","",IF(OR($B472="",$E472="",$F472="",$G472=""),"Preencher entrada/origem/vendedor/etapa",IF(AND(OR($P472="Ganho",$P472="Perdido"),$K472=""),"Falta data de fechamento",IF(AND($P472="Perdido",$L472=""),"Informe o motivo da perda","OK"))))</f>
        <v/>
      </c>
    </row>
    <row r="473" spans="1:20">
      <c r="A473" s="18">
        <f>IF($C473="","",ROW()-4)</f>
        <v/>
      </c>
      <c r="B473" s="19"/>
      <c r="C473" s="13"/>
      <c r="D473" s="13"/>
      <c r="E473" s="13"/>
      <c r="F473" s="13"/>
      <c r="G473" s="13"/>
      <c r="H473" s="15"/>
      <c r="I473" s="19"/>
      <c r="J473" s="19"/>
      <c r="K473" s="19"/>
      <c r="L473" s="13"/>
      <c r="M473" s="13"/>
      <c r="N473" s="20">
        <f>IF($C473="","",IFERROR(INDEX(EtapaProb,MATCH($G473,Etapas,0)),0))</f>
        <v/>
      </c>
      <c r="O473" s="21">
        <f>IF($C473="","",IF($P473="Aberto",N($H473)*$N473,0))</f>
        <v/>
      </c>
      <c r="P473" s="18">
        <f>IF($C473="","",IF($G473="Ganho","Ganho",IF($G473="Perdido","Perdido","Aberto")))</f>
        <v/>
      </c>
      <c r="Q473" s="18">
        <f>IF(OR($C473="",$P473&lt;&gt;"Aberto"),"",IF($I473="",Hoje-$B473,Hoje-$I473))</f>
        <v/>
      </c>
      <c r="R473" s="22">
        <f>IF(OR($C473="",$P473&lt;&gt;"Aberto"),"",IF($J473="",IF($Q473&gt;DiasSC,"ATRASADO","Definir data"),IF($J473&lt;Hoje,"ATRASADO",IF($J473=Hoje,"HOJE","Em dia"))))</f>
        <v/>
      </c>
      <c r="S473" s="23">
        <f>IF($R473="","",IF(OR($R473="ATRASADO",$R473="HOJE",$R473="Definir data"),COUNTIF($R$5:$R473,"ATRASADO")+COUNTIF($R$5:$R473,"HOJE")+COUNTIF($R$5:$R473,"Definir data"),""))</f>
        <v/>
      </c>
      <c r="T473" s="18">
        <f>IF($C473="","",IF(OR($B473="",$E473="",$F473="",$G473=""),"Preencher entrada/origem/vendedor/etapa",IF(AND(OR($P473="Ganho",$P473="Perdido"),$K473=""),"Falta data de fechamento",IF(AND($P473="Perdido",$L473=""),"Informe o motivo da perda","OK"))))</f>
        <v/>
      </c>
    </row>
    <row r="474" spans="1:20">
      <c r="A474" s="18">
        <f>IF($C474="","",ROW()-4)</f>
        <v/>
      </c>
      <c r="B474" s="19"/>
      <c r="C474" s="13"/>
      <c r="D474" s="13"/>
      <c r="E474" s="13"/>
      <c r="F474" s="13"/>
      <c r="G474" s="13"/>
      <c r="H474" s="15"/>
      <c r="I474" s="19"/>
      <c r="J474" s="19"/>
      <c r="K474" s="19"/>
      <c r="L474" s="13"/>
      <c r="M474" s="13"/>
      <c r="N474" s="20">
        <f>IF($C474="","",IFERROR(INDEX(EtapaProb,MATCH($G474,Etapas,0)),0))</f>
        <v/>
      </c>
      <c r="O474" s="21">
        <f>IF($C474="","",IF($P474="Aberto",N($H474)*$N474,0))</f>
        <v/>
      </c>
      <c r="P474" s="18">
        <f>IF($C474="","",IF($G474="Ganho","Ganho",IF($G474="Perdido","Perdido","Aberto")))</f>
        <v/>
      </c>
      <c r="Q474" s="18">
        <f>IF(OR($C474="",$P474&lt;&gt;"Aberto"),"",IF($I474="",Hoje-$B474,Hoje-$I474))</f>
        <v/>
      </c>
      <c r="R474" s="22">
        <f>IF(OR($C474="",$P474&lt;&gt;"Aberto"),"",IF($J474="",IF($Q474&gt;DiasSC,"ATRASADO","Definir data"),IF($J474&lt;Hoje,"ATRASADO",IF($J474=Hoje,"HOJE","Em dia"))))</f>
        <v/>
      </c>
      <c r="S474" s="23">
        <f>IF($R474="","",IF(OR($R474="ATRASADO",$R474="HOJE",$R474="Definir data"),COUNTIF($R$5:$R474,"ATRASADO")+COUNTIF($R$5:$R474,"HOJE")+COUNTIF($R$5:$R474,"Definir data"),""))</f>
        <v/>
      </c>
      <c r="T474" s="18">
        <f>IF($C474="","",IF(OR($B474="",$E474="",$F474="",$G474=""),"Preencher entrada/origem/vendedor/etapa",IF(AND(OR($P474="Ganho",$P474="Perdido"),$K474=""),"Falta data de fechamento",IF(AND($P474="Perdido",$L474=""),"Informe o motivo da perda","OK"))))</f>
        <v/>
      </c>
    </row>
    <row r="475" spans="1:20">
      <c r="A475" s="18">
        <f>IF($C475="","",ROW()-4)</f>
        <v/>
      </c>
      <c r="B475" s="19"/>
      <c r="C475" s="13"/>
      <c r="D475" s="13"/>
      <c r="E475" s="13"/>
      <c r="F475" s="13"/>
      <c r="G475" s="13"/>
      <c r="H475" s="15"/>
      <c r="I475" s="19"/>
      <c r="J475" s="19"/>
      <c r="K475" s="19"/>
      <c r="L475" s="13"/>
      <c r="M475" s="13"/>
      <c r="N475" s="20">
        <f>IF($C475="","",IFERROR(INDEX(EtapaProb,MATCH($G475,Etapas,0)),0))</f>
        <v/>
      </c>
      <c r="O475" s="21">
        <f>IF($C475="","",IF($P475="Aberto",N($H475)*$N475,0))</f>
        <v/>
      </c>
      <c r="P475" s="18">
        <f>IF($C475="","",IF($G475="Ganho","Ganho",IF($G475="Perdido","Perdido","Aberto")))</f>
        <v/>
      </c>
      <c r="Q475" s="18">
        <f>IF(OR($C475="",$P475&lt;&gt;"Aberto"),"",IF($I475="",Hoje-$B475,Hoje-$I475))</f>
        <v/>
      </c>
      <c r="R475" s="22">
        <f>IF(OR($C475="",$P475&lt;&gt;"Aberto"),"",IF($J475="",IF($Q475&gt;DiasSC,"ATRASADO","Definir data"),IF($J475&lt;Hoje,"ATRASADO",IF($J475=Hoje,"HOJE","Em dia"))))</f>
        <v/>
      </c>
      <c r="S475" s="23">
        <f>IF($R475="","",IF(OR($R475="ATRASADO",$R475="HOJE",$R475="Definir data"),COUNTIF($R$5:$R475,"ATRASADO")+COUNTIF($R$5:$R475,"HOJE")+COUNTIF($R$5:$R475,"Definir data"),""))</f>
        <v/>
      </c>
      <c r="T475" s="18">
        <f>IF($C475="","",IF(OR($B475="",$E475="",$F475="",$G475=""),"Preencher entrada/origem/vendedor/etapa",IF(AND(OR($P475="Ganho",$P475="Perdido"),$K475=""),"Falta data de fechamento",IF(AND($P475="Perdido",$L475=""),"Informe o motivo da perda","OK"))))</f>
        <v/>
      </c>
    </row>
    <row r="476" spans="1:20">
      <c r="A476" s="18">
        <f>IF($C476="","",ROW()-4)</f>
        <v/>
      </c>
      <c r="B476" s="19"/>
      <c r="C476" s="13"/>
      <c r="D476" s="13"/>
      <c r="E476" s="13"/>
      <c r="F476" s="13"/>
      <c r="G476" s="13"/>
      <c r="H476" s="15"/>
      <c r="I476" s="19"/>
      <c r="J476" s="19"/>
      <c r="K476" s="19"/>
      <c r="L476" s="13"/>
      <c r="M476" s="13"/>
      <c r="N476" s="20">
        <f>IF($C476="","",IFERROR(INDEX(EtapaProb,MATCH($G476,Etapas,0)),0))</f>
        <v/>
      </c>
      <c r="O476" s="21">
        <f>IF($C476="","",IF($P476="Aberto",N($H476)*$N476,0))</f>
        <v/>
      </c>
      <c r="P476" s="18">
        <f>IF($C476="","",IF($G476="Ganho","Ganho",IF($G476="Perdido","Perdido","Aberto")))</f>
        <v/>
      </c>
      <c r="Q476" s="18">
        <f>IF(OR($C476="",$P476&lt;&gt;"Aberto"),"",IF($I476="",Hoje-$B476,Hoje-$I476))</f>
        <v/>
      </c>
      <c r="R476" s="22">
        <f>IF(OR($C476="",$P476&lt;&gt;"Aberto"),"",IF($J476="",IF($Q476&gt;DiasSC,"ATRASADO","Definir data"),IF($J476&lt;Hoje,"ATRASADO",IF($J476=Hoje,"HOJE","Em dia"))))</f>
        <v/>
      </c>
      <c r="S476" s="23">
        <f>IF($R476="","",IF(OR($R476="ATRASADO",$R476="HOJE",$R476="Definir data"),COUNTIF($R$5:$R476,"ATRASADO")+COUNTIF($R$5:$R476,"HOJE")+COUNTIF($R$5:$R476,"Definir data"),""))</f>
        <v/>
      </c>
      <c r="T476" s="18">
        <f>IF($C476="","",IF(OR($B476="",$E476="",$F476="",$G476=""),"Preencher entrada/origem/vendedor/etapa",IF(AND(OR($P476="Ganho",$P476="Perdido"),$K476=""),"Falta data de fechamento",IF(AND($P476="Perdido",$L476=""),"Informe o motivo da perda","OK"))))</f>
        <v/>
      </c>
    </row>
    <row r="477" spans="1:20">
      <c r="A477" s="18">
        <f>IF($C477="","",ROW()-4)</f>
        <v/>
      </c>
      <c r="B477" s="19"/>
      <c r="C477" s="13"/>
      <c r="D477" s="13"/>
      <c r="E477" s="13"/>
      <c r="F477" s="13"/>
      <c r="G477" s="13"/>
      <c r="H477" s="15"/>
      <c r="I477" s="19"/>
      <c r="J477" s="19"/>
      <c r="K477" s="19"/>
      <c r="L477" s="13"/>
      <c r="M477" s="13"/>
      <c r="N477" s="20">
        <f>IF($C477="","",IFERROR(INDEX(EtapaProb,MATCH($G477,Etapas,0)),0))</f>
        <v/>
      </c>
      <c r="O477" s="21">
        <f>IF($C477="","",IF($P477="Aberto",N($H477)*$N477,0))</f>
        <v/>
      </c>
      <c r="P477" s="18">
        <f>IF($C477="","",IF($G477="Ganho","Ganho",IF($G477="Perdido","Perdido","Aberto")))</f>
        <v/>
      </c>
      <c r="Q477" s="18">
        <f>IF(OR($C477="",$P477&lt;&gt;"Aberto"),"",IF($I477="",Hoje-$B477,Hoje-$I477))</f>
        <v/>
      </c>
      <c r="R477" s="22">
        <f>IF(OR($C477="",$P477&lt;&gt;"Aberto"),"",IF($J477="",IF($Q477&gt;DiasSC,"ATRASADO","Definir data"),IF($J477&lt;Hoje,"ATRASADO",IF($J477=Hoje,"HOJE","Em dia"))))</f>
        <v/>
      </c>
      <c r="S477" s="23">
        <f>IF($R477="","",IF(OR($R477="ATRASADO",$R477="HOJE",$R477="Definir data"),COUNTIF($R$5:$R477,"ATRASADO")+COUNTIF($R$5:$R477,"HOJE")+COUNTIF($R$5:$R477,"Definir data"),""))</f>
        <v/>
      </c>
      <c r="T477" s="18">
        <f>IF($C477="","",IF(OR($B477="",$E477="",$F477="",$G477=""),"Preencher entrada/origem/vendedor/etapa",IF(AND(OR($P477="Ganho",$P477="Perdido"),$K477=""),"Falta data de fechamento",IF(AND($P477="Perdido",$L477=""),"Informe o motivo da perda","OK"))))</f>
        <v/>
      </c>
    </row>
    <row r="478" spans="1:20">
      <c r="A478" s="18">
        <f>IF($C478="","",ROW()-4)</f>
        <v/>
      </c>
      <c r="B478" s="19"/>
      <c r="C478" s="13"/>
      <c r="D478" s="13"/>
      <c r="E478" s="13"/>
      <c r="F478" s="13"/>
      <c r="G478" s="13"/>
      <c r="H478" s="15"/>
      <c r="I478" s="19"/>
      <c r="J478" s="19"/>
      <c r="K478" s="19"/>
      <c r="L478" s="13"/>
      <c r="M478" s="13"/>
      <c r="N478" s="20">
        <f>IF($C478="","",IFERROR(INDEX(EtapaProb,MATCH($G478,Etapas,0)),0))</f>
        <v/>
      </c>
      <c r="O478" s="21">
        <f>IF($C478="","",IF($P478="Aberto",N($H478)*$N478,0))</f>
        <v/>
      </c>
      <c r="P478" s="18">
        <f>IF($C478="","",IF($G478="Ganho","Ganho",IF($G478="Perdido","Perdido","Aberto")))</f>
        <v/>
      </c>
      <c r="Q478" s="18">
        <f>IF(OR($C478="",$P478&lt;&gt;"Aberto"),"",IF($I478="",Hoje-$B478,Hoje-$I478))</f>
        <v/>
      </c>
      <c r="R478" s="22">
        <f>IF(OR($C478="",$P478&lt;&gt;"Aberto"),"",IF($J478="",IF($Q478&gt;DiasSC,"ATRASADO","Definir data"),IF($J478&lt;Hoje,"ATRASADO",IF($J478=Hoje,"HOJE","Em dia"))))</f>
        <v/>
      </c>
      <c r="S478" s="23">
        <f>IF($R478="","",IF(OR($R478="ATRASADO",$R478="HOJE",$R478="Definir data"),COUNTIF($R$5:$R478,"ATRASADO")+COUNTIF($R$5:$R478,"HOJE")+COUNTIF($R$5:$R478,"Definir data"),""))</f>
        <v/>
      </c>
      <c r="T478" s="18">
        <f>IF($C478="","",IF(OR($B478="",$E478="",$F478="",$G478=""),"Preencher entrada/origem/vendedor/etapa",IF(AND(OR($P478="Ganho",$P478="Perdido"),$K478=""),"Falta data de fechamento",IF(AND($P478="Perdido",$L478=""),"Informe o motivo da perda","OK"))))</f>
        <v/>
      </c>
    </row>
    <row r="479" spans="1:20">
      <c r="A479" s="18">
        <f>IF($C479="","",ROW()-4)</f>
        <v/>
      </c>
      <c r="B479" s="19"/>
      <c r="C479" s="13"/>
      <c r="D479" s="13"/>
      <c r="E479" s="13"/>
      <c r="F479" s="13"/>
      <c r="G479" s="13"/>
      <c r="H479" s="15"/>
      <c r="I479" s="19"/>
      <c r="J479" s="19"/>
      <c r="K479" s="19"/>
      <c r="L479" s="13"/>
      <c r="M479" s="13"/>
      <c r="N479" s="20">
        <f>IF($C479="","",IFERROR(INDEX(EtapaProb,MATCH($G479,Etapas,0)),0))</f>
        <v/>
      </c>
      <c r="O479" s="21">
        <f>IF($C479="","",IF($P479="Aberto",N($H479)*$N479,0))</f>
        <v/>
      </c>
      <c r="P479" s="18">
        <f>IF($C479="","",IF($G479="Ganho","Ganho",IF($G479="Perdido","Perdido","Aberto")))</f>
        <v/>
      </c>
      <c r="Q479" s="18">
        <f>IF(OR($C479="",$P479&lt;&gt;"Aberto"),"",IF($I479="",Hoje-$B479,Hoje-$I479))</f>
        <v/>
      </c>
      <c r="R479" s="22">
        <f>IF(OR($C479="",$P479&lt;&gt;"Aberto"),"",IF($J479="",IF($Q479&gt;DiasSC,"ATRASADO","Definir data"),IF($J479&lt;Hoje,"ATRASADO",IF($J479=Hoje,"HOJE","Em dia"))))</f>
        <v/>
      </c>
      <c r="S479" s="23">
        <f>IF($R479="","",IF(OR($R479="ATRASADO",$R479="HOJE",$R479="Definir data"),COUNTIF($R$5:$R479,"ATRASADO")+COUNTIF($R$5:$R479,"HOJE")+COUNTIF($R$5:$R479,"Definir data"),""))</f>
        <v/>
      </c>
      <c r="T479" s="18">
        <f>IF($C479="","",IF(OR($B479="",$E479="",$F479="",$G479=""),"Preencher entrada/origem/vendedor/etapa",IF(AND(OR($P479="Ganho",$P479="Perdido"),$K479=""),"Falta data de fechamento",IF(AND($P479="Perdido",$L479=""),"Informe o motivo da perda","OK"))))</f>
        <v/>
      </c>
    </row>
    <row r="480" spans="1:20">
      <c r="A480" s="18">
        <f>IF($C480="","",ROW()-4)</f>
        <v/>
      </c>
      <c r="B480" s="19"/>
      <c r="C480" s="13"/>
      <c r="D480" s="13"/>
      <c r="E480" s="13"/>
      <c r="F480" s="13"/>
      <c r="G480" s="13"/>
      <c r="H480" s="15"/>
      <c r="I480" s="19"/>
      <c r="J480" s="19"/>
      <c r="K480" s="19"/>
      <c r="L480" s="13"/>
      <c r="M480" s="13"/>
      <c r="N480" s="20">
        <f>IF($C480="","",IFERROR(INDEX(EtapaProb,MATCH($G480,Etapas,0)),0))</f>
        <v/>
      </c>
      <c r="O480" s="21">
        <f>IF($C480="","",IF($P480="Aberto",N($H480)*$N480,0))</f>
        <v/>
      </c>
      <c r="P480" s="18">
        <f>IF($C480="","",IF($G480="Ganho","Ganho",IF($G480="Perdido","Perdido","Aberto")))</f>
        <v/>
      </c>
      <c r="Q480" s="18">
        <f>IF(OR($C480="",$P480&lt;&gt;"Aberto"),"",IF($I480="",Hoje-$B480,Hoje-$I480))</f>
        <v/>
      </c>
      <c r="R480" s="22">
        <f>IF(OR($C480="",$P480&lt;&gt;"Aberto"),"",IF($J480="",IF($Q480&gt;DiasSC,"ATRASADO","Definir data"),IF($J480&lt;Hoje,"ATRASADO",IF($J480=Hoje,"HOJE","Em dia"))))</f>
        <v/>
      </c>
      <c r="S480" s="23">
        <f>IF($R480="","",IF(OR($R480="ATRASADO",$R480="HOJE",$R480="Definir data"),COUNTIF($R$5:$R480,"ATRASADO")+COUNTIF($R$5:$R480,"HOJE")+COUNTIF($R$5:$R480,"Definir data"),""))</f>
        <v/>
      </c>
      <c r="T480" s="18">
        <f>IF($C480="","",IF(OR($B480="",$E480="",$F480="",$G480=""),"Preencher entrada/origem/vendedor/etapa",IF(AND(OR($P480="Ganho",$P480="Perdido"),$K480=""),"Falta data de fechamento",IF(AND($P480="Perdido",$L480=""),"Informe o motivo da perda","OK"))))</f>
        <v/>
      </c>
    </row>
    <row r="481" spans="1:20">
      <c r="A481" s="18">
        <f>IF($C481="","",ROW()-4)</f>
        <v/>
      </c>
      <c r="B481" s="19"/>
      <c r="C481" s="13"/>
      <c r="D481" s="13"/>
      <c r="E481" s="13"/>
      <c r="F481" s="13"/>
      <c r="G481" s="13"/>
      <c r="H481" s="15"/>
      <c r="I481" s="19"/>
      <c r="J481" s="19"/>
      <c r="K481" s="19"/>
      <c r="L481" s="13"/>
      <c r="M481" s="13"/>
      <c r="N481" s="20">
        <f>IF($C481="","",IFERROR(INDEX(EtapaProb,MATCH($G481,Etapas,0)),0))</f>
        <v/>
      </c>
      <c r="O481" s="21">
        <f>IF($C481="","",IF($P481="Aberto",N($H481)*$N481,0))</f>
        <v/>
      </c>
      <c r="P481" s="18">
        <f>IF($C481="","",IF($G481="Ganho","Ganho",IF($G481="Perdido","Perdido","Aberto")))</f>
        <v/>
      </c>
      <c r="Q481" s="18">
        <f>IF(OR($C481="",$P481&lt;&gt;"Aberto"),"",IF($I481="",Hoje-$B481,Hoje-$I481))</f>
        <v/>
      </c>
      <c r="R481" s="22">
        <f>IF(OR($C481="",$P481&lt;&gt;"Aberto"),"",IF($J481="",IF($Q481&gt;DiasSC,"ATRASADO","Definir data"),IF($J481&lt;Hoje,"ATRASADO",IF($J481=Hoje,"HOJE","Em dia"))))</f>
        <v/>
      </c>
      <c r="S481" s="23">
        <f>IF($R481="","",IF(OR($R481="ATRASADO",$R481="HOJE",$R481="Definir data"),COUNTIF($R$5:$R481,"ATRASADO")+COUNTIF($R$5:$R481,"HOJE")+COUNTIF($R$5:$R481,"Definir data"),""))</f>
        <v/>
      </c>
      <c r="T481" s="18">
        <f>IF($C481="","",IF(OR($B481="",$E481="",$F481="",$G481=""),"Preencher entrada/origem/vendedor/etapa",IF(AND(OR($P481="Ganho",$P481="Perdido"),$K481=""),"Falta data de fechamento",IF(AND($P481="Perdido",$L481=""),"Informe o motivo da perda","OK"))))</f>
        <v/>
      </c>
    </row>
    <row r="482" spans="1:20">
      <c r="A482" s="18">
        <f>IF($C482="","",ROW()-4)</f>
        <v/>
      </c>
      <c r="B482" s="19"/>
      <c r="C482" s="13"/>
      <c r="D482" s="13"/>
      <c r="E482" s="13"/>
      <c r="F482" s="13"/>
      <c r="G482" s="13"/>
      <c r="H482" s="15"/>
      <c r="I482" s="19"/>
      <c r="J482" s="19"/>
      <c r="K482" s="19"/>
      <c r="L482" s="13"/>
      <c r="M482" s="13"/>
      <c r="N482" s="20">
        <f>IF($C482="","",IFERROR(INDEX(EtapaProb,MATCH($G482,Etapas,0)),0))</f>
        <v/>
      </c>
      <c r="O482" s="21">
        <f>IF($C482="","",IF($P482="Aberto",N($H482)*$N482,0))</f>
        <v/>
      </c>
      <c r="P482" s="18">
        <f>IF($C482="","",IF($G482="Ganho","Ganho",IF($G482="Perdido","Perdido","Aberto")))</f>
        <v/>
      </c>
      <c r="Q482" s="18">
        <f>IF(OR($C482="",$P482&lt;&gt;"Aberto"),"",IF($I482="",Hoje-$B482,Hoje-$I482))</f>
        <v/>
      </c>
      <c r="R482" s="22">
        <f>IF(OR($C482="",$P482&lt;&gt;"Aberto"),"",IF($J482="",IF($Q482&gt;DiasSC,"ATRASADO","Definir data"),IF($J482&lt;Hoje,"ATRASADO",IF($J482=Hoje,"HOJE","Em dia"))))</f>
        <v/>
      </c>
      <c r="S482" s="23">
        <f>IF($R482="","",IF(OR($R482="ATRASADO",$R482="HOJE",$R482="Definir data"),COUNTIF($R$5:$R482,"ATRASADO")+COUNTIF($R$5:$R482,"HOJE")+COUNTIF($R$5:$R482,"Definir data"),""))</f>
        <v/>
      </c>
      <c r="T482" s="18">
        <f>IF($C482="","",IF(OR($B482="",$E482="",$F482="",$G482=""),"Preencher entrada/origem/vendedor/etapa",IF(AND(OR($P482="Ganho",$P482="Perdido"),$K482=""),"Falta data de fechamento",IF(AND($P482="Perdido",$L482=""),"Informe o motivo da perda","OK"))))</f>
        <v/>
      </c>
    </row>
    <row r="483" spans="1:20">
      <c r="A483" s="18">
        <f>IF($C483="","",ROW()-4)</f>
        <v/>
      </c>
      <c r="B483" s="19"/>
      <c r="C483" s="13"/>
      <c r="D483" s="13"/>
      <c r="E483" s="13"/>
      <c r="F483" s="13"/>
      <c r="G483" s="13"/>
      <c r="H483" s="15"/>
      <c r="I483" s="19"/>
      <c r="J483" s="19"/>
      <c r="K483" s="19"/>
      <c r="L483" s="13"/>
      <c r="M483" s="13"/>
      <c r="N483" s="20">
        <f>IF($C483="","",IFERROR(INDEX(EtapaProb,MATCH($G483,Etapas,0)),0))</f>
        <v/>
      </c>
      <c r="O483" s="21">
        <f>IF($C483="","",IF($P483="Aberto",N($H483)*$N483,0))</f>
        <v/>
      </c>
      <c r="P483" s="18">
        <f>IF($C483="","",IF($G483="Ganho","Ganho",IF($G483="Perdido","Perdido","Aberto")))</f>
        <v/>
      </c>
      <c r="Q483" s="18">
        <f>IF(OR($C483="",$P483&lt;&gt;"Aberto"),"",IF($I483="",Hoje-$B483,Hoje-$I483))</f>
        <v/>
      </c>
      <c r="R483" s="22">
        <f>IF(OR($C483="",$P483&lt;&gt;"Aberto"),"",IF($J483="",IF($Q483&gt;DiasSC,"ATRASADO","Definir data"),IF($J483&lt;Hoje,"ATRASADO",IF($J483=Hoje,"HOJE","Em dia"))))</f>
        <v/>
      </c>
      <c r="S483" s="23">
        <f>IF($R483="","",IF(OR($R483="ATRASADO",$R483="HOJE",$R483="Definir data"),COUNTIF($R$5:$R483,"ATRASADO")+COUNTIF($R$5:$R483,"HOJE")+COUNTIF($R$5:$R483,"Definir data"),""))</f>
        <v/>
      </c>
      <c r="T483" s="18">
        <f>IF($C483="","",IF(OR($B483="",$E483="",$F483="",$G483=""),"Preencher entrada/origem/vendedor/etapa",IF(AND(OR($P483="Ganho",$P483="Perdido"),$K483=""),"Falta data de fechamento",IF(AND($P483="Perdido",$L483=""),"Informe o motivo da perda","OK"))))</f>
        <v/>
      </c>
    </row>
    <row r="484" spans="1:20">
      <c r="A484" s="18">
        <f>IF($C484="","",ROW()-4)</f>
        <v/>
      </c>
      <c r="B484" s="19"/>
      <c r="C484" s="13"/>
      <c r="D484" s="13"/>
      <c r="E484" s="13"/>
      <c r="F484" s="13"/>
      <c r="G484" s="13"/>
      <c r="H484" s="15"/>
      <c r="I484" s="19"/>
      <c r="J484" s="19"/>
      <c r="K484" s="19"/>
      <c r="L484" s="13"/>
      <c r="M484" s="13"/>
      <c r="N484" s="20">
        <f>IF($C484="","",IFERROR(INDEX(EtapaProb,MATCH($G484,Etapas,0)),0))</f>
        <v/>
      </c>
      <c r="O484" s="21">
        <f>IF($C484="","",IF($P484="Aberto",N($H484)*$N484,0))</f>
        <v/>
      </c>
      <c r="P484" s="18">
        <f>IF($C484="","",IF($G484="Ganho","Ganho",IF($G484="Perdido","Perdido","Aberto")))</f>
        <v/>
      </c>
      <c r="Q484" s="18">
        <f>IF(OR($C484="",$P484&lt;&gt;"Aberto"),"",IF($I484="",Hoje-$B484,Hoje-$I484))</f>
        <v/>
      </c>
      <c r="R484" s="22">
        <f>IF(OR($C484="",$P484&lt;&gt;"Aberto"),"",IF($J484="",IF($Q484&gt;DiasSC,"ATRASADO","Definir data"),IF($J484&lt;Hoje,"ATRASADO",IF($J484=Hoje,"HOJE","Em dia"))))</f>
        <v/>
      </c>
      <c r="S484" s="23">
        <f>IF($R484="","",IF(OR($R484="ATRASADO",$R484="HOJE",$R484="Definir data"),COUNTIF($R$5:$R484,"ATRASADO")+COUNTIF($R$5:$R484,"HOJE")+COUNTIF($R$5:$R484,"Definir data"),""))</f>
        <v/>
      </c>
      <c r="T484" s="18">
        <f>IF($C484="","",IF(OR($B484="",$E484="",$F484="",$G484=""),"Preencher entrada/origem/vendedor/etapa",IF(AND(OR($P484="Ganho",$P484="Perdido"),$K484=""),"Falta data de fechamento",IF(AND($P484="Perdido",$L484=""),"Informe o motivo da perda","OK"))))</f>
        <v/>
      </c>
    </row>
    <row r="485" spans="1:20">
      <c r="A485" s="18">
        <f>IF($C485="","",ROW()-4)</f>
        <v/>
      </c>
      <c r="B485" s="19"/>
      <c r="C485" s="13"/>
      <c r="D485" s="13"/>
      <c r="E485" s="13"/>
      <c r="F485" s="13"/>
      <c r="G485" s="13"/>
      <c r="H485" s="15"/>
      <c r="I485" s="19"/>
      <c r="J485" s="19"/>
      <c r="K485" s="19"/>
      <c r="L485" s="13"/>
      <c r="M485" s="13"/>
      <c r="N485" s="20">
        <f>IF($C485="","",IFERROR(INDEX(EtapaProb,MATCH($G485,Etapas,0)),0))</f>
        <v/>
      </c>
      <c r="O485" s="21">
        <f>IF($C485="","",IF($P485="Aberto",N($H485)*$N485,0))</f>
        <v/>
      </c>
      <c r="P485" s="18">
        <f>IF($C485="","",IF($G485="Ganho","Ganho",IF($G485="Perdido","Perdido","Aberto")))</f>
        <v/>
      </c>
      <c r="Q485" s="18">
        <f>IF(OR($C485="",$P485&lt;&gt;"Aberto"),"",IF($I485="",Hoje-$B485,Hoje-$I485))</f>
        <v/>
      </c>
      <c r="R485" s="22">
        <f>IF(OR($C485="",$P485&lt;&gt;"Aberto"),"",IF($J485="",IF($Q485&gt;DiasSC,"ATRASADO","Definir data"),IF($J485&lt;Hoje,"ATRASADO",IF($J485=Hoje,"HOJE","Em dia"))))</f>
        <v/>
      </c>
      <c r="S485" s="23">
        <f>IF($R485="","",IF(OR($R485="ATRASADO",$R485="HOJE",$R485="Definir data"),COUNTIF($R$5:$R485,"ATRASADO")+COUNTIF($R$5:$R485,"HOJE")+COUNTIF($R$5:$R485,"Definir data"),""))</f>
        <v/>
      </c>
      <c r="T485" s="18">
        <f>IF($C485="","",IF(OR($B485="",$E485="",$F485="",$G485=""),"Preencher entrada/origem/vendedor/etapa",IF(AND(OR($P485="Ganho",$P485="Perdido"),$K485=""),"Falta data de fechamento",IF(AND($P485="Perdido",$L485=""),"Informe o motivo da perda","OK"))))</f>
        <v/>
      </c>
    </row>
    <row r="486" spans="1:20">
      <c r="A486" s="18">
        <f>IF($C486="","",ROW()-4)</f>
        <v/>
      </c>
      <c r="B486" s="19"/>
      <c r="C486" s="13"/>
      <c r="D486" s="13"/>
      <c r="E486" s="13"/>
      <c r="F486" s="13"/>
      <c r="G486" s="13"/>
      <c r="H486" s="15"/>
      <c r="I486" s="19"/>
      <c r="J486" s="19"/>
      <c r="K486" s="19"/>
      <c r="L486" s="13"/>
      <c r="M486" s="13"/>
      <c r="N486" s="20">
        <f>IF($C486="","",IFERROR(INDEX(EtapaProb,MATCH($G486,Etapas,0)),0))</f>
        <v/>
      </c>
      <c r="O486" s="21">
        <f>IF($C486="","",IF($P486="Aberto",N($H486)*$N486,0))</f>
        <v/>
      </c>
      <c r="P486" s="18">
        <f>IF($C486="","",IF($G486="Ganho","Ganho",IF($G486="Perdido","Perdido","Aberto")))</f>
        <v/>
      </c>
      <c r="Q486" s="18">
        <f>IF(OR($C486="",$P486&lt;&gt;"Aberto"),"",IF($I486="",Hoje-$B486,Hoje-$I486))</f>
        <v/>
      </c>
      <c r="R486" s="22">
        <f>IF(OR($C486="",$P486&lt;&gt;"Aberto"),"",IF($J486="",IF($Q486&gt;DiasSC,"ATRASADO","Definir data"),IF($J486&lt;Hoje,"ATRASADO",IF($J486=Hoje,"HOJE","Em dia"))))</f>
        <v/>
      </c>
      <c r="S486" s="23">
        <f>IF($R486="","",IF(OR($R486="ATRASADO",$R486="HOJE",$R486="Definir data"),COUNTIF($R$5:$R486,"ATRASADO")+COUNTIF($R$5:$R486,"HOJE")+COUNTIF($R$5:$R486,"Definir data"),""))</f>
        <v/>
      </c>
      <c r="T486" s="18">
        <f>IF($C486="","",IF(OR($B486="",$E486="",$F486="",$G486=""),"Preencher entrada/origem/vendedor/etapa",IF(AND(OR($P486="Ganho",$P486="Perdido"),$K486=""),"Falta data de fechamento",IF(AND($P486="Perdido",$L486=""),"Informe o motivo da perda","OK"))))</f>
        <v/>
      </c>
    </row>
    <row r="487" spans="1:20">
      <c r="A487" s="18">
        <f>IF($C487="","",ROW()-4)</f>
        <v/>
      </c>
      <c r="B487" s="19"/>
      <c r="C487" s="13"/>
      <c r="D487" s="13"/>
      <c r="E487" s="13"/>
      <c r="F487" s="13"/>
      <c r="G487" s="13"/>
      <c r="H487" s="15"/>
      <c r="I487" s="19"/>
      <c r="J487" s="19"/>
      <c r="K487" s="19"/>
      <c r="L487" s="13"/>
      <c r="M487" s="13"/>
      <c r="N487" s="20">
        <f>IF($C487="","",IFERROR(INDEX(EtapaProb,MATCH($G487,Etapas,0)),0))</f>
        <v/>
      </c>
      <c r="O487" s="21">
        <f>IF($C487="","",IF($P487="Aberto",N($H487)*$N487,0))</f>
        <v/>
      </c>
      <c r="P487" s="18">
        <f>IF($C487="","",IF($G487="Ganho","Ganho",IF($G487="Perdido","Perdido","Aberto")))</f>
        <v/>
      </c>
      <c r="Q487" s="18">
        <f>IF(OR($C487="",$P487&lt;&gt;"Aberto"),"",IF($I487="",Hoje-$B487,Hoje-$I487))</f>
        <v/>
      </c>
      <c r="R487" s="22">
        <f>IF(OR($C487="",$P487&lt;&gt;"Aberto"),"",IF($J487="",IF($Q487&gt;DiasSC,"ATRASADO","Definir data"),IF($J487&lt;Hoje,"ATRASADO",IF($J487=Hoje,"HOJE","Em dia"))))</f>
        <v/>
      </c>
      <c r="S487" s="23">
        <f>IF($R487="","",IF(OR($R487="ATRASADO",$R487="HOJE",$R487="Definir data"),COUNTIF($R$5:$R487,"ATRASADO")+COUNTIF($R$5:$R487,"HOJE")+COUNTIF($R$5:$R487,"Definir data"),""))</f>
        <v/>
      </c>
      <c r="T487" s="18">
        <f>IF($C487="","",IF(OR($B487="",$E487="",$F487="",$G487=""),"Preencher entrada/origem/vendedor/etapa",IF(AND(OR($P487="Ganho",$P487="Perdido"),$K487=""),"Falta data de fechamento",IF(AND($P487="Perdido",$L487=""),"Informe o motivo da perda","OK"))))</f>
        <v/>
      </c>
    </row>
    <row r="488" spans="1:20">
      <c r="A488" s="18">
        <f>IF($C488="","",ROW()-4)</f>
        <v/>
      </c>
      <c r="B488" s="19"/>
      <c r="C488" s="13"/>
      <c r="D488" s="13"/>
      <c r="E488" s="13"/>
      <c r="F488" s="13"/>
      <c r="G488" s="13"/>
      <c r="H488" s="15"/>
      <c r="I488" s="19"/>
      <c r="J488" s="19"/>
      <c r="K488" s="19"/>
      <c r="L488" s="13"/>
      <c r="M488" s="13"/>
      <c r="N488" s="20">
        <f>IF($C488="","",IFERROR(INDEX(EtapaProb,MATCH($G488,Etapas,0)),0))</f>
        <v/>
      </c>
      <c r="O488" s="21">
        <f>IF($C488="","",IF($P488="Aberto",N($H488)*$N488,0))</f>
        <v/>
      </c>
      <c r="P488" s="18">
        <f>IF($C488="","",IF($G488="Ganho","Ganho",IF($G488="Perdido","Perdido","Aberto")))</f>
        <v/>
      </c>
      <c r="Q488" s="18">
        <f>IF(OR($C488="",$P488&lt;&gt;"Aberto"),"",IF($I488="",Hoje-$B488,Hoje-$I488))</f>
        <v/>
      </c>
      <c r="R488" s="22">
        <f>IF(OR($C488="",$P488&lt;&gt;"Aberto"),"",IF($J488="",IF($Q488&gt;DiasSC,"ATRASADO","Definir data"),IF($J488&lt;Hoje,"ATRASADO",IF($J488=Hoje,"HOJE","Em dia"))))</f>
        <v/>
      </c>
      <c r="S488" s="23">
        <f>IF($R488="","",IF(OR($R488="ATRASADO",$R488="HOJE",$R488="Definir data"),COUNTIF($R$5:$R488,"ATRASADO")+COUNTIF($R$5:$R488,"HOJE")+COUNTIF($R$5:$R488,"Definir data"),""))</f>
        <v/>
      </c>
      <c r="T488" s="18">
        <f>IF($C488="","",IF(OR($B488="",$E488="",$F488="",$G488=""),"Preencher entrada/origem/vendedor/etapa",IF(AND(OR($P488="Ganho",$P488="Perdido"),$K488=""),"Falta data de fechamento",IF(AND($P488="Perdido",$L488=""),"Informe o motivo da perda","OK"))))</f>
        <v/>
      </c>
    </row>
    <row r="489" spans="1:20">
      <c r="A489" s="18">
        <f>IF($C489="","",ROW()-4)</f>
        <v/>
      </c>
      <c r="B489" s="19"/>
      <c r="C489" s="13"/>
      <c r="D489" s="13"/>
      <c r="E489" s="13"/>
      <c r="F489" s="13"/>
      <c r="G489" s="13"/>
      <c r="H489" s="15"/>
      <c r="I489" s="19"/>
      <c r="J489" s="19"/>
      <c r="K489" s="19"/>
      <c r="L489" s="13"/>
      <c r="M489" s="13"/>
      <c r="N489" s="20">
        <f>IF($C489="","",IFERROR(INDEX(EtapaProb,MATCH($G489,Etapas,0)),0))</f>
        <v/>
      </c>
      <c r="O489" s="21">
        <f>IF($C489="","",IF($P489="Aberto",N($H489)*$N489,0))</f>
        <v/>
      </c>
      <c r="P489" s="18">
        <f>IF($C489="","",IF($G489="Ganho","Ganho",IF($G489="Perdido","Perdido","Aberto")))</f>
        <v/>
      </c>
      <c r="Q489" s="18">
        <f>IF(OR($C489="",$P489&lt;&gt;"Aberto"),"",IF($I489="",Hoje-$B489,Hoje-$I489))</f>
        <v/>
      </c>
      <c r="R489" s="22">
        <f>IF(OR($C489="",$P489&lt;&gt;"Aberto"),"",IF($J489="",IF($Q489&gt;DiasSC,"ATRASADO","Definir data"),IF($J489&lt;Hoje,"ATRASADO",IF($J489=Hoje,"HOJE","Em dia"))))</f>
        <v/>
      </c>
      <c r="S489" s="23">
        <f>IF($R489="","",IF(OR($R489="ATRASADO",$R489="HOJE",$R489="Definir data"),COUNTIF($R$5:$R489,"ATRASADO")+COUNTIF($R$5:$R489,"HOJE")+COUNTIF($R$5:$R489,"Definir data"),""))</f>
        <v/>
      </c>
      <c r="T489" s="18">
        <f>IF($C489="","",IF(OR($B489="",$E489="",$F489="",$G489=""),"Preencher entrada/origem/vendedor/etapa",IF(AND(OR($P489="Ganho",$P489="Perdido"),$K489=""),"Falta data de fechamento",IF(AND($P489="Perdido",$L489=""),"Informe o motivo da perda","OK"))))</f>
        <v/>
      </c>
    </row>
    <row r="490" spans="1:20">
      <c r="A490" s="18">
        <f>IF($C490="","",ROW()-4)</f>
        <v/>
      </c>
      <c r="B490" s="19"/>
      <c r="C490" s="13"/>
      <c r="D490" s="13"/>
      <c r="E490" s="13"/>
      <c r="F490" s="13"/>
      <c r="G490" s="13"/>
      <c r="H490" s="15"/>
      <c r="I490" s="19"/>
      <c r="J490" s="19"/>
      <c r="K490" s="19"/>
      <c r="L490" s="13"/>
      <c r="M490" s="13"/>
      <c r="N490" s="20">
        <f>IF($C490="","",IFERROR(INDEX(EtapaProb,MATCH($G490,Etapas,0)),0))</f>
        <v/>
      </c>
      <c r="O490" s="21">
        <f>IF($C490="","",IF($P490="Aberto",N($H490)*$N490,0))</f>
        <v/>
      </c>
      <c r="P490" s="18">
        <f>IF($C490="","",IF($G490="Ganho","Ganho",IF($G490="Perdido","Perdido","Aberto")))</f>
        <v/>
      </c>
      <c r="Q490" s="18">
        <f>IF(OR($C490="",$P490&lt;&gt;"Aberto"),"",IF($I490="",Hoje-$B490,Hoje-$I490))</f>
        <v/>
      </c>
      <c r="R490" s="22">
        <f>IF(OR($C490="",$P490&lt;&gt;"Aberto"),"",IF($J490="",IF($Q490&gt;DiasSC,"ATRASADO","Definir data"),IF($J490&lt;Hoje,"ATRASADO",IF($J490=Hoje,"HOJE","Em dia"))))</f>
        <v/>
      </c>
      <c r="S490" s="23">
        <f>IF($R490="","",IF(OR($R490="ATRASADO",$R490="HOJE",$R490="Definir data"),COUNTIF($R$5:$R490,"ATRASADO")+COUNTIF($R$5:$R490,"HOJE")+COUNTIF($R$5:$R490,"Definir data"),""))</f>
        <v/>
      </c>
      <c r="T490" s="18">
        <f>IF($C490="","",IF(OR($B490="",$E490="",$F490="",$G490=""),"Preencher entrada/origem/vendedor/etapa",IF(AND(OR($P490="Ganho",$P490="Perdido"),$K490=""),"Falta data de fechamento",IF(AND($P490="Perdido",$L490=""),"Informe o motivo da perda","OK"))))</f>
        <v/>
      </c>
    </row>
    <row r="491" spans="1:20">
      <c r="A491" s="18">
        <f>IF($C491="","",ROW()-4)</f>
        <v/>
      </c>
      <c r="B491" s="19"/>
      <c r="C491" s="13"/>
      <c r="D491" s="13"/>
      <c r="E491" s="13"/>
      <c r="F491" s="13"/>
      <c r="G491" s="13"/>
      <c r="H491" s="15"/>
      <c r="I491" s="19"/>
      <c r="J491" s="19"/>
      <c r="K491" s="19"/>
      <c r="L491" s="13"/>
      <c r="M491" s="13"/>
      <c r="N491" s="20">
        <f>IF($C491="","",IFERROR(INDEX(EtapaProb,MATCH($G491,Etapas,0)),0))</f>
        <v/>
      </c>
      <c r="O491" s="21">
        <f>IF($C491="","",IF($P491="Aberto",N($H491)*$N491,0))</f>
        <v/>
      </c>
      <c r="P491" s="18">
        <f>IF($C491="","",IF($G491="Ganho","Ganho",IF($G491="Perdido","Perdido","Aberto")))</f>
        <v/>
      </c>
      <c r="Q491" s="18">
        <f>IF(OR($C491="",$P491&lt;&gt;"Aberto"),"",IF($I491="",Hoje-$B491,Hoje-$I491))</f>
        <v/>
      </c>
      <c r="R491" s="22">
        <f>IF(OR($C491="",$P491&lt;&gt;"Aberto"),"",IF($J491="",IF($Q491&gt;DiasSC,"ATRASADO","Definir data"),IF($J491&lt;Hoje,"ATRASADO",IF($J491=Hoje,"HOJE","Em dia"))))</f>
        <v/>
      </c>
      <c r="S491" s="23">
        <f>IF($R491="","",IF(OR($R491="ATRASADO",$R491="HOJE",$R491="Definir data"),COUNTIF($R$5:$R491,"ATRASADO")+COUNTIF($R$5:$R491,"HOJE")+COUNTIF($R$5:$R491,"Definir data"),""))</f>
        <v/>
      </c>
      <c r="T491" s="18">
        <f>IF($C491="","",IF(OR($B491="",$E491="",$F491="",$G491=""),"Preencher entrada/origem/vendedor/etapa",IF(AND(OR($P491="Ganho",$P491="Perdido"),$K491=""),"Falta data de fechamento",IF(AND($P491="Perdido",$L491=""),"Informe o motivo da perda","OK"))))</f>
        <v/>
      </c>
    </row>
    <row r="492" spans="1:20">
      <c r="A492" s="18">
        <f>IF($C492="","",ROW()-4)</f>
        <v/>
      </c>
      <c r="B492" s="19"/>
      <c r="C492" s="13"/>
      <c r="D492" s="13"/>
      <c r="E492" s="13"/>
      <c r="F492" s="13"/>
      <c r="G492" s="13"/>
      <c r="H492" s="15"/>
      <c r="I492" s="19"/>
      <c r="J492" s="19"/>
      <c r="K492" s="19"/>
      <c r="L492" s="13"/>
      <c r="M492" s="13"/>
      <c r="N492" s="20">
        <f>IF($C492="","",IFERROR(INDEX(EtapaProb,MATCH($G492,Etapas,0)),0))</f>
        <v/>
      </c>
      <c r="O492" s="21">
        <f>IF($C492="","",IF($P492="Aberto",N($H492)*$N492,0))</f>
        <v/>
      </c>
      <c r="P492" s="18">
        <f>IF($C492="","",IF($G492="Ganho","Ganho",IF($G492="Perdido","Perdido","Aberto")))</f>
        <v/>
      </c>
      <c r="Q492" s="18">
        <f>IF(OR($C492="",$P492&lt;&gt;"Aberto"),"",IF($I492="",Hoje-$B492,Hoje-$I492))</f>
        <v/>
      </c>
      <c r="R492" s="22">
        <f>IF(OR($C492="",$P492&lt;&gt;"Aberto"),"",IF($J492="",IF($Q492&gt;DiasSC,"ATRASADO","Definir data"),IF($J492&lt;Hoje,"ATRASADO",IF($J492=Hoje,"HOJE","Em dia"))))</f>
        <v/>
      </c>
      <c r="S492" s="23">
        <f>IF($R492="","",IF(OR($R492="ATRASADO",$R492="HOJE",$R492="Definir data"),COUNTIF($R$5:$R492,"ATRASADO")+COUNTIF($R$5:$R492,"HOJE")+COUNTIF($R$5:$R492,"Definir data"),""))</f>
        <v/>
      </c>
      <c r="T492" s="18">
        <f>IF($C492="","",IF(OR($B492="",$E492="",$F492="",$G492=""),"Preencher entrada/origem/vendedor/etapa",IF(AND(OR($P492="Ganho",$P492="Perdido"),$K492=""),"Falta data de fechamento",IF(AND($P492="Perdido",$L492=""),"Informe o motivo da perda","OK"))))</f>
        <v/>
      </c>
    </row>
    <row r="493" spans="1:20">
      <c r="A493" s="18">
        <f>IF($C493="","",ROW()-4)</f>
        <v/>
      </c>
      <c r="B493" s="19"/>
      <c r="C493" s="13"/>
      <c r="D493" s="13"/>
      <c r="E493" s="13"/>
      <c r="F493" s="13"/>
      <c r="G493" s="13"/>
      <c r="H493" s="15"/>
      <c r="I493" s="19"/>
      <c r="J493" s="19"/>
      <c r="K493" s="19"/>
      <c r="L493" s="13"/>
      <c r="M493" s="13"/>
      <c r="N493" s="20">
        <f>IF($C493="","",IFERROR(INDEX(EtapaProb,MATCH($G493,Etapas,0)),0))</f>
        <v/>
      </c>
      <c r="O493" s="21">
        <f>IF($C493="","",IF($P493="Aberto",N($H493)*$N493,0))</f>
        <v/>
      </c>
      <c r="P493" s="18">
        <f>IF($C493="","",IF($G493="Ganho","Ganho",IF($G493="Perdido","Perdido","Aberto")))</f>
        <v/>
      </c>
      <c r="Q493" s="18">
        <f>IF(OR($C493="",$P493&lt;&gt;"Aberto"),"",IF($I493="",Hoje-$B493,Hoje-$I493))</f>
        <v/>
      </c>
      <c r="R493" s="22">
        <f>IF(OR($C493="",$P493&lt;&gt;"Aberto"),"",IF($J493="",IF($Q493&gt;DiasSC,"ATRASADO","Definir data"),IF($J493&lt;Hoje,"ATRASADO",IF($J493=Hoje,"HOJE","Em dia"))))</f>
        <v/>
      </c>
      <c r="S493" s="23">
        <f>IF($R493="","",IF(OR($R493="ATRASADO",$R493="HOJE",$R493="Definir data"),COUNTIF($R$5:$R493,"ATRASADO")+COUNTIF($R$5:$R493,"HOJE")+COUNTIF($R$5:$R493,"Definir data"),""))</f>
        <v/>
      </c>
      <c r="T493" s="18">
        <f>IF($C493="","",IF(OR($B493="",$E493="",$F493="",$G493=""),"Preencher entrada/origem/vendedor/etapa",IF(AND(OR($P493="Ganho",$P493="Perdido"),$K493=""),"Falta data de fechamento",IF(AND($P493="Perdido",$L493=""),"Informe o motivo da perda","OK"))))</f>
        <v/>
      </c>
    </row>
    <row r="494" spans="1:20">
      <c r="A494" s="18">
        <f>IF($C494="","",ROW()-4)</f>
        <v/>
      </c>
      <c r="B494" s="19"/>
      <c r="C494" s="13"/>
      <c r="D494" s="13"/>
      <c r="E494" s="13"/>
      <c r="F494" s="13"/>
      <c r="G494" s="13"/>
      <c r="H494" s="15"/>
      <c r="I494" s="19"/>
      <c r="J494" s="19"/>
      <c r="K494" s="19"/>
      <c r="L494" s="13"/>
      <c r="M494" s="13"/>
      <c r="N494" s="20">
        <f>IF($C494="","",IFERROR(INDEX(EtapaProb,MATCH($G494,Etapas,0)),0))</f>
        <v/>
      </c>
      <c r="O494" s="21">
        <f>IF($C494="","",IF($P494="Aberto",N($H494)*$N494,0))</f>
        <v/>
      </c>
      <c r="P494" s="18">
        <f>IF($C494="","",IF($G494="Ganho","Ganho",IF($G494="Perdido","Perdido","Aberto")))</f>
        <v/>
      </c>
      <c r="Q494" s="18">
        <f>IF(OR($C494="",$P494&lt;&gt;"Aberto"),"",IF($I494="",Hoje-$B494,Hoje-$I494))</f>
        <v/>
      </c>
      <c r="R494" s="22">
        <f>IF(OR($C494="",$P494&lt;&gt;"Aberto"),"",IF($J494="",IF($Q494&gt;DiasSC,"ATRASADO","Definir data"),IF($J494&lt;Hoje,"ATRASADO",IF($J494=Hoje,"HOJE","Em dia"))))</f>
        <v/>
      </c>
      <c r="S494" s="23">
        <f>IF($R494="","",IF(OR($R494="ATRASADO",$R494="HOJE",$R494="Definir data"),COUNTIF($R$5:$R494,"ATRASADO")+COUNTIF($R$5:$R494,"HOJE")+COUNTIF($R$5:$R494,"Definir data"),""))</f>
        <v/>
      </c>
      <c r="T494" s="18">
        <f>IF($C494="","",IF(OR($B494="",$E494="",$F494="",$G494=""),"Preencher entrada/origem/vendedor/etapa",IF(AND(OR($P494="Ganho",$P494="Perdido"),$K494=""),"Falta data de fechamento",IF(AND($P494="Perdido",$L494=""),"Informe o motivo da perda","OK"))))</f>
        <v/>
      </c>
    </row>
    <row r="495" spans="1:20">
      <c r="A495" s="18">
        <f>IF($C495="","",ROW()-4)</f>
        <v/>
      </c>
      <c r="B495" s="19"/>
      <c r="C495" s="13"/>
      <c r="D495" s="13"/>
      <c r="E495" s="13"/>
      <c r="F495" s="13"/>
      <c r="G495" s="13"/>
      <c r="H495" s="15"/>
      <c r="I495" s="19"/>
      <c r="J495" s="19"/>
      <c r="K495" s="19"/>
      <c r="L495" s="13"/>
      <c r="M495" s="13"/>
      <c r="N495" s="20">
        <f>IF($C495="","",IFERROR(INDEX(EtapaProb,MATCH($G495,Etapas,0)),0))</f>
        <v/>
      </c>
      <c r="O495" s="21">
        <f>IF($C495="","",IF($P495="Aberto",N($H495)*$N495,0))</f>
        <v/>
      </c>
      <c r="P495" s="18">
        <f>IF($C495="","",IF($G495="Ganho","Ganho",IF($G495="Perdido","Perdido","Aberto")))</f>
        <v/>
      </c>
      <c r="Q495" s="18">
        <f>IF(OR($C495="",$P495&lt;&gt;"Aberto"),"",IF($I495="",Hoje-$B495,Hoje-$I495))</f>
        <v/>
      </c>
      <c r="R495" s="22">
        <f>IF(OR($C495="",$P495&lt;&gt;"Aberto"),"",IF($J495="",IF($Q495&gt;DiasSC,"ATRASADO","Definir data"),IF($J495&lt;Hoje,"ATRASADO",IF($J495=Hoje,"HOJE","Em dia"))))</f>
        <v/>
      </c>
      <c r="S495" s="23">
        <f>IF($R495="","",IF(OR($R495="ATRASADO",$R495="HOJE",$R495="Definir data"),COUNTIF($R$5:$R495,"ATRASADO")+COUNTIF($R$5:$R495,"HOJE")+COUNTIF($R$5:$R495,"Definir data"),""))</f>
        <v/>
      </c>
      <c r="T495" s="18">
        <f>IF($C495="","",IF(OR($B495="",$E495="",$F495="",$G495=""),"Preencher entrada/origem/vendedor/etapa",IF(AND(OR($P495="Ganho",$P495="Perdido"),$K495=""),"Falta data de fechamento",IF(AND($P495="Perdido",$L495=""),"Informe o motivo da perda","OK"))))</f>
        <v/>
      </c>
    </row>
    <row r="496" spans="1:20">
      <c r="A496" s="18">
        <f>IF($C496="","",ROW()-4)</f>
        <v/>
      </c>
      <c r="B496" s="19"/>
      <c r="C496" s="13"/>
      <c r="D496" s="13"/>
      <c r="E496" s="13"/>
      <c r="F496" s="13"/>
      <c r="G496" s="13"/>
      <c r="H496" s="15"/>
      <c r="I496" s="19"/>
      <c r="J496" s="19"/>
      <c r="K496" s="19"/>
      <c r="L496" s="13"/>
      <c r="M496" s="13"/>
      <c r="N496" s="20">
        <f>IF($C496="","",IFERROR(INDEX(EtapaProb,MATCH($G496,Etapas,0)),0))</f>
        <v/>
      </c>
      <c r="O496" s="21">
        <f>IF($C496="","",IF($P496="Aberto",N($H496)*$N496,0))</f>
        <v/>
      </c>
      <c r="P496" s="18">
        <f>IF($C496="","",IF($G496="Ganho","Ganho",IF($G496="Perdido","Perdido","Aberto")))</f>
        <v/>
      </c>
      <c r="Q496" s="18">
        <f>IF(OR($C496="",$P496&lt;&gt;"Aberto"),"",IF($I496="",Hoje-$B496,Hoje-$I496))</f>
        <v/>
      </c>
      <c r="R496" s="22">
        <f>IF(OR($C496="",$P496&lt;&gt;"Aberto"),"",IF($J496="",IF($Q496&gt;DiasSC,"ATRASADO","Definir data"),IF($J496&lt;Hoje,"ATRASADO",IF($J496=Hoje,"HOJE","Em dia"))))</f>
        <v/>
      </c>
      <c r="S496" s="23">
        <f>IF($R496="","",IF(OR($R496="ATRASADO",$R496="HOJE",$R496="Definir data"),COUNTIF($R$5:$R496,"ATRASADO")+COUNTIF($R$5:$R496,"HOJE")+COUNTIF($R$5:$R496,"Definir data"),""))</f>
        <v/>
      </c>
      <c r="T496" s="18">
        <f>IF($C496="","",IF(OR($B496="",$E496="",$F496="",$G496=""),"Preencher entrada/origem/vendedor/etapa",IF(AND(OR($P496="Ganho",$P496="Perdido"),$K496=""),"Falta data de fechamento",IF(AND($P496="Perdido",$L496=""),"Informe o motivo da perda","OK"))))</f>
        <v/>
      </c>
    </row>
    <row r="497" spans="1:20">
      <c r="A497" s="18">
        <f>IF($C497="","",ROW()-4)</f>
        <v/>
      </c>
      <c r="B497" s="19"/>
      <c r="C497" s="13"/>
      <c r="D497" s="13"/>
      <c r="E497" s="13"/>
      <c r="F497" s="13"/>
      <c r="G497" s="13"/>
      <c r="H497" s="15"/>
      <c r="I497" s="19"/>
      <c r="J497" s="19"/>
      <c r="K497" s="19"/>
      <c r="L497" s="13"/>
      <c r="M497" s="13"/>
      <c r="N497" s="20">
        <f>IF($C497="","",IFERROR(INDEX(EtapaProb,MATCH($G497,Etapas,0)),0))</f>
        <v/>
      </c>
      <c r="O497" s="21">
        <f>IF($C497="","",IF($P497="Aberto",N($H497)*$N497,0))</f>
        <v/>
      </c>
      <c r="P497" s="18">
        <f>IF($C497="","",IF($G497="Ganho","Ganho",IF($G497="Perdido","Perdido","Aberto")))</f>
        <v/>
      </c>
      <c r="Q497" s="18">
        <f>IF(OR($C497="",$P497&lt;&gt;"Aberto"),"",IF($I497="",Hoje-$B497,Hoje-$I497))</f>
        <v/>
      </c>
      <c r="R497" s="22">
        <f>IF(OR($C497="",$P497&lt;&gt;"Aberto"),"",IF($J497="",IF($Q497&gt;DiasSC,"ATRASADO","Definir data"),IF($J497&lt;Hoje,"ATRASADO",IF($J497=Hoje,"HOJE","Em dia"))))</f>
        <v/>
      </c>
      <c r="S497" s="23">
        <f>IF($R497="","",IF(OR($R497="ATRASADO",$R497="HOJE",$R497="Definir data"),COUNTIF($R$5:$R497,"ATRASADO")+COUNTIF($R$5:$R497,"HOJE")+COUNTIF($R$5:$R497,"Definir data"),""))</f>
        <v/>
      </c>
      <c r="T497" s="18">
        <f>IF($C497="","",IF(OR($B497="",$E497="",$F497="",$G497=""),"Preencher entrada/origem/vendedor/etapa",IF(AND(OR($P497="Ganho",$P497="Perdido"),$K497=""),"Falta data de fechamento",IF(AND($P497="Perdido",$L497=""),"Informe o motivo da perda","OK"))))</f>
        <v/>
      </c>
    </row>
    <row r="498" spans="1:20">
      <c r="A498" s="18">
        <f>IF($C498="","",ROW()-4)</f>
        <v/>
      </c>
      <c r="B498" s="19"/>
      <c r="C498" s="13"/>
      <c r="D498" s="13"/>
      <c r="E498" s="13"/>
      <c r="F498" s="13"/>
      <c r="G498" s="13"/>
      <c r="H498" s="15"/>
      <c r="I498" s="19"/>
      <c r="J498" s="19"/>
      <c r="K498" s="19"/>
      <c r="L498" s="13"/>
      <c r="M498" s="13"/>
      <c r="N498" s="20">
        <f>IF($C498="","",IFERROR(INDEX(EtapaProb,MATCH($G498,Etapas,0)),0))</f>
        <v/>
      </c>
      <c r="O498" s="21">
        <f>IF($C498="","",IF($P498="Aberto",N($H498)*$N498,0))</f>
        <v/>
      </c>
      <c r="P498" s="18">
        <f>IF($C498="","",IF($G498="Ganho","Ganho",IF($G498="Perdido","Perdido","Aberto")))</f>
        <v/>
      </c>
      <c r="Q498" s="18">
        <f>IF(OR($C498="",$P498&lt;&gt;"Aberto"),"",IF($I498="",Hoje-$B498,Hoje-$I498))</f>
        <v/>
      </c>
      <c r="R498" s="22">
        <f>IF(OR($C498="",$P498&lt;&gt;"Aberto"),"",IF($J498="",IF($Q498&gt;DiasSC,"ATRASADO","Definir data"),IF($J498&lt;Hoje,"ATRASADO",IF($J498=Hoje,"HOJE","Em dia"))))</f>
        <v/>
      </c>
      <c r="S498" s="23">
        <f>IF($R498="","",IF(OR($R498="ATRASADO",$R498="HOJE",$R498="Definir data"),COUNTIF($R$5:$R498,"ATRASADO")+COUNTIF($R$5:$R498,"HOJE")+COUNTIF($R$5:$R498,"Definir data"),""))</f>
        <v/>
      </c>
      <c r="T498" s="18">
        <f>IF($C498="","",IF(OR($B498="",$E498="",$F498="",$G498=""),"Preencher entrada/origem/vendedor/etapa",IF(AND(OR($P498="Ganho",$P498="Perdido"),$K498=""),"Falta data de fechamento",IF(AND($P498="Perdido",$L498=""),"Informe o motivo da perda","OK"))))</f>
        <v/>
      </c>
    </row>
    <row r="499" spans="1:20">
      <c r="A499" s="18">
        <f>IF($C499="","",ROW()-4)</f>
        <v/>
      </c>
      <c r="B499" s="19"/>
      <c r="C499" s="13"/>
      <c r="D499" s="13"/>
      <c r="E499" s="13"/>
      <c r="F499" s="13"/>
      <c r="G499" s="13"/>
      <c r="H499" s="15"/>
      <c r="I499" s="19"/>
      <c r="J499" s="19"/>
      <c r="K499" s="19"/>
      <c r="L499" s="13"/>
      <c r="M499" s="13"/>
      <c r="N499" s="20">
        <f>IF($C499="","",IFERROR(INDEX(EtapaProb,MATCH($G499,Etapas,0)),0))</f>
        <v/>
      </c>
      <c r="O499" s="21">
        <f>IF($C499="","",IF($P499="Aberto",N($H499)*$N499,0))</f>
        <v/>
      </c>
      <c r="P499" s="18">
        <f>IF($C499="","",IF($G499="Ganho","Ganho",IF($G499="Perdido","Perdido","Aberto")))</f>
        <v/>
      </c>
      <c r="Q499" s="18">
        <f>IF(OR($C499="",$P499&lt;&gt;"Aberto"),"",IF($I499="",Hoje-$B499,Hoje-$I499))</f>
        <v/>
      </c>
      <c r="R499" s="22">
        <f>IF(OR($C499="",$P499&lt;&gt;"Aberto"),"",IF($J499="",IF($Q499&gt;DiasSC,"ATRASADO","Definir data"),IF($J499&lt;Hoje,"ATRASADO",IF($J499=Hoje,"HOJE","Em dia"))))</f>
        <v/>
      </c>
      <c r="S499" s="23">
        <f>IF($R499="","",IF(OR($R499="ATRASADO",$R499="HOJE",$R499="Definir data"),COUNTIF($R$5:$R499,"ATRASADO")+COUNTIF($R$5:$R499,"HOJE")+COUNTIF($R$5:$R499,"Definir data"),""))</f>
        <v/>
      </c>
      <c r="T499" s="18">
        <f>IF($C499="","",IF(OR($B499="",$E499="",$F499="",$G499=""),"Preencher entrada/origem/vendedor/etapa",IF(AND(OR($P499="Ganho",$P499="Perdido"),$K499=""),"Falta data de fechamento",IF(AND($P499="Perdido",$L499=""),"Informe o motivo da perda","OK"))))</f>
        <v/>
      </c>
    </row>
    <row r="500" spans="1:20">
      <c r="A500" s="18">
        <f>IF($C500="","",ROW()-4)</f>
        <v/>
      </c>
      <c r="B500" s="19"/>
      <c r="C500" s="13"/>
      <c r="D500" s="13"/>
      <c r="E500" s="13"/>
      <c r="F500" s="13"/>
      <c r="G500" s="13"/>
      <c r="H500" s="15"/>
      <c r="I500" s="19"/>
      <c r="J500" s="19"/>
      <c r="K500" s="19"/>
      <c r="L500" s="13"/>
      <c r="M500" s="13"/>
      <c r="N500" s="20">
        <f>IF($C500="","",IFERROR(INDEX(EtapaProb,MATCH($G500,Etapas,0)),0))</f>
        <v/>
      </c>
      <c r="O500" s="21">
        <f>IF($C500="","",IF($P500="Aberto",N($H500)*$N500,0))</f>
        <v/>
      </c>
      <c r="P500" s="18">
        <f>IF($C500="","",IF($G500="Ganho","Ganho",IF($G500="Perdido","Perdido","Aberto")))</f>
        <v/>
      </c>
      <c r="Q500" s="18">
        <f>IF(OR($C500="",$P500&lt;&gt;"Aberto"),"",IF($I500="",Hoje-$B500,Hoje-$I500))</f>
        <v/>
      </c>
      <c r="R500" s="22">
        <f>IF(OR($C500="",$P500&lt;&gt;"Aberto"),"",IF($J500="",IF($Q500&gt;DiasSC,"ATRASADO","Definir data"),IF($J500&lt;Hoje,"ATRASADO",IF($J500=Hoje,"HOJE","Em dia"))))</f>
        <v/>
      </c>
      <c r="S500" s="23">
        <f>IF($R500="","",IF(OR($R500="ATRASADO",$R500="HOJE",$R500="Definir data"),COUNTIF($R$5:$R500,"ATRASADO")+COUNTIF($R$5:$R500,"HOJE")+COUNTIF($R$5:$R500,"Definir data"),""))</f>
        <v/>
      </c>
      <c r="T500" s="18">
        <f>IF($C500="","",IF(OR($B500="",$E500="",$F500="",$G500=""),"Preencher entrada/origem/vendedor/etapa",IF(AND(OR($P500="Ganho",$P500="Perdido"),$K500=""),"Falta data de fechamento",IF(AND($P500="Perdido",$L500=""),"Informe o motivo da perda","OK"))))</f>
        <v/>
      </c>
    </row>
    <row r="501" spans="1:20">
      <c r="A501" s="18">
        <f>IF($C501="","",ROW()-4)</f>
        <v/>
      </c>
      <c r="B501" s="19"/>
      <c r="C501" s="13"/>
      <c r="D501" s="13"/>
      <c r="E501" s="13"/>
      <c r="F501" s="13"/>
      <c r="G501" s="13"/>
      <c r="H501" s="15"/>
      <c r="I501" s="19"/>
      <c r="J501" s="19"/>
      <c r="K501" s="19"/>
      <c r="L501" s="13"/>
      <c r="M501" s="13"/>
      <c r="N501" s="20">
        <f>IF($C501="","",IFERROR(INDEX(EtapaProb,MATCH($G501,Etapas,0)),0))</f>
        <v/>
      </c>
      <c r="O501" s="21">
        <f>IF($C501="","",IF($P501="Aberto",N($H501)*$N501,0))</f>
        <v/>
      </c>
      <c r="P501" s="18">
        <f>IF($C501="","",IF($G501="Ganho","Ganho",IF($G501="Perdido","Perdido","Aberto")))</f>
        <v/>
      </c>
      <c r="Q501" s="18">
        <f>IF(OR($C501="",$P501&lt;&gt;"Aberto"),"",IF($I501="",Hoje-$B501,Hoje-$I501))</f>
        <v/>
      </c>
      <c r="R501" s="22">
        <f>IF(OR($C501="",$P501&lt;&gt;"Aberto"),"",IF($J501="",IF($Q501&gt;DiasSC,"ATRASADO","Definir data"),IF($J501&lt;Hoje,"ATRASADO",IF($J501=Hoje,"HOJE","Em dia"))))</f>
        <v/>
      </c>
      <c r="S501" s="23">
        <f>IF($R501="","",IF(OR($R501="ATRASADO",$R501="HOJE",$R501="Definir data"),COUNTIF($R$5:$R501,"ATRASADO")+COUNTIF($R$5:$R501,"HOJE")+COUNTIF($R$5:$R501,"Definir data"),""))</f>
        <v/>
      </c>
      <c r="T501" s="18">
        <f>IF($C501="","",IF(OR($B501="",$E501="",$F501="",$G501=""),"Preencher entrada/origem/vendedor/etapa",IF(AND(OR($P501="Ganho",$P501="Perdido"),$K501=""),"Falta data de fechamento",IF(AND($P501="Perdido",$L501=""),"Informe o motivo da perda","OK"))))</f>
        <v/>
      </c>
    </row>
    <row r="502" spans="1:20">
      <c r="A502" s="18">
        <f>IF($C502="","",ROW()-4)</f>
        <v/>
      </c>
      <c r="B502" s="19"/>
      <c r="C502" s="13"/>
      <c r="D502" s="13"/>
      <c r="E502" s="13"/>
      <c r="F502" s="13"/>
      <c r="G502" s="13"/>
      <c r="H502" s="15"/>
      <c r="I502" s="19"/>
      <c r="J502" s="19"/>
      <c r="K502" s="19"/>
      <c r="L502" s="13"/>
      <c r="M502" s="13"/>
      <c r="N502" s="20">
        <f>IF($C502="","",IFERROR(INDEX(EtapaProb,MATCH($G502,Etapas,0)),0))</f>
        <v/>
      </c>
      <c r="O502" s="21">
        <f>IF($C502="","",IF($P502="Aberto",N($H502)*$N502,0))</f>
        <v/>
      </c>
      <c r="P502" s="18">
        <f>IF($C502="","",IF($G502="Ganho","Ganho",IF($G502="Perdido","Perdido","Aberto")))</f>
        <v/>
      </c>
      <c r="Q502" s="18">
        <f>IF(OR($C502="",$P502&lt;&gt;"Aberto"),"",IF($I502="",Hoje-$B502,Hoje-$I502))</f>
        <v/>
      </c>
      <c r="R502" s="22">
        <f>IF(OR($C502="",$P502&lt;&gt;"Aberto"),"",IF($J502="",IF($Q502&gt;DiasSC,"ATRASADO","Definir data"),IF($J502&lt;Hoje,"ATRASADO",IF($J502=Hoje,"HOJE","Em dia"))))</f>
        <v/>
      </c>
      <c r="S502" s="23">
        <f>IF($R502="","",IF(OR($R502="ATRASADO",$R502="HOJE",$R502="Definir data"),COUNTIF($R$5:$R502,"ATRASADO")+COUNTIF($R$5:$R502,"HOJE")+COUNTIF($R$5:$R502,"Definir data"),""))</f>
        <v/>
      </c>
      <c r="T502" s="18">
        <f>IF($C502="","",IF(OR($B502="",$E502="",$F502="",$G502=""),"Preencher entrada/origem/vendedor/etapa",IF(AND(OR($P502="Ganho",$P502="Perdido"),$K502=""),"Falta data de fechamento",IF(AND($P502="Perdido",$L502=""),"Informe o motivo da perda","OK"))))</f>
        <v/>
      </c>
    </row>
    <row r="503" spans="1:20">
      <c r="A503" s="18">
        <f>IF($C503="","",ROW()-4)</f>
        <v/>
      </c>
      <c r="B503" s="19"/>
      <c r="C503" s="13"/>
      <c r="D503" s="13"/>
      <c r="E503" s="13"/>
      <c r="F503" s="13"/>
      <c r="G503" s="13"/>
      <c r="H503" s="15"/>
      <c r="I503" s="19"/>
      <c r="J503" s="19"/>
      <c r="K503" s="19"/>
      <c r="L503" s="13"/>
      <c r="M503" s="13"/>
      <c r="N503" s="20">
        <f>IF($C503="","",IFERROR(INDEX(EtapaProb,MATCH($G503,Etapas,0)),0))</f>
        <v/>
      </c>
      <c r="O503" s="21">
        <f>IF($C503="","",IF($P503="Aberto",N($H503)*$N503,0))</f>
        <v/>
      </c>
      <c r="P503" s="18">
        <f>IF($C503="","",IF($G503="Ganho","Ganho",IF($G503="Perdido","Perdido","Aberto")))</f>
        <v/>
      </c>
      <c r="Q503" s="18">
        <f>IF(OR($C503="",$P503&lt;&gt;"Aberto"),"",IF($I503="",Hoje-$B503,Hoje-$I503))</f>
        <v/>
      </c>
      <c r="R503" s="22">
        <f>IF(OR($C503="",$P503&lt;&gt;"Aberto"),"",IF($J503="",IF($Q503&gt;DiasSC,"ATRASADO","Definir data"),IF($J503&lt;Hoje,"ATRASADO",IF($J503=Hoje,"HOJE","Em dia"))))</f>
        <v/>
      </c>
      <c r="S503" s="23">
        <f>IF($R503="","",IF(OR($R503="ATRASADO",$R503="HOJE",$R503="Definir data"),COUNTIF($R$5:$R503,"ATRASADO")+COUNTIF($R$5:$R503,"HOJE")+COUNTIF($R$5:$R503,"Definir data"),""))</f>
        <v/>
      </c>
      <c r="T503" s="18">
        <f>IF($C503="","",IF(OR($B503="",$E503="",$F503="",$G503=""),"Preencher entrada/origem/vendedor/etapa",IF(AND(OR($P503="Ganho",$P503="Perdido"),$K503=""),"Falta data de fechamento",IF(AND($P503="Perdido",$L503=""),"Informe o motivo da perda","OK"))))</f>
        <v/>
      </c>
    </row>
    <row r="504" spans="1:20">
      <c r="A504" s="18">
        <f>IF($C504="","",ROW()-4)</f>
        <v/>
      </c>
      <c r="B504" s="19"/>
      <c r="C504" s="13"/>
      <c r="D504" s="13"/>
      <c r="E504" s="13"/>
      <c r="F504" s="13"/>
      <c r="G504" s="13"/>
      <c r="H504" s="15"/>
      <c r="I504" s="19"/>
      <c r="J504" s="19"/>
      <c r="K504" s="19"/>
      <c r="L504" s="13"/>
      <c r="M504" s="13"/>
      <c r="N504" s="20">
        <f>IF($C504="","",IFERROR(INDEX(EtapaProb,MATCH($G504,Etapas,0)),0))</f>
        <v/>
      </c>
      <c r="O504" s="21">
        <f>IF($C504="","",IF($P504="Aberto",N($H504)*$N504,0))</f>
        <v/>
      </c>
      <c r="P504" s="18">
        <f>IF($C504="","",IF($G504="Ganho","Ganho",IF($G504="Perdido","Perdido","Aberto")))</f>
        <v/>
      </c>
      <c r="Q504" s="18">
        <f>IF(OR($C504="",$P504&lt;&gt;"Aberto"),"",IF($I504="",Hoje-$B504,Hoje-$I504))</f>
        <v/>
      </c>
      <c r="R504" s="22">
        <f>IF(OR($C504="",$P504&lt;&gt;"Aberto"),"",IF($J504="",IF($Q504&gt;DiasSC,"ATRASADO","Definir data"),IF($J504&lt;Hoje,"ATRASADO",IF($J504=Hoje,"HOJE","Em dia"))))</f>
        <v/>
      </c>
      <c r="S504" s="23">
        <f>IF($R504="","",IF(OR($R504="ATRASADO",$R504="HOJE",$R504="Definir data"),COUNTIF($R$5:$R504,"ATRASADO")+COUNTIF($R$5:$R504,"HOJE")+COUNTIF($R$5:$R504,"Definir data"),""))</f>
        <v/>
      </c>
      <c r="T504" s="18">
        <f>IF($C504="","",IF(OR($B504="",$E504="",$F504="",$G504=""),"Preencher entrada/origem/vendedor/etapa",IF(AND(OR($P504="Ganho",$P504="Perdido"),$K504=""),"Falta data de fechamento",IF(AND($P504="Perdido",$L504=""),"Informe o motivo da perda","OK"))))</f>
        <v/>
      </c>
    </row>
    <row r="505" spans="1:20">
      <c r="A505" s="18">
        <f>IF($C505="","",ROW()-4)</f>
        <v/>
      </c>
      <c r="B505" s="19"/>
      <c r="C505" s="13"/>
      <c r="D505" s="13"/>
      <c r="E505" s="13"/>
      <c r="F505" s="13"/>
      <c r="G505" s="13"/>
      <c r="H505" s="15"/>
      <c r="I505" s="19"/>
      <c r="J505" s="19"/>
      <c r="K505" s="19"/>
      <c r="L505" s="13"/>
      <c r="M505" s="13"/>
      <c r="N505" s="20">
        <f>IF($C505="","",IFERROR(INDEX(EtapaProb,MATCH($G505,Etapas,0)),0))</f>
        <v/>
      </c>
      <c r="O505" s="21">
        <f>IF($C505="","",IF($P505="Aberto",N($H505)*$N505,0))</f>
        <v/>
      </c>
      <c r="P505" s="18">
        <f>IF($C505="","",IF($G505="Ganho","Ganho",IF($G505="Perdido","Perdido","Aberto")))</f>
        <v/>
      </c>
      <c r="Q505" s="18">
        <f>IF(OR($C505="",$P505&lt;&gt;"Aberto"),"",IF($I505="",Hoje-$B505,Hoje-$I505))</f>
        <v/>
      </c>
      <c r="R505" s="22">
        <f>IF(OR($C505="",$P505&lt;&gt;"Aberto"),"",IF($J505="",IF($Q505&gt;DiasSC,"ATRASADO","Definir data"),IF($J505&lt;Hoje,"ATRASADO",IF($J505=Hoje,"HOJE","Em dia"))))</f>
        <v/>
      </c>
      <c r="S505" s="23">
        <f>IF($R505="","",IF(OR($R505="ATRASADO",$R505="HOJE",$R505="Definir data"),COUNTIF($R$5:$R505,"ATRASADO")+COUNTIF($R$5:$R505,"HOJE")+COUNTIF($R$5:$R505,"Definir data"),""))</f>
        <v/>
      </c>
      <c r="T505" s="18">
        <f>IF($C505="","",IF(OR($B505="",$E505="",$F505="",$G505=""),"Preencher entrada/origem/vendedor/etapa",IF(AND(OR($P505="Ganho",$P505="Perdido"),$K505=""),"Falta data de fechamento",IF(AND($P505="Perdido",$L505=""),"Informe o motivo da perda","OK"))))</f>
        <v/>
      </c>
    </row>
    <row r="506" spans="1:20">
      <c r="A506" s="18">
        <f>IF($C506="","",ROW()-4)</f>
        <v/>
      </c>
      <c r="B506" s="19"/>
      <c r="C506" s="13"/>
      <c r="D506" s="13"/>
      <c r="E506" s="13"/>
      <c r="F506" s="13"/>
      <c r="G506" s="13"/>
      <c r="H506" s="15"/>
      <c r="I506" s="19"/>
      <c r="J506" s="19"/>
      <c r="K506" s="19"/>
      <c r="L506" s="13"/>
      <c r="M506" s="13"/>
      <c r="N506" s="20">
        <f>IF($C506="","",IFERROR(INDEX(EtapaProb,MATCH($G506,Etapas,0)),0))</f>
        <v/>
      </c>
      <c r="O506" s="21">
        <f>IF($C506="","",IF($P506="Aberto",N($H506)*$N506,0))</f>
        <v/>
      </c>
      <c r="P506" s="18">
        <f>IF($C506="","",IF($G506="Ganho","Ganho",IF($G506="Perdido","Perdido","Aberto")))</f>
        <v/>
      </c>
      <c r="Q506" s="18">
        <f>IF(OR($C506="",$P506&lt;&gt;"Aberto"),"",IF($I506="",Hoje-$B506,Hoje-$I506))</f>
        <v/>
      </c>
      <c r="R506" s="22">
        <f>IF(OR($C506="",$P506&lt;&gt;"Aberto"),"",IF($J506="",IF($Q506&gt;DiasSC,"ATRASADO","Definir data"),IF($J506&lt;Hoje,"ATRASADO",IF($J506=Hoje,"HOJE","Em dia"))))</f>
        <v/>
      </c>
      <c r="S506" s="23">
        <f>IF($R506="","",IF(OR($R506="ATRASADO",$R506="HOJE",$R506="Definir data"),COUNTIF($R$5:$R506,"ATRASADO")+COUNTIF($R$5:$R506,"HOJE")+COUNTIF($R$5:$R506,"Definir data"),""))</f>
        <v/>
      </c>
      <c r="T506" s="18">
        <f>IF($C506="","",IF(OR($B506="",$E506="",$F506="",$G506=""),"Preencher entrada/origem/vendedor/etapa",IF(AND(OR($P506="Ganho",$P506="Perdido"),$K506=""),"Falta data de fechamento",IF(AND($P506="Perdido",$L506=""),"Informe o motivo da perda","OK"))))</f>
        <v/>
      </c>
    </row>
    <row r="507" spans="1:20">
      <c r="A507" s="18">
        <f>IF($C507="","",ROW()-4)</f>
        <v/>
      </c>
      <c r="B507" s="19"/>
      <c r="C507" s="13"/>
      <c r="D507" s="13"/>
      <c r="E507" s="13"/>
      <c r="F507" s="13"/>
      <c r="G507" s="13"/>
      <c r="H507" s="15"/>
      <c r="I507" s="19"/>
      <c r="J507" s="19"/>
      <c r="K507" s="19"/>
      <c r="L507" s="13"/>
      <c r="M507" s="13"/>
      <c r="N507" s="20">
        <f>IF($C507="","",IFERROR(INDEX(EtapaProb,MATCH($G507,Etapas,0)),0))</f>
        <v/>
      </c>
      <c r="O507" s="21">
        <f>IF($C507="","",IF($P507="Aberto",N($H507)*$N507,0))</f>
        <v/>
      </c>
      <c r="P507" s="18">
        <f>IF($C507="","",IF($G507="Ganho","Ganho",IF($G507="Perdido","Perdido","Aberto")))</f>
        <v/>
      </c>
      <c r="Q507" s="18">
        <f>IF(OR($C507="",$P507&lt;&gt;"Aberto"),"",IF($I507="",Hoje-$B507,Hoje-$I507))</f>
        <v/>
      </c>
      <c r="R507" s="22">
        <f>IF(OR($C507="",$P507&lt;&gt;"Aberto"),"",IF($J507="",IF($Q507&gt;DiasSC,"ATRASADO","Definir data"),IF($J507&lt;Hoje,"ATRASADO",IF($J507=Hoje,"HOJE","Em dia"))))</f>
        <v/>
      </c>
      <c r="S507" s="23">
        <f>IF($R507="","",IF(OR($R507="ATRASADO",$R507="HOJE",$R507="Definir data"),COUNTIF($R$5:$R507,"ATRASADO")+COUNTIF($R$5:$R507,"HOJE")+COUNTIF($R$5:$R507,"Definir data"),""))</f>
        <v/>
      </c>
      <c r="T507" s="18">
        <f>IF($C507="","",IF(OR($B507="",$E507="",$F507="",$G507=""),"Preencher entrada/origem/vendedor/etapa",IF(AND(OR($P507="Ganho",$P507="Perdido"),$K507=""),"Falta data de fechamento",IF(AND($P507="Perdido",$L507=""),"Informe o motivo da perda","OK"))))</f>
        <v/>
      </c>
    </row>
    <row r="508" spans="1:20">
      <c r="A508" s="18">
        <f>IF($C508="","",ROW()-4)</f>
        <v/>
      </c>
      <c r="B508" s="19"/>
      <c r="C508" s="13"/>
      <c r="D508" s="13"/>
      <c r="E508" s="13"/>
      <c r="F508" s="13"/>
      <c r="G508" s="13"/>
      <c r="H508" s="15"/>
      <c r="I508" s="19"/>
      <c r="J508" s="19"/>
      <c r="K508" s="19"/>
      <c r="L508" s="13"/>
      <c r="M508" s="13"/>
      <c r="N508" s="20">
        <f>IF($C508="","",IFERROR(INDEX(EtapaProb,MATCH($G508,Etapas,0)),0))</f>
        <v/>
      </c>
      <c r="O508" s="21">
        <f>IF($C508="","",IF($P508="Aberto",N($H508)*$N508,0))</f>
        <v/>
      </c>
      <c r="P508" s="18">
        <f>IF($C508="","",IF($G508="Ganho","Ganho",IF($G508="Perdido","Perdido","Aberto")))</f>
        <v/>
      </c>
      <c r="Q508" s="18">
        <f>IF(OR($C508="",$P508&lt;&gt;"Aberto"),"",IF($I508="",Hoje-$B508,Hoje-$I508))</f>
        <v/>
      </c>
      <c r="R508" s="22">
        <f>IF(OR($C508="",$P508&lt;&gt;"Aberto"),"",IF($J508="",IF($Q508&gt;DiasSC,"ATRASADO","Definir data"),IF($J508&lt;Hoje,"ATRASADO",IF($J508=Hoje,"HOJE","Em dia"))))</f>
        <v/>
      </c>
      <c r="S508" s="23">
        <f>IF($R508="","",IF(OR($R508="ATRASADO",$R508="HOJE",$R508="Definir data"),COUNTIF($R$5:$R508,"ATRASADO")+COUNTIF($R$5:$R508,"HOJE")+COUNTIF($R$5:$R508,"Definir data"),""))</f>
        <v/>
      </c>
      <c r="T508" s="18">
        <f>IF($C508="","",IF(OR($B508="",$E508="",$F508="",$G508=""),"Preencher entrada/origem/vendedor/etapa",IF(AND(OR($P508="Ganho",$P508="Perdido"),$K508=""),"Falta data de fechamento",IF(AND($P508="Perdido",$L508=""),"Informe o motivo da perda","OK"))))</f>
        <v/>
      </c>
    </row>
    <row r="509" spans="1:20">
      <c r="A509" s="18">
        <f>IF($C509="","",ROW()-4)</f>
        <v/>
      </c>
      <c r="B509" s="19"/>
      <c r="C509" s="13"/>
      <c r="D509" s="13"/>
      <c r="E509" s="13"/>
      <c r="F509" s="13"/>
      <c r="G509" s="13"/>
      <c r="H509" s="15"/>
      <c r="I509" s="19"/>
      <c r="J509" s="19"/>
      <c r="K509" s="19"/>
      <c r="L509" s="13"/>
      <c r="M509" s="13"/>
      <c r="N509" s="20">
        <f>IF($C509="","",IFERROR(INDEX(EtapaProb,MATCH($G509,Etapas,0)),0))</f>
        <v/>
      </c>
      <c r="O509" s="21">
        <f>IF($C509="","",IF($P509="Aberto",N($H509)*$N509,0))</f>
        <v/>
      </c>
      <c r="P509" s="18">
        <f>IF($C509="","",IF($G509="Ganho","Ganho",IF($G509="Perdido","Perdido","Aberto")))</f>
        <v/>
      </c>
      <c r="Q509" s="18">
        <f>IF(OR($C509="",$P509&lt;&gt;"Aberto"),"",IF($I509="",Hoje-$B509,Hoje-$I509))</f>
        <v/>
      </c>
      <c r="R509" s="22">
        <f>IF(OR($C509="",$P509&lt;&gt;"Aberto"),"",IF($J509="",IF($Q509&gt;DiasSC,"ATRASADO","Definir data"),IF($J509&lt;Hoje,"ATRASADO",IF($J509=Hoje,"HOJE","Em dia"))))</f>
        <v/>
      </c>
      <c r="S509" s="23">
        <f>IF($R509="","",IF(OR($R509="ATRASADO",$R509="HOJE",$R509="Definir data"),COUNTIF($R$5:$R509,"ATRASADO")+COUNTIF($R$5:$R509,"HOJE")+COUNTIF($R$5:$R509,"Definir data"),""))</f>
        <v/>
      </c>
      <c r="T509" s="18">
        <f>IF($C509="","",IF(OR($B509="",$E509="",$F509="",$G509=""),"Preencher entrada/origem/vendedor/etapa",IF(AND(OR($P509="Ganho",$P509="Perdido"),$K509=""),"Falta data de fechamento",IF(AND($P509="Perdido",$L509=""),"Informe o motivo da perda","OK"))))</f>
        <v/>
      </c>
    </row>
    <row r="510" spans="1:20">
      <c r="A510" s="18">
        <f>IF($C510="","",ROW()-4)</f>
        <v/>
      </c>
      <c r="B510" s="19"/>
      <c r="C510" s="13"/>
      <c r="D510" s="13"/>
      <c r="E510" s="13"/>
      <c r="F510" s="13"/>
      <c r="G510" s="13"/>
      <c r="H510" s="15"/>
      <c r="I510" s="19"/>
      <c r="J510" s="19"/>
      <c r="K510" s="19"/>
      <c r="L510" s="13"/>
      <c r="M510" s="13"/>
      <c r="N510" s="20">
        <f>IF($C510="","",IFERROR(INDEX(EtapaProb,MATCH($G510,Etapas,0)),0))</f>
        <v/>
      </c>
      <c r="O510" s="21">
        <f>IF($C510="","",IF($P510="Aberto",N($H510)*$N510,0))</f>
        <v/>
      </c>
      <c r="P510" s="18">
        <f>IF($C510="","",IF($G510="Ganho","Ganho",IF($G510="Perdido","Perdido","Aberto")))</f>
        <v/>
      </c>
      <c r="Q510" s="18">
        <f>IF(OR($C510="",$P510&lt;&gt;"Aberto"),"",IF($I510="",Hoje-$B510,Hoje-$I510))</f>
        <v/>
      </c>
      <c r="R510" s="22">
        <f>IF(OR($C510="",$P510&lt;&gt;"Aberto"),"",IF($J510="",IF($Q510&gt;DiasSC,"ATRASADO","Definir data"),IF($J510&lt;Hoje,"ATRASADO",IF($J510=Hoje,"HOJE","Em dia"))))</f>
        <v/>
      </c>
      <c r="S510" s="23">
        <f>IF($R510="","",IF(OR($R510="ATRASADO",$R510="HOJE",$R510="Definir data"),COUNTIF($R$5:$R510,"ATRASADO")+COUNTIF($R$5:$R510,"HOJE")+COUNTIF($R$5:$R510,"Definir data"),""))</f>
        <v/>
      </c>
      <c r="T510" s="18">
        <f>IF($C510="","",IF(OR($B510="",$E510="",$F510="",$G510=""),"Preencher entrada/origem/vendedor/etapa",IF(AND(OR($P510="Ganho",$P510="Perdido"),$K510=""),"Falta data de fechamento",IF(AND($P510="Perdido",$L510=""),"Informe o motivo da perda","OK"))))</f>
        <v/>
      </c>
    </row>
    <row r="511" spans="1:20">
      <c r="A511" s="18">
        <f>IF($C511="","",ROW()-4)</f>
        <v/>
      </c>
      <c r="B511" s="19"/>
      <c r="C511" s="13"/>
      <c r="D511" s="13"/>
      <c r="E511" s="13"/>
      <c r="F511" s="13"/>
      <c r="G511" s="13"/>
      <c r="H511" s="15"/>
      <c r="I511" s="19"/>
      <c r="J511" s="19"/>
      <c r="K511" s="19"/>
      <c r="L511" s="13"/>
      <c r="M511" s="13"/>
      <c r="N511" s="20">
        <f>IF($C511="","",IFERROR(INDEX(EtapaProb,MATCH($G511,Etapas,0)),0))</f>
        <v/>
      </c>
      <c r="O511" s="21">
        <f>IF($C511="","",IF($P511="Aberto",N($H511)*$N511,0))</f>
        <v/>
      </c>
      <c r="P511" s="18">
        <f>IF($C511="","",IF($G511="Ganho","Ganho",IF($G511="Perdido","Perdido","Aberto")))</f>
        <v/>
      </c>
      <c r="Q511" s="18">
        <f>IF(OR($C511="",$P511&lt;&gt;"Aberto"),"",IF($I511="",Hoje-$B511,Hoje-$I511))</f>
        <v/>
      </c>
      <c r="R511" s="22">
        <f>IF(OR($C511="",$P511&lt;&gt;"Aberto"),"",IF($J511="",IF($Q511&gt;DiasSC,"ATRASADO","Definir data"),IF($J511&lt;Hoje,"ATRASADO",IF($J511=Hoje,"HOJE","Em dia"))))</f>
        <v/>
      </c>
      <c r="S511" s="23">
        <f>IF($R511="","",IF(OR($R511="ATRASADO",$R511="HOJE",$R511="Definir data"),COUNTIF($R$5:$R511,"ATRASADO")+COUNTIF($R$5:$R511,"HOJE")+COUNTIF($R$5:$R511,"Definir data"),""))</f>
        <v/>
      </c>
      <c r="T511" s="18">
        <f>IF($C511="","",IF(OR($B511="",$E511="",$F511="",$G511=""),"Preencher entrada/origem/vendedor/etapa",IF(AND(OR($P511="Ganho",$P511="Perdido"),$K511=""),"Falta data de fechamento",IF(AND($P511="Perdido",$L511=""),"Informe o motivo da perda","OK"))))</f>
        <v/>
      </c>
    </row>
    <row r="512" spans="1:20">
      <c r="A512" s="18">
        <f>IF($C512="","",ROW()-4)</f>
        <v/>
      </c>
      <c r="B512" s="19"/>
      <c r="C512" s="13"/>
      <c r="D512" s="13"/>
      <c r="E512" s="13"/>
      <c r="F512" s="13"/>
      <c r="G512" s="13"/>
      <c r="H512" s="15"/>
      <c r="I512" s="19"/>
      <c r="J512" s="19"/>
      <c r="K512" s="19"/>
      <c r="L512" s="13"/>
      <c r="M512" s="13"/>
      <c r="N512" s="20">
        <f>IF($C512="","",IFERROR(INDEX(EtapaProb,MATCH($G512,Etapas,0)),0))</f>
        <v/>
      </c>
      <c r="O512" s="21">
        <f>IF($C512="","",IF($P512="Aberto",N($H512)*$N512,0))</f>
        <v/>
      </c>
      <c r="P512" s="18">
        <f>IF($C512="","",IF($G512="Ganho","Ganho",IF($G512="Perdido","Perdido","Aberto")))</f>
        <v/>
      </c>
      <c r="Q512" s="18">
        <f>IF(OR($C512="",$P512&lt;&gt;"Aberto"),"",IF($I512="",Hoje-$B512,Hoje-$I512))</f>
        <v/>
      </c>
      <c r="R512" s="22">
        <f>IF(OR($C512="",$P512&lt;&gt;"Aberto"),"",IF($J512="",IF($Q512&gt;DiasSC,"ATRASADO","Definir data"),IF($J512&lt;Hoje,"ATRASADO",IF($J512=Hoje,"HOJE","Em dia"))))</f>
        <v/>
      </c>
      <c r="S512" s="23">
        <f>IF($R512="","",IF(OR($R512="ATRASADO",$R512="HOJE",$R512="Definir data"),COUNTIF($R$5:$R512,"ATRASADO")+COUNTIF($R$5:$R512,"HOJE")+COUNTIF($R$5:$R512,"Definir data"),""))</f>
        <v/>
      </c>
      <c r="T512" s="18">
        <f>IF($C512="","",IF(OR($B512="",$E512="",$F512="",$G512=""),"Preencher entrada/origem/vendedor/etapa",IF(AND(OR($P512="Ganho",$P512="Perdido"),$K512=""),"Falta data de fechamento",IF(AND($P512="Perdido",$L512=""),"Informe o motivo da perda","OK"))))</f>
        <v/>
      </c>
    </row>
    <row r="513" spans="1:20">
      <c r="A513" s="18">
        <f>IF($C513="","",ROW()-4)</f>
        <v/>
      </c>
      <c r="B513" s="19"/>
      <c r="C513" s="13"/>
      <c r="D513" s="13"/>
      <c r="E513" s="13"/>
      <c r="F513" s="13"/>
      <c r="G513" s="13"/>
      <c r="H513" s="15"/>
      <c r="I513" s="19"/>
      <c r="J513" s="19"/>
      <c r="K513" s="19"/>
      <c r="L513" s="13"/>
      <c r="M513" s="13"/>
      <c r="N513" s="20">
        <f>IF($C513="","",IFERROR(INDEX(EtapaProb,MATCH($G513,Etapas,0)),0))</f>
        <v/>
      </c>
      <c r="O513" s="21">
        <f>IF($C513="","",IF($P513="Aberto",N($H513)*$N513,0))</f>
        <v/>
      </c>
      <c r="P513" s="18">
        <f>IF($C513="","",IF($G513="Ganho","Ganho",IF($G513="Perdido","Perdido","Aberto")))</f>
        <v/>
      </c>
      <c r="Q513" s="18">
        <f>IF(OR($C513="",$P513&lt;&gt;"Aberto"),"",IF($I513="",Hoje-$B513,Hoje-$I513))</f>
        <v/>
      </c>
      <c r="R513" s="22">
        <f>IF(OR($C513="",$P513&lt;&gt;"Aberto"),"",IF($J513="",IF($Q513&gt;DiasSC,"ATRASADO","Definir data"),IF($J513&lt;Hoje,"ATRASADO",IF($J513=Hoje,"HOJE","Em dia"))))</f>
        <v/>
      </c>
      <c r="S513" s="23">
        <f>IF($R513="","",IF(OR($R513="ATRASADO",$R513="HOJE",$R513="Definir data"),COUNTIF($R$5:$R513,"ATRASADO")+COUNTIF($R$5:$R513,"HOJE")+COUNTIF($R$5:$R513,"Definir data"),""))</f>
        <v/>
      </c>
      <c r="T513" s="18">
        <f>IF($C513="","",IF(OR($B513="",$E513="",$F513="",$G513=""),"Preencher entrada/origem/vendedor/etapa",IF(AND(OR($P513="Ganho",$P513="Perdido"),$K513=""),"Falta data de fechamento",IF(AND($P513="Perdido",$L513=""),"Informe o motivo da perda","OK"))))</f>
        <v/>
      </c>
    </row>
    <row r="514" spans="1:20">
      <c r="A514" s="18">
        <f>IF($C514="","",ROW()-4)</f>
        <v/>
      </c>
      <c r="B514" s="19"/>
      <c r="C514" s="13"/>
      <c r="D514" s="13"/>
      <c r="E514" s="13"/>
      <c r="F514" s="13"/>
      <c r="G514" s="13"/>
      <c r="H514" s="15"/>
      <c r="I514" s="19"/>
      <c r="J514" s="19"/>
      <c r="K514" s="19"/>
      <c r="L514" s="13"/>
      <c r="M514" s="13"/>
      <c r="N514" s="20">
        <f>IF($C514="","",IFERROR(INDEX(EtapaProb,MATCH($G514,Etapas,0)),0))</f>
        <v/>
      </c>
      <c r="O514" s="21">
        <f>IF($C514="","",IF($P514="Aberto",N($H514)*$N514,0))</f>
        <v/>
      </c>
      <c r="P514" s="18">
        <f>IF($C514="","",IF($G514="Ganho","Ganho",IF($G514="Perdido","Perdido","Aberto")))</f>
        <v/>
      </c>
      <c r="Q514" s="18">
        <f>IF(OR($C514="",$P514&lt;&gt;"Aberto"),"",IF($I514="",Hoje-$B514,Hoje-$I514))</f>
        <v/>
      </c>
      <c r="R514" s="22">
        <f>IF(OR($C514="",$P514&lt;&gt;"Aberto"),"",IF($J514="",IF($Q514&gt;DiasSC,"ATRASADO","Definir data"),IF($J514&lt;Hoje,"ATRASADO",IF($J514=Hoje,"HOJE","Em dia"))))</f>
        <v/>
      </c>
      <c r="S514" s="23">
        <f>IF($R514="","",IF(OR($R514="ATRASADO",$R514="HOJE",$R514="Definir data"),COUNTIF($R$5:$R514,"ATRASADO")+COUNTIF($R$5:$R514,"HOJE")+COUNTIF($R$5:$R514,"Definir data"),""))</f>
        <v/>
      </c>
      <c r="T514" s="18">
        <f>IF($C514="","",IF(OR($B514="",$E514="",$F514="",$G514=""),"Preencher entrada/origem/vendedor/etapa",IF(AND(OR($P514="Ganho",$P514="Perdido"),$K514=""),"Falta data de fechamento",IF(AND($P514="Perdido",$L514=""),"Informe o motivo da perda","OK"))))</f>
        <v/>
      </c>
    </row>
    <row r="515" spans="1:20">
      <c r="A515" s="18">
        <f>IF($C515="","",ROW()-4)</f>
        <v/>
      </c>
      <c r="B515" s="19"/>
      <c r="C515" s="13"/>
      <c r="D515" s="13"/>
      <c r="E515" s="13"/>
      <c r="F515" s="13"/>
      <c r="G515" s="13"/>
      <c r="H515" s="15"/>
      <c r="I515" s="19"/>
      <c r="J515" s="19"/>
      <c r="K515" s="19"/>
      <c r="L515" s="13"/>
      <c r="M515" s="13"/>
      <c r="N515" s="20">
        <f>IF($C515="","",IFERROR(INDEX(EtapaProb,MATCH($G515,Etapas,0)),0))</f>
        <v/>
      </c>
      <c r="O515" s="21">
        <f>IF($C515="","",IF($P515="Aberto",N($H515)*$N515,0))</f>
        <v/>
      </c>
      <c r="P515" s="18">
        <f>IF($C515="","",IF($G515="Ganho","Ganho",IF($G515="Perdido","Perdido","Aberto")))</f>
        <v/>
      </c>
      <c r="Q515" s="18">
        <f>IF(OR($C515="",$P515&lt;&gt;"Aberto"),"",IF($I515="",Hoje-$B515,Hoje-$I515))</f>
        <v/>
      </c>
      <c r="R515" s="22">
        <f>IF(OR($C515="",$P515&lt;&gt;"Aberto"),"",IF($J515="",IF($Q515&gt;DiasSC,"ATRASADO","Definir data"),IF($J515&lt;Hoje,"ATRASADO",IF($J515=Hoje,"HOJE","Em dia"))))</f>
        <v/>
      </c>
      <c r="S515" s="23">
        <f>IF($R515="","",IF(OR($R515="ATRASADO",$R515="HOJE",$R515="Definir data"),COUNTIF($R$5:$R515,"ATRASADO")+COUNTIF($R$5:$R515,"HOJE")+COUNTIF($R$5:$R515,"Definir data"),""))</f>
        <v/>
      </c>
      <c r="T515" s="18">
        <f>IF($C515="","",IF(OR($B515="",$E515="",$F515="",$G515=""),"Preencher entrada/origem/vendedor/etapa",IF(AND(OR($P515="Ganho",$P515="Perdido"),$K515=""),"Falta data de fechamento",IF(AND($P515="Perdido",$L515=""),"Informe o motivo da perda","OK"))))</f>
        <v/>
      </c>
    </row>
    <row r="516" spans="1:20">
      <c r="A516" s="18">
        <f>IF($C516="","",ROW()-4)</f>
        <v/>
      </c>
      <c r="B516" s="19"/>
      <c r="C516" s="13"/>
      <c r="D516" s="13"/>
      <c r="E516" s="13"/>
      <c r="F516" s="13"/>
      <c r="G516" s="13"/>
      <c r="H516" s="15"/>
      <c r="I516" s="19"/>
      <c r="J516" s="19"/>
      <c r="K516" s="19"/>
      <c r="L516" s="13"/>
      <c r="M516" s="13"/>
      <c r="N516" s="20">
        <f>IF($C516="","",IFERROR(INDEX(EtapaProb,MATCH($G516,Etapas,0)),0))</f>
        <v/>
      </c>
      <c r="O516" s="21">
        <f>IF($C516="","",IF($P516="Aberto",N($H516)*$N516,0))</f>
        <v/>
      </c>
      <c r="P516" s="18">
        <f>IF($C516="","",IF($G516="Ganho","Ganho",IF($G516="Perdido","Perdido","Aberto")))</f>
        <v/>
      </c>
      <c r="Q516" s="18">
        <f>IF(OR($C516="",$P516&lt;&gt;"Aberto"),"",IF($I516="",Hoje-$B516,Hoje-$I516))</f>
        <v/>
      </c>
      <c r="R516" s="22">
        <f>IF(OR($C516="",$P516&lt;&gt;"Aberto"),"",IF($J516="",IF($Q516&gt;DiasSC,"ATRASADO","Definir data"),IF($J516&lt;Hoje,"ATRASADO",IF($J516=Hoje,"HOJE","Em dia"))))</f>
        <v/>
      </c>
      <c r="S516" s="23">
        <f>IF($R516="","",IF(OR($R516="ATRASADO",$R516="HOJE",$R516="Definir data"),COUNTIF($R$5:$R516,"ATRASADO")+COUNTIF($R$5:$R516,"HOJE")+COUNTIF($R$5:$R516,"Definir data"),""))</f>
        <v/>
      </c>
      <c r="T516" s="18">
        <f>IF($C516="","",IF(OR($B516="",$E516="",$F516="",$G516=""),"Preencher entrada/origem/vendedor/etapa",IF(AND(OR($P516="Ganho",$P516="Perdido"),$K516=""),"Falta data de fechamento",IF(AND($P516="Perdido",$L516=""),"Informe o motivo da perda","OK"))))</f>
        <v/>
      </c>
    </row>
    <row r="517" spans="1:20">
      <c r="A517" s="18">
        <f>IF($C517="","",ROW()-4)</f>
        <v/>
      </c>
      <c r="B517" s="19"/>
      <c r="C517" s="13"/>
      <c r="D517" s="13"/>
      <c r="E517" s="13"/>
      <c r="F517" s="13"/>
      <c r="G517" s="13"/>
      <c r="H517" s="15"/>
      <c r="I517" s="19"/>
      <c r="J517" s="19"/>
      <c r="K517" s="19"/>
      <c r="L517" s="13"/>
      <c r="M517" s="13"/>
      <c r="N517" s="20">
        <f>IF($C517="","",IFERROR(INDEX(EtapaProb,MATCH($G517,Etapas,0)),0))</f>
        <v/>
      </c>
      <c r="O517" s="21">
        <f>IF($C517="","",IF($P517="Aberto",N($H517)*$N517,0))</f>
        <v/>
      </c>
      <c r="P517" s="18">
        <f>IF($C517="","",IF($G517="Ganho","Ganho",IF($G517="Perdido","Perdido","Aberto")))</f>
        <v/>
      </c>
      <c r="Q517" s="18">
        <f>IF(OR($C517="",$P517&lt;&gt;"Aberto"),"",IF($I517="",Hoje-$B517,Hoje-$I517))</f>
        <v/>
      </c>
      <c r="R517" s="22">
        <f>IF(OR($C517="",$P517&lt;&gt;"Aberto"),"",IF($J517="",IF($Q517&gt;DiasSC,"ATRASADO","Definir data"),IF($J517&lt;Hoje,"ATRASADO",IF($J517=Hoje,"HOJE","Em dia"))))</f>
        <v/>
      </c>
      <c r="S517" s="23">
        <f>IF($R517="","",IF(OR($R517="ATRASADO",$R517="HOJE",$R517="Definir data"),COUNTIF($R$5:$R517,"ATRASADO")+COUNTIF($R$5:$R517,"HOJE")+COUNTIF($R$5:$R517,"Definir data"),""))</f>
        <v/>
      </c>
      <c r="T517" s="18">
        <f>IF($C517="","",IF(OR($B517="",$E517="",$F517="",$G517=""),"Preencher entrada/origem/vendedor/etapa",IF(AND(OR($P517="Ganho",$P517="Perdido"),$K517=""),"Falta data de fechamento",IF(AND($P517="Perdido",$L517=""),"Informe o motivo da perda","OK"))))</f>
        <v/>
      </c>
    </row>
    <row r="518" spans="1:20">
      <c r="A518" s="18">
        <f>IF($C518="","",ROW()-4)</f>
        <v/>
      </c>
      <c r="B518" s="19"/>
      <c r="C518" s="13"/>
      <c r="D518" s="13"/>
      <c r="E518" s="13"/>
      <c r="F518" s="13"/>
      <c r="G518" s="13"/>
      <c r="H518" s="15"/>
      <c r="I518" s="19"/>
      <c r="J518" s="19"/>
      <c r="K518" s="19"/>
      <c r="L518" s="13"/>
      <c r="M518" s="13"/>
      <c r="N518" s="20">
        <f>IF($C518="","",IFERROR(INDEX(EtapaProb,MATCH($G518,Etapas,0)),0))</f>
        <v/>
      </c>
      <c r="O518" s="21">
        <f>IF($C518="","",IF($P518="Aberto",N($H518)*$N518,0))</f>
        <v/>
      </c>
      <c r="P518" s="18">
        <f>IF($C518="","",IF($G518="Ganho","Ganho",IF($G518="Perdido","Perdido","Aberto")))</f>
        <v/>
      </c>
      <c r="Q518" s="18">
        <f>IF(OR($C518="",$P518&lt;&gt;"Aberto"),"",IF($I518="",Hoje-$B518,Hoje-$I518))</f>
        <v/>
      </c>
      <c r="R518" s="22">
        <f>IF(OR($C518="",$P518&lt;&gt;"Aberto"),"",IF($J518="",IF($Q518&gt;DiasSC,"ATRASADO","Definir data"),IF($J518&lt;Hoje,"ATRASADO",IF($J518=Hoje,"HOJE","Em dia"))))</f>
        <v/>
      </c>
      <c r="S518" s="23">
        <f>IF($R518="","",IF(OR($R518="ATRASADO",$R518="HOJE",$R518="Definir data"),COUNTIF($R$5:$R518,"ATRASADO")+COUNTIF($R$5:$R518,"HOJE")+COUNTIF($R$5:$R518,"Definir data"),""))</f>
        <v/>
      </c>
      <c r="T518" s="18">
        <f>IF($C518="","",IF(OR($B518="",$E518="",$F518="",$G518=""),"Preencher entrada/origem/vendedor/etapa",IF(AND(OR($P518="Ganho",$P518="Perdido"),$K518=""),"Falta data de fechamento",IF(AND($P518="Perdido",$L518=""),"Informe o motivo da perda","OK"))))</f>
        <v/>
      </c>
    </row>
    <row r="519" spans="1:20">
      <c r="A519" s="18">
        <f>IF($C519="","",ROW()-4)</f>
        <v/>
      </c>
      <c r="B519" s="19"/>
      <c r="C519" s="13"/>
      <c r="D519" s="13"/>
      <c r="E519" s="13"/>
      <c r="F519" s="13"/>
      <c r="G519" s="13"/>
      <c r="H519" s="15"/>
      <c r="I519" s="19"/>
      <c r="J519" s="19"/>
      <c r="K519" s="19"/>
      <c r="L519" s="13"/>
      <c r="M519" s="13"/>
      <c r="N519" s="20">
        <f>IF($C519="","",IFERROR(INDEX(EtapaProb,MATCH($G519,Etapas,0)),0))</f>
        <v/>
      </c>
      <c r="O519" s="21">
        <f>IF($C519="","",IF($P519="Aberto",N($H519)*$N519,0))</f>
        <v/>
      </c>
      <c r="P519" s="18">
        <f>IF($C519="","",IF($G519="Ganho","Ganho",IF($G519="Perdido","Perdido","Aberto")))</f>
        <v/>
      </c>
      <c r="Q519" s="18">
        <f>IF(OR($C519="",$P519&lt;&gt;"Aberto"),"",IF($I519="",Hoje-$B519,Hoje-$I519))</f>
        <v/>
      </c>
      <c r="R519" s="22">
        <f>IF(OR($C519="",$P519&lt;&gt;"Aberto"),"",IF($J519="",IF($Q519&gt;DiasSC,"ATRASADO","Definir data"),IF($J519&lt;Hoje,"ATRASADO",IF($J519=Hoje,"HOJE","Em dia"))))</f>
        <v/>
      </c>
      <c r="S519" s="23">
        <f>IF($R519="","",IF(OR($R519="ATRASADO",$R519="HOJE",$R519="Definir data"),COUNTIF($R$5:$R519,"ATRASADO")+COUNTIF($R$5:$R519,"HOJE")+COUNTIF($R$5:$R519,"Definir data"),""))</f>
        <v/>
      </c>
      <c r="T519" s="18">
        <f>IF($C519="","",IF(OR($B519="",$E519="",$F519="",$G519=""),"Preencher entrada/origem/vendedor/etapa",IF(AND(OR($P519="Ganho",$P519="Perdido"),$K519=""),"Falta data de fechamento",IF(AND($P519="Perdido",$L519=""),"Informe o motivo da perda","OK"))))</f>
        <v/>
      </c>
    </row>
    <row r="520" spans="1:20">
      <c r="A520" s="18">
        <f>IF($C520="","",ROW()-4)</f>
        <v/>
      </c>
      <c r="B520" s="19"/>
      <c r="C520" s="13"/>
      <c r="D520" s="13"/>
      <c r="E520" s="13"/>
      <c r="F520" s="13"/>
      <c r="G520" s="13"/>
      <c r="H520" s="15"/>
      <c r="I520" s="19"/>
      <c r="J520" s="19"/>
      <c r="K520" s="19"/>
      <c r="L520" s="13"/>
      <c r="M520" s="13"/>
      <c r="N520" s="20">
        <f>IF($C520="","",IFERROR(INDEX(EtapaProb,MATCH($G520,Etapas,0)),0))</f>
        <v/>
      </c>
      <c r="O520" s="21">
        <f>IF($C520="","",IF($P520="Aberto",N($H520)*$N520,0))</f>
        <v/>
      </c>
      <c r="P520" s="18">
        <f>IF($C520="","",IF($G520="Ganho","Ganho",IF($G520="Perdido","Perdido","Aberto")))</f>
        <v/>
      </c>
      <c r="Q520" s="18">
        <f>IF(OR($C520="",$P520&lt;&gt;"Aberto"),"",IF($I520="",Hoje-$B520,Hoje-$I520))</f>
        <v/>
      </c>
      <c r="R520" s="22">
        <f>IF(OR($C520="",$P520&lt;&gt;"Aberto"),"",IF($J520="",IF($Q520&gt;DiasSC,"ATRASADO","Definir data"),IF($J520&lt;Hoje,"ATRASADO",IF($J520=Hoje,"HOJE","Em dia"))))</f>
        <v/>
      </c>
      <c r="S520" s="23">
        <f>IF($R520="","",IF(OR($R520="ATRASADO",$R520="HOJE",$R520="Definir data"),COUNTIF($R$5:$R520,"ATRASADO")+COUNTIF($R$5:$R520,"HOJE")+COUNTIF($R$5:$R520,"Definir data"),""))</f>
        <v/>
      </c>
      <c r="T520" s="18">
        <f>IF($C520="","",IF(OR($B520="",$E520="",$F520="",$G520=""),"Preencher entrada/origem/vendedor/etapa",IF(AND(OR($P520="Ganho",$P520="Perdido"),$K520=""),"Falta data de fechamento",IF(AND($P520="Perdido",$L520=""),"Informe o motivo da perda","OK"))))</f>
        <v/>
      </c>
    </row>
    <row r="521" spans="1:20">
      <c r="A521" s="18">
        <f>IF($C521="","",ROW()-4)</f>
        <v/>
      </c>
      <c r="B521" s="19"/>
      <c r="C521" s="13"/>
      <c r="D521" s="13"/>
      <c r="E521" s="13"/>
      <c r="F521" s="13"/>
      <c r="G521" s="13"/>
      <c r="H521" s="15"/>
      <c r="I521" s="19"/>
      <c r="J521" s="19"/>
      <c r="K521" s="19"/>
      <c r="L521" s="13"/>
      <c r="M521" s="13"/>
      <c r="N521" s="20">
        <f>IF($C521="","",IFERROR(INDEX(EtapaProb,MATCH($G521,Etapas,0)),0))</f>
        <v/>
      </c>
      <c r="O521" s="21">
        <f>IF($C521="","",IF($P521="Aberto",N($H521)*$N521,0))</f>
        <v/>
      </c>
      <c r="P521" s="18">
        <f>IF($C521="","",IF($G521="Ganho","Ganho",IF($G521="Perdido","Perdido","Aberto")))</f>
        <v/>
      </c>
      <c r="Q521" s="18">
        <f>IF(OR($C521="",$P521&lt;&gt;"Aberto"),"",IF($I521="",Hoje-$B521,Hoje-$I521))</f>
        <v/>
      </c>
      <c r="R521" s="22">
        <f>IF(OR($C521="",$P521&lt;&gt;"Aberto"),"",IF($J521="",IF($Q521&gt;DiasSC,"ATRASADO","Definir data"),IF($J521&lt;Hoje,"ATRASADO",IF($J521=Hoje,"HOJE","Em dia"))))</f>
        <v/>
      </c>
      <c r="S521" s="23">
        <f>IF($R521="","",IF(OR($R521="ATRASADO",$R521="HOJE",$R521="Definir data"),COUNTIF($R$5:$R521,"ATRASADO")+COUNTIF($R$5:$R521,"HOJE")+COUNTIF($R$5:$R521,"Definir data"),""))</f>
        <v/>
      </c>
      <c r="T521" s="18">
        <f>IF($C521="","",IF(OR($B521="",$E521="",$F521="",$G521=""),"Preencher entrada/origem/vendedor/etapa",IF(AND(OR($P521="Ganho",$P521="Perdido"),$K521=""),"Falta data de fechamento",IF(AND($P521="Perdido",$L521=""),"Informe o motivo da perda","OK"))))</f>
        <v/>
      </c>
    </row>
    <row r="522" spans="1:20">
      <c r="A522" s="18">
        <f>IF($C522="","",ROW()-4)</f>
        <v/>
      </c>
      <c r="B522" s="19"/>
      <c r="C522" s="13"/>
      <c r="D522" s="13"/>
      <c r="E522" s="13"/>
      <c r="F522" s="13"/>
      <c r="G522" s="13"/>
      <c r="H522" s="15"/>
      <c r="I522" s="19"/>
      <c r="J522" s="19"/>
      <c r="K522" s="19"/>
      <c r="L522" s="13"/>
      <c r="M522" s="13"/>
      <c r="N522" s="20">
        <f>IF($C522="","",IFERROR(INDEX(EtapaProb,MATCH($G522,Etapas,0)),0))</f>
        <v/>
      </c>
      <c r="O522" s="21">
        <f>IF($C522="","",IF($P522="Aberto",N($H522)*$N522,0))</f>
        <v/>
      </c>
      <c r="P522" s="18">
        <f>IF($C522="","",IF($G522="Ganho","Ganho",IF($G522="Perdido","Perdido","Aberto")))</f>
        <v/>
      </c>
      <c r="Q522" s="18">
        <f>IF(OR($C522="",$P522&lt;&gt;"Aberto"),"",IF($I522="",Hoje-$B522,Hoje-$I522))</f>
        <v/>
      </c>
      <c r="R522" s="22">
        <f>IF(OR($C522="",$P522&lt;&gt;"Aberto"),"",IF($J522="",IF($Q522&gt;DiasSC,"ATRASADO","Definir data"),IF($J522&lt;Hoje,"ATRASADO",IF($J522=Hoje,"HOJE","Em dia"))))</f>
        <v/>
      </c>
      <c r="S522" s="23">
        <f>IF($R522="","",IF(OR($R522="ATRASADO",$R522="HOJE",$R522="Definir data"),COUNTIF($R$5:$R522,"ATRASADO")+COUNTIF($R$5:$R522,"HOJE")+COUNTIF($R$5:$R522,"Definir data"),""))</f>
        <v/>
      </c>
      <c r="T522" s="18">
        <f>IF($C522="","",IF(OR($B522="",$E522="",$F522="",$G522=""),"Preencher entrada/origem/vendedor/etapa",IF(AND(OR($P522="Ganho",$P522="Perdido"),$K522=""),"Falta data de fechamento",IF(AND($P522="Perdido",$L522=""),"Informe o motivo da perda","OK"))))</f>
        <v/>
      </c>
    </row>
    <row r="523" spans="1:20">
      <c r="A523" s="18">
        <f>IF($C523="","",ROW()-4)</f>
        <v/>
      </c>
      <c r="B523" s="19"/>
      <c r="C523" s="13"/>
      <c r="D523" s="13"/>
      <c r="E523" s="13"/>
      <c r="F523" s="13"/>
      <c r="G523" s="13"/>
      <c r="H523" s="15"/>
      <c r="I523" s="19"/>
      <c r="J523" s="19"/>
      <c r="K523" s="19"/>
      <c r="L523" s="13"/>
      <c r="M523" s="13"/>
      <c r="N523" s="20">
        <f>IF($C523="","",IFERROR(INDEX(EtapaProb,MATCH($G523,Etapas,0)),0))</f>
        <v/>
      </c>
      <c r="O523" s="21">
        <f>IF($C523="","",IF($P523="Aberto",N($H523)*$N523,0))</f>
        <v/>
      </c>
      <c r="P523" s="18">
        <f>IF($C523="","",IF($G523="Ganho","Ganho",IF($G523="Perdido","Perdido","Aberto")))</f>
        <v/>
      </c>
      <c r="Q523" s="18">
        <f>IF(OR($C523="",$P523&lt;&gt;"Aberto"),"",IF($I523="",Hoje-$B523,Hoje-$I523))</f>
        <v/>
      </c>
      <c r="R523" s="22">
        <f>IF(OR($C523="",$P523&lt;&gt;"Aberto"),"",IF($J523="",IF($Q523&gt;DiasSC,"ATRASADO","Definir data"),IF($J523&lt;Hoje,"ATRASADO",IF($J523=Hoje,"HOJE","Em dia"))))</f>
        <v/>
      </c>
      <c r="S523" s="23">
        <f>IF($R523="","",IF(OR($R523="ATRASADO",$R523="HOJE",$R523="Definir data"),COUNTIF($R$5:$R523,"ATRASADO")+COUNTIF($R$5:$R523,"HOJE")+COUNTIF($R$5:$R523,"Definir data"),""))</f>
        <v/>
      </c>
      <c r="T523" s="18">
        <f>IF($C523="","",IF(OR($B523="",$E523="",$F523="",$G523=""),"Preencher entrada/origem/vendedor/etapa",IF(AND(OR($P523="Ganho",$P523="Perdido"),$K523=""),"Falta data de fechamento",IF(AND($P523="Perdido",$L523=""),"Informe o motivo da perda","OK"))))</f>
        <v/>
      </c>
    </row>
    <row r="524" spans="1:20">
      <c r="A524" s="18">
        <f>IF($C524="","",ROW()-4)</f>
        <v/>
      </c>
      <c r="B524" s="19"/>
      <c r="C524" s="13"/>
      <c r="D524" s="13"/>
      <c r="E524" s="13"/>
      <c r="F524" s="13"/>
      <c r="G524" s="13"/>
      <c r="H524" s="15"/>
      <c r="I524" s="19"/>
      <c r="J524" s="19"/>
      <c r="K524" s="19"/>
      <c r="L524" s="13"/>
      <c r="M524" s="13"/>
      <c r="N524" s="20">
        <f>IF($C524="","",IFERROR(INDEX(EtapaProb,MATCH($G524,Etapas,0)),0))</f>
        <v/>
      </c>
      <c r="O524" s="21">
        <f>IF($C524="","",IF($P524="Aberto",N($H524)*$N524,0))</f>
        <v/>
      </c>
      <c r="P524" s="18">
        <f>IF($C524="","",IF($G524="Ganho","Ganho",IF($G524="Perdido","Perdido","Aberto")))</f>
        <v/>
      </c>
      <c r="Q524" s="18">
        <f>IF(OR($C524="",$P524&lt;&gt;"Aberto"),"",IF($I524="",Hoje-$B524,Hoje-$I524))</f>
        <v/>
      </c>
      <c r="R524" s="22">
        <f>IF(OR($C524="",$P524&lt;&gt;"Aberto"),"",IF($J524="",IF($Q524&gt;DiasSC,"ATRASADO","Definir data"),IF($J524&lt;Hoje,"ATRASADO",IF($J524=Hoje,"HOJE","Em dia"))))</f>
        <v/>
      </c>
      <c r="S524" s="23">
        <f>IF($R524="","",IF(OR($R524="ATRASADO",$R524="HOJE",$R524="Definir data"),COUNTIF($R$5:$R524,"ATRASADO")+COUNTIF($R$5:$R524,"HOJE")+COUNTIF($R$5:$R524,"Definir data"),""))</f>
        <v/>
      </c>
      <c r="T524" s="18">
        <f>IF($C524="","",IF(OR($B524="",$E524="",$F524="",$G524=""),"Preencher entrada/origem/vendedor/etapa",IF(AND(OR($P524="Ganho",$P524="Perdido"),$K524=""),"Falta data de fechamento",IF(AND($P524="Perdido",$L524=""),"Informe o motivo da perda","OK"))))</f>
        <v/>
      </c>
    </row>
    <row r="525" spans="1:20">
      <c r="A525" s="18">
        <f>IF($C525="","",ROW()-4)</f>
        <v/>
      </c>
      <c r="B525" s="19"/>
      <c r="C525" s="13"/>
      <c r="D525" s="13"/>
      <c r="E525" s="13"/>
      <c r="F525" s="13"/>
      <c r="G525" s="13"/>
      <c r="H525" s="15"/>
      <c r="I525" s="19"/>
      <c r="J525" s="19"/>
      <c r="K525" s="19"/>
      <c r="L525" s="13"/>
      <c r="M525" s="13"/>
      <c r="N525" s="20">
        <f>IF($C525="","",IFERROR(INDEX(EtapaProb,MATCH($G525,Etapas,0)),0))</f>
        <v/>
      </c>
      <c r="O525" s="21">
        <f>IF($C525="","",IF($P525="Aberto",N($H525)*$N525,0))</f>
        <v/>
      </c>
      <c r="P525" s="18">
        <f>IF($C525="","",IF($G525="Ganho","Ganho",IF($G525="Perdido","Perdido","Aberto")))</f>
        <v/>
      </c>
      <c r="Q525" s="18">
        <f>IF(OR($C525="",$P525&lt;&gt;"Aberto"),"",IF($I525="",Hoje-$B525,Hoje-$I525))</f>
        <v/>
      </c>
      <c r="R525" s="22">
        <f>IF(OR($C525="",$P525&lt;&gt;"Aberto"),"",IF($J525="",IF($Q525&gt;DiasSC,"ATRASADO","Definir data"),IF($J525&lt;Hoje,"ATRASADO",IF($J525=Hoje,"HOJE","Em dia"))))</f>
        <v/>
      </c>
      <c r="S525" s="23">
        <f>IF($R525="","",IF(OR($R525="ATRASADO",$R525="HOJE",$R525="Definir data"),COUNTIF($R$5:$R525,"ATRASADO")+COUNTIF($R$5:$R525,"HOJE")+COUNTIF($R$5:$R525,"Definir data"),""))</f>
        <v/>
      </c>
      <c r="T525" s="18">
        <f>IF($C525="","",IF(OR($B525="",$E525="",$F525="",$G525=""),"Preencher entrada/origem/vendedor/etapa",IF(AND(OR($P525="Ganho",$P525="Perdido"),$K525=""),"Falta data de fechamento",IF(AND($P525="Perdido",$L525=""),"Informe o motivo da perda","OK"))))</f>
        <v/>
      </c>
    </row>
    <row r="526" spans="1:20">
      <c r="A526" s="18">
        <f>IF($C526="","",ROW()-4)</f>
        <v/>
      </c>
      <c r="B526" s="19"/>
      <c r="C526" s="13"/>
      <c r="D526" s="13"/>
      <c r="E526" s="13"/>
      <c r="F526" s="13"/>
      <c r="G526" s="13"/>
      <c r="H526" s="15"/>
      <c r="I526" s="19"/>
      <c r="J526" s="19"/>
      <c r="K526" s="19"/>
      <c r="L526" s="13"/>
      <c r="M526" s="13"/>
      <c r="N526" s="20">
        <f>IF($C526="","",IFERROR(INDEX(EtapaProb,MATCH($G526,Etapas,0)),0))</f>
        <v/>
      </c>
      <c r="O526" s="21">
        <f>IF($C526="","",IF($P526="Aberto",N($H526)*$N526,0))</f>
        <v/>
      </c>
      <c r="P526" s="18">
        <f>IF($C526="","",IF($G526="Ganho","Ganho",IF($G526="Perdido","Perdido","Aberto")))</f>
        <v/>
      </c>
      <c r="Q526" s="18">
        <f>IF(OR($C526="",$P526&lt;&gt;"Aberto"),"",IF($I526="",Hoje-$B526,Hoje-$I526))</f>
        <v/>
      </c>
      <c r="R526" s="22">
        <f>IF(OR($C526="",$P526&lt;&gt;"Aberto"),"",IF($J526="",IF($Q526&gt;DiasSC,"ATRASADO","Definir data"),IF($J526&lt;Hoje,"ATRASADO",IF($J526=Hoje,"HOJE","Em dia"))))</f>
        <v/>
      </c>
      <c r="S526" s="23">
        <f>IF($R526="","",IF(OR($R526="ATRASADO",$R526="HOJE",$R526="Definir data"),COUNTIF($R$5:$R526,"ATRASADO")+COUNTIF($R$5:$R526,"HOJE")+COUNTIF($R$5:$R526,"Definir data"),""))</f>
        <v/>
      </c>
      <c r="T526" s="18">
        <f>IF($C526="","",IF(OR($B526="",$E526="",$F526="",$G526=""),"Preencher entrada/origem/vendedor/etapa",IF(AND(OR($P526="Ganho",$P526="Perdido"),$K526=""),"Falta data de fechamento",IF(AND($P526="Perdido",$L526=""),"Informe o motivo da perda","OK"))))</f>
        <v/>
      </c>
    </row>
    <row r="527" spans="1:20">
      <c r="A527" s="18">
        <f>IF($C527="","",ROW()-4)</f>
        <v/>
      </c>
      <c r="B527" s="19"/>
      <c r="C527" s="13"/>
      <c r="D527" s="13"/>
      <c r="E527" s="13"/>
      <c r="F527" s="13"/>
      <c r="G527" s="13"/>
      <c r="H527" s="15"/>
      <c r="I527" s="19"/>
      <c r="J527" s="19"/>
      <c r="K527" s="19"/>
      <c r="L527" s="13"/>
      <c r="M527" s="13"/>
      <c r="N527" s="20">
        <f>IF($C527="","",IFERROR(INDEX(EtapaProb,MATCH($G527,Etapas,0)),0))</f>
        <v/>
      </c>
      <c r="O527" s="21">
        <f>IF($C527="","",IF($P527="Aberto",N($H527)*$N527,0))</f>
        <v/>
      </c>
      <c r="P527" s="18">
        <f>IF($C527="","",IF($G527="Ganho","Ganho",IF($G527="Perdido","Perdido","Aberto")))</f>
        <v/>
      </c>
      <c r="Q527" s="18">
        <f>IF(OR($C527="",$P527&lt;&gt;"Aberto"),"",IF($I527="",Hoje-$B527,Hoje-$I527))</f>
        <v/>
      </c>
      <c r="R527" s="22">
        <f>IF(OR($C527="",$P527&lt;&gt;"Aberto"),"",IF($J527="",IF($Q527&gt;DiasSC,"ATRASADO","Definir data"),IF($J527&lt;Hoje,"ATRASADO",IF($J527=Hoje,"HOJE","Em dia"))))</f>
        <v/>
      </c>
      <c r="S527" s="23">
        <f>IF($R527="","",IF(OR($R527="ATRASADO",$R527="HOJE",$R527="Definir data"),COUNTIF($R$5:$R527,"ATRASADO")+COUNTIF($R$5:$R527,"HOJE")+COUNTIF($R$5:$R527,"Definir data"),""))</f>
        <v/>
      </c>
      <c r="T527" s="18">
        <f>IF($C527="","",IF(OR($B527="",$E527="",$F527="",$G527=""),"Preencher entrada/origem/vendedor/etapa",IF(AND(OR($P527="Ganho",$P527="Perdido"),$K527=""),"Falta data de fechamento",IF(AND($P527="Perdido",$L527=""),"Informe o motivo da perda","OK"))))</f>
        <v/>
      </c>
    </row>
    <row r="528" spans="1:20">
      <c r="A528" s="18">
        <f>IF($C528="","",ROW()-4)</f>
        <v/>
      </c>
      <c r="B528" s="19"/>
      <c r="C528" s="13"/>
      <c r="D528" s="13"/>
      <c r="E528" s="13"/>
      <c r="F528" s="13"/>
      <c r="G528" s="13"/>
      <c r="H528" s="15"/>
      <c r="I528" s="19"/>
      <c r="J528" s="19"/>
      <c r="K528" s="19"/>
      <c r="L528" s="13"/>
      <c r="M528" s="13"/>
      <c r="N528" s="20">
        <f>IF($C528="","",IFERROR(INDEX(EtapaProb,MATCH($G528,Etapas,0)),0))</f>
        <v/>
      </c>
      <c r="O528" s="21">
        <f>IF($C528="","",IF($P528="Aberto",N($H528)*$N528,0))</f>
        <v/>
      </c>
      <c r="P528" s="18">
        <f>IF($C528="","",IF($G528="Ganho","Ganho",IF($G528="Perdido","Perdido","Aberto")))</f>
        <v/>
      </c>
      <c r="Q528" s="18">
        <f>IF(OR($C528="",$P528&lt;&gt;"Aberto"),"",IF($I528="",Hoje-$B528,Hoje-$I528))</f>
        <v/>
      </c>
      <c r="R528" s="22">
        <f>IF(OR($C528="",$P528&lt;&gt;"Aberto"),"",IF($J528="",IF($Q528&gt;DiasSC,"ATRASADO","Definir data"),IF($J528&lt;Hoje,"ATRASADO",IF($J528=Hoje,"HOJE","Em dia"))))</f>
        <v/>
      </c>
      <c r="S528" s="23">
        <f>IF($R528="","",IF(OR($R528="ATRASADO",$R528="HOJE",$R528="Definir data"),COUNTIF($R$5:$R528,"ATRASADO")+COUNTIF($R$5:$R528,"HOJE")+COUNTIF($R$5:$R528,"Definir data"),""))</f>
        <v/>
      </c>
      <c r="T528" s="18">
        <f>IF($C528="","",IF(OR($B528="",$E528="",$F528="",$G528=""),"Preencher entrada/origem/vendedor/etapa",IF(AND(OR($P528="Ganho",$P528="Perdido"),$K528=""),"Falta data de fechamento",IF(AND($P528="Perdido",$L528=""),"Informe o motivo da perda","OK"))))</f>
        <v/>
      </c>
    </row>
    <row r="529" spans="1:20">
      <c r="A529" s="18">
        <f>IF($C529="","",ROW()-4)</f>
        <v/>
      </c>
      <c r="B529" s="19"/>
      <c r="C529" s="13"/>
      <c r="D529" s="13"/>
      <c r="E529" s="13"/>
      <c r="F529" s="13"/>
      <c r="G529" s="13"/>
      <c r="H529" s="15"/>
      <c r="I529" s="19"/>
      <c r="J529" s="19"/>
      <c r="K529" s="19"/>
      <c r="L529" s="13"/>
      <c r="M529" s="13"/>
      <c r="N529" s="20">
        <f>IF($C529="","",IFERROR(INDEX(EtapaProb,MATCH($G529,Etapas,0)),0))</f>
        <v/>
      </c>
      <c r="O529" s="21">
        <f>IF($C529="","",IF($P529="Aberto",N($H529)*$N529,0))</f>
        <v/>
      </c>
      <c r="P529" s="18">
        <f>IF($C529="","",IF($G529="Ganho","Ganho",IF($G529="Perdido","Perdido","Aberto")))</f>
        <v/>
      </c>
      <c r="Q529" s="18">
        <f>IF(OR($C529="",$P529&lt;&gt;"Aberto"),"",IF($I529="",Hoje-$B529,Hoje-$I529))</f>
        <v/>
      </c>
      <c r="R529" s="22">
        <f>IF(OR($C529="",$P529&lt;&gt;"Aberto"),"",IF($J529="",IF($Q529&gt;DiasSC,"ATRASADO","Definir data"),IF($J529&lt;Hoje,"ATRASADO",IF($J529=Hoje,"HOJE","Em dia"))))</f>
        <v/>
      </c>
      <c r="S529" s="23">
        <f>IF($R529="","",IF(OR($R529="ATRASADO",$R529="HOJE",$R529="Definir data"),COUNTIF($R$5:$R529,"ATRASADO")+COUNTIF($R$5:$R529,"HOJE")+COUNTIF($R$5:$R529,"Definir data"),""))</f>
        <v/>
      </c>
      <c r="T529" s="18">
        <f>IF($C529="","",IF(OR($B529="",$E529="",$F529="",$G529=""),"Preencher entrada/origem/vendedor/etapa",IF(AND(OR($P529="Ganho",$P529="Perdido"),$K529=""),"Falta data de fechamento",IF(AND($P529="Perdido",$L529=""),"Informe o motivo da perda","OK"))))</f>
        <v/>
      </c>
    </row>
    <row r="530" spans="1:20">
      <c r="A530" s="18">
        <f>IF($C530="","",ROW()-4)</f>
        <v/>
      </c>
      <c r="B530" s="19"/>
      <c r="C530" s="13"/>
      <c r="D530" s="13"/>
      <c r="E530" s="13"/>
      <c r="F530" s="13"/>
      <c r="G530" s="13"/>
      <c r="H530" s="15"/>
      <c r="I530" s="19"/>
      <c r="J530" s="19"/>
      <c r="K530" s="19"/>
      <c r="L530" s="13"/>
      <c r="M530" s="13"/>
      <c r="N530" s="20">
        <f>IF($C530="","",IFERROR(INDEX(EtapaProb,MATCH($G530,Etapas,0)),0))</f>
        <v/>
      </c>
      <c r="O530" s="21">
        <f>IF($C530="","",IF($P530="Aberto",N($H530)*$N530,0))</f>
        <v/>
      </c>
      <c r="P530" s="18">
        <f>IF($C530="","",IF($G530="Ganho","Ganho",IF($G530="Perdido","Perdido","Aberto")))</f>
        <v/>
      </c>
      <c r="Q530" s="18">
        <f>IF(OR($C530="",$P530&lt;&gt;"Aberto"),"",IF($I530="",Hoje-$B530,Hoje-$I530))</f>
        <v/>
      </c>
      <c r="R530" s="22">
        <f>IF(OR($C530="",$P530&lt;&gt;"Aberto"),"",IF($J530="",IF($Q530&gt;DiasSC,"ATRASADO","Definir data"),IF($J530&lt;Hoje,"ATRASADO",IF($J530=Hoje,"HOJE","Em dia"))))</f>
        <v/>
      </c>
      <c r="S530" s="23">
        <f>IF($R530="","",IF(OR($R530="ATRASADO",$R530="HOJE",$R530="Definir data"),COUNTIF($R$5:$R530,"ATRASADO")+COUNTIF($R$5:$R530,"HOJE")+COUNTIF($R$5:$R530,"Definir data"),""))</f>
        <v/>
      </c>
      <c r="T530" s="18">
        <f>IF($C530="","",IF(OR($B530="",$E530="",$F530="",$G530=""),"Preencher entrada/origem/vendedor/etapa",IF(AND(OR($P530="Ganho",$P530="Perdido"),$K530=""),"Falta data de fechamento",IF(AND($P530="Perdido",$L530=""),"Informe o motivo da perda","OK"))))</f>
        <v/>
      </c>
    </row>
    <row r="531" spans="1:20">
      <c r="A531" s="18">
        <f>IF($C531="","",ROW()-4)</f>
        <v/>
      </c>
      <c r="B531" s="19"/>
      <c r="C531" s="13"/>
      <c r="D531" s="13"/>
      <c r="E531" s="13"/>
      <c r="F531" s="13"/>
      <c r="G531" s="13"/>
      <c r="H531" s="15"/>
      <c r="I531" s="19"/>
      <c r="J531" s="19"/>
      <c r="K531" s="19"/>
      <c r="L531" s="13"/>
      <c r="M531" s="13"/>
      <c r="N531" s="20">
        <f>IF($C531="","",IFERROR(INDEX(EtapaProb,MATCH($G531,Etapas,0)),0))</f>
        <v/>
      </c>
      <c r="O531" s="21">
        <f>IF($C531="","",IF($P531="Aberto",N($H531)*$N531,0))</f>
        <v/>
      </c>
      <c r="P531" s="18">
        <f>IF($C531="","",IF($G531="Ganho","Ganho",IF($G531="Perdido","Perdido","Aberto")))</f>
        <v/>
      </c>
      <c r="Q531" s="18">
        <f>IF(OR($C531="",$P531&lt;&gt;"Aberto"),"",IF($I531="",Hoje-$B531,Hoje-$I531))</f>
        <v/>
      </c>
      <c r="R531" s="22">
        <f>IF(OR($C531="",$P531&lt;&gt;"Aberto"),"",IF($J531="",IF($Q531&gt;DiasSC,"ATRASADO","Definir data"),IF($J531&lt;Hoje,"ATRASADO",IF($J531=Hoje,"HOJE","Em dia"))))</f>
        <v/>
      </c>
      <c r="S531" s="23">
        <f>IF($R531="","",IF(OR($R531="ATRASADO",$R531="HOJE",$R531="Definir data"),COUNTIF($R$5:$R531,"ATRASADO")+COUNTIF($R$5:$R531,"HOJE")+COUNTIF($R$5:$R531,"Definir data"),""))</f>
        <v/>
      </c>
      <c r="T531" s="18">
        <f>IF($C531="","",IF(OR($B531="",$E531="",$F531="",$G531=""),"Preencher entrada/origem/vendedor/etapa",IF(AND(OR($P531="Ganho",$P531="Perdido"),$K531=""),"Falta data de fechamento",IF(AND($P531="Perdido",$L531=""),"Informe o motivo da perda","OK"))))</f>
        <v/>
      </c>
    </row>
    <row r="532" spans="1:20">
      <c r="A532" s="18">
        <f>IF($C532="","",ROW()-4)</f>
        <v/>
      </c>
      <c r="B532" s="19"/>
      <c r="C532" s="13"/>
      <c r="D532" s="13"/>
      <c r="E532" s="13"/>
      <c r="F532" s="13"/>
      <c r="G532" s="13"/>
      <c r="H532" s="15"/>
      <c r="I532" s="19"/>
      <c r="J532" s="19"/>
      <c r="K532" s="19"/>
      <c r="L532" s="13"/>
      <c r="M532" s="13"/>
      <c r="N532" s="20">
        <f>IF($C532="","",IFERROR(INDEX(EtapaProb,MATCH($G532,Etapas,0)),0))</f>
        <v/>
      </c>
      <c r="O532" s="21">
        <f>IF($C532="","",IF($P532="Aberto",N($H532)*$N532,0))</f>
        <v/>
      </c>
      <c r="P532" s="18">
        <f>IF($C532="","",IF($G532="Ganho","Ganho",IF($G532="Perdido","Perdido","Aberto")))</f>
        <v/>
      </c>
      <c r="Q532" s="18">
        <f>IF(OR($C532="",$P532&lt;&gt;"Aberto"),"",IF($I532="",Hoje-$B532,Hoje-$I532))</f>
        <v/>
      </c>
      <c r="R532" s="22">
        <f>IF(OR($C532="",$P532&lt;&gt;"Aberto"),"",IF($J532="",IF($Q532&gt;DiasSC,"ATRASADO","Definir data"),IF($J532&lt;Hoje,"ATRASADO",IF($J532=Hoje,"HOJE","Em dia"))))</f>
        <v/>
      </c>
      <c r="S532" s="23">
        <f>IF($R532="","",IF(OR($R532="ATRASADO",$R532="HOJE",$R532="Definir data"),COUNTIF($R$5:$R532,"ATRASADO")+COUNTIF($R$5:$R532,"HOJE")+COUNTIF($R$5:$R532,"Definir data"),""))</f>
        <v/>
      </c>
      <c r="T532" s="18">
        <f>IF($C532="","",IF(OR($B532="",$E532="",$F532="",$G532=""),"Preencher entrada/origem/vendedor/etapa",IF(AND(OR($P532="Ganho",$P532="Perdido"),$K532=""),"Falta data de fechamento",IF(AND($P532="Perdido",$L532=""),"Informe o motivo da perda","OK"))))</f>
        <v/>
      </c>
    </row>
    <row r="533" spans="1:20">
      <c r="A533" s="18">
        <f>IF($C533="","",ROW()-4)</f>
        <v/>
      </c>
      <c r="B533" s="19"/>
      <c r="C533" s="13"/>
      <c r="D533" s="13"/>
      <c r="E533" s="13"/>
      <c r="F533" s="13"/>
      <c r="G533" s="13"/>
      <c r="H533" s="15"/>
      <c r="I533" s="19"/>
      <c r="J533" s="19"/>
      <c r="K533" s="19"/>
      <c r="L533" s="13"/>
      <c r="M533" s="13"/>
      <c r="N533" s="20">
        <f>IF($C533="","",IFERROR(INDEX(EtapaProb,MATCH($G533,Etapas,0)),0))</f>
        <v/>
      </c>
      <c r="O533" s="21">
        <f>IF($C533="","",IF($P533="Aberto",N($H533)*$N533,0))</f>
        <v/>
      </c>
      <c r="P533" s="18">
        <f>IF($C533="","",IF($G533="Ganho","Ganho",IF($G533="Perdido","Perdido","Aberto")))</f>
        <v/>
      </c>
      <c r="Q533" s="18">
        <f>IF(OR($C533="",$P533&lt;&gt;"Aberto"),"",IF($I533="",Hoje-$B533,Hoje-$I533))</f>
        <v/>
      </c>
      <c r="R533" s="22">
        <f>IF(OR($C533="",$P533&lt;&gt;"Aberto"),"",IF($J533="",IF($Q533&gt;DiasSC,"ATRASADO","Definir data"),IF($J533&lt;Hoje,"ATRASADO",IF($J533=Hoje,"HOJE","Em dia"))))</f>
        <v/>
      </c>
      <c r="S533" s="23">
        <f>IF($R533="","",IF(OR($R533="ATRASADO",$R533="HOJE",$R533="Definir data"),COUNTIF($R$5:$R533,"ATRASADO")+COUNTIF($R$5:$R533,"HOJE")+COUNTIF($R$5:$R533,"Definir data"),""))</f>
        <v/>
      </c>
      <c r="T533" s="18">
        <f>IF($C533="","",IF(OR($B533="",$E533="",$F533="",$G533=""),"Preencher entrada/origem/vendedor/etapa",IF(AND(OR($P533="Ganho",$P533="Perdido"),$K533=""),"Falta data de fechamento",IF(AND($P533="Perdido",$L533=""),"Informe o motivo da perda","OK"))))</f>
        <v/>
      </c>
    </row>
    <row r="534" spans="1:20">
      <c r="A534" s="18">
        <f>IF($C534="","",ROW()-4)</f>
        <v/>
      </c>
      <c r="B534" s="19"/>
      <c r="C534" s="13"/>
      <c r="D534" s="13"/>
      <c r="E534" s="13"/>
      <c r="F534" s="13"/>
      <c r="G534" s="13"/>
      <c r="H534" s="15"/>
      <c r="I534" s="19"/>
      <c r="J534" s="19"/>
      <c r="K534" s="19"/>
      <c r="L534" s="13"/>
      <c r="M534" s="13"/>
      <c r="N534" s="20">
        <f>IF($C534="","",IFERROR(INDEX(EtapaProb,MATCH($G534,Etapas,0)),0))</f>
        <v/>
      </c>
      <c r="O534" s="21">
        <f>IF($C534="","",IF($P534="Aberto",N($H534)*$N534,0))</f>
        <v/>
      </c>
      <c r="P534" s="18">
        <f>IF($C534="","",IF($G534="Ganho","Ganho",IF($G534="Perdido","Perdido","Aberto")))</f>
        <v/>
      </c>
      <c r="Q534" s="18">
        <f>IF(OR($C534="",$P534&lt;&gt;"Aberto"),"",IF($I534="",Hoje-$B534,Hoje-$I534))</f>
        <v/>
      </c>
      <c r="R534" s="22">
        <f>IF(OR($C534="",$P534&lt;&gt;"Aberto"),"",IF($J534="",IF($Q534&gt;DiasSC,"ATRASADO","Definir data"),IF($J534&lt;Hoje,"ATRASADO",IF($J534=Hoje,"HOJE","Em dia"))))</f>
        <v/>
      </c>
      <c r="S534" s="23">
        <f>IF($R534="","",IF(OR($R534="ATRASADO",$R534="HOJE",$R534="Definir data"),COUNTIF($R$5:$R534,"ATRASADO")+COUNTIF($R$5:$R534,"HOJE")+COUNTIF($R$5:$R534,"Definir data"),""))</f>
        <v/>
      </c>
      <c r="T534" s="18">
        <f>IF($C534="","",IF(OR($B534="",$E534="",$F534="",$G534=""),"Preencher entrada/origem/vendedor/etapa",IF(AND(OR($P534="Ganho",$P534="Perdido"),$K534=""),"Falta data de fechamento",IF(AND($P534="Perdido",$L534=""),"Informe o motivo da perda","OK"))))</f>
        <v/>
      </c>
    </row>
    <row r="535" spans="1:20">
      <c r="A535" s="18">
        <f>IF($C535="","",ROW()-4)</f>
        <v/>
      </c>
      <c r="B535" s="19"/>
      <c r="C535" s="13"/>
      <c r="D535" s="13"/>
      <c r="E535" s="13"/>
      <c r="F535" s="13"/>
      <c r="G535" s="13"/>
      <c r="H535" s="15"/>
      <c r="I535" s="19"/>
      <c r="J535" s="19"/>
      <c r="K535" s="19"/>
      <c r="L535" s="13"/>
      <c r="M535" s="13"/>
      <c r="N535" s="20">
        <f>IF($C535="","",IFERROR(INDEX(EtapaProb,MATCH($G535,Etapas,0)),0))</f>
        <v/>
      </c>
      <c r="O535" s="21">
        <f>IF($C535="","",IF($P535="Aberto",N($H535)*$N535,0))</f>
        <v/>
      </c>
      <c r="P535" s="18">
        <f>IF($C535="","",IF($G535="Ganho","Ganho",IF($G535="Perdido","Perdido","Aberto")))</f>
        <v/>
      </c>
      <c r="Q535" s="18">
        <f>IF(OR($C535="",$P535&lt;&gt;"Aberto"),"",IF($I535="",Hoje-$B535,Hoje-$I535))</f>
        <v/>
      </c>
      <c r="R535" s="22">
        <f>IF(OR($C535="",$P535&lt;&gt;"Aberto"),"",IF($J535="",IF($Q535&gt;DiasSC,"ATRASADO","Definir data"),IF($J535&lt;Hoje,"ATRASADO",IF($J535=Hoje,"HOJE","Em dia"))))</f>
        <v/>
      </c>
      <c r="S535" s="23">
        <f>IF($R535="","",IF(OR($R535="ATRASADO",$R535="HOJE",$R535="Definir data"),COUNTIF($R$5:$R535,"ATRASADO")+COUNTIF($R$5:$R535,"HOJE")+COUNTIF($R$5:$R535,"Definir data"),""))</f>
        <v/>
      </c>
      <c r="T535" s="18">
        <f>IF($C535="","",IF(OR($B535="",$E535="",$F535="",$G535=""),"Preencher entrada/origem/vendedor/etapa",IF(AND(OR($P535="Ganho",$P535="Perdido"),$K535=""),"Falta data de fechamento",IF(AND($P535="Perdido",$L535=""),"Informe o motivo da perda","OK"))))</f>
        <v/>
      </c>
    </row>
    <row r="536" spans="1:20">
      <c r="A536" s="18">
        <f>IF($C536="","",ROW()-4)</f>
        <v/>
      </c>
      <c r="B536" s="19"/>
      <c r="C536" s="13"/>
      <c r="D536" s="13"/>
      <c r="E536" s="13"/>
      <c r="F536" s="13"/>
      <c r="G536" s="13"/>
      <c r="H536" s="15"/>
      <c r="I536" s="19"/>
      <c r="J536" s="19"/>
      <c r="K536" s="19"/>
      <c r="L536" s="13"/>
      <c r="M536" s="13"/>
      <c r="N536" s="20">
        <f>IF($C536="","",IFERROR(INDEX(EtapaProb,MATCH($G536,Etapas,0)),0))</f>
        <v/>
      </c>
      <c r="O536" s="21">
        <f>IF($C536="","",IF($P536="Aberto",N($H536)*$N536,0))</f>
        <v/>
      </c>
      <c r="P536" s="18">
        <f>IF($C536="","",IF($G536="Ganho","Ganho",IF($G536="Perdido","Perdido","Aberto")))</f>
        <v/>
      </c>
      <c r="Q536" s="18">
        <f>IF(OR($C536="",$P536&lt;&gt;"Aberto"),"",IF($I536="",Hoje-$B536,Hoje-$I536))</f>
        <v/>
      </c>
      <c r="R536" s="22">
        <f>IF(OR($C536="",$P536&lt;&gt;"Aberto"),"",IF($J536="",IF($Q536&gt;DiasSC,"ATRASADO","Definir data"),IF($J536&lt;Hoje,"ATRASADO",IF($J536=Hoje,"HOJE","Em dia"))))</f>
        <v/>
      </c>
      <c r="S536" s="23">
        <f>IF($R536="","",IF(OR($R536="ATRASADO",$R536="HOJE",$R536="Definir data"),COUNTIF($R$5:$R536,"ATRASADO")+COUNTIF($R$5:$R536,"HOJE")+COUNTIF($R$5:$R536,"Definir data"),""))</f>
        <v/>
      </c>
      <c r="T536" s="18">
        <f>IF($C536="","",IF(OR($B536="",$E536="",$F536="",$G536=""),"Preencher entrada/origem/vendedor/etapa",IF(AND(OR($P536="Ganho",$P536="Perdido"),$K536=""),"Falta data de fechamento",IF(AND($P536="Perdido",$L536=""),"Informe o motivo da perda","OK"))))</f>
        <v/>
      </c>
    </row>
    <row r="537" spans="1:20">
      <c r="A537" s="18">
        <f>IF($C537="","",ROW()-4)</f>
        <v/>
      </c>
      <c r="B537" s="19"/>
      <c r="C537" s="13"/>
      <c r="D537" s="13"/>
      <c r="E537" s="13"/>
      <c r="F537" s="13"/>
      <c r="G537" s="13"/>
      <c r="H537" s="15"/>
      <c r="I537" s="19"/>
      <c r="J537" s="19"/>
      <c r="K537" s="19"/>
      <c r="L537" s="13"/>
      <c r="M537" s="13"/>
      <c r="N537" s="20">
        <f>IF($C537="","",IFERROR(INDEX(EtapaProb,MATCH($G537,Etapas,0)),0))</f>
        <v/>
      </c>
      <c r="O537" s="21">
        <f>IF($C537="","",IF($P537="Aberto",N($H537)*$N537,0))</f>
        <v/>
      </c>
      <c r="P537" s="18">
        <f>IF($C537="","",IF($G537="Ganho","Ganho",IF($G537="Perdido","Perdido","Aberto")))</f>
        <v/>
      </c>
      <c r="Q537" s="18">
        <f>IF(OR($C537="",$P537&lt;&gt;"Aberto"),"",IF($I537="",Hoje-$B537,Hoje-$I537))</f>
        <v/>
      </c>
      <c r="R537" s="22">
        <f>IF(OR($C537="",$P537&lt;&gt;"Aberto"),"",IF($J537="",IF($Q537&gt;DiasSC,"ATRASADO","Definir data"),IF($J537&lt;Hoje,"ATRASADO",IF($J537=Hoje,"HOJE","Em dia"))))</f>
        <v/>
      </c>
      <c r="S537" s="23">
        <f>IF($R537="","",IF(OR($R537="ATRASADO",$R537="HOJE",$R537="Definir data"),COUNTIF($R$5:$R537,"ATRASADO")+COUNTIF($R$5:$R537,"HOJE")+COUNTIF($R$5:$R537,"Definir data"),""))</f>
        <v/>
      </c>
      <c r="T537" s="18">
        <f>IF($C537="","",IF(OR($B537="",$E537="",$F537="",$G537=""),"Preencher entrada/origem/vendedor/etapa",IF(AND(OR($P537="Ganho",$P537="Perdido"),$K537=""),"Falta data de fechamento",IF(AND($P537="Perdido",$L537=""),"Informe o motivo da perda","OK"))))</f>
        <v/>
      </c>
    </row>
    <row r="538" spans="1:20">
      <c r="A538" s="18">
        <f>IF($C538="","",ROW()-4)</f>
        <v/>
      </c>
      <c r="B538" s="19"/>
      <c r="C538" s="13"/>
      <c r="D538" s="13"/>
      <c r="E538" s="13"/>
      <c r="F538" s="13"/>
      <c r="G538" s="13"/>
      <c r="H538" s="15"/>
      <c r="I538" s="19"/>
      <c r="J538" s="19"/>
      <c r="K538" s="19"/>
      <c r="L538" s="13"/>
      <c r="M538" s="13"/>
      <c r="N538" s="20">
        <f>IF($C538="","",IFERROR(INDEX(EtapaProb,MATCH($G538,Etapas,0)),0))</f>
        <v/>
      </c>
      <c r="O538" s="21">
        <f>IF($C538="","",IF($P538="Aberto",N($H538)*$N538,0))</f>
        <v/>
      </c>
      <c r="P538" s="18">
        <f>IF($C538="","",IF($G538="Ganho","Ganho",IF($G538="Perdido","Perdido","Aberto")))</f>
        <v/>
      </c>
      <c r="Q538" s="18">
        <f>IF(OR($C538="",$P538&lt;&gt;"Aberto"),"",IF($I538="",Hoje-$B538,Hoje-$I538))</f>
        <v/>
      </c>
      <c r="R538" s="22">
        <f>IF(OR($C538="",$P538&lt;&gt;"Aberto"),"",IF($J538="",IF($Q538&gt;DiasSC,"ATRASADO","Definir data"),IF($J538&lt;Hoje,"ATRASADO",IF($J538=Hoje,"HOJE","Em dia"))))</f>
        <v/>
      </c>
      <c r="S538" s="23">
        <f>IF($R538="","",IF(OR($R538="ATRASADO",$R538="HOJE",$R538="Definir data"),COUNTIF($R$5:$R538,"ATRASADO")+COUNTIF($R$5:$R538,"HOJE")+COUNTIF($R$5:$R538,"Definir data"),""))</f>
        <v/>
      </c>
      <c r="T538" s="18">
        <f>IF($C538="","",IF(OR($B538="",$E538="",$F538="",$G538=""),"Preencher entrada/origem/vendedor/etapa",IF(AND(OR($P538="Ganho",$P538="Perdido"),$K538=""),"Falta data de fechamento",IF(AND($P538="Perdido",$L538=""),"Informe o motivo da perda","OK"))))</f>
        <v/>
      </c>
    </row>
    <row r="539" spans="1:20">
      <c r="A539" s="18">
        <f>IF($C539="","",ROW()-4)</f>
        <v/>
      </c>
      <c r="B539" s="19"/>
      <c r="C539" s="13"/>
      <c r="D539" s="13"/>
      <c r="E539" s="13"/>
      <c r="F539" s="13"/>
      <c r="G539" s="13"/>
      <c r="H539" s="15"/>
      <c r="I539" s="19"/>
      <c r="J539" s="19"/>
      <c r="K539" s="19"/>
      <c r="L539" s="13"/>
      <c r="M539" s="13"/>
      <c r="N539" s="20">
        <f>IF($C539="","",IFERROR(INDEX(EtapaProb,MATCH($G539,Etapas,0)),0))</f>
        <v/>
      </c>
      <c r="O539" s="21">
        <f>IF($C539="","",IF($P539="Aberto",N($H539)*$N539,0))</f>
        <v/>
      </c>
      <c r="P539" s="18">
        <f>IF($C539="","",IF($G539="Ganho","Ganho",IF($G539="Perdido","Perdido","Aberto")))</f>
        <v/>
      </c>
      <c r="Q539" s="18">
        <f>IF(OR($C539="",$P539&lt;&gt;"Aberto"),"",IF($I539="",Hoje-$B539,Hoje-$I539))</f>
        <v/>
      </c>
      <c r="R539" s="22">
        <f>IF(OR($C539="",$P539&lt;&gt;"Aberto"),"",IF($J539="",IF($Q539&gt;DiasSC,"ATRASADO","Definir data"),IF($J539&lt;Hoje,"ATRASADO",IF($J539=Hoje,"HOJE","Em dia"))))</f>
        <v/>
      </c>
      <c r="S539" s="23">
        <f>IF($R539="","",IF(OR($R539="ATRASADO",$R539="HOJE",$R539="Definir data"),COUNTIF($R$5:$R539,"ATRASADO")+COUNTIF($R$5:$R539,"HOJE")+COUNTIF($R$5:$R539,"Definir data"),""))</f>
        <v/>
      </c>
      <c r="T539" s="18">
        <f>IF($C539="","",IF(OR($B539="",$E539="",$F539="",$G539=""),"Preencher entrada/origem/vendedor/etapa",IF(AND(OR($P539="Ganho",$P539="Perdido"),$K539=""),"Falta data de fechamento",IF(AND($P539="Perdido",$L539=""),"Informe o motivo da perda","OK"))))</f>
        <v/>
      </c>
    </row>
    <row r="540" spans="1:20">
      <c r="A540" s="18">
        <f>IF($C540="","",ROW()-4)</f>
        <v/>
      </c>
      <c r="B540" s="19"/>
      <c r="C540" s="13"/>
      <c r="D540" s="13"/>
      <c r="E540" s="13"/>
      <c r="F540" s="13"/>
      <c r="G540" s="13"/>
      <c r="H540" s="15"/>
      <c r="I540" s="19"/>
      <c r="J540" s="19"/>
      <c r="K540" s="19"/>
      <c r="L540" s="13"/>
      <c r="M540" s="13"/>
      <c r="N540" s="20">
        <f>IF($C540="","",IFERROR(INDEX(EtapaProb,MATCH($G540,Etapas,0)),0))</f>
        <v/>
      </c>
      <c r="O540" s="21">
        <f>IF($C540="","",IF($P540="Aberto",N($H540)*$N540,0))</f>
        <v/>
      </c>
      <c r="P540" s="18">
        <f>IF($C540="","",IF($G540="Ganho","Ganho",IF($G540="Perdido","Perdido","Aberto")))</f>
        <v/>
      </c>
      <c r="Q540" s="18">
        <f>IF(OR($C540="",$P540&lt;&gt;"Aberto"),"",IF($I540="",Hoje-$B540,Hoje-$I540))</f>
        <v/>
      </c>
      <c r="R540" s="22">
        <f>IF(OR($C540="",$P540&lt;&gt;"Aberto"),"",IF($J540="",IF($Q540&gt;DiasSC,"ATRASADO","Definir data"),IF($J540&lt;Hoje,"ATRASADO",IF($J540=Hoje,"HOJE","Em dia"))))</f>
        <v/>
      </c>
      <c r="S540" s="23">
        <f>IF($R540="","",IF(OR($R540="ATRASADO",$R540="HOJE",$R540="Definir data"),COUNTIF($R$5:$R540,"ATRASADO")+COUNTIF($R$5:$R540,"HOJE")+COUNTIF($R$5:$R540,"Definir data"),""))</f>
        <v/>
      </c>
      <c r="T540" s="18">
        <f>IF($C540="","",IF(OR($B540="",$E540="",$F540="",$G540=""),"Preencher entrada/origem/vendedor/etapa",IF(AND(OR($P540="Ganho",$P540="Perdido"),$K540=""),"Falta data de fechamento",IF(AND($P540="Perdido",$L540=""),"Informe o motivo da perda","OK"))))</f>
        <v/>
      </c>
    </row>
    <row r="541" spans="1:20">
      <c r="A541" s="18">
        <f>IF($C541="","",ROW()-4)</f>
        <v/>
      </c>
      <c r="B541" s="19"/>
      <c r="C541" s="13"/>
      <c r="D541" s="13"/>
      <c r="E541" s="13"/>
      <c r="F541" s="13"/>
      <c r="G541" s="13"/>
      <c r="H541" s="15"/>
      <c r="I541" s="19"/>
      <c r="J541" s="19"/>
      <c r="K541" s="19"/>
      <c r="L541" s="13"/>
      <c r="M541" s="13"/>
      <c r="N541" s="20">
        <f>IF($C541="","",IFERROR(INDEX(EtapaProb,MATCH($G541,Etapas,0)),0))</f>
        <v/>
      </c>
      <c r="O541" s="21">
        <f>IF($C541="","",IF($P541="Aberto",N($H541)*$N541,0))</f>
        <v/>
      </c>
      <c r="P541" s="18">
        <f>IF($C541="","",IF($G541="Ganho","Ganho",IF($G541="Perdido","Perdido","Aberto")))</f>
        <v/>
      </c>
      <c r="Q541" s="18">
        <f>IF(OR($C541="",$P541&lt;&gt;"Aberto"),"",IF($I541="",Hoje-$B541,Hoje-$I541))</f>
        <v/>
      </c>
      <c r="R541" s="22">
        <f>IF(OR($C541="",$P541&lt;&gt;"Aberto"),"",IF($J541="",IF($Q541&gt;DiasSC,"ATRASADO","Definir data"),IF($J541&lt;Hoje,"ATRASADO",IF($J541=Hoje,"HOJE","Em dia"))))</f>
        <v/>
      </c>
      <c r="S541" s="23">
        <f>IF($R541="","",IF(OR($R541="ATRASADO",$R541="HOJE",$R541="Definir data"),COUNTIF($R$5:$R541,"ATRASADO")+COUNTIF($R$5:$R541,"HOJE")+COUNTIF($R$5:$R541,"Definir data"),""))</f>
        <v/>
      </c>
      <c r="T541" s="18">
        <f>IF($C541="","",IF(OR($B541="",$E541="",$F541="",$G541=""),"Preencher entrada/origem/vendedor/etapa",IF(AND(OR($P541="Ganho",$P541="Perdido"),$K541=""),"Falta data de fechamento",IF(AND($P541="Perdido",$L541=""),"Informe o motivo da perda","OK"))))</f>
        <v/>
      </c>
    </row>
    <row r="542" spans="1:20">
      <c r="A542" s="18">
        <f>IF($C542="","",ROW()-4)</f>
        <v/>
      </c>
      <c r="B542" s="19"/>
      <c r="C542" s="13"/>
      <c r="D542" s="13"/>
      <c r="E542" s="13"/>
      <c r="F542" s="13"/>
      <c r="G542" s="13"/>
      <c r="H542" s="15"/>
      <c r="I542" s="19"/>
      <c r="J542" s="19"/>
      <c r="K542" s="19"/>
      <c r="L542" s="13"/>
      <c r="M542" s="13"/>
      <c r="N542" s="20">
        <f>IF($C542="","",IFERROR(INDEX(EtapaProb,MATCH($G542,Etapas,0)),0))</f>
        <v/>
      </c>
      <c r="O542" s="21">
        <f>IF($C542="","",IF($P542="Aberto",N($H542)*$N542,0))</f>
        <v/>
      </c>
      <c r="P542" s="18">
        <f>IF($C542="","",IF($G542="Ganho","Ganho",IF($G542="Perdido","Perdido","Aberto")))</f>
        <v/>
      </c>
      <c r="Q542" s="18">
        <f>IF(OR($C542="",$P542&lt;&gt;"Aberto"),"",IF($I542="",Hoje-$B542,Hoje-$I542))</f>
        <v/>
      </c>
      <c r="R542" s="22">
        <f>IF(OR($C542="",$P542&lt;&gt;"Aberto"),"",IF($J542="",IF($Q542&gt;DiasSC,"ATRASADO","Definir data"),IF($J542&lt;Hoje,"ATRASADO",IF($J542=Hoje,"HOJE","Em dia"))))</f>
        <v/>
      </c>
      <c r="S542" s="23">
        <f>IF($R542="","",IF(OR($R542="ATRASADO",$R542="HOJE",$R542="Definir data"),COUNTIF($R$5:$R542,"ATRASADO")+COUNTIF($R$5:$R542,"HOJE")+COUNTIF($R$5:$R542,"Definir data"),""))</f>
        <v/>
      </c>
      <c r="T542" s="18">
        <f>IF($C542="","",IF(OR($B542="",$E542="",$F542="",$G542=""),"Preencher entrada/origem/vendedor/etapa",IF(AND(OR($P542="Ganho",$P542="Perdido"),$K542=""),"Falta data de fechamento",IF(AND($P542="Perdido",$L542=""),"Informe o motivo da perda","OK"))))</f>
        <v/>
      </c>
    </row>
    <row r="543" spans="1:20">
      <c r="A543" s="18">
        <f>IF($C543="","",ROW()-4)</f>
        <v/>
      </c>
      <c r="B543" s="19"/>
      <c r="C543" s="13"/>
      <c r="D543" s="13"/>
      <c r="E543" s="13"/>
      <c r="F543" s="13"/>
      <c r="G543" s="13"/>
      <c r="H543" s="15"/>
      <c r="I543" s="19"/>
      <c r="J543" s="19"/>
      <c r="K543" s="19"/>
      <c r="L543" s="13"/>
      <c r="M543" s="13"/>
      <c r="N543" s="20">
        <f>IF($C543="","",IFERROR(INDEX(EtapaProb,MATCH($G543,Etapas,0)),0))</f>
        <v/>
      </c>
      <c r="O543" s="21">
        <f>IF($C543="","",IF($P543="Aberto",N($H543)*$N543,0))</f>
        <v/>
      </c>
      <c r="P543" s="18">
        <f>IF($C543="","",IF($G543="Ganho","Ganho",IF($G543="Perdido","Perdido","Aberto")))</f>
        <v/>
      </c>
      <c r="Q543" s="18">
        <f>IF(OR($C543="",$P543&lt;&gt;"Aberto"),"",IF($I543="",Hoje-$B543,Hoje-$I543))</f>
        <v/>
      </c>
      <c r="R543" s="22">
        <f>IF(OR($C543="",$P543&lt;&gt;"Aberto"),"",IF($J543="",IF($Q543&gt;DiasSC,"ATRASADO","Definir data"),IF($J543&lt;Hoje,"ATRASADO",IF($J543=Hoje,"HOJE","Em dia"))))</f>
        <v/>
      </c>
      <c r="S543" s="23">
        <f>IF($R543="","",IF(OR($R543="ATRASADO",$R543="HOJE",$R543="Definir data"),COUNTIF($R$5:$R543,"ATRASADO")+COUNTIF($R$5:$R543,"HOJE")+COUNTIF($R$5:$R543,"Definir data"),""))</f>
        <v/>
      </c>
      <c r="T543" s="18">
        <f>IF($C543="","",IF(OR($B543="",$E543="",$F543="",$G543=""),"Preencher entrada/origem/vendedor/etapa",IF(AND(OR($P543="Ganho",$P543="Perdido"),$K543=""),"Falta data de fechamento",IF(AND($P543="Perdido",$L543=""),"Informe o motivo da perda","OK"))))</f>
        <v/>
      </c>
    </row>
    <row r="544" spans="1:20">
      <c r="A544" s="18">
        <f>IF($C544="","",ROW()-4)</f>
        <v/>
      </c>
      <c r="B544" s="19"/>
      <c r="C544" s="13"/>
      <c r="D544" s="13"/>
      <c r="E544" s="13"/>
      <c r="F544" s="13"/>
      <c r="G544" s="13"/>
      <c r="H544" s="15"/>
      <c r="I544" s="19"/>
      <c r="J544" s="19"/>
      <c r="K544" s="19"/>
      <c r="L544" s="13"/>
      <c r="M544" s="13"/>
      <c r="N544" s="20">
        <f>IF($C544="","",IFERROR(INDEX(EtapaProb,MATCH($G544,Etapas,0)),0))</f>
        <v/>
      </c>
      <c r="O544" s="21">
        <f>IF($C544="","",IF($P544="Aberto",N($H544)*$N544,0))</f>
        <v/>
      </c>
      <c r="P544" s="18">
        <f>IF($C544="","",IF($G544="Ganho","Ganho",IF($G544="Perdido","Perdido","Aberto")))</f>
        <v/>
      </c>
      <c r="Q544" s="18">
        <f>IF(OR($C544="",$P544&lt;&gt;"Aberto"),"",IF($I544="",Hoje-$B544,Hoje-$I544))</f>
        <v/>
      </c>
      <c r="R544" s="22">
        <f>IF(OR($C544="",$P544&lt;&gt;"Aberto"),"",IF($J544="",IF($Q544&gt;DiasSC,"ATRASADO","Definir data"),IF($J544&lt;Hoje,"ATRASADO",IF($J544=Hoje,"HOJE","Em dia"))))</f>
        <v/>
      </c>
      <c r="S544" s="23">
        <f>IF($R544="","",IF(OR($R544="ATRASADO",$R544="HOJE",$R544="Definir data"),COUNTIF($R$5:$R544,"ATRASADO")+COUNTIF($R$5:$R544,"HOJE")+COUNTIF($R$5:$R544,"Definir data"),""))</f>
        <v/>
      </c>
      <c r="T544" s="18">
        <f>IF($C544="","",IF(OR($B544="",$E544="",$F544="",$G544=""),"Preencher entrada/origem/vendedor/etapa",IF(AND(OR($P544="Ganho",$P544="Perdido"),$K544=""),"Falta data de fechamento",IF(AND($P544="Perdido",$L544=""),"Informe o motivo da perda","OK"))))</f>
        <v/>
      </c>
    </row>
    <row r="545" spans="1:20">
      <c r="A545" s="18">
        <f>IF($C545="","",ROW()-4)</f>
        <v/>
      </c>
      <c r="B545" s="19"/>
      <c r="C545" s="13"/>
      <c r="D545" s="13"/>
      <c r="E545" s="13"/>
      <c r="F545" s="13"/>
      <c r="G545" s="13"/>
      <c r="H545" s="15"/>
      <c r="I545" s="19"/>
      <c r="J545" s="19"/>
      <c r="K545" s="19"/>
      <c r="L545" s="13"/>
      <c r="M545" s="13"/>
      <c r="N545" s="20">
        <f>IF($C545="","",IFERROR(INDEX(EtapaProb,MATCH($G545,Etapas,0)),0))</f>
        <v/>
      </c>
      <c r="O545" s="21">
        <f>IF($C545="","",IF($P545="Aberto",N($H545)*$N545,0))</f>
        <v/>
      </c>
      <c r="P545" s="18">
        <f>IF($C545="","",IF($G545="Ganho","Ganho",IF($G545="Perdido","Perdido","Aberto")))</f>
        <v/>
      </c>
      <c r="Q545" s="18">
        <f>IF(OR($C545="",$P545&lt;&gt;"Aberto"),"",IF($I545="",Hoje-$B545,Hoje-$I545))</f>
        <v/>
      </c>
      <c r="R545" s="22">
        <f>IF(OR($C545="",$P545&lt;&gt;"Aberto"),"",IF($J545="",IF($Q545&gt;DiasSC,"ATRASADO","Definir data"),IF($J545&lt;Hoje,"ATRASADO",IF($J545=Hoje,"HOJE","Em dia"))))</f>
        <v/>
      </c>
      <c r="S545" s="23">
        <f>IF($R545="","",IF(OR($R545="ATRASADO",$R545="HOJE",$R545="Definir data"),COUNTIF($R$5:$R545,"ATRASADO")+COUNTIF($R$5:$R545,"HOJE")+COUNTIF($R$5:$R545,"Definir data"),""))</f>
        <v/>
      </c>
      <c r="T545" s="18">
        <f>IF($C545="","",IF(OR($B545="",$E545="",$F545="",$G545=""),"Preencher entrada/origem/vendedor/etapa",IF(AND(OR($P545="Ganho",$P545="Perdido"),$K545=""),"Falta data de fechamento",IF(AND($P545="Perdido",$L545=""),"Informe o motivo da perda","OK"))))</f>
        <v/>
      </c>
    </row>
    <row r="546" spans="1:20">
      <c r="A546" s="18">
        <f>IF($C546="","",ROW()-4)</f>
        <v/>
      </c>
      <c r="B546" s="19"/>
      <c r="C546" s="13"/>
      <c r="D546" s="13"/>
      <c r="E546" s="13"/>
      <c r="F546" s="13"/>
      <c r="G546" s="13"/>
      <c r="H546" s="15"/>
      <c r="I546" s="19"/>
      <c r="J546" s="19"/>
      <c r="K546" s="19"/>
      <c r="L546" s="13"/>
      <c r="M546" s="13"/>
      <c r="N546" s="20">
        <f>IF($C546="","",IFERROR(INDEX(EtapaProb,MATCH($G546,Etapas,0)),0))</f>
        <v/>
      </c>
      <c r="O546" s="21">
        <f>IF($C546="","",IF($P546="Aberto",N($H546)*$N546,0))</f>
        <v/>
      </c>
      <c r="P546" s="18">
        <f>IF($C546="","",IF($G546="Ganho","Ganho",IF($G546="Perdido","Perdido","Aberto")))</f>
        <v/>
      </c>
      <c r="Q546" s="18">
        <f>IF(OR($C546="",$P546&lt;&gt;"Aberto"),"",IF($I546="",Hoje-$B546,Hoje-$I546))</f>
        <v/>
      </c>
      <c r="R546" s="22">
        <f>IF(OR($C546="",$P546&lt;&gt;"Aberto"),"",IF($J546="",IF($Q546&gt;DiasSC,"ATRASADO","Definir data"),IF($J546&lt;Hoje,"ATRASADO",IF($J546=Hoje,"HOJE","Em dia"))))</f>
        <v/>
      </c>
      <c r="S546" s="23">
        <f>IF($R546="","",IF(OR($R546="ATRASADO",$R546="HOJE",$R546="Definir data"),COUNTIF($R$5:$R546,"ATRASADO")+COUNTIF($R$5:$R546,"HOJE")+COUNTIF($R$5:$R546,"Definir data"),""))</f>
        <v/>
      </c>
      <c r="T546" s="18">
        <f>IF($C546="","",IF(OR($B546="",$E546="",$F546="",$G546=""),"Preencher entrada/origem/vendedor/etapa",IF(AND(OR($P546="Ganho",$P546="Perdido"),$K546=""),"Falta data de fechamento",IF(AND($P546="Perdido",$L546=""),"Informe o motivo da perda","OK"))))</f>
        <v/>
      </c>
    </row>
    <row r="547" spans="1:20">
      <c r="A547" s="18">
        <f>IF($C547="","",ROW()-4)</f>
        <v/>
      </c>
      <c r="B547" s="19"/>
      <c r="C547" s="13"/>
      <c r="D547" s="13"/>
      <c r="E547" s="13"/>
      <c r="F547" s="13"/>
      <c r="G547" s="13"/>
      <c r="H547" s="15"/>
      <c r="I547" s="19"/>
      <c r="J547" s="19"/>
      <c r="K547" s="19"/>
      <c r="L547" s="13"/>
      <c r="M547" s="13"/>
      <c r="N547" s="20">
        <f>IF($C547="","",IFERROR(INDEX(EtapaProb,MATCH($G547,Etapas,0)),0))</f>
        <v/>
      </c>
      <c r="O547" s="21">
        <f>IF($C547="","",IF($P547="Aberto",N($H547)*$N547,0))</f>
        <v/>
      </c>
      <c r="P547" s="18">
        <f>IF($C547="","",IF($G547="Ganho","Ganho",IF($G547="Perdido","Perdido","Aberto")))</f>
        <v/>
      </c>
      <c r="Q547" s="18">
        <f>IF(OR($C547="",$P547&lt;&gt;"Aberto"),"",IF($I547="",Hoje-$B547,Hoje-$I547))</f>
        <v/>
      </c>
      <c r="R547" s="22">
        <f>IF(OR($C547="",$P547&lt;&gt;"Aberto"),"",IF($J547="",IF($Q547&gt;DiasSC,"ATRASADO","Definir data"),IF($J547&lt;Hoje,"ATRASADO",IF($J547=Hoje,"HOJE","Em dia"))))</f>
        <v/>
      </c>
      <c r="S547" s="23">
        <f>IF($R547="","",IF(OR($R547="ATRASADO",$R547="HOJE",$R547="Definir data"),COUNTIF($R$5:$R547,"ATRASADO")+COUNTIF($R$5:$R547,"HOJE")+COUNTIF($R$5:$R547,"Definir data"),""))</f>
        <v/>
      </c>
      <c r="T547" s="18">
        <f>IF($C547="","",IF(OR($B547="",$E547="",$F547="",$G547=""),"Preencher entrada/origem/vendedor/etapa",IF(AND(OR($P547="Ganho",$P547="Perdido"),$K547=""),"Falta data de fechamento",IF(AND($P547="Perdido",$L547=""),"Informe o motivo da perda","OK"))))</f>
        <v/>
      </c>
    </row>
    <row r="548" spans="1:20">
      <c r="A548" s="18">
        <f>IF($C548="","",ROW()-4)</f>
        <v/>
      </c>
      <c r="B548" s="19"/>
      <c r="C548" s="13"/>
      <c r="D548" s="13"/>
      <c r="E548" s="13"/>
      <c r="F548" s="13"/>
      <c r="G548" s="13"/>
      <c r="H548" s="15"/>
      <c r="I548" s="19"/>
      <c r="J548" s="19"/>
      <c r="K548" s="19"/>
      <c r="L548" s="13"/>
      <c r="M548" s="13"/>
      <c r="N548" s="20">
        <f>IF($C548="","",IFERROR(INDEX(EtapaProb,MATCH($G548,Etapas,0)),0))</f>
        <v/>
      </c>
      <c r="O548" s="21">
        <f>IF($C548="","",IF($P548="Aberto",N($H548)*$N548,0))</f>
        <v/>
      </c>
      <c r="P548" s="18">
        <f>IF($C548="","",IF($G548="Ganho","Ganho",IF($G548="Perdido","Perdido","Aberto")))</f>
        <v/>
      </c>
      <c r="Q548" s="18">
        <f>IF(OR($C548="",$P548&lt;&gt;"Aberto"),"",IF($I548="",Hoje-$B548,Hoje-$I548))</f>
        <v/>
      </c>
      <c r="R548" s="22">
        <f>IF(OR($C548="",$P548&lt;&gt;"Aberto"),"",IF($J548="",IF($Q548&gt;DiasSC,"ATRASADO","Definir data"),IF($J548&lt;Hoje,"ATRASADO",IF($J548=Hoje,"HOJE","Em dia"))))</f>
        <v/>
      </c>
      <c r="S548" s="23">
        <f>IF($R548="","",IF(OR($R548="ATRASADO",$R548="HOJE",$R548="Definir data"),COUNTIF($R$5:$R548,"ATRASADO")+COUNTIF($R$5:$R548,"HOJE")+COUNTIF($R$5:$R548,"Definir data"),""))</f>
        <v/>
      </c>
      <c r="T548" s="18">
        <f>IF($C548="","",IF(OR($B548="",$E548="",$F548="",$G548=""),"Preencher entrada/origem/vendedor/etapa",IF(AND(OR($P548="Ganho",$P548="Perdido"),$K548=""),"Falta data de fechamento",IF(AND($P548="Perdido",$L548=""),"Informe o motivo da perda","OK"))))</f>
        <v/>
      </c>
    </row>
    <row r="549" spans="1:20">
      <c r="A549" s="18">
        <f>IF($C549="","",ROW()-4)</f>
        <v/>
      </c>
      <c r="B549" s="19"/>
      <c r="C549" s="13"/>
      <c r="D549" s="13"/>
      <c r="E549" s="13"/>
      <c r="F549" s="13"/>
      <c r="G549" s="13"/>
      <c r="H549" s="15"/>
      <c r="I549" s="19"/>
      <c r="J549" s="19"/>
      <c r="K549" s="19"/>
      <c r="L549" s="13"/>
      <c r="M549" s="13"/>
      <c r="N549" s="20">
        <f>IF($C549="","",IFERROR(INDEX(EtapaProb,MATCH($G549,Etapas,0)),0))</f>
        <v/>
      </c>
      <c r="O549" s="21">
        <f>IF($C549="","",IF($P549="Aberto",N($H549)*$N549,0))</f>
        <v/>
      </c>
      <c r="P549" s="18">
        <f>IF($C549="","",IF($G549="Ganho","Ganho",IF($G549="Perdido","Perdido","Aberto")))</f>
        <v/>
      </c>
      <c r="Q549" s="18">
        <f>IF(OR($C549="",$P549&lt;&gt;"Aberto"),"",IF($I549="",Hoje-$B549,Hoje-$I549))</f>
        <v/>
      </c>
      <c r="R549" s="22">
        <f>IF(OR($C549="",$P549&lt;&gt;"Aberto"),"",IF($J549="",IF($Q549&gt;DiasSC,"ATRASADO","Definir data"),IF($J549&lt;Hoje,"ATRASADO",IF($J549=Hoje,"HOJE","Em dia"))))</f>
        <v/>
      </c>
      <c r="S549" s="23">
        <f>IF($R549="","",IF(OR($R549="ATRASADO",$R549="HOJE",$R549="Definir data"),COUNTIF($R$5:$R549,"ATRASADO")+COUNTIF($R$5:$R549,"HOJE")+COUNTIF($R$5:$R549,"Definir data"),""))</f>
        <v/>
      </c>
      <c r="T549" s="18">
        <f>IF($C549="","",IF(OR($B549="",$E549="",$F549="",$G549=""),"Preencher entrada/origem/vendedor/etapa",IF(AND(OR($P549="Ganho",$P549="Perdido"),$K549=""),"Falta data de fechamento",IF(AND($P549="Perdido",$L549=""),"Informe o motivo da perda","OK"))))</f>
        <v/>
      </c>
    </row>
    <row r="550" spans="1:20">
      <c r="A550" s="18">
        <f>IF($C550="","",ROW()-4)</f>
        <v/>
      </c>
      <c r="B550" s="19"/>
      <c r="C550" s="13"/>
      <c r="D550" s="13"/>
      <c r="E550" s="13"/>
      <c r="F550" s="13"/>
      <c r="G550" s="13"/>
      <c r="H550" s="15"/>
      <c r="I550" s="19"/>
      <c r="J550" s="19"/>
      <c r="K550" s="19"/>
      <c r="L550" s="13"/>
      <c r="M550" s="13"/>
      <c r="N550" s="20">
        <f>IF($C550="","",IFERROR(INDEX(EtapaProb,MATCH($G550,Etapas,0)),0))</f>
        <v/>
      </c>
      <c r="O550" s="21">
        <f>IF($C550="","",IF($P550="Aberto",N($H550)*$N550,0))</f>
        <v/>
      </c>
      <c r="P550" s="18">
        <f>IF($C550="","",IF($G550="Ganho","Ganho",IF($G550="Perdido","Perdido","Aberto")))</f>
        <v/>
      </c>
      <c r="Q550" s="18">
        <f>IF(OR($C550="",$P550&lt;&gt;"Aberto"),"",IF($I550="",Hoje-$B550,Hoje-$I550))</f>
        <v/>
      </c>
      <c r="R550" s="22">
        <f>IF(OR($C550="",$P550&lt;&gt;"Aberto"),"",IF($J550="",IF($Q550&gt;DiasSC,"ATRASADO","Definir data"),IF($J550&lt;Hoje,"ATRASADO",IF($J550=Hoje,"HOJE","Em dia"))))</f>
        <v/>
      </c>
      <c r="S550" s="23">
        <f>IF($R550="","",IF(OR($R550="ATRASADO",$R550="HOJE",$R550="Definir data"),COUNTIF($R$5:$R550,"ATRASADO")+COUNTIF($R$5:$R550,"HOJE")+COUNTIF($R$5:$R550,"Definir data"),""))</f>
        <v/>
      </c>
      <c r="T550" s="18">
        <f>IF($C550="","",IF(OR($B550="",$E550="",$F550="",$G550=""),"Preencher entrada/origem/vendedor/etapa",IF(AND(OR($P550="Ganho",$P550="Perdido"),$K550=""),"Falta data de fechamento",IF(AND($P550="Perdido",$L550=""),"Informe o motivo da perda","OK"))))</f>
        <v/>
      </c>
    </row>
    <row r="551" spans="1:20">
      <c r="A551" s="18">
        <f>IF($C551="","",ROW()-4)</f>
        <v/>
      </c>
      <c r="B551" s="19"/>
      <c r="C551" s="13"/>
      <c r="D551" s="13"/>
      <c r="E551" s="13"/>
      <c r="F551" s="13"/>
      <c r="G551" s="13"/>
      <c r="H551" s="15"/>
      <c r="I551" s="19"/>
      <c r="J551" s="19"/>
      <c r="K551" s="19"/>
      <c r="L551" s="13"/>
      <c r="M551" s="13"/>
      <c r="N551" s="20">
        <f>IF($C551="","",IFERROR(INDEX(EtapaProb,MATCH($G551,Etapas,0)),0))</f>
        <v/>
      </c>
      <c r="O551" s="21">
        <f>IF($C551="","",IF($P551="Aberto",N($H551)*$N551,0))</f>
        <v/>
      </c>
      <c r="P551" s="18">
        <f>IF($C551="","",IF($G551="Ganho","Ganho",IF($G551="Perdido","Perdido","Aberto")))</f>
        <v/>
      </c>
      <c r="Q551" s="18">
        <f>IF(OR($C551="",$P551&lt;&gt;"Aberto"),"",IF($I551="",Hoje-$B551,Hoje-$I551))</f>
        <v/>
      </c>
      <c r="R551" s="22">
        <f>IF(OR($C551="",$P551&lt;&gt;"Aberto"),"",IF($J551="",IF($Q551&gt;DiasSC,"ATRASADO","Definir data"),IF($J551&lt;Hoje,"ATRASADO",IF($J551=Hoje,"HOJE","Em dia"))))</f>
        <v/>
      </c>
      <c r="S551" s="23">
        <f>IF($R551="","",IF(OR($R551="ATRASADO",$R551="HOJE",$R551="Definir data"),COUNTIF($R$5:$R551,"ATRASADO")+COUNTIF($R$5:$R551,"HOJE")+COUNTIF($R$5:$R551,"Definir data"),""))</f>
        <v/>
      </c>
      <c r="T551" s="18">
        <f>IF($C551="","",IF(OR($B551="",$E551="",$F551="",$G551=""),"Preencher entrada/origem/vendedor/etapa",IF(AND(OR($P551="Ganho",$P551="Perdido"),$K551=""),"Falta data de fechamento",IF(AND($P551="Perdido",$L551=""),"Informe o motivo da perda","OK"))))</f>
        <v/>
      </c>
    </row>
    <row r="552" spans="1:20">
      <c r="A552" s="18">
        <f>IF($C552="","",ROW()-4)</f>
        <v/>
      </c>
      <c r="B552" s="19"/>
      <c r="C552" s="13"/>
      <c r="D552" s="13"/>
      <c r="E552" s="13"/>
      <c r="F552" s="13"/>
      <c r="G552" s="13"/>
      <c r="H552" s="15"/>
      <c r="I552" s="19"/>
      <c r="J552" s="19"/>
      <c r="K552" s="19"/>
      <c r="L552" s="13"/>
      <c r="M552" s="13"/>
      <c r="N552" s="20">
        <f>IF($C552="","",IFERROR(INDEX(EtapaProb,MATCH($G552,Etapas,0)),0))</f>
        <v/>
      </c>
      <c r="O552" s="21">
        <f>IF($C552="","",IF($P552="Aberto",N($H552)*$N552,0))</f>
        <v/>
      </c>
      <c r="P552" s="18">
        <f>IF($C552="","",IF($G552="Ganho","Ganho",IF($G552="Perdido","Perdido","Aberto")))</f>
        <v/>
      </c>
      <c r="Q552" s="18">
        <f>IF(OR($C552="",$P552&lt;&gt;"Aberto"),"",IF($I552="",Hoje-$B552,Hoje-$I552))</f>
        <v/>
      </c>
      <c r="R552" s="22">
        <f>IF(OR($C552="",$P552&lt;&gt;"Aberto"),"",IF($J552="",IF($Q552&gt;DiasSC,"ATRASADO","Definir data"),IF($J552&lt;Hoje,"ATRASADO",IF($J552=Hoje,"HOJE","Em dia"))))</f>
        <v/>
      </c>
      <c r="S552" s="23">
        <f>IF($R552="","",IF(OR($R552="ATRASADO",$R552="HOJE",$R552="Definir data"),COUNTIF($R$5:$R552,"ATRASADO")+COUNTIF($R$5:$R552,"HOJE")+COUNTIF($R$5:$R552,"Definir data"),""))</f>
        <v/>
      </c>
      <c r="T552" s="18">
        <f>IF($C552="","",IF(OR($B552="",$E552="",$F552="",$G552=""),"Preencher entrada/origem/vendedor/etapa",IF(AND(OR($P552="Ganho",$P552="Perdido"),$K552=""),"Falta data de fechamento",IF(AND($P552="Perdido",$L552=""),"Informe o motivo da perda","OK"))))</f>
        <v/>
      </c>
    </row>
    <row r="553" spans="1:20">
      <c r="A553" s="18">
        <f>IF($C553="","",ROW()-4)</f>
        <v/>
      </c>
      <c r="B553" s="19"/>
      <c r="C553" s="13"/>
      <c r="D553" s="13"/>
      <c r="E553" s="13"/>
      <c r="F553" s="13"/>
      <c r="G553" s="13"/>
      <c r="H553" s="15"/>
      <c r="I553" s="19"/>
      <c r="J553" s="19"/>
      <c r="K553" s="19"/>
      <c r="L553" s="13"/>
      <c r="M553" s="13"/>
      <c r="N553" s="20">
        <f>IF($C553="","",IFERROR(INDEX(EtapaProb,MATCH($G553,Etapas,0)),0))</f>
        <v/>
      </c>
      <c r="O553" s="21">
        <f>IF($C553="","",IF($P553="Aberto",N($H553)*$N553,0))</f>
        <v/>
      </c>
      <c r="P553" s="18">
        <f>IF($C553="","",IF($G553="Ganho","Ganho",IF($G553="Perdido","Perdido","Aberto")))</f>
        <v/>
      </c>
      <c r="Q553" s="18">
        <f>IF(OR($C553="",$P553&lt;&gt;"Aberto"),"",IF($I553="",Hoje-$B553,Hoje-$I553))</f>
        <v/>
      </c>
      <c r="R553" s="22">
        <f>IF(OR($C553="",$P553&lt;&gt;"Aberto"),"",IF($J553="",IF($Q553&gt;DiasSC,"ATRASADO","Definir data"),IF($J553&lt;Hoje,"ATRASADO",IF($J553=Hoje,"HOJE","Em dia"))))</f>
        <v/>
      </c>
      <c r="S553" s="23">
        <f>IF($R553="","",IF(OR($R553="ATRASADO",$R553="HOJE",$R553="Definir data"),COUNTIF($R$5:$R553,"ATRASADO")+COUNTIF($R$5:$R553,"HOJE")+COUNTIF($R$5:$R553,"Definir data"),""))</f>
        <v/>
      </c>
      <c r="T553" s="18">
        <f>IF($C553="","",IF(OR($B553="",$E553="",$F553="",$G553=""),"Preencher entrada/origem/vendedor/etapa",IF(AND(OR($P553="Ganho",$P553="Perdido"),$K553=""),"Falta data de fechamento",IF(AND($P553="Perdido",$L553=""),"Informe o motivo da perda","OK"))))</f>
        <v/>
      </c>
    </row>
    <row r="554" spans="1:20">
      <c r="A554" s="18">
        <f>IF($C554="","",ROW()-4)</f>
        <v/>
      </c>
      <c r="B554" s="19"/>
      <c r="C554" s="13"/>
      <c r="D554" s="13"/>
      <c r="E554" s="13"/>
      <c r="F554" s="13"/>
      <c r="G554" s="13"/>
      <c r="H554" s="15"/>
      <c r="I554" s="19"/>
      <c r="J554" s="19"/>
      <c r="K554" s="19"/>
      <c r="L554" s="13"/>
      <c r="M554" s="13"/>
      <c r="N554" s="20">
        <f>IF($C554="","",IFERROR(INDEX(EtapaProb,MATCH($G554,Etapas,0)),0))</f>
        <v/>
      </c>
      <c r="O554" s="21">
        <f>IF($C554="","",IF($P554="Aberto",N($H554)*$N554,0))</f>
        <v/>
      </c>
      <c r="P554" s="18">
        <f>IF($C554="","",IF($G554="Ganho","Ganho",IF($G554="Perdido","Perdido","Aberto")))</f>
        <v/>
      </c>
      <c r="Q554" s="18">
        <f>IF(OR($C554="",$P554&lt;&gt;"Aberto"),"",IF($I554="",Hoje-$B554,Hoje-$I554))</f>
        <v/>
      </c>
      <c r="R554" s="22">
        <f>IF(OR($C554="",$P554&lt;&gt;"Aberto"),"",IF($J554="",IF($Q554&gt;DiasSC,"ATRASADO","Definir data"),IF($J554&lt;Hoje,"ATRASADO",IF($J554=Hoje,"HOJE","Em dia"))))</f>
        <v/>
      </c>
      <c r="S554" s="23">
        <f>IF($R554="","",IF(OR($R554="ATRASADO",$R554="HOJE",$R554="Definir data"),COUNTIF($R$5:$R554,"ATRASADO")+COUNTIF($R$5:$R554,"HOJE")+COUNTIF($R$5:$R554,"Definir data"),""))</f>
        <v/>
      </c>
      <c r="T554" s="18">
        <f>IF($C554="","",IF(OR($B554="",$E554="",$F554="",$G554=""),"Preencher entrada/origem/vendedor/etapa",IF(AND(OR($P554="Ganho",$P554="Perdido"),$K554=""),"Falta data de fechamento",IF(AND($P554="Perdido",$L554=""),"Informe o motivo da perda","OK"))))</f>
        <v/>
      </c>
    </row>
    <row r="555" spans="1:20">
      <c r="A555" s="18">
        <f>IF($C555="","",ROW()-4)</f>
        <v/>
      </c>
      <c r="B555" s="19"/>
      <c r="C555" s="13"/>
      <c r="D555" s="13"/>
      <c r="E555" s="13"/>
      <c r="F555" s="13"/>
      <c r="G555" s="13"/>
      <c r="H555" s="15"/>
      <c r="I555" s="19"/>
      <c r="J555" s="19"/>
      <c r="K555" s="19"/>
      <c r="L555" s="13"/>
      <c r="M555" s="13"/>
      <c r="N555" s="20">
        <f>IF($C555="","",IFERROR(INDEX(EtapaProb,MATCH($G555,Etapas,0)),0))</f>
        <v/>
      </c>
      <c r="O555" s="21">
        <f>IF($C555="","",IF($P555="Aberto",N($H555)*$N555,0))</f>
        <v/>
      </c>
      <c r="P555" s="18">
        <f>IF($C555="","",IF($G555="Ganho","Ganho",IF($G555="Perdido","Perdido","Aberto")))</f>
        <v/>
      </c>
      <c r="Q555" s="18">
        <f>IF(OR($C555="",$P555&lt;&gt;"Aberto"),"",IF($I555="",Hoje-$B555,Hoje-$I555))</f>
        <v/>
      </c>
      <c r="R555" s="22">
        <f>IF(OR($C555="",$P555&lt;&gt;"Aberto"),"",IF($J555="",IF($Q555&gt;DiasSC,"ATRASADO","Definir data"),IF($J555&lt;Hoje,"ATRASADO",IF($J555=Hoje,"HOJE","Em dia"))))</f>
        <v/>
      </c>
      <c r="S555" s="23">
        <f>IF($R555="","",IF(OR($R555="ATRASADO",$R555="HOJE",$R555="Definir data"),COUNTIF($R$5:$R555,"ATRASADO")+COUNTIF($R$5:$R555,"HOJE")+COUNTIF($R$5:$R555,"Definir data"),""))</f>
        <v/>
      </c>
      <c r="T555" s="18">
        <f>IF($C555="","",IF(OR($B555="",$E555="",$F555="",$G555=""),"Preencher entrada/origem/vendedor/etapa",IF(AND(OR($P555="Ganho",$P555="Perdido"),$K555=""),"Falta data de fechamento",IF(AND($P555="Perdido",$L555=""),"Informe o motivo da perda","OK"))))</f>
        <v/>
      </c>
    </row>
    <row r="556" spans="1:20">
      <c r="A556" s="18">
        <f>IF($C556="","",ROW()-4)</f>
        <v/>
      </c>
      <c r="B556" s="19"/>
      <c r="C556" s="13"/>
      <c r="D556" s="13"/>
      <c r="E556" s="13"/>
      <c r="F556" s="13"/>
      <c r="G556" s="13"/>
      <c r="H556" s="15"/>
      <c r="I556" s="19"/>
      <c r="J556" s="19"/>
      <c r="K556" s="19"/>
      <c r="L556" s="13"/>
      <c r="M556" s="13"/>
      <c r="N556" s="20">
        <f>IF($C556="","",IFERROR(INDEX(EtapaProb,MATCH($G556,Etapas,0)),0))</f>
        <v/>
      </c>
      <c r="O556" s="21">
        <f>IF($C556="","",IF($P556="Aberto",N($H556)*$N556,0))</f>
        <v/>
      </c>
      <c r="P556" s="18">
        <f>IF($C556="","",IF($G556="Ganho","Ganho",IF($G556="Perdido","Perdido","Aberto")))</f>
        <v/>
      </c>
      <c r="Q556" s="18">
        <f>IF(OR($C556="",$P556&lt;&gt;"Aberto"),"",IF($I556="",Hoje-$B556,Hoje-$I556))</f>
        <v/>
      </c>
      <c r="R556" s="22">
        <f>IF(OR($C556="",$P556&lt;&gt;"Aberto"),"",IF($J556="",IF($Q556&gt;DiasSC,"ATRASADO","Definir data"),IF($J556&lt;Hoje,"ATRASADO",IF($J556=Hoje,"HOJE","Em dia"))))</f>
        <v/>
      </c>
      <c r="S556" s="23">
        <f>IF($R556="","",IF(OR($R556="ATRASADO",$R556="HOJE",$R556="Definir data"),COUNTIF($R$5:$R556,"ATRASADO")+COUNTIF($R$5:$R556,"HOJE")+COUNTIF($R$5:$R556,"Definir data"),""))</f>
        <v/>
      </c>
      <c r="T556" s="18">
        <f>IF($C556="","",IF(OR($B556="",$E556="",$F556="",$G556=""),"Preencher entrada/origem/vendedor/etapa",IF(AND(OR($P556="Ganho",$P556="Perdido"),$K556=""),"Falta data de fechamento",IF(AND($P556="Perdido",$L556=""),"Informe o motivo da perda","OK"))))</f>
        <v/>
      </c>
    </row>
    <row r="557" spans="1:20">
      <c r="A557" s="18">
        <f>IF($C557="","",ROW()-4)</f>
        <v/>
      </c>
      <c r="B557" s="19"/>
      <c r="C557" s="13"/>
      <c r="D557" s="13"/>
      <c r="E557" s="13"/>
      <c r="F557" s="13"/>
      <c r="G557" s="13"/>
      <c r="H557" s="15"/>
      <c r="I557" s="19"/>
      <c r="J557" s="19"/>
      <c r="K557" s="19"/>
      <c r="L557" s="13"/>
      <c r="M557" s="13"/>
      <c r="N557" s="20">
        <f>IF($C557="","",IFERROR(INDEX(EtapaProb,MATCH($G557,Etapas,0)),0))</f>
        <v/>
      </c>
      <c r="O557" s="21">
        <f>IF($C557="","",IF($P557="Aberto",N($H557)*$N557,0))</f>
        <v/>
      </c>
      <c r="P557" s="18">
        <f>IF($C557="","",IF($G557="Ganho","Ganho",IF($G557="Perdido","Perdido","Aberto")))</f>
        <v/>
      </c>
      <c r="Q557" s="18">
        <f>IF(OR($C557="",$P557&lt;&gt;"Aberto"),"",IF($I557="",Hoje-$B557,Hoje-$I557))</f>
        <v/>
      </c>
      <c r="R557" s="22">
        <f>IF(OR($C557="",$P557&lt;&gt;"Aberto"),"",IF($J557="",IF($Q557&gt;DiasSC,"ATRASADO","Definir data"),IF($J557&lt;Hoje,"ATRASADO",IF($J557=Hoje,"HOJE","Em dia"))))</f>
        <v/>
      </c>
      <c r="S557" s="23">
        <f>IF($R557="","",IF(OR($R557="ATRASADO",$R557="HOJE",$R557="Definir data"),COUNTIF($R$5:$R557,"ATRASADO")+COUNTIF($R$5:$R557,"HOJE")+COUNTIF($R$5:$R557,"Definir data"),""))</f>
        <v/>
      </c>
      <c r="T557" s="18">
        <f>IF($C557="","",IF(OR($B557="",$E557="",$F557="",$G557=""),"Preencher entrada/origem/vendedor/etapa",IF(AND(OR($P557="Ganho",$P557="Perdido"),$K557=""),"Falta data de fechamento",IF(AND($P557="Perdido",$L557=""),"Informe o motivo da perda","OK"))))</f>
        <v/>
      </c>
    </row>
    <row r="558" spans="1:20">
      <c r="A558" s="18">
        <f>IF($C558="","",ROW()-4)</f>
        <v/>
      </c>
      <c r="B558" s="19"/>
      <c r="C558" s="13"/>
      <c r="D558" s="13"/>
      <c r="E558" s="13"/>
      <c r="F558" s="13"/>
      <c r="G558" s="13"/>
      <c r="H558" s="15"/>
      <c r="I558" s="19"/>
      <c r="J558" s="19"/>
      <c r="K558" s="19"/>
      <c r="L558" s="13"/>
      <c r="M558" s="13"/>
      <c r="N558" s="20">
        <f>IF($C558="","",IFERROR(INDEX(EtapaProb,MATCH($G558,Etapas,0)),0))</f>
        <v/>
      </c>
      <c r="O558" s="21">
        <f>IF($C558="","",IF($P558="Aberto",N($H558)*$N558,0))</f>
        <v/>
      </c>
      <c r="P558" s="18">
        <f>IF($C558="","",IF($G558="Ganho","Ganho",IF($G558="Perdido","Perdido","Aberto")))</f>
        <v/>
      </c>
      <c r="Q558" s="18">
        <f>IF(OR($C558="",$P558&lt;&gt;"Aberto"),"",IF($I558="",Hoje-$B558,Hoje-$I558))</f>
        <v/>
      </c>
      <c r="R558" s="22">
        <f>IF(OR($C558="",$P558&lt;&gt;"Aberto"),"",IF($J558="",IF($Q558&gt;DiasSC,"ATRASADO","Definir data"),IF($J558&lt;Hoje,"ATRASADO",IF($J558=Hoje,"HOJE","Em dia"))))</f>
        <v/>
      </c>
      <c r="S558" s="23">
        <f>IF($R558="","",IF(OR($R558="ATRASADO",$R558="HOJE",$R558="Definir data"),COUNTIF($R$5:$R558,"ATRASADO")+COUNTIF($R$5:$R558,"HOJE")+COUNTIF($R$5:$R558,"Definir data"),""))</f>
        <v/>
      </c>
      <c r="T558" s="18">
        <f>IF($C558="","",IF(OR($B558="",$E558="",$F558="",$G558=""),"Preencher entrada/origem/vendedor/etapa",IF(AND(OR($P558="Ganho",$P558="Perdido"),$K558=""),"Falta data de fechamento",IF(AND($P558="Perdido",$L558=""),"Informe o motivo da perda","OK"))))</f>
        <v/>
      </c>
    </row>
    <row r="559" spans="1:20">
      <c r="A559" s="18">
        <f>IF($C559="","",ROW()-4)</f>
        <v/>
      </c>
      <c r="B559" s="19"/>
      <c r="C559" s="13"/>
      <c r="D559" s="13"/>
      <c r="E559" s="13"/>
      <c r="F559" s="13"/>
      <c r="G559" s="13"/>
      <c r="H559" s="15"/>
      <c r="I559" s="19"/>
      <c r="J559" s="19"/>
      <c r="K559" s="19"/>
      <c r="L559" s="13"/>
      <c r="M559" s="13"/>
      <c r="N559" s="20">
        <f>IF($C559="","",IFERROR(INDEX(EtapaProb,MATCH($G559,Etapas,0)),0))</f>
        <v/>
      </c>
      <c r="O559" s="21">
        <f>IF($C559="","",IF($P559="Aberto",N($H559)*$N559,0))</f>
        <v/>
      </c>
      <c r="P559" s="18">
        <f>IF($C559="","",IF($G559="Ganho","Ganho",IF($G559="Perdido","Perdido","Aberto")))</f>
        <v/>
      </c>
      <c r="Q559" s="18">
        <f>IF(OR($C559="",$P559&lt;&gt;"Aberto"),"",IF($I559="",Hoje-$B559,Hoje-$I559))</f>
        <v/>
      </c>
      <c r="R559" s="22">
        <f>IF(OR($C559="",$P559&lt;&gt;"Aberto"),"",IF($J559="",IF($Q559&gt;DiasSC,"ATRASADO","Definir data"),IF($J559&lt;Hoje,"ATRASADO",IF($J559=Hoje,"HOJE","Em dia"))))</f>
        <v/>
      </c>
      <c r="S559" s="23">
        <f>IF($R559="","",IF(OR($R559="ATRASADO",$R559="HOJE",$R559="Definir data"),COUNTIF($R$5:$R559,"ATRASADO")+COUNTIF($R$5:$R559,"HOJE")+COUNTIF($R$5:$R559,"Definir data"),""))</f>
        <v/>
      </c>
      <c r="T559" s="18">
        <f>IF($C559="","",IF(OR($B559="",$E559="",$F559="",$G559=""),"Preencher entrada/origem/vendedor/etapa",IF(AND(OR($P559="Ganho",$P559="Perdido"),$K559=""),"Falta data de fechamento",IF(AND($P559="Perdido",$L559=""),"Informe o motivo da perda","OK"))))</f>
        <v/>
      </c>
    </row>
    <row r="560" spans="1:20">
      <c r="A560" s="18">
        <f>IF($C560="","",ROW()-4)</f>
        <v/>
      </c>
      <c r="B560" s="19"/>
      <c r="C560" s="13"/>
      <c r="D560" s="13"/>
      <c r="E560" s="13"/>
      <c r="F560" s="13"/>
      <c r="G560" s="13"/>
      <c r="H560" s="15"/>
      <c r="I560" s="19"/>
      <c r="J560" s="19"/>
      <c r="K560" s="19"/>
      <c r="L560" s="13"/>
      <c r="M560" s="13"/>
      <c r="N560" s="20">
        <f>IF($C560="","",IFERROR(INDEX(EtapaProb,MATCH($G560,Etapas,0)),0))</f>
        <v/>
      </c>
      <c r="O560" s="21">
        <f>IF($C560="","",IF($P560="Aberto",N($H560)*$N560,0))</f>
        <v/>
      </c>
      <c r="P560" s="18">
        <f>IF($C560="","",IF($G560="Ganho","Ganho",IF($G560="Perdido","Perdido","Aberto")))</f>
        <v/>
      </c>
      <c r="Q560" s="18">
        <f>IF(OR($C560="",$P560&lt;&gt;"Aberto"),"",IF($I560="",Hoje-$B560,Hoje-$I560))</f>
        <v/>
      </c>
      <c r="R560" s="22">
        <f>IF(OR($C560="",$P560&lt;&gt;"Aberto"),"",IF($J560="",IF($Q560&gt;DiasSC,"ATRASADO","Definir data"),IF($J560&lt;Hoje,"ATRASADO",IF($J560=Hoje,"HOJE","Em dia"))))</f>
        <v/>
      </c>
      <c r="S560" s="23">
        <f>IF($R560="","",IF(OR($R560="ATRASADO",$R560="HOJE",$R560="Definir data"),COUNTIF($R$5:$R560,"ATRASADO")+COUNTIF($R$5:$R560,"HOJE")+COUNTIF($R$5:$R560,"Definir data"),""))</f>
        <v/>
      </c>
      <c r="T560" s="18">
        <f>IF($C560="","",IF(OR($B560="",$E560="",$F560="",$G560=""),"Preencher entrada/origem/vendedor/etapa",IF(AND(OR($P560="Ganho",$P560="Perdido"),$K560=""),"Falta data de fechamento",IF(AND($P560="Perdido",$L560=""),"Informe o motivo da perda","OK"))))</f>
        <v/>
      </c>
    </row>
    <row r="561" spans="1:20">
      <c r="A561" s="18">
        <f>IF($C561="","",ROW()-4)</f>
        <v/>
      </c>
      <c r="B561" s="19"/>
      <c r="C561" s="13"/>
      <c r="D561" s="13"/>
      <c r="E561" s="13"/>
      <c r="F561" s="13"/>
      <c r="G561" s="13"/>
      <c r="H561" s="15"/>
      <c r="I561" s="19"/>
      <c r="J561" s="19"/>
      <c r="K561" s="19"/>
      <c r="L561" s="13"/>
      <c r="M561" s="13"/>
      <c r="N561" s="20">
        <f>IF($C561="","",IFERROR(INDEX(EtapaProb,MATCH($G561,Etapas,0)),0))</f>
        <v/>
      </c>
      <c r="O561" s="21">
        <f>IF($C561="","",IF($P561="Aberto",N($H561)*$N561,0))</f>
        <v/>
      </c>
      <c r="P561" s="18">
        <f>IF($C561="","",IF($G561="Ganho","Ganho",IF($G561="Perdido","Perdido","Aberto")))</f>
        <v/>
      </c>
      <c r="Q561" s="18">
        <f>IF(OR($C561="",$P561&lt;&gt;"Aberto"),"",IF($I561="",Hoje-$B561,Hoje-$I561))</f>
        <v/>
      </c>
      <c r="R561" s="22">
        <f>IF(OR($C561="",$P561&lt;&gt;"Aberto"),"",IF($J561="",IF($Q561&gt;DiasSC,"ATRASADO","Definir data"),IF($J561&lt;Hoje,"ATRASADO",IF($J561=Hoje,"HOJE","Em dia"))))</f>
        <v/>
      </c>
      <c r="S561" s="23">
        <f>IF($R561="","",IF(OR($R561="ATRASADO",$R561="HOJE",$R561="Definir data"),COUNTIF($R$5:$R561,"ATRASADO")+COUNTIF($R$5:$R561,"HOJE")+COUNTIF($R$5:$R561,"Definir data"),""))</f>
        <v/>
      </c>
      <c r="T561" s="18">
        <f>IF($C561="","",IF(OR($B561="",$E561="",$F561="",$G561=""),"Preencher entrada/origem/vendedor/etapa",IF(AND(OR($P561="Ganho",$P561="Perdido"),$K561=""),"Falta data de fechamento",IF(AND($P561="Perdido",$L561=""),"Informe o motivo da perda","OK"))))</f>
        <v/>
      </c>
    </row>
    <row r="562" spans="1:20">
      <c r="A562" s="18">
        <f>IF($C562="","",ROW()-4)</f>
        <v/>
      </c>
      <c r="B562" s="19"/>
      <c r="C562" s="13"/>
      <c r="D562" s="13"/>
      <c r="E562" s="13"/>
      <c r="F562" s="13"/>
      <c r="G562" s="13"/>
      <c r="H562" s="15"/>
      <c r="I562" s="19"/>
      <c r="J562" s="19"/>
      <c r="K562" s="19"/>
      <c r="L562" s="13"/>
      <c r="M562" s="13"/>
      <c r="N562" s="20">
        <f>IF($C562="","",IFERROR(INDEX(EtapaProb,MATCH($G562,Etapas,0)),0))</f>
        <v/>
      </c>
      <c r="O562" s="21">
        <f>IF($C562="","",IF($P562="Aberto",N($H562)*$N562,0))</f>
        <v/>
      </c>
      <c r="P562" s="18">
        <f>IF($C562="","",IF($G562="Ganho","Ganho",IF($G562="Perdido","Perdido","Aberto")))</f>
        <v/>
      </c>
      <c r="Q562" s="18">
        <f>IF(OR($C562="",$P562&lt;&gt;"Aberto"),"",IF($I562="",Hoje-$B562,Hoje-$I562))</f>
        <v/>
      </c>
      <c r="R562" s="22">
        <f>IF(OR($C562="",$P562&lt;&gt;"Aberto"),"",IF($J562="",IF($Q562&gt;DiasSC,"ATRASADO","Definir data"),IF($J562&lt;Hoje,"ATRASADO",IF($J562=Hoje,"HOJE","Em dia"))))</f>
        <v/>
      </c>
      <c r="S562" s="23">
        <f>IF($R562="","",IF(OR($R562="ATRASADO",$R562="HOJE",$R562="Definir data"),COUNTIF($R$5:$R562,"ATRASADO")+COUNTIF($R$5:$R562,"HOJE")+COUNTIF($R$5:$R562,"Definir data"),""))</f>
        <v/>
      </c>
      <c r="T562" s="18">
        <f>IF($C562="","",IF(OR($B562="",$E562="",$F562="",$G562=""),"Preencher entrada/origem/vendedor/etapa",IF(AND(OR($P562="Ganho",$P562="Perdido"),$K562=""),"Falta data de fechamento",IF(AND($P562="Perdido",$L562=""),"Informe o motivo da perda","OK"))))</f>
        <v/>
      </c>
    </row>
    <row r="563" spans="1:20">
      <c r="A563" s="18">
        <f>IF($C563="","",ROW()-4)</f>
        <v/>
      </c>
      <c r="B563" s="19"/>
      <c r="C563" s="13"/>
      <c r="D563" s="13"/>
      <c r="E563" s="13"/>
      <c r="F563" s="13"/>
      <c r="G563" s="13"/>
      <c r="H563" s="15"/>
      <c r="I563" s="19"/>
      <c r="J563" s="19"/>
      <c r="K563" s="19"/>
      <c r="L563" s="13"/>
      <c r="M563" s="13"/>
      <c r="N563" s="20">
        <f>IF($C563="","",IFERROR(INDEX(EtapaProb,MATCH($G563,Etapas,0)),0))</f>
        <v/>
      </c>
      <c r="O563" s="21">
        <f>IF($C563="","",IF($P563="Aberto",N($H563)*$N563,0))</f>
        <v/>
      </c>
      <c r="P563" s="18">
        <f>IF($C563="","",IF($G563="Ganho","Ganho",IF($G563="Perdido","Perdido","Aberto")))</f>
        <v/>
      </c>
      <c r="Q563" s="18">
        <f>IF(OR($C563="",$P563&lt;&gt;"Aberto"),"",IF($I563="",Hoje-$B563,Hoje-$I563))</f>
        <v/>
      </c>
      <c r="R563" s="22">
        <f>IF(OR($C563="",$P563&lt;&gt;"Aberto"),"",IF($J563="",IF($Q563&gt;DiasSC,"ATRASADO","Definir data"),IF($J563&lt;Hoje,"ATRASADO",IF($J563=Hoje,"HOJE","Em dia"))))</f>
        <v/>
      </c>
      <c r="S563" s="23">
        <f>IF($R563="","",IF(OR($R563="ATRASADO",$R563="HOJE",$R563="Definir data"),COUNTIF($R$5:$R563,"ATRASADO")+COUNTIF($R$5:$R563,"HOJE")+COUNTIF($R$5:$R563,"Definir data"),""))</f>
        <v/>
      </c>
      <c r="T563" s="18">
        <f>IF($C563="","",IF(OR($B563="",$E563="",$F563="",$G563=""),"Preencher entrada/origem/vendedor/etapa",IF(AND(OR($P563="Ganho",$P563="Perdido"),$K563=""),"Falta data de fechamento",IF(AND($P563="Perdido",$L563=""),"Informe o motivo da perda","OK"))))</f>
        <v/>
      </c>
    </row>
    <row r="564" spans="1:20">
      <c r="A564" s="18">
        <f>IF($C564="","",ROW()-4)</f>
        <v/>
      </c>
      <c r="B564" s="19"/>
      <c r="C564" s="13"/>
      <c r="D564" s="13"/>
      <c r="E564" s="13"/>
      <c r="F564" s="13"/>
      <c r="G564" s="13"/>
      <c r="H564" s="15"/>
      <c r="I564" s="19"/>
      <c r="J564" s="19"/>
      <c r="K564" s="19"/>
      <c r="L564" s="13"/>
      <c r="M564" s="13"/>
      <c r="N564" s="20">
        <f>IF($C564="","",IFERROR(INDEX(EtapaProb,MATCH($G564,Etapas,0)),0))</f>
        <v/>
      </c>
      <c r="O564" s="21">
        <f>IF($C564="","",IF($P564="Aberto",N($H564)*$N564,0))</f>
        <v/>
      </c>
      <c r="P564" s="18">
        <f>IF($C564="","",IF($G564="Ganho","Ganho",IF($G564="Perdido","Perdido","Aberto")))</f>
        <v/>
      </c>
      <c r="Q564" s="18">
        <f>IF(OR($C564="",$P564&lt;&gt;"Aberto"),"",IF($I564="",Hoje-$B564,Hoje-$I564))</f>
        <v/>
      </c>
      <c r="R564" s="22">
        <f>IF(OR($C564="",$P564&lt;&gt;"Aberto"),"",IF($J564="",IF($Q564&gt;DiasSC,"ATRASADO","Definir data"),IF($J564&lt;Hoje,"ATRASADO",IF($J564=Hoje,"HOJE","Em dia"))))</f>
        <v/>
      </c>
      <c r="S564" s="23">
        <f>IF($R564="","",IF(OR($R564="ATRASADO",$R564="HOJE",$R564="Definir data"),COUNTIF($R$5:$R564,"ATRASADO")+COUNTIF($R$5:$R564,"HOJE")+COUNTIF($R$5:$R564,"Definir data"),""))</f>
        <v/>
      </c>
      <c r="T564" s="18">
        <f>IF($C564="","",IF(OR($B564="",$E564="",$F564="",$G564=""),"Preencher entrada/origem/vendedor/etapa",IF(AND(OR($P564="Ganho",$P564="Perdido"),$K564=""),"Falta data de fechamento",IF(AND($P564="Perdido",$L564=""),"Informe o motivo da perda","OK"))))</f>
        <v/>
      </c>
    </row>
    <row r="565" spans="1:20">
      <c r="A565" s="18">
        <f>IF($C565="","",ROW()-4)</f>
        <v/>
      </c>
      <c r="B565" s="19"/>
      <c r="C565" s="13"/>
      <c r="D565" s="13"/>
      <c r="E565" s="13"/>
      <c r="F565" s="13"/>
      <c r="G565" s="13"/>
      <c r="H565" s="15"/>
      <c r="I565" s="19"/>
      <c r="J565" s="19"/>
      <c r="K565" s="19"/>
      <c r="L565" s="13"/>
      <c r="M565" s="13"/>
      <c r="N565" s="20">
        <f>IF($C565="","",IFERROR(INDEX(EtapaProb,MATCH($G565,Etapas,0)),0))</f>
        <v/>
      </c>
      <c r="O565" s="21">
        <f>IF($C565="","",IF($P565="Aberto",N($H565)*$N565,0))</f>
        <v/>
      </c>
      <c r="P565" s="18">
        <f>IF($C565="","",IF($G565="Ganho","Ganho",IF($G565="Perdido","Perdido","Aberto")))</f>
        <v/>
      </c>
      <c r="Q565" s="18">
        <f>IF(OR($C565="",$P565&lt;&gt;"Aberto"),"",IF($I565="",Hoje-$B565,Hoje-$I565))</f>
        <v/>
      </c>
      <c r="R565" s="22">
        <f>IF(OR($C565="",$P565&lt;&gt;"Aberto"),"",IF($J565="",IF($Q565&gt;DiasSC,"ATRASADO","Definir data"),IF($J565&lt;Hoje,"ATRASADO",IF($J565=Hoje,"HOJE","Em dia"))))</f>
        <v/>
      </c>
      <c r="S565" s="23">
        <f>IF($R565="","",IF(OR($R565="ATRASADO",$R565="HOJE",$R565="Definir data"),COUNTIF($R$5:$R565,"ATRASADO")+COUNTIF($R$5:$R565,"HOJE")+COUNTIF($R$5:$R565,"Definir data"),""))</f>
        <v/>
      </c>
      <c r="T565" s="18">
        <f>IF($C565="","",IF(OR($B565="",$E565="",$F565="",$G565=""),"Preencher entrada/origem/vendedor/etapa",IF(AND(OR($P565="Ganho",$P565="Perdido"),$K565=""),"Falta data de fechamento",IF(AND($P565="Perdido",$L565=""),"Informe o motivo da perda","OK"))))</f>
        <v/>
      </c>
    </row>
    <row r="566" spans="1:20">
      <c r="A566" s="18">
        <f>IF($C566="","",ROW()-4)</f>
        <v/>
      </c>
      <c r="B566" s="19"/>
      <c r="C566" s="13"/>
      <c r="D566" s="13"/>
      <c r="E566" s="13"/>
      <c r="F566" s="13"/>
      <c r="G566" s="13"/>
      <c r="H566" s="15"/>
      <c r="I566" s="19"/>
      <c r="J566" s="19"/>
      <c r="K566" s="19"/>
      <c r="L566" s="13"/>
      <c r="M566" s="13"/>
      <c r="N566" s="20">
        <f>IF($C566="","",IFERROR(INDEX(EtapaProb,MATCH($G566,Etapas,0)),0))</f>
        <v/>
      </c>
      <c r="O566" s="21">
        <f>IF($C566="","",IF($P566="Aberto",N($H566)*$N566,0))</f>
        <v/>
      </c>
      <c r="P566" s="18">
        <f>IF($C566="","",IF($G566="Ganho","Ganho",IF($G566="Perdido","Perdido","Aberto")))</f>
        <v/>
      </c>
      <c r="Q566" s="18">
        <f>IF(OR($C566="",$P566&lt;&gt;"Aberto"),"",IF($I566="",Hoje-$B566,Hoje-$I566))</f>
        <v/>
      </c>
      <c r="R566" s="22">
        <f>IF(OR($C566="",$P566&lt;&gt;"Aberto"),"",IF($J566="",IF($Q566&gt;DiasSC,"ATRASADO","Definir data"),IF($J566&lt;Hoje,"ATRASADO",IF($J566=Hoje,"HOJE","Em dia"))))</f>
        <v/>
      </c>
      <c r="S566" s="23">
        <f>IF($R566="","",IF(OR($R566="ATRASADO",$R566="HOJE",$R566="Definir data"),COUNTIF($R$5:$R566,"ATRASADO")+COUNTIF($R$5:$R566,"HOJE")+COUNTIF($R$5:$R566,"Definir data"),""))</f>
        <v/>
      </c>
      <c r="T566" s="18">
        <f>IF($C566="","",IF(OR($B566="",$E566="",$F566="",$G566=""),"Preencher entrada/origem/vendedor/etapa",IF(AND(OR($P566="Ganho",$P566="Perdido"),$K566=""),"Falta data de fechamento",IF(AND($P566="Perdido",$L566=""),"Informe o motivo da perda","OK"))))</f>
        <v/>
      </c>
    </row>
    <row r="567" spans="1:20">
      <c r="A567" s="18">
        <f>IF($C567="","",ROW()-4)</f>
        <v/>
      </c>
      <c r="B567" s="19"/>
      <c r="C567" s="13"/>
      <c r="D567" s="13"/>
      <c r="E567" s="13"/>
      <c r="F567" s="13"/>
      <c r="G567" s="13"/>
      <c r="H567" s="15"/>
      <c r="I567" s="19"/>
      <c r="J567" s="19"/>
      <c r="K567" s="19"/>
      <c r="L567" s="13"/>
      <c r="M567" s="13"/>
      <c r="N567" s="20">
        <f>IF($C567="","",IFERROR(INDEX(EtapaProb,MATCH($G567,Etapas,0)),0))</f>
        <v/>
      </c>
      <c r="O567" s="21">
        <f>IF($C567="","",IF($P567="Aberto",N($H567)*$N567,0))</f>
        <v/>
      </c>
      <c r="P567" s="18">
        <f>IF($C567="","",IF($G567="Ganho","Ganho",IF($G567="Perdido","Perdido","Aberto")))</f>
        <v/>
      </c>
      <c r="Q567" s="18">
        <f>IF(OR($C567="",$P567&lt;&gt;"Aberto"),"",IF($I567="",Hoje-$B567,Hoje-$I567))</f>
        <v/>
      </c>
      <c r="R567" s="22">
        <f>IF(OR($C567="",$P567&lt;&gt;"Aberto"),"",IF($J567="",IF($Q567&gt;DiasSC,"ATRASADO","Definir data"),IF($J567&lt;Hoje,"ATRASADO",IF($J567=Hoje,"HOJE","Em dia"))))</f>
        <v/>
      </c>
      <c r="S567" s="23">
        <f>IF($R567="","",IF(OR($R567="ATRASADO",$R567="HOJE",$R567="Definir data"),COUNTIF($R$5:$R567,"ATRASADO")+COUNTIF($R$5:$R567,"HOJE")+COUNTIF($R$5:$R567,"Definir data"),""))</f>
        <v/>
      </c>
      <c r="T567" s="18">
        <f>IF($C567="","",IF(OR($B567="",$E567="",$F567="",$G567=""),"Preencher entrada/origem/vendedor/etapa",IF(AND(OR($P567="Ganho",$P567="Perdido"),$K567=""),"Falta data de fechamento",IF(AND($P567="Perdido",$L567=""),"Informe o motivo da perda","OK"))))</f>
        <v/>
      </c>
    </row>
    <row r="568" spans="1:20">
      <c r="A568" s="18">
        <f>IF($C568="","",ROW()-4)</f>
        <v/>
      </c>
      <c r="B568" s="19"/>
      <c r="C568" s="13"/>
      <c r="D568" s="13"/>
      <c r="E568" s="13"/>
      <c r="F568" s="13"/>
      <c r="G568" s="13"/>
      <c r="H568" s="15"/>
      <c r="I568" s="19"/>
      <c r="J568" s="19"/>
      <c r="K568" s="19"/>
      <c r="L568" s="13"/>
      <c r="M568" s="13"/>
      <c r="N568" s="20">
        <f>IF($C568="","",IFERROR(INDEX(EtapaProb,MATCH($G568,Etapas,0)),0))</f>
        <v/>
      </c>
      <c r="O568" s="21">
        <f>IF($C568="","",IF($P568="Aberto",N($H568)*$N568,0))</f>
        <v/>
      </c>
      <c r="P568" s="18">
        <f>IF($C568="","",IF($G568="Ganho","Ganho",IF($G568="Perdido","Perdido","Aberto")))</f>
        <v/>
      </c>
      <c r="Q568" s="18">
        <f>IF(OR($C568="",$P568&lt;&gt;"Aberto"),"",IF($I568="",Hoje-$B568,Hoje-$I568))</f>
        <v/>
      </c>
      <c r="R568" s="22">
        <f>IF(OR($C568="",$P568&lt;&gt;"Aberto"),"",IF($J568="",IF($Q568&gt;DiasSC,"ATRASADO","Definir data"),IF($J568&lt;Hoje,"ATRASADO",IF($J568=Hoje,"HOJE","Em dia"))))</f>
        <v/>
      </c>
      <c r="S568" s="23">
        <f>IF($R568="","",IF(OR($R568="ATRASADO",$R568="HOJE",$R568="Definir data"),COUNTIF($R$5:$R568,"ATRASADO")+COUNTIF($R$5:$R568,"HOJE")+COUNTIF($R$5:$R568,"Definir data"),""))</f>
        <v/>
      </c>
      <c r="T568" s="18">
        <f>IF($C568="","",IF(OR($B568="",$E568="",$F568="",$G568=""),"Preencher entrada/origem/vendedor/etapa",IF(AND(OR($P568="Ganho",$P568="Perdido"),$K568=""),"Falta data de fechamento",IF(AND($P568="Perdido",$L568=""),"Informe o motivo da perda","OK"))))</f>
        <v/>
      </c>
    </row>
    <row r="569" spans="1:20">
      <c r="A569" s="18">
        <f>IF($C569="","",ROW()-4)</f>
        <v/>
      </c>
      <c r="B569" s="19"/>
      <c r="C569" s="13"/>
      <c r="D569" s="13"/>
      <c r="E569" s="13"/>
      <c r="F569" s="13"/>
      <c r="G569" s="13"/>
      <c r="H569" s="15"/>
      <c r="I569" s="19"/>
      <c r="J569" s="19"/>
      <c r="K569" s="19"/>
      <c r="L569" s="13"/>
      <c r="M569" s="13"/>
      <c r="N569" s="20">
        <f>IF($C569="","",IFERROR(INDEX(EtapaProb,MATCH($G569,Etapas,0)),0))</f>
        <v/>
      </c>
      <c r="O569" s="21">
        <f>IF($C569="","",IF($P569="Aberto",N($H569)*$N569,0))</f>
        <v/>
      </c>
      <c r="P569" s="18">
        <f>IF($C569="","",IF($G569="Ganho","Ganho",IF($G569="Perdido","Perdido","Aberto")))</f>
        <v/>
      </c>
      <c r="Q569" s="18">
        <f>IF(OR($C569="",$P569&lt;&gt;"Aberto"),"",IF($I569="",Hoje-$B569,Hoje-$I569))</f>
        <v/>
      </c>
      <c r="R569" s="22">
        <f>IF(OR($C569="",$P569&lt;&gt;"Aberto"),"",IF($J569="",IF($Q569&gt;DiasSC,"ATRASADO","Definir data"),IF($J569&lt;Hoje,"ATRASADO",IF($J569=Hoje,"HOJE","Em dia"))))</f>
        <v/>
      </c>
      <c r="S569" s="23">
        <f>IF($R569="","",IF(OR($R569="ATRASADO",$R569="HOJE",$R569="Definir data"),COUNTIF($R$5:$R569,"ATRASADO")+COUNTIF($R$5:$R569,"HOJE")+COUNTIF($R$5:$R569,"Definir data"),""))</f>
        <v/>
      </c>
      <c r="T569" s="18">
        <f>IF($C569="","",IF(OR($B569="",$E569="",$F569="",$G569=""),"Preencher entrada/origem/vendedor/etapa",IF(AND(OR($P569="Ganho",$P569="Perdido"),$K569=""),"Falta data de fechamento",IF(AND($P569="Perdido",$L569=""),"Informe o motivo da perda","OK"))))</f>
        <v/>
      </c>
    </row>
    <row r="570" spans="1:20">
      <c r="A570" s="18">
        <f>IF($C570="","",ROW()-4)</f>
        <v/>
      </c>
      <c r="B570" s="19"/>
      <c r="C570" s="13"/>
      <c r="D570" s="13"/>
      <c r="E570" s="13"/>
      <c r="F570" s="13"/>
      <c r="G570" s="13"/>
      <c r="H570" s="15"/>
      <c r="I570" s="19"/>
      <c r="J570" s="19"/>
      <c r="K570" s="19"/>
      <c r="L570" s="13"/>
      <c r="M570" s="13"/>
      <c r="N570" s="20">
        <f>IF($C570="","",IFERROR(INDEX(EtapaProb,MATCH($G570,Etapas,0)),0))</f>
        <v/>
      </c>
      <c r="O570" s="21">
        <f>IF($C570="","",IF($P570="Aberto",N($H570)*$N570,0))</f>
        <v/>
      </c>
      <c r="P570" s="18">
        <f>IF($C570="","",IF($G570="Ganho","Ganho",IF($G570="Perdido","Perdido","Aberto")))</f>
        <v/>
      </c>
      <c r="Q570" s="18">
        <f>IF(OR($C570="",$P570&lt;&gt;"Aberto"),"",IF($I570="",Hoje-$B570,Hoje-$I570))</f>
        <v/>
      </c>
      <c r="R570" s="22">
        <f>IF(OR($C570="",$P570&lt;&gt;"Aberto"),"",IF($J570="",IF($Q570&gt;DiasSC,"ATRASADO","Definir data"),IF($J570&lt;Hoje,"ATRASADO",IF($J570=Hoje,"HOJE","Em dia"))))</f>
        <v/>
      </c>
      <c r="S570" s="23">
        <f>IF($R570="","",IF(OR($R570="ATRASADO",$R570="HOJE",$R570="Definir data"),COUNTIF($R$5:$R570,"ATRASADO")+COUNTIF($R$5:$R570,"HOJE")+COUNTIF($R$5:$R570,"Definir data"),""))</f>
        <v/>
      </c>
      <c r="T570" s="18">
        <f>IF($C570="","",IF(OR($B570="",$E570="",$F570="",$G570=""),"Preencher entrada/origem/vendedor/etapa",IF(AND(OR($P570="Ganho",$P570="Perdido"),$K570=""),"Falta data de fechamento",IF(AND($P570="Perdido",$L570=""),"Informe o motivo da perda","OK"))))</f>
        <v/>
      </c>
    </row>
    <row r="571" spans="1:20">
      <c r="A571" s="18">
        <f>IF($C571="","",ROW()-4)</f>
        <v/>
      </c>
      <c r="B571" s="19"/>
      <c r="C571" s="13"/>
      <c r="D571" s="13"/>
      <c r="E571" s="13"/>
      <c r="F571" s="13"/>
      <c r="G571" s="13"/>
      <c r="H571" s="15"/>
      <c r="I571" s="19"/>
      <c r="J571" s="19"/>
      <c r="K571" s="19"/>
      <c r="L571" s="13"/>
      <c r="M571" s="13"/>
      <c r="N571" s="20">
        <f>IF($C571="","",IFERROR(INDEX(EtapaProb,MATCH($G571,Etapas,0)),0))</f>
        <v/>
      </c>
      <c r="O571" s="21">
        <f>IF($C571="","",IF($P571="Aberto",N($H571)*$N571,0))</f>
        <v/>
      </c>
      <c r="P571" s="18">
        <f>IF($C571="","",IF($G571="Ganho","Ganho",IF($G571="Perdido","Perdido","Aberto")))</f>
        <v/>
      </c>
      <c r="Q571" s="18">
        <f>IF(OR($C571="",$P571&lt;&gt;"Aberto"),"",IF($I571="",Hoje-$B571,Hoje-$I571))</f>
        <v/>
      </c>
      <c r="R571" s="22">
        <f>IF(OR($C571="",$P571&lt;&gt;"Aberto"),"",IF($J571="",IF($Q571&gt;DiasSC,"ATRASADO","Definir data"),IF($J571&lt;Hoje,"ATRASADO",IF($J571=Hoje,"HOJE","Em dia"))))</f>
        <v/>
      </c>
      <c r="S571" s="23">
        <f>IF($R571="","",IF(OR($R571="ATRASADO",$R571="HOJE",$R571="Definir data"),COUNTIF($R$5:$R571,"ATRASADO")+COUNTIF($R$5:$R571,"HOJE")+COUNTIF($R$5:$R571,"Definir data"),""))</f>
        <v/>
      </c>
      <c r="T571" s="18">
        <f>IF($C571="","",IF(OR($B571="",$E571="",$F571="",$G571=""),"Preencher entrada/origem/vendedor/etapa",IF(AND(OR($P571="Ganho",$P571="Perdido"),$K571=""),"Falta data de fechamento",IF(AND($P571="Perdido",$L571=""),"Informe o motivo da perda","OK"))))</f>
        <v/>
      </c>
    </row>
    <row r="572" spans="1:20">
      <c r="A572" s="18">
        <f>IF($C572="","",ROW()-4)</f>
        <v/>
      </c>
      <c r="B572" s="19"/>
      <c r="C572" s="13"/>
      <c r="D572" s="13"/>
      <c r="E572" s="13"/>
      <c r="F572" s="13"/>
      <c r="G572" s="13"/>
      <c r="H572" s="15"/>
      <c r="I572" s="19"/>
      <c r="J572" s="19"/>
      <c r="K572" s="19"/>
      <c r="L572" s="13"/>
      <c r="M572" s="13"/>
      <c r="N572" s="20">
        <f>IF($C572="","",IFERROR(INDEX(EtapaProb,MATCH($G572,Etapas,0)),0))</f>
        <v/>
      </c>
      <c r="O572" s="21">
        <f>IF($C572="","",IF($P572="Aberto",N($H572)*$N572,0))</f>
        <v/>
      </c>
      <c r="P572" s="18">
        <f>IF($C572="","",IF($G572="Ganho","Ganho",IF($G572="Perdido","Perdido","Aberto")))</f>
        <v/>
      </c>
      <c r="Q572" s="18">
        <f>IF(OR($C572="",$P572&lt;&gt;"Aberto"),"",IF($I572="",Hoje-$B572,Hoje-$I572))</f>
        <v/>
      </c>
      <c r="R572" s="22">
        <f>IF(OR($C572="",$P572&lt;&gt;"Aberto"),"",IF($J572="",IF($Q572&gt;DiasSC,"ATRASADO","Definir data"),IF($J572&lt;Hoje,"ATRASADO",IF($J572=Hoje,"HOJE","Em dia"))))</f>
        <v/>
      </c>
      <c r="S572" s="23">
        <f>IF($R572="","",IF(OR($R572="ATRASADO",$R572="HOJE",$R572="Definir data"),COUNTIF($R$5:$R572,"ATRASADO")+COUNTIF($R$5:$R572,"HOJE")+COUNTIF($R$5:$R572,"Definir data"),""))</f>
        <v/>
      </c>
      <c r="T572" s="18">
        <f>IF($C572="","",IF(OR($B572="",$E572="",$F572="",$G572=""),"Preencher entrada/origem/vendedor/etapa",IF(AND(OR($P572="Ganho",$P572="Perdido"),$K572=""),"Falta data de fechamento",IF(AND($P572="Perdido",$L572=""),"Informe o motivo da perda","OK"))))</f>
        <v/>
      </c>
    </row>
    <row r="573" spans="1:20">
      <c r="A573" s="18">
        <f>IF($C573="","",ROW()-4)</f>
        <v/>
      </c>
      <c r="B573" s="19"/>
      <c r="C573" s="13"/>
      <c r="D573" s="13"/>
      <c r="E573" s="13"/>
      <c r="F573" s="13"/>
      <c r="G573" s="13"/>
      <c r="H573" s="15"/>
      <c r="I573" s="19"/>
      <c r="J573" s="19"/>
      <c r="K573" s="19"/>
      <c r="L573" s="13"/>
      <c r="M573" s="13"/>
      <c r="N573" s="20">
        <f>IF($C573="","",IFERROR(INDEX(EtapaProb,MATCH($G573,Etapas,0)),0))</f>
        <v/>
      </c>
      <c r="O573" s="21">
        <f>IF($C573="","",IF($P573="Aberto",N($H573)*$N573,0))</f>
        <v/>
      </c>
      <c r="P573" s="18">
        <f>IF($C573="","",IF($G573="Ganho","Ganho",IF($G573="Perdido","Perdido","Aberto")))</f>
        <v/>
      </c>
      <c r="Q573" s="18">
        <f>IF(OR($C573="",$P573&lt;&gt;"Aberto"),"",IF($I573="",Hoje-$B573,Hoje-$I573))</f>
        <v/>
      </c>
      <c r="R573" s="22">
        <f>IF(OR($C573="",$P573&lt;&gt;"Aberto"),"",IF($J573="",IF($Q573&gt;DiasSC,"ATRASADO","Definir data"),IF($J573&lt;Hoje,"ATRASADO",IF($J573=Hoje,"HOJE","Em dia"))))</f>
        <v/>
      </c>
      <c r="S573" s="23">
        <f>IF($R573="","",IF(OR($R573="ATRASADO",$R573="HOJE",$R573="Definir data"),COUNTIF($R$5:$R573,"ATRASADO")+COUNTIF($R$5:$R573,"HOJE")+COUNTIF($R$5:$R573,"Definir data"),""))</f>
        <v/>
      </c>
      <c r="T573" s="18">
        <f>IF($C573="","",IF(OR($B573="",$E573="",$F573="",$G573=""),"Preencher entrada/origem/vendedor/etapa",IF(AND(OR($P573="Ganho",$P573="Perdido"),$K573=""),"Falta data de fechamento",IF(AND($P573="Perdido",$L573=""),"Informe o motivo da perda","OK"))))</f>
        <v/>
      </c>
    </row>
    <row r="574" spans="1:20">
      <c r="A574" s="18">
        <f>IF($C574="","",ROW()-4)</f>
        <v/>
      </c>
      <c r="B574" s="19"/>
      <c r="C574" s="13"/>
      <c r="D574" s="13"/>
      <c r="E574" s="13"/>
      <c r="F574" s="13"/>
      <c r="G574" s="13"/>
      <c r="H574" s="15"/>
      <c r="I574" s="19"/>
      <c r="J574" s="19"/>
      <c r="K574" s="19"/>
      <c r="L574" s="13"/>
      <c r="M574" s="13"/>
      <c r="N574" s="20">
        <f>IF($C574="","",IFERROR(INDEX(EtapaProb,MATCH($G574,Etapas,0)),0))</f>
        <v/>
      </c>
      <c r="O574" s="21">
        <f>IF($C574="","",IF($P574="Aberto",N($H574)*$N574,0))</f>
        <v/>
      </c>
      <c r="P574" s="18">
        <f>IF($C574="","",IF($G574="Ganho","Ganho",IF($G574="Perdido","Perdido","Aberto")))</f>
        <v/>
      </c>
      <c r="Q574" s="18">
        <f>IF(OR($C574="",$P574&lt;&gt;"Aberto"),"",IF($I574="",Hoje-$B574,Hoje-$I574))</f>
        <v/>
      </c>
      <c r="R574" s="22">
        <f>IF(OR($C574="",$P574&lt;&gt;"Aberto"),"",IF($J574="",IF($Q574&gt;DiasSC,"ATRASADO","Definir data"),IF($J574&lt;Hoje,"ATRASADO",IF($J574=Hoje,"HOJE","Em dia"))))</f>
        <v/>
      </c>
      <c r="S574" s="23">
        <f>IF($R574="","",IF(OR($R574="ATRASADO",$R574="HOJE",$R574="Definir data"),COUNTIF($R$5:$R574,"ATRASADO")+COUNTIF($R$5:$R574,"HOJE")+COUNTIF($R$5:$R574,"Definir data"),""))</f>
        <v/>
      </c>
      <c r="T574" s="18">
        <f>IF($C574="","",IF(OR($B574="",$E574="",$F574="",$G574=""),"Preencher entrada/origem/vendedor/etapa",IF(AND(OR($P574="Ganho",$P574="Perdido"),$K574=""),"Falta data de fechamento",IF(AND($P574="Perdido",$L574=""),"Informe o motivo da perda","OK"))))</f>
        <v/>
      </c>
    </row>
    <row r="575" spans="1:20">
      <c r="A575" s="18">
        <f>IF($C575="","",ROW()-4)</f>
        <v/>
      </c>
      <c r="B575" s="19"/>
      <c r="C575" s="13"/>
      <c r="D575" s="13"/>
      <c r="E575" s="13"/>
      <c r="F575" s="13"/>
      <c r="G575" s="13"/>
      <c r="H575" s="15"/>
      <c r="I575" s="19"/>
      <c r="J575" s="19"/>
      <c r="K575" s="19"/>
      <c r="L575" s="13"/>
      <c r="M575" s="13"/>
      <c r="N575" s="20">
        <f>IF($C575="","",IFERROR(INDEX(EtapaProb,MATCH($G575,Etapas,0)),0))</f>
        <v/>
      </c>
      <c r="O575" s="21">
        <f>IF($C575="","",IF($P575="Aberto",N($H575)*$N575,0))</f>
        <v/>
      </c>
      <c r="P575" s="18">
        <f>IF($C575="","",IF($G575="Ganho","Ganho",IF($G575="Perdido","Perdido","Aberto")))</f>
        <v/>
      </c>
      <c r="Q575" s="18">
        <f>IF(OR($C575="",$P575&lt;&gt;"Aberto"),"",IF($I575="",Hoje-$B575,Hoje-$I575))</f>
        <v/>
      </c>
      <c r="R575" s="22">
        <f>IF(OR($C575="",$P575&lt;&gt;"Aberto"),"",IF($J575="",IF($Q575&gt;DiasSC,"ATRASADO","Definir data"),IF($J575&lt;Hoje,"ATRASADO",IF($J575=Hoje,"HOJE","Em dia"))))</f>
        <v/>
      </c>
      <c r="S575" s="23">
        <f>IF($R575="","",IF(OR($R575="ATRASADO",$R575="HOJE",$R575="Definir data"),COUNTIF($R$5:$R575,"ATRASADO")+COUNTIF($R$5:$R575,"HOJE")+COUNTIF($R$5:$R575,"Definir data"),""))</f>
        <v/>
      </c>
      <c r="T575" s="18">
        <f>IF($C575="","",IF(OR($B575="",$E575="",$F575="",$G575=""),"Preencher entrada/origem/vendedor/etapa",IF(AND(OR($P575="Ganho",$P575="Perdido"),$K575=""),"Falta data de fechamento",IF(AND($P575="Perdido",$L575=""),"Informe o motivo da perda","OK"))))</f>
        <v/>
      </c>
    </row>
    <row r="576" spans="1:20">
      <c r="A576" s="18">
        <f>IF($C576="","",ROW()-4)</f>
        <v/>
      </c>
      <c r="B576" s="19"/>
      <c r="C576" s="13"/>
      <c r="D576" s="13"/>
      <c r="E576" s="13"/>
      <c r="F576" s="13"/>
      <c r="G576" s="13"/>
      <c r="H576" s="15"/>
      <c r="I576" s="19"/>
      <c r="J576" s="19"/>
      <c r="K576" s="19"/>
      <c r="L576" s="13"/>
      <c r="M576" s="13"/>
      <c r="N576" s="20">
        <f>IF($C576="","",IFERROR(INDEX(EtapaProb,MATCH($G576,Etapas,0)),0))</f>
        <v/>
      </c>
      <c r="O576" s="21">
        <f>IF($C576="","",IF($P576="Aberto",N($H576)*$N576,0))</f>
        <v/>
      </c>
      <c r="P576" s="18">
        <f>IF($C576="","",IF($G576="Ganho","Ganho",IF($G576="Perdido","Perdido","Aberto")))</f>
        <v/>
      </c>
      <c r="Q576" s="18">
        <f>IF(OR($C576="",$P576&lt;&gt;"Aberto"),"",IF($I576="",Hoje-$B576,Hoje-$I576))</f>
        <v/>
      </c>
      <c r="R576" s="22">
        <f>IF(OR($C576="",$P576&lt;&gt;"Aberto"),"",IF($J576="",IF($Q576&gt;DiasSC,"ATRASADO","Definir data"),IF($J576&lt;Hoje,"ATRASADO",IF($J576=Hoje,"HOJE","Em dia"))))</f>
        <v/>
      </c>
      <c r="S576" s="23">
        <f>IF($R576="","",IF(OR($R576="ATRASADO",$R576="HOJE",$R576="Definir data"),COUNTIF($R$5:$R576,"ATRASADO")+COUNTIF($R$5:$R576,"HOJE")+COUNTIF($R$5:$R576,"Definir data"),""))</f>
        <v/>
      </c>
      <c r="T576" s="18">
        <f>IF($C576="","",IF(OR($B576="",$E576="",$F576="",$G576=""),"Preencher entrada/origem/vendedor/etapa",IF(AND(OR($P576="Ganho",$P576="Perdido"),$K576=""),"Falta data de fechamento",IF(AND($P576="Perdido",$L576=""),"Informe o motivo da perda","OK"))))</f>
        <v/>
      </c>
    </row>
    <row r="577" spans="1:20">
      <c r="A577" s="18">
        <f>IF($C577="","",ROW()-4)</f>
        <v/>
      </c>
      <c r="B577" s="19"/>
      <c r="C577" s="13"/>
      <c r="D577" s="13"/>
      <c r="E577" s="13"/>
      <c r="F577" s="13"/>
      <c r="G577" s="13"/>
      <c r="H577" s="15"/>
      <c r="I577" s="19"/>
      <c r="J577" s="19"/>
      <c r="K577" s="19"/>
      <c r="L577" s="13"/>
      <c r="M577" s="13"/>
      <c r="N577" s="20">
        <f>IF($C577="","",IFERROR(INDEX(EtapaProb,MATCH($G577,Etapas,0)),0))</f>
        <v/>
      </c>
      <c r="O577" s="21">
        <f>IF($C577="","",IF($P577="Aberto",N($H577)*$N577,0))</f>
        <v/>
      </c>
      <c r="P577" s="18">
        <f>IF($C577="","",IF($G577="Ganho","Ganho",IF($G577="Perdido","Perdido","Aberto")))</f>
        <v/>
      </c>
      <c r="Q577" s="18">
        <f>IF(OR($C577="",$P577&lt;&gt;"Aberto"),"",IF($I577="",Hoje-$B577,Hoje-$I577))</f>
        <v/>
      </c>
      <c r="R577" s="22">
        <f>IF(OR($C577="",$P577&lt;&gt;"Aberto"),"",IF($J577="",IF($Q577&gt;DiasSC,"ATRASADO","Definir data"),IF($J577&lt;Hoje,"ATRASADO",IF($J577=Hoje,"HOJE","Em dia"))))</f>
        <v/>
      </c>
      <c r="S577" s="23">
        <f>IF($R577="","",IF(OR($R577="ATRASADO",$R577="HOJE",$R577="Definir data"),COUNTIF($R$5:$R577,"ATRASADO")+COUNTIF($R$5:$R577,"HOJE")+COUNTIF($R$5:$R577,"Definir data"),""))</f>
        <v/>
      </c>
      <c r="T577" s="18">
        <f>IF($C577="","",IF(OR($B577="",$E577="",$F577="",$G577=""),"Preencher entrada/origem/vendedor/etapa",IF(AND(OR($P577="Ganho",$P577="Perdido"),$K577=""),"Falta data de fechamento",IF(AND($P577="Perdido",$L577=""),"Informe o motivo da perda","OK"))))</f>
        <v/>
      </c>
    </row>
    <row r="578" spans="1:20">
      <c r="A578" s="18">
        <f>IF($C578="","",ROW()-4)</f>
        <v/>
      </c>
      <c r="B578" s="19"/>
      <c r="C578" s="13"/>
      <c r="D578" s="13"/>
      <c r="E578" s="13"/>
      <c r="F578" s="13"/>
      <c r="G578" s="13"/>
      <c r="H578" s="15"/>
      <c r="I578" s="19"/>
      <c r="J578" s="19"/>
      <c r="K578" s="19"/>
      <c r="L578" s="13"/>
      <c r="M578" s="13"/>
      <c r="N578" s="20">
        <f>IF($C578="","",IFERROR(INDEX(EtapaProb,MATCH($G578,Etapas,0)),0))</f>
        <v/>
      </c>
      <c r="O578" s="21">
        <f>IF($C578="","",IF($P578="Aberto",N($H578)*$N578,0))</f>
        <v/>
      </c>
      <c r="P578" s="18">
        <f>IF($C578="","",IF($G578="Ganho","Ganho",IF($G578="Perdido","Perdido","Aberto")))</f>
        <v/>
      </c>
      <c r="Q578" s="18">
        <f>IF(OR($C578="",$P578&lt;&gt;"Aberto"),"",IF($I578="",Hoje-$B578,Hoje-$I578))</f>
        <v/>
      </c>
      <c r="R578" s="22">
        <f>IF(OR($C578="",$P578&lt;&gt;"Aberto"),"",IF($J578="",IF($Q578&gt;DiasSC,"ATRASADO","Definir data"),IF($J578&lt;Hoje,"ATRASADO",IF($J578=Hoje,"HOJE","Em dia"))))</f>
        <v/>
      </c>
      <c r="S578" s="23">
        <f>IF($R578="","",IF(OR($R578="ATRASADO",$R578="HOJE",$R578="Definir data"),COUNTIF($R$5:$R578,"ATRASADO")+COUNTIF($R$5:$R578,"HOJE")+COUNTIF($R$5:$R578,"Definir data"),""))</f>
        <v/>
      </c>
      <c r="T578" s="18">
        <f>IF($C578="","",IF(OR($B578="",$E578="",$F578="",$G578=""),"Preencher entrada/origem/vendedor/etapa",IF(AND(OR($P578="Ganho",$P578="Perdido"),$K578=""),"Falta data de fechamento",IF(AND($P578="Perdido",$L578=""),"Informe o motivo da perda","OK"))))</f>
        <v/>
      </c>
    </row>
    <row r="579" spans="1:20">
      <c r="A579" s="18">
        <f>IF($C579="","",ROW()-4)</f>
        <v/>
      </c>
      <c r="B579" s="19"/>
      <c r="C579" s="13"/>
      <c r="D579" s="13"/>
      <c r="E579" s="13"/>
      <c r="F579" s="13"/>
      <c r="G579" s="13"/>
      <c r="H579" s="15"/>
      <c r="I579" s="19"/>
      <c r="J579" s="19"/>
      <c r="K579" s="19"/>
      <c r="L579" s="13"/>
      <c r="M579" s="13"/>
      <c r="N579" s="20">
        <f>IF($C579="","",IFERROR(INDEX(EtapaProb,MATCH($G579,Etapas,0)),0))</f>
        <v/>
      </c>
      <c r="O579" s="21">
        <f>IF($C579="","",IF($P579="Aberto",N($H579)*$N579,0))</f>
        <v/>
      </c>
      <c r="P579" s="18">
        <f>IF($C579="","",IF($G579="Ganho","Ganho",IF($G579="Perdido","Perdido","Aberto")))</f>
        <v/>
      </c>
      <c r="Q579" s="18">
        <f>IF(OR($C579="",$P579&lt;&gt;"Aberto"),"",IF($I579="",Hoje-$B579,Hoje-$I579))</f>
        <v/>
      </c>
      <c r="R579" s="22">
        <f>IF(OR($C579="",$P579&lt;&gt;"Aberto"),"",IF($J579="",IF($Q579&gt;DiasSC,"ATRASADO","Definir data"),IF($J579&lt;Hoje,"ATRASADO",IF($J579=Hoje,"HOJE","Em dia"))))</f>
        <v/>
      </c>
      <c r="S579" s="23">
        <f>IF($R579="","",IF(OR($R579="ATRASADO",$R579="HOJE",$R579="Definir data"),COUNTIF($R$5:$R579,"ATRASADO")+COUNTIF($R$5:$R579,"HOJE")+COUNTIF($R$5:$R579,"Definir data"),""))</f>
        <v/>
      </c>
      <c r="T579" s="18">
        <f>IF($C579="","",IF(OR($B579="",$E579="",$F579="",$G579=""),"Preencher entrada/origem/vendedor/etapa",IF(AND(OR($P579="Ganho",$P579="Perdido"),$K579=""),"Falta data de fechamento",IF(AND($P579="Perdido",$L579=""),"Informe o motivo da perda","OK"))))</f>
        <v/>
      </c>
    </row>
    <row r="580" spans="1:20">
      <c r="A580" s="18">
        <f>IF($C580="","",ROW()-4)</f>
        <v/>
      </c>
      <c r="B580" s="19"/>
      <c r="C580" s="13"/>
      <c r="D580" s="13"/>
      <c r="E580" s="13"/>
      <c r="F580" s="13"/>
      <c r="G580" s="13"/>
      <c r="H580" s="15"/>
      <c r="I580" s="19"/>
      <c r="J580" s="19"/>
      <c r="K580" s="19"/>
      <c r="L580" s="13"/>
      <c r="M580" s="13"/>
      <c r="N580" s="20">
        <f>IF($C580="","",IFERROR(INDEX(EtapaProb,MATCH($G580,Etapas,0)),0))</f>
        <v/>
      </c>
      <c r="O580" s="21">
        <f>IF($C580="","",IF($P580="Aberto",N($H580)*$N580,0))</f>
        <v/>
      </c>
      <c r="P580" s="18">
        <f>IF($C580="","",IF($G580="Ganho","Ganho",IF($G580="Perdido","Perdido","Aberto")))</f>
        <v/>
      </c>
      <c r="Q580" s="18">
        <f>IF(OR($C580="",$P580&lt;&gt;"Aberto"),"",IF($I580="",Hoje-$B580,Hoje-$I580))</f>
        <v/>
      </c>
      <c r="R580" s="22">
        <f>IF(OR($C580="",$P580&lt;&gt;"Aberto"),"",IF($J580="",IF($Q580&gt;DiasSC,"ATRASADO","Definir data"),IF($J580&lt;Hoje,"ATRASADO",IF($J580=Hoje,"HOJE","Em dia"))))</f>
        <v/>
      </c>
      <c r="S580" s="23">
        <f>IF($R580="","",IF(OR($R580="ATRASADO",$R580="HOJE",$R580="Definir data"),COUNTIF($R$5:$R580,"ATRASADO")+COUNTIF($R$5:$R580,"HOJE")+COUNTIF($R$5:$R580,"Definir data"),""))</f>
        <v/>
      </c>
      <c r="T580" s="18">
        <f>IF($C580="","",IF(OR($B580="",$E580="",$F580="",$G580=""),"Preencher entrada/origem/vendedor/etapa",IF(AND(OR($P580="Ganho",$P580="Perdido"),$K580=""),"Falta data de fechamento",IF(AND($P580="Perdido",$L580=""),"Informe o motivo da perda","OK"))))</f>
        <v/>
      </c>
    </row>
    <row r="581" spans="1:20">
      <c r="A581" s="18">
        <f>IF($C581="","",ROW()-4)</f>
        <v/>
      </c>
      <c r="B581" s="19"/>
      <c r="C581" s="13"/>
      <c r="D581" s="13"/>
      <c r="E581" s="13"/>
      <c r="F581" s="13"/>
      <c r="G581" s="13"/>
      <c r="H581" s="15"/>
      <c r="I581" s="19"/>
      <c r="J581" s="19"/>
      <c r="K581" s="19"/>
      <c r="L581" s="13"/>
      <c r="M581" s="13"/>
      <c r="N581" s="20">
        <f>IF($C581="","",IFERROR(INDEX(EtapaProb,MATCH($G581,Etapas,0)),0))</f>
        <v/>
      </c>
      <c r="O581" s="21">
        <f>IF($C581="","",IF($P581="Aberto",N($H581)*$N581,0))</f>
        <v/>
      </c>
      <c r="P581" s="18">
        <f>IF($C581="","",IF($G581="Ganho","Ganho",IF($G581="Perdido","Perdido","Aberto")))</f>
        <v/>
      </c>
      <c r="Q581" s="18">
        <f>IF(OR($C581="",$P581&lt;&gt;"Aberto"),"",IF($I581="",Hoje-$B581,Hoje-$I581))</f>
        <v/>
      </c>
      <c r="R581" s="22">
        <f>IF(OR($C581="",$P581&lt;&gt;"Aberto"),"",IF($J581="",IF($Q581&gt;DiasSC,"ATRASADO","Definir data"),IF($J581&lt;Hoje,"ATRASADO",IF($J581=Hoje,"HOJE","Em dia"))))</f>
        <v/>
      </c>
      <c r="S581" s="23">
        <f>IF($R581="","",IF(OR($R581="ATRASADO",$R581="HOJE",$R581="Definir data"),COUNTIF($R$5:$R581,"ATRASADO")+COUNTIF($R$5:$R581,"HOJE")+COUNTIF($R$5:$R581,"Definir data"),""))</f>
        <v/>
      </c>
      <c r="T581" s="18">
        <f>IF($C581="","",IF(OR($B581="",$E581="",$F581="",$G581=""),"Preencher entrada/origem/vendedor/etapa",IF(AND(OR($P581="Ganho",$P581="Perdido"),$K581=""),"Falta data de fechamento",IF(AND($P581="Perdido",$L581=""),"Informe o motivo da perda","OK"))))</f>
        <v/>
      </c>
    </row>
    <row r="582" spans="1:20">
      <c r="A582" s="18">
        <f>IF($C582="","",ROW()-4)</f>
        <v/>
      </c>
      <c r="B582" s="19"/>
      <c r="C582" s="13"/>
      <c r="D582" s="13"/>
      <c r="E582" s="13"/>
      <c r="F582" s="13"/>
      <c r="G582" s="13"/>
      <c r="H582" s="15"/>
      <c r="I582" s="19"/>
      <c r="J582" s="19"/>
      <c r="K582" s="19"/>
      <c r="L582" s="13"/>
      <c r="M582" s="13"/>
      <c r="N582" s="20">
        <f>IF($C582="","",IFERROR(INDEX(EtapaProb,MATCH($G582,Etapas,0)),0))</f>
        <v/>
      </c>
      <c r="O582" s="21">
        <f>IF($C582="","",IF($P582="Aberto",N($H582)*$N582,0))</f>
        <v/>
      </c>
      <c r="P582" s="18">
        <f>IF($C582="","",IF($G582="Ganho","Ganho",IF($G582="Perdido","Perdido","Aberto")))</f>
        <v/>
      </c>
      <c r="Q582" s="18">
        <f>IF(OR($C582="",$P582&lt;&gt;"Aberto"),"",IF($I582="",Hoje-$B582,Hoje-$I582))</f>
        <v/>
      </c>
      <c r="R582" s="22">
        <f>IF(OR($C582="",$P582&lt;&gt;"Aberto"),"",IF($J582="",IF($Q582&gt;DiasSC,"ATRASADO","Definir data"),IF($J582&lt;Hoje,"ATRASADO",IF($J582=Hoje,"HOJE","Em dia"))))</f>
        <v/>
      </c>
      <c r="S582" s="23">
        <f>IF($R582="","",IF(OR($R582="ATRASADO",$R582="HOJE",$R582="Definir data"),COUNTIF($R$5:$R582,"ATRASADO")+COUNTIF($R$5:$R582,"HOJE")+COUNTIF($R$5:$R582,"Definir data"),""))</f>
        <v/>
      </c>
      <c r="T582" s="18">
        <f>IF($C582="","",IF(OR($B582="",$E582="",$F582="",$G582=""),"Preencher entrada/origem/vendedor/etapa",IF(AND(OR($P582="Ganho",$P582="Perdido"),$K582=""),"Falta data de fechamento",IF(AND($P582="Perdido",$L582=""),"Informe o motivo da perda","OK"))))</f>
        <v/>
      </c>
    </row>
    <row r="583" spans="1:20">
      <c r="A583" s="18">
        <f>IF($C583="","",ROW()-4)</f>
        <v/>
      </c>
      <c r="B583" s="19"/>
      <c r="C583" s="13"/>
      <c r="D583" s="13"/>
      <c r="E583" s="13"/>
      <c r="F583" s="13"/>
      <c r="G583" s="13"/>
      <c r="H583" s="15"/>
      <c r="I583" s="19"/>
      <c r="J583" s="19"/>
      <c r="K583" s="19"/>
      <c r="L583" s="13"/>
      <c r="M583" s="13"/>
      <c r="N583" s="20">
        <f>IF($C583="","",IFERROR(INDEX(EtapaProb,MATCH($G583,Etapas,0)),0))</f>
        <v/>
      </c>
      <c r="O583" s="21">
        <f>IF($C583="","",IF($P583="Aberto",N($H583)*$N583,0))</f>
        <v/>
      </c>
      <c r="P583" s="18">
        <f>IF($C583="","",IF($G583="Ganho","Ganho",IF($G583="Perdido","Perdido","Aberto")))</f>
        <v/>
      </c>
      <c r="Q583" s="18">
        <f>IF(OR($C583="",$P583&lt;&gt;"Aberto"),"",IF($I583="",Hoje-$B583,Hoje-$I583))</f>
        <v/>
      </c>
      <c r="R583" s="22">
        <f>IF(OR($C583="",$P583&lt;&gt;"Aberto"),"",IF($J583="",IF($Q583&gt;DiasSC,"ATRASADO","Definir data"),IF($J583&lt;Hoje,"ATRASADO",IF($J583=Hoje,"HOJE","Em dia"))))</f>
        <v/>
      </c>
      <c r="S583" s="23">
        <f>IF($R583="","",IF(OR($R583="ATRASADO",$R583="HOJE",$R583="Definir data"),COUNTIF($R$5:$R583,"ATRASADO")+COUNTIF($R$5:$R583,"HOJE")+COUNTIF($R$5:$R583,"Definir data"),""))</f>
        <v/>
      </c>
      <c r="T583" s="18">
        <f>IF($C583="","",IF(OR($B583="",$E583="",$F583="",$G583=""),"Preencher entrada/origem/vendedor/etapa",IF(AND(OR($P583="Ganho",$P583="Perdido"),$K583=""),"Falta data de fechamento",IF(AND($P583="Perdido",$L583=""),"Informe o motivo da perda","OK"))))</f>
        <v/>
      </c>
    </row>
    <row r="584" spans="1:20">
      <c r="A584" s="18">
        <f>IF($C584="","",ROW()-4)</f>
        <v/>
      </c>
      <c r="B584" s="19"/>
      <c r="C584" s="13"/>
      <c r="D584" s="13"/>
      <c r="E584" s="13"/>
      <c r="F584" s="13"/>
      <c r="G584" s="13"/>
      <c r="H584" s="15"/>
      <c r="I584" s="19"/>
      <c r="J584" s="19"/>
      <c r="K584" s="19"/>
      <c r="L584" s="13"/>
      <c r="M584" s="13"/>
      <c r="N584" s="20">
        <f>IF($C584="","",IFERROR(INDEX(EtapaProb,MATCH($G584,Etapas,0)),0))</f>
        <v/>
      </c>
      <c r="O584" s="21">
        <f>IF($C584="","",IF($P584="Aberto",N($H584)*$N584,0))</f>
        <v/>
      </c>
      <c r="P584" s="18">
        <f>IF($C584="","",IF($G584="Ganho","Ganho",IF($G584="Perdido","Perdido","Aberto")))</f>
        <v/>
      </c>
      <c r="Q584" s="18">
        <f>IF(OR($C584="",$P584&lt;&gt;"Aberto"),"",IF($I584="",Hoje-$B584,Hoje-$I584))</f>
        <v/>
      </c>
      <c r="R584" s="22">
        <f>IF(OR($C584="",$P584&lt;&gt;"Aberto"),"",IF($J584="",IF($Q584&gt;DiasSC,"ATRASADO","Definir data"),IF($J584&lt;Hoje,"ATRASADO",IF($J584=Hoje,"HOJE","Em dia"))))</f>
        <v/>
      </c>
      <c r="S584" s="23">
        <f>IF($R584="","",IF(OR($R584="ATRASADO",$R584="HOJE",$R584="Definir data"),COUNTIF($R$5:$R584,"ATRASADO")+COUNTIF($R$5:$R584,"HOJE")+COUNTIF($R$5:$R584,"Definir data"),""))</f>
        <v/>
      </c>
      <c r="T584" s="18">
        <f>IF($C584="","",IF(OR($B584="",$E584="",$F584="",$G584=""),"Preencher entrada/origem/vendedor/etapa",IF(AND(OR($P584="Ganho",$P584="Perdido"),$K584=""),"Falta data de fechamento",IF(AND($P584="Perdido",$L584=""),"Informe o motivo da perda","OK"))))</f>
        <v/>
      </c>
    </row>
    <row r="585" spans="1:20">
      <c r="A585" s="18">
        <f>IF($C585="","",ROW()-4)</f>
        <v/>
      </c>
      <c r="B585" s="19"/>
      <c r="C585" s="13"/>
      <c r="D585" s="13"/>
      <c r="E585" s="13"/>
      <c r="F585" s="13"/>
      <c r="G585" s="13"/>
      <c r="H585" s="15"/>
      <c r="I585" s="19"/>
      <c r="J585" s="19"/>
      <c r="K585" s="19"/>
      <c r="L585" s="13"/>
      <c r="M585" s="13"/>
      <c r="N585" s="20">
        <f>IF($C585="","",IFERROR(INDEX(EtapaProb,MATCH($G585,Etapas,0)),0))</f>
        <v/>
      </c>
      <c r="O585" s="21">
        <f>IF($C585="","",IF($P585="Aberto",N($H585)*$N585,0))</f>
        <v/>
      </c>
      <c r="P585" s="18">
        <f>IF($C585="","",IF($G585="Ganho","Ganho",IF($G585="Perdido","Perdido","Aberto")))</f>
        <v/>
      </c>
      <c r="Q585" s="18">
        <f>IF(OR($C585="",$P585&lt;&gt;"Aberto"),"",IF($I585="",Hoje-$B585,Hoje-$I585))</f>
        <v/>
      </c>
      <c r="R585" s="22">
        <f>IF(OR($C585="",$P585&lt;&gt;"Aberto"),"",IF($J585="",IF($Q585&gt;DiasSC,"ATRASADO","Definir data"),IF($J585&lt;Hoje,"ATRASADO",IF($J585=Hoje,"HOJE","Em dia"))))</f>
        <v/>
      </c>
      <c r="S585" s="23">
        <f>IF($R585="","",IF(OR($R585="ATRASADO",$R585="HOJE",$R585="Definir data"),COUNTIF($R$5:$R585,"ATRASADO")+COUNTIF($R$5:$R585,"HOJE")+COUNTIF($R$5:$R585,"Definir data"),""))</f>
        <v/>
      </c>
      <c r="T585" s="18">
        <f>IF($C585="","",IF(OR($B585="",$E585="",$F585="",$G585=""),"Preencher entrada/origem/vendedor/etapa",IF(AND(OR($P585="Ganho",$P585="Perdido"),$K585=""),"Falta data de fechamento",IF(AND($P585="Perdido",$L585=""),"Informe o motivo da perda","OK"))))</f>
        <v/>
      </c>
    </row>
    <row r="586" spans="1:20">
      <c r="A586" s="18">
        <f>IF($C586="","",ROW()-4)</f>
        <v/>
      </c>
      <c r="B586" s="19"/>
      <c r="C586" s="13"/>
      <c r="D586" s="13"/>
      <c r="E586" s="13"/>
      <c r="F586" s="13"/>
      <c r="G586" s="13"/>
      <c r="H586" s="15"/>
      <c r="I586" s="19"/>
      <c r="J586" s="19"/>
      <c r="K586" s="19"/>
      <c r="L586" s="13"/>
      <c r="M586" s="13"/>
      <c r="N586" s="20">
        <f>IF($C586="","",IFERROR(INDEX(EtapaProb,MATCH($G586,Etapas,0)),0))</f>
        <v/>
      </c>
      <c r="O586" s="21">
        <f>IF($C586="","",IF($P586="Aberto",N($H586)*$N586,0))</f>
        <v/>
      </c>
      <c r="P586" s="18">
        <f>IF($C586="","",IF($G586="Ganho","Ganho",IF($G586="Perdido","Perdido","Aberto")))</f>
        <v/>
      </c>
      <c r="Q586" s="18">
        <f>IF(OR($C586="",$P586&lt;&gt;"Aberto"),"",IF($I586="",Hoje-$B586,Hoje-$I586))</f>
        <v/>
      </c>
      <c r="R586" s="22">
        <f>IF(OR($C586="",$P586&lt;&gt;"Aberto"),"",IF($J586="",IF($Q586&gt;DiasSC,"ATRASADO","Definir data"),IF($J586&lt;Hoje,"ATRASADO",IF($J586=Hoje,"HOJE","Em dia"))))</f>
        <v/>
      </c>
      <c r="S586" s="23">
        <f>IF($R586="","",IF(OR($R586="ATRASADO",$R586="HOJE",$R586="Definir data"),COUNTIF($R$5:$R586,"ATRASADO")+COUNTIF($R$5:$R586,"HOJE")+COUNTIF($R$5:$R586,"Definir data"),""))</f>
        <v/>
      </c>
      <c r="T586" s="18">
        <f>IF($C586="","",IF(OR($B586="",$E586="",$F586="",$G586=""),"Preencher entrada/origem/vendedor/etapa",IF(AND(OR($P586="Ganho",$P586="Perdido"),$K586=""),"Falta data de fechamento",IF(AND($P586="Perdido",$L586=""),"Informe o motivo da perda","OK"))))</f>
        <v/>
      </c>
    </row>
    <row r="587" spans="1:20">
      <c r="A587" s="18">
        <f>IF($C587="","",ROW()-4)</f>
        <v/>
      </c>
      <c r="B587" s="19"/>
      <c r="C587" s="13"/>
      <c r="D587" s="13"/>
      <c r="E587" s="13"/>
      <c r="F587" s="13"/>
      <c r="G587" s="13"/>
      <c r="H587" s="15"/>
      <c r="I587" s="19"/>
      <c r="J587" s="19"/>
      <c r="K587" s="19"/>
      <c r="L587" s="13"/>
      <c r="M587" s="13"/>
      <c r="N587" s="20">
        <f>IF($C587="","",IFERROR(INDEX(EtapaProb,MATCH($G587,Etapas,0)),0))</f>
        <v/>
      </c>
      <c r="O587" s="21">
        <f>IF($C587="","",IF($P587="Aberto",N($H587)*$N587,0))</f>
        <v/>
      </c>
      <c r="P587" s="18">
        <f>IF($C587="","",IF($G587="Ganho","Ganho",IF($G587="Perdido","Perdido","Aberto")))</f>
        <v/>
      </c>
      <c r="Q587" s="18">
        <f>IF(OR($C587="",$P587&lt;&gt;"Aberto"),"",IF($I587="",Hoje-$B587,Hoje-$I587))</f>
        <v/>
      </c>
      <c r="R587" s="22">
        <f>IF(OR($C587="",$P587&lt;&gt;"Aberto"),"",IF($J587="",IF($Q587&gt;DiasSC,"ATRASADO","Definir data"),IF($J587&lt;Hoje,"ATRASADO",IF($J587=Hoje,"HOJE","Em dia"))))</f>
        <v/>
      </c>
      <c r="S587" s="23">
        <f>IF($R587="","",IF(OR($R587="ATRASADO",$R587="HOJE",$R587="Definir data"),COUNTIF($R$5:$R587,"ATRASADO")+COUNTIF($R$5:$R587,"HOJE")+COUNTIF($R$5:$R587,"Definir data"),""))</f>
        <v/>
      </c>
      <c r="T587" s="18">
        <f>IF($C587="","",IF(OR($B587="",$E587="",$F587="",$G587=""),"Preencher entrada/origem/vendedor/etapa",IF(AND(OR($P587="Ganho",$P587="Perdido"),$K587=""),"Falta data de fechamento",IF(AND($P587="Perdido",$L587=""),"Informe o motivo da perda","OK"))))</f>
        <v/>
      </c>
    </row>
    <row r="588" spans="1:20">
      <c r="A588" s="18">
        <f>IF($C588="","",ROW()-4)</f>
        <v/>
      </c>
      <c r="B588" s="19"/>
      <c r="C588" s="13"/>
      <c r="D588" s="13"/>
      <c r="E588" s="13"/>
      <c r="F588" s="13"/>
      <c r="G588" s="13"/>
      <c r="H588" s="15"/>
      <c r="I588" s="19"/>
      <c r="J588" s="19"/>
      <c r="K588" s="19"/>
      <c r="L588" s="13"/>
      <c r="M588" s="13"/>
      <c r="N588" s="20">
        <f>IF($C588="","",IFERROR(INDEX(EtapaProb,MATCH($G588,Etapas,0)),0))</f>
        <v/>
      </c>
      <c r="O588" s="21">
        <f>IF($C588="","",IF($P588="Aberto",N($H588)*$N588,0))</f>
        <v/>
      </c>
      <c r="P588" s="18">
        <f>IF($C588="","",IF($G588="Ganho","Ganho",IF($G588="Perdido","Perdido","Aberto")))</f>
        <v/>
      </c>
      <c r="Q588" s="18">
        <f>IF(OR($C588="",$P588&lt;&gt;"Aberto"),"",IF($I588="",Hoje-$B588,Hoje-$I588))</f>
        <v/>
      </c>
      <c r="R588" s="22">
        <f>IF(OR($C588="",$P588&lt;&gt;"Aberto"),"",IF($J588="",IF($Q588&gt;DiasSC,"ATRASADO","Definir data"),IF($J588&lt;Hoje,"ATRASADO",IF($J588=Hoje,"HOJE","Em dia"))))</f>
        <v/>
      </c>
      <c r="S588" s="23">
        <f>IF($R588="","",IF(OR($R588="ATRASADO",$R588="HOJE",$R588="Definir data"),COUNTIF($R$5:$R588,"ATRASADO")+COUNTIF($R$5:$R588,"HOJE")+COUNTIF($R$5:$R588,"Definir data"),""))</f>
        <v/>
      </c>
      <c r="T588" s="18">
        <f>IF($C588="","",IF(OR($B588="",$E588="",$F588="",$G588=""),"Preencher entrada/origem/vendedor/etapa",IF(AND(OR($P588="Ganho",$P588="Perdido"),$K588=""),"Falta data de fechamento",IF(AND($P588="Perdido",$L588=""),"Informe o motivo da perda","OK"))))</f>
        <v/>
      </c>
    </row>
    <row r="589" spans="1:20">
      <c r="A589" s="18">
        <f>IF($C589="","",ROW()-4)</f>
        <v/>
      </c>
      <c r="B589" s="19"/>
      <c r="C589" s="13"/>
      <c r="D589" s="13"/>
      <c r="E589" s="13"/>
      <c r="F589" s="13"/>
      <c r="G589" s="13"/>
      <c r="H589" s="15"/>
      <c r="I589" s="19"/>
      <c r="J589" s="19"/>
      <c r="K589" s="19"/>
      <c r="L589" s="13"/>
      <c r="M589" s="13"/>
      <c r="N589" s="20">
        <f>IF($C589="","",IFERROR(INDEX(EtapaProb,MATCH($G589,Etapas,0)),0))</f>
        <v/>
      </c>
      <c r="O589" s="21">
        <f>IF($C589="","",IF($P589="Aberto",N($H589)*$N589,0))</f>
        <v/>
      </c>
      <c r="P589" s="18">
        <f>IF($C589="","",IF($G589="Ganho","Ganho",IF($G589="Perdido","Perdido","Aberto")))</f>
        <v/>
      </c>
      <c r="Q589" s="18">
        <f>IF(OR($C589="",$P589&lt;&gt;"Aberto"),"",IF($I589="",Hoje-$B589,Hoje-$I589))</f>
        <v/>
      </c>
      <c r="R589" s="22">
        <f>IF(OR($C589="",$P589&lt;&gt;"Aberto"),"",IF($J589="",IF($Q589&gt;DiasSC,"ATRASADO","Definir data"),IF($J589&lt;Hoje,"ATRASADO",IF($J589=Hoje,"HOJE","Em dia"))))</f>
        <v/>
      </c>
      <c r="S589" s="23">
        <f>IF($R589="","",IF(OR($R589="ATRASADO",$R589="HOJE",$R589="Definir data"),COUNTIF($R$5:$R589,"ATRASADO")+COUNTIF($R$5:$R589,"HOJE")+COUNTIF($R$5:$R589,"Definir data"),""))</f>
        <v/>
      </c>
      <c r="T589" s="18">
        <f>IF($C589="","",IF(OR($B589="",$E589="",$F589="",$G589=""),"Preencher entrada/origem/vendedor/etapa",IF(AND(OR($P589="Ganho",$P589="Perdido"),$K589=""),"Falta data de fechamento",IF(AND($P589="Perdido",$L589=""),"Informe o motivo da perda","OK"))))</f>
        <v/>
      </c>
    </row>
    <row r="590" spans="1:20">
      <c r="A590" s="18">
        <f>IF($C590="","",ROW()-4)</f>
        <v/>
      </c>
      <c r="B590" s="19"/>
      <c r="C590" s="13"/>
      <c r="D590" s="13"/>
      <c r="E590" s="13"/>
      <c r="F590" s="13"/>
      <c r="G590" s="13"/>
      <c r="H590" s="15"/>
      <c r="I590" s="19"/>
      <c r="J590" s="19"/>
      <c r="K590" s="19"/>
      <c r="L590" s="13"/>
      <c r="M590" s="13"/>
      <c r="N590" s="20">
        <f>IF($C590="","",IFERROR(INDEX(EtapaProb,MATCH($G590,Etapas,0)),0))</f>
        <v/>
      </c>
      <c r="O590" s="21">
        <f>IF($C590="","",IF($P590="Aberto",N($H590)*$N590,0))</f>
        <v/>
      </c>
      <c r="P590" s="18">
        <f>IF($C590="","",IF($G590="Ganho","Ganho",IF($G590="Perdido","Perdido","Aberto")))</f>
        <v/>
      </c>
      <c r="Q590" s="18">
        <f>IF(OR($C590="",$P590&lt;&gt;"Aberto"),"",IF($I590="",Hoje-$B590,Hoje-$I590))</f>
        <v/>
      </c>
      <c r="R590" s="22">
        <f>IF(OR($C590="",$P590&lt;&gt;"Aberto"),"",IF($J590="",IF($Q590&gt;DiasSC,"ATRASADO","Definir data"),IF($J590&lt;Hoje,"ATRASADO",IF($J590=Hoje,"HOJE","Em dia"))))</f>
        <v/>
      </c>
      <c r="S590" s="23">
        <f>IF($R590="","",IF(OR($R590="ATRASADO",$R590="HOJE",$R590="Definir data"),COUNTIF($R$5:$R590,"ATRASADO")+COUNTIF($R$5:$R590,"HOJE")+COUNTIF($R$5:$R590,"Definir data"),""))</f>
        <v/>
      </c>
      <c r="T590" s="18">
        <f>IF($C590="","",IF(OR($B590="",$E590="",$F590="",$G590=""),"Preencher entrada/origem/vendedor/etapa",IF(AND(OR($P590="Ganho",$P590="Perdido"),$K590=""),"Falta data de fechamento",IF(AND($P590="Perdido",$L590=""),"Informe o motivo da perda","OK"))))</f>
        <v/>
      </c>
    </row>
    <row r="591" spans="1:20">
      <c r="A591" s="18">
        <f>IF($C591="","",ROW()-4)</f>
        <v/>
      </c>
      <c r="B591" s="19"/>
      <c r="C591" s="13"/>
      <c r="D591" s="13"/>
      <c r="E591" s="13"/>
      <c r="F591" s="13"/>
      <c r="G591" s="13"/>
      <c r="H591" s="15"/>
      <c r="I591" s="19"/>
      <c r="J591" s="19"/>
      <c r="K591" s="19"/>
      <c r="L591" s="13"/>
      <c r="M591" s="13"/>
      <c r="N591" s="20">
        <f>IF($C591="","",IFERROR(INDEX(EtapaProb,MATCH($G591,Etapas,0)),0))</f>
        <v/>
      </c>
      <c r="O591" s="21">
        <f>IF($C591="","",IF($P591="Aberto",N($H591)*$N591,0))</f>
        <v/>
      </c>
      <c r="P591" s="18">
        <f>IF($C591="","",IF($G591="Ganho","Ganho",IF($G591="Perdido","Perdido","Aberto")))</f>
        <v/>
      </c>
      <c r="Q591" s="18">
        <f>IF(OR($C591="",$P591&lt;&gt;"Aberto"),"",IF($I591="",Hoje-$B591,Hoje-$I591))</f>
        <v/>
      </c>
      <c r="R591" s="22">
        <f>IF(OR($C591="",$P591&lt;&gt;"Aberto"),"",IF($J591="",IF($Q591&gt;DiasSC,"ATRASADO","Definir data"),IF($J591&lt;Hoje,"ATRASADO",IF($J591=Hoje,"HOJE","Em dia"))))</f>
        <v/>
      </c>
      <c r="S591" s="23">
        <f>IF($R591="","",IF(OR($R591="ATRASADO",$R591="HOJE",$R591="Definir data"),COUNTIF($R$5:$R591,"ATRASADO")+COUNTIF($R$5:$R591,"HOJE")+COUNTIF($R$5:$R591,"Definir data"),""))</f>
        <v/>
      </c>
      <c r="T591" s="18">
        <f>IF($C591="","",IF(OR($B591="",$E591="",$F591="",$G591=""),"Preencher entrada/origem/vendedor/etapa",IF(AND(OR($P591="Ganho",$P591="Perdido"),$K591=""),"Falta data de fechamento",IF(AND($P591="Perdido",$L591=""),"Informe o motivo da perda","OK"))))</f>
        <v/>
      </c>
    </row>
    <row r="592" spans="1:20">
      <c r="A592" s="18">
        <f>IF($C592="","",ROW()-4)</f>
        <v/>
      </c>
      <c r="B592" s="19"/>
      <c r="C592" s="13"/>
      <c r="D592" s="13"/>
      <c r="E592" s="13"/>
      <c r="F592" s="13"/>
      <c r="G592" s="13"/>
      <c r="H592" s="15"/>
      <c r="I592" s="19"/>
      <c r="J592" s="19"/>
      <c r="K592" s="19"/>
      <c r="L592" s="13"/>
      <c r="M592" s="13"/>
      <c r="N592" s="20">
        <f>IF($C592="","",IFERROR(INDEX(EtapaProb,MATCH($G592,Etapas,0)),0))</f>
        <v/>
      </c>
      <c r="O592" s="21">
        <f>IF($C592="","",IF($P592="Aberto",N($H592)*$N592,0))</f>
        <v/>
      </c>
      <c r="P592" s="18">
        <f>IF($C592="","",IF($G592="Ganho","Ganho",IF($G592="Perdido","Perdido","Aberto")))</f>
        <v/>
      </c>
      <c r="Q592" s="18">
        <f>IF(OR($C592="",$P592&lt;&gt;"Aberto"),"",IF($I592="",Hoje-$B592,Hoje-$I592))</f>
        <v/>
      </c>
      <c r="R592" s="22">
        <f>IF(OR($C592="",$P592&lt;&gt;"Aberto"),"",IF($J592="",IF($Q592&gt;DiasSC,"ATRASADO","Definir data"),IF($J592&lt;Hoje,"ATRASADO",IF($J592=Hoje,"HOJE","Em dia"))))</f>
        <v/>
      </c>
      <c r="S592" s="23">
        <f>IF($R592="","",IF(OR($R592="ATRASADO",$R592="HOJE",$R592="Definir data"),COUNTIF($R$5:$R592,"ATRASADO")+COUNTIF($R$5:$R592,"HOJE")+COUNTIF($R$5:$R592,"Definir data"),""))</f>
        <v/>
      </c>
      <c r="T592" s="18">
        <f>IF($C592="","",IF(OR($B592="",$E592="",$F592="",$G592=""),"Preencher entrada/origem/vendedor/etapa",IF(AND(OR($P592="Ganho",$P592="Perdido"),$K592=""),"Falta data de fechamento",IF(AND($P592="Perdido",$L592=""),"Informe o motivo da perda","OK"))))</f>
        <v/>
      </c>
    </row>
    <row r="593" spans="1:20">
      <c r="A593" s="18">
        <f>IF($C593="","",ROW()-4)</f>
        <v/>
      </c>
      <c r="B593" s="19"/>
      <c r="C593" s="13"/>
      <c r="D593" s="13"/>
      <c r="E593" s="13"/>
      <c r="F593" s="13"/>
      <c r="G593" s="13"/>
      <c r="H593" s="15"/>
      <c r="I593" s="19"/>
      <c r="J593" s="19"/>
      <c r="K593" s="19"/>
      <c r="L593" s="13"/>
      <c r="M593" s="13"/>
      <c r="N593" s="20">
        <f>IF($C593="","",IFERROR(INDEX(EtapaProb,MATCH($G593,Etapas,0)),0))</f>
        <v/>
      </c>
      <c r="O593" s="21">
        <f>IF($C593="","",IF($P593="Aberto",N($H593)*$N593,0))</f>
        <v/>
      </c>
      <c r="P593" s="18">
        <f>IF($C593="","",IF($G593="Ganho","Ganho",IF($G593="Perdido","Perdido","Aberto")))</f>
        <v/>
      </c>
      <c r="Q593" s="18">
        <f>IF(OR($C593="",$P593&lt;&gt;"Aberto"),"",IF($I593="",Hoje-$B593,Hoje-$I593))</f>
        <v/>
      </c>
      <c r="R593" s="22">
        <f>IF(OR($C593="",$P593&lt;&gt;"Aberto"),"",IF($J593="",IF($Q593&gt;DiasSC,"ATRASADO","Definir data"),IF($J593&lt;Hoje,"ATRASADO",IF($J593=Hoje,"HOJE","Em dia"))))</f>
        <v/>
      </c>
      <c r="S593" s="23">
        <f>IF($R593="","",IF(OR($R593="ATRASADO",$R593="HOJE",$R593="Definir data"),COUNTIF($R$5:$R593,"ATRASADO")+COUNTIF($R$5:$R593,"HOJE")+COUNTIF($R$5:$R593,"Definir data"),""))</f>
        <v/>
      </c>
      <c r="T593" s="18">
        <f>IF($C593="","",IF(OR($B593="",$E593="",$F593="",$G593=""),"Preencher entrada/origem/vendedor/etapa",IF(AND(OR($P593="Ganho",$P593="Perdido"),$K593=""),"Falta data de fechamento",IF(AND($P593="Perdido",$L593=""),"Informe o motivo da perda","OK"))))</f>
        <v/>
      </c>
    </row>
    <row r="594" spans="1:20">
      <c r="A594" s="18">
        <f>IF($C594="","",ROW()-4)</f>
        <v/>
      </c>
      <c r="B594" s="19"/>
      <c r="C594" s="13"/>
      <c r="D594" s="13"/>
      <c r="E594" s="13"/>
      <c r="F594" s="13"/>
      <c r="G594" s="13"/>
      <c r="H594" s="15"/>
      <c r="I594" s="19"/>
      <c r="J594" s="19"/>
      <c r="K594" s="19"/>
      <c r="L594" s="13"/>
      <c r="M594" s="13"/>
      <c r="N594" s="20">
        <f>IF($C594="","",IFERROR(INDEX(EtapaProb,MATCH($G594,Etapas,0)),0))</f>
        <v/>
      </c>
      <c r="O594" s="21">
        <f>IF($C594="","",IF($P594="Aberto",N($H594)*$N594,0))</f>
        <v/>
      </c>
      <c r="P594" s="18">
        <f>IF($C594="","",IF($G594="Ganho","Ganho",IF($G594="Perdido","Perdido","Aberto")))</f>
        <v/>
      </c>
      <c r="Q594" s="18">
        <f>IF(OR($C594="",$P594&lt;&gt;"Aberto"),"",IF($I594="",Hoje-$B594,Hoje-$I594))</f>
        <v/>
      </c>
      <c r="R594" s="22">
        <f>IF(OR($C594="",$P594&lt;&gt;"Aberto"),"",IF($J594="",IF($Q594&gt;DiasSC,"ATRASADO","Definir data"),IF($J594&lt;Hoje,"ATRASADO",IF($J594=Hoje,"HOJE","Em dia"))))</f>
        <v/>
      </c>
      <c r="S594" s="23">
        <f>IF($R594="","",IF(OR($R594="ATRASADO",$R594="HOJE",$R594="Definir data"),COUNTIF($R$5:$R594,"ATRASADO")+COUNTIF($R$5:$R594,"HOJE")+COUNTIF($R$5:$R594,"Definir data"),""))</f>
        <v/>
      </c>
      <c r="T594" s="18">
        <f>IF($C594="","",IF(OR($B594="",$E594="",$F594="",$G594=""),"Preencher entrada/origem/vendedor/etapa",IF(AND(OR($P594="Ganho",$P594="Perdido"),$K594=""),"Falta data de fechamento",IF(AND($P594="Perdido",$L594=""),"Informe o motivo da perda","OK"))))</f>
        <v/>
      </c>
    </row>
    <row r="595" spans="1:20">
      <c r="A595" s="18">
        <f>IF($C595="","",ROW()-4)</f>
        <v/>
      </c>
      <c r="B595" s="19"/>
      <c r="C595" s="13"/>
      <c r="D595" s="13"/>
      <c r="E595" s="13"/>
      <c r="F595" s="13"/>
      <c r="G595" s="13"/>
      <c r="H595" s="15"/>
      <c r="I595" s="19"/>
      <c r="J595" s="19"/>
      <c r="K595" s="19"/>
      <c r="L595" s="13"/>
      <c r="M595" s="13"/>
      <c r="N595" s="20">
        <f>IF($C595="","",IFERROR(INDEX(EtapaProb,MATCH($G595,Etapas,0)),0))</f>
        <v/>
      </c>
      <c r="O595" s="21">
        <f>IF($C595="","",IF($P595="Aberto",N($H595)*$N595,0))</f>
        <v/>
      </c>
      <c r="P595" s="18">
        <f>IF($C595="","",IF($G595="Ganho","Ganho",IF($G595="Perdido","Perdido","Aberto")))</f>
        <v/>
      </c>
      <c r="Q595" s="18">
        <f>IF(OR($C595="",$P595&lt;&gt;"Aberto"),"",IF($I595="",Hoje-$B595,Hoje-$I595))</f>
        <v/>
      </c>
      <c r="R595" s="22">
        <f>IF(OR($C595="",$P595&lt;&gt;"Aberto"),"",IF($J595="",IF($Q595&gt;DiasSC,"ATRASADO","Definir data"),IF($J595&lt;Hoje,"ATRASADO",IF($J595=Hoje,"HOJE","Em dia"))))</f>
        <v/>
      </c>
      <c r="S595" s="23">
        <f>IF($R595="","",IF(OR($R595="ATRASADO",$R595="HOJE",$R595="Definir data"),COUNTIF($R$5:$R595,"ATRASADO")+COUNTIF($R$5:$R595,"HOJE")+COUNTIF($R$5:$R595,"Definir data"),""))</f>
        <v/>
      </c>
      <c r="T595" s="18">
        <f>IF($C595="","",IF(OR($B595="",$E595="",$F595="",$G595=""),"Preencher entrada/origem/vendedor/etapa",IF(AND(OR($P595="Ganho",$P595="Perdido"),$K595=""),"Falta data de fechamento",IF(AND($P595="Perdido",$L595=""),"Informe o motivo da perda","OK"))))</f>
        <v/>
      </c>
    </row>
    <row r="596" spans="1:20">
      <c r="A596" s="18">
        <f>IF($C596="","",ROW()-4)</f>
        <v/>
      </c>
      <c r="B596" s="19"/>
      <c r="C596" s="13"/>
      <c r="D596" s="13"/>
      <c r="E596" s="13"/>
      <c r="F596" s="13"/>
      <c r="G596" s="13"/>
      <c r="H596" s="15"/>
      <c r="I596" s="19"/>
      <c r="J596" s="19"/>
      <c r="K596" s="19"/>
      <c r="L596" s="13"/>
      <c r="M596" s="13"/>
      <c r="N596" s="20">
        <f>IF($C596="","",IFERROR(INDEX(EtapaProb,MATCH($G596,Etapas,0)),0))</f>
        <v/>
      </c>
      <c r="O596" s="21">
        <f>IF($C596="","",IF($P596="Aberto",N($H596)*$N596,0))</f>
        <v/>
      </c>
      <c r="P596" s="18">
        <f>IF($C596="","",IF($G596="Ganho","Ganho",IF($G596="Perdido","Perdido","Aberto")))</f>
        <v/>
      </c>
      <c r="Q596" s="18">
        <f>IF(OR($C596="",$P596&lt;&gt;"Aberto"),"",IF($I596="",Hoje-$B596,Hoje-$I596))</f>
        <v/>
      </c>
      <c r="R596" s="22">
        <f>IF(OR($C596="",$P596&lt;&gt;"Aberto"),"",IF($J596="",IF($Q596&gt;DiasSC,"ATRASADO","Definir data"),IF($J596&lt;Hoje,"ATRASADO",IF($J596=Hoje,"HOJE","Em dia"))))</f>
        <v/>
      </c>
      <c r="S596" s="23">
        <f>IF($R596="","",IF(OR($R596="ATRASADO",$R596="HOJE",$R596="Definir data"),COUNTIF($R$5:$R596,"ATRASADO")+COUNTIF($R$5:$R596,"HOJE")+COUNTIF($R$5:$R596,"Definir data"),""))</f>
        <v/>
      </c>
      <c r="T596" s="18">
        <f>IF($C596="","",IF(OR($B596="",$E596="",$F596="",$G596=""),"Preencher entrada/origem/vendedor/etapa",IF(AND(OR($P596="Ganho",$P596="Perdido"),$K596=""),"Falta data de fechamento",IF(AND($P596="Perdido",$L596=""),"Informe o motivo da perda","OK"))))</f>
        <v/>
      </c>
    </row>
    <row r="597" spans="1:20">
      <c r="A597" s="18">
        <f>IF($C597="","",ROW()-4)</f>
        <v/>
      </c>
      <c r="B597" s="19"/>
      <c r="C597" s="13"/>
      <c r="D597" s="13"/>
      <c r="E597" s="13"/>
      <c r="F597" s="13"/>
      <c r="G597" s="13"/>
      <c r="H597" s="15"/>
      <c r="I597" s="19"/>
      <c r="J597" s="19"/>
      <c r="K597" s="19"/>
      <c r="L597" s="13"/>
      <c r="M597" s="13"/>
      <c r="N597" s="20">
        <f>IF($C597="","",IFERROR(INDEX(EtapaProb,MATCH($G597,Etapas,0)),0))</f>
        <v/>
      </c>
      <c r="O597" s="21">
        <f>IF($C597="","",IF($P597="Aberto",N($H597)*$N597,0))</f>
        <v/>
      </c>
      <c r="P597" s="18">
        <f>IF($C597="","",IF($G597="Ganho","Ganho",IF($G597="Perdido","Perdido","Aberto")))</f>
        <v/>
      </c>
      <c r="Q597" s="18">
        <f>IF(OR($C597="",$P597&lt;&gt;"Aberto"),"",IF($I597="",Hoje-$B597,Hoje-$I597))</f>
        <v/>
      </c>
      <c r="R597" s="22">
        <f>IF(OR($C597="",$P597&lt;&gt;"Aberto"),"",IF($J597="",IF($Q597&gt;DiasSC,"ATRASADO","Definir data"),IF($J597&lt;Hoje,"ATRASADO",IF($J597=Hoje,"HOJE","Em dia"))))</f>
        <v/>
      </c>
      <c r="S597" s="23">
        <f>IF($R597="","",IF(OR($R597="ATRASADO",$R597="HOJE",$R597="Definir data"),COUNTIF($R$5:$R597,"ATRASADO")+COUNTIF($R$5:$R597,"HOJE")+COUNTIF($R$5:$R597,"Definir data"),""))</f>
        <v/>
      </c>
      <c r="T597" s="18">
        <f>IF($C597="","",IF(OR($B597="",$E597="",$F597="",$G597=""),"Preencher entrada/origem/vendedor/etapa",IF(AND(OR($P597="Ganho",$P597="Perdido"),$K597=""),"Falta data de fechamento",IF(AND($P597="Perdido",$L597=""),"Informe o motivo da perda","OK"))))</f>
        <v/>
      </c>
    </row>
    <row r="598" spans="1:20">
      <c r="A598" s="18">
        <f>IF($C598="","",ROW()-4)</f>
        <v/>
      </c>
      <c r="B598" s="19"/>
      <c r="C598" s="13"/>
      <c r="D598" s="13"/>
      <c r="E598" s="13"/>
      <c r="F598" s="13"/>
      <c r="G598" s="13"/>
      <c r="H598" s="15"/>
      <c r="I598" s="19"/>
      <c r="J598" s="19"/>
      <c r="K598" s="19"/>
      <c r="L598" s="13"/>
      <c r="M598" s="13"/>
      <c r="N598" s="20">
        <f>IF($C598="","",IFERROR(INDEX(EtapaProb,MATCH($G598,Etapas,0)),0))</f>
        <v/>
      </c>
      <c r="O598" s="21">
        <f>IF($C598="","",IF($P598="Aberto",N($H598)*$N598,0))</f>
        <v/>
      </c>
      <c r="P598" s="18">
        <f>IF($C598="","",IF($G598="Ganho","Ganho",IF($G598="Perdido","Perdido","Aberto")))</f>
        <v/>
      </c>
      <c r="Q598" s="18">
        <f>IF(OR($C598="",$P598&lt;&gt;"Aberto"),"",IF($I598="",Hoje-$B598,Hoje-$I598))</f>
        <v/>
      </c>
      <c r="R598" s="22">
        <f>IF(OR($C598="",$P598&lt;&gt;"Aberto"),"",IF($J598="",IF($Q598&gt;DiasSC,"ATRASADO","Definir data"),IF($J598&lt;Hoje,"ATRASADO",IF($J598=Hoje,"HOJE","Em dia"))))</f>
        <v/>
      </c>
      <c r="S598" s="23">
        <f>IF($R598="","",IF(OR($R598="ATRASADO",$R598="HOJE",$R598="Definir data"),COUNTIF($R$5:$R598,"ATRASADO")+COUNTIF($R$5:$R598,"HOJE")+COUNTIF($R$5:$R598,"Definir data"),""))</f>
        <v/>
      </c>
      <c r="T598" s="18">
        <f>IF($C598="","",IF(OR($B598="",$E598="",$F598="",$G598=""),"Preencher entrada/origem/vendedor/etapa",IF(AND(OR($P598="Ganho",$P598="Perdido"),$K598=""),"Falta data de fechamento",IF(AND($P598="Perdido",$L598=""),"Informe o motivo da perda","OK"))))</f>
        <v/>
      </c>
    </row>
    <row r="599" spans="1:20">
      <c r="A599" s="18">
        <f>IF($C599="","",ROW()-4)</f>
        <v/>
      </c>
      <c r="B599" s="19"/>
      <c r="C599" s="13"/>
      <c r="D599" s="13"/>
      <c r="E599" s="13"/>
      <c r="F599" s="13"/>
      <c r="G599" s="13"/>
      <c r="H599" s="15"/>
      <c r="I599" s="19"/>
      <c r="J599" s="19"/>
      <c r="K599" s="19"/>
      <c r="L599" s="13"/>
      <c r="M599" s="13"/>
      <c r="N599" s="20">
        <f>IF($C599="","",IFERROR(INDEX(EtapaProb,MATCH($G599,Etapas,0)),0))</f>
        <v/>
      </c>
      <c r="O599" s="21">
        <f>IF($C599="","",IF($P599="Aberto",N($H599)*$N599,0))</f>
        <v/>
      </c>
      <c r="P599" s="18">
        <f>IF($C599="","",IF($G599="Ganho","Ganho",IF($G599="Perdido","Perdido","Aberto")))</f>
        <v/>
      </c>
      <c r="Q599" s="18">
        <f>IF(OR($C599="",$P599&lt;&gt;"Aberto"),"",IF($I599="",Hoje-$B599,Hoje-$I599))</f>
        <v/>
      </c>
      <c r="R599" s="22">
        <f>IF(OR($C599="",$P599&lt;&gt;"Aberto"),"",IF($J599="",IF($Q599&gt;DiasSC,"ATRASADO","Definir data"),IF($J599&lt;Hoje,"ATRASADO",IF($J599=Hoje,"HOJE","Em dia"))))</f>
        <v/>
      </c>
      <c r="S599" s="23">
        <f>IF($R599="","",IF(OR($R599="ATRASADO",$R599="HOJE",$R599="Definir data"),COUNTIF($R$5:$R599,"ATRASADO")+COUNTIF($R$5:$R599,"HOJE")+COUNTIF($R$5:$R599,"Definir data"),""))</f>
        <v/>
      </c>
      <c r="T599" s="18">
        <f>IF($C599="","",IF(OR($B599="",$E599="",$F599="",$G599=""),"Preencher entrada/origem/vendedor/etapa",IF(AND(OR($P599="Ganho",$P599="Perdido"),$K599=""),"Falta data de fechamento",IF(AND($P599="Perdido",$L599=""),"Informe o motivo da perda","OK"))))</f>
        <v/>
      </c>
    </row>
    <row r="600" spans="1:20">
      <c r="A600" s="18">
        <f>IF($C600="","",ROW()-4)</f>
        <v/>
      </c>
      <c r="B600" s="19"/>
      <c r="C600" s="13"/>
      <c r="D600" s="13"/>
      <c r="E600" s="13"/>
      <c r="F600" s="13"/>
      <c r="G600" s="13"/>
      <c r="H600" s="15"/>
      <c r="I600" s="19"/>
      <c r="J600" s="19"/>
      <c r="K600" s="19"/>
      <c r="L600" s="13"/>
      <c r="M600" s="13"/>
      <c r="N600" s="20">
        <f>IF($C600="","",IFERROR(INDEX(EtapaProb,MATCH($G600,Etapas,0)),0))</f>
        <v/>
      </c>
      <c r="O600" s="21">
        <f>IF($C600="","",IF($P600="Aberto",N($H600)*$N600,0))</f>
        <v/>
      </c>
      <c r="P600" s="18">
        <f>IF($C600="","",IF($G600="Ganho","Ganho",IF($G600="Perdido","Perdido","Aberto")))</f>
        <v/>
      </c>
      <c r="Q600" s="18">
        <f>IF(OR($C600="",$P600&lt;&gt;"Aberto"),"",IF($I600="",Hoje-$B600,Hoje-$I600))</f>
        <v/>
      </c>
      <c r="R600" s="22">
        <f>IF(OR($C600="",$P600&lt;&gt;"Aberto"),"",IF($J600="",IF($Q600&gt;DiasSC,"ATRASADO","Definir data"),IF($J600&lt;Hoje,"ATRASADO",IF($J600=Hoje,"HOJE","Em dia"))))</f>
        <v/>
      </c>
      <c r="S600" s="23">
        <f>IF($R600="","",IF(OR($R600="ATRASADO",$R600="HOJE",$R600="Definir data"),COUNTIF($R$5:$R600,"ATRASADO")+COUNTIF($R$5:$R600,"HOJE")+COUNTIF($R$5:$R600,"Definir data"),""))</f>
        <v/>
      </c>
      <c r="T600" s="18">
        <f>IF($C600="","",IF(OR($B600="",$E600="",$F600="",$G600=""),"Preencher entrada/origem/vendedor/etapa",IF(AND(OR($P600="Ganho",$P600="Perdido"),$K600=""),"Falta data de fechamento",IF(AND($P600="Perdido",$L600=""),"Informe o motivo da perda","OK"))))</f>
        <v/>
      </c>
    </row>
    <row r="601" spans="1:20">
      <c r="A601" s="18">
        <f>IF($C601="","",ROW()-4)</f>
        <v/>
      </c>
      <c r="B601" s="19"/>
      <c r="C601" s="13"/>
      <c r="D601" s="13"/>
      <c r="E601" s="13"/>
      <c r="F601" s="13"/>
      <c r="G601" s="13"/>
      <c r="H601" s="15"/>
      <c r="I601" s="19"/>
      <c r="J601" s="19"/>
      <c r="K601" s="19"/>
      <c r="L601" s="13"/>
      <c r="M601" s="13"/>
      <c r="N601" s="20">
        <f>IF($C601="","",IFERROR(INDEX(EtapaProb,MATCH($G601,Etapas,0)),0))</f>
        <v/>
      </c>
      <c r="O601" s="21">
        <f>IF($C601="","",IF($P601="Aberto",N($H601)*$N601,0))</f>
        <v/>
      </c>
      <c r="P601" s="18">
        <f>IF($C601="","",IF($G601="Ganho","Ganho",IF($G601="Perdido","Perdido","Aberto")))</f>
        <v/>
      </c>
      <c r="Q601" s="18">
        <f>IF(OR($C601="",$P601&lt;&gt;"Aberto"),"",IF($I601="",Hoje-$B601,Hoje-$I601))</f>
        <v/>
      </c>
      <c r="R601" s="22">
        <f>IF(OR($C601="",$P601&lt;&gt;"Aberto"),"",IF($J601="",IF($Q601&gt;DiasSC,"ATRASADO","Definir data"),IF($J601&lt;Hoje,"ATRASADO",IF($J601=Hoje,"HOJE","Em dia"))))</f>
        <v/>
      </c>
      <c r="S601" s="23">
        <f>IF($R601="","",IF(OR($R601="ATRASADO",$R601="HOJE",$R601="Definir data"),COUNTIF($R$5:$R601,"ATRASADO")+COUNTIF($R$5:$R601,"HOJE")+COUNTIF($R$5:$R601,"Definir data"),""))</f>
        <v/>
      </c>
      <c r="T601" s="18">
        <f>IF($C601="","",IF(OR($B601="",$E601="",$F601="",$G601=""),"Preencher entrada/origem/vendedor/etapa",IF(AND(OR($P601="Ganho",$P601="Perdido"),$K601=""),"Falta data de fechamento",IF(AND($P601="Perdido",$L601=""),"Informe o motivo da perda","OK"))))</f>
        <v/>
      </c>
    </row>
    <row r="602" spans="1:20">
      <c r="A602" s="18">
        <f>IF($C602="","",ROW()-4)</f>
        <v/>
      </c>
      <c r="B602" s="19"/>
      <c r="C602" s="13"/>
      <c r="D602" s="13"/>
      <c r="E602" s="13"/>
      <c r="F602" s="13"/>
      <c r="G602" s="13"/>
      <c r="H602" s="15"/>
      <c r="I602" s="19"/>
      <c r="J602" s="19"/>
      <c r="K602" s="19"/>
      <c r="L602" s="13"/>
      <c r="M602" s="13"/>
      <c r="N602" s="20">
        <f>IF($C602="","",IFERROR(INDEX(EtapaProb,MATCH($G602,Etapas,0)),0))</f>
        <v/>
      </c>
      <c r="O602" s="21">
        <f>IF($C602="","",IF($P602="Aberto",N($H602)*$N602,0))</f>
        <v/>
      </c>
      <c r="P602" s="18">
        <f>IF($C602="","",IF($G602="Ganho","Ganho",IF($G602="Perdido","Perdido","Aberto")))</f>
        <v/>
      </c>
      <c r="Q602" s="18">
        <f>IF(OR($C602="",$P602&lt;&gt;"Aberto"),"",IF($I602="",Hoje-$B602,Hoje-$I602))</f>
        <v/>
      </c>
      <c r="R602" s="22">
        <f>IF(OR($C602="",$P602&lt;&gt;"Aberto"),"",IF($J602="",IF($Q602&gt;DiasSC,"ATRASADO","Definir data"),IF($J602&lt;Hoje,"ATRASADO",IF($J602=Hoje,"HOJE","Em dia"))))</f>
        <v/>
      </c>
      <c r="S602" s="23">
        <f>IF($R602="","",IF(OR($R602="ATRASADO",$R602="HOJE",$R602="Definir data"),COUNTIF($R$5:$R602,"ATRASADO")+COUNTIF($R$5:$R602,"HOJE")+COUNTIF($R$5:$R602,"Definir data"),""))</f>
        <v/>
      </c>
      <c r="T602" s="18">
        <f>IF($C602="","",IF(OR($B602="",$E602="",$F602="",$G602=""),"Preencher entrada/origem/vendedor/etapa",IF(AND(OR($P602="Ganho",$P602="Perdido"),$K602=""),"Falta data de fechamento",IF(AND($P602="Perdido",$L602=""),"Informe o motivo da perda","OK"))))</f>
        <v/>
      </c>
    </row>
    <row r="603" spans="1:20">
      <c r="A603" s="18">
        <f>IF($C603="","",ROW()-4)</f>
        <v/>
      </c>
      <c r="B603" s="19"/>
      <c r="C603" s="13"/>
      <c r="D603" s="13"/>
      <c r="E603" s="13"/>
      <c r="F603" s="13"/>
      <c r="G603" s="13"/>
      <c r="H603" s="15"/>
      <c r="I603" s="19"/>
      <c r="J603" s="19"/>
      <c r="K603" s="19"/>
      <c r="L603" s="13"/>
      <c r="M603" s="13"/>
      <c r="N603" s="20">
        <f>IF($C603="","",IFERROR(INDEX(EtapaProb,MATCH($G603,Etapas,0)),0))</f>
        <v/>
      </c>
      <c r="O603" s="21">
        <f>IF($C603="","",IF($P603="Aberto",N($H603)*$N603,0))</f>
        <v/>
      </c>
      <c r="P603" s="18">
        <f>IF($C603="","",IF($G603="Ganho","Ganho",IF($G603="Perdido","Perdido","Aberto")))</f>
        <v/>
      </c>
      <c r="Q603" s="18">
        <f>IF(OR($C603="",$P603&lt;&gt;"Aberto"),"",IF($I603="",Hoje-$B603,Hoje-$I603))</f>
        <v/>
      </c>
      <c r="R603" s="22">
        <f>IF(OR($C603="",$P603&lt;&gt;"Aberto"),"",IF($J603="",IF($Q603&gt;DiasSC,"ATRASADO","Definir data"),IF($J603&lt;Hoje,"ATRASADO",IF($J603=Hoje,"HOJE","Em dia"))))</f>
        <v/>
      </c>
      <c r="S603" s="23">
        <f>IF($R603="","",IF(OR($R603="ATRASADO",$R603="HOJE",$R603="Definir data"),COUNTIF($R$5:$R603,"ATRASADO")+COUNTIF($R$5:$R603,"HOJE")+COUNTIF($R$5:$R603,"Definir data"),""))</f>
        <v/>
      </c>
      <c r="T603" s="18">
        <f>IF($C603="","",IF(OR($B603="",$E603="",$F603="",$G603=""),"Preencher entrada/origem/vendedor/etapa",IF(AND(OR($P603="Ganho",$P603="Perdido"),$K603=""),"Falta data de fechamento",IF(AND($P603="Perdido",$L603=""),"Informe o motivo da perda","OK"))))</f>
        <v/>
      </c>
    </row>
    <row r="604" spans="1:20">
      <c r="A604" s="18">
        <f>IF($C604="","",ROW()-4)</f>
        <v/>
      </c>
      <c r="B604" s="19"/>
      <c r="C604" s="13"/>
      <c r="D604" s="13"/>
      <c r="E604" s="13"/>
      <c r="F604" s="13"/>
      <c r="G604" s="13"/>
      <c r="H604" s="15"/>
      <c r="I604" s="19"/>
      <c r="J604" s="19"/>
      <c r="K604" s="19"/>
      <c r="L604" s="13"/>
      <c r="M604" s="13"/>
      <c r="N604" s="20">
        <f>IF($C604="","",IFERROR(INDEX(EtapaProb,MATCH($G604,Etapas,0)),0))</f>
        <v/>
      </c>
      <c r="O604" s="21">
        <f>IF($C604="","",IF($P604="Aberto",N($H604)*$N604,0))</f>
        <v/>
      </c>
      <c r="P604" s="18">
        <f>IF($C604="","",IF($G604="Ganho","Ganho",IF($G604="Perdido","Perdido","Aberto")))</f>
        <v/>
      </c>
      <c r="Q604" s="18">
        <f>IF(OR($C604="",$P604&lt;&gt;"Aberto"),"",IF($I604="",Hoje-$B604,Hoje-$I604))</f>
        <v/>
      </c>
      <c r="R604" s="22">
        <f>IF(OR($C604="",$P604&lt;&gt;"Aberto"),"",IF($J604="",IF($Q604&gt;DiasSC,"ATRASADO","Definir data"),IF($J604&lt;Hoje,"ATRASADO",IF($J604=Hoje,"HOJE","Em dia"))))</f>
        <v/>
      </c>
      <c r="S604" s="23">
        <f>IF($R604="","",IF(OR($R604="ATRASADO",$R604="HOJE",$R604="Definir data"),COUNTIF($R$5:$R604,"ATRASADO")+COUNTIF($R$5:$R604,"HOJE")+COUNTIF($R$5:$R604,"Definir data"),""))</f>
        <v/>
      </c>
      <c r="T604" s="18">
        <f>IF($C604="","",IF(OR($B604="",$E604="",$F604="",$G604=""),"Preencher entrada/origem/vendedor/etapa",IF(AND(OR($P604="Ganho",$P604="Perdido"),$K604=""),"Falta data de fechamento",IF(AND($P604="Perdido",$L604=""),"Informe o motivo da perda","OK"))))</f>
        <v/>
      </c>
    </row>
    <row r="605" spans="1:20">
      <c r="A605" s="18">
        <f>IF($C605="","",ROW()-4)</f>
        <v/>
      </c>
      <c r="B605" s="19"/>
      <c r="C605" s="13"/>
      <c r="D605" s="13"/>
      <c r="E605" s="13"/>
      <c r="F605" s="13"/>
      <c r="G605" s="13"/>
      <c r="H605" s="15"/>
      <c r="I605" s="19"/>
      <c r="J605" s="19"/>
      <c r="K605" s="19"/>
      <c r="L605" s="13"/>
      <c r="M605" s="13"/>
      <c r="N605" s="20">
        <f>IF($C605="","",IFERROR(INDEX(EtapaProb,MATCH($G605,Etapas,0)),0))</f>
        <v/>
      </c>
      <c r="O605" s="21">
        <f>IF($C605="","",IF($P605="Aberto",N($H605)*$N605,0))</f>
        <v/>
      </c>
      <c r="P605" s="18">
        <f>IF($C605="","",IF($G605="Ganho","Ganho",IF($G605="Perdido","Perdido","Aberto")))</f>
        <v/>
      </c>
      <c r="Q605" s="18">
        <f>IF(OR($C605="",$P605&lt;&gt;"Aberto"),"",IF($I605="",Hoje-$B605,Hoje-$I605))</f>
        <v/>
      </c>
      <c r="R605" s="22">
        <f>IF(OR($C605="",$P605&lt;&gt;"Aberto"),"",IF($J605="",IF($Q605&gt;DiasSC,"ATRASADO","Definir data"),IF($J605&lt;Hoje,"ATRASADO",IF($J605=Hoje,"HOJE","Em dia"))))</f>
        <v/>
      </c>
      <c r="S605" s="23">
        <f>IF($R605="","",IF(OR($R605="ATRASADO",$R605="HOJE",$R605="Definir data"),COUNTIF($R$5:$R605,"ATRASADO")+COUNTIF($R$5:$R605,"HOJE")+COUNTIF($R$5:$R605,"Definir data"),""))</f>
        <v/>
      </c>
      <c r="T605" s="18">
        <f>IF($C605="","",IF(OR($B605="",$E605="",$F605="",$G605=""),"Preencher entrada/origem/vendedor/etapa",IF(AND(OR($P605="Ganho",$P605="Perdido"),$K605=""),"Falta data de fechamento",IF(AND($P605="Perdido",$L605=""),"Informe o motivo da perda","OK"))))</f>
        <v/>
      </c>
    </row>
    <row r="606" spans="1:20">
      <c r="A606" s="18">
        <f>IF($C606="","",ROW()-4)</f>
        <v/>
      </c>
      <c r="B606" s="19"/>
      <c r="C606" s="13"/>
      <c r="D606" s="13"/>
      <c r="E606" s="13"/>
      <c r="F606" s="13"/>
      <c r="G606" s="13"/>
      <c r="H606" s="15"/>
      <c r="I606" s="19"/>
      <c r="J606" s="19"/>
      <c r="K606" s="19"/>
      <c r="L606" s="13"/>
      <c r="M606" s="13"/>
      <c r="N606" s="20">
        <f>IF($C606="","",IFERROR(INDEX(EtapaProb,MATCH($G606,Etapas,0)),0))</f>
        <v/>
      </c>
      <c r="O606" s="21">
        <f>IF($C606="","",IF($P606="Aberto",N($H606)*$N606,0))</f>
        <v/>
      </c>
      <c r="P606" s="18">
        <f>IF($C606="","",IF($G606="Ganho","Ganho",IF($G606="Perdido","Perdido","Aberto")))</f>
        <v/>
      </c>
      <c r="Q606" s="18">
        <f>IF(OR($C606="",$P606&lt;&gt;"Aberto"),"",IF($I606="",Hoje-$B606,Hoje-$I606))</f>
        <v/>
      </c>
      <c r="R606" s="22">
        <f>IF(OR($C606="",$P606&lt;&gt;"Aberto"),"",IF($J606="",IF($Q606&gt;DiasSC,"ATRASADO","Definir data"),IF($J606&lt;Hoje,"ATRASADO",IF($J606=Hoje,"HOJE","Em dia"))))</f>
        <v/>
      </c>
      <c r="S606" s="23">
        <f>IF($R606="","",IF(OR($R606="ATRASADO",$R606="HOJE",$R606="Definir data"),COUNTIF($R$5:$R606,"ATRASADO")+COUNTIF($R$5:$R606,"HOJE")+COUNTIF($R$5:$R606,"Definir data"),""))</f>
        <v/>
      </c>
      <c r="T606" s="18">
        <f>IF($C606="","",IF(OR($B606="",$E606="",$F606="",$G606=""),"Preencher entrada/origem/vendedor/etapa",IF(AND(OR($P606="Ganho",$P606="Perdido"),$K606=""),"Falta data de fechamento",IF(AND($P606="Perdido",$L606=""),"Informe o motivo da perda","OK"))))</f>
        <v/>
      </c>
    </row>
    <row r="607" spans="1:20">
      <c r="A607" s="18">
        <f>IF($C607="","",ROW()-4)</f>
        <v/>
      </c>
      <c r="B607" s="19"/>
      <c r="C607" s="13"/>
      <c r="D607" s="13"/>
      <c r="E607" s="13"/>
      <c r="F607" s="13"/>
      <c r="G607" s="13"/>
      <c r="H607" s="15"/>
      <c r="I607" s="19"/>
      <c r="J607" s="19"/>
      <c r="K607" s="19"/>
      <c r="L607" s="13"/>
      <c r="M607" s="13"/>
      <c r="N607" s="20">
        <f>IF($C607="","",IFERROR(INDEX(EtapaProb,MATCH($G607,Etapas,0)),0))</f>
        <v/>
      </c>
      <c r="O607" s="21">
        <f>IF($C607="","",IF($P607="Aberto",N($H607)*$N607,0))</f>
        <v/>
      </c>
      <c r="P607" s="18">
        <f>IF($C607="","",IF($G607="Ganho","Ganho",IF($G607="Perdido","Perdido","Aberto")))</f>
        <v/>
      </c>
      <c r="Q607" s="18">
        <f>IF(OR($C607="",$P607&lt;&gt;"Aberto"),"",IF($I607="",Hoje-$B607,Hoje-$I607))</f>
        <v/>
      </c>
      <c r="R607" s="22">
        <f>IF(OR($C607="",$P607&lt;&gt;"Aberto"),"",IF($J607="",IF($Q607&gt;DiasSC,"ATRASADO","Definir data"),IF($J607&lt;Hoje,"ATRASADO",IF($J607=Hoje,"HOJE","Em dia"))))</f>
        <v/>
      </c>
      <c r="S607" s="23">
        <f>IF($R607="","",IF(OR($R607="ATRASADO",$R607="HOJE",$R607="Definir data"),COUNTIF($R$5:$R607,"ATRASADO")+COUNTIF($R$5:$R607,"HOJE")+COUNTIF($R$5:$R607,"Definir data"),""))</f>
        <v/>
      </c>
      <c r="T607" s="18">
        <f>IF($C607="","",IF(OR($B607="",$E607="",$F607="",$G607=""),"Preencher entrada/origem/vendedor/etapa",IF(AND(OR($P607="Ganho",$P607="Perdido"),$K607=""),"Falta data de fechamento",IF(AND($P607="Perdido",$L607=""),"Informe o motivo da perda","OK"))))</f>
        <v/>
      </c>
    </row>
    <row r="608" spans="1:20">
      <c r="A608" s="18">
        <f>IF($C608="","",ROW()-4)</f>
        <v/>
      </c>
      <c r="B608" s="19"/>
      <c r="C608" s="13"/>
      <c r="D608" s="13"/>
      <c r="E608" s="13"/>
      <c r="F608" s="13"/>
      <c r="G608" s="13"/>
      <c r="H608" s="15"/>
      <c r="I608" s="19"/>
      <c r="J608" s="19"/>
      <c r="K608" s="19"/>
      <c r="L608" s="13"/>
      <c r="M608" s="13"/>
      <c r="N608" s="20">
        <f>IF($C608="","",IFERROR(INDEX(EtapaProb,MATCH($G608,Etapas,0)),0))</f>
        <v/>
      </c>
      <c r="O608" s="21">
        <f>IF($C608="","",IF($P608="Aberto",N($H608)*$N608,0))</f>
        <v/>
      </c>
      <c r="P608" s="18">
        <f>IF($C608="","",IF($G608="Ganho","Ganho",IF($G608="Perdido","Perdido","Aberto")))</f>
        <v/>
      </c>
      <c r="Q608" s="18">
        <f>IF(OR($C608="",$P608&lt;&gt;"Aberto"),"",IF($I608="",Hoje-$B608,Hoje-$I608))</f>
        <v/>
      </c>
      <c r="R608" s="22">
        <f>IF(OR($C608="",$P608&lt;&gt;"Aberto"),"",IF($J608="",IF($Q608&gt;DiasSC,"ATRASADO","Definir data"),IF($J608&lt;Hoje,"ATRASADO",IF($J608=Hoje,"HOJE","Em dia"))))</f>
        <v/>
      </c>
      <c r="S608" s="23">
        <f>IF($R608="","",IF(OR($R608="ATRASADO",$R608="HOJE",$R608="Definir data"),COUNTIF($R$5:$R608,"ATRASADO")+COUNTIF($R$5:$R608,"HOJE")+COUNTIF($R$5:$R608,"Definir data"),""))</f>
        <v/>
      </c>
      <c r="T608" s="18">
        <f>IF($C608="","",IF(OR($B608="",$E608="",$F608="",$G608=""),"Preencher entrada/origem/vendedor/etapa",IF(AND(OR($P608="Ganho",$P608="Perdido"),$K608=""),"Falta data de fechamento",IF(AND($P608="Perdido",$L608=""),"Informe o motivo da perda","OK"))))</f>
        <v/>
      </c>
    </row>
    <row r="609" spans="1:20">
      <c r="A609" s="18">
        <f>IF($C609="","",ROW()-4)</f>
        <v/>
      </c>
      <c r="B609" s="19"/>
      <c r="C609" s="13"/>
      <c r="D609" s="13"/>
      <c r="E609" s="13"/>
      <c r="F609" s="13"/>
      <c r="G609" s="13"/>
      <c r="H609" s="15"/>
      <c r="I609" s="19"/>
      <c r="J609" s="19"/>
      <c r="K609" s="19"/>
      <c r="L609" s="13"/>
      <c r="M609" s="13"/>
      <c r="N609" s="20">
        <f>IF($C609="","",IFERROR(INDEX(EtapaProb,MATCH($G609,Etapas,0)),0))</f>
        <v/>
      </c>
      <c r="O609" s="21">
        <f>IF($C609="","",IF($P609="Aberto",N($H609)*$N609,0))</f>
        <v/>
      </c>
      <c r="P609" s="18">
        <f>IF($C609="","",IF($G609="Ganho","Ganho",IF($G609="Perdido","Perdido","Aberto")))</f>
        <v/>
      </c>
      <c r="Q609" s="18">
        <f>IF(OR($C609="",$P609&lt;&gt;"Aberto"),"",IF($I609="",Hoje-$B609,Hoje-$I609))</f>
        <v/>
      </c>
      <c r="R609" s="22">
        <f>IF(OR($C609="",$P609&lt;&gt;"Aberto"),"",IF($J609="",IF($Q609&gt;DiasSC,"ATRASADO","Definir data"),IF($J609&lt;Hoje,"ATRASADO",IF($J609=Hoje,"HOJE","Em dia"))))</f>
        <v/>
      </c>
      <c r="S609" s="23">
        <f>IF($R609="","",IF(OR($R609="ATRASADO",$R609="HOJE",$R609="Definir data"),COUNTIF($R$5:$R609,"ATRASADO")+COUNTIF($R$5:$R609,"HOJE")+COUNTIF($R$5:$R609,"Definir data"),""))</f>
        <v/>
      </c>
      <c r="T609" s="18">
        <f>IF($C609="","",IF(OR($B609="",$E609="",$F609="",$G609=""),"Preencher entrada/origem/vendedor/etapa",IF(AND(OR($P609="Ganho",$P609="Perdido"),$K609=""),"Falta data de fechamento",IF(AND($P609="Perdido",$L609=""),"Informe o motivo da perda","OK"))))</f>
        <v/>
      </c>
    </row>
    <row r="610" spans="1:20">
      <c r="A610" s="18">
        <f>IF($C610="","",ROW()-4)</f>
        <v/>
      </c>
      <c r="B610" s="19"/>
      <c r="C610" s="13"/>
      <c r="D610" s="13"/>
      <c r="E610" s="13"/>
      <c r="F610" s="13"/>
      <c r="G610" s="13"/>
      <c r="H610" s="15"/>
      <c r="I610" s="19"/>
      <c r="J610" s="19"/>
      <c r="K610" s="19"/>
      <c r="L610" s="13"/>
      <c r="M610" s="13"/>
      <c r="N610" s="20">
        <f>IF($C610="","",IFERROR(INDEX(EtapaProb,MATCH($G610,Etapas,0)),0))</f>
        <v/>
      </c>
      <c r="O610" s="21">
        <f>IF($C610="","",IF($P610="Aberto",N($H610)*$N610,0))</f>
        <v/>
      </c>
      <c r="P610" s="18">
        <f>IF($C610="","",IF($G610="Ganho","Ganho",IF($G610="Perdido","Perdido","Aberto")))</f>
        <v/>
      </c>
      <c r="Q610" s="18">
        <f>IF(OR($C610="",$P610&lt;&gt;"Aberto"),"",IF($I610="",Hoje-$B610,Hoje-$I610))</f>
        <v/>
      </c>
      <c r="R610" s="22">
        <f>IF(OR($C610="",$P610&lt;&gt;"Aberto"),"",IF($J610="",IF($Q610&gt;DiasSC,"ATRASADO","Definir data"),IF($J610&lt;Hoje,"ATRASADO",IF($J610=Hoje,"HOJE","Em dia"))))</f>
        <v/>
      </c>
      <c r="S610" s="23">
        <f>IF($R610="","",IF(OR($R610="ATRASADO",$R610="HOJE",$R610="Definir data"),COUNTIF($R$5:$R610,"ATRASADO")+COUNTIF($R$5:$R610,"HOJE")+COUNTIF($R$5:$R610,"Definir data"),""))</f>
        <v/>
      </c>
      <c r="T610" s="18">
        <f>IF($C610="","",IF(OR($B610="",$E610="",$F610="",$G610=""),"Preencher entrada/origem/vendedor/etapa",IF(AND(OR($P610="Ganho",$P610="Perdido"),$K610=""),"Falta data de fechamento",IF(AND($P610="Perdido",$L610=""),"Informe o motivo da perda","OK"))))</f>
        <v/>
      </c>
    </row>
    <row r="611" spans="1:20">
      <c r="A611" s="18">
        <f>IF($C611="","",ROW()-4)</f>
        <v/>
      </c>
      <c r="B611" s="19"/>
      <c r="C611" s="13"/>
      <c r="D611" s="13"/>
      <c r="E611" s="13"/>
      <c r="F611" s="13"/>
      <c r="G611" s="13"/>
      <c r="H611" s="15"/>
      <c r="I611" s="19"/>
      <c r="J611" s="19"/>
      <c r="K611" s="19"/>
      <c r="L611" s="13"/>
      <c r="M611" s="13"/>
      <c r="N611" s="20">
        <f>IF($C611="","",IFERROR(INDEX(EtapaProb,MATCH($G611,Etapas,0)),0))</f>
        <v/>
      </c>
      <c r="O611" s="21">
        <f>IF($C611="","",IF($P611="Aberto",N($H611)*$N611,0))</f>
        <v/>
      </c>
      <c r="P611" s="18">
        <f>IF($C611="","",IF($G611="Ganho","Ganho",IF($G611="Perdido","Perdido","Aberto")))</f>
        <v/>
      </c>
      <c r="Q611" s="18">
        <f>IF(OR($C611="",$P611&lt;&gt;"Aberto"),"",IF($I611="",Hoje-$B611,Hoje-$I611))</f>
        <v/>
      </c>
      <c r="R611" s="22">
        <f>IF(OR($C611="",$P611&lt;&gt;"Aberto"),"",IF($J611="",IF($Q611&gt;DiasSC,"ATRASADO","Definir data"),IF($J611&lt;Hoje,"ATRASADO",IF($J611=Hoje,"HOJE","Em dia"))))</f>
        <v/>
      </c>
      <c r="S611" s="23">
        <f>IF($R611="","",IF(OR($R611="ATRASADO",$R611="HOJE",$R611="Definir data"),COUNTIF($R$5:$R611,"ATRASADO")+COUNTIF($R$5:$R611,"HOJE")+COUNTIF($R$5:$R611,"Definir data"),""))</f>
        <v/>
      </c>
      <c r="T611" s="18">
        <f>IF($C611="","",IF(OR($B611="",$E611="",$F611="",$G611=""),"Preencher entrada/origem/vendedor/etapa",IF(AND(OR($P611="Ganho",$P611="Perdido"),$K611=""),"Falta data de fechamento",IF(AND($P611="Perdido",$L611=""),"Informe o motivo da perda","OK"))))</f>
        <v/>
      </c>
    </row>
    <row r="612" spans="1:20">
      <c r="A612" s="18">
        <f>IF($C612="","",ROW()-4)</f>
        <v/>
      </c>
      <c r="B612" s="19"/>
      <c r="C612" s="13"/>
      <c r="D612" s="13"/>
      <c r="E612" s="13"/>
      <c r="F612" s="13"/>
      <c r="G612" s="13"/>
      <c r="H612" s="15"/>
      <c r="I612" s="19"/>
      <c r="J612" s="19"/>
      <c r="K612" s="19"/>
      <c r="L612" s="13"/>
      <c r="M612" s="13"/>
      <c r="N612" s="20">
        <f>IF($C612="","",IFERROR(INDEX(EtapaProb,MATCH($G612,Etapas,0)),0))</f>
        <v/>
      </c>
      <c r="O612" s="21">
        <f>IF($C612="","",IF($P612="Aberto",N($H612)*$N612,0))</f>
        <v/>
      </c>
      <c r="P612" s="18">
        <f>IF($C612="","",IF($G612="Ganho","Ganho",IF($G612="Perdido","Perdido","Aberto")))</f>
        <v/>
      </c>
      <c r="Q612" s="18">
        <f>IF(OR($C612="",$P612&lt;&gt;"Aberto"),"",IF($I612="",Hoje-$B612,Hoje-$I612))</f>
        <v/>
      </c>
      <c r="R612" s="22">
        <f>IF(OR($C612="",$P612&lt;&gt;"Aberto"),"",IF($J612="",IF($Q612&gt;DiasSC,"ATRASADO","Definir data"),IF($J612&lt;Hoje,"ATRASADO",IF($J612=Hoje,"HOJE","Em dia"))))</f>
        <v/>
      </c>
      <c r="S612" s="23">
        <f>IF($R612="","",IF(OR($R612="ATRASADO",$R612="HOJE",$R612="Definir data"),COUNTIF($R$5:$R612,"ATRASADO")+COUNTIF($R$5:$R612,"HOJE")+COUNTIF($R$5:$R612,"Definir data"),""))</f>
        <v/>
      </c>
      <c r="T612" s="18">
        <f>IF($C612="","",IF(OR($B612="",$E612="",$F612="",$G612=""),"Preencher entrada/origem/vendedor/etapa",IF(AND(OR($P612="Ganho",$P612="Perdido"),$K612=""),"Falta data de fechamento",IF(AND($P612="Perdido",$L612=""),"Informe o motivo da perda","OK"))))</f>
        <v/>
      </c>
    </row>
    <row r="613" spans="1:20">
      <c r="A613" s="18">
        <f>IF($C613="","",ROW()-4)</f>
        <v/>
      </c>
      <c r="B613" s="19"/>
      <c r="C613" s="13"/>
      <c r="D613" s="13"/>
      <c r="E613" s="13"/>
      <c r="F613" s="13"/>
      <c r="G613" s="13"/>
      <c r="H613" s="15"/>
      <c r="I613" s="19"/>
      <c r="J613" s="19"/>
      <c r="K613" s="19"/>
      <c r="L613" s="13"/>
      <c r="M613" s="13"/>
      <c r="N613" s="20">
        <f>IF($C613="","",IFERROR(INDEX(EtapaProb,MATCH($G613,Etapas,0)),0))</f>
        <v/>
      </c>
      <c r="O613" s="21">
        <f>IF($C613="","",IF($P613="Aberto",N($H613)*$N613,0))</f>
        <v/>
      </c>
      <c r="P613" s="18">
        <f>IF($C613="","",IF($G613="Ganho","Ganho",IF($G613="Perdido","Perdido","Aberto")))</f>
        <v/>
      </c>
      <c r="Q613" s="18">
        <f>IF(OR($C613="",$P613&lt;&gt;"Aberto"),"",IF($I613="",Hoje-$B613,Hoje-$I613))</f>
        <v/>
      </c>
      <c r="R613" s="22">
        <f>IF(OR($C613="",$P613&lt;&gt;"Aberto"),"",IF($J613="",IF($Q613&gt;DiasSC,"ATRASADO","Definir data"),IF($J613&lt;Hoje,"ATRASADO",IF($J613=Hoje,"HOJE","Em dia"))))</f>
        <v/>
      </c>
      <c r="S613" s="23">
        <f>IF($R613="","",IF(OR($R613="ATRASADO",$R613="HOJE",$R613="Definir data"),COUNTIF($R$5:$R613,"ATRASADO")+COUNTIF($R$5:$R613,"HOJE")+COUNTIF($R$5:$R613,"Definir data"),""))</f>
        <v/>
      </c>
      <c r="T613" s="18">
        <f>IF($C613="","",IF(OR($B613="",$E613="",$F613="",$G613=""),"Preencher entrada/origem/vendedor/etapa",IF(AND(OR($P613="Ganho",$P613="Perdido"),$K613=""),"Falta data de fechamento",IF(AND($P613="Perdido",$L613=""),"Informe o motivo da perda","OK"))))</f>
        <v/>
      </c>
    </row>
    <row r="614" spans="1:20">
      <c r="A614" s="18">
        <f>IF($C614="","",ROW()-4)</f>
        <v/>
      </c>
      <c r="B614" s="19"/>
      <c r="C614" s="13"/>
      <c r="D614" s="13"/>
      <c r="E614" s="13"/>
      <c r="F614" s="13"/>
      <c r="G614" s="13"/>
      <c r="H614" s="15"/>
      <c r="I614" s="19"/>
      <c r="J614" s="19"/>
      <c r="K614" s="19"/>
      <c r="L614" s="13"/>
      <c r="M614" s="13"/>
      <c r="N614" s="20">
        <f>IF($C614="","",IFERROR(INDEX(EtapaProb,MATCH($G614,Etapas,0)),0))</f>
        <v/>
      </c>
      <c r="O614" s="21">
        <f>IF($C614="","",IF($P614="Aberto",N($H614)*$N614,0))</f>
        <v/>
      </c>
      <c r="P614" s="18">
        <f>IF($C614="","",IF($G614="Ganho","Ganho",IF($G614="Perdido","Perdido","Aberto")))</f>
        <v/>
      </c>
      <c r="Q614" s="18">
        <f>IF(OR($C614="",$P614&lt;&gt;"Aberto"),"",IF($I614="",Hoje-$B614,Hoje-$I614))</f>
        <v/>
      </c>
      <c r="R614" s="22">
        <f>IF(OR($C614="",$P614&lt;&gt;"Aberto"),"",IF($J614="",IF($Q614&gt;DiasSC,"ATRASADO","Definir data"),IF($J614&lt;Hoje,"ATRASADO",IF($J614=Hoje,"HOJE","Em dia"))))</f>
        <v/>
      </c>
      <c r="S614" s="23">
        <f>IF($R614="","",IF(OR($R614="ATRASADO",$R614="HOJE",$R614="Definir data"),COUNTIF($R$5:$R614,"ATRASADO")+COUNTIF($R$5:$R614,"HOJE")+COUNTIF($R$5:$R614,"Definir data"),""))</f>
        <v/>
      </c>
      <c r="T614" s="18">
        <f>IF($C614="","",IF(OR($B614="",$E614="",$F614="",$G614=""),"Preencher entrada/origem/vendedor/etapa",IF(AND(OR($P614="Ganho",$P614="Perdido"),$K614=""),"Falta data de fechamento",IF(AND($P614="Perdido",$L614=""),"Informe o motivo da perda","OK"))))</f>
        <v/>
      </c>
    </row>
    <row r="615" spans="1:20">
      <c r="A615" s="18">
        <f>IF($C615="","",ROW()-4)</f>
        <v/>
      </c>
      <c r="B615" s="19"/>
      <c r="C615" s="13"/>
      <c r="D615" s="13"/>
      <c r="E615" s="13"/>
      <c r="F615" s="13"/>
      <c r="G615" s="13"/>
      <c r="H615" s="15"/>
      <c r="I615" s="19"/>
      <c r="J615" s="19"/>
      <c r="K615" s="19"/>
      <c r="L615" s="13"/>
      <c r="M615" s="13"/>
      <c r="N615" s="20">
        <f>IF($C615="","",IFERROR(INDEX(EtapaProb,MATCH($G615,Etapas,0)),0))</f>
        <v/>
      </c>
      <c r="O615" s="21">
        <f>IF($C615="","",IF($P615="Aberto",N($H615)*$N615,0))</f>
        <v/>
      </c>
      <c r="P615" s="18">
        <f>IF($C615="","",IF($G615="Ganho","Ganho",IF($G615="Perdido","Perdido","Aberto")))</f>
        <v/>
      </c>
      <c r="Q615" s="18">
        <f>IF(OR($C615="",$P615&lt;&gt;"Aberto"),"",IF($I615="",Hoje-$B615,Hoje-$I615))</f>
        <v/>
      </c>
      <c r="R615" s="22">
        <f>IF(OR($C615="",$P615&lt;&gt;"Aberto"),"",IF($J615="",IF($Q615&gt;DiasSC,"ATRASADO","Definir data"),IF($J615&lt;Hoje,"ATRASADO",IF($J615=Hoje,"HOJE","Em dia"))))</f>
        <v/>
      </c>
      <c r="S615" s="23">
        <f>IF($R615="","",IF(OR($R615="ATRASADO",$R615="HOJE",$R615="Definir data"),COUNTIF($R$5:$R615,"ATRASADO")+COUNTIF($R$5:$R615,"HOJE")+COUNTIF($R$5:$R615,"Definir data"),""))</f>
        <v/>
      </c>
      <c r="T615" s="18">
        <f>IF($C615="","",IF(OR($B615="",$E615="",$F615="",$G615=""),"Preencher entrada/origem/vendedor/etapa",IF(AND(OR($P615="Ganho",$P615="Perdido"),$K615=""),"Falta data de fechamento",IF(AND($P615="Perdido",$L615=""),"Informe o motivo da perda","OK"))))</f>
        <v/>
      </c>
    </row>
    <row r="616" spans="1:20">
      <c r="A616" s="18">
        <f>IF($C616="","",ROW()-4)</f>
        <v/>
      </c>
      <c r="B616" s="19"/>
      <c r="C616" s="13"/>
      <c r="D616" s="13"/>
      <c r="E616" s="13"/>
      <c r="F616" s="13"/>
      <c r="G616" s="13"/>
      <c r="H616" s="15"/>
      <c r="I616" s="19"/>
      <c r="J616" s="19"/>
      <c r="K616" s="19"/>
      <c r="L616" s="13"/>
      <c r="M616" s="13"/>
      <c r="N616" s="20">
        <f>IF($C616="","",IFERROR(INDEX(EtapaProb,MATCH($G616,Etapas,0)),0))</f>
        <v/>
      </c>
      <c r="O616" s="21">
        <f>IF($C616="","",IF($P616="Aberto",N($H616)*$N616,0))</f>
        <v/>
      </c>
      <c r="P616" s="18">
        <f>IF($C616="","",IF($G616="Ganho","Ganho",IF($G616="Perdido","Perdido","Aberto")))</f>
        <v/>
      </c>
      <c r="Q616" s="18">
        <f>IF(OR($C616="",$P616&lt;&gt;"Aberto"),"",IF($I616="",Hoje-$B616,Hoje-$I616))</f>
        <v/>
      </c>
      <c r="R616" s="22">
        <f>IF(OR($C616="",$P616&lt;&gt;"Aberto"),"",IF($J616="",IF($Q616&gt;DiasSC,"ATRASADO","Definir data"),IF($J616&lt;Hoje,"ATRASADO",IF($J616=Hoje,"HOJE","Em dia"))))</f>
        <v/>
      </c>
      <c r="S616" s="23">
        <f>IF($R616="","",IF(OR($R616="ATRASADO",$R616="HOJE",$R616="Definir data"),COUNTIF($R$5:$R616,"ATRASADO")+COUNTIF($R$5:$R616,"HOJE")+COUNTIF($R$5:$R616,"Definir data"),""))</f>
        <v/>
      </c>
      <c r="T616" s="18">
        <f>IF($C616="","",IF(OR($B616="",$E616="",$F616="",$G616=""),"Preencher entrada/origem/vendedor/etapa",IF(AND(OR($P616="Ganho",$P616="Perdido"),$K616=""),"Falta data de fechamento",IF(AND($P616="Perdido",$L616=""),"Informe o motivo da perda","OK"))))</f>
        <v/>
      </c>
    </row>
    <row r="617" spans="1:20">
      <c r="A617" s="18">
        <f>IF($C617="","",ROW()-4)</f>
        <v/>
      </c>
      <c r="B617" s="19"/>
      <c r="C617" s="13"/>
      <c r="D617" s="13"/>
      <c r="E617" s="13"/>
      <c r="F617" s="13"/>
      <c r="G617" s="13"/>
      <c r="H617" s="15"/>
      <c r="I617" s="19"/>
      <c r="J617" s="19"/>
      <c r="K617" s="19"/>
      <c r="L617" s="13"/>
      <c r="M617" s="13"/>
      <c r="N617" s="20">
        <f>IF($C617="","",IFERROR(INDEX(EtapaProb,MATCH($G617,Etapas,0)),0))</f>
        <v/>
      </c>
      <c r="O617" s="21">
        <f>IF($C617="","",IF($P617="Aberto",N($H617)*$N617,0))</f>
        <v/>
      </c>
      <c r="P617" s="18">
        <f>IF($C617="","",IF($G617="Ganho","Ganho",IF($G617="Perdido","Perdido","Aberto")))</f>
        <v/>
      </c>
      <c r="Q617" s="18">
        <f>IF(OR($C617="",$P617&lt;&gt;"Aberto"),"",IF($I617="",Hoje-$B617,Hoje-$I617))</f>
        <v/>
      </c>
      <c r="R617" s="22">
        <f>IF(OR($C617="",$P617&lt;&gt;"Aberto"),"",IF($J617="",IF($Q617&gt;DiasSC,"ATRASADO","Definir data"),IF($J617&lt;Hoje,"ATRASADO",IF($J617=Hoje,"HOJE","Em dia"))))</f>
        <v/>
      </c>
      <c r="S617" s="23">
        <f>IF($R617="","",IF(OR($R617="ATRASADO",$R617="HOJE",$R617="Definir data"),COUNTIF($R$5:$R617,"ATRASADO")+COUNTIF($R$5:$R617,"HOJE")+COUNTIF($R$5:$R617,"Definir data"),""))</f>
        <v/>
      </c>
      <c r="T617" s="18">
        <f>IF($C617="","",IF(OR($B617="",$E617="",$F617="",$G617=""),"Preencher entrada/origem/vendedor/etapa",IF(AND(OR($P617="Ganho",$P617="Perdido"),$K617=""),"Falta data de fechamento",IF(AND($P617="Perdido",$L617=""),"Informe o motivo da perda","OK"))))</f>
        <v/>
      </c>
    </row>
    <row r="618" spans="1:20">
      <c r="A618" s="18">
        <f>IF($C618="","",ROW()-4)</f>
        <v/>
      </c>
      <c r="B618" s="19"/>
      <c r="C618" s="13"/>
      <c r="D618" s="13"/>
      <c r="E618" s="13"/>
      <c r="F618" s="13"/>
      <c r="G618" s="13"/>
      <c r="H618" s="15"/>
      <c r="I618" s="19"/>
      <c r="J618" s="19"/>
      <c r="K618" s="19"/>
      <c r="L618" s="13"/>
      <c r="M618" s="13"/>
      <c r="N618" s="20">
        <f>IF($C618="","",IFERROR(INDEX(EtapaProb,MATCH($G618,Etapas,0)),0))</f>
        <v/>
      </c>
      <c r="O618" s="21">
        <f>IF($C618="","",IF($P618="Aberto",N($H618)*$N618,0))</f>
        <v/>
      </c>
      <c r="P618" s="18">
        <f>IF($C618="","",IF($G618="Ganho","Ganho",IF($G618="Perdido","Perdido","Aberto")))</f>
        <v/>
      </c>
      <c r="Q618" s="18">
        <f>IF(OR($C618="",$P618&lt;&gt;"Aberto"),"",IF($I618="",Hoje-$B618,Hoje-$I618))</f>
        <v/>
      </c>
      <c r="R618" s="22">
        <f>IF(OR($C618="",$P618&lt;&gt;"Aberto"),"",IF($J618="",IF($Q618&gt;DiasSC,"ATRASADO","Definir data"),IF($J618&lt;Hoje,"ATRASADO",IF($J618=Hoje,"HOJE","Em dia"))))</f>
        <v/>
      </c>
      <c r="S618" s="23">
        <f>IF($R618="","",IF(OR($R618="ATRASADO",$R618="HOJE",$R618="Definir data"),COUNTIF($R$5:$R618,"ATRASADO")+COUNTIF($R$5:$R618,"HOJE")+COUNTIF($R$5:$R618,"Definir data"),""))</f>
        <v/>
      </c>
      <c r="T618" s="18">
        <f>IF($C618="","",IF(OR($B618="",$E618="",$F618="",$G618=""),"Preencher entrada/origem/vendedor/etapa",IF(AND(OR($P618="Ganho",$P618="Perdido"),$K618=""),"Falta data de fechamento",IF(AND($P618="Perdido",$L618=""),"Informe o motivo da perda","OK"))))</f>
        <v/>
      </c>
    </row>
    <row r="619" spans="1:20">
      <c r="A619" s="18">
        <f>IF($C619="","",ROW()-4)</f>
        <v/>
      </c>
      <c r="B619" s="19"/>
      <c r="C619" s="13"/>
      <c r="D619" s="13"/>
      <c r="E619" s="13"/>
      <c r="F619" s="13"/>
      <c r="G619" s="13"/>
      <c r="H619" s="15"/>
      <c r="I619" s="19"/>
      <c r="J619" s="19"/>
      <c r="K619" s="19"/>
      <c r="L619" s="13"/>
      <c r="M619" s="13"/>
      <c r="N619" s="20">
        <f>IF($C619="","",IFERROR(INDEX(EtapaProb,MATCH($G619,Etapas,0)),0))</f>
        <v/>
      </c>
      <c r="O619" s="21">
        <f>IF($C619="","",IF($P619="Aberto",N($H619)*$N619,0))</f>
        <v/>
      </c>
      <c r="P619" s="18">
        <f>IF($C619="","",IF($G619="Ganho","Ganho",IF($G619="Perdido","Perdido","Aberto")))</f>
        <v/>
      </c>
      <c r="Q619" s="18">
        <f>IF(OR($C619="",$P619&lt;&gt;"Aberto"),"",IF($I619="",Hoje-$B619,Hoje-$I619))</f>
        <v/>
      </c>
      <c r="R619" s="22">
        <f>IF(OR($C619="",$P619&lt;&gt;"Aberto"),"",IF($J619="",IF($Q619&gt;DiasSC,"ATRASADO","Definir data"),IF($J619&lt;Hoje,"ATRASADO",IF($J619=Hoje,"HOJE","Em dia"))))</f>
        <v/>
      </c>
      <c r="S619" s="23">
        <f>IF($R619="","",IF(OR($R619="ATRASADO",$R619="HOJE",$R619="Definir data"),COUNTIF($R$5:$R619,"ATRASADO")+COUNTIF($R$5:$R619,"HOJE")+COUNTIF($R$5:$R619,"Definir data"),""))</f>
        <v/>
      </c>
      <c r="T619" s="18">
        <f>IF($C619="","",IF(OR($B619="",$E619="",$F619="",$G619=""),"Preencher entrada/origem/vendedor/etapa",IF(AND(OR($P619="Ganho",$P619="Perdido"),$K619=""),"Falta data de fechamento",IF(AND($P619="Perdido",$L619=""),"Informe o motivo da perda","OK"))))</f>
        <v/>
      </c>
    </row>
    <row r="620" spans="1:20">
      <c r="A620" s="18">
        <f>IF($C620="","",ROW()-4)</f>
        <v/>
      </c>
      <c r="B620" s="19"/>
      <c r="C620" s="13"/>
      <c r="D620" s="13"/>
      <c r="E620" s="13"/>
      <c r="F620" s="13"/>
      <c r="G620" s="13"/>
      <c r="H620" s="15"/>
      <c r="I620" s="19"/>
      <c r="J620" s="19"/>
      <c r="K620" s="19"/>
      <c r="L620" s="13"/>
      <c r="M620" s="13"/>
      <c r="N620" s="20">
        <f>IF($C620="","",IFERROR(INDEX(EtapaProb,MATCH($G620,Etapas,0)),0))</f>
        <v/>
      </c>
      <c r="O620" s="21">
        <f>IF($C620="","",IF($P620="Aberto",N($H620)*$N620,0))</f>
        <v/>
      </c>
      <c r="P620" s="18">
        <f>IF($C620="","",IF($G620="Ganho","Ganho",IF($G620="Perdido","Perdido","Aberto")))</f>
        <v/>
      </c>
      <c r="Q620" s="18">
        <f>IF(OR($C620="",$P620&lt;&gt;"Aberto"),"",IF($I620="",Hoje-$B620,Hoje-$I620))</f>
        <v/>
      </c>
      <c r="R620" s="22">
        <f>IF(OR($C620="",$P620&lt;&gt;"Aberto"),"",IF($J620="",IF($Q620&gt;DiasSC,"ATRASADO","Definir data"),IF($J620&lt;Hoje,"ATRASADO",IF($J620=Hoje,"HOJE","Em dia"))))</f>
        <v/>
      </c>
      <c r="S620" s="23">
        <f>IF($R620="","",IF(OR($R620="ATRASADO",$R620="HOJE",$R620="Definir data"),COUNTIF($R$5:$R620,"ATRASADO")+COUNTIF($R$5:$R620,"HOJE")+COUNTIF($R$5:$R620,"Definir data"),""))</f>
        <v/>
      </c>
      <c r="T620" s="18">
        <f>IF($C620="","",IF(OR($B620="",$E620="",$F620="",$G620=""),"Preencher entrada/origem/vendedor/etapa",IF(AND(OR($P620="Ganho",$P620="Perdido"),$K620=""),"Falta data de fechamento",IF(AND($P620="Perdido",$L620=""),"Informe o motivo da perda","OK"))))</f>
        <v/>
      </c>
    </row>
    <row r="621" spans="1:20">
      <c r="A621" s="18">
        <f>IF($C621="","",ROW()-4)</f>
        <v/>
      </c>
      <c r="B621" s="19"/>
      <c r="C621" s="13"/>
      <c r="D621" s="13"/>
      <c r="E621" s="13"/>
      <c r="F621" s="13"/>
      <c r="G621" s="13"/>
      <c r="H621" s="15"/>
      <c r="I621" s="19"/>
      <c r="J621" s="19"/>
      <c r="K621" s="19"/>
      <c r="L621" s="13"/>
      <c r="M621" s="13"/>
      <c r="N621" s="20">
        <f>IF($C621="","",IFERROR(INDEX(EtapaProb,MATCH($G621,Etapas,0)),0))</f>
        <v/>
      </c>
      <c r="O621" s="21">
        <f>IF($C621="","",IF($P621="Aberto",N($H621)*$N621,0))</f>
        <v/>
      </c>
      <c r="P621" s="18">
        <f>IF($C621="","",IF($G621="Ganho","Ganho",IF($G621="Perdido","Perdido","Aberto")))</f>
        <v/>
      </c>
      <c r="Q621" s="18">
        <f>IF(OR($C621="",$P621&lt;&gt;"Aberto"),"",IF($I621="",Hoje-$B621,Hoje-$I621))</f>
        <v/>
      </c>
      <c r="R621" s="22">
        <f>IF(OR($C621="",$P621&lt;&gt;"Aberto"),"",IF($J621="",IF($Q621&gt;DiasSC,"ATRASADO","Definir data"),IF($J621&lt;Hoje,"ATRASADO",IF($J621=Hoje,"HOJE","Em dia"))))</f>
        <v/>
      </c>
      <c r="S621" s="23">
        <f>IF($R621="","",IF(OR($R621="ATRASADO",$R621="HOJE",$R621="Definir data"),COUNTIF($R$5:$R621,"ATRASADO")+COUNTIF($R$5:$R621,"HOJE")+COUNTIF($R$5:$R621,"Definir data"),""))</f>
        <v/>
      </c>
      <c r="T621" s="18">
        <f>IF($C621="","",IF(OR($B621="",$E621="",$F621="",$G621=""),"Preencher entrada/origem/vendedor/etapa",IF(AND(OR($P621="Ganho",$P621="Perdido"),$K621=""),"Falta data de fechamento",IF(AND($P621="Perdido",$L621=""),"Informe o motivo da perda","OK"))))</f>
        <v/>
      </c>
    </row>
    <row r="622" spans="1:20">
      <c r="A622" s="18">
        <f>IF($C622="","",ROW()-4)</f>
        <v/>
      </c>
      <c r="B622" s="19"/>
      <c r="C622" s="13"/>
      <c r="D622" s="13"/>
      <c r="E622" s="13"/>
      <c r="F622" s="13"/>
      <c r="G622" s="13"/>
      <c r="H622" s="15"/>
      <c r="I622" s="19"/>
      <c r="J622" s="19"/>
      <c r="K622" s="19"/>
      <c r="L622" s="13"/>
      <c r="M622" s="13"/>
      <c r="N622" s="20">
        <f>IF($C622="","",IFERROR(INDEX(EtapaProb,MATCH($G622,Etapas,0)),0))</f>
        <v/>
      </c>
      <c r="O622" s="21">
        <f>IF($C622="","",IF($P622="Aberto",N($H622)*$N622,0))</f>
        <v/>
      </c>
      <c r="P622" s="18">
        <f>IF($C622="","",IF($G622="Ganho","Ganho",IF($G622="Perdido","Perdido","Aberto")))</f>
        <v/>
      </c>
      <c r="Q622" s="18">
        <f>IF(OR($C622="",$P622&lt;&gt;"Aberto"),"",IF($I622="",Hoje-$B622,Hoje-$I622))</f>
        <v/>
      </c>
      <c r="R622" s="22">
        <f>IF(OR($C622="",$P622&lt;&gt;"Aberto"),"",IF($J622="",IF($Q622&gt;DiasSC,"ATRASADO","Definir data"),IF($J622&lt;Hoje,"ATRASADO",IF($J622=Hoje,"HOJE","Em dia"))))</f>
        <v/>
      </c>
      <c r="S622" s="23">
        <f>IF($R622="","",IF(OR($R622="ATRASADO",$R622="HOJE",$R622="Definir data"),COUNTIF($R$5:$R622,"ATRASADO")+COUNTIF($R$5:$R622,"HOJE")+COUNTIF($R$5:$R622,"Definir data"),""))</f>
        <v/>
      </c>
      <c r="T622" s="18">
        <f>IF($C622="","",IF(OR($B622="",$E622="",$F622="",$G622=""),"Preencher entrada/origem/vendedor/etapa",IF(AND(OR($P622="Ganho",$P622="Perdido"),$K622=""),"Falta data de fechamento",IF(AND($P622="Perdido",$L622=""),"Informe o motivo da perda","OK"))))</f>
        <v/>
      </c>
    </row>
    <row r="623" spans="1:20">
      <c r="A623" s="18">
        <f>IF($C623="","",ROW()-4)</f>
        <v/>
      </c>
      <c r="B623" s="19"/>
      <c r="C623" s="13"/>
      <c r="D623" s="13"/>
      <c r="E623" s="13"/>
      <c r="F623" s="13"/>
      <c r="G623" s="13"/>
      <c r="H623" s="15"/>
      <c r="I623" s="19"/>
      <c r="J623" s="19"/>
      <c r="K623" s="19"/>
      <c r="L623" s="13"/>
      <c r="M623" s="13"/>
      <c r="N623" s="20">
        <f>IF($C623="","",IFERROR(INDEX(EtapaProb,MATCH($G623,Etapas,0)),0))</f>
        <v/>
      </c>
      <c r="O623" s="21">
        <f>IF($C623="","",IF($P623="Aberto",N($H623)*$N623,0))</f>
        <v/>
      </c>
      <c r="P623" s="18">
        <f>IF($C623="","",IF($G623="Ganho","Ganho",IF($G623="Perdido","Perdido","Aberto")))</f>
        <v/>
      </c>
      <c r="Q623" s="18">
        <f>IF(OR($C623="",$P623&lt;&gt;"Aberto"),"",IF($I623="",Hoje-$B623,Hoje-$I623))</f>
        <v/>
      </c>
      <c r="R623" s="22">
        <f>IF(OR($C623="",$P623&lt;&gt;"Aberto"),"",IF($J623="",IF($Q623&gt;DiasSC,"ATRASADO","Definir data"),IF($J623&lt;Hoje,"ATRASADO",IF($J623=Hoje,"HOJE","Em dia"))))</f>
        <v/>
      </c>
      <c r="S623" s="23">
        <f>IF($R623="","",IF(OR($R623="ATRASADO",$R623="HOJE",$R623="Definir data"),COUNTIF($R$5:$R623,"ATRASADO")+COUNTIF($R$5:$R623,"HOJE")+COUNTIF($R$5:$R623,"Definir data"),""))</f>
        <v/>
      </c>
      <c r="T623" s="18">
        <f>IF($C623="","",IF(OR($B623="",$E623="",$F623="",$G623=""),"Preencher entrada/origem/vendedor/etapa",IF(AND(OR($P623="Ganho",$P623="Perdido"),$K623=""),"Falta data de fechamento",IF(AND($P623="Perdido",$L623=""),"Informe o motivo da perda","OK"))))</f>
        <v/>
      </c>
    </row>
    <row r="624" spans="1:20">
      <c r="A624" s="18">
        <f>IF($C624="","",ROW()-4)</f>
        <v/>
      </c>
      <c r="B624" s="19"/>
      <c r="C624" s="13"/>
      <c r="D624" s="13"/>
      <c r="E624" s="13"/>
      <c r="F624" s="13"/>
      <c r="G624" s="13"/>
      <c r="H624" s="15"/>
      <c r="I624" s="19"/>
      <c r="J624" s="19"/>
      <c r="K624" s="19"/>
      <c r="L624" s="13"/>
      <c r="M624" s="13"/>
      <c r="N624" s="20">
        <f>IF($C624="","",IFERROR(INDEX(EtapaProb,MATCH($G624,Etapas,0)),0))</f>
        <v/>
      </c>
      <c r="O624" s="21">
        <f>IF($C624="","",IF($P624="Aberto",N($H624)*$N624,0))</f>
        <v/>
      </c>
      <c r="P624" s="18">
        <f>IF($C624="","",IF($G624="Ganho","Ganho",IF($G624="Perdido","Perdido","Aberto")))</f>
        <v/>
      </c>
      <c r="Q624" s="18">
        <f>IF(OR($C624="",$P624&lt;&gt;"Aberto"),"",IF($I624="",Hoje-$B624,Hoje-$I624))</f>
        <v/>
      </c>
      <c r="R624" s="22">
        <f>IF(OR($C624="",$P624&lt;&gt;"Aberto"),"",IF($J624="",IF($Q624&gt;DiasSC,"ATRASADO","Definir data"),IF($J624&lt;Hoje,"ATRASADO",IF($J624=Hoje,"HOJE","Em dia"))))</f>
        <v/>
      </c>
      <c r="S624" s="23">
        <f>IF($R624="","",IF(OR($R624="ATRASADO",$R624="HOJE",$R624="Definir data"),COUNTIF($R$5:$R624,"ATRASADO")+COUNTIF($R$5:$R624,"HOJE")+COUNTIF($R$5:$R624,"Definir data"),""))</f>
        <v/>
      </c>
      <c r="T624" s="18">
        <f>IF($C624="","",IF(OR($B624="",$E624="",$F624="",$G624=""),"Preencher entrada/origem/vendedor/etapa",IF(AND(OR($P624="Ganho",$P624="Perdido"),$K624=""),"Falta data de fechamento",IF(AND($P624="Perdido",$L624=""),"Informe o motivo da perda","OK"))))</f>
        <v/>
      </c>
    </row>
    <row r="625" spans="1:20">
      <c r="A625" s="18">
        <f>IF($C625="","",ROW()-4)</f>
        <v/>
      </c>
      <c r="B625" s="19"/>
      <c r="C625" s="13"/>
      <c r="D625" s="13"/>
      <c r="E625" s="13"/>
      <c r="F625" s="13"/>
      <c r="G625" s="13"/>
      <c r="H625" s="15"/>
      <c r="I625" s="19"/>
      <c r="J625" s="19"/>
      <c r="K625" s="19"/>
      <c r="L625" s="13"/>
      <c r="M625" s="13"/>
      <c r="N625" s="20">
        <f>IF($C625="","",IFERROR(INDEX(EtapaProb,MATCH($G625,Etapas,0)),0))</f>
        <v/>
      </c>
      <c r="O625" s="21">
        <f>IF($C625="","",IF($P625="Aberto",N($H625)*$N625,0))</f>
        <v/>
      </c>
      <c r="P625" s="18">
        <f>IF($C625="","",IF($G625="Ganho","Ganho",IF($G625="Perdido","Perdido","Aberto")))</f>
        <v/>
      </c>
      <c r="Q625" s="18">
        <f>IF(OR($C625="",$P625&lt;&gt;"Aberto"),"",IF($I625="",Hoje-$B625,Hoje-$I625))</f>
        <v/>
      </c>
      <c r="R625" s="22">
        <f>IF(OR($C625="",$P625&lt;&gt;"Aberto"),"",IF($J625="",IF($Q625&gt;DiasSC,"ATRASADO","Definir data"),IF($J625&lt;Hoje,"ATRASADO",IF($J625=Hoje,"HOJE","Em dia"))))</f>
        <v/>
      </c>
      <c r="S625" s="23">
        <f>IF($R625="","",IF(OR($R625="ATRASADO",$R625="HOJE",$R625="Definir data"),COUNTIF($R$5:$R625,"ATRASADO")+COUNTIF($R$5:$R625,"HOJE")+COUNTIF($R$5:$R625,"Definir data"),""))</f>
        <v/>
      </c>
      <c r="T625" s="18">
        <f>IF($C625="","",IF(OR($B625="",$E625="",$F625="",$G625=""),"Preencher entrada/origem/vendedor/etapa",IF(AND(OR($P625="Ganho",$P625="Perdido"),$K625=""),"Falta data de fechamento",IF(AND($P625="Perdido",$L625=""),"Informe o motivo da perda","OK"))))</f>
        <v/>
      </c>
    </row>
    <row r="626" spans="1:20">
      <c r="A626" s="18">
        <f>IF($C626="","",ROW()-4)</f>
        <v/>
      </c>
      <c r="B626" s="19"/>
      <c r="C626" s="13"/>
      <c r="D626" s="13"/>
      <c r="E626" s="13"/>
      <c r="F626" s="13"/>
      <c r="G626" s="13"/>
      <c r="H626" s="15"/>
      <c r="I626" s="19"/>
      <c r="J626" s="19"/>
      <c r="K626" s="19"/>
      <c r="L626" s="13"/>
      <c r="M626" s="13"/>
      <c r="N626" s="20">
        <f>IF($C626="","",IFERROR(INDEX(EtapaProb,MATCH($G626,Etapas,0)),0))</f>
        <v/>
      </c>
      <c r="O626" s="21">
        <f>IF($C626="","",IF($P626="Aberto",N($H626)*$N626,0))</f>
        <v/>
      </c>
      <c r="P626" s="18">
        <f>IF($C626="","",IF($G626="Ganho","Ganho",IF($G626="Perdido","Perdido","Aberto")))</f>
        <v/>
      </c>
      <c r="Q626" s="18">
        <f>IF(OR($C626="",$P626&lt;&gt;"Aberto"),"",IF($I626="",Hoje-$B626,Hoje-$I626))</f>
        <v/>
      </c>
      <c r="R626" s="22">
        <f>IF(OR($C626="",$P626&lt;&gt;"Aberto"),"",IF($J626="",IF($Q626&gt;DiasSC,"ATRASADO","Definir data"),IF($J626&lt;Hoje,"ATRASADO",IF($J626=Hoje,"HOJE","Em dia"))))</f>
        <v/>
      </c>
      <c r="S626" s="23">
        <f>IF($R626="","",IF(OR($R626="ATRASADO",$R626="HOJE",$R626="Definir data"),COUNTIF($R$5:$R626,"ATRASADO")+COUNTIF($R$5:$R626,"HOJE")+COUNTIF($R$5:$R626,"Definir data"),""))</f>
        <v/>
      </c>
      <c r="T626" s="18">
        <f>IF($C626="","",IF(OR($B626="",$E626="",$F626="",$G626=""),"Preencher entrada/origem/vendedor/etapa",IF(AND(OR($P626="Ganho",$P626="Perdido"),$K626=""),"Falta data de fechamento",IF(AND($P626="Perdido",$L626=""),"Informe o motivo da perda","OK"))))</f>
        <v/>
      </c>
    </row>
    <row r="627" spans="1:20">
      <c r="A627" s="18">
        <f>IF($C627="","",ROW()-4)</f>
        <v/>
      </c>
      <c r="B627" s="19"/>
      <c r="C627" s="13"/>
      <c r="D627" s="13"/>
      <c r="E627" s="13"/>
      <c r="F627" s="13"/>
      <c r="G627" s="13"/>
      <c r="H627" s="15"/>
      <c r="I627" s="19"/>
      <c r="J627" s="19"/>
      <c r="K627" s="19"/>
      <c r="L627" s="13"/>
      <c r="M627" s="13"/>
      <c r="N627" s="20">
        <f>IF($C627="","",IFERROR(INDEX(EtapaProb,MATCH($G627,Etapas,0)),0))</f>
        <v/>
      </c>
      <c r="O627" s="21">
        <f>IF($C627="","",IF($P627="Aberto",N($H627)*$N627,0))</f>
        <v/>
      </c>
      <c r="P627" s="18">
        <f>IF($C627="","",IF($G627="Ganho","Ganho",IF($G627="Perdido","Perdido","Aberto")))</f>
        <v/>
      </c>
      <c r="Q627" s="18">
        <f>IF(OR($C627="",$P627&lt;&gt;"Aberto"),"",IF($I627="",Hoje-$B627,Hoje-$I627))</f>
        <v/>
      </c>
      <c r="R627" s="22">
        <f>IF(OR($C627="",$P627&lt;&gt;"Aberto"),"",IF($J627="",IF($Q627&gt;DiasSC,"ATRASADO","Definir data"),IF($J627&lt;Hoje,"ATRASADO",IF($J627=Hoje,"HOJE","Em dia"))))</f>
        <v/>
      </c>
      <c r="S627" s="23">
        <f>IF($R627="","",IF(OR($R627="ATRASADO",$R627="HOJE",$R627="Definir data"),COUNTIF($R$5:$R627,"ATRASADO")+COUNTIF($R$5:$R627,"HOJE")+COUNTIF($R$5:$R627,"Definir data"),""))</f>
        <v/>
      </c>
      <c r="T627" s="18">
        <f>IF($C627="","",IF(OR($B627="",$E627="",$F627="",$G627=""),"Preencher entrada/origem/vendedor/etapa",IF(AND(OR($P627="Ganho",$P627="Perdido"),$K627=""),"Falta data de fechamento",IF(AND($P627="Perdido",$L627=""),"Informe o motivo da perda","OK"))))</f>
        <v/>
      </c>
    </row>
    <row r="628" spans="1:20">
      <c r="A628" s="18">
        <f>IF($C628="","",ROW()-4)</f>
        <v/>
      </c>
      <c r="B628" s="19"/>
      <c r="C628" s="13"/>
      <c r="D628" s="13"/>
      <c r="E628" s="13"/>
      <c r="F628" s="13"/>
      <c r="G628" s="13"/>
      <c r="H628" s="15"/>
      <c r="I628" s="19"/>
      <c r="J628" s="19"/>
      <c r="K628" s="19"/>
      <c r="L628" s="13"/>
      <c r="M628" s="13"/>
      <c r="N628" s="20">
        <f>IF($C628="","",IFERROR(INDEX(EtapaProb,MATCH($G628,Etapas,0)),0))</f>
        <v/>
      </c>
      <c r="O628" s="21">
        <f>IF($C628="","",IF($P628="Aberto",N($H628)*$N628,0))</f>
        <v/>
      </c>
      <c r="P628" s="18">
        <f>IF($C628="","",IF($G628="Ganho","Ganho",IF($G628="Perdido","Perdido","Aberto")))</f>
        <v/>
      </c>
      <c r="Q628" s="18">
        <f>IF(OR($C628="",$P628&lt;&gt;"Aberto"),"",IF($I628="",Hoje-$B628,Hoje-$I628))</f>
        <v/>
      </c>
      <c r="R628" s="22">
        <f>IF(OR($C628="",$P628&lt;&gt;"Aberto"),"",IF($J628="",IF($Q628&gt;DiasSC,"ATRASADO","Definir data"),IF($J628&lt;Hoje,"ATRASADO",IF($J628=Hoje,"HOJE","Em dia"))))</f>
        <v/>
      </c>
      <c r="S628" s="23">
        <f>IF($R628="","",IF(OR($R628="ATRASADO",$R628="HOJE",$R628="Definir data"),COUNTIF($R$5:$R628,"ATRASADO")+COUNTIF($R$5:$R628,"HOJE")+COUNTIF($R$5:$R628,"Definir data"),""))</f>
        <v/>
      </c>
      <c r="T628" s="18">
        <f>IF($C628="","",IF(OR($B628="",$E628="",$F628="",$G628=""),"Preencher entrada/origem/vendedor/etapa",IF(AND(OR($P628="Ganho",$P628="Perdido"),$K628=""),"Falta data de fechamento",IF(AND($P628="Perdido",$L628=""),"Informe o motivo da perda","OK"))))</f>
        <v/>
      </c>
    </row>
    <row r="629" spans="1:20">
      <c r="A629" s="18">
        <f>IF($C629="","",ROW()-4)</f>
        <v/>
      </c>
      <c r="B629" s="19"/>
      <c r="C629" s="13"/>
      <c r="D629" s="13"/>
      <c r="E629" s="13"/>
      <c r="F629" s="13"/>
      <c r="G629" s="13"/>
      <c r="H629" s="15"/>
      <c r="I629" s="19"/>
      <c r="J629" s="19"/>
      <c r="K629" s="19"/>
      <c r="L629" s="13"/>
      <c r="M629" s="13"/>
      <c r="N629" s="20">
        <f>IF($C629="","",IFERROR(INDEX(EtapaProb,MATCH($G629,Etapas,0)),0))</f>
        <v/>
      </c>
      <c r="O629" s="21">
        <f>IF($C629="","",IF($P629="Aberto",N($H629)*$N629,0))</f>
        <v/>
      </c>
      <c r="P629" s="18">
        <f>IF($C629="","",IF($G629="Ganho","Ganho",IF($G629="Perdido","Perdido","Aberto")))</f>
        <v/>
      </c>
      <c r="Q629" s="18">
        <f>IF(OR($C629="",$P629&lt;&gt;"Aberto"),"",IF($I629="",Hoje-$B629,Hoje-$I629))</f>
        <v/>
      </c>
      <c r="R629" s="22">
        <f>IF(OR($C629="",$P629&lt;&gt;"Aberto"),"",IF($J629="",IF($Q629&gt;DiasSC,"ATRASADO","Definir data"),IF($J629&lt;Hoje,"ATRASADO",IF($J629=Hoje,"HOJE","Em dia"))))</f>
        <v/>
      </c>
      <c r="S629" s="23">
        <f>IF($R629="","",IF(OR($R629="ATRASADO",$R629="HOJE",$R629="Definir data"),COUNTIF($R$5:$R629,"ATRASADO")+COUNTIF($R$5:$R629,"HOJE")+COUNTIF($R$5:$R629,"Definir data"),""))</f>
        <v/>
      </c>
      <c r="T629" s="18">
        <f>IF($C629="","",IF(OR($B629="",$E629="",$F629="",$G629=""),"Preencher entrada/origem/vendedor/etapa",IF(AND(OR($P629="Ganho",$P629="Perdido"),$K629=""),"Falta data de fechamento",IF(AND($P629="Perdido",$L629=""),"Informe o motivo da perda","OK"))))</f>
        <v/>
      </c>
    </row>
    <row r="630" spans="1:20">
      <c r="A630" s="18">
        <f>IF($C630="","",ROW()-4)</f>
        <v/>
      </c>
      <c r="B630" s="19"/>
      <c r="C630" s="13"/>
      <c r="D630" s="13"/>
      <c r="E630" s="13"/>
      <c r="F630" s="13"/>
      <c r="G630" s="13"/>
      <c r="H630" s="15"/>
      <c r="I630" s="19"/>
      <c r="J630" s="19"/>
      <c r="K630" s="19"/>
      <c r="L630" s="13"/>
      <c r="M630" s="13"/>
      <c r="N630" s="20">
        <f>IF($C630="","",IFERROR(INDEX(EtapaProb,MATCH($G630,Etapas,0)),0))</f>
        <v/>
      </c>
      <c r="O630" s="21">
        <f>IF($C630="","",IF($P630="Aberto",N($H630)*$N630,0))</f>
        <v/>
      </c>
      <c r="P630" s="18">
        <f>IF($C630="","",IF($G630="Ganho","Ganho",IF($G630="Perdido","Perdido","Aberto")))</f>
        <v/>
      </c>
      <c r="Q630" s="18">
        <f>IF(OR($C630="",$P630&lt;&gt;"Aberto"),"",IF($I630="",Hoje-$B630,Hoje-$I630))</f>
        <v/>
      </c>
      <c r="R630" s="22">
        <f>IF(OR($C630="",$P630&lt;&gt;"Aberto"),"",IF($J630="",IF($Q630&gt;DiasSC,"ATRASADO","Definir data"),IF($J630&lt;Hoje,"ATRASADO",IF($J630=Hoje,"HOJE","Em dia"))))</f>
        <v/>
      </c>
      <c r="S630" s="23">
        <f>IF($R630="","",IF(OR($R630="ATRASADO",$R630="HOJE",$R630="Definir data"),COUNTIF($R$5:$R630,"ATRASADO")+COUNTIF($R$5:$R630,"HOJE")+COUNTIF($R$5:$R630,"Definir data"),""))</f>
        <v/>
      </c>
      <c r="T630" s="18">
        <f>IF($C630="","",IF(OR($B630="",$E630="",$F630="",$G630=""),"Preencher entrada/origem/vendedor/etapa",IF(AND(OR($P630="Ganho",$P630="Perdido"),$K630=""),"Falta data de fechamento",IF(AND($P630="Perdido",$L630=""),"Informe o motivo da perda","OK"))))</f>
        <v/>
      </c>
    </row>
    <row r="631" spans="1:20">
      <c r="A631" s="18">
        <f>IF($C631="","",ROW()-4)</f>
        <v/>
      </c>
      <c r="B631" s="19"/>
      <c r="C631" s="13"/>
      <c r="D631" s="13"/>
      <c r="E631" s="13"/>
      <c r="F631" s="13"/>
      <c r="G631" s="13"/>
      <c r="H631" s="15"/>
      <c r="I631" s="19"/>
      <c r="J631" s="19"/>
      <c r="K631" s="19"/>
      <c r="L631" s="13"/>
      <c r="M631" s="13"/>
      <c r="N631" s="20">
        <f>IF($C631="","",IFERROR(INDEX(EtapaProb,MATCH($G631,Etapas,0)),0))</f>
        <v/>
      </c>
      <c r="O631" s="21">
        <f>IF($C631="","",IF($P631="Aberto",N($H631)*$N631,0))</f>
        <v/>
      </c>
      <c r="P631" s="18">
        <f>IF($C631="","",IF($G631="Ganho","Ganho",IF($G631="Perdido","Perdido","Aberto")))</f>
        <v/>
      </c>
      <c r="Q631" s="18">
        <f>IF(OR($C631="",$P631&lt;&gt;"Aberto"),"",IF($I631="",Hoje-$B631,Hoje-$I631))</f>
        <v/>
      </c>
      <c r="R631" s="22">
        <f>IF(OR($C631="",$P631&lt;&gt;"Aberto"),"",IF($J631="",IF($Q631&gt;DiasSC,"ATRASADO","Definir data"),IF($J631&lt;Hoje,"ATRASADO",IF($J631=Hoje,"HOJE","Em dia"))))</f>
        <v/>
      </c>
      <c r="S631" s="23">
        <f>IF($R631="","",IF(OR($R631="ATRASADO",$R631="HOJE",$R631="Definir data"),COUNTIF($R$5:$R631,"ATRASADO")+COUNTIF($R$5:$R631,"HOJE")+COUNTIF($R$5:$R631,"Definir data"),""))</f>
        <v/>
      </c>
      <c r="T631" s="18">
        <f>IF($C631="","",IF(OR($B631="",$E631="",$F631="",$G631=""),"Preencher entrada/origem/vendedor/etapa",IF(AND(OR($P631="Ganho",$P631="Perdido"),$K631=""),"Falta data de fechamento",IF(AND($P631="Perdido",$L631=""),"Informe o motivo da perda","OK"))))</f>
        <v/>
      </c>
    </row>
    <row r="632" spans="1:20">
      <c r="A632" s="18">
        <f>IF($C632="","",ROW()-4)</f>
        <v/>
      </c>
      <c r="B632" s="19"/>
      <c r="C632" s="13"/>
      <c r="D632" s="13"/>
      <c r="E632" s="13"/>
      <c r="F632" s="13"/>
      <c r="G632" s="13"/>
      <c r="H632" s="15"/>
      <c r="I632" s="19"/>
      <c r="J632" s="19"/>
      <c r="K632" s="19"/>
      <c r="L632" s="13"/>
      <c r="M632" s="13"/>
      <c r="N632" s="20">
        <f>IF($C632="","",IFERROR(INDEX(EtapaProb,MATCH($G632,Etapas,0)),0))</f>
        <v/>
      </c>
      <c r="O632" s="21">
        <f>IF($C632="","",IF($P632="Aberto",N($H632)*$N632,0))</f>
        <v/>
      </c>
      <c r="P632" s="18">
        <f>IF($C632="","",IF($G632="Ganho","Ganho",IF($G632="Perdido","Perdido","Aberto")))</f>
        <v/>
      </c>
      <c r="Q632" s="18">
        <f>IF(OR($C632="",$P632&lt;&gt;"Aberto"),"",IF($I632="",Hoje-$B632,Hoje-$I632))</f>
        <v/>
      </c>
      <c r="R632" s="22">
        <f>IF(OR($C632="",$P632&lt;&gt;"Aberto"),"",IF($J632="",IF($Q632&gt;DiasSC,"ATRASADO","Definir data"),IF($J632&lt;Hoje,"ATRASADO",IF($J632=Hoje,"HOJE","Em dia"))))</f>
        <v/>
      </c>
      <c r="S632" s="23">
        <f>IF($R632="","",IF(OR($R632="ATRASADO",$R632="HOJE",$R632="Definir data"),COUNTIF($R$5:$R632,"ATRASADO")+COUNTIF($R$5:$R632,"HOJE")+COUNTIF($R$5:$R632,"Definir data"),""))</f>
        <v/>
      </c>
      <c r="T632" s="18">
        <f>IF($C632="","",IF(OR($B632="",$E632="",$F632="",$G632=""),"Preencher entrada/origem/vendedor/etapa",IF(AND(OR($P632="Ganho",$P632="Perdido"),$K632=""),"Falta data de fechamento",IF(AND($P632="Perdido",$L632=""),"Informe o motivo da perda","OK"))))</f>
        <v/>
      </c>
    </row>
    <row r="633" spans="1:20">
      <c r="A633" s="18">
        <f>IF($C633="","",ROW()-4)</f>
        <v/>
      </c>
      <c r="B633" s="19"/>
      <c r="C633" s="13"/>
      <c r="D633" s="13"/>
      <c r="E633" s="13"/>
      <c r="F633" s="13"/>
      <c r="G633" s="13"/>
      <c r="H633" s="15"/>
      <c r="I633" s="19"/>
      <c r="J633" s="19"/>
      <c r="K633" s="19"/>
      <c r="L633" s="13"/>
      <c r="M633" s="13"/>
      <c r="N633" s="20">
        <f>IF($C633="","",IFERROR(INDEX(EtapaProb,MATCH($G633,Etapas,0)),0))</f>
        <v/>
      </c>
      <c r="O633" s="21">
        <f>IF($C633="","",IF($P633="Aberto",N($H633)*$N633,0))</f>
        <v/>
      </c>
      <c r="P633" s="18">
        <f>IF($C633="","",IF($G633="Ganho","Ganho",IF($G633="Perdido","Perdido","Aberto")))</f>
        <v/>
      </c>
      <c r="Q633" s="18">
        <f>IF(OR($C633="",$P633&lt;&gt;"Aberto"),"",IF($I633="",Hoje-$B633,Hoje-$I633))</f>
        <v/>
      </c>
      <c r="R633" s="22">
        <f>IF(OR($C633="",$P633&lt;&gt;"Aberto"),"",IF($J633="",IF($Q633&gt;DiasSC,"ATRASADO","Definir data"),IF($J633&lt;Hoje,"ATRASADO",IF($J633=Hoje,"HOJE","Em dia"))))</f>
        <v/>
      </c>
      <c r="S633" s="23">
        <f>IF($R633="","",IF(OR($R633="ATRASADO",$R633="HOJE",$R633="Definir data"),COUNTIF($R$5:$R633,"ATRASADO")+COUNTIF($R$5:$R633,"HOJE")+COUNTIF($R$5:$R633,"Definir data"),""))</f>
        <v/>
      </c>
      <c r="T633" s="18">
        <f>IF($C633="","",IF(OR($B633="",$E633="",$F633="",$G633=""),"Preencher entrada/origem/vendedor/etapa",IF(AND(OR($P633="Ganho",$P633="Perdido"),$K633=""),"Falta data de fechamento",IF(AND($P633="Perdido",$L633=""),"Informe o motivo da perda","OK"))))</f>
        <v/>
      </c>
    </row>
    <row r="634" spans="1:20">
      <c r="A634" s="18">
        <f>IF($C634="","",ROW()-4)</f>
        <v/>
      </c>
      <c r="B634" s="19"/>
      <c r="C634" s="13"/>
      <c r="D634" s="13"/>
      <c r="E634" s="13"/>
      <c r="F634" s="13"/>
      <c r="G634" s="13"/>
      <c r="H634" s="15"/>
      <c r="I634" s="19"/>
      <c r="J634" s="19"/>
      <c r="K634" s="19"/>
      <c r="L634" s="13"/>
      <c r="M634" s="13"/>
      <c r="N634" s="20">
        <f>IF($C634="","",IFERROR(INDEX(EtapaProb,MATCH($G634,Etapas,0)),0))</f>
        <v/>
      </c>
      <c r="O634" s="21">
        <f>IF($C634="","",IF($P634="Aberto",N($H634)*$N634,0))</f>
        <v/>
      </c>
      <c r="P634" s="18">
        <f>IF($C634="","",IF($G634="Ganho","Ganho",IF($G634="Perdido","Perdido","Aberto")))</f>
        <v/>
      </c>
      <c r="Q634" s="18">
        <f>IF(OR($C634="",$P634&lt;&gt;"Aberto"),"",IF($I634="",Hoje-$B634,Hoje-$I634))</f>
        <v/>
      </c>
      <c r="R634" s="22">
        <f>IF(OR($C634="",$P634&lt;&gt;"Aberto"),"",IF($J634="",IF($Q634&gt;DiasSC,"ATRASADO","Definir data"),IF($J634&lt;Hoje,"ATRASADO",IF($J634=Hoje,"HOJE","Em dia"))))</f>
        <v/>
      </c>
      <c r="S634" s="23">
        <f>IF($R634="","",IF(OR($R634="ATRASADO",$R634="HOJE",$R634="Definir data"),COUNTIF($R$5:$R634,"ATRASADO")+COUNTIF($R$5:$R634,"HOJE")+COUNTIF($R$5:$R634,"Definir data"),""))</f>
        <v/>
      </c>
      <c r="T634" s="18">
        <f>IF($C634="","",IF(OR($B634="",$E634="",$F634="",$G634=""),"Preencher entrada/origem/vendedor/etapa",IF(AND(OR($P634="Ganho",$P634="Perdido"),$K634=""),"Falta data de fechamento",IF(AND($P634="Perdido",$L634=""),"Informe o motivo da perda","OK"))))</f>
        <v/>
      </c>
    </row>
    <row r="635" spans="1:20">
      <c r="A635" s="18">
        <f>IF($C635="","",ROW()-4)</f>
        <v/>
      </c>
      <c r="B635" s="19"/>
      <c r="C635" s="13"/>
      <c r="D635" s="13"/>
      <c r="E635" s="13"/>
      <c r="F635" s="13"/>
      <c r="G635" s="13"/>
      <c r="H635" s="15"/>
      <c r="I635" s="19"/>
      <c r="J635" s="19"/>
      <c r="K635" s="19"/>
      <c r="L635" s="13"/>
      <c r="M635" s="13"/>
      <c r="N635" s="20">
        <f>IF($C635="","",IFERROR(INDEX(EtapaProb,MATCH($G635,Etapas,0)),0))</f>
        <v/>
      </c>
      <c r="O635" s="21">
        <f>IF($C635="","",IF($P635="Aberto",N($H635)*$N635,0))</f>
        <v/>
      </c>
      <c r="P635" s="18">
        <f>IF($C635="","",IF($G635="Ganho","Ganho",IF($G635="Perdido","Perdido","Aberto")))</f>
        <v/>
      </c>
      <c r="Q635" s="18">
        <f>IF(OR($C635="",$P635&lt;&gt;"Aberto"),"",IF($I635="",Hoje-$B635,Hoje-$I635))</f>
        <v/>
      </c>
      <c r="R635" s="22">
        <f>IF(OR($C635="",$P635&lt;&gt;"Aberto"),"",IF($J635="",IF($Q635&gt;DiasSC,"ATRASADO","Definir data"),IF($J635&lt;Hoje,"ATRASADO",IF($J635=Hoje,"HOJE","Em dia"))))</f>
        <v/>
      </c>
      <c r="S635" s="23">
        <f>IF($R635="","",IF(OR($R635="ATRASADO",$R635="HOJE",$R635="Definir data"),COUNTIF($R$5:$R635,"ATRASADO")+COUNTIF($R$5:$R635,"HOJE")+COUNTIF($R$5:$R635,"Definir data"),""))</f>
        <v/>
      </c>
      <c r="T635" s="18">
        <f>IF($C635="","",IF(OR($B635="",$E635="",$F635="",$G635=""),"Preencher entrada/origem/vendedor/etapa",IF(AND(OR($P635="Ganho",$P635="Perdido"),$K635=""),"Falta data de fechamento",IF(AND($P635="Perdido",$L635=""),"Informe o motivo da perda","OK"))))</f>
        <v/>
      </c>
    </row>
    <row r="636" spans="1:20">
      <c r="A636" s="18">
        <f>IF($C636="","",ROW()-4)</f>
        <v/>
      </c>
      <c r="B636" s="19"/>
      <c r="C636" s="13"/>
      <c r="D636" s="13"/>
      <c r="E636" s="13"/>
      <c r="F636" s="13"/>
      <c r="G636" s="13"/>
      <c r="H636" s="15"/>
      <c r="I636" s="19"/>
      <c r="J636" s="19"/>
      <c r="K636" s="19"/>
      <c r="L636" s="13"/>
      <c r="M636" s="13"/>
      <c r="N636" s="20">
        <f>IF($C636="","",IFERROR(INDEX(EtapaProb,MATCH($G636,Etapas,0)),0))</f>
        <v/>
      </c>
      <c r="O636" s="21">
        <f>IF($C636="","",IF($P636="Aberto",N($H636)*$N636,0))</f>
        <v/>
      </c>
      <c r="P636" s="18">
        <f>IF($C636="","",IF($G636="Ganho","Ganho",IF($G636="Perdido","Perdido","Aberto")))</f>
        <v/>
      </c>
      <c r="Q636" s="18">
        <f>IF(OR($C636="",$P636&lt;&gt;"Aberto"),"",IF($I636="",Hoje-$B636,Hoje-$I636))</f>
        <v/>
      </c>
      <c r="R636" s="22">
        <f>IF(OR($C636="",$P636&lt;&gt;"Aberto"),"",IF($J636="",IF($Q636&gt;DiasSC,"ATRASADO","Definir data"),IF($J636&lt;Hoje,"ATRASADO",IF($J636=Hoje,"HOJE","Em dia"))))</f>
        <v/>
      </c>
      <c r="S636" s="23">
        <f>IF($R636="","",IF(OR($R636="ATRASADO",$R636="HOJE",$R636="Definir data"),COUNTIF($R$5:$R636,"ATRASADO")+COUNTIF($R$5:$R636,"HOJE")+COUNTIF($R$5:$R636,"Definir data"),""))</f>
        <v/>
      </c>
      <c r="T636" s="18">
        <f>IF($C636="","",IF(OR($B636="",$E636="",$F636="",$G636=""),"Preencher entrada/origem/vendedor/etapa",IF(AND(OR($P636="Ganho",$P636="Perdido"),$K636=""),"Falta data de fechamento",IF(AND($P636="Perdido",$L636=""),"Informe o motivo da perda","OK"))))</f>
        <v/>
      </c>
    </row>
    <row r="637" spans="1:20">
      <c r="A637" s="18">
        <f>IF($C637="","",ROW()-4)</f>
        <v/>
      </c>
      <c r="B637" s="19"/>
      <c r="C637" s="13"/>
      <c r="D637" s="13"/>
      <c r="E637" s="13"/>
      <c r="F637" s="13"/>
      <c r="G637" s="13"/>
      <c r="H637" s="15"/>
      <c r="I637" s="19"/>
      <c r="J637" s="19"/>
      <c r="K637" s="19"/>
      <c r="L637" s="13"/>
      <c r="M637" s="13"/>
      <c r="N637" s="20">
        <f>IF($C637="","",IFERROR(INDEX(EtapaProb,MATCH($G637,Etapas,0)),0))</f>
        <v/>
      </c>
      <c r="O637" s="21">
        <f>IF($C637="","",IF($P637="Aberto",N($H637)*$N637,0))</f>
        <v/>
      </c>
      <c r="P637" s="18">
        <f>IF($C637="","",IF($G637="Ganho","Ganho",IF($G637="Perdido","Perdido","Aberto")))</f>
        <v/>
      </c>
      <c r="Q637" s="18">
        <f>IF(OR($C637="",$P637&lt;&gt;"Aberto"),"",IF($I637="",Hoje-$B637,Hoje-$I637))</f>
        <v/>
      </c>
      <c r="R637" s="22">
        <f>IF(OR($C637="",$P637&lt;&gt;"Aberto"),"",IF($J637="",IF($Q637&gt;DiasSC,"ATRASADO","Definir data"),IF($J637&lt;Hoje,"ATRASADO",IF($J637=Hoje,"HOJE","Em dia"))))</f>
        <v/>
      </c>
      <c r="S637" s="23">
        <f>IF($R637="","",IF(OR($R637="ATRASADO",$R637="HOJE",$R637="Definir data"),COUNTIF($R$5:$R637,"ATRASADO")+COUNTIF($R$5:$R637,"HOJE")+COUNTIF($R$5:$R637,"Definir data"),""))</f>
        <v/>
      </c>
      <c r="T637" s="18">
        <f>IF($C637="","",IF(OR($B637="",$E637="",$F637="",$G637=""),"Preencher entrada/origem/vendedor/etapa",IF(AND(OR($P637="Ganho",$P637="Perdido"),$K637=""),"Falta data de fechamento",IF(AND($P637="Perdido",$L637=""),"Informe o motivo da perda","OK"))))</f>
        <v/>
      </c>
    </row>
    <row r="638" spans="1:20">
      <c r="A638" s="18">
        <f>IF($C638="","",ROW()-4)</f>
        <v/>
      </c>
      <c r="B638" s="19"/>
      <c r="C638" s="13"/>
      <c r="D638" s="13"/>
      <c r="E638" s="13"/>
      <c r="F638" s="13"/>
      <c r="G638" s="13"/>
      <c r="H638" s="15"/>
      <c r="I638" s="19"/>
      <c r="J638" s="19"/>
      <c r="K638" s="19"/>
      <c r="L638" s="13"/>
      <c r="M638" s="13"/>
      <c r="N638" s="20">
        <f>IF($C638="","",IFERROR(INDEX(EtapaProb,MATCH($G638,Etapas,0)),0))</f>
        <v/>
      </c>
      <c r="O638" s="21">
        <f>IF($C638="","",IF($P638="Aberto",N($H638)*$N638,0))</f>
        <v/>
      </c>
      <c r="P638" s="18">
        <f>IF($C638="","",IF($G638="Ganho","Ganho",IF($G638="Perdido","Perdido","Aberto")))</f>
        <v/>
      </c>
      <c r="Q638" s="18">
        <f>IF(OR($C638="",$P638&lt;&gt;"Aberto"),"",IF($I638="",Hoje-$B638,Hoje-$I638))</f>
        <v/>
      </c>
      <c r="R638" s="22">
        <f>IF(OR($C638="",$P638&lt;&gt;"Aberto"),"",IF($J638="",IF($Q638&gt;DiasSC,"ATRASADO","Definir data"),IF($J638&lt;Hoje,"ATRASADO",IF($J638=Hoje,"HOJE","Em dia"))))</f>
        <v/>
      </c>
      <c r="S638" s="23">
        <f>IF($R638="","",IF(OR($R638="ATRASADO",$R638="HOJE",$R638="Definir data"),COUNTIF($R$5:$R638,"ATRASADO")+COUNTIF($R$5:$R638,"HOJE")+COUNTIF($R$5:$R638,"Definir data"),""))</f>
        <v/>
      </c>
      <c r="T638" s="18">
        <f>IF($C638="","",IF(OR($B638="",$E638="",$F638="",$G638=""),"Preencher entrada/origem/vendedor/etapa",IF(AND(OR($P638="Ganho",$P638="Perdido"),$K638=""),"Falta data de fechamento",IF(AND($P638="Perdido",$L638=""),"Informe o motivo da perda","OK"))))</f>
        <v/>
      </c>
    </row>
    <row r="639" spans="1:20">
      <c r="A639" s="18">
        <f>IF($C639="","",ROW()-4)</f>
        <v/>
      </c>
      <c r="B639" s="19"/>
      <c r="C639" s="13"/>
      <c r="D639" s="13"/>
      <c r="E639" s="13"/>
      <c r="F639" s="13"/>
      <c r="G639" s="13"/>
      <c r="H639" s="15"/>
      <c r="I639" s="19"/>
      <c r="J639" s="19"/>
      <c r="K639" s="19"/>
      <c r="L639" s="13"/>
      <c r="M639" s="13"/>
      <c r="N639" s="20">
        <f>IF($C639="","",IFERROR(INDEX(EtapaProb,MATCH($G639,Etapas,0)),0))</f>
        <v/>
      </c>
      <c r="O639" s="21">
        <f>IF($C639="","",IF($P639="Aberto",N($H639)*$N639,0))</f>
        <v/>
      </c>
      <c r="P639" s="18">
        <f>IF($C639="","",IF($G639="Ganho","Ganho",IF($G639="Perdido","Perdido","Aberto")))</f>
        <v/>
      </c>
      <c r="Q639" s="18">
        <f>IF(OR($C639="",$P639&lt;&gt;"Aberto"),"",IF($I639="",Hoje-$B639,Hoje-$I639))</f>
        <v/>
      </c>
      <c r="R639" s="22">
        <f>IF(OR($C639="",$P639&lt;&gt;"Aberto"),"",IF($J639="",IF($Q639&gt;DiasSC,"ATRASADO","Definir data"),IF($J639&lt;Hoje,"ATRASADO",IF($J639=Hoje,"HOJE","Em dia"))))</f>
        <v/>
      </c>
      <c r="S639" s="23">
        <f>IF($R639="","",IF(OR($R639="ATRASADO",$R639="HOJE",$R639="Definir data"),COUNTIF($R$5:$R639,"ATRASADO")+COUNTIF($R$5:$R639,"HOJE")+COUNTIF($R$5:$R639,"Definir data"),""))</f>
        <v/>
      </c>
      <c r="T639" s="18">
        <f>IF($C639="","",IF(OR($B639="",$E639="",$F639="",$G639=""),"Preencher entrada/origem/vendedor/etapa",IF(AND(OR($P639="Ganho",$P639="Perdido"),$K639=""),"Falta data de fechamento",IF(AND($P639="Perdido",$L639=""),"Informe o motivo da perda","OK"))))</f>
        <v/>
      </c>
    </row>
    <row r="640" spans="1:20">
      <c r="A640" s="18">
        <f>IF($C640="","",ROW()-4)</f>
        <v/>
      </c>
      <c r="B640" s="19"/>
      <c r="C640" s="13"/>
      <c r="D640" s="13"/>
      <c r="E640" s="13"/>
      <c r="F640" s="13"/>
      <c r="G640" s="13"/>
      <c r="H640" s="15"/>
      <c r="I640" s="19"/>
      <c r="J640" s="19"/>
      <c r="K640" s="19"/>
      <c r="L640" s="13"/>
      <c r="M640" s="13"/>
      <c r="N640" s="20">
        <f>IF($C640="","",IFERROR(INDEX(EtapaProb,MATCH($G640,Etapas,0)),0))</f>
        <v/>
      </c>
      <c r="O640" s="21">
        <f>IF($C640="","",IF($P640="Aberto",N($H640)*$N640,0))</f>
        <v/>
      </c>
      <c r="P640" s="18">
        <f>IF($C640="","",IF($G640="Ganho","Ganho",IF($G640="Perdido","Perdido","Aberto")))</f>
        <v/>
      </c>
      <c r="Q640" s="18">
        <f>IF(OR($C640="",$P640&lt;&gt;"Aberto"),"",IF($I640="",Hoje-$B640,Hoje-$I640))</f>
        <v/>
      </c>
      <c r="R640" s="22">
        <f>IF(OR($C640="",$P640&lt;&gt;"Aberto"),"",IF($J640="",IF($Q640&gt;DiasSC,"ATRASADO","Definir data"),IF($J640&lt;Hoje,"ATRASADO",IF($J640=Hoje,"HOJE","Em dia"))))</f>
        <v/>
      </c>
      <c r="S640" s="23">
        <f>IF($R640="","",IF(OR($R640="ATRASADO",$R640="HOJE",$R640="Definir data"),COUNTIF($R$5:$R640,"ATRASADO")+COUNTIF($R$5:$R640,"HOJE")+COUNTIF($R$5:$R640,"Definir data"),""))</f>
        <v/>
      </c>
      <c r="T640" s="18">
        <f>IF($C640="","",IF(OR($B640="",$E640="",$F640="",$G640=""),"Preencher entrada/origem/vendedor/etapa",IF(AND(OR($P640="Ganho",$P640="Perdido"),$K640=""),"Falta data de fechamento",IF(AND($P640="Perdido",$L640=""),"Informe o motivo da perda","OK"))))</f>
        <v/>
      </c>
    </row>
    <row r="641" spans="1:20">
      <c r="A641" s="18">
        <f>IF($C641="","",ROW()-4)</f>
        <v/>
      </c>
      <c r="B641" s="19"/>
      <c r="C641" s="13"/>
      <c r="D641" s="13"/>
      <c r="E641" s="13"/>
      <c r="F641" s="13"/>
      <c r="G641" s="13"/>
      <c r="H641" s="15"/>
      <c r="I641" s="19"/>
      <c r="J641" s="19"/>
      <c r="K641" s="19"/>
      <c r="L641" s="13"/>
      <c r="M641" s="13"/>
      <c r="N641" s="20">
        <f>IF($C641="","",IFERROR(INDEX(EtapaProb,MATCH($G641,Etapas,0)),0))</f>
        <v/>
      </c>
      <c r="O641" s="21">
        <f>IF($C641="","",IF($P641="Aberto",N($H641)*$N641,0))</f>
        <v/>
      </c>
      <c r="P641" s="18">
        <f>IF($C641="","",IF($G641="Ganho","Ganho",IF($G641="Perdido","Perdido","Aberto")))</f>
        <v/>
      </c>
      <c r="Q641" s="18">
        <f>IF(OR($C641="",$P641&lt;&gt;"Aberto"),"",IF($I641="",Hoje-$B641,Hoje-$I641))</f>
        <v/>
      </c>
      <c r="R641" s="22">
        <f>IF(OR($C641="",$P641&lt;&gt;"Aberto"),"",IF($J641="",IF($Q641&gt;DiasSC,"ATRASADO","Definir data"),IF($J641&lt;Hoje,"ATRASADO",IF($J641=Hoje,"HOJE","Em dia"))))</f>
        <v/>
      </c>
      <c r="S641" s="23">
        <f>IF($R641="","",IF(OR($R641="ATRASADO",$R641="HOJE",$R641="Definir data"),COUNTIF($R$5:$R641,"ATRASADO")+COUNTIF($R$5:$R641,"HOJE")+COUNTIF($R$5:$R641,"Definir data"),""))</f>
        <v/>
      </c>
      <c r="T641" s="18">
        <f>IF($C641="","",IF(OR($B641="",$E641="",$F641="",$G641=""),"Preencher entrada/origem/vendedor/etapa",IF(AND(OR($P641="Ganho",$P641="Perdido"),$K641=""),"Falta data de fechamento",IF(AND($P641="Perdido",$L641=""),"Informe o motivo da perda","OK"))))</f>
        <v/>
      </c>
    </row>
    <row r="642" spans="1:20">
      <c r="A642" s="18">
        <f>IF($C642="","",ROW()-4)</f>
        <v/>
      </c>
      <c r="B642" s="19"/>
      <c r="C642" s="13"/>
      <c r="D642" s="13"/>
      <c r="E642" s="13"/>
      <c r="F642" s="13"/>
      <c r="G642" s="13"/>
      <c r="H642" s="15"/>
      <c r="I642" s="19"/>
      <c r="J642" s="19"/>
      <c r="K642" s="19"/>
      <c r="L642" s="13"/>
      <c r="M642" s="13"/>
      <c r="N642" s="20">
        <f>IF($C642="","",IFERROR(INDEX(EtapaProb,MATCH($G642,Etapas,0)),0))</f>
        <v/>
      </c>
      <c r="O642" s="21">
        <f>IF($C642="","",IF($P642="Aberto",N($H642)*$N642,0))</f>
        <v/>
      </c>
      <c r="P642" s="18">
        <f>IF($C642="","",IF($G642="Ganho","Ganho",IF($G642="Perdido","Perdido","Aberto")))</f>
        <v/>
      </c>
      <c r="Q642" s="18">
        <f>IF(OR($C642="",$P642&lt;&gt;"Aberto"),"",IF($I642="",Hoje-$B642,Hoje-$I642))</f>
        <v/>
      </c>
      <c r="R642" s="22">
        <f>IF(OR($C642="",$P642&lt;&gt;"Aberto"),"",IF($J642="",IF($Q642&gt;DiasSC,"ATRASADO","Definir data"),IF($J642&lt;Hoje,"ATRASADO",IF($J642=Hoje,"HOJE","Em dia"))))</f>
        <v/>
      </c>
      <c r="S642" s="23">
        <f>IF($R642="","",IF(OR($R642="ATRASADO",$R642="HOJE",$R642="Definir data"),COUNTIF($R$5:$R642,"ATRASADO")+COUNTIF($R$5:$R642,"HOJE")+COUNTIF($R$5:$R642,"Definir data"),""))</f>
        <v/>
      </c>
      <c r="T642" s="18">
        <f>IF($C642="","",IF(OR($B642="",$E642="",$F642="",$G642=""),"Preencher entrada/origem/vendedor/etapa",IF(AND(OR($P642="Ganho",$P642="Perdido"),$K642=""),"Falta data de fechamento",IF(AND($P642="Perdido",$L642=""),"Informe o motivo da perda","OK"))))</f>
        <v/>
      </c>
    </row>
    <row r="643" spans="1:20">
      <c r="A643" s="18">
        <f>IF($C643="","",ROW()-4)</f>
        <v/>
      </c>
      <c r="B643" s="19"/>
      <c r="C643" s="13"/>
      <c r="D643" s="13"/>
      <c r="E643" s="13"/>
      <c r="F643" s="13"/>
      <c r="G643" s="13"/>
      <c r="H643" s="15"/>
      <c r="I643" s="19"/>
      <c r="J643" s="19"/>
      <c r="K643" s="19"/>
      <c r="L643" s="13"/>
      <c r="M643" s="13"/>
      <c r="N643" s="20">
        <f>IF($C643="","",IFERROR(INDEX(EtapaProb,MATCH($G643,Etapas,0)),0))</f>
        <v/>
      </c>
      <c r="O643" s="21">
        <f>IF($C643="","",IF($P643="Aberto",N($H643)*$N643,0))</f>
        <v/>
      </c>
      <c r="P643" s="18">
        <f>IF($C643="","",IF($G643="Ganho","Ganho",IF($G643="Perdido","Perdido","Aberto")))</f>
        <v/>
      </c>
      <c r="Q643" s="18">
        <f>IF(OR($C643="",$P643&lt;&gt;"Aberto"),"",IF($I643="",Hoje-$B643,Hoje-$I643))</f>
        <v/>
      </c>
      <c r="R643" s="22">
        <f>IF(OR($C643="",$P643&lt;&gt;"Aberto"),"",IF($J643="",IF($Q643&gt;DiasSC,"ATRASADO","Definir data"),IF($J643&lt;Hoje,"ATRASADO",IF($J643=Hoje,"HOJE","Em dia"))))</f>
        <v/>
      </c>
      <c r="S643" s="23">
        <f>IF($R643="","",IF(OR($R643="ATRASADO",$R643="HOJE",$R643="Definir data"),COUNTIF($R$5:$R643,"ATRASADO")+COUNTIF($R$5:$R643,"HOJE")+COUNTIF($R$5:$R643,"Definir data"),""))</f>
        <v/>
      </c>
      <c r="T643" s="18">
        <f>IF($C643="","",IF(OR($B643="",$E643="",$F643="",$G643=""),"Preencher entrada/origem/vendedor/etapa",IF(AND(OR($P643="Ganho",$P643="Perdido"),$K643=""),"Falta data de fechamento",IF(AND($P643="Perdido",$L643=""),"Informe o motivo da perda","OK"))))</f>
        <v/>
      </c>
    </row>
    <row r="644" spans="1:20">
      <c r="A644" s="18">
        <f>IF($C644="","",ROW()-4)</f>
        <v/>
      </c>
      <c r="B644" s="19"/>
      <c r="C644" s="13"/>
      <c r="D644" s="13"/>
      <c r="E644" s="13"/>
      <c r="F644" s="13"/>
      <c r="G644" s="13"/>
      <c r="H644" s="15"/>
      <c r="I644" s="19"/>
      <c r="J644" s="19"/>
      <c r="K644" s="19"/>
      <c r="L644" s="13"/>
      <c r="M644" s="13"/>
      <c r="N644" s="20">
        <f>IF($C644="","",IFERROR(INDEX(EtapaProb,MATCH($G644,Etapas,0)),0))</f>
        <v/>
      </c>
      <c r="O644" s="21">
        <f>IF($C644="","",IF($P644="Aberto",N($H644)*$N644,0))</f>
        <v/>
      </c>
      <c r="P644" s="18">
        <f>IF($C644="","",IF($G644="Ganho","Ganho",IF($G644="Perdido","Perdido","Aberto")))</f>
        <v/>
      </c>
      <c r="Q644" s="18">
        <f>IF(OR($C644="",$P644&lt;&gt;"Aberto"),"",IF($I644="",Hoje-$B644,Hoje-$I644))</f>
        <v/>
      </c>
      <c r="R644" s="22">
        <f>IF(OR($C644="",$P644&lt;&gt;"Aberto"),"",IF($J644="",IF($Q644&gt;DiasSC,"ATRASADO","Definir data"),IF($J644&lt;Hoje,"ATRASADO",IF($J644=Hoje,"HOJE","Em dia"))))</f>
        <v/>
      </c>
      <c r="S644" s="23">
        <f>IF($R644="","",IF(OR($R644="ATRASADO",$R644="HOJE",$R644="Definir data"),COUNTIF($R$5:$R644,"ATRASADO")+COUNTIF($R$5:$R644,"HOJE")+COUNTIF($R$5:$R644,"Definir data"),""))</f>
        <v/>
      </c>
      <c r="T644" s="18">
        <f>IF($C644="","",IF(OR($B644="",$E644="",$F644="",$G644=""),"Preencher entrada/origem/vendedor/etapa",IF(AND(OR($P644="Ganho",$P644="Perdido"),$K644=""),"Falta data de fechamento",IF(AND($P644="Perdido",$L644=""),"Informe o motivo da perda","OK"))))</f>
        <v/>
      </c>
    </row>
    <row r="645" spans="1:20">
      <c r="A645" s="18">
        <f>IF($C645="","",ROW()-4)</f>
        <v/>
      </c>
      <c r="B645" s="19"/>
      <c r="C645" s="13"/>
      <c r="D645" s="13"/>
      <c r="E645" s="13"/>
      <c r="F645" s="13"/>
      <c r="G645" s="13"/>
      <c r="H645" s="15"/>
      <c r="I645" s="19"/>
      <c r="J645" s="19"/>
      <c r="K645" s="19"/>
      <c r="L645" s="13"/>
      <c r="M645" s="13"/>
      <c r="N645" s="20">
        <f>IF($C645="","",IFERROR(INDEX(EtapaProb,MATCH($G645,Etapas,0)),0))</f>
        <v/>
      </c>
      <c r="O645" s="21">
        <f>IF($C645="","",IF($P645="Aberto",N($H645)*$N645,0))</f>
        <v/>
      </c>
      <c r="P645" s="18">
        <f>IF($C645="","",IF($G645="Ganho","Ganho",IF($G645="Perdido","Perdido","Aberto")))</f>
        <v/>
      </c>
      <c r="Q645" s="18">
        <f>IF(OR($C645="",$P645&lt;&gt;"Aberto"),"",IF($I645="",Hoje-$B645,Hoje-$I645))</f>
        <v/>
      </c>
      <c r="R645" s="22">
        <f>IF(OR($C645="",$P645&lt;&gt;"Aberto"),"",IF($J645="",IF($Q645&gt;DiasSC,"ATRASADO","Definir data"),IF($J645&lt;Hoje,"ATRASADO",IF($J645=Hoje,"HOJE","Em dia"))))</f>
        <v/>
      </c>
      <c r="S645" s="23">
        <f>IF($R645="","",IF(OR($R645="ATRASADO",$R645="HOJE",$R645="Definir data"),COUNTIF($R$5:$R645,"ATRASADO")+COUNTIF($R$5:$R645,"HOJE")+COUNTIF($R$5:$R645,"Definir data"),""))</f>
        <v/>
      </c>
      <c r="T645" s="18">
        <f>IF($C645="","",IF(OR($B645="",$E645="",$F645="",$G645=""),"Preencher entrada/origem/vendedor/etapa",IF(AND(OR($P645="Ganho",$P645="Perdido"),$K645=""),"Falta data de fechamento",IF(AND($P645="Perdido",$L645=""),"Informe o motivo da perda","OK"))))</f>
        <v/>
      </c>
    </row>
    <row r="646" spans="1:20">
      <c r="A646" s="18">
        <f>IF($C646="","",ROW()-4)</f>
        <v/>
      </c>
      <c r="B646" s="19"/>
      <c r="C646" s="13"/>
      <c r="D646" s="13"/>
      <c r="E646" s="13"/>
      <c r="F646" s="13"/>
      <c r="G646" s="13"/>
      <c r="H646" s="15"/>
      <c r="I646" s="19"/>
      <c r="J646" s="19"/>
      <c r="K646" s="19"/>
      <c r="L646" s="13"/>
      <c r="M646" s="13"/>
      <c r="N646" s="20">
        <f>IF($C646="","",IFERROR(INDEX(EtapaProb,MATCH($G646,Etapas,0)),0))</f>
        <v/>
      </c>
      <c r="O646" s="21">
        <f>IF($C646="","",IF($P646="Aberto",N($H646)*$N646,0))</f>
        <v/>
      </c>
      <c r="P646" s="18">
        <f>IF($C646="","",IF($G646="Ganho","Ganho",IF($G646="Perdido","Perdido","Aberto")))</f>
        <v/>
      </c>
      <c r="Q646" s="18">
        <f>IF(OR($C646="",$P646&lt;&gt;"Aberto"),"",IF($I646="",Hoje-$B646,Hoje-$I646))</f>
        <v/>
      </c>
      <c r="R646" s="22">
        <f>IF(OR($C646="",$P646&lt;&gt;"Aberto"),"",IF($J646="",IF($Q646&gt;DiasSC,"ATRASADO","Definir data"),IF($J646&lt;Hoje,"ATRASADO",IF($J646=Hoje,"HOJE","Em dia"))))</f>
        <v/>
      </c>
      <c r="S646" s="23">
        <f>IF($R646="","",IF(OR($R646="ATRASADO",$R646="HOJE",$R646="Definir data"),COUNTIF($R$5:$R646,"ATRASADO")+COUNTIF($R$5:$R646,"HOJE")+COUNTIF($R$5:$R646,"Definir data"),""))</f>
        <v/>
      </c>
      <c r="T646" s="18">
        <f>IF($C646="","",IF(OR($B646="",$E646="",$F646="",$G646=""),"Preencher entrada/origem/vendedor/etapa",IF(AND(OR($P646="Ganho",$P646="Perdido"),$K646=""),"Falta data de fechamento",IF(AND($P646="Perdido",$L646=""),"Informe o motivo da perda","OK"))))</f>
        <v/>
      </c>
    </row>
    <row r="647" spans="1:20">
      <c r="A647" s="18">
        <f>IF($C647="","",ROW()-4)</f>
        <v/>
      </c>
      <c r="B647" s="19"/>
      <c r="C647" s="13"/>
      <c r="D647" s="13"/>
      <c r="E647" s="13"/>
      <c r="F647" s="13"/>
      <c r="G647" s="13"/>
      <c r="H647" s="15"/>
      <c r="I647" s="19"/>
      <c r="J647" s="19"/>
      <c r="K647" s="19"/>
      <c r="L647" s="13"/>
      <c r="M647" s="13"/>
      <c r="N647" s="20">
        <f>IF($C647="","",IFERROR(INDEX(EtapaProb,MATCH($G647,Etapas,0)),0))</f>
        <v/>
      </c>
      <c r="O647" s="21">
        <f>IF($C647="","",IF($P647="Aberto",N($H647)*$N647,0))</f>
        <v/>
      </c>
      <c r="P647" s="18">
        <f>IF($C647="","",IF($G647="Ganho","Ganho",IF($G647="Perdido","Perdido","Aberto")))</f>
        <v/>
      </c>
      <c r="Q647" s="18">
        <f>IF(OR($C647="",$P647&lt;&gt;"Aberto"),"",IF($I647="",Hoje-$B647,Hoje-$I647))</f>
        <v/>
      </c>
      <c r="R647" s="22">
        <f>IF(OR($C647="",$P647&lt;&gt;"Aberto"),"",IF($J647="",IF($Q647&gt;DiasSC,"ATRASADO","Definir data"),IF($J647&lt;Hoje,"ATRASADO",IF($J647=Hoje,"HOJE","Em dia"))))</f>
        <v/>
      </c>
      <c r="S647" s="23">
        <f>IF($R647="","",IF(OR($R647="ATRASADO",$R647="HOJE",$R647="Definir data"),COUNTIF($R$5:$R647,"ATRASADO")+COUNTIF($R$5:$R647,"HOJE")+COUNTIF($R$5:$R647,"Definir data"),""))</f>
        <v/>
      </c>
      <c r="T647" s="18">
        <f>IF($C647="","",IF(OR($B647="",$E647="",$F647="",$G647=""),"Preencher entrada/origem/vendedor/etapa",IF(AND(OR($P647="Ganho",$P647="Perdido"),$K647=""),"Falta data de fechamento",IF(AND($P647="Perdido",$L647=""),"Informe o motivo da perda","OK"))))</f>
        <v/>
      </c>
    </row>
    <row r="648" spans="1:20">
      <c r="A648" s="18">
        <f>IF($C648="","",ROW()-4)</f>
        <v/>
      </c>
      <c r="B648" s="19"/>
      <c r="C648" s="13"/>
      <c r="D648" s="13"/>
      <c r="E648" s="13"/>
      <c r="F648" s="13"/>
      <c r="G648" s="13"/>
      <c r="H648" s="15"/>
      <c r="I648" s="19"/>
      <c r="J648" s="19"/>
      <c r="K648" s="19"/>
      <c r="L648" s="13"/>
      <c r="M648" s="13"/>
      <c r="N648" s="20">
        <f>IF($C648="","",IFERROR(INDEX(EtapaProb,MATCH($G648,Etapas,0)),0))</f>
        <v/>
      </c>
      <c r="O648" s="21">
        <f>IF($C648="","",IF($P648="Aberto",N($H648)*$N648,0))</f>
        <v/>
      </c>
      <c r="P648" s="18">
        <f>IF($C648="","",IF($G648="Ganho","Ganho",IF($G648="Perdido","Perdido","Aberto")))</f>
        <v/>
      </c>
      <c r="Q648" s="18">
        <f>IF(OR($C648="",$P648&lt;&gt;"Aberto"),"",IF($I648="",Hoje-$B648,Hoje-$I648))</f>
        <v/>
      </c>
      <c r="R648" s="22">
        <f>IF(OR($C648="",$P648&lt;&gt;"Aberto"),"",IF($J648="",IF($Q648&gt;DiasSC,"ATRASADO","Definir data"),IF($J648&lt;Hoje,"ATRASADO",IF($J648=Hoje,"HOJE","Em dia"))))</f>
        <v/>
      </c>
      <c r="S648" s="23">
        <f>IF($R648="","",IF(OR($R648="ATRASADO",$R648="HOJE",$R648="Definir data"),COUNTIF($R$5:$R648,"ATRASADO")+COUNTIF($R$5:$R648,"HOJE")+COUNTIF($R$5:$R648,"Definir data"),""))</f>
        <v/>
      </c>
      <c r="T648" s="18">
        <f>IF($C648="","",IF(OR($B648="",$E648="",$F648="",$G648=""),"Preencher entrada/origem/vendedor/etapa",IF(AND(OR($P648="Ganho",$P648="Perdido"),$K648=""),"Falta data de fechamento",IF(AND($P648="Perdido",$L648=""),"Informe o motivo da perda","OK"))))</f>
        <v/>
      </c>
    </row>
    <row r="649" spans="1:20">
      <c r="A649" s="18">
        <f>IF($C649="","",ROW()-4)</f>
        <v/>
      </c>
      <c r="B649" s="19"/>
      <c r="C649" s="13"/>
      <c r="D649" s="13"/>
      <c r="E649" s="13"/>
      <c r="F649" s="13"/>
      <c r="G649" s="13"/>
      <c r="H649" s="15"/>
      <c r="I649" s="19"/>
      <c r="J649" s="19"/>
      <c r="K649" s="19"/>
      <c r="L649" s="13"/>
      <c r="M649" s="13"/>
      <c r="N649" s="20">
        <f>IF($C649="","",IFERROR(INDEX(EtapaProb,MATCH($G649,Etapas,0)),0))</f>
        <v/>
      </c>
      <c r="O649" s="21">
        <f>IF($C649="","",IF($P649="Aberto",N($H649)*$N649,0))</f>
        <v/>
      </c>
      <c r="P649" s="18">
        <f>IF($C649="","",IF($G649="Ganho","Ganho",IF($G649="Perdido","Perdido","Aberto")))</f>
        <v/>
      </c>
      <c r="Q649" s="18">
        <f>IF(OR($C649="",$P649&lt;&gt;"Aberto"),"",IF($I649="",Hoje-$B649,Hoje-$I649))</f>
        <v/>
      </c>
      <c r="R649" s="22">
        <f>IF(OR($C649="",$P649&lt;&gt;"Aberto"),"",IF($J649="",IF($Q649&gt;DiasSC,"ATRASADO","Definir data"),IF($J649&lt;Hoje,"ATRASADO",IF($J649=Hoje,"HOJE","Em dia"))))</f>
        <v/>
      </c>
      <c r="S649" s="23">
        <f>IF($R649="","",IF(OR($R649="ATRASADO",$R649="HOJE",$R649="Definir data"),COUNTIF($R$5:$R649,"ATRASADO")+COUNTIF($R$5:$R649,"HOJE")+COUNTIF($R$5:$R649,"Definir data"),""))</f>
        <v/>
      </c>
      <c r="T649" s="18">
        <f>IF($C649="","",IF(OR($B649="",$E649="",$F649="",$G649=""),"Preencher entrada/origem/vendedor/etapa",IF(AND(OR($P649="Ganho",$P649="Perdido"),$K649=""),"Falta data de fechamento",IF(AND($P649="Perdido",$L649=""),"Informe o motivo da perda","OK"))))</f>
        <v/>
      </c>
    </row>
    <row r="650" spans="1:20">
      <c r="A650" s="18">
        <f>IF($C650="","",ROW()-4)</f>
        <v/>
      </c>
      <c r="B650" s="19"/>
      <c r="C650" s="13"/>
      <c r="D650" s="13"/>
      <c r="E650" s="13"/>
      <c r="F650" s="13"/>
      <c r="G650" s="13"/>
      <c r="H650" s="15"/>
      <c r="I650" s="19"/>
      <c r="J650" s="19"/>
      <c r="K650" s="19"/>
      <c r="L650" s="13"/>
      <c r="M650" s="13"/>
      <c r="N650" s="20">
        <f>IF($C650="","",IFERROR(INDEX(EtapaProb,MATCH($G650,Etapas,0)),0))</f>
        <v/>
      </c>
      <c r="O650" s="21">
        <f>IF($C650="","",IF($P650="Aberto",N($H650)*$N650,0))</f>
        <v/>
      </c>
      <c r="P650" s="18">
        <f>IF($C650="","",IF($G650="Ganho","Ganho",IF($G650="Perdido","Perdido","Aberto")))</f>
        <v/>
      </c>
      <c r="Q650" s="18">
        <f>IF(OR($C650="",$P650&lt;&gt;"Aberto"),"",IF($I650="",Hoje-$B650,Hoje-$I650))</f>
        <v/>
      </c>
      <c r="R650" s="22">
        <f>IF(OR($C650="",$P650&lt;&gt;"Aberto"),"",IF($J650="",IF($Q650&gt;DiasSC,"ATRASADO","Definir data"),IF($J650&lt;Hoje,"ATRASADO",IF($J650=Hoje,"HOJE","Em dia"))))</f>
        <v/>
      </c>
      <c r="S650" s="23">
        <f>IF($R650="","",IF(OR($R650="ATRASADO",$R650="HOJE",$R650="Definir data"),COUNTIF($R$5:$R650,"ATRASADO")+COUNTIF($R$5:$R650,"HOJE")+COUNTIF($R$5:$R650,"Definir data"),""))</f>
        <v/>
      </c>
      <c r="T650" s="18">
        <f>IF($C650="","",IF(OR($B650="",$E650="",$F650="",$G650=""),"Preencher entrada/origem/vendedor/etapa",IF(AND(OR($P650="Ganho",$P650="Perdido"),$K650=""),"Falta data de fechamento",IF(AND($P650="Perdido",$L650=""),"Informe o motivo da perda","OK"))))</f>
        <v/>
      </c>
    </row>
    <row r="651" spans="1:20">
      <c r="A651" s="18">
        <f>IF($C651="","",ROW()-4)</f>
        <v/>
      </c>
      <c r="B651" s="19"/>
      <c r="C651" s="13"/>
      <c r="D651" s="13"/>
      <c r="E651" s="13"/>
      <c r="F651" s="13"/>
      <c r="G651" s="13"/>
      <c r="H651" s="15"/>
      <c r="I651" s="19"/>
      <c r="J651" s="19"/>
      <c r="K651" s="19"/>
      <c r="L651" s="13"/>
      <c r="M651" s="13"/>
      <c r="N651" s="20">
        <f>IF($C651="","",IFERROR(INDEX(EtapaProb,MATCH($G651,Etapas,0)),0))</f>
        <v/>
      </c>
      <c r="O651" s="21">
        <f>IF($C651="","",IF($P651="Aberto",N($H651)*$N651,0))</f>
        <v/>
      </c>
      <c r="P651" s="18">
        <f>IF($C651="","",IF($G651="Ganho","Ganho",IF($G651="Perdido","Perdido","Aberto")))</f>
        <v/>
      </c>
      <c r="Q651" s="18">
        <f>IF(OR($C651="",$P651&lt;&gt;"Aberto"),"",IF($I651="",Hoje-$B651,Hoje-$I651))</f>
        <v/>
      </c>
      <c r="R651" s="22">
        <f>IF(OR($C651="",$P651&lt;&gt;"Aberto"),"",IF($J651="",IF($Q651&gt;DiasSC,"ATRASADO","Definir data"),IF($J651&lt;Hoje,"ATRASADO",IF($J651=Hoje,"HOJE","Em dia"))))</f>
        <v/>
      </c>
      <c r="S651" s="23">
        <f>IF($R651="","",IF(OR($R651="ATRASADO",$R651="HOJE",$R651="Definir data"),COUNTIF($R$5:$R651,"ATRASADO")+COUNTIF($R$5:$R651,"HOJE")+COUNTIF($R$5:$R651,"Definir data"),""))</f>
        <v/>
      </c>
      <c r="T651" s="18">
        <f>IF($C651="","",IF(OR($B651="",$E651="",$F651="",$G651=""),"Preencher entrada/origem/vendedor/etapa",IF(AND(OR($P651="Ganho",$P651="Perdido"),$K651=""),"Falta data de fechamento",IF(AND($P651="Perdido",$L651=""),"Informe o motivo da perda","OK"))))</f>
        <v/>
      </c>
    </row>
    <row r="652" spans="1:20">
      <c r="A652" s="18">
        <f>IF($C652="","",ROW()-4)</f>
        <v/>
      </c>
      <c r="B652" s="19"/>
      <c r="C652" s="13"/>
      <c r="D652" s="13"/>
      <c r="E652" s="13"/>
      <c r="F652" s="13"/>
      <c r="G652" s="13"/>
      <c r="H652" s="15"/>
      <c r="I652" s="19"/>
      <c r="J652" s="19"/>
      <c r="K652" s="19"/>
      <c r="L652" s="13"/>
      <c r="M652" s="13"/>
      <c r="N652" s="20">
        <f>IF($C652="","",IFERROR(INDEX(EtapaProb,MATCH($G652,Etapas,0)),0))</f>
        <v/>
      </c>
      <c r="O652" s="21">
        <f>IF($C652="","",IF($P652="Aberto",N($H652)*$N652,0))</f>
        <v/>
      </c>
      <c r="P652" s="18">
        <f>IF($C652="","",IF($G652="Ganho","Ganho",IF($G652="Perdido","Perdido","Aberto")))</f>
        <v/>
      </c>
      <c r="Q652" s="18">
        <f>IF(OR($C652="",$P652&lt;&gt;"Aberto"),"",IF($I652="",Hoje-$B652,Hoje-$I652))</f>
        <v/>
      </c>
      <c r="R652" s="22">
        <f>IF(OR($C652="",$P652&lt;&gt;"Aberto"),"",IF($J652="",IF($Q652&gt;DiasSC,"ATRASADO","Definir data"),IF($J652&lt;Hoje,"ATRASADO",IF($J652=Hoje,"HOJE","Em dia"))))</f>
        <v/>
      </c>
      <c r="S652" s="23">
        <f>IF($R652="","",IF(OR($R652="ATRASADO",$R652="HOJE",$R652="Definir data"),COUNTIF($R$5:$R652,"ATRASADO")+COUNTIF($R$5:$R652,"HOJE")+COUNTIF($R$5:$R652,"Definir data"),""))</f>
        <v/>
      </c>
      <c r="T652" s="18">
        <f>IF($C652="","",IF(OR($B652="",$E652="",$F652="",$G652=""),"Preencher entrada/origem/vendedor/etapa",IF(AND(OR($P652="Ganho",$P652="Perdido"),$K652=""),"Falta data de fechamento",IF(AND($P652="Perdido",$L652=""),"Informe o motivo da perda","OK"))))</f>
        <v/>
      </c>
    </row>
    <row r="653" spans="1:20">
      <c r="A653" s="18">
        <f>IF($C653="","",ROW()-4)</f>
        <v/>
      </c>
      <c r="B653" s="19"/>
      <c r="C653" s="13"/>
      <c r="D653" s="13"/>
      <c r="E653" s="13"/>
      <c r="F653" s="13"/>
      <c r="G653" s="13"/>
      <c r="H653" s="15"/>
      <c r="I653" s="19"/>
      <c r="J653" s="19"/>
      <c r="K653" s="19"/>
      <c r="L653" s="13"/>
      <c r="M653" s="13"/>
      <c r="N653" s="20">
        <f>IF($C653="","",IFERROR(INDEX(EtapaProb,MATCH($G653,Etapas,0)),0))</f>
        <v/>
      </c>
      <c r="O653" s="21">
        <f>IF($C653="","",IF($P653="Aberto",N($H653)*$N653,0))</f>
        <v/>
      </c>
      <c r="P653" s="18">
        <f>IF($C653="","",IF($G653="Ganho","Ganho",IF($G653="Perdido","Perdido","Aberto")))</f>
        <v/>
      </c>
      <c r="Q653" s="18">
        <f>IF(OR($C653="",$P653&lt;&gt;"Aberto"),"",IF($I653="",Hoje-$B653,Hoje-$I653))</f>
        <v/>
      </c>
      <c r="R653" s="22">
        <f>IF(OR($C653="",$P653&lt;&gt;"Aberto"),"",IF($J653="",IF($Q653&gt;DiasSC,"ATRASADO","Definir data"),IF($J653&lt;Hoje,"ATRASADO",IF($J653=Hoje,"HOJE","Em dia"))))</f>
        <v/>
      </c>
      <c r="S653" s="23">
        <f>IF($R653="","",IF(OR($R653="ATRASADO",$R653="HOJE",$R653="Definir data"),COUNTIF($R$5:$R653,"ATRASADO")+COUNTIF($R$5:$R653,"HOJE")+COUNTIF($R$5:$R653,"Definir data"),""))</f>
        <v/>
      </c>
      <c r="T653" s="18">
        <f>IF($C653="","",IF(OR($B653="",$E653="",$F653="",$G653=""),"Preencher entrada/origem/vendedor/etapa",IF(AND(OR($P653="Ganho",$P653="Perdido"),$K653=""),"Falta data de fechamento",IF(AND($P653="Perdido",$L653=""),"Informe o motivo da perda","OK"))))</f>
        <v/>
      </c>
    </row>
    <row r="654" spans="1:20">
      <c r="A654" s="18">
        <f>IF($C654="","",ROW()-4)</f>
        <v/>
      </c>
      <c r="B654" s="19"/>
      <c r="C654" s="13"/>
      <c r="D654" s="13"/>
      <c r="E654" s="13"/>
      <c r="F654" s="13"/>
      <c r="G654" s="13"/>
      <c r="H654" s="15"/>
      <c r="I654" s="19"/>
      <c r="J654" s="19"/>
      <c r="K654" s="19"/>
      <c r="L654" s="13"/>
      <c r="M654" s="13"/>
      <c r="N654" s="20">
        <f>IF($C654="","",IFERROR(INDEX(EtapaProb,MATCH($G654,Etapas,0)),0))</f>
        <v/>
      </c>
      <c r="O654" s="21">
        <f>IF($C654="","",IF($P654="Aberto",N($H654)*$N654,0))</f>
        <v/>
      </c>
      <c r="P654" s="18">
        <f>IF($C654="","",IF($G654="Ganho","Ganho",IF($G654="Perdido","Perdido","Aberto")))</f>
        <v/>
      </c>
      <c r="Q654" s="18">
        <f>IF(OR($C654="",$P654&lt;&gt;"Aberto"),"",IF($I654="",Hoje-$B654,Hoje-$I654))</f>
        <v/>
      </c>
      <c r="R654" s="22">
        <f>IF(OR($C654="",$P654&lt;&gt;"Aberto"),"",IF($J654="",IF($Q654&gt;DiasSC,"ATRASADO","Definir data"),IF($J654&lt;Hoje,"ATRASADO",IF($J654=Hoje,"HOJE","Em dia"))))</f>
        <v/>
      </c>
      <c r="S654" s="23">
        <f>IF($R654="","",IF(OR($R654="ATRASADO",$R654="HOJE",$R654="Definir data"),COUNTIF($R$5:$R654,"ATRASADO")+COUNTIF($R$5:$R654,"HOJE")+COUNTIF($R$5:$R654,"Definir data"),""))</f>
        <v/>
      </c>
      <c r="T654" s="18">
        <f>IF($C654="","",IF(OR($B654="",$E654="",$F654="",$G654=""),"Preencher entrada/origem/vendedor/etapa",IF(AND(OR($P654="Ganho",$P654="Perdido"),$K654=""),"Falta data de fechamento",IF(AND($P654="Perdido",$L654=""),"Informe o motivo da perda","OK"))))</f>
        <v/>
      </c>
    </row>
    <row r="655" spans="1:20">
      <c r="A655" s="18">
        <f>IF($C655="","",ROW()-4)</f>
        <v/>
      </c>
      <c r="B655" s="19"/>
      <c r="C655" s="13"/>
      <c r="D655" s="13"/>
      <c r="E655" s="13"/>
      <c r="F655" s="13"/>
      <c r="G655" s="13"/>
      <c r="H655" s="15"/>
      <c r="I655" s="19"/>
      <c r="J655" s="19"/>
      <c r="K655" s="19"/>
      <c r="L655" s="13"/>
      <c r="M655" s="13"/>
      <c r="N655" s="20">
        <f>IF($C655="","",IFERROR(INDEX(EtapaProb,MATCH($G655,Etapas,0)),0))</f>
        <v/>
      </c>
      <c r="O655" s="21">
        <f>IF($C655="","",IF($P655="Aberto",N($H655)*$N655,0))</f>
        <v/>
      </c>
      <c r="P655" s="18">
        <f>IF($C655="","",IF($G655="Ganho","Ganho",IF($G655="Perdido","Perdido","Aberto")))</f>
        <v/>
      </c>
      <c r="Q655" s="18">
        <f>IF(OR($C655="",$P655&lt;&gt;"Aberto"),"",IF($I655="",Hoje-$B655,Hoje-$I655))</f>
        <v/>
      </c>
      <c r="R655" s="22">
        <f>IF(OR($C655="",$P655&lt;&gt;"Aberto"),"",IF($J655="",IF($Q655&gt;DiasSC,"ATRASADO","Definir data"),IF($J655&lt;Hoje,"ATRASADO",IF($J655=Hoje,"HOJE","Em dia"))))</f>
        <v/>
      </c>
      <c r="S655" s="23">
        <f>IF($R655="","",IF(OR($R655="ATRASADO",$R655="HOJE",$R655="Definir data"),COUNTIF($R$5:$R655,"ATRASADO")+COUNTIF($R$5:$R655,"HOJE")+COUNTIF($R$5:$R655,"Definir data"),""))</f>
        <v/>
      </c>
      <c r="T655" s="18">
        <f>IF($C655="","",IF(OR($B655="",$E655="",$F655="",$G655=""),"Preencher entrada/origem/vendedor/etapa",IF(AND(OR($P655="Ganho",$P655="Perdido"),$K655=""),"Falta data de fechamento",IF(AND($P655="Perdido",$L655=""),"Informe o motivo da perda","OK"))))</f>
        <v/>
      </c>
    </row>
    <row r="656" spans="1:20">
      <c r="A656" s="18">
        <f>IF($C656="","",ROW()-4)</f>
        <v/>
      </c>
      <c r="B656" s="19"/>
      <c r="C656" s="13"/>
      <c r="D656" s="13"/>
      <c r="E656" s="13"/>
      <c r="F656" s="13"/>
      <c r="G656" s="13"/>
      <c r="H656" s="15"/>
      <c r="I656" s="19"/>
      <c r="J656" s="19"/>
      <c r="K656" s="19"/>
      <c r="L656" s="13"/>
      <c r="M656" s="13"/>
      <c r="N656" s="20">
        <f>IF($C656="","",IFERROR(INDEX(EtapaProb,MATCH($G656,Etapas,0)),0))</f>
        <v/>
      </c>
      <c r="O656" s="21">
        <f>IF($C656="","",IF($P656="Aberto",N($H656)*$N656,0))</f>
        <v/>
      </c>
      <c r="P656" s="18">
        <f>IF($C656="","",IF($G656="Ganho","Ganho",IF($G656="Perdido","Perdido","Aberto")))</f>
        <v/>
      </c>
      <c r="Q656" s="18">
        <f>IF(OR($C656="",$P656&lt;&gt;"Aberto"),"",IF($I656="",Hoje-$B656,Hoje-$I656))</f>
        <v/>
      </c>
      <c r="R656" s="22">
        <f>IF(OR($C656="",$P656&lt;&gt;"Aberto"),"",IF($J656="",IF($Q656&gt;DiasSC,"ATRASADO","Definir data"),IF($J656&lt;Hoje,"ATRASADO",IF($J656=Hoje,"HOJE","Em dia"))))</f>
        <v/>
      </c>
      <c r="S656" s="23">
        <f>IF($R656="","",IF(OR($R656="ATRASADO",$R656="HOJE",$R656="Definir data"),COUNTIF($R$5:$R656,"ATRASADO")+COUNTIF($R$5:$R656,"HOJE")+COUNTIF($R$5:$R656,"Definir data"),""))</f>
        <v/>
      </c>
      <c r="T656" s="18">
        <f>IF($C656="","",IF(OR($B656="",$E656="",$F656="",$G656=""),"Preencher entrada/origem/vendedor/etapa",IF(AND(OR($P656="Ganho",$P656="Perdido"),$K656=""),"Falta data de fechamento",IF(AND($P656="Perdido",$L656=""),"Informe o motivo da perda","OK"))))</f>
        <v/>
      </c>
    </row>
    <row r="657" spans="1:20">
      <c r="A657" s="18">
        <f>IF($C657="","",ROW()-4)</f>
        <v/>
      </c>
      <c r="B657" s="19"/>
      <c r="C657" s="13"/>
      <c r="D657" s="13"/>
      <c r="E657" s="13"/>
      <c r="F657" s="13"/>
      <c r="G657" s="13"/>
      <c r="H657" s="15"/>
      <c r="I657" s="19"/>
      <c r="J657" s="19"/>
      <c r="K657" s="19"/>
      <c r="L657" s="13"/>
      <c r="M657" s="13"/>
      <c r="N657" s="20">
        <f>IF($C657="","",IFERROR(INDEX(EtapaProb,MATCH($G657,Etapas,0)),0))</f>
        <v/>
      </c>
      <c r="O657" s="21">
        <f>IF($C657="","",IF($P657="Aberto",N($H657)*$N657,0))</f>
        <v/>
      </c>
      <c r="P657" s="18">
        <f>IF($C657="","",IF($G657="Ganho","Ganho",IF($G657="Perdido","Perdido","Aberto")))</f>
        <v/>
      </c>
      <c r="Q657" s="18">
        <f>IF(OR($C657="",$P657&lt;&gt;"Aberto"),"",IF($I657="",Hoje-$B657,Hoje-$I657))</f>
        <v/>
      </c>
      <c r="R657" s="22">
        <f>IF(OR($C657="",$P657&lt;&gt;"Aberto"),"",IF($J657="",IF($Q657&gt;DiasSC,"ATRASADO","Definir data"),IF($J657&lt;Hoje,"ATRASADO",IF($J657=Hoje,"HOJE","Em dia"))))</f>
        <v/>
      </c>
      <c r="S657" s="23">
        <f>IF($R657="","",IF(OR($R657="ATRASADO",$R657="HOJE",$R657="Definir data"),COUNTIF($R$5:$R657,"ATRASADO")+COUNTIF($R$5:$R657,"HOJE")+COUNTIF($R$5:$R657,"Definir data"),""))</f>
        <v/>
      </c>
      <c r="T657" s="18">
        <f>IF($C657="","",IF(OR($B657="",$E657="",$F657="",$G657=""),"Preencher entrada/origem/vendedor/etapa",IF(AND(OR($P657="Ganho",$P657="Perdido"),$K657=""),"Falta data de fechamento",IF(AND($P657="Perdido",$L657=""),"Informe o motivo da perda","OK"))))</f>
        <v/>
      </c>
    </row>
    <row r="658" spans="1:20">
      <c r="A658" s="18">
        <f>IF($C658="","",ROW()-4)</f>
        <v/>
      </c>
      <c r="B658" s="19"/>
      <c r="C658" s="13"/>
      <c r="D658" s="13"/>
      <c r="E658" s="13"/>
      <c r="F658" s="13"/>
      <c r="G658" s="13"/>
      <c r="H658" s="15"/>
      <c r="I658" s="19"/>
      <c r="J658" s="19"/>
      <c r="K658" s="19"/>
      <c r="L658" s="13"/>
      <c r="M658" s="13"/>
      <c r="N658" s="20">
        <f>IF($C658="","",IFERROR(INDEX(EtapaProb,MATCH($G658,Etapas,0)),0))</f>
        <v/>
      </c>
      <c r="O658" s="21">
        <f>IF($C658="","",IF($P658="Aberto",N($H658)*$N658,0))</f>
        <v/>
      </c>
      <c r="P658" s="18">
        <f>IF($C658="","",IF($G658="Ganho","Ganho",IF($G658="Perdido","Perdido","Aberto")))</f>
        <v/>
      </c>
      <c r="Q658" s="18">
        <f>IF(OR($C658="",$P658&lt;&gt;"Aberto"),"",IF($I658="",Hoje-$B658,Hoje-$I658))</f>
        <v/>
      </c>
      <c r="R658" s="22">
        <f>IF(OR($C658="",$P658&lt;&gt;"Aberto"),"",IF($J658="",IF($Q658&gt;DiasSC,"ATRASADO","Definir data"),IF($J658&lt;Hoje,"ATRASADO",IF($J658=Hoje,"HOJE","Em dia"))))</f>
        <v/>
      </c>
      <c r="S658" s="23">
        <f>IF($R658="","",IF(OR($R658="ATRASADO",$R658="HOJE",$R658="Definir data"),COUNTIF($R$5:$R658,"ATRASADO")+COUNTIF($R$5:$R658,"HOJE")+COUNTIF($R$5:$R658,"Definir data"),""))</f>
        <v/>
      </c>
      <c r="T658" s="18">
        <f>IF($C658="","",IF(OR($B658="",$E658="",$F658="",$G658=""),"Preencher entrada/origem/vendedor/etapa",IF(AND(OR($P658="Ganho",$P658="Perdido"),$K658=""),"Falta data de fechamento",IF(AND($P658="Perdido",$L658=""),"Informe o motivo da perda","OK"))))</f>
        <v/>
      </c>
    </row>
    <row r="659" spans="1:20">
      <c r="A659" s="18">
        <f>IF($C659="","",ROW()-4)</f>
        <v/>
      </c>
      <c r="B659" s="19"/>
      <c r="C659" s="13"/>
      <c r="D659" s="13"/>
      <c r="E659" s="13"/>
      <c r="F659" s="13"/>
      <c r="G659" s="13"/>
      <c r="H659" s="15"/>
      <c r="I659" s="19"/>
      <c r="J659" s="19"/>
      <c r="K659" s="19"/>
      <c r="L659" s="13"/>
      <c r="M659" s="13"/>
      <c r="N659" s="20">
        <f>IF($C659="","",IFERROR(INDEX(EtapaProb,MATCH($G659,Etapas,0)),0))</f>
        <v/>
      </c>
      <c r="O659" s="21">
        <f>IF($C659="","",IF($P659="Aberto",N($H659)*$N659,0))</f>
        <v/>
      </c>
      <c r="P659" s="18">
        <f>IF($C659="","",IF($G659="Ganho","Ganho",IF($G659="Perdido","Perdido","Aberto")))</f>
        <v/>
      </c>
      <c r="Q659" s="18">
        <f>IF(OR($C659="",$P659&lt;&gt;"Aberto"),"",IF($I659="",Hoje-$B659,Hoje-$I659))</f>
        <v/>
      </c>
      <c r="R659" s="22">
        <f>IF(OR($C659="",$P659&lt;&gt;"Aberto"),"",IF($J659="",IF($Q659&gt;DiasSC,"ATRASADO","Definir data"),IF($J659&lt;Hoje,"ATRASADO",IF($J659=Hoje,"HOJE","Em dia"))))</f>
        <v/>
      </c>
      <c r="S659" s="23">
        <f>IF($R659="","",IF(OR($R659="ATRASADO",$R659="HOJE",$R659="Definir data"),COUNTIF($R$5:$R659,"ATRASADO")+COUNTIF($R$5:$R659,"HOJE")+COUNTIF($R$5:$R659,"Definir data"),""))</f>
        <v/>
      </c>
      <c r="T659" s="18">
        <f>IF($C659="","",IF(OR($B659="",$E659="",$F659="",$G659=""),"Preencher entrada/origem/vendedor/etapa",IF(AND(OR($P659="Ganho",$P659="Perdido"),$K659=""),"Falta data de fechamento",IF(AND($P659="Perdido",$L659=""),"Informe o motivo da perda","OK"))))</f>
        <v/>
      </c>
    </row>
    <row r="660" spans="1:20">
      <c r="A660" s="18">
        <f>IF($C660="","",ROW()-4)</f>
        <v/>
      </c>
      <c r="B660" s="19"/>
      <c r="C660" s="13"/>
      <c r="D660" s="13"/>
      <c r="E660" s="13"/>
      <c r="F660" s="13"/>
      <c r="G660" s="13"/>
      <c r="H660" s="15"/>
      <c r="I660" s="19"/>
      <c r="J660" s="19"/>
      <c r="K660" s="19"/>
      <c r="L660" s="13"/>
      <c r="M660" s="13"/>
      <c r="N660" s="20">
        <f>IF($C660="","",IFERROR(INDEX(EtapaProb,MATCH($G660,Etapas,0)),0))</f>
        <v/>
      </c>
      <c r="O660" s="21">
        <f>IF($C660="","",IF($P660="Aberto",N($H660)*$N660,0))</f>
        <v/>
      </c>
      <c r="P660" s="18">
        <f>IF($C660="","",IF($G660="Ganho","Ganho",IF($G660="Perdido","Perdido","Aberto")))</f>
        <v/>
      </c>
      <c r="Q660" s="18">
        <f>IF(OR($C660="",$P660&lt;&gt;"Aberto"),"",IF($I660="",Hoje-$B660,Hoje-$I660))</f>
        <v/>
      </c>
      <c r="R660" s="22">
        <f>IF(OR($C660="",$P660&lt;&gt;"Aberto"),"",IF($J660="",IF($Q660&gt;DiasSC,"ATRASADO","Definir data"),IF($J660&lt;Hoje,"ATRASADO",IF($J660=Hoje,"HOJE","Em dia"))))</f>
        <v/>
      </c>
      <c r="S660" s="23">
        <f>IF($R660="","",IF(OR($R660="ATRASADO",$R660="HOJE",$R660="Definir data"),COUNTIF($R$5:$R660,"ATRASADO")+COUNTIF($R$5:$R660,"HOJE")+COUNTIF($R$5:$R660,"Definir data"),""))</f>
        <v/>
      </c>
      <c r="T660" s="18">
        <f>IF($C660="","",IF(OR($B660="",$E660="",$F660="",$G660=""),"Preencher entrada/origem/vendedor/etapa",IF(AND(OR($P660="Ganho",$P660="Perdido"),$K660=""),"Falta data de fechamento",IF(AND($P660="Perdido",$L660=""),"Informe o motivo da perda","OK"))))</f>
        <v/>
      </c>
    </row>
    <row r="661" spans="1:20">
      <c r="A661" s="18">
        <f>IF($C661="","",ROW()-4)</f>
        <v/>
      </c>
      <c r="B661" s="19"/>
      <c r="C661" s="13"/>
      <c r="D661" s="13"/>
      <c r="E661" s="13"/>
      <c r="F661" s="13"/>
      <c r="G661" s="13"/>
      <c r="H661" s="15"/>
      <c r="I661" s="19"/>
      <c r="J661" s="19"/>
      <c r="K661" s="19"/>
      <c r="L661" s="13"/>
      <c r="M661" s="13"/>
      <c r="N661" s="20">
        <f>IF($C661="","",IFERROR(INDEX(EtapaProb,MATCH($G661,Etapas,0)),0))</f>
        <v/>
      </c>
      <c r="O661" s="21">
        <f>IF($C661="","",IF($P661="Aberto",N($H661)*$N661,0))</f>
        <v/>
      </c>
      <c r="P661" s="18">
        <f>IF($C661="","",IF($G661="Ganho","Ganho",IF($G661="Perdido","Perdido","Aberto")))</f>
        <v/>
      </c>
      <c r="Q661" s="18">
        <f>IF(OR($C661="",$P661&lt;&gt;"Aberto"),"",IF($I661="",Hoje-$B661,Hoje-$I661))</f>
        <v/>
      </c>
      <c r="R661" s="22">
        <f>IF(OR($C661="",$P661&lt;&gt;"Aberto"),"",IF($J661="",IF($Q661&gt;DiasSC,"ATRASADO","Definir data"),IF($J661&lt;Hoje,"ATRASADO",IF($J661=Hoje,"HOJE","Em dia"))))</f>
        <v/>
      </c>
      <c r="S661" s="23">
        <f>IF($R661="","",IF(OR($R661="ATRASADO",$R661="HOJE",$R661="Definir data"),COUNTIF($R$5:$R661,"ATRASADO")+COUNTIF($R$5:$R661,"HOJE")+COUNTIF($R$5:$R661,"Definir data"),""))</f>
        <v/>
      </c>
      <c r="T661" s="18">
        <f>IF($C661="","",IF(OR($B661="",$E661="",$F661="",$G661=""),"Preencher entrada/origem/vendedor/etapa",IF(AND(OR($P661="Ganho",$P661="Perdido"),$K661=""),"Falta data de fechamento",IF(AND($P661="Perdido",$L661=""),"Informe o motivo da perda","OK"))))</f>
        <v/>
      </c>
    </row>
    <row r="662" spans="1:20">
      <c r="A662" s="18">
        <f>IF($C662="","",ROW()-4)</f>
        <v/>
      </c>
      <c r="B662" s="19"/>
      <c r="C662" s="13"/>
      <c r="D662" s="13"/>
      <c r="E662" s="13"/>
      <c r="F662" s="13"/>
      <c r="G662" s="13"/>
      <c r="H662" s="15"/>
      <c r="I662" s="19"/>
      <c r="J662" s="19"/>
      <c r="K662" s="19"/>
      <c r="L662" s="13"/>
      <c r="M662" s="13"/>
      <c r="N662" s="20">
        <f>IF($C662="","",IFERROR(INDEX(EtapaProb,MATCH($G662,Etapas,0)),0))</f>
        <v/>
      </c>
      <c r="O662" s="21">
        <f>IF($C662="","",IF($P662="Aberto",N($H662)*$N662,0))</f>
        <v/>
      </c>
      <c r="P662" s="18">
        <f>IF($C662="","",IF($G662="Ganho","Ganho",IF($G662="Perdido","Perdido","Aberto")))</f>
        <v/>
      </c>
      <c r="Q662" s="18">
        <f>IF(OR($C662="",$P662&lt;&gt;"Aberto"),"",IF($I662="",Hoje-$B662,Hoje-$I662))</f>
        <v/>
      </c>
      <c r="R662" s="22">
        <f>IF(OR($C662="",$P662&lt;&gt;"Aberto"),"",IF($J662="",IF($Q662&gt;DiasSC,"ATRASADO","Definir data"),IF($J662&lt;Hoje,"ATRASADO",IF($J662=Hoje,"HOJE","Em dia"))))</f>
        <v/>
      </c>
      <c r="S662" s="23">
        <f>IF($R662="","",IF(OR($R662="ATRASADO",$R662="HOJE",$R662="Definir data"),COUNTIF($R$5:$R662,"ATRASADO")+COUNTIF($R$5:$R662,"HOJE")+COUNTIF($R$5:$R662,"Definir data"),""))</f>
        <v/>
      </c>
      <c r="T662" s="18">
        <f>IF($C662="","",IF(OR($B662="",$E662="",$F662="",$G662=""),"Preencher entrada/origem/vendedor/etapa",IF(AND(OR($P662="Ganho",$P662="Perdido"),$K662=""),"Falta data de fechamento",IF(AND($P662="Perdido",$L662=""),"Informe o motivo da perda","OK"))))</f>
        <v/>
      </c>
    </row>
    <row r="663" spans="1:20">
      <c r="A663" s="18">
        <f>IF($C663="","",ROW()-4)</f>
        <v/>
      </c>
      <c r="B663" s="19"/>
      <c r="C663" s="13"/>
      <c r="D663" s="13"/>
      <c r="E663" s="13"/>
      <c r="F663" s="13"/>
      <c r="G663" s="13"/>
      <c r="H663" s="15"/>
      <c r="I663" s="19"/>
      <c r="J663" s="19"/>
      <c r="K663" s="19"/>
      <c r="L663" s="13"/>
      <c r="M663" s="13"/>
      <c r="N663" s="20">
        <f>IF($C663="","",IFERROR(INDEX(EtapaProb,MATCH($G663,Etapas,0)),0))</f>
        <v/>
      </c>
      <c r="O663" s="21">
        <f>IF($C663="","",IF($P663="Aberto",N($H663)*$N663,0))</f>
        <v/>
      </c>
      <c r="P663" s="18">
        <f>IF($C663="","",IF($G663="Ganho","Ganho",IF($G663="Perdido","Perdido","Aberto")))</f>
        <v/>
      </c>
      <c r="Q663" s="18">
        <f>IF(OR($C663="",$P663&lt;&gt;"Aberto"),"",IF($I663="",Hoje-$B663,Hoje-$I663))</f>
        <v/>
      </c>
      <c r="R663" s="22">
        <f>IF(OR($C663="",$P663&lt;&gt;"Aberto"),"",IF($J663="",IF($Q663&gt;DiasSC,"ATRASADO","Definir data"),IF($J663&lt;Hoje,"ATRASADO",IF($J663=Hoje,"HOJE","Em dia"))))</f>
        <v/>
      </c>
      <c r="S663" s="23">
        <f>IF($R663="","",IF(OR($R663="ATRASADO",$R663="HOJE",$R663="Definir data"),COUNTIF($R$5:$R663,"ATRASADO")+COUNTIF($R$5:$R663,"HOJE")+COUNTIF($R$5:$R663,"Definir data"),""))</f>
        <v/>
      </c>
      <c r="T663" s="18">
        <f>IF($C663="","",IF(OR($B663="",$E663="",$F663="",$G663=""),"Preencher entrada/origem/vendedor/etapa",IF(AND(OR($P663="Ganho",$P663="Perdido"),$K663=""),"Falta data de fechamento",IF(AND($P663="Perdido",$L663=""),"Informe o motivo da perda","OK"))))</f>
        <v/>
      </c>
    </row>
    <row r="664" spans="1:20">
      <c r="A664" s="18">
        <f>IF($C664="","",ROW()-4)</f>
        <v/>
      </c>
      <c r="B664" s="19"/>
      <c r="C664" s="13"/>
      <c r="D664" s="13"/>
      <c r="E664" s="13"/>
      <c r="F664" s="13"/>
      <c r="G664" s="13"/>
      <c r="H664" s="15"/>
      <c r="I664" s="19"/>
      <c r="J664" s="19"/>
      <c r="K664" s="19"/>
      <c r="L664" s="13"/>
      <c r="M664" s="13"/>
      <c r="N664" s="20">
        <f>IF($C664="","",IFERROR(INDEX(EtapaProb,MATCH($G664,Etapas,0)),0))</f>
        <v/>
      </c>
      <c r="O664" s="21">
        <f>IF($C664="","",IF($P664="Aberto",N($H664)*$N664,0))</f>
        <v/>
      </c>
      <c r="P664" s="18">
        <f>IF($C664="","",IF($G664="Ganho","Ganho",IF($G664="Perdido","Perdido","Aberto")))</f>
        <v/>
      </c>
      <c r="Q664" s="18">
        <f>IF(OR($C664="",$P664&lt;&gt;"Aberto"),"",IF($I664="",Hoje-$B664,Hoje-$I664))</f>
        <v/>
      </c>
      <c r="R664" s="22">
        <f>IF(OR($C664="",$P664&lt;&gt;"Aberto"),"",IF($J664="",IF($Q664&gt;DiasSC,"ATRASADO","Definir data"),IF($J664&lt;Hoje,"ATRASADO",IF($J664=Hoje,"HOJE","Em dia"))))</f>
        <v/>
      </c>
      <c r="S664" s="23">
        <f>IF($R664="","",IF(OR($R664="ATRASADO",$R664="HOJE",$R664="Definir data"),COUNTIF($R$5:$R664,"ATRASADO")+COUNTIF($R$5:$R664,"HOJE")+COUNTIF($R$5:$R664,"Definir data"),""))</f>
        <v/>
      </c>
      <c r="T664" s="18">
        <f>IF($C664="","",IF(OR($B664="",$E664="",$F664="",$G664=""),"Preencher entrada/origem/vendedor/etapa",IF(AND(OR($P664="Ganho",$P664="Perdido"),$K664=""),"Falta data de fechamento",IF(AND($P664="Perdido",$L664=""),"Informe o motivo da perda","OK"))))</f>
        <v/>
      </c>
    </row>
    <row r="665" spans="1:20">
      <c r="A665" s="18">
        <f>IF($C665="","",ROW()-4)</f>
        <v/>
      </c>
      <c r="B665" s="19"/>
      <c r="C665" s="13"/>
      <c r="D665" s="13"/>
      <c r="E665" s="13"/>
      <c r="F665" s="13"/>
      <c r="G665" s="13"/>
      <c r="H665" s="15"/>
      <c r="I665" s="19"/>
      <c r="J665" s="19"/>
      <c r="K665" s="19"/>
      <c r="L665" s="13"/>
      <c r="M665" s="13"/>
      <c r="N665" s="20">
        <f>IF($C665="","",IFERROR(INDEX(EtapaProb,MATCH($G665,Etapas,0)),0))</f>
        <v/>
      </c>
      <c r="O665" s="21">
        <f>IF($C665="","",IF($P665="Aberto",N($H665)*$N665,0))</f>
        <v/>
      </c>
      <c r="P665" s="18">
        <f>IF($C665="","",IF($G665="Ganho","Ganho",IF($G665="Perdido","Perdido","Aberto")))</f>
        <v/>
      </c>
      <c r="Q665" s="18">
        <f>IF(OR($C665="",$P665&lt;&gt;"Aberto"),"",IF($I665="",Hoje-$B665,Hoje-$I665))</f>
        <v/>
      </c>
      <c r="R665" s="22">
        <f>IF(OR($C665="",$P665&lt;&gt;"Aberto"),"",IF($J665="",IF($Q665&gt;DiasSC,"ATRASADO","Definir data"),IF($J665&lt;Hoje,"ATRASADO",IF($J665=Hoje,"HOJE","Em dia"))))</f>
        <v/>
      </c>
      <c r="S665" s="23">
        <f>IF($R665="","",IF(OR($R665="ATRASADO",$R665="HOJE",$R665="Definir data"),COUNTIF($R$5:$R665,"ATRASADO")+COUNTIF($R$5:$R665,"HOJE")+COUNTIF($R$5:$R665,"Definir data"),""))</f>
        <v/>
      </c>
      <c r="T665" s="18">
        <f>IF($C665="","",IF(OR($B665="",$E665="",$F665="",$G665=""),"Preencher entrada/origem/vendedor/etapa",IF(AND(OR($P665="Ganho",$P665="Perdido"),$K665=""),"Falta data de fechamento",IF(AND($P665="Perdido",$L665=""),"Informe o motivo da perda","OK"))))</f>
        <v/>
      </c>
    </row>
    <row r="666" spans="1:20">
      <c r="A666" s="18">
        <f>IF($C666="","",ROW()-4)</f>
        <v/>
      </c>
      <c r="B666" s="19"/>
      <c r="C666" s="13"/>
      <c r="D666" s="13"/>
      <c r="E666" s="13"/>
      <c r="F666" s="13"/>
      <c r="G666" s="13"/>
      <c r="H666" s="15"/>
      <c r="I666" s="19"/>
      <c r="J666" s="19"/>
      <c r="K666" s="19"/>
      <c r="L666" s="13"/>
      <c r="M666" s="13"/>
      <c r="N666" s="20">
        <f>IF($C666="","",IFERROR(INDEX(EtapaProb,MATCH($G666,Etapas,0)),0))</f>
        <v/>
      </c>
      <c r="O666" s="21">
        <f>IF($C666="","",IF($P666="Aberto",N($H666)*$N666,0))</f>
        <v/>
      </c>
      <c r="P666" s="18">
        <f>IF($C666="","",IF($G666="Ganho","Ganho",IF($G666="Perdido","Perdido","Aberto")))</f>
        <v/>
      </c>
      <c r="Q666" s="18">
        <f>IF(OR($C666="",$P666&lt;&gt;"Aberto"),"",IF($I666="",Hoje-$B666,Hoje-$I666))</f>
        <v/>
      </c>
      <c r="R666" s="22">
        <f>IF(OR($C666="",$P666&lt;&gt;"Aberto"),"",IF($J666="",IF($Q666&gt;DiasSC,"ATRASADO","Definir data"),IF($J666&lt;Hoje,"ATRASADO",IF($J666=Hoje,"HOJE","Em dia"))))</f>
        <v/>
      </c>
      <c r="S666" s="23">
        <f>IF($R666="","",IF(OR($R666="ATRASADO",$R666="HOJE",$R666="Definir data"),COUNTIF($R$5:$R666,"ATRASADO")+COUNTIF($R$5:$R666,"HOJE")+COUNTIF($R$5:$R666,"Definir data"),""))</f>
        <v/>
      </c>
      <c r="T666" s="18">
        <f>IF($C666="","",IF(OR($B666="",$E666="",$F666="",$G666=""),"Preencher entrada/origem/vendedor/etapa",IF(AND(OR($P666="Ganho",$P666="Perdido"),$K666=""),"Falta data de fechamento",IF(AND($P666="Perdido",$L666=""),"Informe o motivo da perda","OK"))))</f>
        <v/>
      </c>
    </row>
    <row r="667" spans="1:20">
      <c r="A667" s="18">
        <f>IF($C667="","",ROW()-4)</f>
        <v/>
      </c>
      <c r="B667" s="19"/>
      <c r="C667" s="13"/>
      <c r="D667" s="13"/>
      <c r="E667" s="13"/>
      <c r="F667" s="13"/>
      <c r="G667" s="13"/>
      <c r="H667" s="15"/>
      <c r="I667" s="19"/>
      <c r="J667" s="19"/>
      <c r="K667" s="19"/>
      <c r="L667" s="13"/>
      <c r="M667" s="13"/>
      <c r="N667" s="20">
        <f>IF($C667="","",IFERROR(INDEX(EtapaProb,MATCH($G667,Etapas,0)),0))</f>
        <v/>
      </c>
      <c r="O667" s="21">
        <f>IF($C667="","",IF($P667="Aberto",N($H667)*$N667,0))</f>
        <v/>
      </c>
      <c r="P667" s="18">
        <f>IF($C667="","",IF($G667="Ganho","Ganho",IF($G667="Perdido","Perdido","Aberto")))</f>
        <v/>
      </c>
      <c r="Q667" s="18">
        <f>IF(OR($C667="",$P667&lt;&gt;"Aberto"),"",IF($I667="",Hoje-$B667,Hoje-$I667))</f>
        <v/>
      </c>
      <c r="R667" s="22">
        <f>IF(OR($C667="",$P667&lt;&gt;"Aberto"),"",IF($J667="",IF($Q667&gt;DiasSC,"ATRASADO","Definir data"),IF($J667&lt;Hoje,"ATRASADO",IF($J667=Hoje,"HOJE","Em dia"))))</f>
        <v/>
      </c>
      <c r="S667" s="23">
        <f>IF($R667="","",IF(OR($R667="ATRASADO",$R667="HOJE",$R667="Definir data"),COUNTIF($R$5:$R667,"ATRASADO")+COUNTIF($R$5:$R667,"HOJE")+COUNTIF($R$5:$R667,"Definir data"),""))</f>
        <v/>
      </c>
      <c r="T667" s="18">
        <f>IF($C667="","",IF(OR($B667="",$E667="",$F667="",$G667=""),"Preencher entrada/origem/vendedor/etapa",IF(AND(OR($P667="Ganho",$P667="Perdido"),$K667=""),"Falta data de fechamento",IF(AND($P667="Perdido",$L667=""),"Informe o motivo da perda","OK"))))</f>
        <v/>
      </c>
    </row>
    <row r="668" spans="1:20">
      <c r="A668" s="18">
        <f>IF($C668="","",ROW()-4)</f>
        <v/>
      </c>
      <c r="B668" s="19"/>
      <c r="C668" s="13"/>
      <c r="D668" s="13"/>
      <c r="E668" s="13"/>
      <c r="F668" s="13"/>
      <c r="G668" s="13"/>
      <c r="H668" s="15"/>
      <c r="I668" s="19"/>
      <c r="J668" s="19"/>
      <c r="K668" s="19"/>
      <c r="L668" s="13"/>
      <c r="M668" s="13"/>
      <c r="N668" s="20">
        <f>IF($C668="","",IFERROR(INDEX(EtapaProb,MATCH($G668,Etapas,0)),0))</f>
        <v/>
      </c>
      <c r="O668" s="21">
        <f>IF($C668="","",IF($P668="Aberto",N($H668)*$N668,0))</f>
        <v/>
      </c>
      <c r="P668" s="18">
        <f>IF($C668="","",IF($G668="Ganho","Ganho",IF($G668="Perdido","Perdido","Aberto")))</f>
        <v/>
      </c>
      <c r="Q668" s="18">
        <f>IF(OR($C668="",$P668&lt;&gt;"Aberto"),"",IF($I668="",Hoje-$B668,Hoje-$I668))</f>
        <v/>
      </c>
      <c r="R668" s="22">
        <f>IF(OR($C668="",$P668&lt;&gt;"Aberto"),"",IF($J668="",IF($Q668&gt;DiasSC,"ATRASADO","Definir data"),IF($J668&lt;Hoje,"ATRASADO",IF($J668=Hoje,"HOJE","Em dia"))))</f>
        <v/>
      </c>
      <c r="S668" s="23">
        <f>IF($R668="","",IF(OR($R668="ATRASADO",$R668="HOJE",$R668="Definir data"),COUNTIF($R$5:$R668,"ATRASADO")+COUNTIF($R$5:$R668,"HOJE")+COUNTIF($R$5:$R668,"Definir data"),""))</f>
        <v/>
      </c>
      <c r="T668" s="18">
        <f>IF($C668="","",IF(OR($B668="",$E668="",$F668="",$G668=""),"Preencher entrada/origem/vendedor/etapa",IF(AND(OR($P668="Ganho",$P668="Perdido"),$K668=""),"Falta data de fechamento",IF(AND($P668="Perdido",$L668=""),"Informe o motivo da perda","OK"))))</f>
        <v/>
      </c>
    </row>
    <row r="669" spans="1:20">
      <c r="A669" s="18">
        <f>IF($C669="","",ROW()-4)</f>
        <v/>
      </c>
      <c r="B669" s="19"/>
      <c r="C669" s="13"/>
      <c r="D669" s="13"/>
      <c r="E669" s="13"/>
      <c r="F669" s="13"/>
      <c r="G669" s="13"/>
      <c r="H669" s="15"/>
      <c r="I669" s="19"/>
      <c r="J669" s="19"/>
      <c r="K669" s="19"/>
      <c r="L669" s="13"/>
      <c r="M669" s="13"/>
      <c r="N669" s="20">
        <f>IF($C669="","",IFERROR(INDEX(EtapaProb,MATCH($G669,Etapas,0)),0))</f>
        <v/>
      </c>
      <c r="O669" s="21">
        <f>IF($C669="","",IF($P669="Aberto",N($H669)*$N669,0))</f>
        <v/>
      </c>
      <c r="P669" s="18">
        <f>IF($C669="","",IF($G669="Ganho","Ganho",IF($G669="Perdido","Perdido","Aberto")))</f>
        <v/>
      </c>
      <c r="Q669" s="18">
        <f>IF(OR($C669="",$P669&lt;&gt;"Aberto"),"",IF($I669="",Hoje-$B669,Hoje-$I669))</f>
        <v/>
      </c>
      <c r="R669" s="22">
        <f>IF(OR($C669="",$P669&lt;&gt;"Aberto"),"",IF($J669="",IF($Q669&gt;DiasSC,"ATRASADO","Definir data"),IF($J669&lt;Hoje,"ATRASADO",IF($J669=Hoje,"HOJE","Em dia"))))</f>
        <v/>
      </c>
      <c r="S669" s="23">
        <f>IF($R669="","",IF(OR($R669="ATRASADO",$R669="HOJE",$R669="Definir data"),COUNTIF($R$5:$R669,"ATRASADO")+COUNTIF($R$5:$R669,"HOJE")+COUNTIF($R$5:$R669,"Definir data"),""))</f>
        <v/>
      </c>
      <c r="T669" s="18">
        <f>IF($C669="","",IF(OR($B669="",$E669="",$F669="",$G669=""),"Preencher entrada/origem/vendedor/etapa",IF(AND(OR($P669="Ganho",$P669="Perdido"),$K669=""),"Falta data de fechamento",IF(AND($P669="Perdido",$L669=""),"Informe o motivo da perda","OK"))))</f>
        <v/>
      </c>
    </row>
    <row r="670" spans="1:20">
      <c r="A670" s="18">
        <f>IF($C670="","",ROW()-4)</f>
        <v/>
      </c>
      <c r="B670" s="19"/>
      <c r="C670" s="13"/>
      <c r="D670" s="13"/>
      <c r="E670" s="13"/>
      <c r="F670" s="13"/>
      <c r="G670" s="13"/>
      <c r="H670" s="15"/>
      <c r="I670" s="19"/>
      <c r="J670" s="19"/>
      <c r="K670" s="19"/>
      <c r="L670" s="13"/>
      <c r="M670" s="13"/>
      <c r="N670" s="20">
        <f>IF($C670="","",IFERROR(INDEX(EtapaProb,MATCH($G670,Etapas,0)),0))</f>
        <v/>
      </c>
      <c r="O670" s="21">
        <f>IF($C670="","",IF($P670="Aberto",N($H670)*$N670,0))</f>
        <v/>
      </c>
      <c r="P670" s="18">
        <f>IF($C670="","",IF($G670="Ganho","Ganho",IF($G670="Perdido","Perdido","Aberto")))</f>
        <v/>
      </c>
      <c r="Q670" s="18">
        <f>IF(OR($C670="",$P670&lt;&gt;"Aberto"),"",IF($I670="",Hoje-$B670,Hoje-$I670))</f>
        <v/>
      </c>
      <c r="R670" s="22">
        <f>IF(OR($C670="",$P670&lt;&gt;"Aberto"),"",IF($J670="",IF($Q670&gt;DiasSC,"ATRASADO","Definir data"),IF($J670&lt;Hoje,"ATRASADO",IF($J670=Hoje,"HOJE","Em dia"))))</f>
        <v/>
      </c>
      <c r="S670" s="23">
        <f>IF($R670="","",IF(OR($R670="ATRASADO",$R670="HOJE",$R670="Definir data"),COUNTIF($R$5:$R670,"ATRASADO")+COUNTIF($R$5:$R670,"HOJE")+COUNTIF($R$5:$R670,"Definir data"),""))</f>
        <v/>
      </c>
      <c r="T670" s="18">
        <f>IF($C670="","",IF(OR($B670="",$E670="",$F670="",$G670=""),"Preencher entrada/origem/vendedor/etapa",IF(AND(OR($P670="Ganho",$P670="Perdido"),$K670=""),"Falta data de fechamento",IF(AND($P670="Perdido",$L670=""),"Informe o motivo da perda","OK"))))</f>
        <v/>
      </c>
    </row>
    <row r="671" spans="1:20">
      <c r="A671" s="18">
        <f>IF($C671="","",ROW()-4)</f>
        <v/>
      </c>
      <c r="B671" s="19"/>
      <c r="C671" s="13"/>
      <c r="D671" s="13"/>
      <c r="E671" s="13"/>
      <c r="F671" s="13"/>
      <c r="G671" s="13"/>
      <c r="H671" s="15"/>
      <c r="I671" s="19"/>
      <c r="J671" s="19"/>
      <c r="K671" s="19"/>
      <c r="L671" s="13"/>
      <c r="M671" s="13"/>
      <c r="N671" s="20">
        <f>IF($C671="","",IFERROR(INDEX(EtapaProb,MATCH($G671,Etapas,0)),0))</f>
        <v/>
      </c>
      <c r="O671" s="21">
        <f>IF($C671="","",IF($P671="Aberto",N($H671)*$N671,0))</f>
        <v/>
      </c>
      <c r="P671" s="18">
        <f>IF($C671="","",IF($G671="Ganho","Ganho",IF($G671="Perdido","Perdido","Aberto")))</f>
        <v/>
      </c>
      <c r="Q671" s="18">
        <f>IF(OR($C671="",$P671&lt;&gt;"Aberto"),"",IF($I671="",Hoje-$B671,Hoje-$I671))</f>
        <v/>
      </c>
      <c r="R671" s="22">
        <f>IF(OR($C671="",$P671&lt;&gt;"Aberto"),"",IF($J671="",IF($Q671&gt;DiasSC,"ATRASADO","Definir data"),IF($J671&lt;Hoje,"ATRASADO",IF($J671=Hoje,"HOJE","Em dia"))))</f>
        <v/>
      </c>
      <c r="S671" s="23">
        <f>IF($R671="","",IF(OR($R671="ATRASADO",$R671="HOJE",$R671="Definir data"),COUNTIF($R$5:$R671,"ATRASADO")+COUNTIF($R$5:$R671,"HOJE")+COUNTIF($R$5:$R671,"Definir data"),""))</f>
        <v/>
      </c>
      <c r="T671" s="18">
        <f>IF($C671="","",IF(OR($B671="",$E671="",$F671="",$G671=""),"Preencher entrada/origem/vendedor/etapa",IF(AND(OR($P671="Ganho",$P671="Perdido"),$K671=""),"Falta data de fechamento",IF(AND($P671="Perdido",$L671=""),"Informe o motivo da perda","OK"))))</f>
        <v/>
      </c>
    </row>
    <row r="672" spans="1:20">
      <c r="A672" s="18">
        <f>IF($C672="","",ROW()-4)</f>
        <v/>
      </c>
      <c r="B672" s="19"/>
      <c r="C672" s="13"/>
      <c r="D672" s="13"/>
      <c r="E672" s="13"/>
      <c r="F672" s="13"/>
      <c r="G672" s="13"/>
      <c r="H672" s="15"/>
      <c r="I672" s="19"/>
      <c r="J672" s="19"/>
      <c r="K672" s="19"/>
      <c r="L672" s="13"/>
      <c r="M672" s="13"/>
      <c r="N672" s="20">
        <f>IF($C672="","",IFERROR(INDEX(EtapaProb,MATCH($G672,Etapas,0)),0))</f>
        <v/>
      </c>
      <c r="O672" s="21">
        <f>IF($C672="","",IF($P672="Aberto",N($H672)*$N672,0))</f>
        <v/>
      </c>
      <c r="P672" s="18">
        <f>IF($C672="","",IF($G672="Ganho","Ganho",IF($G672="Perdido","Perdido","Aberto")))</f>
        <v/>
      </c>
      <c r="Q672" s="18">
        <f>IF(OR($C672="",$P672&lt;&gt;"Aberto"),"",IF($I672="",Hoje-$B672,Hoje-$I672))</f>
        <v/>
      </c>
      <c r="R672" s="22">
        <f>IF(OR($C672="",$P672&lt;&gt;"Aberto"),"",IF($J672="",IF($Q672&gt;DiasSC,"ATRASADO","Definir data"),IF($J672&lt;Hoje,"ATRASADO",IF($J672=Hoje,"HOJE","Em dia"))))</f>
        <v/>
      </c>
      <c r="S672" s="23">
        <f>IF($R672="","",IF(OR($R672="ATRASADO",$R672="HOJE",$R672="Definir data"),COUNTIF($R$5:$R672,"ATRASADO")+COUNTIF($R$5:$R672,"HOJE")+COUNTIF($R$5:$R672,"Definir data"),""))</f>
        <v/>
      </c>
      <c r="T672" s="18">
        <f>IF($C672="","",IF(OR($B672="",$E672="",$F672="",$G672=""),"Preencher entrada/origem/vendedor/etapa",IF(AND(OR($P672="Ganho",$P672="Perdido"),$K672=""),"Falta data de fechamento",IF(AND($P672="Perdido",$L672=""),"Informe o motivo da perda","OK"))))</f>
        <v/>
      </c>
    </row>
    <row r="673" spans="1:20">
      <c r="A673" s="18">
        <f>IF($C673="","",ROW()-4)</f>
        <v/>
      </c>
      <c r="B673" s="19"/>
      <c r="C673" s="13"/>
      <c r="D673" s="13"/>
      <c r="E673" s="13"/>
      <c r="F673" s="13"/>
      <c r="G673" s="13"/>
      <c r="H673" s="15"/>
      <c r="I673" s="19"/>
      <c r="J673" s="19"/>
      <c r="K673" s="19"/>
      <c r="L673" s="13"/>
      <c r="M673" s="13"/>
      <c r="N673" s="20">
        <f>IF($C673="","",IFERROR(INDEX(EtapaProb,MATCH($G673,Etapas,0)),0))</f>
        <v/>
      </c>
      <c r="O673" s="21">
        <f>IF($C673="","",IF($P673="Aberto",N($H673)*$N673,0))</f>
        <v/>
      </c>
      <c r="P673" s="18">
        <f>IF($C673="","",IF($G673="Ganho","Ganho",IF($G673="Perdido","Perdido","Aberto")))</f>
        <v/>
      </c>
      <c r="Q673" s="18">
        <f>IF(OR($C673="",$P673&lt;&gt;"Aberto"),"",IF($I673="",Hoje-$B673,Hoje-$I673))</f>
        <v/>
      </c>
      <c r="R673" s="22">
        <f>IF(OR($C673="",$P673&lt;&gt;"Aberto"),"",IF($J673="",IF($Q673&gt;DiasSC,"ATRASADO","Definir data"),IF($J673&lt;Hoje,"ATRASADO",IF($J673=Hoje,"HOJE","Em dia"))))</f>
        <v/>
      </c>
      <c r="S673" s="23">
        <f>IF($R673="","",IF(OR($R673="ATRASADO",$R673="HOJE",$R673="Definir data"),COUNTIF($R$5:$R673,"ATRASADO")+COUNTIF($R$5:$R673,"HOJE")+COUNTIF($R$5:$R673,"Definir data"),""))</f>
        <v/>
      </c>
      <c r="T673" s="18">
        <f>IF($C673="","",IF(OR($B673="",$E673="",$F673="",$G673=""),"Preencher entrada/origem/vendedor/etapa",IF(AND(OR($P673="Ganho",$P673="Perdido"),$K673=""),"Falta data de fechamento",IF(AND($P673="Perdido",$L673=""),"Informe o motivo da perda","OK"))))</f>
        <v/>
      </c>
    </row>
    <row r="674" spans="1:20">
      <c r="A674" s="18">
        <f>IF($C674="","",ROW()-4)</f>
        <v/>
      </c>
      <c r="B674" s="19"/>
      <c r="C674" s="13"/>
      <c r="D674" s="13"/>
      <c r="E674" s="13"/>
      <c r="F674" s="13"/>
      <c r="G674" s="13"/>
      <c r="H674" s="15"/>
      <c r="I674" s="19"/>
      <c r="J674" s="19"/>
      <c r="K674" s="19"/>
      <c r="L674" s="13"/>
      <c r="M674" s="13"/>
      <c r="N674" s="20">
        <f>IF($C674="","",IFERROR(INDEX(EtapaProb,MATCH($G674,Etapas,0)),0))</f>
        <v/>
      </c>
      <c r="O674" s="21">
        <f>IF($C674="","",IF($P674="Aberto",N($H674)*$N674,0))</f>
        <v/>
      </c>
      <c r="P674" s="18">
        <f>IF($C674="","",IF($G674="Ganho","Ganho",IF($G674="Perdido","Perdido","Aberto")))</f>
        <v/>
      </c>
      <c r="Q674" s="18">
        <f>IF(OR($C674="",$P674&lt;&gt;"Aberto"),"",IF($I674="",Hoje-$B674,Hoje-$I674))</f>
        <v/>
      </c>
      <c r="R674" s="22">
        <f>IF(OR($C674="",$P674&lt;&gt;"Aberto"),"",IF($J674="",IF($Q674&gt;DiasSC,"ATRASADO","Definir data"),IF($J674&lt;Hoje,"ATRASADO",IF($J674=Hoje,"HOJE","Em dia"))))</f>
        <v/>
      </c>
      <c r="S674" s="23">
        <f>IF($R674="","",IF(OR($R674="ATRASADO",$R674="HOJE",$R674="Definir data"),COUNTIF($R$5:$R674,"ATRASADO")+COUNTIF($R$5:$R674,"HOJE")+COUNTIF($R$5:$R674,"Definir data"),""))</f>
        <v/>
      </c>
      <c r="T674" s="18">
        <f>IF($C674="","",IF(OR($B674="",$E674="",$F674="",$G674=""),"Preencher entrada/origem/vendedor/etapa",IF(AND(OR($P674="Ganho",$P674="Perdido"),$K674=""),"Falta data de fechamento",IF(AND($P674="Perdido",$L674=""),"Informe o motivo da perda","OK"))))</f>
        <v/>
      </c>
    </row>
    <row r="675" spans="1:20">
      <c r="A675" s="18">
        <f>IF($C675="","",ROW()-4)</f>
        <v/>
      </c>
      <c r="B675" s="19"/>
      <c r="C675" s="13"/>
      <c r="D675" s="13"/>
      <c r="E675" s="13"/>
      <c r="F675" s="13"/>
      <c r="G675" s="13"/>
      <c r="H675" s="15"/>
      <c r="I675" s="19"/>
      <c r="J675" s="19"/>
      <c r="K675" s="19"/>
      <c r="L675" s="13"/>
      <c r="M675" s="13"/>
      <c r="N675" s="20">
        <f>IF($C675="","",IFERROR(INDEX(EtapaProb,MATCH($G675,Etapas,0)),0))</f>
        <v/>
      </c>
      <c r="O675" s="21">
        <f>IF($C675="","",IF($P675="Aberto",N($H675)*$N675,0))</f>
        <v/>
      </c>
      <c r="P675" s="18">
        <f>IF($C675="","",IF($G675="Ganho","Ganho",IF($G675="Perdido","Perdido","Aberto")))</f>
        <v/>
      </c>
      <c r="Q675" s="18">
        <f>IF(OR($C675="",$P675&lt;&gt;"Aberto"),"",IF($I675="",Hoje-$B675,Hoje-$I675))</f>
        <v/>
      </c>
      <c r="R675" s="22">
        <f>IF(OR($C675="",$P675&lt;&gt;"Aberto"),"",IF($J675="",IF($Q675&gt;DiasSC,"ATRASADO","Definir data"),IF($J675&lt;Hoje,"ATRASADO",IF($J675=Hoje,"HOJE","Em dia"))))</f>
        <v/>
      </c>
      <c r="S675" s="23">
        <f>IF($R675="","",IF(OR($R675="ATRASADO",$R675="HOJE",$R675="Definir data"),COUNTIF($R$5:$R675,"ATRASADO")+COUNTIF($R$5:$R675,"HOJE")+COUNTIF($R$5:$R675,"Definir data"),""))</f>
        <v/>
      </c>
      <c r="T675" s="18">
        <f>IF($C675="","",IF(OR($B675="",$E675="",$F675="",$G675=""),"Preencher entrada/origem/vendedor/etapa",IF(AND(OR($P675="Ganho",$P675="Perdido"),$K675=""),"Falta data de fechamento",IF(AND($P675="Perdido",$L675=""),"Informe o motivo da perda","OK"))))</f>
        <v/>
      </c>
    </row>
    <row r="676" spans="1:20">
      <c r="A676" s="18">
        <f>IF($C676="","",ROW()-4)</f>
        <v/>
      </c>
      <c r="B676" s="19"/>
      <c r="C676" s="13"/>
      <c r="D676" s="13"/>
      <c r="E676" s="13"/>
      <c r="F676" s="13"/>
      <c r="G676" s="13"/>
      <c r="H676" s="15"/>
      <c r="I676" s="19"/>
      <c r="J676" s="19"/>
      <c r="K676" s="19"/>
      <c r="L676" s="13"/>
      <c r="M676" s="13"/>
      <c r="N676" s="20">
        <f>IF($C676="","",IFERROR(INDEX(EtapaProb,MATCH($G676,Etapas,0)),0))</f>
        <v/>
      </c>
      <c r="O676" s="21">
        <f>IF($C676="","",IF($P676="Aberto",N($H676)*$N676,0))</f>
        <v/>
      </c>
      <c r="P676" s="18">
        <f>IF($C676="","",IF($G676="Ganho","Ganho",IF($G676="Perdido","Perdido","Aberto")))</f>
        <v/>
      </c>
      <c r="Q676" s="18">
        <f>IF(OR($C676="",$P676&lt;&gt;"Aberto"),"",IF($I676="",Hoje-$B676,Hoje-$I676))</f>
        <v/>
      </c>
      <c r="R676" s="22">
        <f>IF(OR($C676="",$P676&lt;&gt;"Aberto"),"",IF($J676="",IF($Q676&gt;DiasSC,"ATRASADO","Definir data"),IF($J676&lt;Hoje,"ATRASADO",IF($J676=Hoje,"HOJE","Em dia"))))</f>
        <v/>
      </c>
      <c r="S676" s="23">
        <f>IF($R676="","",IF(OR($R676="ATRASADO",$R676="HOJE",$R676="Definir data"),COUNTIF($R$5:$R676,"ATRASADO")+COUNTIF($R$5:$R676,"HOJE")+COUNTIF($R$5:$R676,"Definir data"),""))</f>
        <v/>
      </c>
      <c r="T676" s="18">
        <f>IF($C676="","",IF(OR($B676="",$E676="",$F676="",$G676=""),"Preencher entrada/origem/vendedor/etapa",IF(AND(OR($P676="Ganho",$P676="Perdido"),$K676=""),"Falta data de fechamento",IF(AND($P676="Perdido",$L676=""),"Informe o motivo da perda","OK"))))</f>
        <v/>
      </c>
    </row>
    <row r="677" spans="1:20">
      <c r="A677" s="18">
        <f>IF($C677="","",ROW()-4)</f>
        <v/>
      </c>
      <c r="B677" s="19"/>
      <c r="C677" s="13"/>
      <c r="D677" s="13"/>
      <c r="E677" s="13"/>
      <c r="F677" s="13"/>
      <c r="G677" s="13"/>
      <c r="H677" s="15"/>
      <c r="I677" s="19"/>
      <c r="J677" s="19"/>
      <c r="K677" s="19"/>
      <c r="L677" s="13"/>
      <c r="M677" s="13"/>
      <c r="N677" s="20">
        <f>IF($C677="","",IFERROR(INDEX(EtapaProb,MATCH($G677,Etapas,0)),0))</f>
        <v/>
      </c>
      <c r="O677" s="21">
        <f>IF($C677="","",IF($P677="Aberto",N($H677)*$N677,0))</f>
        <v/>
      </c>
      <c r="P677" s="18">
        <f>IF($C677="","",IF($G677="Ganho","Ganho",IF($G677="Perdido","Perdido","Aberto")))</f>
        <v/>
      </c>
      <c r="Q677" s="18">
        <f>IF(OR($C677="",$P677&lt;&gt;"Aberto"),"",IF($I677="",Hoje-$B677,Hoje-$I677))</f>
        <v/>
      </c>
      <c r="R677" s="22">
        <f>IF(OR($C677="",$P677&lt;&gt;"Aberto"),"",IF($J677="",IF($Q677&gt;DiasSC,"ATRASADO","Definir data"),IF($J677&lt;Hoje,"ATRASADO",IF($J677=Hoje,"HOJE","Em dia"))))</f>
        <v/>
      </c>
      <c r="S677" s="23">
        <f>IF($R677="","",IF(OR($R677="ATRASADO",$R677="HOJE",$R677="Definir data"),COUNTIF($R$5:$R677,"ATRASADO")+COUNTIF($R$5:$R677,"HOJE")+COUNTIF($R$5:$R677,"Definir data"),""))</f>
        <v/>
      </c>
      <c r="T677" s="18">
        <f>IF($C677="","",IF(OR($B677="",$E677="",$F677="",$G677=""),"Preencher entrada/origem/vendedor/etapa",IF(AND(OR($P677="Ganho",$P677="Perdido"),$K677=""),"Falta data de fechamento",IF(AND($P677="Perdido",$L677=""),"Informe o motivo da perda","OK"))))</f>
        <v/>
      </c>
    </row>
    <row r="678" spans="1:20">
      <c r="A678" s="18">
        <f>IF($C678="","",ROW()-4)</f>
        <v/>
      </c>
      <c r="B678" s="19"/>
      <c r="C678" s="13"/>
      <c r="D678" s="13"/>
      <c r="E678" s="13"/>
      <c r="F678" s="13"/>
      <c r="G678" s="13"/>
      <c r="H678" s="15"/>
      <c r="I678" s="19"/>
      <c r="J678" s="19"/>
      <c r="K678" s="19"/>
      <c r="L678" s="13"/>
      <c r="M678" s="13"/>
      <c r="N678" s="20">
        <f>IF($C678="","",IFERROR(INDEX(EtapaProb,MATCH($G678,Etapas,0)),0))</f>
        <v/>
      </c>
      <c r="O678" s="21">
        <f>IF($C678="","",IF($P678="Aberto",N($H678)*$N678,0))</f>
        <v/>
      </c>
      <c r="P678" s="18">
        <f>IF($C678="","",IF($G678="Ganho","Ganho",IF($G678="Perdido","Perdido","Aberto")))</f>
        <v/>
      </c>
      <c r="Q678" s="18">
        <f>IF(OR($C678="",$P678&lt;&gt;"Aberto"),"",IF($I678="",Hoje-$B678,Hoje-$I678))</f>
        <v/>
      </c>
      <c r="R678" s="22">
        <f>IF(OR($C678="",$P678&lt;&gt;"Aberto"),"",IF($J678="",IF($Q678&gt;DiasSC,"ATRASADO","Definir data"),IF($J678&lt;Hoje,"ATRASADO",IF($J678=Hoje,"HOJE","Em dia"))))</f>
        <v/>
      </c>
      <c r="S678" s="23">
        <f>IF($R678="","",IF(OR($R678="ATRASADO",$R678="HOJE",$R678="Definir data"),COUNTIF($R$5:$R678,"ATRASADO")+COUNTIF($R$5:$R678,"HOJE")+COUNTIF($R$5:$R678,"Definir data"),""))</f>
        <v/>
      </c>
      <c r="T678" s="18">
        <f>IF($C678="","",IF(OR($B678="",$E678="",$F678="",$G678=""),"Preencher entrada/origem/vendedor/etapa",IF(AND(OR($P678="Ganho",$P678="Perdido"),$K678=""),"Falta data de fechamento",IF(AND($P678="Perdido",$L678=""),"Informe o motivo da perda","OK"))))</f>
        <v/>
      </c>
    </row>
    <row r="679" spans="1:20">
      <c r="A679" s="18">
        <f>IF($C679="","",ROW()-4)</f>
        <v/>
      </c>
      <c r="B679" s="19"/>
      <c r="C679" s="13"/>
      <c r="D679" s="13"/>
      <c r="E679" s="13"/>
      <c r="F679" s="13"/>
      <c r="G679" s="13"/>
      <c r="H679" s="15"/>
      <c r="I679" s="19"/>
      <c r="J679" s="19"/>
      <c r="K679" s="19"/>
      <c r="L679" s="13"/>
      <c r="M679" s="13"/>
      <c r="N679" s="20">
        <f>IF($C679="","",IFERROR(INDEX(EtapaProb,MATCH($G679,Etapas,0)),0))</f>
        <v/>
      </c>
      <c r="O679" s="21">
        <f>IF($C679="","",IF($P679="Aberto",N($H679)*$N679,0))</f>
        <v/>
      </c>
      <c r="P679" s="18">
        <f>IF($C679="","",IF($G679="Ganho","Ganho",IF($G679="Perdido","Perdido","Aberto")))</f>
        <v/>
      </c>
      <c r="Q679" s="18">
        <f>IF(OR($C679="",$P679&lt;&gt;"Aberto"),"",IF($I679="",Hoje-$B679,Hoje-$I679))</f>
        <v/>
      </c>
      <c r="R679" s="22">
        <f>IF(OR($C679="",$P679&lt;&gt;"Aberto"),"",IF($J679="",IF($Q679&gt;DiasSC,"ATRASADO","Definir data"),IF($J679&lt;Hoje,"ATRASADO",IF($J679=Hoje,"HOJE","Em dia"))))</f>
        <v/>
      </c>
      <c r="S679" s="23">
        <f>IF($R679="","",IF(OR($R679="ATRASADO",$R679="HOJE",$R679="Definir data"),COUNTIF($R$5:$R679,"ATRASADO")+COUNTIF($R$5:$R679,"HOJE")+COUNTIF($R$5:$R679,"Definir data"),""))</f>
        <v/>
      </c>
      <c r="T679" s="18">
        <f>IF($C679="","",IF(OR($B679="",$E679="",$F679="",$G679=""),"Preencher entrada/origem/vendedor/etapa",IF(AND(OR($P679="Ganho",$P679="Perdido"),$K679=""),"Falta data de fechamento",IF(AND($P679="Perdido",$L679=""),"Informe o motivo da perda","OK"))))</f>
        <v/>
      </c>
    </row>
    <row r="680" spans="1:20">
      <c r="A680" s="18">
        <f>IF($C680="","",ROW()-4)</f>
        <v/>
      </c>
      <c r="B680" s="19"/>
      <c r="C680" s="13"/>
      <c r="D680" s="13"/>
      <c r="E680" s="13"/>
      <c r="F680" s="13"/>
      <c r="G680" s="13"/>
      <c r="H680" s="15"/>
      <c r="I680" s="19"/>
      <c r="J680" s="19"/>
      <c r="K680" s="19"/>
      <c r="L680" s="13"/>
      <c r="M680" s="13"/>
      <c r="N680" s="20">
        <f>IF($C680="","",IFERROR(INDEX(EtapaProb,MATCH($G680,Etapas,0)),0))</f>
        <v/>
      </c>
      <c r="O680" s="21">
        <f>IF($C680="","",IF($P680="Aberto",N($H680)*$N680,0))</f>
        <v/>
      </c>
      <c r="P680" s="18">
        <f>IF($C680="","",IF($G680="Ganho","Ganho",IF($G680="Perdido","Perdido","Aberto")))</f>
        <v/>
      </c>
      <c r="Q680" s="18">
        <f>IF(OR($C680="",$P680&lt;&gt;"Aberto"),"",IF($I680="",Hoje-$B680,Hoje-$I680))</f>
        <v/>
      </c>
      <c r="R680" s="22">
        <f>IF(OR($C680="",$P680&lt;&gt;"Aberto"),"",IF($J680="",IF($Q680&gt;DiasSC,"ATRASADO","Definir data"),IF($J680&lt;Hoje,"ATRASADO",IF($J680=Hoje,"HOJE","Em dia"))))</f>
        <v/>
      </c>
      <c r="S680" s="23">
        <f>IF($R680="","",IF(OR($R680="ATRASADO",$R680="HOJE",$R680="Definir data"),COUNTIF($R$5:$R680,"ATRASADO")+COUNTIF($R$5:$R680,"HOJE")+COUNTIF($R$5:$R680,"Definir data"),""))</f>
        <v/>
      </c>
      <c r="T680" s="18">
        <f>IF($C680="","",IF(OR($B680="",$E680="",$F680="",$G680=""),"Preencher entrada/origem/vendedor/etapa",IF(AND(OR($P680="Ganho",$P680="Perdido"),$K680=""),"Falta data de fechamento",IF(AND($P680="Perdido",$L680=""),"Informe o motivo da perda","OK"))))</f>
        <v/>
      </c>
    </row>
    <row r="681" spans="1:20">
      <c r="A681" s="18">
        <f>IF($C681="","",ROW()-4)</f>
        <v/>
      </c>
      <c r="B681" s="19"/>
      <c r="C681" s="13"/>
      <c r="D681" s="13"/>
      <c r="E681" s="13"/>
      <c r="F681" s="13"/>
      <c r="G681" s="13"/>
      <c r="H681" s="15"/>
      <c r="I681" s="19"/>
      <c r="J681" s="19"/>
      <c r="K681" s="19"/>
      <c r="L681" s="13"/>
      <c r="M681" s="13"/>
      <c r="N681" s="20">
        <f>IF($C681="","",IFERROR(INDEX(EtapaProb,MATCH($G681,Etapas,0)),0))</f>
        <v/>
      </c>
      <c r="O681" s="21">
        <f>IF($C681="","",IF($P681="Aberto",N($H681)*$N681,0))</f>
        <v/>
      </c>
      <c r="P681" s="18">
        <f>IF($C681="","",IF($G681="Ganho","Ganho",IF($G681="Perdido","Perdido","Aberto")))</f>
        <v/>
      </c>
      <c r="Q681" s="18">
        <f>IF(OR($C681="",$P681&lt;&gt;"Aberto"),"",IF($I681="",Hoje-$B681,Hoje-$I681))</f>
        <v/>
      </c>
      <c r="R681" s="22">
        <f>IF(OR($C681="",$P681&lt;&gt;"Aberto"),"",IF($J681="",IF($Q681&gt;DiasSC,"ATRASADO","Definir data"),IF($J681&lt;Hoje,"ATRASADO",IF($J681=Hoje,"HOJE","Em dia"))))</f>
        <v/>
      </c>
      <c r="S681" s="23">
        <f>IF($R681="","",IF(OR($R681="ATRASADO",$R681="HOJE",$R681="Definir data"),COUNTIF($R$5:$R681,"ATRASADO")+COUNTIF($R$5:$R681,"HOJE")+COUNTIF($R$5:$R681,"Definir data"),""))</f>
        <v/>
      </c>
      <c r="T681" s="18">
        <f>IF($C681="","",IF(OR($B681="",$E681="",$F681="",$G681=""),"Preencher entrada/origem/vendedor/etapa",IF(AND(OR($P681="Ganho",$P681="Perdido"),$K681=""),"Falta data de fechamento",IF(AND($P681="Perdido",$L681=""),"Informe o motivo da perda","OK"))))</f>
        <v/>
      </c>
    </row>
    <row r="682" spans="1:20">
      <c r="A682" s="18">
        <f>IF($C682="","",ROW()-4)</f>
        <v/>
      </c>
      <c r="B682" s="19"/>
      <c r="C682" s="13"/>
      <c r="D682" s="13"/>
      <c r="E682" s="13"/>
      <c r="F682" s="13"/>
      <c r="G682" s="13"/>
      <c r="H682" s="15"/>
      <c r="I682" s="19"/>
      <c r="J682" s="19"/>
      <c r="K682" s="19"/>
      <c r="L682" s="13"/>
      <c r="M682" s="13"/>
      <c r="N682" s="20">
        <f>IF($C682="","",IFERROR(INDEX(EtapaProb,MATCH($G682,Etapas,0)),0))</f>
        <v/>
      </c>
      <c r="O682" s="21">
        <f>IF($C682="","",IF($P682="Aberto",N($H682)*$N682,0))</f>
        <v/>
      </c>
      <c r="P682" s="18">
        <f>IF($C682="","",IF($G682="Ganho","Ganho",IF($G682="Perdido","Perdido","Aberto")))</f>
        <v/>
      </c>
      <c r="Q682" s="18">
        <f>IF(OR($C682="",$P682&lt;&gt;"Aberto"),"",IF($I682="",Hoje-$B682,Hoje-$I682))</f>
        <v/>
      </c>
      <c r="R682" s="22">
        <f>IF(OR($C682="",$P682&lt;&gt;"Aberto"),"",IF($J682="",IF($Q682&gt;DiasSC,"ATRASADO","Definir data"),IF($J682&lt;Hoje,"ATRASADO",IF($J682=Hoje,"HOJE","Em dia"))))</f>
        <v/>
      </c>
      <c r="S682" s="23">
        <f>IF($R682="","",IF(OR($R682="ATRASADO",$R682="HOJE",$R682="Definir data"),COUNTIF($R$5:$R682,"ATRASADO")+COUNTIF($R$5:$R682,"HOJE")+COUNTIF($R$5:$R682,"Definir data"),""))</f>
        <v/>
      </c>
      <c r="T682" s="18">
        <f>IF($C682="","",IF(OR($B682="",$E682="",$F682="",$G682=""),"Preencher entrada/origem/vendedor/etapa",IF(AND(OR($P682="Ganho",$P682="Perdido"),$K682=""),"Falta data de fechamento",IF(AND($P682="Perdido",$L682=""),"Informe o motivo da perda","OK"))))</f>
        <v/>
      </c>
    </row>
    <row r="683" spans="1:20">
      <c r="A683" s="18">
        <f>IF($C683="","",ROW()-4)</f>
        <v/>
      </c>
      <c r="B683" s="19"/>
      <c r="C683" s="13"/>
      <c r="D683" s="13"/>
      <c r="E683" s="13"/>
      <c r="F683" s="13"/>
      <c r="G683" s="13"/>
      <c r="H683" s="15"/>
      <c r="I683" s="19"/>
      <c r="J683" s="19"/>
      <c r="K683" s="19"/>
      <c r="L683" s="13"/>
      <c r="M683" s="13"/>
      <c r="N683" s="20">
        <f>IF($C683="","",IFERROR(INDEX(EtapaProb,MATCH($G683,Etapas,0)),0))</f>
        <v/>
      </c>
      <c r="O683" s="21">
        <f>IF($C683="","",IF($P683="Aberto",N($H683)*$N683,0))</f>
        <v/>
      </c>
      <c r="P683" s="18">
        <f>IF($C683="","",IF($G683="Ganho","Ganho",IF($G683="Perdido","Perdido","Aberto")))</f>
        <v/>
      </c>
      <c r="Q683" s="18">
        <f>IF(OR($C683="",$P683&lt;&gt;"Aberto"),"",IF($I683="",Hoje-$B683,Hoje-$I683))</f>
        <v/>
      </c>
      <c r="R683" s="22">
        <f>IF(OR($C683="",$P683&lt;&gt;"Aberto"),"",IF($J683="",IF($Q683&gt;DiasSC,"ATRASADO","Definir data"),IF($J683&lt;Hoje,"ATRASADO",IF($J683=Hoje,"HOJE","Em dia"))))</f>
        <v/>
      </c>
      <c r="S683" s="23">
        <f>IF($R683="","",IF(OR($R683="ATRASADO",$R683="HOJE",$R683="Definir data"),COUNTIF($R$5:$R683,"ATRASADO")+COUNTIF($R$5:$R683,"HOJE")+COUNTIF($R$5:$R683,"Definir data"),""))</f>
        <v/>
      </c>
      <c r="T683" s="18">
        <f>IF($C683="","",IF(OR($B683="",$E683="",$F683="",$G683=""),"Preencher entrada/origem/vendedor/etapa",IF(AND(OR($P683="Ganho",$P683="Perdido"),$K683=""),"Falta data de fechamento",IF(AND($P683="Perdido",$L683=""),"Informe o motivo da perda","OK"))))</f>
        <v/>
      </c>
    </row>
    <row r="684" spans="1:20">
      <c r="A684" s="18">
        <f>IF($C684="","",ROW()-4)</f>
        <v/>
      </c>
      <c r="B684" s="19"/>
      <c r="C684" s="13"/>
      <c r="D684" s="13"/>
      <c r="E684" s="13"/>
      <c r="F684" s="13"/>
      <c r="G684" s="13"/>
      <c r="H684" s="15"/>
      <c r="I684" s="19"/>
      <c r="J684" s="19"/>
      <c r="K684" s="19"/>
      <c r="L684" s="13"/>
      <c r="M684" s="13"/>
      <c r="N684" s="20">
        <f>IF($C684="","",IFERROR(INDEX(EtapaProb,MATCH($G684,Etapas,0)),0))</f>
        <v/>
      </c>
      <c r="O684" s="21">
        <f>IF($C684="","",IF($P684="Aberto",N($H684)*$N684,0))</f>
        <v/>
      </c>
      <c r="P684" s="18">
        <f>IF($C684="","",IF($G684="Ganho","Ganho",IF($G684="Perdido","Perdido","Aberto")))</f>
        <v/>
      </c>
      <c r="Q684" s="18">
        <f>IF(OR($C684="",$P684&lt;&gt;"Aberto"),"",IF($I684="",Hoje-$B684,Hoje-$I684))</f>
        <v/>
      </c>
      <c r="R684" s="22">
        <f>IF(OR($C684="",$P684&lt;&gt;"Aberto"),"",IF($J684="",IF($Q684&gt;DiasSC,"ATRASADO","Definir data"),IF($J684&lt;Hoje,"ATRASADO",IF($J684=Hoje,"HOJE","Em dia"))))</f>
        <v/>
      </c>
      <c r="S684" s="23">
        <f>IF($R684="","",IF(OR($R684="ATRASADO",$R684="HOJE",$R684="Definir data"),COUNTIF($R$5:$R684,"ATRASADO")+COUNTIF($R$5:$R684,"HOJE")+COUNTIF($R$5:$R684,"Definir data"),""))</f>
        <v/>
      </c>
      <c r="T684" s="18">
        <f>IF($C684="","",IF(OR($B684="",$E684="",$F684="",$G684=""),"Preencher entrada/origem/vendedor/etapa",IF(AND(OR($P684="Ganho",$P684="Perdido"),$K684=""),"Falta data de fechamento",IF(AND($P684="Perdido",$L684=""),"Informe o motivo da perda","OK"))))</f>
        <v/>
      </c>
    </row>
    <row r="685" spans="1:20">
      <c r="A685" s="18">
        <f>IF($C685="","",ROW()-4)</f>
        <v/>
      </c>
      <c r="B685" s="19"/>
      <c r="C685" s="13"/>
      <c r="D685" s="13"/>
      <c r="E685" s="13"/>
      <c r="F685" s="13"/>
      <c r="G685" s="13"/>
      <c r="H685" s="15"/>
      <c r="I685" s="19"/>
      <c r="J685" s="19"/>
      <c r="K685" s="19"/>
      <c r="L685" s="13"/>
      <c r="M685" s="13"/>
      <c r="N685" s="20">
        <f>IF($C685="","",IFERROR(INDEX(EtapaProb,MATCH($G685,Etapas,0)),0))</f>
        <v/>
      </c>
      <c r="O685" s="21">
        <f>IF($C685="","",IF($P685="Aberto",N($H685)*$N685,0))</f>
        <v/>
      </c>
      <c r="P685" s="18">
        <f>IF($C685="","",IF($G685="Ganho","Ganho",IF($G685="Perdido","Perdido","Aberto")))</f>
        <v/>
      </c>
      <c r="Q685" s="18">
        <f>IF(OR($C685="",$P685&lt;&gt;"Aberto"),"",IF($I685="",Hoje-$B685,Hoje-$I685))</f>
        <v/>
      </c>
      <c r="R685" s="22">
        <f>IF(OR($C685="",$P685&lt;&gt;"Aberto"),"",IF($J685="",IF($Q685&gt;DiasSC,"ATRASADO","Definir data"),IF($J685&lt;Hoje,"ATRASADO",IF($J685=Hoje,"HOJE","Em dia"))))</f>
        <v/>
      </c>
      <c r="S685" s="23">
        <f>IF($R685="","",IF(OR($R685="ATRASADO",$R685="HOJE",$R685="Definir data"),COUNTIF($R$5:$R685,"ATRASADO")+COUNTIF($R$5:$R685,"HOJE")+COUNTIF($R$5:$R685,"Definir data"),""))</f>
        <v/>
      </c>
      <c r="T685" s="18">
        <f>IF($C685="","",IF(OR($B685="",$E685="",$F685="",$G685=""),"Preencher entrada/origem/vendedor/etapa",IF(AND(OR($P685="Ganho",$P685="Perdido"),$K685=""),"Falta data de fechamento",IF(AND($P685="Perdido",$L685=""),"Informe o motivo da perda","OK"))))</f>
        <v/>
      </c>
    </row>
    <row r="686" spans="1:20">
      <c r="A686" s="18">
        <f>IF($C686="","",ROW()-4)</f>
        <v/>
      </c>
      <c r="B686" s="19"/>
      <c r="C686" s="13"/>
      <c r="D686" s="13"/>
      <c r="E686" s="13"/>
      <c r="F686" s="13"/>
      <c r="G686" s="13"/>
      <c r="H686" s="15"/>
      <c r="I686" s="19"/>
      <c r="J686" s="19"/>
      <c r="K686" s="19"/>
      <c r="L686" s="13"/>
      <c r="M686" s="13"/>
      <c r="N686" s="20">
        <f>IF($C686="","",IFERROR(INDEX(EtapaProb,MATCH($G686,Etapas,0)),0))</f>
        <v/>
      </c>
      <c r="O686" s="21">
        <f>IF($C686="","",IF($P686="Aberto",N($H686)*$N686,0))</f>
        <v/>
      </c>
      <c r="P686" s="18">
        <f>IF($C686="","",IF($G686="Ganho","Ganho",IF($G686="Perdido","Perdido","Aberto")))</f>
        <v/>
      </c>
      <c r="Q686" s="18">
        <f>IF(OR($C686="",$P686&lt;&gt;"Aberto"),"",IF($I686="",Hoje-$B686,Hoje-$I686))</f>
        <v/>
      </c>
      <c r="R686" s="22">
        <f>IF(OR($C686="",$P686&lt;&gt;"Aberto"),"",IF($J686="",IF($Q686&gt;DiasSC,"ATRASADO","Definir data"),IF($J686&lt;Hoje,"ATRASADO",IF($J686=Hoje,"HOJE","Em dia"))))</f>
        <v/>
      </c>
      <c r="S686" s="23">
        <f>IF($R686="","",IF(OR($R686="ATRASADO",$R686="HOJE",$R686="Definir data"),COUNTIF($R$5:$R686,"ATRASADO")+COUNTIF($R$5:$R686,"HOJE")+COUNTIF($R$5:$R686,"Definir data"),""))</f>
        <v/>
      </c>
      <c r="T686" s="18">
        <f>IF($C686="","",IF(OR($B686="",$E686="",$F686="",$G686=""),"Preencher entrada/origem/vendedor/etapa",IF(AND(OR($P686="Ganho",$P686="Perdido"),$K686=""),"Falta data de fechamento",IF(AND($P686="Perdido",$L686=""),"Informe o motivo da perda","OK"))))</f>
        <v/>
      </c>
    </row>
    <row r="687" spans="1:20">
      <c r="A687" s="18">
        <f>IF($C687="","",ROW()-4)</f>
        <v/>
      </c>
      <c r="B687" s="19"/>
      <c r="C687" s="13"/>
      <c r="D687" s="13"/>
      <c r="E687" s="13"/>
      <c r="F687" s="13"/>
      <c r="G687" s="13"/>
      <c r="H687" s="15"/>
      <c r="I687" s="19"/>
      <c r="J687" s="19"/>
      <c r="K687" s="19"/>
      <c r="L687" s="13"/>
      <c r="M687" s="13"/>
      <c r="N687" s="20">
        <f>IF($C687="","",IFERROR(INDEX(EtapaProb,MATCH($G687,Etapas,0)),0))</f>
        <v/>
      </c>
      <c r="O687" s="21">
        <f>IF($C687="","",IF($P687="Aberto",N($H687)*$N687,0))</f>
        <v/>
      </c>
      <c r="P687" s="18">
        <f>IF($C687="","",IF($G687="Ganho","Ganho",IF($G687="Perdido","Perdido","Aberto")))</f>
        <v/>
      </c>
      <c r="Q687" s="18">
        <f>IF(OR($C687="",$P687&lt;&gt;"Aberto"),"",IF($I687="",Hoje-$B687,Hoje-$I687))</f>
        <v/>
      </c>
      <c r="R687" s="22">
        <f>IF(OR($C687="",$P687&lt;&gt;"Aberto"),"",IF($J687="",IF($Q687&gt;DiasSC,"ATRASADO","Definir data"),IF($J687&lt;Hoje,"ATRASADO",IF($J687=Hoje,"HOJE","Em dia"))))</f>
        <v/>
      </c>
      <c r="S687" s="23">
        <f>IF($R687="","",IF(OR($R687="ATRASADO",$R687="HOJE",$R687="Definir data"),COUNTIF($R$5:$R687,"ATRASADO")+COUNTIF($R$5:$R687,"HOJE")+COUNTIF($R$5:$R687,"Definir data"),""))</f>
        <v/>
      </c>
      <c r="T687" s="18">
        <f>IF($C687="","",IF(OR($B687="",$E687="",$F687="",$G687=""),"Preencher entrada/origem/vendedor/etapa",IF(AND(OR($P687="Ganho",$P687="Perdido"),$K687=""),"Falta data de fechamento",IF(AND($P687="Perdido",$L687=""),"Informe o motivo da perda","OK"))))</f>
        <v/>
      </c>
    </row>
    <row r="688" spans="1:20">
      <c r="A688" s="18">
        <f>IF($C688="","",ROW()-4)</f>
        <v/>
      </c>
      <c r="B688" s="19"/>
      <c r="C688" s="13"/>
      <c r="D688" s="13"/>
      <c r="E688" s="13"/>
      <c r="F688" s="13"/>
      <c r="G688" s="13"/>
      <c r="H688" s="15"/>
      <c r="I688" s="19"/>
      <c r="J688" s="19"/>
      <c r="K688" s="19"/>
      <c r="L688" s="13"/>
      <c r="M688" s="13"/>
      <c r="N688" s="20">
        <f>IF($C688="","",IFERROR(INDEX(EtapaProb,MATCH($G688,Etapas,0)),0))</f>
        <v/>
      </c>
      <c r="O688" s="21">
        <f>IF($C688="","",IF($P688="Aberto",N($H688)*$N688,0))</f>
        <v/>
      </c>
      <c r="P688" s="18">
        <f>IF($C688="","",IF($G688="Ganho","Ganho",IF($G688="Perdido","Perdido","Aberto")))</f>
        <v/>
      </c>
      <c r="Q688" s="18">
        <f>IF(OR($C688="",$P688&lt;&gt;"Aberto"),"",IF($I688="",Hoje-$B688,Hoje-$I688))</f>
        <v/>
      </c>
      <c r="R688" s="22">
        <f>IF(OR($C688="",$P688&lt;&gt;"Aberto"),"",IF($J688="",IF($Q688&gt;DiasSC,"ATRASADO","Definir data"),IF($J688&lt;Hoje,"ATRASADO",IF($J688=Hoje,"HOJE","Em dia"))))</f>
        <v/>
      </c>
      <c r="S688" s="23">
        <f>IF($R688="","",IF(OR($R688="ATRASADO",$R688="HOJE",$R688="Definir data"),COUNTIF($R$5:$R688,"ATRASADO")+COUNTIF($R$5:$R688,"HOJE")+COUNTIF($R$5:$R688,"Definir data"),""))</f>
        <v/>
      </c>
      <c r="T688" s="18">
        <f>IF($C688="","",IF(OR($B688="",$E688="",$F688="",$G688=""),"Preencher entrada/origem/vendedor/etapa",IF(AND(OR($P688="Ganho",$P688="Perdido"),$K688=""),"Falta data de fechamento",IF(AND($P688="Perdido",$L688=""),"Informe o motivo da perda","OK"))))</f>
        <v/>
      </c>
    </row>
    <row r="689" spans="1:20">
      <c r="A689" s="18">
        <f>IF($C689="","",ROW()-4)</f>
        <v/>
      </c>
      <c r="B689" s="19"/>
      <c r="C689" s="13"/>
      <c r="D689" s="13"/>
      <c r="E689" s="13"/>
      <c r="F689" s="13"/>
      <c r="G689" s="13"/>
      <c r="H689" s="15"/>
      <c r="I689" s="19"/>
      <c r="J689" s="19"/>
      <c r="K689" s="19"/>
      <c r="L689" s="13"/>
      <c r="M689" s="13"/>
      <c r="N689" s="20">
        <f>IF($C689="","",IFERROR(INDEX(EtapaProb,MATCH($G689,Etapas,0)),0))</f>
        <v/>
      </c>
      <c r="O689" s="21">
        <f>IF($C689="","",IF($P689="Aberto",N($H689)*$N689,0))</f>
        <v/>
      </c>
      <c r="P689" s="18">
        <f>IF($C689="","",IF($G689="Ganho","Ganho",IF($G689="Perdido","Perdido","Aberto")))</f>
        <v/>
      </c>
      <c r="Q689" s="18">
        <f>IF(OR($C689="",$P689&lt;&gt;"Aberto"),"",IF($I689="",Hoje-$B689,Hoje-$I689))</f>
        <v/>
      </c>
      <c r="R689" s="22">
        <f>IF(OR($C689="",$P689&lt;&gt;"Aberto"),"",IF($J689="",IF($Q689&gt;DiasSC,"ATRASADO","Definir data"),IF($J689&lt;Hoje,"ATRASADO",IF($J689=Hoje,"HOJE","Em dia"))))</f>
        <v/>
      </c>
      <c r="S689" s="23">
        <f>IF($R689="","",IF(OR($R689="ATRASADO",$R689="HOJE",$R689="Definir data"),COUNTIF($R$5:$R689,"ATRASADO")+COUNTIF($R$5:$R689,"HOJE")+COUNTIF($R$5:$R689,"Definir data"),""))</f>
        <v/>
      </c>
      <c r="T689" s="18">
        <f>IF($C689="","",IF(OR($B689="",$E689="",$F689="",$G689=""),"Preencher entrada/origem/vendedor/etapa",IF(AND(OR($P689="Ganho",$P689="Perdido"),$K689=""),"Falta data de fechamento",IF(AND($P689="Perdido",$L689=""),"Informe o motivo da perda","OK"))))</f>
        <v/>
      </c>
    </row>
    <row r="690" spans="1:20">
      <c r="A690" s="18">
        <f>IF($C690="","",ROW()-4)</f>
        <v/>
      </c>
      <c r="B690" s="19"/>
      <c r="C690" s="13"/>
      <c r="D690" s="13"/>
      <c r="E690" s="13"/>
      <c r="F690" s="13"/>
      <c r="G690" s="13"/>
      <c r="H690" s="15"/>
      <c r="I690" s="19"/>
      <c r="J690" s="19"/>
      <c r="K690" s="19"/>
      <c r="L690" s="13"/>
      <c r="M690" s="13"/>
      <c r="N690" s="20">
        <f>IF($C690="","",IFERROR(INDEX(EtapaProb,MATCH($G690,Etapas,0)),0))</f>
        <v/>
      </c>
      <c r="O690" s="21">
        <f>IF($C690="","",IF($P690="Aberto",N($H690)*$N690,0))</f>
        <v/>
      </c>
      <c r="P690" s="18">
        <f>IF($C690="","",IF($G690="Ganho","Ganho",IF($G690="Perdido","Perdido","Aberto")))</f>
        <v/>
      </c>
      <c r="Q690" s="18">
        <f>IF(OR($C690="",$P690&lt;&gt;"Aberto"),"",IF($I690="",Hoje-$B690,Hoje-$I690))</f>
        <v/>
      </c>
      <c r="R690" s="22">
        <f>IF(OR($C690="",$P690&lt;&gt;"Aberto"),"",IF($J690="",IF($Q690&gt;DiasSC,"ATRASADO","Definir data"),IF($J690&lt;Hoje,"ATRASADO",IF($J690=Hoje,"HOJE","Em dia"))))</f>
        <v/>
      </c>
      <c r="S690" s="23">
        <f>IF($R690="","",IF(OR($R690="ATRASADO",$R690="HOJE",$R690="Definir data"),COUNTIF($R$5:$R690,"ATRASADO")+COUNTIF($R$5:$R690,"HOJE")+COUNTIF($R$5:$R690,"Definir data"),""))</f>
        <v/>
      </c>
      <c r="T690" s="18">
        <f>IF($C690="","",IF(OR($B690="",$E690="",$F690="",$G690=""),"Preencher entrada/origem/vendedor/etapa",IF(AND(OR($P690="Ganho",$P690="Perdido"),$K690=""),"Falta data de fechamento",IF(AND($P690="Perdido",$L690=""),"Informe o motivo da perda","OK"))))</f>
        <v/>
      </c>
    </row>
    <row r="691" spans="1:20">
      <c r="A691" s="18">
        <f>IF($C691="","",ROW()-4)</f>
        <v/>
      </c>
      <c r="B691" s="19"/>
      <c r="C691" s="13"/>
      <c r="D691" s="13"/>
      <c r="E691" s="13"/>
      <c r="F691" s="13"/>
      <c r="G691" s="13"/>
      <c r="H691" s="15"/>
      <c r="I691" s="19"/>
      <c r="J691" s="19"/>
      <c r="K691" s="19"/>
      <c r="L691" s="13"/>
      <c r="M691" s="13"/>
      <c r="N691" s="20">
        <f>IF($C691="","",IFERROR(INDEX(EtapaProb,MATCH($G691,Etapas,0)),0))</f>
        <v/>
      </c>
      <c r="O691" s="21">
        <f>IF($C691="","",IF($P691="Aberto",N($H691)*$N691,0))</f>
        <v/>
      </c>
      <c r="P691" s="18">
        <f>IF($C691="","",IF($G691="Ganho","Ganho",IF($G691="Perdido","Perdido","Aberto")))</f>
        <v/>
      </c>
      <c r="Q691" s="18">
        <f>IF(OR($C691="",$P691&lt;&gt;"Aberto"),"",IF($I691="",Hoje-$B691,Hoje-$I691))</f>
        <v/>
      </c>
      <c r="R691" s="22">
        <f>IF(OR($C691="",$P691&lt;&gt;"Aberto"),"",IF($J691="",IF($Q691&gt;DiasSC,"ATRASADO","Definir data"),IF($J691&lt;Hoje,"ATRASADO",IF($J691=Hoje,"HOJE","Em dia"))))</f>
        <v/>
      </c>
      <c r="S691" s="23">
        <f>IF($R691="","",IF(OR($R691="ATRASADO",$R691="HOJE",$R691="Definir data"),COUNTIF($R$5:$R691,"ATRASADO")+COUNTIF($R$5:$R691,"HOJE")+COUNTIF($R$5:$R691,"Definir data"),""))</f>
        <v/>
      </c>
      <c r="T691" s="18">
        <f>IF($C691="","",IF(OR($B691="",$E691="",$F691="",$G691=""),"Preencher entrada/origem/vendedor/etapa",IF(AND(OR($P691="Ganho",$P691="Perdido"),$K691=""),"Falta data de fechamento",IF(AND($P691="Perdido",$L691=""),"Informe o motivo da perda","OK"))))</f>
        <v/>
      </c>
    </row>
    <row r="692" spans="1:20">
      <c r="A692" s="18">
        <f>IF($C692="","",ROW()-4)</f>
        <v/>
      </c>
      <c r="B692" s="19"/>
      <c r="C692" s="13"/>
      <c r="D692" s="13"/>
      <c r="E692" s="13"/>
      <c r="F692" s="13"/>
      <c r="G692" s="13"/>
      <c r="H692" s="15"/>
      <c r="I692" s="19"/>
      <c r="J692" s="19"/>
      <c r="K692" s="19"/>
      <c r="L692" s="13"/>
      <c r="M692" s="13"/>
      <c r="N692" s="20">
        <f>IF($C692="","",IFERROR(INDEX(EtapaProb,MATCH($G692,Etapas,0)),0))</f>
        <v/>
      </c>
      <c r="O692" s="21">
        <f>IF($C692="","",IF($P692="Aberto",N($H692)*$N692,0))</f>
        <v/>
      </c>
      <c r="P692" s="18">
        <f>IF($C692="","",IF($G692="Ganho","Ganho",IF($G692="Perdido","Perdido","Aberto")))</f>
        <v/>
      </c>
      <c r="Q692" s="18">
        <f>IF(OR($C692="",$P692&lt;&gt;"Aberto"),"",IF($I692="",Hoje-$B692,Hoje-$I692))</f>
        <v/>
      </c>
      <c r="R692" s="22">
        <f>IF(OR($C692="",$P692&lt;&gt;"Aberto"),"",IF($J692="",IF($Q692&gt;DiasSC,"ATRASADO","Definir data"),IF($J692&lt;Hoje,"ATRASADO",IF($J692=Hoje,"HOJE","Em dia"))))</f>
        <v/>
      </c>
      <c r="S692" s="23">
        <f>IF($R692="","",IF(OR($R692="ATRASADO",$R692="HOJE",$R692="Definir data"),COUNTIF($R$5:$R692,"ATRASADO")+COUNTIF($R$5:$R692,"HOJE")+COUNTIF($R$5:$R692,"Definir data"),""))</f>
        <v/>
      </c>
      <c r="T692" s="18">
        <f>IF($C692="","",IF(OR($B692="",$E692="",$F692="",$G692=""),"Preencher entrada/origem/vendedor/etapa",IF(AND(OR($P692="Ganho",$P692="Perdido"),$K692=""),"Falta data de fechamento",IF(AND($P692="Perdido",$L692=""),"Informe o motivo da perda","OK"))))</f>
        <v/>
      </c>
    </row>
    <row r="693" spans="1:20">
      <c r="A693" s="18">
        <f>IF($C693="","",ROW()-4)</f>
        <v/>
      </c>
      <c r="B693" s="19"/>
      <c r="C693" s="13"/>
      <c r="D693" s="13"/>
      <c r="E693" s="13"/>
      <c r="F693" s="13"/>
      <c r="G693" s="13"/>
      <c r="H693" s="15"/>
      <c r="I693" s="19"/>
      <c r="J693" s="19"/>
      <c r="K693" s="19"/>
      <c r="L693" s="13"/>
      <c r="M693" s="13"/>
      <c r="N693" s="20">
        <f>IF($C693="","",IFERROR(INDEX(EtapaProb,MATCH($G693,Etapas,0)),0))</f>
        <v/>
      </c>
      <c r="O693" s="21">
        <f>IF($C693="","",IF($P693="Aberto",N($H693)*$N693,0))</f>
        <v/>
      </c>
      <c r="P693" s="18">
        <f>IF($C693="","",IF($G693="Ganho","Ganho",IF($G693="Perdido","Perdido","Aberto")))</f>
        <v/>
      </c>
      <c r="Q693" s="18">
        <f>IF(OR($C693="",$P693&lt;&gt;"Aberto"),"",IF($I693="",Hoje-$B693,Hoje-$I693))</f>
        <v/>
      </c>
      <c r="R693" s="22">
        <f>IF(OR($C693="",$P693&lt;&gt;"Aberto"),"",IF($J693="",IF($Q693&gt;DiasSC,"ATRASADO","Definir data"),IF($J693&lt;Hoje,"ATRASADO",IF($J693=Hoje,"HOJE","Em dia"))))</f>
        <v/>
      </c>
      <c r="S693" s="23">
        <f>IF($R693="","",IF(OR($R693="ATRASADO",$R693="HOJE",$R693="Definir data"),COUNTIF($R$5:$R693,"ATRASADO")+COUNTIF($R$5:$R693,"HOJE")+COUNTIF($R$5:$R693,"Definir data"),""))</f>
        <v/>
      </c>
      <c r="T693" s="18">
        <f>IF($C693="","",IF(OR($B693="",$E693="",$F693="",$G693=""),"Preencher entrada/origem/vendedor/etapa",IF(AND(OR($P693="Ganho",$P693="Perdido"),$K693=""),"Falta data de fechamento",IF(AND($P693="Perdido",$L693=""),"Informe o motivo da perda","OK"))))</f>
        <v/>
      </c>
    </row>
    <row r="694" spans="1:20">
      <c r="A694" s="18">
        <f>IF($C694="","",ROW()-4)</f>
        <v/>
      </c>
      <c r="B694" s="19"/>
      <c r="C694" s="13"/>
      <c r="D694" s="13"/>
      <c r="E694" s="13"/>
      <c r="F694" s="13"/>
      <c r="G694" s="13"/>
      <c r="H694" s="15"/>
      <c r="I694" s="19"/>
      <c r="J694" s="19"/>
      <c r="K694" s="19"/>
      <c r="L694" s="13"/>
      <c r="M694" s="13"/>
      <c r="N694" s="20">
        <f>IF($C694="","",IFERROR(INDEX(EtapaProb,MATCH($G694,Etapas,0)),0))</f>
        <v/>
      </c>
      <c r="O694" s="21">
        <f>IF($C694="","",IF($P694="Aberto",N($H694)*$N694,0))</f>
        <v/>
      </c>
      <c r="P694" s="18">
        <f>IF($C694="","",IF($G694="Ganho","Ganho",IF($G694="Perdido","Perdido","Aberto")))</f>
        <v/>
      </c>
      <c r="Q694" s="18">
        <f>IF(OR($C694="",$P694&lt;&gt;"Aberto"),"",IF($I694="",Hoje-$B694,Hoje-$I694))</f>
        <v/>
      </c>
      <c r="R694" s="22">
        <f>IF(OR($C694="",$P694&lt;&gt;"Aberto"),"",IF($J694="",IF($Q694&gt;DiasSC,"ATRASADO","Definir data"),IF($J694&lt;Hoje,"ATRASADO",IF($J694=Hoje,"HOJE","Em dia"))))</f>
        <v/>
      </c>
      <c r="S694" s="23">
        <f>IF($R694="","",IF(OR($R694="ATRASADO",$R694="HOJE",$R694="Definir data"),COUNTIF($R$5:$R694,"ATRASADO")+COUNTIF($R$5:$R694,"HOJE")+COUNTIF($R$5:$R694,"Definir data"),""))</f>
        <v/>
      </c>
      <c r="T694" s="18">
        <f>IF($C694="","",IF(OR($B694="",$E694="",$F694="",$G694=""),"Preencher entrada/origem/vendedor/etapa",IF(AND(OR($P694="Ganho",$P694="Perdido"),$K694=""),"Falta data de fechamento",IF(AND($P694="Perdido",$L694=""),"Informe o motivo da perda","OK"))))</f>
        <v/>
      </c>
    </row>
    <row r="695" spans="1:20">
      <c r="A695" s="18">
        <f>IF($C695="","",ROW()-4)</f>
        <v/>
      </c>
      <c r="B695" s="19"/>
      <c r="C695" s="13"/>
      <c r="D695" s="13"/>
      <c r="E695" s="13"/>
      <c r="F695" s="13"/>
      <c r="G695" s="13"/>
      <c r="H695" s="15"/>
      <c r="I695" s="19"/>
      <c r="J695" s="19"/>
      <c r="K695" s="19"/>
      <c r="L695" s="13"/>
      <c r="M695" s="13"/>
      <c r="N695" s="20">
        <f>IF($C695="","",IFERROR(INDEX(EtapaProb,MATCH($G695,Etapas,0)),0))</f>
        <v/>
      </c>
      <c r="O695" s="21">
        <f>IF($C695="","",IF($P695="Aberto",N($H695)*$N695,0))</f>
        <v/>
      </c>
      <c r="P695" s="18">
        <f>IF($C695="","",IF($G695="Ganho","Ganho",IF($G695="Perdido","Perdido","Aberto")))</f>
        <v/>
      </c>
      <c r="Q695" s="18">
        <f>IF(OR($C695="",$P695&lt;&gt;"Aberto"),"",IF($I695="",Hoje-$B695,Hoje-$I695))</f>
        <v/>
      </c>
      <c r="R695" s="22">
        <f>IF(OR($C695="",$P695&lt;&gt;"Aberto"),"",IF($J695="",IF($Q695&gt;DiasSC,"ATRASADO","Definir data"),IF($J695&lt;Hoje,"ATRASADO",IF($J695=Hoje,"HOJE","Em dia"))))</f>
        <v/>
      </c>
      <c r="S695" s="23">
        <f>IF($R695="","",IF(OR($R695="ATRASADO",$R695="HOJE",$R695="Definir data"),COUNTIF($R$5:$R695,"ATRASADO")+COUNTIF($R$5:$R695,"HOJE")+COUNTIF($R$5:$R695,"Definir data"),""))</f>
        <v/>
      </c>
      <c r="T695" s="18">
        <f>IF($C695="","",IF(OR($B695="",$E695="",$F695="",$G695=""),"Preencher entrada/origem/vendedor/etapa",IF(AND(OR($P695="Ganho",$P695="Perdido"),$K695=""),"Falta data de fechamento",IF(AND($P695="Perdido",$L695=""),"Informe o motivo da perda","OK"))))</f>
        <v/>
      </c>
    </row>
    <row r="696" spans="1:20">
      <c r="A696" s="18">
        <f>IF($C696="","",ROW()-4)</f>
        <v/>
      </c>
      <c r="B696" s="19"/>
      <c r="C696" s="13"/>
      <c r="D696" s="13"/>
      <c r="E696" s="13"/>
      <c r="F696" s="13"/>
      <c r="G696" s="13"/>
      <c r="H696" s="15"/>
      <c r="I696" s="19"/>
      <c r="J696" s="19"/>
      <c r="K696" s="19"/>
      <c r="L696" s="13"/>
      <c r="M696" s="13"/>
      <c r="N696" s="20">
        <f>IF($C696="","",IFERROR(INDEX(EtapaProb,MATCH($G696,Etapas,0)),0))</f>
        <v/>
      </c>
      <c r="O696" s="21">
        <f>IF($C696="","",IF($P696="Aberto",N($H696)*$N696,0))</f>
        <v/>
      </c>
      <c r="P696" s="18">
        <f>IF($C696="","",IF($G696="Ganho","Ganho",IF($G696="Perdido","Perdido","Aberto")))</f>
        <v/>
      </c>
      <c r="Q696" s="18">
        <f>IF(OR($C696="",$P696&lt;&gt;"Aberto"),"",IF($I696="",Hoje-$B696,Hoje-$I696))</f>
        <v/>
      </c>
      <c r="R696" s="22">
        <f>IF(OR($C696="",$P696&lt;&gt;"Aberto"),"",IF($J696="",IF($Q696&gt;DiasSC,"ATRASADO","Definir data"),IF($J696&lt;Hoje,"ATRASADO",IF($J696=Hoje,"HOJE","Em dia"))))</f>
        <v/>
      </c>
      <c r="S696" s="23">
        <f>IF($R696="","",IF(OR($R696="ATRASADO",$R696="HOJE",$R696="Definir data"),COUNTIF($R$5:$R696,"ATRASADO")+COUNTIF($R$5:$R696,"HOJE")+COUNTIF($R$5:$R696,"Definir data"),""))</f>
        <v/>
      </c>
      <c r="T696" s="18">
        <f>IF($C696="","",IF(OR($B696="",$E696="",$F696="",$G696=""),"Preencher entrada/origem/vendedor/etapa",IF(AND(OR($P696="Ganho",$P696="Perdido"),$K696=""),"Falta data de fechamento",IF(AND($P696="Perdido",$L696=""),"Informe o motivo da perda","OK"))))</f>
        <v/>
      </c>
    </row>
    <row r="697" spans="1:20">
      <c r="A697" s="18">
        <f>IF($C697="","",ROW()-4)</f>
        <v/>
      </c>
      <c r="B697" s="19"/>
      <c r="C697" s="13"/>
      <c r="D697" s="13"/>
      <c r="E697" s="13"/>
      <c r="F697" s="13"/>
      <c r="G697" s="13"/>
      <c r="H697" s="15"/>
      <c r="I697" s="19"/>
      <c r="J697" s="19"/>
      <c r="K697" s="19"/>
      <c r="L697" s="13"/>
      <c r="M697" s="13"/>
      <c r="N697" s="20">
        <f>IF($C697="","",IFERROR(INDEX(EtapaProb,MATCH($G697,Etapas,0)),0))</f>
        <v/>
      </c>
      <c r="O697" s="21">
        <f>IF($C697="","",IF($P697="Aberto",N($H697)*$N697,0))</f>
        <v/>
      </c>
      <c r="P697" s="18">
        <f>IF($C697="","",IF($G697="Ganho","Ganho",IF($G697="Perdido","Perdido","Aberto")))</f>
        <v/>
      </c>
      <c r="Q697" s="18">
        <f>IF(OR($C697="",$P697&lt;&gt;"Aberto"),"",IF($I697="",Hoje-$B697,Hoje-$I697))</f>
        <v/>
      </c>
      <c r="R697" s="22">
        <f>IF(OR($C697="",$P697&lt;&gt;"Aberto"),"",IF($J697="",IF($Q697&gt;DiasSC,"ATRASADO","Definir data"),IF($J697&lt;Hoje,"ATRASADO",IF($J697=Hoje,"HOJE","Em dia"))))</f>
        <v/>
      </c>
      <c r="S697" s="23">
        <f>IF($R697="","",IF(OR($R697="ATRASADO",$R697="HOJE",$R697="Definir data"),COUNTIF($R$5:$R697,"ATRASADO")+COUNTIF($R$5:$R697,"HOJE")+COUNTIF($R$5:$R697,"Definir data"),""))</f>
        <v/>
      </c>
      <c r="T697" s="18">
        <f>IF($C697="","",IF(OR($B697="",$E697="",$F697="",$G697=""),"Preencher entrada/origem/vendedor/etapa",IF(AND(OR($P697="Ganho",$P697="Perdido"),$K697=""),"Falta data de fechamento",IF(AND($P697="Perdido",$L697=""),"Informe o motivo da perda","OK"))))</f>
        <v/>
      </c>
    </row>
    <row r="698" spans="1:20">
      <c r="A698" s="18">
        <f>IF($C698="","",ROW()-4)</f>
        <v/>
      </c>
      <c r="B698" s="19"/>
      <c r="C698" s="13"/>
      <c r="D698" s="13"/>
      <c r="E698" s="13"/>
      <c r="F698" s="13"/>
      <c r="G698" s="13"/>
      <c r="H698" s="15"/>
      <c r="I698" s="19"/>
      <c r="J698" s="19"/>
      <c r="K698" s="19"/>
      <c r="L698" s="13"/>
      <c r="M698" s="13"/>
      <c r="N698" s="20">
        <f>IF($C698="","",IFERROR(INDEX(EtapaProb,MATCH($G698,Etapas,0)),0))</f>
        <v/>
      </c>
      <c r="O698" s="21">
        <f>IF($C698="","",IF($P698="Aberto",N($H698)*$N698,0))</f>
        <v/>
      </c>
      <c r="P698" s="18">
        <f>IF($C698="","",IF($G698="Ganho","Ganho",IF($G698="Perdido","Perdido","Aberto")))</f>
        <v/>
      </c>
      <c r="Q698" s="18">
        <f>IF(OR($C698="",$P698&lt;&gt;"Aberto"),"",IF($I698="",Hoje-$B698,Hoje-$I698))</f>
        <v/>
      </c>
      <c r="R698" s="22">
        <f>IF(OR($C698="",$P698&lt;&gt;"Aberto"),"",IF($J698="",IF($Q698&gt;DiasSC,"ATRASADO","Definir data"),IF($J698&lt;Hoje,"ATRASADO",IF($J698=Hoje,"HOJE","Em dia"))))</f>
        <v/>
      </c>
      <c r="S698" s="23">
        <f>IF($R698="","",IF(OR($R698="ATRASADO",$R698="HOJE",$R698="Definir data"),COUNTIF($R$5:$R698,"ATRASADO")+COUNTIF($R$5:$R698,"HOJE")+COUNTIF($R$5:$R698,"Definir data"),""))</f>
        <v/>
      </c>
      <c r="T698" s="18">
        <f>IF($C698="","",IF(OR($B698="",$E698="",$F698="",$G698=""),"Preencher entrada/origem/vendedor/etapa",IF(AND(OR($P698="Ganho",$P698="Perdido"),$K698=""),"Falta data de fechamento",IF(AND($P698="Perdido",$L698=""),"Informe o motivo da perda","OK"))))</f>
        <v/>
      </c>
    </row>
    <row r="699" spans="1:20">
      <c r="A699" s="18">
        <f>IF($C699="","",ROW()-4)</f>
        <v/>
      </c>
      <c r="B699" s="19"/>
      <c r="C699" s="13"/>
      <c r="D699" s="13"/>
      <c r="E699" s="13"/>
      <c r="F699" s="13"/>
      <c r="G699" s="13"/>
      <c r="H699" s="15"/>
      <c r="I699" s="19"/>
      <c r="J699" s="19"/>
      <c r="K699" s="19"/>
      <c r="L699" s="13"/>
      <c r="M699" s="13"/>
      <c r="N699" s="20">
        <f>IF($C699="","",IFERROR(INDEX(EtapaProb,MATCH($G699,Etapas,0)),0))</f>
        <v/>
      </c>
      <c r="O699" s="21">
        <f>IF($C699="","",IF($P699="Aberto",N($H699)*$N699,0))</f>
        <v/>
      </c>
      <c r="P699" s="18">
        <f>IF($C699="","",IF($G699="Ganho","Ganho",IF($G699="Perdido","Perdido","Aberto")))</f>
        <v/>
      </c>
      <c r="Q699" s="18">
        <f>IF(OR($C699="",$P699&lt;&gt;"Aberto"),"",IF($I699="",Hoje-$B699,Hoje-$I699))</f>
        <v/>
      </c>
      <c r="R699" s="22">
        <f>IF(OR($C699="",$P699&lt;&gt;"Aberto"),"",IF($J699="",IF($Q699&gt;DiasSC,"ATRASADO","Definir data"),IF($J699&lt;Hoje,"ATRASADO",IF($J699=Hoje,"HOJE","Em dia"))))</f>
        <v/>
      </c>
      <c r="S699" s="23">
        <f>IF($R699="","",IF(OR($R699="ATRASADO",$R699="HOJE",$R699="Definir data"),COUNTIF($R$5:$R699,"ATRASADO")+COUNTIF($R$5:$R699,"HOJE")+COUNTIF($R$5:$R699,"Definir data"),""))</f>
        <v/>
      </c>
      <c r="T699" s="18">
        <f>IF($C699="","",IF(OR($B699="",$E699="",$F699="",$G699=""),"Preencher entrada/origem/vendedor/etapa",IF(AND(OR($P699="Ganho",$P699="Perdido"),$K699=""),"Falta data de fechamento",IF(AND($P699="Perdido",$L699=""),"Informe o motivo da perda","OK"))))</f>
        <v/>
      </c>
    </row>
    <row r="700" spans="1:20">
      <c r="A700" s="18">
        <f>IF($C700="","",ROW()-4)</f>
        <v/>
      </c>
      <c r="B700" s="19"/>
      <c r="C700" s="13"/>
      <c r="D700" s="13"/>
      <c r="E700" s="13"/>
      <c r="F700" s="13"/>
      <c r="G700" s="13"/>
      <c r="H700" s="15"/>
      <c r="I700" s="19"/>
      <c r="J700" s="19"/>
      <c r="K700" s="19"/>
      <c r="L700" s="13"/>
      <c r="M700" s="13"/>
      <c r="N700" s="20">
        <f>IF($C700="","",IFERROR(INDEX(EtapaProb,MATCH($G700,Etapas,0)),0))</f>
        <v/>
      </c>
      <c r="O700" s="21">
        <f>IF($C700="","",IF($P700="Aberto",N($H700)*$N700,0))</f>
        <v/>
      </c>
      <c r="P700" s="18">
        <f>IF($C700="","",IF($G700="Ganho","Ganho",IF($G700="Perdido","Perdido","Aberto")))</f>
        <v/>
      </c>
      <c r="Q700" s="18">
        <f>IF(OR($C700="",$P700&lt;&gt;"Aberto"),"",IF($I700="",Hoje-$B700,Hoje-$I700))</f>
        <v/>
      </c>
      <c r="R700" s="22">
        <f>IF(OR($C700="",$P700&lt;&gt;"Aberto"),"",IF($J700="",IF($Q700&gt;DiasSC,"ATRASADO","Definir data"),IF($J700&lt;Hoje,"ATRASADO",IF($J700=Hoje,"HOJE","Em dia"))))</f>
        <v/>
      </c>
      <c r="S700" s="23">
        <f>IF($R700="","",IF(OR($R700="ATRASADO",$R700="HOJE",$R700="Definir data"),COUNTIF($R$5:$R700,"ATRASADO")+COUNTIF($R$5:$R700,"HOJE")+COUNTIF($R$5:$R700,"Definir data"),""))</f>
        <v/>
      </c>
      <c r="T700" s="18">
        <f>IF($C700="","",IF(OR($B700="",$E700="",$F700="",$G700=""),"Preencher entrada/origem/vendedor/etapa",IF(AND(OR($P700="Ganho",$P700="Perdido"),$K700=""),"Falta data de fechamento",IF(AND($P700="Perdido",$L700=""),"Informe o motivo da perda","OK"))))</f>
        <v/>
      </c>
    </row>
    <row r="701" spans="1:20">
      <c r="A701" s="18">
        <f>IF($C701="","",ROW()-4)</f>
        <v/>
      </c>
      <c r="B701" s="19"/>
      <c r="C701" s="13"/>
      <c r="D701" s="13"/>
      <c r="E701" s="13"/>
      <c r="F701" s="13"/>
      <c r="G701" s="13"/>
      <c r="H701" s="15"/>
      <c r="I701" s="19"/>
      <c r="J701" s="19"/>
      <c r="K701" s="19"/>
      <c r="L701" s="13"/>
      <c r="M701" s="13"/>
      <c r="N701" s="20">
        <f>IF($C701="","",IFERROR(INDEX(EtapaProb,MATCH($G701,Etapas,0)),0))</f>
        <v/>
      </c>
      <c r="O701" s="21">
        <f>IF($C701="","",IF($P701="Aberto",N($H701)*$N701,0))</f>
        <v/>
      </c>
      <c r="P701" s="18">
        <f>IF($C701="","",IF($G701="Ganho","Ganho",IF($G701="Perdido","Perdido","Aberto")))</f>
        <v/>
      </c>
      <c r="Q701" s="18">
        <f>IF(OR($C701="",$P701&lt;&gt;"Aberto"),"",IF($I701="",Hoje-$B701,Hoje-$I701))</f>
        <v/>
      </c>
      <c r="R701" s="22">
        <f>IF(OR($C701="",$P701&lt;&gt;"Aberto"),"",IF($J701="",IF($Q701&gt;DiasSC,"ATRASADO","Definir data"),IF($J701&lt;Hoje,"ATRASADO",IF($J701=Hoje,"HOJE","Em dia"))))</f>
        <v/>
      </c>
      <c r="S701" s="23">
        <f>IF($R701="","",IF(OR($R701="ATRASADO",$R701="HOJE",$R701="Definir data"),COUNTIF($R$5:$R701,"ATRASADO")+COUNTIF($R$5:$R701,"HOJE")+COUNTIF($R$5:$R701,"Definir data"),""))</f>
        <v/>
      </c>
      <c r="T701" s="18">
        <f>IF($C701="","",IF(OR($B701="",$E701="",$F701="",$G701=""),"Preencher entrada/origem/vendedor/etapa",IF(AND(OR($P701="Ganho",$P701="Perdido"),$K701=""),"Falta data de fechamento",IF(AND($P701="Perdido",$L701=""),"Informe o motivo da perda","OK"))))</f>
        <v/>
      </c>
    </row>
    <row r="702" spans="1:20">
      <c r="A702" s="18">
        <f>IF($C702="","",ROW()-4)</f>
        <v/>
      </c>
      <c r="B702" s="19"/>
      <c r="C702" s="13"/>
      <c r="D702" s="13"/>
      <c r="E702" s="13"/>
      <c r="F702" s="13"/>
      <c r="G702" s="13"/>
      <c r="H702" s="15"/>
      <c r="I702" s="19"/>
      <c r="J702" s="19"/>
      <c r="K702" s="19"/>
      <c r="L702" s="13"/>
      <c r="M702" s="13"/>
      <c r="N702" s="20">
        <f>IF($C702="","",IFERROR(INDEX(EtapaProb,MATCH($G702,Etapas,0)),0))</f>
        <v/>
      </c>
      <c r="O702" s="21">
        <f>IF($C702="","",IF($P702="Aberto",N($H702)*$N702,0))</f>
        <v/>
      </c>
      <c r="P702" s="18">
        <f>IF($C702="","",IF($G702="Ganho","Ganho",IF($G702="Perdido","Perdido","Aberto")))</f>
        <v/>
      </c>
      <c r="Q702" s="18">
        <f>IF(OR($C702="",$P702&lt;&gt;"Aberto"),"",IF($I702="",Hoje-$B702,Hoje-$I702))</f>
        <v/>
      </c>
      <c r="R702" s="22">
        <f>IF(OR($C702="",$P702&lt;&gt;"Aberto"),"",IF($J702="",IF($Q702&gt;DiasSC,"ATRASADO","Definir data"),IF($J702&lt;Hoje,"ATRASADO",IF($J702=Hoje,"HOJE","Em dia"))))</f>
        <v/>
      </c>
      <c r="S702" s="23">
        <f>IF($R702="","",IF(OR($R702="ATRASADO",$R702="HOJE",$R702="Definir data"),COUNTIF($R$5:$R702,"ATRASADO")+COUNTIF($R$5:$R702,"HOJE")+COUNTIF($R$5:$R702,"Definir data"),""))</f>
        <v/>
      </c>
      <c r="T702" s="18">
        <f>IF($C702="","",IF(OR($B702="",$E702="",$F702="",$G702=""),"Preencher entrada/origem/vendedor/etapa",IF(AND(OR($P702="Ganho",$P702="Perdido"),$K702=""),"Falta data de fechamento",IF(AND($P702="Perdido",$L702=""),"Informe o motivo da perda","OK"))))</f>
        <v/>
      </c>
    </row>
    <row r="703" spans="1:20">
      <c r="A703" s="18">
        <f>IF($C703="","",ROW()-4)</f>
        <v/>
      </c>
      <c r="B703" s="19"/>
      <c r="C703" s="13"/>
      <c r="D703" s="13"/>
      <c r="E703" s="13"/>
      <c r="F703" s="13"/>
      <c r="G703" s="13"/>
      <c r="H703" s="15"/>
      <c r="I703" s="19"/>
      <c r="J703" s="19"/>
      <c r="K703" s="19"/>
      <c r="L703" s="13"/>
      <c r="M703" s="13"/>
      <c r="N703" s="20">
        <f>IF($C703="","",IFERROR(INDEX(EtapaProb,MATCH($G703,Etapas,0)),0))</f>
        <v/>
      </c>
      <c r="O703" s="21">
        <f>IF($C703="","",IF($P703="Aberto",N($H703)*$N703,0))</f>
        <v/>
      </c>
      <c r="P703" s="18">
        <f>IF($C703="","",IF($G703="Ganho","Ganho",IF($G703="Perdido","Perdido","Aberto")))</f>
        <v/>
      </c>
      <c r="Q703" s="18">
        <f>IF(OR($C703="",$P703&lt;&gt;"Aberto"),"",IF($I703="",Hoje-$B703,Hoje-$I703))</f>
        <v/>
      </c>
      <c r="R703" s="22">
        <f>IF(OR($C703="",$P703&lt;&gt;"Aberto"),"",IF($J703="",IF($Q703&gt;DiasSC,"ATRASADO","Definir data"),IF($J703&lt;Hoje,"ATRASADO",IF($J703=Hoje,"HOJE","Em dia"))))</f>
        <v/>
      </c>
      <c r="S703" s="23">
        <f>IF($R703="","",IF(OR($R703="ATRASADO",$R703="HOJE",$R703="Definir data"),COUNTIF($R$5:$R703,"ATRASADO")+COUNTIF($R$5:$R703,"HOJE")+COUNTIF($R$5:$R703,"Definir data"),""))</f>
        <v/>
      </c>
      <c r="T703" s="18">
        <f>IF($C703="","",IF(OR($B703="",$E703="",$F703="",$G703=""),"Preencher entrada/origem/vendedor/etapa",IF(AND(OR($P703="Ganho",$P703="Perdido"),$K703=""),"Falta data de fechamento",IF(AND($P703="Perdido",$L703=""),"Informe o motivo da perda","OK"))))</f>
        <v/>
      </c>
    </row>
    <row r="704" spans="1:20">
      <c r="A704" s="18">
        <f>IF($C704="","",ROW()-4)</f>
        <v/>
      </c>
      <c r="B704" s="19"/>
      <c r="C704" s="13"/>
      <c r="D704" s="13"/>
      <c r="E704" s="13"/>
      <c r="F704" s="13"/>
      <c r="G704" s="13"/>
      <c r="H704" s="15"/>
      <c r="I704" s="19"/>
      <c r="J704" s="19"/>
      <c r="K704" s="19"/>
      <c r="L704" s="13"/>
      <c r="M704" s="13"/>
      <c r="N704" s="20">
        <f>IF($C704="","",IFERROR(INDEX(EtapaProb,MATCH($G704,Etapas,0)),0))</f>
        <v/>
      </c>
      <c r="O704" s="21">
        <f>IF($C704="","",IF($P704="Aberto",N($H704)*$N704,0))</f>
        <v/>
      </c>
      <c r="P704" s="18">
        <f>IF($C704="","",IF($G704="Ganho","Ganho",IF($G704="Perdido","Perdido","Aberto")))</f>
        <v/>
      </c>
      <c r="Q704" s="18">
        <f>IF(OR($C704="",$P704&lt;&gt;"Aberto"),"",IF($I704="",Hoje-$B704,Hoje-$I704))</f>
        <v/>
      </c>
      <c r="R704" s="22">
        <f>IF(OR($C704="",$P704&lt;&gt;"Aberto"),"",IF($J704="",IF($Q704&gt;DiasSC,"ATRASADO","Definir data"),IF($J704&lt;Hoje,"ATRASADO",IF($J704=Hoje,"HOJE","Em dia"))))</f>
        <v/>
      </c>
      <c r="S704" s="23">
        <f>IF($R704="","",IF(OR($R704="ATRASADO",$R704="HOJE",$R704="Definir data"),COUNTIF($R$5:$R704,"ATRASADO")+COUNTIF($R$5:$R704,"HOJE")+COUNTIF($R$5:$R704,"Definir data"),""))</f>
        <v/>
      </c>
      <c r="T704" s="18">
        <f>IF($C704="","",IF(OR($B704="",$E704="",$F704="",$G704=""),"Preencher entrada/origem/vendedor/etapa",IF(AND(OR($P704="Ganho",$P704="Perdido"),$K704=""),"Falta data de fechamento",IF(AND($P704="Perdido",$L704=""),"Informe o motivo da perda","OK"))))</f>
        <v/>
      </c>
    </row>
    <row r="705" spans="1:20">
      <c r="A705" s="18">
        <f>IF($C705="","",ROW()-4)</f>
        <v/>
      </c>
      <c r="B705" s="19"/>
      <c r="C705" s="13"/>
      <c r="D705" s="13"/>
      <c r="E705" s="13"/>
      <c r="F705" s="13"/>
      <c r="G705" s="13"/>
      <c r="H705" s="15"/>
      <c r="I705" s="19"/>
      <c r="J705" s="19"/>
      <c r="K705" s="19"/>
      <c r="L705" s="13"/>
      <c r="M705" s="13"/>
      <c r="N705" s="20">
        <f>IF($C705="","",IFERROR(INDEX(EtapaProb,MATCH($G705,Etapas,0)),0))</f>
        <v/>
      </c>
      <c r="O705" s="21">
        <f>IF($C705="","",IF($P705="Aberto",N($H705)*$N705,0))</f>
        <v/>
      </c>
      <c r="P705" s="18">
        <f>IF($C705="","",IF($G705="Ganho","Ganho",IF($G705="Perdido","Perdido","Aberto")))</f>
        <v/>
      </c>
      <c r="Q705" s="18">
        <f>IF(OR($C705="",$P705&lt;&gt;"Aberto"),"",IF($I705="",Hoje-$B705,Hoje-$I705))</f>
        <v/>
      </c>
      <c r="R705" s="22">
        <f>IF(OR($C705="",$P705&lt;&gt;"Aberto"),"",IF($J705="",IF($Q705&gt;DiasSC,"ATRASADO","Definir data"),IF($J705&lt;Hoje,"ATRASADO",IF($J705=Hoje,"HOJE","Em dia"))))</f>
        <v/>
      </c>
      <c r="S705" s="23">
        <f>IF($R705="","",IF(OR($R705="ATRASADO",$R705="HOJE",$R705="Definir data"),COUNTIF($R$5:$R705,"ATRASADO")+COUNTIF($R$5:$R705,"HOJE")+COUNTIF($R$5:$R705,"Definir data"),""))</f>
        <v/>
      </c>
      <c r="T705" s="18">
        <f>IF($C705="","",IF(OR($B705="",$E705="",$F705="",$G705=""),"Preencher entrada/origem/vendedor/etapa",IF(AND(OR($P705="Ganho",$P705="Perdido"),$K705=""),"Falta data de fechamento",IF(AND($P705="Perdido",$L705=""),"Informe o motivo da perda","OK"))))</f>
        <v/>
      </c>
    </row>
    <row r="706" spans="1:20">
      <c r="A706" s="18">
        <f>IF($C706="","",ROW()-4)</f>
        <v/>
      </c>
      <c r="B706" s="19"/>
      <c r="C706" s="13"/>
      <c r="D706" s="13"/>
      <c r="E706" s="13"/>
      <c r="F706" s="13"/>
      <c r="G706" s="13"/>
      <c r="H706" s="15"/>
      <c r="I706" s="19"/>
      <c r="J706" s="19"/>
      <c r="K706" s="19"/>
      <c r="L706" s="13"/>
      <c r="M706" s="13"/>
      <c r="N706" s="20">
        <f>IF($C706="","",IFERROR(INDEX(EtapaProb,MATCH($G706,Etapas,0)),0))</f>
        <v/>
      </c>
      <c r="O706" s="21">
        <f>IF($C706="","",IF($P706="Aberto",N($H706)*$N706,0))</f>
        <v/>
      </c>
      <c r="P706" s="18">
        <f>IF($C706="","",IF($G706="Ganho","Ganho",IF($G706="Perdido","Perdido","Aberto")))</f>
        <v/>
      </c>
      <c r="Q706" s="18">
        <f>IF(OR($C706="",$P706&lt;&gt;"Aberto"),"",IF($I706="",Hoje-$B706,Hoje-$I706))</f>
        <v/>
      </c>
      <c r="R706" s="22">
        <f>IF(OR($C706="",$P706&lt;&gt;"Aberto"),"",IF($J706="",IF($Q706&gt;DiasSC,"ATRASADO","Definir data"),IF($J706&lt;Hoje,"ATRASADO",IF($J706=Hoje,"HOJE","Em dia"))))</f>
        <v/>
      </c>
      <c r="S706" s="23">
        <f>IF($R706="","",IF(OR($R706="ATRASADO",$R706="HOJE",$R706="Definir data"),COUNTIF($R$5:$R706,"ATRASADO")+COUNTIF($R$5:$R706,"HOJE")+COUNTIF($R$5:$R706,"Definir data"),""))</f>
        <v/>
      </c>
      <c r="T706" s="18">
        <f>IF($C706="","",IF(OR($B706="",$E706="",$F706="",$G706=""),"Preencher entrada/origem/vendedor/etapa",IF(AND(OR($P706="Ganho",$P706="Perdido"),$K706=""),"Falta data de fechamento",IF(AND($P706="Perdido",$L706=""),"Informe o motivo da perda","OK"))))</f>
        <v/>
      </c>
    </row>
    <row r="707" spans="1:20">
      <c r="A707" s="18">
        <f>IF($C707="","",ROW()-4)</f>
        <v/>
      </c>
      <c r="B707" s="19"/>
      <c r="C707" s="13"/>
      <c r="D707" s="13"/>
      <c r="E707" s="13"/>
      <c r="F707" s="13"/>
      <c r="G707" s="13"/>
      <c r="H707" s="15"/>
      <c r="I707" s="19"/>
      <c r="J707" s="19"/>
      <c r="K707" s="19"/>
      <c r="L707" s="13"/>
      <c r="M707" s="13"/>
      <c r="N707" s="20">
        <f>IF($C707="","",IFERROR(INDEX(EtapaProb,MATCH($G707,Etapas,0)),0))</f>
        <v/>
      </c>
      <c r="O707" s="21">
        <f>IF($C707="","",IF($P707="Aberto",N($H707)*$N707,0))</f>
        <v/>
      </c>
      <c r="P707" s="18">
        <f>IF($C707="","",IF($G707="Ganho","Ganho",IF($G707="Perdido","Perdido","Aberto")))</f>
        <v/>
      </c>
      <c r="Q707" s="18">
        <f>IF(OR($C707="",$P707&lt;&gt;"Aberto"),"",IF($I707="",Hoje-$B707,Hoje-$I707))</f>
        <v/>
      </c>
      <c r="R707" s="22">
        <f>IF(OR($C707="",$P707&lt;&gt;"Aberto"),"",IF($J707="",IF($Q707&gt;DiasSC,"ATRASADO","Definir data"),IF($J707&lt;Hoje,"ATRASADO",IF($J707=Hoje,"HOJE","Em dia"))))</f>
        <v/>
      </c>
      <c r="S707" s="23">
        <f>IF($R707="","",IF(OR($R707="ATRASADO",$R707="HOJE",$R707="Definir data"),COUNTIF($R$5:$R707,"ATRASADO")+COUNTIF($R$5:$R707,"HOJE")+COUNTIF($R$5:$R707,"Definir data"),""))</f>
        <v/>
      </c>
      <c r="T707" s="18">
        <f>IF($C707="","",IF(OR($B707="",$E707="",$F707="",$G707=""),"Preencher entrada/origem/vendedor/etapa",IF(AND(OR($P707="Ganho",$P707="Perdido"),$K707=""),"Falta data de fechamento",IF(AND($P707="Perdido",$L707=""),"Informe o motivo da perda","OK"))))</f>
        <v/>
      </c>
    </row>
    <row r="708" spans="1:20">
      <c r="A708" s="18">
        <f>IF($C708="","",ROW()-4)</f>
        <v/>
      </c>
      <c r="B708" s="19"/>
      <c r="C708" s="13"/>
      <c r="D708" s="13"/>
      <c r="E708" s="13"/>
      <c r="F708" s="13"/>
      <c r="G708" s="13"/>
      <c r="H708" s="15"/>
      <c r="I708" s="19"/>
      <c r="J708" s="19"/>
      <c r="K708" s="19"/>
      <c r="L708" s="13"/>
      <c r="M708" s="13"/>
      <c r="N708" s="20">
        <f>IF($C708="","",IFERROR(INDEX(EtapaProb,MATCH($G708,Etapas,0)),0))</f>
        <v/>
      </c>
      <c r="O708" s="21">
        <f>IF($C708="","",IF($P708="Aberto",N($H708)*$N708,0))</f>
        <v/>
      </c>
      <c r="P708" s="18">
        <f>IF($C708="","",IF($G708="Ganho","Ganho",IF($G708="Perdido","Perdido","Aberto")))</f>
        <v/>
      </c>
      <c r="Q708" s="18">
        <f>IF(OR($C708="",$P708&lt;&gt;"Aberto"),"",IF($I708="",Hoje-$B708,Hoje-$I708))</f>
        <v/>
      </c>
      <c r="R708" s="22">
        <f>IF(OR($C708="",$P708&lt;&gt;"Aberto"),"",IF($J708="",IF($Q708&gt;DiasSC,"ATRASADO","Definir data"),IF($J708&lt;Hoje,"ATRASADO",IF($J708=Hoje,"HOJE","Em dia"))))</f>
        <v/>
      </c>
      <c r="S708" s="23">
        <f>IF($R708="","",IF(OR($R708="ATRASADO",$R708="HOJE",$R708="Definir data"),COUNTIF($R$5:$R708,"ATRASADO")+COUNTIF($R$5:$R708,"HOJE")+COUNTIF($R$5:$R708,"Definir data"),""))</f>
        <v/>
      </c>
      <c r="T708" s="18">
        <f>IF($C708="","",IF(OR($B708="",$E708="",$F708="",$G708=""),"Preencher entrada/origem/vendedor/etapa",IF(AND(OR($P708="Ganho",$P708="Perdido"),$K708=""),"Falta data de fechamento",IF(AND($P708="Perdido",$L708=""),"Informe o motivo da perda","OK"))))</f>
        <v/>
      </c>
    </row>
    <row r="709" spans="1:20">
      <c r="A709" s="18">
        <f>IF($C709="","",ROW()-4)</f>
        <v/>
      </c>
      <c r="B709" s="19"/>
      <c r="C709" s="13"/>
      <c r="D709" s="13"/>
      <c r="E709" s="13"/>
      <c r="F709" s="13"/>
      <c r="G709" s="13"/>
      <c r="H709" s="15"/>
      <c r="I709" s="19"/>
      <c r="J709" s="19"/>
      <c r="K709" s="19"/>
      <c r="L709" s="13"/>
      <c r="M709" s="13"/>
      <c r="N709" s="20">
        <f>IF($C709="","",IFERROR(INDEX(EtapaProb,MATCH($G709,Etapas,0)),0))</f>
        <v/>
      </c>
      <c r="O709" s="21">
        <f>IF($C709="","",IF($P709="Aberto",N($H709)*$N709,0))</f>
        <v/>
      </c>
      <c r="P709" s="18">
        <f>IF($C709="","",IF($G709="Ganho","Ganho",IF($G709="Perdido","Perdido","Aberto")))</f>
        <v/>
      </c>
      <c r="Q709" s="18">
        <f>IF(OR($C709="",$P709&lt;&gt;"Aberto"),"",IF($I709="",Hoje-$B709,Hoje-$I709))</f>
        <v/>
      </c>
      <c r="R709" s="22">
        <f>IF(OR($C709="",$P709&lt;&gt;"Aberto"),"",IF($J709="",IF($Q709&gt;DiasSC,"ATRASADO","Definir data"),IF($J709&lt;Hoje,"ATRASADO",IF($J709=Hoje,"HOJE","Em dia"))))</f>
        <v/>
      </c>
      <c r="S709" s="23">
        <f>IF($R709="","",IF(OR($R709="ATRASADO",$R709="HOJE",$R709="Definir data"),COUNTIF($R$5:$R709,"ATRASADO")+COUNTIF($R$5:$R709,"HOJE")+COUNTIF($R$5:$R709,"Definir data"),""))</f>
        <v/>
      </c>
      <c r="T709" s="18">
        <f>IF($C709="","",IF(OR($B709="",$E709="",$F709="",$G709=""),"Preencher entrada/origem/vendedor/etapa",IF(AND(OR($P709="Ganho",$P709="Perdido"),$K709=""),"Falta data de fechamento",IF(AND($P709="Perdido",$L709=""),"Informe o motivo da perda","OK"))))</f>
        <v/>
      </c>
    </row>
    <row r="710" spans="1:20">
      <c r="A710" s="18">
        <f>IF($C710="","",ROW()-4)</f>
        <v/>
      </c>
      <c r="B710" s="19"/>
      <c r="C710" s="13"/>
      <c r="D710" s="13"/>
      <c r="E710" s="13"/>
      <c r="F710" s="13"/>
      <c r="G710" s="13"/>
      <c r="H710" s="15"/>
      <c r="I710" s="19"/>
      <c r="J710" s="19"/>
      <c r="K710" s="19"/>
      <c r="L710" s="13"/>
      <c r="M710" s="13"/>
      <c r="N710" s="20">
        <f>IF($C710="","",IFERROR(INDEX(EtapaProb,MATCH($G710,Etapas,0)),0))</f>
        <v/>
      </c>
      <c r="O710" s="21">
        <f>IF($C710="","",IF($P710="Aberto",N($H710)*$N710,0))</f>
        <v/>
      </c>
      <c r="P710" s="18">
        <f>IF($C710="","",IF($G710="Ganho","Ganho",IF($G710="Perdido","Perdido","Aberto")))</f>
        <v/>
      </c>
      <c r="Q710" s="18">
        <f>IF(OR($C710="",$P710&lt;&gt;"Aberto"),"",IF($I710="",Hoje-$B710,Hoje-$I710))</f>
        <v/>
      </c>
      <c r="R710" s="22">
        <f>IF(OR($C710="",$P710&lt;&gt;"Aberto"),"",IF($J710="",IF($Q710&gt;DiasSC,"ATRASADO","Definir data"),IF($J710&lt;Hoje,"ATRASADO",IF($J710=Hoje,"HOJE","Em dia"))))</f>
        <v/>
      </c>
      <c r="S710" s="23">
        <f>IF($R710="","",IF(OR($R710="ATRASADO",$R710="HOJE",$R710="Definir data"),COUNTIF($R$5:$R710,"ATRASADO")+COUNTIF($R$5:$R710,"HOJE")+COUNTIF($R$5:$R710,"Definir data"),""))</f>
        <v/>
      </c>
      <c r="T710" s="18">
        <f>IF($C710="","",IF(OR($B710="",$E710="",$F710="",$G710=""),"Preencher entrada/origem/vendedor/etapa",IF(AND(OR($P710="Ganho",$P710="Perdido"),$K710=""),"Falta data de fechamento",IF(AND($P710="Perdido",$L710=""),"Informe o motivo da perda","OK"))))</f>
        <v/>
      </c>
    </row>
    <row r="711" spans="1:20">
      <c r="A711" s="18">
        <f>IF($C711="","",ROW()-4)</f>
        <v/>
      </c>
      <c r="B711" s="19"/>
      <c r="C711" s="13"/>
      <c r="D711" s="13"/>
      <c r="E711" s="13"/>
      <c r="F711" s="13"/>
      <c r="G711" s="13"/>
      <c r="H711" s="15"/>
      <c r="I711" s="19"/>
      <c r="J711" s="19"/>
      <c r="K711" s="19"/>
      <c r="L711" s="13"/>
      <c r="M711" s="13"/>
      <c r="N711" s="20">
        <f>IF($C711="","",IFERROR(INDEX(EtapaProb,MATCH($G711,Etapas,0)),0))</f>
        <v/>
      </c>
      <c r="O711" s="21">
        <f>IF($C711="","",IF($P711="Aberto",N($H711)*$N711,0))</f>
        <v/>
      </c>
      <c r="P711" s="18">
        <f>IF($C711="","",IF($G711="Ganho","Ganho",IF($G711="Perdido","Perdido","Aberto")))</f>
        <v/>
      </c>
      <c r="Q711" s="18">
        <f>IF(OR($C711="",$P711&lt;&gt;"Aberto"),"",IF($I711="",Hoje-$B711,Hoje-$I711))</f>
        <v/>
      </c>
      <c r="R711" s="22">
        <f>IF(OR($C711="",$P711&lt;&gt;"Aberto"),"",IF($J711="",IF($Q711&gt;DiasSC,"ATRASADO","Definir data"),IF($J711&lt;Hoje,"ATRASADO",IF($J711=Hoje,"HOJE","Em dia"))))</f>
        <v/>
      </c>
      <c r="S711" s="23">
        <f>IF($R711="","",IF(OR($R711="ATRASADO",$R711="HOJE",$R711="Definir data"),COUNTIF($R$5:$R711,"ATRASADO")+COUNTIF($R$5:$R711,"HOJE")+COUNTIF($R$5:$R711,"Definir data"),""))</f>
        <v/>
      </c>
      <c r="T711" s="18">
        <f>IF($C711="","",IF(OR($B711="",$E711="",$F711="",$G711=""),"Preencher entrada/origem/vendedor/etapa",IF(AND(OR($P711="Ganho",$P711="Perdido"),$K711=""),"Falta data de fechamento",IF(AND($P711="Perdido",$L711=""),"Informe o motivo da perda","OK"))))</f>
        <v/>
      </c>
    </row>
    <row r="712" spans="1:20">
      <c r="A712" s="18">
        <f>IF($C712="","",ROW()-4)</f>
        <v/>
      </c>
      <c r="B712" s="19"/>
      <c r="C712" s="13"/>
      <c r="D712" s="13"/>
      <c r="E712" s="13"/>
      <c r="F712" s="13"/>
      <c r="G712" s="13"/>
      <c r="H712" s="15"/>
      <c r="I712" s="19"/>
      <c r="J712" s="19"/>
      <c r="K712" s="19"/>
      <c r="L712" s="13"/>
      <c r="M712" s="13"/>
      <c r="N712" s="20">
        <f>IF($C712="","",IFERROR(INDEX(EtapaProb,MATCH($G712,Etapas,0)),0))</f>
        <v/>
      </c>
      <c r="O712" s="21">
        <f>IF($C712="","",IF($P712="Aberto",N($H712)*$N712,0))</f>
        <v/>
      </c>
      <c r="P712" s="18">
        <f>IF($C712="","",IF($G712="Ganho","Ganho",IF($G712="Perdido","Perdido","Aberto")))</f>
        <v/>
      </c>
      <c r="Q712" s="18">
        <f>IF(OR($C712="",$P712&lt;&gt;"Aberto"),"",IF($I712="",Hoje-$B712,Hoje-$I712))</f>
        <v/>
      </c>
      <c r="R712" s="22">
        <f>IF(OR($C712="",$P712&lt;&gt;"Aberto"),"",IF($J712="",IF($Q712&gt;DiasSC,"ATRASADO","Definir data"),IF($J712&lt;Hoje,"ATRASADO",IF($J712=Hoje,"HOJE","Em dia"))))</f>
        <v/>
      </c>
      <c r="S712" s="23">
        <f>IF($R712="","",IF(OR($R712="ATRASADO",$R712="HOJE",$R712="Definir data"),COUNTIF($R$5:$R712,"ATRASADO")+COUNTIF($R$5:$R712,"HOJE")+COUNTIF($R$5:$R712,"Definir data"),""))</f>
        <v/>
      </c>
      <c r="T712" s="18">
        <f>IF($C712="","",IF(OR($B712="",$E712="",$F712="",$G712=""),"Preencher entrada/origem/vendedor/etapa",IF(AND(OR($P712="Ganho",$P712="Perdido"),$K712=""),"Falta data de fechamento",IF(AND($P712="Perdido",$L712=""),"Informe o motivo da perda","OK"))))</f>
        <v/>
      </c>
    </row>
    <row r="713" spans="1:20">
      <c r="A713" s="18">
        <f>IF($C713="","",ROW()-4)</f>
        <v/>
      </c>
      <c r="B713" s="19"/>
      <c r="C713" s="13"/>
      <c r="D713" s="13"/>
      <c r="E713" s="13"/>
      <c r="F713" s="13"/>
      <c r="G713" s="13"/>
      <c r="H713" s="15"/>
      <c r="I713" s="19"/>
      <c r="J713" s="19"/>
      <c r="K713" s="19"/>
      <c r="L713" s="13"/>
      <c r="M713" s="13"/>
      <c r="N713" s="20">
        <f>IF($C713="","",IFERROR(INDEX(EtapaProb,MATCH($G713,Etapas,0)),0))</f>
        <v/>
      </c>
      <c r="O713" s="21">
        <f>IF($C713="","",IF($P713="Aberto",N($H713)*$N713,0))</f>
        <v/>
      </c>
      <c r="P713" s="18">
        <f>IF($C713="","",IF($G713="Ganho","Ganho",IF($G713="Perdido","Perdido","Aberto")))</f>
        <v/>
      </c>
      <c r="Q713" s="18">
        <f>IF(OR($C713="",$P713&lt;&gt;"Aberto"),"",IF($I713="",Hoje-$B713,Hoje-$I713))</f>
        <v/>
      </c>
      <c r="R713" s="22">
        <f>IF(OR($C713="",$P713&lt;&gt;"Aberto"),"",IF($J713="",IF($Q713&gt;DiasSC,"ATRASADO","Definir data"),IF($J713&lt;Hoje,"ATRASADO",IF($J713=Hoje,"HOJE","Em dia"))))</f>
        <v/>
      </c>
      <c r="S713" s="23">
        <f>IF($R713="","",IF(OR($R713="ATRASADO",$R713="HOJE",$R713="Definir data"),COUNTIF($R$5:$R713,"ATRASADO")+COUNTIF($R$5:$R713,"HOJE")+COUNTIF($R$5:$R713,"Definir data"),""))</f>
        <v/>
      </c>
      <c r="T713" s="18">
        <f>IF($C713="","",IF(OR($B713="",$E713="",$F713="",$G713=""),"Preencher entrada/origem/vendedor/etapa",IF(AND(OR($P713="Ganho",$P713="Perdido"),$K713=""),"Falta data de fechamento",IF(AND($P713="Perdido",$L713=""),"Informe o motivo da perda","OK"))))</f>
        <v/>
      </c>
    </row>
    <row r="714" spans="1:20">
      <c r="A714" s="18">
        <f>IF($C714="","",ROW()-4)</f>
        <v/>
      </c>
      <c r="B714" s="19"/>
      <c r="C714" s="13"/>
      <c r="D714" s="13"/>
      <c r="E714" s="13"/>
      <c r="F714" s="13"/>
      <c r="G714" s="13"/>
      <c r="H714" s="15"/>
      <c r="I714" s="19"/>
      <c r="J714" s="19"/>
      <c r="K714" s="19"/>
      <c r="L714" s="13"/>
      <c r="M714" s="13"/>
      <c r="N714" s="20">
        <f>IF($C714="","",IFERROR(INDEX(EtapaProb,MATCH($G714,Etapas,0)),0))</f>
        <v/>
      </c>
      <c r="O714" s="21">
        <f>IF($C714="","",IF($P714="Aberto",N($H714)*$N714,0))</f>
        <v/>
      </c>
      <c r="P714" s="18">
        <f>IF($C714="","",IF($G714="Ganho","Ganho",IF($G714="Perdido","Perdido","Aberto")))</f>
        <v/>
      </c>
      <c r="Q714" s="18">
        <f>IF(OR($C714="",$P714&lt;&gt;"Aberto"),"",IF($I714="",Hoje-$B714,Hoje-$I714))</f>
        <v/>
      </c>
      <c r="R714" s="22">
        <f>IF(OR($C714="",$P714&lt;&gt;"Aberto"),"",IF($J714="",IF($Q714&gt;DiasSC,"ATRASADO","Definir data"),IF($J714&lt;Hoje,"ATRASADO",IF($J714=Hoje,"HOJE","Em dia"))))</f>
        <v/>
      </c>
      <c r="S714" s="23">
        <f>IF($R714="","",IF(OR($R714="ATRASADO",$R714="HOJE",$R714="Definir data"),COUNTIF($R$5:$R714,"ATRASADO")+COUNTIF($R$5:$R714,"HOJE")+COUNTIF($R$5:$R714,"Definir data"),""))</f>
        <v/>
      </c>
      <c r="T714" s="18">
        <f>IF($C714="","",IF(OR($B714="",$E714="",$F714="",$G714=""),"Preencher entrada/origem/vendedor/etapa",IF(AND(OR($P714="Ganho",$P714="Perdido"),$K714=""),"Falta data de fechamento",IF(AND($P714="Perdido",$L714=""),"Informe o motivo da perda","OK"))))</f>
        <v/>
      </c>
    </row>
    <row r="715" spans="1:20">
      <c r="A715" s="18">
        <f>IF($C715="","",ROW()-4)</f>
        <v/>
      </c>
      <c r="B715" s="19"/>
      <c r="C715" s="13"/>
      <c r="D715" s="13"/>
      <c r="E715" s="13"/>
      <c r="F715" s="13"/>
      <c r="G715" s="13"/>
      <c r="H715" s="15"/>
      <c r="I715" s="19"/>
      <c r="J715" s="19"/>
      <c r="K715" s="19"/>
      <c r="L715" s="13"/>
      <c r="M715" s="13"/>
      <c r="N715" s="20">
        <f>IF($C715="","",IFERROR(INDEX(EtapaProb,MATCH($G715,Etapas,0)),0))</f>
        <v/>
      </c>
      <c r="O715" s="21">
        <f>IF($C715="","",IF($P715="Aberto",N($H715)*$N715,0))</f>
        <v/>
      </c>
      <c r="P715" s="18">
        <f>IF($C715="","",IF($G715="Ganho","Ganho",IF($G715="Perdido","Perdido","Aberto")))</f>
        <v/>
      </c>
      <c r="Q715" s="18">
        <f>IF(OR($C715="",$P715&lt;&gt;"Aberto"),"",IF($I715="",Hoje-$B715,Hoje-$I715))</f>
        <v/>
      </c>
      <c r="R715" s="22">
        <f>IF(OR($C715="",$P715&lt;&gt;"Aberto"),"",IF($J715="",IF($Q715&gt;DiasSC,"ATRASADO","Definir data"),IF($J715&lt;Hoje,"ATRASADO",IF($J715=Hoje,"HOJE","Em dia"))))</f>
        <v/>
      </c>
      <c r="S715" s="23">
        <f>IF($R715="","",IF(OR($R715="ATRASADO",$R715="HOJE",$R715="Definir data"),COUNTIF($R$5:$R715,"ATRASADO")+COUNTIF($R$5:$R715,"HOJE")+COUNTIF($R$5:$R715,"Definir data"),""))</f>
        <v/>
      </c>
      <c r="T715" s="18">
        <f>IF($C715="","",IF(OR($B715="",$E715="",$F715="",$G715=""),"Preencher entrada/origem/vendedor/etapa",IF(AND(OR($P715="Ganho",$P715="Perdido"),$K715=""),"Falta data de fechamento",IF(AND($P715="Perdido",$L715=""),"Informe o motivo da perda","OK"))))</f>
        <v/>
      </c>
    </row>
    <row r="716" spans="1:20">
      <c r="A716" s="18">
        <f>IF($C716="","",ROW()-4)</f>
        <v/>
      </c>
      <c r="B716" s="19"/>
      <c r="C716" s="13"/>
      <c r="D716" s="13"/>
      <c r="E716" s="13"/>
      <c r="F716" s="13"/>
      <c r="G716" s="13"/>
      <c r="H716" s="15"/>
      <c r="I716" s="19"/>
      <c r="J716" s="19"/>
      <c r="K716" s="19"/>
      <c r="L716" s="13"/>
      <c r="M716" s="13"/>
      <c r="N716" s="20">
        <f>IF($C716="","",IFERROR(INDEX(EtapaProb,MATCH($G716,Etapas,0)),0))</f>
        <v/>
      </c>
      <c r="O716" s="21">
        <f>IF($C716="","",IF($P716="Aberto",N($H716)*$N716,0))</f>
        <v/>
      </c>
      <c r="P716" s="18">
        <f>IF($C716="","",IF($G716="Ganho","Ganho",IF($G716="Perdido","Perdido","Aberto")))</f>
        <v/>
      </c>
      <c r="Q716" s="18">
        <f>IF(OR($C716="",$P716&lt;&gt;"Aberto"),"",IF($I716="",Hoje-$B716,Hoje-$I716))</f>
        <v/>
      </c>
      <c r="R716" s="22">
        <f>IF(OR($C716="",$P716&lt;&gt;"Aberto"),"",IF($J716="",IF($Q716&gt;DiasSC,"ATRASADO","Definir data"),IF($J716&lt;Hoje,"ATRASADO",IF($J716=Hoje,"HOJE","Em dia"))))</f>
        <v/>
      </c>
      <c r="S716" s="23">
        <f>IF($R716="","",IF(OR($R716="ATRASADO",$R716="HOJE",$R716="Definir data"),COUNTIF($R$5:$R716,"ATRASADO")+COUNTIF($R$5:$R716,"HOJE")+COUNTIF($R$5:$R716,"Definir data"),""))</f>
        <v/>
      </c>
      <c r="T716" s="18">
        <f>IF($C716="","",IF(OR($B716="",$E716="",$F716="",$G716=""),"Preencher entrada/origem/vendedor/etapa",IF(AND(OR($P716="Ganho",$P716="Perdido"),$K716=""),"Falta data de fechamento",IF(AND($P716="Perdido",$L716=""),"Informe o motivo da perda","OK"))))</f>
        <v/>
      </c>
    </row>
    <row r="717" spans="1:20">
      <c r="A717" s="18">
        <f>IF($C717="","",ROW()-4)</f>
        <v/>
      </c>
      <c r="B717" s="19"/>
      <c r="C717" s="13"/>
      <c r="D717" s="13"/>
      <c r="E717" s="13"/>
      <c r="F717" s="13"/>
      <c r="G717" s="13"/>
      <c r="H717" s="15"/>
      <c r="I717" s="19"/>
      <c r="J717" s="19"/>
      <c r="K717" s="19"/>
      <c r="L717" s="13"/>
      <c r="M717" s="13"/>
      <c r="N717" s="20">
        <f>IF($C717="","",IFERROR(INDEX(EtapaProb,MATCH($G717,Etapas,0)),0))</f>
        <v/>
      </c>
      <c r="O717" s="21">
        <f>IF($C717="","",IF($P717="Aberto",N($H717)*$N717,0))</f>
        <v/>
      </c>
      <c r="P717" s="18">
        <f>IF($C717="","",IF($G717="Ganho","Ganho",IF($G717="Perdido","Perdido","Aberto")))</f>
        <v/>
      </c>
      <c r="Q717" s="18">
        <f>IF(OR($C717="",$P717&lt;&gt;"Aberto"),"",IF($I717="",Hoje-$B717,Hoje-$I717))</f>
        <v/>
      </c>
      <c r="R717" s="22">
        <f>IF(OR($C717="",$P717&lt;&gt;"Aberto"),"",IF($J717="",IF($Q717&gt;DiasSC,"ATRASADO","Definir data"),IF($J717&lt;Hoje,"ATRASADO",IF($J717=Hoje,"HOJE","Em dia"))))</f>
        <v/>
      </c>
      <c r="S717" s="23">
        <f>IF($R717="","",IF(OR($R717="ATRASADO",$R717="HOJE",$R717="Definir data"),COUNTIF($R$5:$R717,"ATRASADO")+COUNTIF($R$5:$R717,"HOJE")+COUNTIF($R$5:$R717,"Definir data"),""))</f>
        <v/>
      </c>
      <c r="T717" s="18">
        <f>IF($C717="","",IF(OR($B717="",$E717="",$F717="",$G717=""),"Preencher entrada/origem/vendedor/etapa",IF(AND(OR($P717="Ganho",$P717="Perdido"),$K717=""),"Falta data de fechamento",IF(AND($P717="Perdido",$L717=""),"Informe o motivo da perda","OK"))))</f>
        <v/>
      </c>
    </row>
    <row r="718" spans="1:20">
      <c r="A718" s="18">
        <f>IF($C718="","",ROW()-4)</f>
        <v/>
      </c>
      <c r="B718" s="19"/>
      <c r="C718" s="13"/>
      <c r="D718" s="13"/>
      <c r="E718" s="13"/>
      <c r="F718" s="13"/>
      <c r="G718" s="13"/>
      <c r="H718" s="15"/>
      <c r="I718" s="19"/>
      <c r="J718" s="19"/>
      <c r="K718" s="19"/>
      <c r="L718" s="13"/>
      <c r="M718" s="13"/>
      <c r="N718" s="20">
        <f>IF($C718="","",IFERROR(INDEX(EtapaProb,MATCH($G718,Etapas,0)),0))</f>
        <v/>
      </c>
      <c r="O718" s="21">
        <f>IF($C718="","",IF($P718="Aberto",N($H718)*$N718,0))</f>
        <v/>
      </c>
      <c r="P718" s="18">
        <f>IF($C718="","",IF($G718="Ganho","Ganho",IF($G718="Perdido","Perdido","Aberto")))</f>
        <v/>
      </c>
      <c r="Q718" s="18">
        <f>IF(OR($C718="",$P718&lt;&gt;"Aberto"),"",IF($I718="",Hoje-$B718,Hoje-$I718))</f>
        <v/>
      </c>
      <c r="R718" s="22">
        <f>IF(OR($C718="",$P718&lt;&gt;"Aberto"),"",IF($J718="",IF($Q718&gt;DiasSC,"ATRASADO","Definir data"),IF($J718&lt;Hoje,"ATRASADO",IF($J718=Hoje,"HOJE","Em dia"))))</f>
        <v/>
      </c>
      <c r="S718" s="23">
        <f>IF($R718="","",IF(OR($R718="ATRASADO",$R718="HOJE",$R718="Definir data"),COUNTIF($R$5:$R718,"ATRASADO")+COUNTIF($R$5:$R718,"HOJE")+COUNTIF($R$5:$R718,"Definir data"),""))</f>
        <v/>
      </c>
      <c r="T718" s="18">
        <f>IF($C718="","",IF(OR($B718="",$E718="",$F718="",$G718=""),"Preencher entrada/origem/vendedor/etapa",IF(AND(OR($P718="Ganho",$P718="Perdido"),$K718=""),"Falta data de fechamento",IF(AND($P718="Perdido",$L718=""),"Informe o motivo da perda","OK"))))</f>
        <v/>
      </c>
    </row>
    <row r="719" spans="1:20">
      <c r="A719" s="18">
        <f>IF($C719="","",ROW()-4)</f>
        <v/>
      </c>
      <c r="B719" s="19"/>
      <c r="C719" s="13"/>
      <c r="D719" s="13"/>
      <c r="E719" s="13"/>
      <c r="F719" s="13"/>
      <c r="G719" s="13"/>
      <c r="H719" s="15"/>
      <c r="I719" s="19"/>
      <c r="J719" s="19"/>
      <c r="K719" s="19"/>
      <c r="L719" s="13"/>
      <c r="M719" s="13"/>
      <c r="N719" s="20">
        <f>IF($C719="","",IFERROR(INDEX(EtapaProb,MATCH($G719,Etapas,0)),0))</f>
        <v/>
      </c>
      <c r="O719" s="21">
        <f>IF($C719="","",IF($P719="Aberto",N($H719)*$N719,0))</f>
        <v/>
      </c>
      <c r="P719" s="18">
        <f>IF($C719="","",IF($G719="Ganho","Ganho",IF($G719="Perdido","Perdido","Aberto")))</f>
        <v/>
      </c>
      <c r="Q719" s="18">
        <f>IF(OR($C719="",$P719&lt;&gt;"Aberto"),"",IF($I719="",Hoje-$B719,Hoje-$I719))</f>
        <v/>
      </c>
      <c r="R719" s="22">
        <f>IF(OR($C719="",$P719&lt;&gt;"Aberto"),"",IF($J719="",IF($Q719&gt;DiasSC,"ATRASADO","Definir data"),IF($J719&lt;Hoje,"ATRASADO",IF($J719=Hoje,"HOJE","Em dia"))))</f>
        <v/>
      </c>
      <c r="S719" s="23">
        <f>IF($R719="","",IF(OR($R719="ATRASADO",$R719="HOJE",$R719="Definir data"),COUNTIF($R$5:$R719,"ATRASADO")+COUNTIF($R$5:$R719,"HOJE")+COUNTIF($R$5:$R719,"Definir data"),""))</f>
        <v/>
      </c>
      <c r="T719" s="18">
        <f>IF($C719="","",IF(OR($B719="",$E719="",$F719="",$G719=""),"Preencher entrada/origem/vendedor/etapa",IF(AND(OR($P719="Ganho",$P719="Perdido"),$K719=""),"Falta data de fechamento",IF(AND($P719="Perdido",$L719=""),"Informe o motivo da perda","OK"))))</f>
        <v/>
      </c>
    </row>
    <row r="720" spans="1:20">
      <c r="A720" s="18">
        <f>IF($C720="","",ROW()-4)</f>
        <v/>
      </c>
      <c r="B720" s="19"/>
      <c r="C720" s="13"/>
      <c r="D720" s="13"/>
      <c r="E720" s="13"/>
      <c r="F720" s="13"/>
      <c r="G720" s="13"/>
      <c r="H720" s="15"/>
      <c r="I720" s="19"/>
      <c r="J720" s="19"/>
      <c r="K720" s="19"/>
      <c r="L720" s="13"/>
      <c r="M720" s="13"/>
      <c r="N720" s="20">
        <f>IF($C720="","",IFERROR(INDEX(EtapaProb,MATCH($G720,Etapas,0)),0))</f>
        <v/>
      </c>
      <c r="O720" s="21">
        <f>IF($C720="","",IF($P720="Aberto",N($H720)*$N720,0))</f>
        <v/>
      </c>
      <c r="P720" s="18">
        <f>IF($C720="","",IF($G720="Ganho","Ganho",IF($G720="Perdido","Perdido","Aberto")))</f>
        <v/>
      </c>
      <c r="Q720" s="18">
        <f>IF(OR($C720="",$P720&lt;&gt;"Aberto"),"",IF($I720="",Hoje-$B720,Hoje-$I720))</f>
        <v/>
      </c>
      <c r="R720" s="22">
        <f>IF(OR($C720="",$P720&lt;&gt;"Aberto"),"",IF($J720="",IF($Q720&gt;DiasSC,"ATRASADO","Definir data"),IF($J720&lt;Hoje,"ATRASADO",IF($J720=Hoje,"HOJE","Em dia"))))</f>
        <v/>
      </c>
      <c r="S720" s="23">
        <f>IF($R720="","",IF(OR($R720="ATRASADO",$R720="HOJE",$R720="Definir data"),COUNTIF($R$5:$R720,"ATRASADO")+COUNTIF($R$5:$R720,"HOJE")+COUNTIF($R$5:$R720,"Definir data"),""))</f>
        <v/>
      </c>
      <c r="T720" s="18">
        <f>IF($C720="","",IF(OR($B720="",$E720="",$F720="",$G720=""),"Preencher entrada/origem/vendedor/etapa",IF(AND(OR($P720="Ganho",$P720="Perdido"),$K720=""),"Falta data de fechamento",IF(AND($P720="Perdido",$L720=""),"Informe o motivo da perda","OK"))))</f>
        <v/>
      </c>
    </row>
    <row r="721" spans="1:20">
      <c r="A721" s="18">
        <f>IF($C721="","",ROW()-4)</f>
        <v/>
      </c>
      <c r="B721" s="19"/>
      <c r="C721" s="13"/>
      <c r="D721" s="13"/>
      <c r="E721" s="13"/>
      <c r="F721" s="13"/>
      <c r="G721" s="13"/>
      <c r="H721" s="15"/>
      <c r="I721" s="19"/>
      <c r="J721" s="19"/>
      <c r="K721" s="19"/>
      <c r="L721" s="13"/>
      <c r="M721" s="13"/>
      <c r="N721" s="20">
        <f>IF($C721="","",IFERROR(INDEX(EtapaProb,MATCH($G721,Etapas,0)),0))</f>
        <v/>
      </c>
      <c r="O721" s="21">
        <f>IF($C721="","",IF($P721="Aberto",N($H721)*$N721,0))</f>
        <v/>
      </c>
      <c r="P721" s="18">
        <f>IF($C721="","",IF($G721="Ganho","Ganho",IF($G721="Perdido","Perdido","Aberto")))</f>
        <v/>
      </c>
      <c r="Q721" s="18">
        <f>IF(OR($C721="",$P721&lt;&gt;"Aberto"),"",IF($I721="",Hoje-$B721,Hoje-$I721))</f>
        <v/>
      </c>
      <c r="R721" s="22">
        <f>IF(OR($C721="",$P721&lt;&gt;"Aberto"),"",IF($J721="",IF($Q721&gt;DiasSC,"ATRASADO","Definir data"),IF($J721&lt;Hoje,"ATRASADO",IF($J721=Hoje,"HOJE","Em dia"))))</f>
        <v/>
      </c>
      <c r="S721" s="23">
        <f>IF($R721="","",IF(OR($R721="ATRASADO",$R721="HOJE",$R721="Definir data"),COUNTIF($R$5:$R721,"ATRASADO")+COUNTIF($R$5:$R721,"HOJE")+COUNTIF($R$5:$R721,"Definir data"),""))</f>
        <v/>
      </c>
      <c r="T721" s="18">
        <f>IF($C721="","",IF(OR($B721="",$E721="",$F721="",$G721=""),"Preencher entrada/origem/vendedor/etapa",IF(AND(OR($P721="Ganho",$P721="Perdido"),$K721=""),"Falta data de fechamento",IF(AND($P721="Perdido",$L721=""),"Informe o motivo da perda","OK"))))</f>
        <v/>
      </c>
    </row>
    <row r="722" spans="1:20">
      <c r="A722" s="18">
        <f>IF($C722="","",ROW()-4)</f>
        <v/>
      </c>
      <c r="B722" s="19"/>
      <c r="C722" s="13"/>
      <c r="D722" s="13"/>
      <c r="E722" s="13"/>
      <c r="F722" s="13"/>
      <c r="G722" s="13"/>
      <c r="H722" s="15"/>
      <c r="I722" s="19"/>
      <c r="J722" s="19"/>
      <c r="K722" s="19"/>
      <c r="L722" s="13"/>
      <c r="M722" s="13"/>
      <c r="N722" s="20">
        <f>IF($C722="","",IFERROR(INDEX(EtapaProb,MATCH($G722,Etapas,0)),0))</f>
        <v/>
      </c>
      <c r="O722" s="21">
        <f>IF($C722="","",IF($P722="Aberto",N($H722)*$N722,0))</f>
        <v/>
      </c>
      <c r="P722" s="18">
        <f>IF($C722="","",IF($G722="Ganho","Ganho",IF($G722="Perdido","Perdido","Aberto")))</f>
        <v/>
      </c>
      <c r="Q722" s="18">
        <f>IF(OR($C722="",$P722&lt;&gt;"Aberto"),"",IF($I722="",Hoje-$B722,Hoje-$I722))</f>
        <v/>
      </c>
      <c r="R722" s="22">
        <f>IF(OR($C722="",$P722&lt;&gt;"Aberto"),"",IF($J722="",IF($Q722&gt;DiasSC,"ATRASADO","Definir data"),IF($J722&lt;Hoje,"ATRASADO",IF($J722=Hoje,"HOJE","Em dia"))))</f>
        <v/>
      </c>
      <c r="S722" s="23">
        <f>IF($R722="","",IF(OR($R722="ATRASADO",$R722="HOJE",$R722="Definir data"),COUNTIF($R$5:$R722,"ATRASADO")+COUNTIF($R$5:$R722,"HOJE")+COUNTIF($R$5:$R722,"Definir data"),""))</f>
        <v/>
      </c>
      <c r="T722" s="18">
        <f>IF($C722="","",IF(OR($B722="",$E722="",$F722="",$G722=""),"Preencher entrada/origem/vendedor/etapa",IF(AND(OR($P722="Ganho",$P722="Perdido"),$K722=""),"Falta data de fechamento",IF(AND($P722="Perdido",$L722=""),"Informe o motivo da perda","OK"))))</f>
        <v/>
      </c>
    </row>
    <row r="723" spans="1:20">
      <c r="A723" s="18">
        <f>IF($C723="","",ROW()-4)</f>
        <v/>
      </c>
      <c r="B723" s="19"/>
      <c r="C723" s="13"/>
      <c r="D723" s="13"/>
      <c r="E723" s="13"/>
      <c r="F723" s="13"/>
      <c r="G723" s="13"/>
      <c r="H723" s="15"/>
      <c r="I723" s="19"/>
      <c r="J723" s="19"/>
      <c r="K723" s="19"/>
      <c r="L723" s="13"/>
      <c r="M723" s="13"/>
      <c r="N723" s="20">
        <f>IF($C723="","",IFERROR(INDEX(EtapaProb,MATCH($G723,Etapas,0)),0))</f>
        <v/>
      </c>
      <c r="O723" s="21">
        <f>IF($C723="","",IF($P723="Aberto",N($H723)*$N723,0))</f>
        <v/>
      </c>
      <c r="P723" s="18">
        <f>IF($C723="","",IF($G723="Ganho","Ganho",IF($G723="Perdido","Perdido","Aberto")))</f>
        <v/>
      </c>
      <c r="Q723" s="18">
        <f>IF(OR($C723="",$P723&lt;&gt;"Aberto"),"",IF($I723="",Hoje-$B723,Hoje-$I723))</f>
        <v/>
      </c>
      <c r="R723" s="22">
        <f>IF(OR($C723="",$P723&lt;&gt;"Aberto"),"",IF($J723="",IF($Q723&gt;DiasSC,"ATRASADO","Definir data"),IF($J723&lt;Hoje,"ATRASADO",IF($J723=Hoje,"HOJE","Em dia"))))</f>
        <v/>
      </c>
      <c r="S723" s="23">
        <f>IF($R723="","",IF(OR($R723="ATRASADO",$R723="HOJE",$R723="Definir data"),COUNTIF($R$5:$R723,"ATRASADO")+COUNTIF($R$5:$R723,"HOJE")+COUNTIF($R$5:$R723,"Definir data"),""))</f>
        <v/>
      </c>
      <c r="T723" s="18">
        <f>IF($C723="","",IF(OR($B723="",$E723="",$F723="",$G723=""),"Preencher entrada/origem/vendedor/etapa",IF(AND(OR($P723="Ganho",$P723="Perdido"),$K723=""),"Falta data de fechamento",IF(AND($P723="Perdido",$L723=""),"Informe o motivo da perda","OK"))))</f>
        <v/>
      </c>
    </row>
    <row r="724" spans="1:20">
      <c r="A724" s="18">
        <f>IF($C724="","",ROW()-4)</f>
        <v/>
      </c>
      <c r="B724" s="19"/>
      <c r="C724" s="13"/>
      <c r="D724" s="13"/>
      <c r="E724" s="13"/>
      <c r="F724" s="13"/>
      <c r="G724" s="13"/>
      <c r="H724" s="15"/>
      <c r="I724" s="19"/>
      <c r="J724" s="19"/>
      <c r="K724" s="19"/>
      <c r="L724" s="13"/>
      <c r="M724" s="13"/>
      <c r="N724" s="20">
        <f>IF($C724="","",IFERROR(INDEX(EtapaProb,MATCH($G724,Etapas,0)),0))</f>
        <v/>
      </c>
      <c r="O724" s="21">
        <f>IF($C724="","",IF($P724="Aberto",N($H724)*$N724,0))</f>
        <v/>
      </c>
      <c r="P724" s="18">
        <f>IF($C724="","",IF($G724="Ganho","Ganho",IF($G724="Perdido","Perdido","Aberto")))</f>
        <v/>
      </c>
      <c r="Q724" s="18">
        <f>IF(OR($C724="",$P724&lt;&gt;"Aberto"),"",IF($I724="",Hoje-$B724,Hoje-$I724))</f>
        <v/>
      </c>
      <c r="R724" s="22">
        <f>IF(OR($C724="",$P724&lt;&gt;"Aberto"),"",IF($J724="",IF($Q724&gt;DiasSC,"ATRASADO","Definir data"),IF($J724&lt;Hoje,"ATRASADO",IF($J724=Hoje,"HOJE","Em dia"))))</f>
        <v/>
      </c>
      <c r="S724" s="23">
        <f>IF($R724="","",IF(OR($R724="ATRASADO",$R724="HOJE",$R724="Definir data"),COUNTIF($R$5:$R724,"ATRASADO")+COUNTIF($R$5:$R724,"HOJE")+COUNTIF($R$5:$R724,"Definir data"),""))</f>
        <v/>
      </c>
      <c r="T724" s="18">
        <f>IF($C724="","",IF(OR($B724="",$E724="",$F724="",$G724=""),"Preencher entrada/origem/vendedor/etapa",IF(AND(OR($P724="Ganho",$P724="Perdido"),$K724=""),"Falta data de fechamento",IF(AND($P724="Perdido",$L724=""),"Informe o motivo da perda","OK"))))</f>
        <v/>
      </c>
    </row>
    <row r="725" spans="1:20">
      <c r="A725" s="18">
        <f>IF($C725="","",ROW()-4)</f>
        <v/>
      </c>
      <c r="B725" s="19"/>
      <c r="C725" s="13"/>
      <c r="D725" s="13"/>
      <c r="E725" s="13"/>
      <c r="F725" s="13"/>
      <c r="G725" s="13"/>
      <c r="H725" s="15"/>
      <c r="I725" s="19"/>
      <c r="J725" s="19"/>
      <c r="K725" s="19"/>
      <c r="L725" s="13"/>
      <c r="M725" s="13"/>
      <c r="N725" s="20">
        <f>IF($C725="","",IFERROR(INDEX(EtapaProb,MATCH($G725,Etapas,0)),0))</f>
        <v/>
      </c>
      <c r="O725" s="21">
        <f>IF($C725="","",IF($P725="Aberto",N($H725)*$N725,0))</f>
        <v/>
      </c>
      <c r="P725" s="18">
        <f>IF($C725="","",IF($G725="Ganho","Ganho",IF($G725="Perdido","Perdido","Aberto")))</f>
        <v/>
      </c>
      <c r="Q725" s="18">
        <f>IF(OR($C725="",$P725&lt;&gt;"Aberto"),"",IF($I725="",Hoje-$B725,Hoje-$I725))</f>
        <v/>
      </c>
      <c r="R725" s="22">
        <f>IF(OR($C725="",$P725&lt;&gt;"Aberto"),"",IF($J725="",IF($Q725&gt;DiasSC,"ATRASADO","Definir data"),IF($J725&lt;Hoje,"ATRASADO",IF($J725=Hoje,"HOJE","Em dia"))))</f>
        <v/>
      </c>
      <c r="S725" s="23">
        <f>IF($R725="","",IF(OR($R725="ATRASADO",$R725="HOJE",$R725="Definir data"),COUNTIF($R$5:$R725,"ATRASADO")+COUNTIF($R$5:$R725,"HOJE")+COUNTIF($R$5:$R725,"Definir data"),""))</f>
        <v/>
      </c>
      <c r="T725" s="18">
        <f>IF($C725="","",IF(OR($B725="",$E725="",$F725="",$G725=""),"Preencher entrada/origem/vendedor/etapa",IF(AND(OR($P725="Ganho",$P725="Perdido"),$K725=""),"Falta data de fechamento",IF(AND($P725="Perdido",$L725=""),"Informe o motivo da perda","OK"))))</f>
        <v/>
      </c>
    </row>
    <row r="726" spans="1:20">
      <c r="A726" s="18">
        <f>IF($C726="","",ROW()-4)</f>
        <v/>
      </c>
      <c r="B726" s="19"/>
      <c r="C726" s="13"/>
      <c r="D726" s="13"/>
      <c r="E726" s="13"/>
      <c r="F726" s="13"/>
      <c r="G726" s="13"/>
      <c r="H726" s="15"/>
      <c r="I726" s="19"/>
      <c r="J726" s="19"/>
      <c r="K726" s="19"/>
      <c r="L726" s="13"/>
      <c r="M726" s="13"/>
      <c r="N726" s="20">
        <f>IF($C726="","",IFERROR(INDEX(EtapaProb,MATCH($G726,Etapas,0)),0))</f>
        <v/>
      </c>
      <c r="O726" s="21">
        <f>IF($C726="","",IF($P726="Aberto",N($H726)*$N726,0))</f>
        <v/>
      </c>
      <c r="P726" s="18">
        <f>IF($C726="","",IF($G726="Ganho","Ganho",IF($G726="Perdido","Perdido","Aberto")))</f>
        <v/>
      </c>
      <c r="Q726" s="18">
        <f>IF(OR($C726="",$P726&lt;&gt;"Aberto"),"",IF($I726="",Hoje-$B726,Hoje-$I726))</f>
        <v/>
      </c>
      <c r="R726" s="22">
        <f>IF(OR($C726="",$P726&lt;&gt;"Aberto"),"",IF($J726="",IF($Q726&gt;DiasSC,"ATRASADO","Definir data"),IF($J726&lt;Hoje,"ATRASADO",IF($J726=Hoje,"HOJE","Em dia"))))</f>
        <v/>
      </c>
      <c r="S726" s="23">
        <f>IF($R726="","",IF(OR($R726="ATRASADO",$R726="HOJE",$R726="Definir data"),COUNTIF($R$5:$R726,"ATRASADO")+COUNTIF($R$5:$R726,"HOJE")+COUNTIF($R$5:$R726,"Definir data"),""))</f>
        <v/>
      </c>
      <c r="T726" s="18">
        <f>IF($C726="","",IF(OR($B726="",$E726="",$F726="",$G726=""),"Preencher entrada/origem/vendedor/etapa",IF(AND(OR($P726="Ganho",$P726="Perdido"),$K726=""),"Falta data de fechamento",IF(AND($P726="Perdido",$L726=""),"Informe o motivo da perda","OK"))))</f>
        <v/>
      </c>
    </row>
    <row r="727" spans="1:20">
      <c r="A727" s="18">
        <f>IF($C727="","",ROW()-4)</f>
        <v/>
      </c>
      <c r="B727" s="19"/>
      <c r="C727" s="13"/>
      <c r="D727" s="13"/>
      <c r="E727" s="13"/>
      <c r="F727" s="13"/>
      <c r="G727" s="13"/>
      <c r="H727" s="15"/>
      <c r="I727" s="19"/>
      <c r="J727" s="19"/>
      <c r="K727" s="19"/>
      <c r="L727" s="13"/>
      <c r="M727" s="13"/>
      <c r="N727" s="20">
        <f>IF($C727="","",IFERROR(INDEX(EtapaProb,MATCH($G727,Etapas,0)),0))</f>
        <v/>
      </c>
      <c r="O727" s="21">
        <f>IF($C727="","",IF($P727="Aberto",N($H727)*$N727,0))</f>
        <v/>
      </c>
      <c r="P727" s="18">
        <f>IF($C727="","",IF($G727="Ganho","Ganho",IF($G727="Perdido","Perdido","Aberto")))</f>
        <v/>
      </c>
      <c r="Q727" s="18">
        <f>IF(OR($C727="",$P727&lt;&gt;"Aberto"),"",IF($I727="",Hoje-$B727,Hoje-$I727))</f>
        <v/>
      </c>
      <c r="R727" s="22">
        <f>IF(OR($C727="",$P727&lt;&gt;"Aberto"),"",IF($J727="",IF($Q727&gt;DiasSC,"ATRASADO","Definir data"),IF($J727&lt;Hoje,"ATRASADO",IF($J727=Hoje,"HOJE","Em dia"))))</f>
        <v/>
      </c>
      <c r="S727" s="23">
        <f>IF($R727="","",IF(OR($R727="ATRASADO",$R727="HOJE",$R727="Definir data"),COUNTIF($R$5:$R727,"ATRASADO")+COUNTIF($R$5:$R727,"HOJE")+COUNTIF($R$5:$R727,"Definir data"),""))</f>
        <v/>
      </c>
      <c r="T727" s="18">
        <f>IF($C727="","",IF(OR($B727="",$E727="",$F727="",$G727=""),"Preencher entrada/origem/vendedor/etapa",IF(AND(OR($P727="Ganho",$P727="Perdido"),$K727=""),"Falta data de fechamento",IF(AND($P727="Perdido",$L727=""),"Informe o motivo da perda","OK"))))</f>
        <v/>
      </c>
    </row>
    <row r="728" spans="1:20">
      <c r="A728" s="18">
        <f>IF($C728="","",ROW()-4)</f>
        <v/>
      </c>
      <c r="B728" s="19"/>
      <c r="C728" s="13"/>
      <c r="D728" s="13"/>
      <c r="E728" s="13"/>
      <c r="F728" s="13"/>
      <c r="G728" s="13"/>
      <c r="H728" s="15"/>
      <c r="I728" s="19"/>
      <c r="J728" s="19"/>
      <c r="K728" s="19"/>
      <c r="L728" s="13"/>
      <c r="M728" s="13"/>
      <c r="N728" s="20">
        <f>IF($C728="","",IFERROR(INDEX(EtapaProb,MATCH($G728,Etapas,0)),0))</f>
        <v/>
      </c>
      <c r="O728" s="21">
        <f>IF($C728="","",IF($P728="Aberto",N($H728)*$N728,0))</f>
        <v/>
      </c>
      <c r="P728" s="18">
        <f>IF($C728="","",IF($G728="Ganho","Ganho",IF($G728="Perdido","Perdido","Aberto")))</f>
        <v/>
      </c>
      <c r="Q728" s="18">
        <f>IF(OR($C728="",$P728&lt;&gt;"Aberto"),"",IF($I728="",Hoje-$B728,Hoje-$I728))</f>
        <v/>
      </c>
      <c r="R728" s="22">
        <f>IF(OR($C728="",$P728&lt;&gt;"Aberto"),"",IF($J728="",IF($Q728&gt;DiasSC,"ATRASADO","Definir data"),IF($J728&lt;Hoje,"ATRASADO",IF($J728=Hoje,"HOJE","Em dia"))))</f>
        <v/>
      </c>
      <c r="S728" s="23">
        <f>IF($R728="","",IF(OR($R728="ATRASADO",$R728="HOJE",$R728="Definir data"),COUNTIF($R$5:$R728,"ATRASADO")+COUNTIF($R$5:$R728,"HOJE")+COUNTIF($R$5:$R728,"Definir data"),""))</f>
        <v/>
      </c>
      <c r="T728" s="18">
        <f>IF($C728="","",IF(OR($B728="",$E728="",$F728="",$G728=""),"Preencher entrada/origem/vendedor/etapa",IF(AND(OR($P728="Ganho",$P728="Perdido"),$K728=""),"Falta data de fechamento",IF(AND($P728="Perdido",$L728=""),"Informe o motivo da perda","OK"))))</f>
        <v/>
      </c>
    </row>
    <row r="729" spans="1:20">
      <c r="A729" s="18">
        <f>IF($C729="","",ROW()-4)</f>
        <v/>
      </c>
      <c r="B729" s="19"/>
      <c r="C729" s="13"/>
      <c r="D729" s="13"/>
      <c r="E729" s="13"/>
      <c r="F729" s="13"/>
      <c r="G729" s="13"/>
      <c r="H729" s="15"/>
      <c r="I729" s="19"/>
      <c r="J729" s="19"/>
      <c r="K729" s="19"/>
      <c r="L729" s="13"/>
      <c r="M729" s="13"/>
      <c r="N729" s="20">
        <f>IF($C729="","",IFERROR(INDEX(EtapaProb,MATCH($G729,Etapas,0)),0))</f>
        <v/>
      </c>
      <c r="O729" s="21">
        <f>IF($C729="","",IF($P729="Aberto",N($H729)*$N729,0))</f>
        <v/>
      </c>
      <c r="P729" s="18">
        <f>IF($C729="","",IF($G729="Ganho","Ganho",IF($G729="Perdido","Perdido","Aberto")))</f>
        <v/>
      </c>
      <c r="Q729" s="18">
        <f>IF(OR($C729="",$P729&lt;&gt;"Aberto"),"",IF($I729="",Hoje-$B729,Hoje-$I729))</f>
        <v/>
      </c>
      <c r="R729" s="22">
        <f>IF(OR($C729="",$P729&lt;&gt;"Aberto"),"",IF($J729="",IF($Q729&gt;DiasSC,"ATRASADO","Definir data"),IF($J729&lt;Hoje,"ATRASADO",IF($J729=Hoje,"HOJE","Em dia"))))</f>
        <v/>
      </c>
      <c r="S729" s="23">
        <f>IF($R729="","",IF(OR($R729="ATRASADO",$R729="HOJE",$R729="Definir data"),COUNTIF($R$5:$R729,"ATRASADO")+COUNTIF($R$5:$R729,"HOJE")+COUNTIF($R$5:$R729,"Definir data"),""))</f>
        <v/>
      </c>
      <c r="T729" s="18">
        <f>IF($C729="","",IF(OR($B729="",$E729="",$F729="",$G729=""),"Preencher entrada/origem/vendedor/etapa",IF(AND(OR($P729="Ganho",$P729="Perdido"),$K729=""),"Falta data de fechamento",IF(AND($P729="Perdido",$L729=""),"Informe o motivo da perda","OK"))))</f>
        <v/>
      </c>
    </row>
    <row r="730" spans="1:20">
      <c r="A730" s="18">
        <f>IF($C730="","",ROW()-4)</f>
        <v/>
      </c>
      <c r="B730" s="19"/>
      <c r="C730" s="13"/>
      <c r="D730" s="13"/>
      <c r="E730" s="13"/>
      <c r="F730" s="13"/>
      <c r="G730" s="13"/>
      <c r="H730" s="15"/>
      <c r="I730" s="19"/>
      <c r="J730" s="19"/>
      <c r="K730" s="19"/>
      <c r="L730" s="13"/>
      <c r="M730" s="13"/>
      <c r="N730" s="20">
        <f>IF($C730="","",IFERROR(INDEX(EtapaProb,MATCH($G730,Etapas,0)),0))</f>
        <v/>
      </c>
      <c r="O730" s="21">
        <f>IF($C730="","",IF($P730="Aberto",N($H730)*$N730,0))</f>
        <v/>
      </c>
      <c r="P730" s="18">
        <f>IF($C730="","",IF($G730="Ganho","Ganho",IF($G730="Perdido","Perdido","Aberto")))</f>
        <v/>
      </c>
      <c r="Q730" s="18">
        <f>IF(OR($C730="",$P730&lt;&gt;"Aberto"),"",IF($I730="",Hoje-$B730,Hoje-$I730))</f>
        <v/>
      </c>
      <c r="R730" s="22">
        <f>IF(OR($C730="",$P730&lt;&gt;"Aberto"),"",IF($J730="",IF($Q730&gt;DiasSC,"ATRASADO","Definir data"),IF($J730&lt;Hoje,"ATRASADO",IF($J730=Hoje,"HOJE","Em dia"))))</f>
        <v/>
      </c>
      <c r="S730" s="23">
        <f>IF($R730="","",IF(OR($R730="ATRASADO",$R730="HOJE",$R730="Definir data"),COUNTIF($R$5:$R730,"ATRASADO")+COUNTIF($R$5:$R730,"HOJE")+COUNTIF($R$5:$R730,"Definir data"),""))</f>
        <v/>
      </c>
      <c r="T730" s="18">
        <f>IF($C730="","",IF(OR($B730="",$E730="",$F730="",$G730=""),"Preencher entrada/origem/vendedor/etapa",IF(AND(OR($P730="Ganho",$P730="Perdido"),$K730=""),"Falta data de fechamento",IF(AND($P730="Perdido",$L730=""),"Informe o motivo da perda","OK"))))</f>
        <v/>
      </c>
    </row>
    <row r="731" spans="1:20">
      <c r="A731" s="18">
        <f>IF($C731="","",ROW()-4)</f>
        <v/>
      </c>
      <c r="B731" s="19"/>
      <c r="C731" s="13"/>
      <c r="D731" s="13"/>
      <c r="E731" s="13"/>
      <c r="F731" s="13"/>
      <c r="G731" s="13"/>
      <c r="H731" s="15"/>
      <c r="I731" s="19"/>
      <c r="J731" s="19"/>
      <c r="K731" s="19"/>
      <c r="L731" s="13"/>
      <c r="M731" s="13"/>
      <c r="N731" s="20">
        <f>IF($C731="","",IFERROR(INDEX(EtapaProb,MATCH($G731,Etapas,0)),0))</f>
        <v/>
      </c>
      <c r="O731" s="21">
        <f>IF($C731="","",IF($P731="Aberto",N($H731)*$N731,0))</f>
        <v/>
      </c>
      <c r="P731" s="18">
        <f>IF($C731="","",IF($G731="Ganho","Ganho",IF($G731="Perdido","Perdido","Aberto")))</f>
        <v/>
      </c>
      <c r="Q731" s="18">
        <f>IF(OR($C731="",$P731&lt;&gt;"Aberto"),"",IF($I731="",Hoje-$B731,Hoje-$I731))</f>
        <v/>
      </c>
      <c r="R731" s="22">
        <f>IF(OR($C731="",$P731&lt;&gt;"Aberto"),"",IF($J731="",IF($Q731&gt;DiasSC,"ATRASADO","Definir data"),IF($J731&lt;Hoje,"ATRASADO",IF($J731=Hoje,"HOJE","Em dia"))))</f>
        <v/>
      </c>
      <c r="S731" s="23">
        <f>IF($R731="","",IF(OR($R731="ATRASADO",$R731="HOJE",$R731="Definir data"),COUNTIF($R$5:$R731,"ATRASADO")+COUNTIF($R$5:$R731,"HOJE")+COUNTIF($R$5:$R731,"Definir data"),""))</f>
        <v/>
      </c>
      <c r="T731" s="18">
        <f>IF($C731="","",IF(OR($B731="",$E731="",$F731="",$G731=""),"Preencher entrada/origem/vendedor/etapa",IF(AND(OR($P731="Ganho",$P731="Perdido"),$K731=""),"Falta data de fechamento",IF(AND($P731="Perdido",$L731=""),"Informe o motivo da perda","OK"))))</f>
        <v/>
      </c>
    </row>
    <row r="732" spans="1:20">
      <c r="A732" s="18">
        <f>IF($C732="","",ROW()-4)</f>
        <v/>
      </c>
      <c r="B732" s="19"/>
      <c r="C732" s="13"/>
      <c r="D732" s="13"/>
      <c r="E732" s="13"/>
      <c r="F732" s="13"/>
      <c r="G732" s="13"/>
      <c r="H732" s="15"/>
      <c r="I732" s="19"/>
      <c r="J732" s="19"/>
      <c r="K732" s="19"/>
      <c r="L732" s="13"/>
      <c r="M732" s="13"/>
      <c r="N732" s="20">
        <f>IF($C732="","",IFERROR(INDEX(EtapaProb,MATCH($G732,Etapas,0)),0))</f>
        <v/>
      </c>
      <c r="O732" s="21">
        <f>IF($C732="","",IF($P732="Aberto",N($H732)*$N732,0))</f>
        <v/>
      </c>
      <c r="P732" s="18">
        <f>IF($C732="","",IF($G732="Ganho","Ganho",IF($G732="Perdido","Perdido","Aberto")))</f>
        <v/>
      </c>
      <c r="Q732" s="18">
        <f>IF(OR($C732="",$P732&lt;&gt;"Aberto"),"",IF($I732="",Hoje-$B732,Hoje-$I732))</f>
        <v/>
      </c>
      <c r="R732" s="22">
        <f>IF(OR($C732="",$P732&lt;&gt;"Aberto"),"",IF($J732="",IF($Q732&gt;DiasSC,"ATRASADO","Definir data"),IF($J732&lt;Hoje,"ATRASADO",IF($J732=Hoje,"HOJE","Em dia"))))</f>
        <v/>
      </c>
      <c r="S732" s="23">
        <f>IF($R732="","",IF(OR($R732="ATRASADO",$R732="HOJE",$R732="Definir data"),COUNTIF($R$5:$R732,"ATRASADO")+COUNTIF($R$5:$R732,"HOJE")+COUNTIF($R$5:$R732,"Definir data"),""))</f>
        <v/>
      </c>
      <c r="T732" s="18">
        <f>IF($C732="","",IF(OR($B732="",$E732="",$F732="",$G732=""),"Preencher entrada/origem/vendedor/etapa",IF(AND(OR($P732="Ganho",$P732="Perdido"),$K732=""),"Falta data de fechamento",IF(AND($P732="Perdido",$L732=""),"Informe o motivo da perda","OK"))))</f>
        <v/>
      </c>
    </row>
    <row r="733" spans="1:20">
      <c r="A733" s="18">
        <f>IF($C733="","",ROW()-4)</f>
        <v/>
      </c>
      <c r="B733" s="19"/>
      <c r="C733" s="13"/>
      <c r="D733" s="13"/>
      <c r="E733" s="13"/>
      <c r="F733" s="13"/>
      <c r="G733" s="13"/>
      <c r="H733" s="15"/>
      <c r="I733" s="19"/>
      <c r="J733" s="19"/>
      <c r="K733" s="19"/>
      <c r="L733" s="13"/>
      <c r="M733" s="13"/>
      <c r="N733" s="20">
        <f>IF($C733="","",IFERROR(INDEX(EtapaProb,MATCH($G733,Etapas,0)),0))</f>
        <v/>
      </c>
      <c r="O733" s="21">
        <f>IF($C733="","",IF($P733="Aberto",N($H733)*$N733,0))</f>
        <v/>
      </c>
      <c r="P733" s="18">
        <f>IF($C733="","",IF($G733="Ganho","Ganho",IF($G733="Perdido","Perdido","Aberto")))</f>
        <v/>
      </c>
      <c r="Q733" s="18">
        <f>IF(OR($C733="",$P733&lt;&gt;"Aberto"),"",IF($I733="",Hoje-$B733,Hoje-$I733))</f>
        <v/>
      </c>
      <c r="R733" s="22">
        <f>IF(OR($C733="",$P733&lt;&gt;"Aberto"),"",IF($J733="",IF($Q733&gt;DiasSC,"ATRASADO","Definir data"),IF($J733&lt;Hoje,"ATRASADO",IF($J733=Hoje,"HOJE","Em dia"))))</f>
        <v/>
      </c>
      <c r="S733" s="23">
        <f>IF($R733="","",IF(OR($R733="ATRASADO",$R733="HOJE",$R733="Definir data"),COUNTIF($R$5:$R733,"ATRASADO")+COUNTIF($R$5:$R733,"HOJE")+COUNTIF($R$5:$R733,"Definir data"),""))</f>
        <v/>
      </c>
      <c r="T733" s="18">
        <f>IF($C733="","",IF(OR($B733="",$E733="",$F733="",$G733=""),"Preencher entrada/origem/vendedor/etapa",IF(AND(OR($P733="Ganho",$P733="Perdido"),$K733=""),"Falta data de fechamento",IF(AND($P733="Perdido",$L733=""),"Informe o motivo da perda","OK"))))</f>
        <v/>
      </c>
    </row>
    <row r="734" spans="1:20">
      <c r="A734" s="18">
        <f>IF($C734="","",ROW()-4)</f>
        <v/>
      </c>
      <c r="B734" s="19"/>
      <c r="C734" s="13"/>
      <c r="D734" s="13"/>
      <c r="E734" s="13"/>
      <c r="F734" s="13"/>
      <c r="G734" s="13"/>
      <c r="H734" s="15"/>
      <c r="I734" s="19"/>
      <c r="J734" s="19"/>
      <c r="K734" s="19"/>
      <c r="L734" s="13"/>
      <c r="M734" s="13"/>
      <c r="N734" s="20">
        <f>IF($C734="","",IFERROR(INDEX(EtapaProb,MATCH($G734,Etapas,0)),0))</f>
        <v/>
      </c>
      <c r="O734" s="21">
        <f>IF($C734="","",IF($P734="Aberto",N($H734)*$N734,0))</f>
        <v/>
      </c>
      <c r="P734" s="18">
        <f>IF($C734="","",IF($G734="Ganho","Ganho",IF($G734="Perdido","Perdido","Aberto")))</f>
        <v/>
      </c>
      <c r="Q734" s="18">
        <f>IF(OR($C734="",$P734&lt;&gt;"Aberto"),"",IF($I734="",Hoje-$B734,Hoje-$I734))</f>
        <v/>
      </c>
      <c r="R734" s="22">
        <f>IF(OR($C734="",$P734&lt;&gt;"Aberto"),"",IF($J734="",IF($Q734&gt;DiasSC,"ATRASADO","Definir data"),IF($J734&lt;Hoje,"ATRASADO",IF($J734=Hoje,"HOJE","Em dia"))))</f>
        <v/>
      </c>
      <c r="S734" s="23">
        <f>IF($R734="","",IF(OR($R734="ATRASADO",$R734="HOJE",$R734="Definir data"),COUNTIF($R$5:$R734,"ATRASADO")+COUNTIF($R$5:$R734,"HOJE")+COUNTIF($R$5:$R734,"Definir data"),""))</f>
        <v/>
      </c>
      <c r="T734" s="18">
        <f>IF($C734="","",IF(OR($B734="",$E734="",$F734="",$G734=""),"Preencher entrada/origem/vendedor/etapa",IF(AND(OR($P734="Ganho",$P734="Perdido"),$K734=""),"Falta data de fechamento",IF(AND($P734="Perdido",$L734=""),"Informe o motivo da perda","OK"))))</f>
        <v/>
      </c>
    </row>
    <row r="735" spans="1:20">
      <c r="A735" s="18">
        <f>IF($C735="","",ROW()-4)</f>
        <v/>
      </c>
      <c r="B735" s="19"/>
      <c r="C735" s="13"/>
      <c r="D735" s="13"/>
      <c r="E735" s="13"/>
      <c r="F735" s="13"/>
      <c r="G735" s="13"/>
      <c r="H735" s="15"/>
      <c r="I735" s="19"/>
      <c r="J735" s="19"/>
      <c r="K735" s="19"/>
      <c r="L735" s="13"/>
      <c r="M735" s="13"/>
      <c r="N735" s="20">
        <f>IF($C735="","",IFERROR(INDEX(EtapaProb,MATCH($G735,Etapas,0)),0))</f>
        <v/>
      </c>
      <c r="O735" s="21">
        <f>IF($C735="","",IF($P735="Aberto",N($H735)*$N735,0))</f>
        <v/>
      </c>
      <c r="P735" s="18">
        <f>IF($C735="","",IF($G735="Ganho","Ganho",IF($G735="Perdido","Perdido","Aberto")))</f>
        <v/>
      </c>
      <c r="Q735" s="18">
        <f>IF(OR($C735="",$P735&lt;&gt;"Aberto"),"",IF($I735="",Hoje-$B735,Hoje-$I735))</f>
        <v/>
      </c>
      <c r="R735" s="22">
        <f>IF(OR($C735="",$P735&lt;&gt;"Aberto"),"",IF($J735="",IF($Q735&gt;DiasSC,"ATRASADO","Definir data"),IF($J735&lt;Hoje,"ATRASADO",IF($J735=Hoje,"HOJE","Em dia"))))</f>
        <v/>
      </c>
      <c r="S735" s="23">
        <f>IF($R735="","",IF(OR($R735="ATRASADO",$R735="HOJE",$R735="Definir data"),COUNTIF($R$5:$R735,"ATRASADO")+COUNTIF($R$5:$R735,"HOJE")+COUNTIF($R$5:$R735,"Definir data"),""))</f>
        <v/>
      </c>
      <c r="T735" s="18">
        <f>IF($C735="","",IF(OR($B735="",$E735="",$F735="",$G735=""),"Preencher entrada/origem/vendedor/etapa",IF(AND(OR($P735="Ganho",$P735="Perdido"),$K735=""),"Falta data de fechamento",IF(AND($P735="Perdido",$L735=""),"Informe o motivo da perda","OK"))))</f>
        <v/>
      </c>
    </row>
    <row r="736" spans="1:20">
      <c r="A736" s="18">
        <f>IF($C736="","",ROW()-4)</f>
        <v/>
      </c>
      <c r="B736" s="19"/>
      <c r="C736" s="13"/>
      <c r="D736" s="13"/>
      <c r="E736" s="13"/>
      <c r="F736" s="13"/>
      <c r="G736" s="13"/>
      <c r="H736" s="15"/>
      <c r="I736" s="19"/>
      <c r="J736" s="19"/>
      <c r="K736" s="19"/>
      <c r="L736" s="13"/>
      <c r="M736" s="13"/>
      <c r="N736" s="20">
        <f>IF($C736="","",IFERROR(INDEX(EtapaProb,MATCH($G736,Etapas,0)),0))</f>
        <v/>
      </c>
      <c r="O736" s="21">
        <f>IF($C736="","",IF($P736="Aberto",N($H736)*$N736,0))</f>
        <v/>
      </c>
      <c r="P736" s="18">
        <f>IF($C736="","",IF($G736="Ganho","Ganho",IF($G736="Perdido","Perdido","Aberto")))</f>
        <v/>
      </c>
      <c r="Q736" s="18">
        <f>IF(OR($C736="",$P736&lt;&gt;"Aberto"),"",IF($I736="",Hoje-$B736,Hoje-$I736))</f>
        <v/>
      </c>
      <c r="R736" s="22">
        <f>IF(OR($C736="",$P736&lt;&gt;"Aberto"),"",IF($J736="",IF($Q736&gt;DiasSC,"ATRASADO","Definir data"),IF($J736&lt;Hoje,"ATRASADO",IF($J736=Hoje,"HOJE","Em dia"))))</f>
        <v/>
      </c>
      <c r="S736" s="23">
        <f>IF($R736="","",IF(OR($R736="ATRASADO",$R736="HOJE",$R736="Definir data"),COUNTIF($R$5:$R736,"ATRASADO")+COUNTIF($R$5:$R736,"HOJE")+COUNTIF($R$5:$R736,"Definir data"),""))</f>
        <v/>
      </c>
      <c r="T736" s="18">
        <f>IF($C736="","",IF(OR($B736="",$E736="",$F736="",$G736=""),"Preencher entrada/origem/vendedor/etapa",IF(AND(OR($P736="Ganho",$P736="Perdido"),$K736=""),"Falta data de fechamento",IF(AND($P736="Perdido",$L736=""),"Informe o motivo da perda","OK"))))</f>
        <v/>
      </c>
    </row>
    <row r="737" spans="1:20">
      <c r="A737" s="18">
        <f>IF($C737="","",ROW()-4)</f>
        <v/>
      </c>
      <c r="B737" s="19"/>
      <c r="C737" s="13"/>
      <c r="D737" s="13"/>
      <c r="E737" s="13"/>
      <c r="F737" s="13"/>
      <c r="G737" s="13"/>
      <c r="H737" s="15"/>
      <c r="I737" s="19"/>
      <c r="J737" s="19"/>
      <c r="K737" s="19"/>
      <c r="L737" s="13"/>
      <c r="M737" s="13"/>
      <c r="N737" s="20">
        <f>IF($C737="","",IFERROR(INDEX(EtapaProb,MATCH($G737,Etapas,0)),0))</f>
        <v/>
      </c>
      <c r="O737" s="21">
        <f>IF($C737="","",IF($P737="Aberto",N($H737)*$N737,0))</f>
        <v/>
      </c>
      <c r="P737" s="18">
        <f>IF($C737="","",IF($G737="Ganho","Ganho",IF($G737="Perdido","Perdido","Aberto")))</f>
        <v/>
      </c>
      <c r="Q737" s="18">
        <f>IF(OR($C737="",$P737&lt;&gt;"Aberto"),"",IF($I737="",Hoje-$B737,Hoje-$I737))</f>
        <v/>
      </c>
      <c r="R737" s="22">
        <f>IF(OR($C737="",$P737&lt;&gt;"Aberto"),"",IF($J737="",IF($Q737&gt;DiasSC,"ATRASADO","Definir data"),IF($J737&lt;Hoje,"ATRASADO",IF($J737=Hoje,"HOJE","Em dia"))))</f>
        <v/>
      </c>
      <c r="S737" s="23">
        <f>IF($R737="","",IF(OR($R737="ATRASADO",$R737="HOJE",$R737="Definir data"),COUNTIF($R$5:$R737,"ATRASADO")+COUNTIF($R$5:$R737,"HOJE")+COUNTIF($R$5:$R737,"Definir data"),""))</f>
        <v/>
      </c>
      <c r="T737" s="18">
        <f>IF($C737="","",IF(OR($B737="",$E737="",$F737="",$G737=""),"Preencher entrada/origem/vendedor/etapa",IF(AND(OR($P737="Ganho",$P737="Perdido"),$K737=""),"Falta data de fechamento",IF(AND($P737="Perdido",$L737=""),"Informe o motivo da perda","OK"))))</f>
        <v/>
      </c>
    </row>
    <row r="738" spans="1:20">
      <c r="A738" s="18">
        <f>IF($C738="","",ROW()-4)</f>
        <v/>
      </c>
      <c r="B738" s="19"/>
      <c r="C738" s="13"/>
      <c r="D738" s="13"/>
      <c r="E738" s="13"/>
      <c r="F738" s="13"/>
      <c r="G738" s="13"/>
      <c r="H738" s="15"/>
      <c r="I738" s="19"/>
      <c r="J738" s="19"/>
      <c r="K738" s="19"/>
      <c r="L738" s="13"/>
      <c r="M738" s="13"/>
      <c r="N738" s="20">
        <f>IF($C738="","",IFERROR(INDEX(EtapaProb,MATCH($G738,Etapas,0)),0))</f>
        <v/>
      </c>
      <c r="O738" s="21">
        <f>IF($C738="","",IF($P738="Aberto",N($H738)*$N738,0))</f>
        <v/>
      </c>
      <c r="P738" s="18">
        <f>IF($C738="","",IF($G738="Ganho","Ganho",IF($G738="Perdido","Perdido","Aberto")))</f>
        <v/>
      </c>
      <c r="Q738" s="18">
        <f>IF(OR($C738="",$P738&lt;&gt;"Aberto"),"",IF($I738="",Hoje-$B738,Hoje-$I738))</f>
        <v/>
      </c>
      <c r="R738" s="22">
        <f>IF(OR($C738="",$P738&lt;&gt;"Aberto"),"",IF($J738="",IF($Q738&gt;DiasSC,"ATRASADO","Definir data"),IF($J738&lt;Hoje,"ATRASADO",IF($J738=Hoje,"HOJE","Em dia"))))</f>
        <v/>
      </c>
      <c r="S738" s="23">
        <f>IF($R738="","",IF(OR($R738="ATRASADO",$R738="HOJE",$R738="Definir data"),COUNTIF($R$5:$R738,"ATRASADO")+COUNTIF($R$5:$R738,"HOJE")+COUNTIF($R$5:$R738,"Definir data"),""))</f>
        <v/>
      </c>
      <c r="T738" s="18">
        <f>IF($C738="","",IF(OR($B738="",$E738="",$F738="",$G738=""),"Preencher entrada/origem/vendedor/etapa",IF(AND(OR($P738="Ganho",$P738="Perdido"),$K738=""),"Falta data de fechamento",IF(AND($P738="Perdido",$L738=""),"Informe o motivo da perda","OK"))))</f>
        <v/>
      </c>
    </row>
    <row r="739" spans="1:20">
      <c r="A739" s="18">
        <f>IF($C739="","",ROW()-4)</f>
        <v/>
      </c>
      <c r="B739" s="19"/>
      <c r="C739" s="13"/>
      <c r="D739" s="13"/>
      <c r="E739" s="13"/>
      <c r="F739" s="13"/>
      <c r="G739" s="13"/>
      <c r="H739" s="15"/>
      <c r="I739" s="19"/>
      <c r="J739" s="19"/>
      <c r="K739" s="19"/>
      <c r="L739" s="13"/>
      <c r="M739" s="13"/>
      <c r="N739" s="20">
        <f>IF($C739="","",IFERROR(INDEX(EtapaProb,MATCH($G739,Etapas,0)),0))</f>
        <v/>
      </c>
      <c r="O739" s="21">
        <f>IF($C739="","",IF($P739="Aberto",N($H739)*$N739,0))</f>
        <v/>
      </c>
      <c r="P739" s="18">
        <f>IF($C739="","",IF($G739="Ganho","Ganho",IF($G739="Perdido","Perdido","Aberto")))</f>
        <v/>
      </c>
      <c r="Q739" s="18">
        <f>IF(OR($C739="",$P739&lt;&gt;"Aberto"),"",IF($I739="",Hoje-$B739,Hoje-$I739))</f>
        <v/>
      </c>
      <c r="R739" s="22">
        <f>IF(OR($C739="",$P739&lt;&gt;"Aberto"),"",IF($J739="",IF($Q739&gt;DiasSC,"ATRASADO","Definir data"),IF($J739&lt;Hoje,"ATRASADO",IF($J739=Hoje,"HOJE","Em dia"))))</f>
        <v/>
      </c>
      <c r="S739" s="23">
        <f>IF($R739="","",IF(OR($R739="ATRASADO",$R739="HOJE",$R739="Definir data"),COUNTIF($R$5:$R739,"ATRASADO")+COUNTIF($R$5:$R739,"HOJE")+COUNTIF($R$5:$R739,"Definir data"),""))</f>
        <v/>
      </c>
      <c r="T739" s="18">
        <f>IF($C739="","",IF(OR($B739="",$E739="",$F739="",$G739=""),"Preencher entrada/origem/vendedor/etapa",IF(AND(OR($P739="Ganho",$P739="Perdido"),$K739=""),"Falta data de fechamento",IF(AND($P739="Perdido",$L739=""),"Informe o motivo da perda","OK"))))</f>
        <v/>
      </c>
    </row>
    <row r="740" spans="1:20">
      <c r="A740" s="18">
        <f>IF($C740="","",ROW()-4)</f>
        <v/>
      </c>
      <c r="B740" s="19"/>
      <c r="C740" s="13"/>
      <c r="D740" s="13"/>
      <c r="E740" s="13"/>
      <c r="F740" s="13"/>
      <c r="G740" s="13"/>
      <c r="H740" s="15"/>
      <c r="I740" s="19"/>
      <c r="J740" s="19"/>
      <c r="K740" s="19"/>
      <c r="L740" s="13"/>
      <c r="M740" s="13"/>
      <c r="N740" s="20">
        <f>IF($C740="","",IFERROR(INDEX(EtapaProb,MATCH($G740,Etapas,0)),0))</f>
        <v/>
      </c>
      <c r="O740" s="21">
        <f>IF($C740="","",IF($P740="Aberto",N($H740)*$N740,0))</f>
        <v/>
      </c>
      <c r="P740" s="18">
        <f>IF($C740="","",IF($G740="Ganho","Ganho",IF($G740="Perdido","Perdido","Aberto")))</f>
        <v/>
      </c>
      <c r="Q740" s="18">
        <f>IF(OR($C740="",$P740&lt;&gt;"Aberto"),"",IF($I740="",Hoje-$B740,Hoje-$I740))</f>
        <v/>
      </c>
      <c r="R740" s="22">
        <f>IF(OR($C740="",$P740&lt;&gt;"Aberto"),"",IF($J740="",IF($Q740&gt;DiasSC,"ATRASADO","Definir data"),IF($J740&lt;Hoje,"ATRASADO",IF($J740=Hoje,"HOJE","Em dia"))))</f>
        <v/>
      </c>
      <c r="S740" s="23">
        <f>IF($R740="","",IF(OR($R740="ATRASADO",$R740="HOJE",$R740="Definir data"),COUNTIF($R$5:$R740,"ATRASADO")+COUNTIF($R$5:$R740,"HOJE")+COUNTIF($R$5:$R740,"Definir data"),""))</f>
        <v/>
      </c>
      <c r="T740" s="18">
        <f>IF($C740="","",IF(OR($B740="",$E740="",$F740="",$G740=""),"Preencher entrada/origem/vendedor/etapa",IF(AND(OR($P740="Ganho",$P740="Perdido"),$K740=""),"Falta data de fechamento",IF(AND($P740="Perdido",$L740=""),"Informe o motivo da perda","OK"))))</f>
        <v/>
      </c>
    </row>
    <row r="741" spans="1:20">
      <c r="A741" s="18">
        <f>IF($C741="","",ROW()-4)</f>
        <v/>
      </c>
      <c r="B741" s="19"/>
      <c r="C741" s="13"/>
      <c r="D741" s="13"/>
      <c r="E741" s="13"/>
      <c r="F741" s="13"/>
      <c r="G741" s="13"/>
      <c r="H741" s="15"/>
      <c r="I741" s="19"/>
      <c r="J741" s="19"/>
      <c r="K741" s="19"/>
      <c r="L741" s="13"/>
      <c r="M741" s="13"/>
      <c r="N741" s="20">
        <f>IF($C741="","",IFERROR(INDEX(EtapaProb,MATCH($G741,Etapas,0)),0))</f>
        <v/>
      </c>
      <c r="O741" s="21">
        <f>IF($C741="","",IF($P741="Aberto",N($H741)*$N741,0))</f>
        <v/>
      </c>
      <c r="P741" s="18">
        <f>IF($C741="","",IF($G741="Ganho","Ganho",IF($G741="Perdido","Perdido","Aberto")))</f>
        <v/>
      </c>
      <c r="Q741" s="18">
        <f>IF(OR($C741="",$P741&lt;&gt;"Aberto"),"",IF($I741="",Hoje-$B741,Hoje-$I741))</f>
        <v/>
      </c>
      <c r="R741" s="22">
        <f>IF(OR($C741="",$P741&lt;&gt;"Aberto"),"",IF($J741="",IF($Q741&gt;DiasSC,"ATRASADO","Definir data"),IF($J741&lt;Hoje,"ATRASADO",IF($J741=Hoje,"HOJE","Em dia"))))</f>
        <v/>
      </c>
      <c r="S741" s="23">
        <f>IF($R741="","",IF(OR($R741="ATRASADO",$R741="HOJE",$R741="Definir data"),COUNTIF($R$5:$R741,"ATRASADO")+COUNTIF($R$5:$R741,"HOJE")+COUNTIF($R$5:$R741,"Definir data"),""))</f>
        <v/>
      </c>
      <c r="T741" s="18">
        <f>IF($C741="","",IF(OR($B741="",$E741="",$F741="",$G741=""),"Preencher entrada/origem/vendedor/etapa",IF(AND(OR($P741="Ganho",$P741="Perdido"),$K741=""),"Falta data de fechamento",IF(AND($P741="Perdido",$L741=""),"Informe o motivo da perda","OK"))))</f>
        <v/>
      </c>
    </row>
    <row r="742" spans="1:20">
      <c r="A742" s="18">
        <f>IF($C742="","",ROW()-4)</f>
        <v/>
      </c>
      <c r="B742" s="19"/>
      <c r="C742" s="13"/>
      <c r="D742" s="13"/>
      <c r="E742" s="13"/>
      <c r="F742" s="13"/>
      <c r="G742" s="13"/>
      <c r="H742" s="15"/>
      <c r="I742" s="19"/>
      <c r="J742" s="19"/>
      <c r="K742" s="19"/>
      <c r="L742" s="13"/>
      <c r="M742" s="13"/>
      <c r="N742" s="20">
        <f>IF($C742="","",IFERROR(INDEX(EtapaProb,MATCH($G742,Etapas,0)),0))</f>
        <v/>
      </c>
      <c r="O742" s="21">
        <f>IF($C742="","",IF($P742="Aberto",N($H742)*$N742,0))</f>
        <v/>
      </c>
      <c r="P742" s="18">
        <f>IF($C742="","",IF($G742="Ganho","Ganho",IF($G742="Perdido","Perdido","Aberto")))</f>
        <v/>
      </c>
      <c r="Q742" s="18">
        <f>IF(OR($C742="",$P742&lt;&gt;"Aberto"),"",IF($I742="",Hoje-$B742,Hoje-$I742))</f>
        <v/>
      </c>
      <c r="R742" s="22">
        <f>IF(OR($C742="",$P742&lt;&gt;"Aberto"),"",IF($J742="",IF($Q742&gt;DiasSC,"ATRASADO","Definir data"),IF($J742&lt;Hoje,"ATRASADO",IF($J742=Hoje,"HOJE","Em dia"))))</f>
        <v/>
      </c>
      <c r="S742" s="23">
        <f>IF($R742="","",IF(OR($R742="ATRASADO",$R742="HOJE",$R742="Definir data"),COUNTIF($R$5:$R742,"ATRASADO")+COUNTIF($R$5:$R742,"HOJE")+COUNTIF($R$5:$R742,"Definir data"),""))</f>
        <v/>
      </c>
      <c r="T742" s="18">
        <f>IF($C742="","",IF(OR($B742="",$E742="",$F742="",$G742=""),"Preencher entrada/origem/vendedor/etapa",IF(AND(OR($P742="Ganho",$P742="Perdido"),$K742=""),"Falta data de fechamento",IF(AND($P742="Perdido",$L742=""),"Informe o motivo da perda","OK"))))</f>
        <v/>
      </c>
    </row>
    <row r="743" spans="1:20">
      <c r="A743" s="18">
        <f>IF($C743="","",ROW()-4)</f>
        <v/>
      </c>
      <c r="B743" s="19"/>
      <c r="C743" s="13"/>
      <c r="D743" s="13"/>
      <c r="E743" s="13"/>
      <c r="F743" s="13"/>
      <c r="G743" s="13"/>
      <c r="H743" s="15"/>
      <c r="I743" s="19"/>
      <c r="J743" s="19"/>
      <c r="K743" s="19"/>
      <c r="L743" s="13"/>
      <c r="M743" s="13"/>
      <c r="N743" s="20">
        <f>IF($C743="","",IFERROR(INDEX(EtapaProb,MATCH($G743,Etapas,0)),0))</f>
        <v/>
      </c>
      <c r="O743" s="21">
        <f>IF($C743="","",IF($P743="Aberto",N($H743)*$N743,0))</f>
        <v/>
      </c>
      <c r="P743" s="18">
        <f>IF($C743="","",IF($G743="Ganho","Ganho",IF($G743="Perdido","Perdido","Aberto")))</f>
        <v/>
      </c>
      <c r="Q743" s="18">
        <f>IF(OR($C743="",$P743&lt;&gt;"Aberto"),"",IF($I743="",Hoje-$B743,Hoje-$I743))</f>
        <v/>
      </c>
      <c r="R743" s="22">
        <f>IF(OR($C743="",$P743&lt;&gt;"Aberto"),"",IF($J743="",IF($Q743&gt;DiasSC,"ATRASADO","Definir data"),IF($J743&lt;Hoje,"ATRASADO",IF($J743=Hoje,"HOJE","Em dia"))))</f>
        <v/>
      </c>
      <c r="S743" s="23">
        <f>IF($R743="","",IF(OR($R743="ATRASADO",$R743="HOJE",$R743="Definir data"),COUNTIF($R$5:$R743,"ATRASADO")+COUNTIF($R$5:$R743,"HOJE")+COUNTIF($R$5:$R743,"Definir data"),""))</f>
        <v/>
      </c>
      <c r="T743" s="18">
        <f>IF($C743="","",IF(OR($B743="",$E743="",$F743="",$G743=""),"Preencher entrada/origem/vendedor/etapa",IF(AND(OR($P743="Ganho",$P743="Perdido"),$K743=""),"Falta data de fechamento",IF(AND($P743="Perdido",$L743=""),"Informe o motivo da perda","OK"))))</f>
        <v/>
      </c>
    </row>
    <row r="744" spans="1:20">
      <c r="A744" s="18">
        <f>IF($C744="","",ROW()-4)</f>
        <v/>
      </c>
      <c r="B744" s="19"/>
      <c r="C744" s="13"/>
      <c r="D744" s="13"/>
      <c r="E744" s="13"/>
      <c r="F744" s="13"/>
      <c r="G744" s="13"/>
      <c r="H744" s="15"/>
      <c r="I744" s="19"/>
      <c r="J744" s="19"/>
      <c r="K744" s="19"/>
      <c r="L744" s="13"/>
      <c r="M744" s="13"/>
      <c r="N744" s="20">
        <f>IF($C744="","",IFERROR(INDEX(EtapaProb,MATCH($G744,Etapas,0)),0))</f>
        <v/>
      </c>
      <c r="O744" s="21">
        <f>IF($C744="","",IF($P744="Aberto",N($H744)*$N744,0))</f>
        <v/>
      </c>
      <c r="P744" s="18">
        <f>IF($C744="","",IF($G744="Ganho","Ganho",IF($G744="Perdido","Perdido","Aberto")))</f>
        <v/>
      </c>
      <c r="Q744" s="18">
        <f>IF(OR($C744="",$P744&lt;&gt;"Aberto"),"",IF($I744="",Hoje-$B744,Hoje-$I744))</f>
        <v/>
      </c>
      <c r="R744" s="22">
        <f>IF(OR($C744="",$P744&lt;&gt;"Aberto"),"",IF($J744="",IF($Q744&gt;DiasSC,"ATRASADO","Definir data"),IF($J744&lt;Hoje,"ATRASADO",IF($J744=Hoje,"HOJE","Em dia"))))</f>
        <v/>
      </c>
      <c r="S744" s="23">
        <f>IF($R744="","",IF(OR($R744="ATRASADO",$R744="HOJE",$R744="Definir data"),COUNTIF($R$5:$R744,"ATRASADO")+COUNTIF($R$5:$R744,"HOJE")+COUNTIF($R$5:$R744,"Definir data"),""))</f>
        <v/>
      </c>
      <c r="T744" s="18">
        <f>IF($C744="","",IF(OR($B744="",$E744="",$F744="",$G744=""),"Preencher entrada/origem/vendedor/etapa",IF(AND(OR($P744="Ganho",$P744="Perdido"),$K744=""),"Falta data de fechamento",IF(AND($P744="Perdido",$L744=""),"Informe o motivo da perda","OK"))))</f>
        <v/>
      </c>
    </row>
    <row r="745" spans="1:20">
      <c r="A745" s="18">
        <f>IF($C745="","",ROW()-4)</f>
        <v/>
      </c>
      <c r="B745" s="19"/>
      <c r="C745" s="13"/>
      <c r="D745" s="13"/>
      <c r="E745" s="13"/>
      <c r="F745" s="13"/>
      <c r="G745" s="13"/>
      <c r="H745" s="15"/>
      <c r="I745" s="19"/>
      <c r="J745" s="19"/>
      <c r="K745" s="19"/>
      <c r="L745" s="13"/>
      <c r="M745" s="13"/>
      <c r="N745" s="20">
        <f>IF($C745="","",IFERROR(INDEX(EtapaProb,MATCH($G745,Etapas,0)),0))</f>
        <v/>
      </c>
      <c r="O745" s="21">
        <f>IF($C745="","",IF($P745="Aberto",N($H745)*$N745,0))</f>
        <v/>
      </c>
      <c r="P745" s="18">
        <f>IF($C745="","",IF($G745="Ganho","Ganho",IF($G745="Perdido","Perdido","Aberto")))</f>
        <v/>
      </c>
      <c r="Q745" s="18">
        <f>IF(OR($C745="",$P745&lt;&gt;"Aberto"),"",IF($I745="",Hoje-$B745,Hoje-$I745))</f>
        <v/>
      </c>
      <c r="R745" s="22">
        <f>IF(OR($C745="",$P745&lt;&gt;"Aberto"),"",IF($J745="",IF($Q745&gt;DiasSC,"ATRASADO","Definir data"),IF($J745&lt;Hoje,"ATRASADO",IF($J745=Hoje,"HOJE","Em dia"))))</f>
        <v/>
      </c>
      <c r="S745" s="23">
        <f>IF($R745="","",IF(OR($R745="ATRASADO",$R745="HOJE",$R745="Definir data"),COUNTIF($R$5:$R745,"ATRASADO")+COUNTIF($R$5:$R745,"HOJE")+COUNTIF($R$5:$R745,"Definir data"),""))</f>
        <v/>
      </c>
      <c r="T745" s="18">
        <f>IF($C745="","",IF(OR($B745="",$E745="",$F745="",$G745=""),"Preencher entrada/origem/vendedor/etapa",IF(AND(OR($P745="Ganho",$P745="Perdido"),$K745=""),"Falta data de fechamento",IF(AND($P745="Perdido",$L745=""),"Informe o motivo da perda","OK"))))</f>
        <v/>
      </c>
    </row>
    <row r="746" spans="1:20">
      <c r="A746" s="18">
        <f>IF($C746="","",ROW()-4)</f>
        <v/>
      </c>
      <c r="B746" s="19"/>
      <c r="C746" s="13"/>
      <c r="D746" s="13"/>
      <c r="E746" s="13"/>
      <c r="F746" s="13"/>
      <c r="G746" s="13"/>
      <c r="H746" s="15"/>
      <c r="I746" s="19"/>
      <c r="J746" s="19"/>
      <c r="K746" s="19"/>
      <c r="L746" s="13"/>
      <c r="M746" s="13"/>
      <c r="N746" s="20">
        <f>IF($C746="","",IFERROR(INDEX(EtapaProb,MATCH($G746,Etapas,0)),0))</f>
        <v/>
      </c>
      <c r="O746" s="21">
        <f>IF($C746="","",IF($P746="Aberto",N($H746)*$N746,0))</f>
        <v/>
      </c>
      <c r="P746" s="18">
        <f>IF($C746="","",IF($G746="Ganho","Ganho",IF($G746="Perdido","Perdido","Aberto")))</f>
        <v/>
      </c>
      <c r="Q746" s="18">
        <f>IF(OR($C746="",$P746&lt;&gt;"Aberto"),"",IF($I746="",Hoje-$B746,Hoje-$I746))</f>
        <v/>
      </c>
      <c r="R746" s="22">
        <f>IF(OR($C746="",$P746&lt;&gt;"Aberto"),"",IF($J746="",IF($Q746&gt;DiasSC,"ATRASADO","Definir data"),IF($J746&lt;Hoje,"ATRASADO",IF($J746=Hoje,"HOJE","Em dia"))))</f>
        <v/>
      </c>
      <c r="S746" s="23">
        <f>IF($R746="","",IF(OR($R746="ATRASADO",$R746="HOJE",$R746="Definir data"),COUNTIF($R$5:$R746,"ATRASADO")+COUNTIF($R$5:$R746,"HOJE")+COUNTIF($R$5:$R746,"Definir data"),""))</f>
        <v/>
      </c>
      <c r="T746" s="18">
        <f>IF($C746="","",IF(OR($B746="",$E746="",$F746="",$G746=""),"Preencher entrada/origem/vendedor/etapa",IF(AND(OR($P746="Ganho",$P746="Perdido"),$K746=""),"Falta data de fechamento",IF(AND($P746="Perdido",$L746=""),"Informe o motivo da perda","OK"))))</f>
        <v/>
      </c>
    </row>
    <row r="747" spans="1:20">
      <c r="A747" s="18">
        <f>IF($C747="","",ROW()-4)</f>
        <v/>
      </c>
      <c r="B747" s="19"/>
      <c r="C747" s="13"/>
      <c r="D747" s="13"/>
      <c r="E747" s="13"/>
      <c r="F747" s="13"/>
      <c r="G747" s="13"/>
      <c r="H747" s="15"/>
      <c r="I747" s="19"/>
      <c r="J747" s="19"/>
      <c r="K747" s="19"/>
      <c r="L747" s="13"/>
      <c r="M747" s="13"/>
      <c r="N747" s="20">
        <f>IF($C747="","",IFERROR(INDEX(EtapaProb,MATCH($G747,Etapas,0)),0))</f>
        <v/>
      </c>
      <c r="O747" s="21">
        <f>IF($C747="","",IF($P747="Aberto",N($H747)*$N747,0))</f>
        <v/>
      </c>
      <c r="P747" s="18">
        <f>IF($C747="","",IF($G747="Ganho","Ganho",IF($G747="Perdido","Perdido","Aberto")))</f>
        <v/>
      </c>
      <c r="Q747" s="18">
        <f>IF(OR($C747="",$P747&lt;&gt;"Aberto"),"",IF($I747="",Hoje-$B747,Hoje-$I747))</f>
        <v/>
      </c>
      <c r="R747" s="22">
        <f>IF(OR($C747="",$P747&lt;&gt;"Aberto"),"",IF($J747="",IF($Q747&gt;DiasSC,"ATRASADO","Definir data"),IF($J747&lt;Hoje,"ATRASADO",IF($J747=Hoje,"HOJE","Em dia"))))</f>
        <v/>
      </c>
      <c r="S747" s="23">
        <f>IF($R747="","",IF(OR($R747="ATRASADO",$R747="HOJE",$R747="Definir data"),COUNTIF($R$5:$R747,"ATRASADO")+COUNTIF($R$5:$R747,"HOJE")+COUNTIF($R$5:$R747,"Definir data"),""))</f>
        <v/>
      </c>
      <c r="T747" s="18">
        <f>IF($C747="","",IF(OR($B747="",$E747="",$F747="",$G747=""),"Preencher entrada/origem/vendedor/etapa",IF(AND(OR($P747="Ganho",$P747="Perdido"),$K747=""),"Falta data de fechamento",IF(AND($P747="Perdido",$L747=""),"Informe o motivo da perda","OK"))))</f>
        <v/>
      </c>
    </row>
    <row r="748" spans="1:20">
      <c r="A748" s="18">
        <f>IF($C748="","",ROW()-4)</f>
        <v/>
      </c>
      <c r="B748" s="19"/>
      <c r="C748" s="13"/>
      <c r="D748" s="13"/>
      <c r="E748" s="13"/>
      <c r="F748" s="13"/>
      <c r="G748" s="13"/>
      <c r="H748" s="15"/>
      <c r="I748" s="19"/>
      <c r="J748" s="19"/>
      <c r="K748" s="19"/>
      <c r="L748" s="13"/>
      <c r="M748" s="13"/>
      <c r="N748" s="20">
        <f>IF($C748="","",IFERROR(INDEX(EtapaProb,MATCH($G748,Etapas,0)),0))</f>
        <v/>
      </c>
      <c r="O748" s="21">
        <f>IF($C748="","",IF($P748="Aberto",N($H748)*$N748,0))</f>
        <v/>
      </c>
      <c r="P748" s="18">
        <f>IF($C748="","",IF($G748="Ganho","Ganho",IF($G748="Perdido","Perdido","Aberto")))</f>
        <v/>
      </c>
      <c r="Q748" s="18">
        <f>IF(OR($C748="",$P748&lt;&gt;"Aberto"),"",IF($I748="",Hoje-$B748,Hoje-$I748))</f>
        <v/>
      </c>
      <c r="R748" s="22">
        <f>IF(OR($C748="",$P748&lt;&gt;"Aberto"),"",IF($J748="",IF($Q748&gt;DiasSC,"ATRASADO","Definir data"),IF($J748&lt;Hoje,"ATRASADO",IF($J748=Hoje,"HOJE","Em dia"))))</f>
        <v/>
      </c>
      <c r="S748" s="23">
        <f>IF($R748="","",IF(OR($R748="ATRASADO",$R748="HOJE",$R748="Definir data"),COUNTIF($R$5:$R748,"ATRASADO")+COUNTIF($R$5:$R748,"HOJE")+COUNTIF($R$5:$R748,"Definir data"),""))</f>
        <v/>
      </c>
      <c r="T748" s="18">
        <f>IF($C748="","",IF(OR($B748="",$E748="",$F748="",$G748=""),"Preencher entrada/origem/vendedor/etapa",IF(AND(OR($P748="Ganho",$P748="Perdido"),$K748=""),"Falta data de fechamento",IF(AND($P748="Perdido",$L748=""),"Informe o motivo da perda","OK"))))</f>
        <v/>
      </c>
    </row>
    <row r="749" spans="1:20">
      <c r="A749" s="18">
        <f>IF($C749="","",ROW()-4)</f>
        <v/>
      </c>
      <c r="B749" s="19"/>
      <c r="C749" s="13"/>
      <c r="D749" s="13"/>
      <c r="E749" s="13"/>
      <c r="F749" s="13"/>
      <c r="G749" s="13"/>
      <c r="H749" s="15"/>
      <c r="I749" s="19"/>
      <c r="J749" s="19"/>
      <c r="K749" s="19"/>
      <c r="L749" s="13"/>
      <c r="M749" s="13"/>
      <c r="N749" s="20">
        <f>IF($C749="","",IFERROR(INDEX(EtapaProb,MATCH($G749,Etapas,0)),0))</f>
        <v/>
      </c>
      <c r="O749" s="21">
        <f>IF($C749="","",IF($P749="Aberto",N($H749)*$N749,0))</f>
        <v/>
      </c>
      <c r="P749" s="18">
        <f>IF($C749="","",IF($G749="Ganho","Ganho",IF($G749="Perdido","Perdido","Aberto")))</f>
        <v/>
      </c>
      <c r="Q749" s="18">
        <f>IF(OR($C749="",$P749&lt;&gt;"Aberto"),"",IF($I749="",Hoje-$B749,Hoje-$I749))</f>
        <v/>
      </c>
      <c r="R749" s="22">
        <f>IF(OR($C749="",$P749&lt;&gt;"Aberto"),"",IF($J749="",IF($Q749&gt;DiasSC,"ATRASADO","Definir data"),IF($J749&lt;Hoje,"ATRASADO",IF($J749=Hoje,"HOJE","Em dia"))))</f>
        <v/>
      </c>
      <c r="S749" s="23">
        <f>IF($R749="","",IF(OR($R749="ATRASADO",$R749="HOJE",$R749="Definir data"),COUNTIF($R$5:$R749,"ATRASADO")+COUNTIF($R$5:$R749,"HOJE")+COUNTIF($R$5:$R749,"Definir data"),""))</f>
        <v/>
      </c>
      <c r="T749" s="18">
        <f>IF($C749="","",IF(OR($B749="",$E749="",$F749="",$G749=""),"Preencher entrada/origem/vendedor/etapa",IF(AND(OR($P749="Ganho",$P749="Perdido"),$K749=""),"Falta data de fechamento",IF(AND($P749="Perdido",$L749=""),"Informe o motivo da perda","OK"))))</f>
        <v/>
      </c>
    </row>
    <row r="750" spans="1:20">
      <c r="A750" s="18">
        <f>IF($C750="","",ROW()-4)</f>
        <v/>
      </c>
      <c r="B750" s="19"/>
      <c r="C750" s="13"/>
      <c r="D750" s="13"/>
      <c r="E750" s="13"/>
      <c r="F750" s="13"/>
      <c r="G750" s="13"/>
      <c r="H750" s="15"/>
      <c r="I750" s="19"/>
      <c r="J750" s="19"/>
      <c r="K750" s="19"/>
      <c r="L750" s="13"/>
      <c r="M750" s="13"/>
      <c r="N750" s="20">
        <f>IF($C750="","",IFERROR(INDEX(EtapaProb,MATCH($G750,Etapas,0)),0))</f>
        <v/>
      </c>
      <c r="O750" s="21">
        <f>IF($C750="","",IF($P750="Aberto",N($H750)*$N750,0))</f>
        <v/>
      </c>
      <c r="P750" s="18">
        <f>IF($C750="","",IF($G750="Ganho","Ganho",IF($G750="Perdido","Perdido","Aberto")))</f>
        <v/>
      </c>
      <c r="Q750" s="18">
        <f>IF(OR($C750="",$P750&lt;&gt;"Aberto"),"",IF($I750="",Hoje-$B750,Hoje-$I750))</f>
        <v/>
      </c>
      <c r="R750" s="22">
        <f>IF(OR($C750="",$P750&lt;&gt;"Aberto"),"",IF($J750="",IF($Q750&gt;DiasSC,"ATRASADO","Definir data"),IF($J750&lt;Hoje,"ATRASADO",IF($J750=Hoje,"HOJE","Em dia"))))</f>
        <v/>
      </c>
      <c r="S750" s="23">
        <f>IF($R750="","",IF(OR($R750="ATRASADO",$R750="HOJE",$R750="Definir data"),COUNTIF($R$5:$R750,"ATRASADO")+COUNTIF($R$5:$R750,"HOJE")+COUNTIF($R$5:$R750,"Definir data"),""))</f>
        <v/>
      </c>
      <c r="T750" s="18">
        <f>IF($C750="","",IF(OR($B750="",$E750="",$F750="",$G750=""),"Preencher entrada/origem/vendedor/etapa",IF(AND(OR($P750="Ganho",$P750="Perdido"),$K750=""),"Falta data de fechamento",IF(AND($P750="Perdido",$L750=""),"Informe o motivo da perda","OK"))))</f>
        <v/>
      </c>
    </row>
    <row r="751" spans="1:20">
      <c r="A751" s="18">
        <f>IF($C751="","",ROW()-4)</f>
        <v/>
      </c>
      <c r="B751" s="19"/>
      <c r="C751" s="13"/>
      <c r="D751" s="13"/>
      <c r="E751" s="13"/>
      <c r="F751" s="13"/>
      <c r="G751" s="13"/>
      <c r="H751" s="15"/>
      <c r="I751" s="19"/>
      <c r="J751" s="19"/>
      <c r="K751" s="19"/>
      <c r="L751" s="13"/>
      <c r="M751" s="13"/>
      <c r="N751" s="20">
        <f>IF($C751="","",IFERROR(INDEX(EtapaProb,MATCH($G751,Etapas,0)),0))</f>
        <v/>
      </c>
      <c r="O751" s="21">
        <f>IF($C751="","",IF($P751="Aberto",N($H751)*$N751,0))</f>
        <v/>
      </c>
      <c r="P751" s="18">
        <f>IF($C751="","",IF($G751="Ganho","Ganho",IF($G751="Perdido","Perdido","Aberto")))</f>
        <v/>
      </c>
      <c r="Q751" s="18">
        <f>IF(OR($C751="",$P751&lt;&gt;"Aberto"),"",IF($I751="",Hoje-$B751,Hoje-$I751))</f>
        <v/>
      </c>
      <c r="R751" s="22">
        <f>IF(OR($C751="",$P751&lt;&gt;"Aberto"),"",IF($J751="",IF($Q751&gt;DiasSC,"ATRASADO","Definir data"),IF($J751&lt;Hoje,"ATRASADO",IF($J751=Hoje,"HOJE","Em dia"))))</f>
        <v/>
      </c>
      <c r="S751" s="23">
        <f>IF($R751="","",IF(OR($R751="ATRASADO",$R751="HOJE",$R751="Definir data"),COUNTIF($R$5:$R751,"ATRASADO")+COUNTIF($R$5:$R751,"HOJE")+COUNTIF($R$5:$R751,"Definir data"),""))</f>
        <v/>
      </c>
      <c r="T751" s="18">
        <f>IF($C751="","",IF(OR($B751="",$E751="",$F751="",$G751=""),"Preencher entrada/origem/vendedor/etapa",IF(AND(OR($P751="Ganho",$P751="Perdido"),$K751=""),"Falta data de fechamento",IF(AND($P751="Perdido",$L751=""),"Informe o motivo da perda","OK"))))</f>
        <v/>
      </c>
    </row>
    <row r="752" spans="1:20">
      <c r="A752" s="18">
        <f>IF($C752="","",ROW()-4)</f>
        <v/>
      </c>
      <c r="B752" s="19"/>
      <c r="C752" s="13"/>
      <c r="D752" s="13"/>
      <c r="E752" s="13"/>
      <c r="F752" s="13"/>
      <c r="G752" s="13"/>
      <c r="H752" s="15"/>
      <c r="I752" s="19"/>
      <c r="J752" s="19"/>
      <c r="K752" s="19"/>
      <c r="L752" s="13"/>
      <c r="M752" s="13"/>
      <c r="N752" s="20">
        <f>IF($C752="","",IFERROR(INDEX(EtapaProb,MATCH($G752,Etapas,0)),0))</f>
        <v/>
      </c>
      <c r="O752" s="21">
        <f>IF($C752="","",IF($P752="Aberto",N($H752)*$N752,0))</f>
        <v/>
      </c>
      <c r="P752" s="18">
        <f>IF($C752="","",IF($G752="Ganho","Ganho",IF($G752="Perdido","Perdido","Aberto")))</f>
        <v/>
      </c>
      <c r="Q752" s="18">
        <f>IF(OR($C752="",$P752&lt;&gt;"Aberto"),"",IF($I752="",Hoje-$B752,Hoje-$I752))</f>
        <v/>
      </c>
      <c r="R752" s="22">
        <f>IF(OR($C752="",$P752&lt;&gt;"Aberto"),"",IF($J752="",IF($Q752&gt;DiasSC,"ATRASADO","Definir data"),IF($J752&lt;Hoje,"ATRASADO",IF($J752=Hoje,"HOJE","Em dia"))))</f>
        <v/>
      </c>
      <c r="S752" s="23">
        <f>IF($R752="","",IF(OR($R752="ATRASADO",$R752="HOJE",$R752="Definir data"),COUNTIF($R$5:$R752,"ATRASADO")+COUNTIF($R$5:$R752,"HOJE")+COUNTIF($R$5:$R752,"Definir data"),""))</f>
        <v/>
      </c>
      <c r="T752" s="18">
        <f>IF($C752="","",IF(OR($B752="",$E752="",$F752="",$G752=""),"Preencher entrada/origem/vendedor/etapa",IF(AND(OR($P752="Ganho",$P752="Perdido"),$K752=""),"Falta data de fechamento",IF(AND($P752="Perdido",$L752=""),"Informe o motivo da perda","OK"))))</f>
        <v/>
      </c>
    </row>
    <row r="753" spans="1:20">
      <c r="A753" s="18">
        <f>IF($C753="","",ROW()-4)</f>
        <v/>
      </c>
      <c r="B753" s="19"/>
      <c r="C753" s="13"/>
      <c r="D753" s="13"/>
      <c r="E753" s="13"/>
      <c r="F753" s="13"/>
      <c r="G753" s="13"/>
      <c r="H753" s="15"/>
      <c r="I753" s="19"/>
      <c r="J753" s="19"/>
      <c r="K753" s="19"/>
      <c r="L753" s="13"/>
      <c r="M753" s="13"/>
      <c r="N753" s="20">
        <f>IF($C753="","",IFERROR(INDEX(EtapaProb,MATCH($G753,Etapas,0)),0))</f>
        <v/>
      </c>
      <c r="O753" s="21">
        <f>IF($C753="","",IF($P753="Aberto",N($H753)*$N753,0))</f>
        <v/>
      </c>
      <c r="P753" s="18">
        <f>IF($C753="","",IF($G753="Ganho","Ganho",IF($G753="Perdido","Perdido","Aberto")))</f>
        <v/>
      </c>
      <c r="Q753" s="18">
        <f>IF(OR($C753="",$P753&lt;&gt;"Aberto"),"",IF($I753="",Hoje-$B753,Hoje-$I753))</f>
        <v/>
      </c>
      <c r="R753" s="22">
        <f>IF(OR($C753="",$P753&lt;&gt;"Aberto"),"",IF($J753="",IF($Q753&gt;DiasSC,"ATRASADO","Definir data"),IF($J753&lt;Hoje,"ATRASADO",IF($J753=Hoje,"HOJE","Em dia"))))</f>
        <v/>
      </c>
      <c r="S753" s="23">
        <f>IF($R753="","",IF(OR($R753="ATRASADO",$R753="HOJE",$R753="Definir data"),COUNTIF($R$5:$R753,"ATRASADO")+COUNTIF($R$5:$R753,"HOJE")+COUNTIF($R$5:$R753,"Definir data"),""))</f>
        <v/>
      </c>
      <c r="T753" s="18">
        <f>IF($C753="","",IF(OR($B753="",$E753="",$F753="",$G753=""),"Preencher entrada/origem/vendedor/etapa",IF(AND(OR($P753="Ganho",$P753="Perdido"),$K753=""),"Falta data de fechamento",IF(AND($P753="Perdido",$L753=""),"Informe o motivo da perda","OK"))))</f>
        <v/>
      </c>
    </row>
    <row r="754" spans="1:20">
      <c r="A754" s="18">
        <f>IF($C754="","",ROW()-4)</f>
        <v/>
      </c>
      <c r="B754" s="19"/>
      <c r="C754" s="13"/>
      <c r="D754" s="13"/>
      <c r="E754" s="13"/>
      <c r="F754" s="13"/>
      <c r="G754" s="13"/>
      <c r="H754" s="15"/>
      <c r="I754" s="19"/>
      <c r="J754" s="19"/>
      <c r="K754" s="19"/>
      <c r="L754" s="13"/>
      <c r="M754" s="13"/>
      <c r="N754" s="20">
        <f>IF($C754="","",IFERROR(INDEX(EtapaProb,MATCH($G754,Etapas,0)),0))</f>
        <v/>
      </c>
      <c r="O754" s="21">
        <f>IF($C754="","",IF($P754="Aberto",N($H754)*$N754,0))</f>
        <v/>
      </c>
      <c r="P754" s="18">
        <f>IF($C754="","",IF($G754="Ganho","Ganho",IF($G754="Perdido","Perdido","Aberto")))</f>
        <v/>
      </c>
      <c r="Q754" s="18">
        <f>IF(OR($C754="",$P754&lt;&gt;"Aberto"),"",IF($I754="",Hoje-$B754,Hoje-$I754))</f>
        <v/>
      </c>
      <c r="R754" s="22">
        <f>IF(OR($C754="",$P754&lt;&gt;"Aberto"),"",IF($J754="",IF($Q754&gt;DiasSC,"ATRASADO","Definir data"),IF($J754&lt;Hoje,"ATRASADO",IF($J754=Hoje,"HOJE","Em dia"))))</f>
        <v/>
      </c>
      <c r="S754" s="23">
        <f>IF($R754="","",IF(OR($R754="ATRASADO",$R754="HOJE",$R754="Definir data"),COUNTIF($R$5:$R754,"ATRASADO")+COUNTIF($R$5:$R754,"HOJE")+COUNTIF($R$5:$R754,"Definir data"),""))</f>
        <v/>
      </c>
      <c r="T754" s="18">
        <f>IF($C754="","",IF(OR($B754="",$E754="",$F754="",$G754=""),"Preencher entrada/origem/vendedor/etapa",IF(AND(OR($P754="Ganho",$P754="Perdido"),$K754=""),"Falta data de fechamento",IF(AND($P754="Perdido",$L754=""),"Informe o motivo da perda","OK"))))</f>
        <v/>
      </c>
    </row>
    <row r="755" spans="1:20">
      <c r="A755" s="18">
        <f>IF($C755="","",ROW()-4)</f>
        <v/>
      </c>
      <c r="B755" s="19"/>
      <c r="C755" s="13"/>
      <c r="D755" s="13"/>
      <c r="E755" s="13"/>
      <c r="F755" s="13"/>
      <c r="G755" s="13"/>
      <c r="H755" s="15"/>
      <c r="I755" s="19"/>
      <c r="J755" s="19"/>
      <c r="K755" s="19"/>
      <c r="L755" s="13"/>
      <c r="M755" s="13"/>
      <c r="N755" s="20">
        <f>IF($C755="","",IFERROR(INDEX(EtapaProb,MATCH($G755,Etapas,0)),0))</f>
        <v/>
      </c>
      <c r="O755" s="21">
        <f>IF($C755="","",IF($P755="Aberto",N($H755)*$N755,0))</f>
        <v/>
      </c>
      <c r="P755" s="18">
        <f>IF($C755="","",IF($G755="Ganho","Ganho",IF($G755="Perdido","Perdido","Aberto")))</f>
        <v/>
      </c>
      <c r="Q755" s="18">
        <f>IF(OR($C755="",$P755&lt;&gt;"Aberto"),"",IF($I755="",Hoje-$B755,Hoje-$I755))</f>
        <v/>
      </c>
      <c r="R755" s="22">
        <f>IF(OR($C755="",$P755&lt;&gt;"Aberto"),"",IF($J755="",IF($Q755&gt;DiasSC,"ATRASADO","Definir data"),IF($J755&lt;Hoje,"ATRASADO",IF($J755=Hoje,"HOJE","Em dia"))))</f>
        <v/>
      </c>
      <c r="S755" s="23">
        <f>IF($R755="","",IF(OR($R755="ATRASADO",$R755="HOJE",$R755="Definir data"),COUNTIF($R$5:$R755,"ATRASADO")+COUNTIF($R$5:$R755,"HOJE")+COUNTIF($R$5:$R755,"Definir data"),""))</f>
        <v/>
      </c>
      <c r="T755" s="18">
        <f>IF($C755="","",IF(OR($B755="",$E755="",$F755="",$G755=""),"Preencher entrada/origem/vendedor/etapa",IF(AND(OR($P755="Ganho",$P755="Perdido"),$K755=""),"Falta data de fechamento",IF(AND($P755="Perdido",$L755=""),"Informe o motivo da perda","OK"))))</f>
        <v/>
      </c>
    </row>
    <row r="756" spans="1:20">
      <c r="A756" s="18">
        <f>IF($C756="","",ROW()-4)</f>
        <v/>
      </c>
      <c r="B756" s="19"/>
      <c r="C756" s="13"/>
      <c r="D756" s="13"/>
      <c r="E756" s="13"/>
      <c r="F756" s="13"/>
      <c r="G756" s="13"/>
      <c r="H756" s="15"/>
      <c r="I756" s="19"/>
      <c r="J756" s="19"/>
      <c r="K756" s="19"/>
      <c r="L756" s="13"/>
      <c r="M756" s="13"/>
      <c r="N756" s="20">
        <f>IF($C756="","",IFERROR(INDEX(EtapaProb,MATCH($G756,Etapas,0)),0))</f>
        <v/>
      </c>
      <c r="O756" s="21">
        <f>IF($C756="","",IF($P756="Aberto",N($H756)*$N756,0))</f>
        <v/>
      </c>
      <c r="P756" s="18">
        <f>IF($C756="","",IF($G756="Ganho","Ganho",IF($G756="Perdido","Perdido","Aberto")))</f>
        <v/>
      </c>
      <c r="Q756" s="18">
        <f>IF(OR($C756="",$P756&lt;&gt;"Aberto"),"",IF($I756="",Hoje-$B756,Hoje-$I756))</f>
        <v/>
      </c>
      <c r="R756" s="22">
        <f>IF(OR($C756="",$P756&lt;&gt;"Aberto"),"",IF($J756="",IF($Q756&gt;DiasSC,"ATRASADO","Definir data"),IF($J756&lt;Hoje,"ATRASADO",IF($J756=Hoje,"HOJE","Em dia"))))</f>
        <v/>
      </c>
      <c r="S756" s="23">
        <f>IF($R756="","",IF(OR($R756="ATRASADO",$R756="HOJE",$R756="Definir data"),COUNTIF($R$5:$R756,"ATRASADO")+COUNTIF($R$5:$R756,"HOJE")+COUNTIF($R$5:$R756,"Definir data"),""))</f>
        <v/>
      </c>
      <c r="T756" s="18">
        <f>IF($C756="","",IF(OR($B756="",$E756="",$F756="",$G756=""),"Preencher entrada/origem/vendedor/etapa",IF(AND(OR($P756="Ganho",$P756="Perdido"),$K756=""),"Falta data de fechamento",IF(AND($P756="Perdido",$L756=""),"Informe o motivo da perda","OK"))))</f>
        <v/>
      </c>
    </row>
    <row r="757" spans="1:20">
      <c r="A757" s="18">
        <f>IF($C757="","",ROW()-4)</f>
        <v/>
      </c>
      <c r="B757" s="19"/>
      <c r="C757" s="13"/>
      <c r="D757" s="13"/>
      <c r="E757" s="13"/>
      <c r="F757" s="13"/>
      <c r="G757" s="13"/>
      <c r="H757" s="15"/>
      <c r="I757" s="19"/>
      <c r="J757" s="19"/>
      <c r="K757" s="19"/>
      <c r="L757" s="13"/>
      <c r="M757" s="13"/>
      <c r="N757" s="20">
        <f>IF($C757="","",IFERROR(INDEX(EtapaProb,MATCH($G757,Etapas,0)),0))</f>
        <v/>
      </c>
      <c r="O757" s="21">
        <f>IF($C757="","",IF($P757="Aberto",N($H757)*$N757,0))</f>
        <v/>
      </c>
      <c r="P757" s="18">
        <f>IF($C757="","",IF($G757="Ganho","Ganho",IF($G757="Perdido","Perdido","Aberto")))</f>
        <v/>
      </c>
      <c r="Q757" s="18">
        <f>IF(OR($C757="",$P757&lt;&gt;"Aberto"),"",IF($I757="",Hoje-$B757,Hoje-$I757))</f>
        <v/>
      </c>
      <c r="R757" s="22">
        <f>IF(OR($C757="",$P757&lt;&gt;"Aberto"),"",IF($J757="",IF($Q757&gt;DiasSC,"ATRASADO","Definir data"),IF($J757&lt;Hoje,"ATRASADO",IF($J757=Hoje,"HOJE","Em dia"))))</f>
        <v/>
      </c>
      <c r="S757" s="23">
        <f>IF($R757="","",IF(OR($R757="ATRASADO",$R757="HOJE",$R757="Definir data"),COUNTIF($R$5:$R757,"ATRASADO")+COUNTIF($R$5:$R757,"HOJE")+COUNTIF($R$5:$R757,"Definir data"),""))</f>
        <v/>
      </c>
      <c r="T757" s="18">
        <f>IF($C757="","",IF(OR($B757="",$E757="",$F757="",$G757=""),"Preencher entrada/origem/vendedor/etapa",IF(AND(OR($P757="Ganho",$P757="Perdido"),$K757=""),"Falta data de fechamento",IF(AND($P757="Perdido",$L757=""),"Informe o motivo da perda","OK"))))</f>
        <v/>
      </c>
    </row>
    <row r="758" spans="1:20">
      <c r="A758" s="18">
        <f>IF($C758="","",ROW()-4)</f>
        <v/>
      </c>
      <c r="B758" s="19"/>
      <c r="C758" s="13"/>
      <c r="D758" s="13"/>
      <c r="E758" s="13"/>
      <c r="F758" s="13"/>
      <c r="G758" s="13"/>
      <c r="H758" s="15"/>
      <c r="I758" s="19"/>
      <c r="J758" s="19"/>
      <c r="K758" s="19"/>
      <c r="L758" s="13"/>
      <c r="M758" s="13"/>
      <c r="N758" s="20">
        <f>IF($C758="","",IFERROR(INDEX(EtapaProb,MATCH($G758,Etapas,0)),0))</f>
        <v/>
      </c>
      <c r="O758" s="21">
        <f>IF($C758="","",IF($P758="Aberto",N($H758)*$N758,0))</f>
        <v/>
      </c>
      <c r="P758" s="18">
        <f>IF($C758="","",IF($G758="Ganho","Ganho",IF($G758="Perdido","Perdido","Aberto")))</f>
        <v/>
      </c>
      <c r="Q758" s="18">
        <f>IF(OR($C758="",$P758&lt;&gt;"Aberto"),"",IF($I758="",Hoje-$B758,Hoje-$I758))</f>
        <v/>
      </c>
      <c r="R758" s="22">
        <f>IF(OR($C758="",$P758&lt;&gt;"Aberto"),"",IF($J758="",IF($Q758&gt;DiasSC,"ATRASADO","Definir data"),IF($J758&lt;Hoje,"ATRASADO",IF($J758=Hoje,"HOJE","Em dia"))))</f>
        <v/>
      </c>
      <c r="S758" s="23">
        <f>IF($R758="","",IF(OR($R758="ATRASADO",$R758="HOJE",$R758="Definir data"),COUNTIF($R$5:$R758,"ATRASADO")+COUNTIF($R$5:$R758,"HOJE")+COUNTIF($R$5:$R758,"Definir data"),""))</f>
        <v/>
      </c>
      <c r="T758" s="18">
        <f>IF($C758="","",IF(OR($B758="",$E758="",$F758="",$G758=""),"Preencher entrada/origem/vendedor/etapa",IF(AND(OR($P758="Ganho",$P758="Perdido"),$K758=""),"Falta data de fechamento",IF(AND($P758="Perdido",$L758=""),"Informe o motivo da perda","OK"))))</f>
        <v/>
      </c>
    </row>
    <row r="759" spans="1:20">
      <c r="A759" s="18">
        <f>IF($C759="","",ROW()-4)</f>
        <v/>
      </c>
      <c r="B759" s="19"/>
      <c r="C759" s="13"/>
      <c r="D759" s="13"/>
      <c r="E759" s="13"/>
      <c r="F759" s="13"/>
      <c r="G759" s="13"/>
      <c r="H759" s="15"/>
      <c r="I759" s="19"/>
      <c r="J759" s="19"/>
      <c r="K759" s="19"/>
      <c r="L759" s="13"/>
      <c r="M759" s="13"/>
      <c r="N759" s="20">
        <f>IF($C759="","",IFERROR(INDEX(EtapaProb,MATCH($G759,Etapas,0)),0))</f>
        <v/>
      </c>
      <c r="O759" s="21">
        <f>IF($C759="","",IF($P759="Aberto",N($H759)*$N759,0))</f>
        <v/>
      </c>
      <c r="P759" s="18">
        <f>IF($C759="","",IF($G759="Ganho","Ganho",IF($G759="Perdido","Perdido","Aberto")))</f>
        <v/>
      </c>
      <c r="Q759" s="18">
        <f>IF(OR($C759="",$P759&lt;&gt;"Aberto"),"",IF($I759="",Hoje-$B759,Hoje-$I759))</f>
        <v/>
      </c>
      <c r="R759" s="22">
        <f>IF(OR($C759="",$P759&lt;&gt;"Aberto"),"",IF($J759="",IF($Q759&gt;DiasSC,"ATRASADO","Definir data"),IF($J759&lt;Hoje,"ATRASADO",IF($J759=Hoje,"HOJE","Em dia"))))</f>
        <v/>
      </c>
      <c r="S759" s="23">
        <f>IF($R759="","",IF(OR($R759="ATRASADO",$R759="HOJE",$R759="Definir data"),COUNTIF($R$5:$R759,"ATRASADO")+COUNTIF($R$5:$R759,"HOJE")+COUNTIF($R$5:$R759,"Definir data"),""))</f>
        <v/>
      </c>
      <c r="T759" s="18">
        <f>IF($C759="","",IF(OR($B759="",$E759="",$F759="",$G759=""),"Preencher entrada/origem/vendedor/etapa",IF(AND(OR($P759="Ganho",$P759="Perdido"),$K759=""),"Falta data de fechamento",IF(AND($P759="Perdido",$L759=""),"Informe o motivo da perda","OK"))))</f>
        <v/>
      </c>
    </row>
    <row r="760" spans="1:20">
      <c r="A760" s="18">
        <f>IF($C760="","",ROW()-4)</f>
        <v/>
      </c>
      <c r="B760" s="19"/>
      <c r="C760" s="13"/>
      <c r="D760" s="13"/>
      <c r="E760" s="13"/>
      <c r="F760" s="13"/>
      <c r="G760" s="13"/>
      <c r="H760" s="15"/>
      <c r="I760" s="19"/>
      <c r="J760" s="19"/>
      <c r="K760" s="19"/>
      <c r="L760" s="13"/>
      <c r="M760" s="13"/>
      <c r="N760" s="20">
        <f>IF($C760="","",IFERROR(INDEX(EtapaProb,MATCH($G760,Etapas,0)),0))</f>
        <v/>
      </c>
      <c r="O760" s="21">
        <f>IF($C760="","",IF($P760="Aberto",N($H760)*$N760,0))</f>
        <v/>
      </c>
      <c r="P760" s="18">
        <f>IF($C760="","",IF($G760="Ganho","Ganho",IF($G760="Perdido","Perdido","Aberto")))</f>
        <v/>
      </c>
      <c r="Q760" s="18">
        <f>IF(OR($C760="",$P760&lt;&gt;"Aberto"),"",IF($I760="",Hoje-$B760,Hoje-$I760))</f>
        <v/>
      </c>
      <c r="R760" s="22">
        <f>IF(OR($C760="",$P760&lt;&gt;"Aberto"),"",IF($J760="",IF($Q760&gt;DiasSC,"ATRASADO","Definir data"),IF($J760&lt;Hoje,"ATRASADO",IF($J760=Hoje,"HOJE","Em dia"))))</f>
        <v/>
      </c>
      <c r="S760" s="23">
        <f>IF($R760="","",IF(OR($R760="ATRASADO",$R760="HOJE",$R760="Definir data"),COUNTIF($R$5:$R760,"ATRASADO")+COUNTIF($R$5:$R760,"HOJE")+COUNTIF($R$5:$R760,"Definir data"),""))</f>
        <v/>
      </c>
      <c r="T760" s="18">
        <f>IF($C760="","",IF(OR($B760="",$E760="",$F760="",$G760=""),"Preencher entrada/origem/vendedor/etapa",IF(AND(OR($P760="Ganho",$P760="Perdido"),$K760=""),"Falta data de fechamento",IF(AND($P760="Perdido",$L760=""),"Informe o motivo da perda","OK"))))</f>
        <v/>
      </c>
    </row>
    <row r="761" spans="1:20">
      <c r="A761" s="18">
        <f>IF($C761="","",ROW()-4)</f>
        <v/>
      </c>
      <c r="B761" s="19"/>
      <c r="C761" s="13"/>
      <c r="D761" s="13"/>
      <c r="E761" s="13"/>
      <c r="F761" s="13"/>
      <c r="G761" s="13"/>
      <c r="H761" s="15"/>
      <c r="I761" s="19"/>
      <c r="J761" s="19"/>
      <c r="K761" s="19"/>
      <c r="L761" s="13"/>
      <c r="M761" s="13"/>
      <c r="N761" s="20">
        <f>IF($C761="","",IFERROR(INDEX(EtapaProb,MATCH($G761,Etapas,0)),0))</f>
        <v/>
      </c>
      <c r="O761" s="21">
        <f>IF($C761="","",IF($P761="Aberto",N($H761)*$N761,0))</f>
        <v/>
      </c>
      <c r="P761" s="18">
        <f>IF($C761="","",IF($G761="Ganho","Ganho",IF($G761="Perdido","Perdido","Aberto")))</f>
        <v/>
      </c>
      <c r="Q761" s="18">
        <f>IF(OR($C761="",$P761&lt;&gt;"Aberto"),"",IF($I761="",Hoje-$B761,Hoje-$I761))</f>
        <v/>
      </c>
      <c r="R761" s="22">
        <f>IF(OR($C761="",$P761&lt;&gt;"Aberto"),"",IF($J761="",IF($Q761&gt;DiasSC,"ATRASADO","Definir data"),IF($J761&lt;Hoje,"ATRASADO",IF($J761=Hoje,"HOJE","Em dia"))))</f>
        <v/>
      </c>
      <c r="S761" s="23">
        <f>IF($R761="","",IF(OR($R761="ATRASADO",$R761="HOJE",$R761="Definir data"),COUNTIF($R$5:$R761,"ATRASADO")+COUNTIF($R$5:$R761,"HOJE")+COUNTIF($R$5:$R761,"Definir data"),""))</f>
        <v/>
      </c>
      <c r="T761" s="18">
        <f>IF($C761="","",IF(OR($B761="",$E761="",$F761="",$G761=""),"Preencher entrada/origem/vendedor/etapa",IF(AND(OR($P761="Ganho",$P761="Perdido"),$K761=""),"Falta data de fechamento",IF(AND($P761="Perdido",$L761=""),"Informe o motivo da perda","OK"))))</f>
        <v/>
      </c>
    </row>
    <row r="762" spans="1:20">
      <c r="A762" s="18">
        <f>IF($C762="","",ROW()-4)</f>
        <v/>
      </c>
      <c r="B762" s="19"/>
      <c r="C762" s="13"/>
      <c r="D762" s="13"/>
      <c r="E762" s="13"/>
      <c r="F762" s="13"/>
      <c r="G762" s="13"/>
      <c r="H762" s="15"/>
      <c r="I762" s="19"/>
      <c r="J762" s="19"/>
      <c r="K762" s="19"/>
      <c r="L762" s="13"/>
      <c r="M762" s="13"/>
      <c r="N762" s="20">
        <f>IF($C762="","",IFERROR(INDEX(EtapaProb,MATCH($G762,Etapas,0)),0))</f>
        <v/>
      </c>
      <c r="O762" s="21">
        <f>IF($C762="","",IF($P762="Aberto",N($H762)*$N762,0))</f>
        <v/>
      </c>
      <c r="P762" s="18">
        <f>IF($C762="","",IF($G762="Ganho","Ganho",IF($G762="Perdido","Perdido","Aberto")))</f>
        <v/>
      </c>
      <c r="Q762" s="18">
        <f>IF(OR($C762="",$P762&lt;&gt;"Aberto"),"",IF($I762="",Hoje-$B762,Hoje-$I762))</f>
        <v/>
      </c>
      <c r="R762" s="22">
        <f>IF(OR($C762="",$P762&lt;&gt;"Aberto"),"",IF($J762="",IF($Q762&gt;DiasSC,"ATRASADO","Definir data"),IF($J762&lt;Hoje,"ATRASADO",IF($J762=Hoje,"HOJE","Em dia"))))</f>
        <v/>
      </c>
      <c r="S762" s="23">
        <f>IF($R762="","",IF(OR($R762="ATRASADO",$R762="HOJE",$R762="Definir data"),COUNTIF($R$5:$R762,"ATRASADO")+COUNTIF($R$5:$R762,"HOJE")+COUNTIF($R$5:$R762,"Definir data"),""))</f>
        <v/>
      </c>
      <c r="T762" s="18">
        <f>IF($C762="","",IF(OR($B762="",$E762="",$F762="",$G762=""),"Preencher entrada/origem/vendedor/etapa",IF(AND(OR($P762="Ganho",$P762="Perdido"),$K762=""),"Falta data de fechamento",IF(AND($P762="Perdido",$L762=""),"Informe o motivo da perda","OK"))))</f>
        <v/>
      </c>
    </row>
    <row r="763" spans="1:20">
      <c r="A763" s="18">
        <f>IF($C763="","",ROW()-4)</f>
        <v/>
      </c>
      <c r="B763" s="19"/>
      <c r="C763" s="13"/>
      <c r="D763" s="13"/>
      <c r="E763" s="13"/>
      <c r="F763" s="13"/>
      <c r="G763" s="13"/>
      <c r="H763" s="15"/>
      <c r="I763" s="19"/>
      <c r="J763" s="19"/>
      <c r="K763" s="19"/>
      <c r="L763" s="13"/>
      <c r="M763" s="13"/>
      <c r="N763" s="20">
        <f>IF($C763="","",IFERROR(INDEX(EtapaProb,MATCH($G763,Etapas,0)),0))</f>
        <v/>
      </c>
      <c r="O763" s="21">
        <f>IF($C763="","",IF($P763="Aberto",N($H763)*$N763,0))</f>
        <v/>
      </c>
      <c r="P763" s="18">
        <f>IF($C763="","",IF($G763="Ganho","Ganho",IF($G763="Perdido","Perdido","Aberto")))</f>
        <v/>
      </c>
      <c r="Q763" s="18">
        <f>IF(OR($C763="",$P763&lt;&gt;"Aberto"),"",IF($I763="",Hoje-$B763,Hoje-$I763))</f>
        <v/>
      </c>
      <c r="R763" s="22">
        <f>IF(OR($C763="",$P763&lt;&gt;"Aberto"),"",IF($J763="",IF($Q763&gt;DiasSC,"ATRASADO","Definir data"),IF($J763&lt;Hoje,"ATRASADO",IF($J763=Hoje,"HOJE","Em dia"))))</f>
        <v/>
      </c>
      <c r="S763" s="23">
        <f>IF($R763="","",IF(OR($R763="ATRASADO",$R763="HOJE",$R763="Definir data"),COUNTIF($R$5:$R763,"ATRASADO")+COUNTIF($R$5:$R763,"HOJE")+COUNTIF($R$5:$R763,"Definir data"),""))</f>
        <v/>
      </c>
      <c r="T763" s="18">
        <f>IF($C763="","",IF(OR($B763="",$E763="",$F763="",$G763=""),"Preencher entrada/origem/vendedor/etapa",IF(AND(OR($P763="Ganho",$P763="Perdido"),$K763=""),"Falta data de fechamento",IF(AND($P763="Perdido",$L763=""),"Informe o motivo da perda","OK"))))</f>
        <v/>
      </c>
    </row>
    <row r="764" spans="1:20">
      <c r="A764" s="18">
        <f>IF($C764="","",ROW()-4)</f>
        <v/>
      </c>
      <c r="B764" s="19"/>
      <c r="C764" s="13"/>
      <c r="D764" s="13"/>
      <c r="E764" s="13"/>
      <c r="F764" s="13"/>
      <c r="G764" s="13"/>
      <c r="H764" s="15"/>
      <c r="I764" s="19"/>
      <c r="J764" s="19"/>
      <c r="K764" s="19"/>
      <c r="L764" s="13"/>
      <c r="M764" s="13"/>
      <c r="N764" s="20">
        <f>IF($C764="","",IFERROR(INDEX(EtapaProb,MATCH($G764,Etapas,0)),0))</f>
        <v/>
      </c>
      <c r="O764" s="21">
        <f>IF($C764="","",IF($P764="Aberto",N($H764)*$N764,0))</f>
        <v/>
      </c>
      <c r="P764" s="18">
        <f>IF($C764="","",IF($G764="Ganho","Ganho",IF($G764="Perdido","Perdido","Aberto")))</f>
        <v/>
      </c>
      <c r="Q764" s="18">
        <f>IF(OR($C764="",$P764&lt;&gt;"Aberto"),"",IF($I764="",Hoje-$B764,Hoje-$I764))</f>
        <v/>
      </c>
      <c r="R764" s="22">
        <f>IF(OR($C764="",$P764&lt;&gt;"Aberto"),"",IF($J764="",IF($Q764&gt;DiasSC,"ATRASADO","Definir data"),IF($J764&lt;Hoje,"ATRASADO",IF($J764=Hoje,"HOJE","Em dia"))))</f>
        <v/>
      </c>
      <c r="S764" s="23">
        <f>IF($R764="","",IF(OR($R764="ATRASADO",$R764="HOJE",$R764="Definir data"),COUNTIF($R$5:$R764,"ATRASADO")+COUNTIF($R$5:$R764,"HOJE")+COUNTIF($R$5:$R764,"Definir data"),""))</f>
        <v/>
      </c>
      <c r="T764" s="18">
        <f>IF($C764="","",IF(OR($B764="",$E764="",$F764="",$G764=""),"Preencher entrada/origem/vendedor/etapa",IF(AND(OR($P764="Ganho",$P764="Perdido"),$K764=""),"Falta data de fechamento",IF(AND($P764="Perdido",$L764=""),"Informe o motivo da perda","OK"))))</f>
        <v/>
      </c>
    </row>
    <row r="765" spans="1:20">
      <c r="A765" s="18">
        <f>IF($C765="","",ROW()-4)</f>
        <v/>
      </c>
      <c r="B765" s="19"/>
      <c r="C765" s="13"/>
      <c r="D765" s="13"/>
      <c r="E765" s="13"/>
      <c r="F765" s="13"/>
      <c r="G765" s="13"/>
      <c r="H765" s="15"/>
      <c r="I765" s="19"/>
      <c r="J765" s="19"/>
      <c r="K765" s="19"/>
      <c r="L765" s="13"/>
      <c r="M765" s="13"/>
      <c r="N765" s="20">
        <f>IF($C765="","",IFERROR(INDEX(EtapaProb,MATCH($G765,Etapas,0)),0))</f>
        <v/>
      </c>
      <c r="O765" s="21">
        <f>IF($C765="","",IF($P765="Aberto",N($H765)*$N765,0))</f>
        <v/>
      </c>
      <c r="P765" s="18">
        <f>IF($C765="","",IF($G765="Ganho","Ganho",IF($G765="Perdido","Perdido","Aberto")))</f>
        <v/>
      </c>
      <c r="Q765" s="18">
        <f>IF(OR($C765="",$P765&lt;&gt;"Aberto"),"",IF($I765="",Hoje-$B765,Hoje-$I765))</f>
        <v/>
      </c>
      <c r="R765" s="22">
        <f>IF(OR($C765="",$P765&lt;&gt;"Aberto"),"",IF($J765="",IF($Q765&gt;DiasSC,"ATRASADO","Definir data"),IF($J765&lt;Hoje,"ATRASADO",IF($J765=Hoje,"HOJE","Em dia"))))</f>
        <v/>
      </c>
      <c r="S765" s="23">
        <f>IF($R765="","",IF(OR($R765="ATRASADO",$R765="HOJE",$R765="Definir data"),COUNTIF($R$5:$R765,"ATRASADO")+COUNTIF($R$5:$R765,"HOJE")+COUNTIF($R$5:$R765,"Definir data"),""))</f>
        <v/>
      </c>
      <c r="T765" s="18">
        <f>IF($C765="","",IF(OR($B765="",$E765="",$F765="",$G765=""),"Preencher entrada/origem/vendedor/etapa",IF(AND(OR($P765="Ganho",$P765="Perdido"),$K765=""),"Falta data de fechamento",IF(AND($P765="Perdido",$L765=""),"Informe o motivo da perda","OK"))))</f>
        <v/>
      </c>
    </row>
    <row r="766" spans="1:20">
      <c r="A766" s="18">
        <f>IF($C766="","",ROW()-4)</f>
        <v/>
      </c>
      <c r="B766" s="19"/>
      <c r="C766" s="13"/>
      <c r="D766" s="13"/>
      <c r="E766" s="13"/>
      <c r="F766" s="13"/>
      <c r="G766" s="13"/>
      <c r="H766" s="15"/>
      <c r="I766" s="19"/>
      <c r="J766" s="19"/>
      <c r="K766" s="19"/>
      <c r="L766" s="13"/>
      <c r="M766" s="13"/>
      <c r="N766" s="20">
        <f>IF($C766="","",IFERROR(INDEX(EtapaProb,MATCH($G766,Etapas,0)),0))</f>
        <v/>
      </c>
      <c r="O766" s="21">
        <f>IF($C766="","",IF($P766="Aberto",N($H766)*$N766,0))</f>
        <v/>
      </c>
      <c r="P766" s="18">
        <f>IF($C766="","",IF($G766="Ganho","Ganho",IF($G766="Perdido","Perdido","Aberto")))</f>
        <v/>
      </c>
      <c r="Q766" s="18">
        <f>IF(OR($C766="",$P766&lt;&gt;"Aberto"),"",IF($I766="",Hoje-$B766,Hoje-$I766))</f>
        <v/>
      </c>
      <c r="R766" s="22">
        <f>IF(OR($C766="",$P766&lt;&gt;"Aberto"),"",IF($J766="",IF($Q766&gt;DiasSC,"ATRASADO","Definir data"),IF($J766&lt;Hoje,"ATRASADO",IF($J766=Hoje,"HOJE","Em dia"))))</f>
        <v/>
      </c>
      <c r="S766" s="23">
        <f>IF($R766="","",IF(OR($R766="ATRASADO",$R766="HOJE",$R766="Definir data"),COUNTIF($R$5:$R766,"ATRASADO")+COUNTIF($R$5:$R766,"HOJE")+COUNTIF($R$5:$R766,"Definir data"),""))</f>
        <v/>
      </c>
      <c r="T766" s="18">
        <f>IF($C766="","",IF(OR($B766="",$E766="",$F766="",$G766=""),"Preencher entrada/origem/vendedor/etapa",IF(AND(OR($P766="Ganho",$P766="Perdido"),$K766=""),"Falta data de fechamento",IF(AND($P766="Perdido",$L766=""),"Informe o motivo da perda","OK"))))</f>
        <v/>
      </c>
    </row>
    <row r="767" spans="1:20">
      <c r="A767" s="18">
        <f>IF($C767="","",ROW()-4)</f>
        <v/>
      </c>
      <c r="B767" s="19"/>
      <c r="C767" s="13"/>
      <c r="D767" s="13"/>
      <c r="E767" s="13"/>
      <c r="F767" s="13"/>
      <c r="G767" s="13"/>
      <c r="H767" s="15"/>
      <c r="I767" s="19"/>
      <c r="J767" s="19"/>
      <c r="K767" s="19"/>
      <c r="L767" s="13"/>
      <c r="M767" s="13"/>
      <c r="N767" s="20">
        <f>IF($C767="","",IFERROR(INDEX(EtapaProb,MATCH($G767,Etapas,0)),0))</f>
        <v/>
      </c>
      <c r="O767" s="21">
        <f>IF($C767="","",IF($P767="Aberto",N($H767)*$N767,0))</f>
        <v/>
      </c>
      <c r="P767" s="18">
        <f>IF($C767="","",IF($G767="Ganho","Ganho",IF($G767="Perdido","Perdido","Aberto")))</f>
        <v/>
      </c>
      <c r="Q767" s="18">
        <f>IF(OR($C767="",$P767&lt;&gt;"Aberto"),"",IF($I767="",Hoje-$B767,Hoje-$I767))</f>
        <v/>
      </c>
      <c r="R767" s="22">
        <f>IF(OR($C767="",$P767&lt;&gt;"Aberto"),"",IF($J767="",IF($Q767&gt;DiasSC,"ATRASADO","Definir data"),IF($J767&lt;Hoje,"ATRASADO",IF($J767=Hoje,"HOJE","Em dia"))))</f>
        <v/>
      </c>
      <c r="S767" s="23">
        <f>IF($R767="","",IF(OR($R767="ATRASADO",$R767="HOJE",$R767="Definir data"),COUNTIF($R$5:$R767,"ATRASADO")+COUNTIF($R$5:$R767,"HOJE")+COUNTIF($R$5:$R767,"Definir data"),""))</f>
        <v/>
      </c>
      <c r="T767" s="18">
        <f>IF($C767="","",IF(OR($B767="",$E767="",$F767="",$G767=""),"Preencher entrada/origem/vendedor/etapa",IF(AND(OR($P767="Ganho",$P767="Perdido"),$K767=""),"Falta data de fechamento",IF(AND($P767="Perdido",$L767=""),"Informe o motivo da perda","OK"))))</f>
        <v/>
      </c>
    </row>
    <row r="768" spans="1:20">
      <c r="A768" s="18">
        <f>IF($C768="","",ROW()-4)</f>
        <v/>
      </c>
      <c r="B768" s="19"/>
      <c r="C768" s="13"/>
      <c r="D768" s="13"/>
      <c r="E768" s="13"/>
      <c r="F768" s="13"/>
      <c r="G768" s="13"/>
      <c r="H768" s="15"/>
      <c r="I768" s="19"/>
      <c r="J768" s="19"/>
      <c r="K768" s="19"/>
      <c r="L768" s="13"/>
      <c r="M768" s="13"/>
      <c r="N768" s="20">
        <f>IF($C768="","",IFERROR(INDEX(EtapaProb,MATCH($G768,Etapas,0)),0))</f>
        <v/>
      </c>
      <c r="O768" s="21">
        <f>IF($C768="","",IF($P768="Aberto",N($H768)*$N768,0))</f>
        <v/>
      </c>
      <c r="P768" s="18">
        <f>IF($C768="","",IF($G768="Ganho","Ganho",IF($G768="Perdido","Perdido","Aberto")))</f>
        <v/>
      </c>
      <c r="Q768" s="18">
        <f>IF(OR($C768="",$P768&lt;&gt;"Aberto"),"",IF($I768="",Hoje-$B768,Hoje-$I768))</f>
        <v/>
      </c>
      <c r="R768" s="22">
        <f>IF(OR($C768="",$P768&lt;&gt;"Aberto"),"",IF($J768="",IF($Q768&gt;DiasSC,"ATRASADO","Definir data"),IF($J768&lt;Hoje,"ATRASADO",IF($J768=Hoje,"HOJE","Em dia"))))</f>
        <v/>
      </c>
      <c r="S768" s="23">
        <f>IF($R768="","",IF(OR($R768="ATRASADO",$R768="HOJE",$R768="Definir data"),COUNTIF($R$5:$R768,"ATRASADO")+COUNTIF($R$5:$R768,"HOJE")+COUNTIF($R$5:$R768,"Definir data"),""))</f>
        <v/>
      </c>
      <c r="T768" s="18">
        <f>IF($C768="","",IF(OR($B768="",$E768="",$F768="",$G768=""),"Preencher entrada/origem/vendedor/etapa",IF(AND(OR($P768="Ganho",$P768="Perdido"),$K768=""),"Falta data de fechamento",IF(AND($P768="Perdido",$L768=""),"Informe o motivo da perda","OK"))))</f>
        <v/>
      </c>
    </row>
    <row r="769" spans="1:20">
      <c r="A769" s="18">
        <f>IF($C769="","",ROW()-4)</f>
        <v/>
      </c>
      <c r="B769" s="19"/>
      <c r="C769" s="13"/>
      <c r="D769" s="13"/>
      <c r="E769" s="13"/>
      <c r="F769" s="13"/>
      <c r="G769" s="13"/>
      <c r="H769" s="15"/>
      <c r="I769" s="19"/>
      <c r="J769" s="19"/>
      <c r="K769" s="19"/>
      <c r="L769" s="13"/>
      <c r="M769" s="13"/>
      <c r="N769" s="20">
        <f>IF($C769="","",IFERROR(INDEX(EtapaProb,MATCH($G769,Etapas,0)),0))</f>
        <v/>
      </c>
      <c r="O769" s="21">
        <f>IF($C769="","",IF($P769="Aberto",N($H769)*$N769,0))</f>
        <v/>
      </c>
      <c r="P769" s="18">
        <f>IF($C769="","",IF($G769="Ganho","Ganho",IF($G769="Perdido","Perdido","Aberto")))</f>
        <v/>
      </c>
      <c r="Q769" s="18">
        <f>IF(OR($C769="",$P769&lt;&gt;"Aberto"),"",IF($I769="",Hoje-$B769,Hoje-$I769))</f>
        <v/>
      </c>
      <c r="R769" s="22">
        <f>IF(OR($C769="",$P769&lt;&gt;"Aberto"),"",IF($J769="",IF($Q769&gt;DiasSC,"ATRASADO","Definir data"),IF($J769&lt;Hoje,"ATRASADO",IF($J769=Hoje,"HOJE","Em dia"))))</f>
        <v/>
      </c>
      <c r="S769" s="23">
        <f>IF($R769="","",IF(OR($R769="ATRASADO",$R769="HOJE",$R769="Definir data"),COUNTIF($R$5:$R769,"ATRASADO")+COUNTIF($R$5:$R769,"HOJE")+COUNTIF($R$5:$R769,"Definir data"),""))</f>
        <v/>
      </c>
      <c r="T769" s="18">
        <f>IF($C769="","",IF(OR($B769="",$E769="",$F769="",$G769=""),"Preencher entrada/origem/vendedor/etapa",IF(AND(OR($P769="Ganho",$P769="Perdido"),$K769=""),"Falta data de fechamento",IF(AND($P769="Perdido",$L769=""),"Informe o motivo da perda","OK"))))</f>
        <v/>
      </c>
    </row>
    <row r="770" spans="1:20">
      <c r="A770" s="18">
        <f>IF($C770="","",ROW()-4)</f>
        <v/>
      </c>
      <c r="B770" s="19"/>
      <c r="C770" s="13"/>
      <c r="D770" s="13"/>
      <c r="E770" s="13"/>
      <c r="F770" s="13"/>
      <c r="G770" s="13"/>
      <c r="H770" s="15"/>
      <c r="I770" s="19"/>
      <c r="J770" s="19"/>
      <c r="K770" s="19"/>
      <c r="L770" s="13"/>
      <c r="M770" s="13"/>
      <c r="N770" s="20">
        <f>IF($C770="","",IFERROR(INDEX(EtapaProb,MATCH($G770,Etapas,0)),0))</f>
        <v/>
      </c>
      <c r="O770" s="21">
        <f>IF($C770="","",IF($P770="Aberto",N($H770)*$N770,0))</f>
        <v/>
      </c>
      <c r="P770" s="18">
        <f>IF($C770="","",IF($G770="Ganho","Ganho",IF($G770="Perdido","Perdido","Aberto")))</f>
        <v/>
      </c>
      <c r="Q770" s="18">
        <f>IF(OR($C770="",$P770&lt;&gt;"Aberto"),"",IF($I770="",Hoje-$B770,Hoje-$I770))</f>
        <v/>
      </c>
      <c r="R770" s="22">
        <f>IF(OR($C770="",$P770&lt;&gt;"Aberto"),"",IF($J770="",IF($Q770&gt;DiasSC,"ATRASADO","Definir data"),IF($J770&lt;Hoje,"ATRASADO",IF($J770=Hoje,"HOJE","Em dia"))))</f>
        <v/>
      </c>
      <c r="S770" s="23">
        <f>IF($R770="","",IF(OR($R770="ATRASADO",$R770="HOJE",$R770="Definir data"),COUNTIF($R$5:$R770,"ATRASADO")+COUNTIF($R$5:$R770,"HOJE")+COUNTIF($R$5:$R770,"Definir data"),""))</f>
        <v/>
      </c>
      <c r="T770" s="18">
        <f>IF($C770="","",IF(OR($B770="",$E770="",$F770="",$G770=""),"Preencher entrada/origem/vendedor/etapa",IF(AND(OR($P770="Ganho",$P770="Perdido"),$K770=""),"Falta data de fechamento",IF(AND($P770="Perdido",$L770=""),"Informe o motivo da perda","OK"))))</f>
        <v/>
      </c>
    </row>
    <row r="771" spans="1:20">
      <c r="A771" s="18">
        <f>IF($C771="","",ROW()-4)</f>
        <v/>
      </c>
      <c r="B771" s="19"/>
      <c r="C771" s="13"/>
      <c r="D771" s="13"/>
      <c r="E771" s="13"/>
      <c r="F771" s="13"/>
      <c r="G771" s="13"/>
      <c r="H771" s="15"/>
      <c r="I771" s="19"/>
      <c r="J771" s="19"/>
      <c r="K771" s="19"/>
      <c r="L771" s="13"/>
      <c r="M771" s="13"/>
      <c r="N771" s="20">
        <f>IF($C771="","",IFERROR(INDEX(EtapaProb,MATCH($G771,Etapas,0)),0))</f>
        <v/>
      </c>
      <c r="O771" s="21">
        <f>IF($C771="","",IF($P771="Aberto",N($H771)*$N771,0))</f>
        <v/>
      </c>
      <c r="P771" s="18">
        <f>IF($C771="","",IF($G771="Ganho","Ganho",IF($G771="Perdido","Perdido","Aberto")))</f>
        <v/>
      </c>
      <c r="Q771" s="18">
        <f>IF(OR($C771="",$P771&lt;&gt;"Aberto"),"",IF($I771="",Hoje-$B771,Hoje-$I771))</f>
        <v/>
      </c>
      <c r="R771" s="22">
        <f>IF(OR($C771="",$P771&lt;&gt;"Aberto"),"",IF($J771="",IF($Q771&gt;DiasSC,"ATRASADO","Definir data"),IF($J771&lt;Hoje,"ATRASADO",IF($J771=Hoje,"HOJE","Em dia"))))</f>
        <v/>
      </c>
      <c r="S771" s="23">
        <f>IF($R771="","",IF(OR($R771="ATRASADO",$R771="HOJE",$R771="Definir data"),COUNTIF($R$5:$R771,"ATRASADO")+COUNTIF($R$5:$R771,"HOJE")+COUNTIF($R$5:$R771,"Definir data"),""))</f>
        <v/>
      </c>
      <c r="T771" s="18">
        <f>IF($C771="","",IF(OR($B771="",$E771="",$F771="",$G771=""),"Preencher entrada/origem/vendedor/etapa",IF(AND(OR($P771="Ganho",$P771="Perdido"),$K771=""),"Falta data de fechamento",IF(AND($P771="Perdido",$L771=""),"Informe o motivo da perda","OK"))))</f>
        <v/>
      </c>
    </row>
    <row r="772" spans="1:20">
      <c r="A772" s="18">
        <f>IF($C772="","",ROW()-4)</f>
        <v/>
      </c>
      <c r="B772" s="19"/>
      <c r="C772" s="13"/>
      <c r="D772" s="13"/>
      <c r="E772" s="13"/>
      <c r="F772" s="13"/>
      <c r="G772" s="13"/>
      <c r="H772" s="15"/>
      <c r="I772" s="19"/>
      <c r="J772" s="19"/>
      <c r="K772" s="19"/>
      <c r="L772" s="13"/>
      <c r="M772" s="13"/>
      <c r="N772" s="20">
        <f>IF($C772="","",IFERROR(INDEX(EtapaProb,MATCH($G772,Etapas,0)),0))</f>
        <v/>
      </c>
      <c r="O772" s="21">
        <f>IF($C772="","",IF($P772="Aberto",N($H772)*$N772,0))</f>
        <v/>
      </c>
      <c r="P772" s="18">
        <f>IF($C772="","",IF($G772="Ganho","Ganho",IF($G772="Perdido","Perdido","Aberto")))</f>
        <v/>
      </c>
      <c r="Q772" s="18">
        <f>IF(OR($C772="",$P772&lt;&gt;"Aberto"),"",IF($I772="",Hoje-$B772,Hoje-$I772))</f>
        <v/>
      </c>
      <c r="R772" s="22">
        <f>IF(OR($C772="",$P772&lt;&gt;"Aberto"),"",IF($J772="",IF($Q772&gt;DiasSC,"ATRASADO","Definir data"),IF($J772&lt;Hoje,"ATRASADO",IF($J772=Hoje,"HOJE","Em dia"))))</f>
        <v/>
      </c>
      <c r="S772" s="23">
        <f>IF($R772="","",IF(OR($R772="ATRASADO",$R772="HOJE",$R772="Definir data"),COUNTIF($R$5:$R772,"ATRASADO")+COUNTIF($R$5:$R772,"HOJE")+COUNTIF($R$5:$R772,"Definir data"),""))</f>
        <v/>
      </c>
      <c r="T772" s="18">
        <f>IF($C772="","",IF(OR($B772="",$E772="",$F772="",$G772=""),"Preencher entrada/origem/vendedor/etapa",IF(AND(OR($P772="Ganho",$P772="Perdido"),$K772=""),"Falta data de fechamento",IF(AND($P772="Perdido",$L772=""),"Informe o motivo da perda","OK"))))</f>
        <v/>
      </c>
    </row>
    <row r="773" spans="1:20">
      <c r="A773" s="18">
        <f>IF($C773="","",ROW()-4)</f>
        <v/>
      </c>
      <c r="B773" s="19"/>
      <c r="C773" s="13"/>
      <c r="D773" s="13"/>
      <c r="E773" s="13"/>
      <c r="F773" s="13"/>
      <c r="G773" s="13"/>
      <c r="H773" s="15"/>
      <c r="I773" s="19"/>
      <c r="J773" s="19"/>
      <c r="K773" s="19"/>
      <c r="L773" s="13"/>
      <c r="M773" s="13"/>
      <c r="N773" s="20">
        <f>IF($C773="","",IFERROR(INDEX(EtapaProb,MATCH($G773,Etapas,0)),0))</f>
        <v/>
      </c>
      <c r="O773" s="21">
        <f>IF($C773="","",IF($P773="Aberto",N($H773)*$N773,0))</f>
        <v/>
      </c>
      <c r="P773" s="18">
        <f>IF($C773="","",IF($G773="Ganho","Ganho",IF($G773="Perdido","Perdido","Aberto")))</f>
        <v/>
      </c>
      <c r="Q773" s="18">
        <f>IF(OR($C773="",$P773&lt;&gt;"Aberto"),"",IF($I773="",Hoje-$B773,Hoje-$I773))</f>
        <v/>
      </c>
      <c r="R773" s="22">
        <f>IF(OR($C773="",$P773&lt;&gt;"Aberto"),"",IF($J773="",IF($Q773&gt;DiasSC,"ATRASADO","Definir data"),IF($J773&lt;Hoje,"ATRASADO",IF($J773=Hoje,"HOJE","Em dia"))))</f>
        <v/>
      </c>
      <c r="S773" s="23">
        <f>IF($R773="","",IF(OR($R773="ATRASADO",$R773="HOJE",$R773="Definir data"),COUNTIF($R$5:$R773,"ATRASADO")+COUNTIF($R$5:$R773,"HOJE")+COUNTIF($R$5:$R773,"Definir data"),""))</f>
        <v/>
      </c>
      <c r="T773" s="18">
        <f>IF($C773="","",IF(OR($B773="",$E773="",$F773="",$G773=""),"Preencher entrada/origem/vendedor/etapa",IF(AND(OR($P773="Ganho",$P773="Perdido"),$K773=""),"Falta data de fechamento",IF(AND($P773="Perdido",$L773=""),"Informe o motivo da perda","OK"))))</f>
        <v/>
      </c>
    </row>
    <row r="774" spans="1:20">
      <c r="A774" s="18">
        <f>IF($C774="","",ROW()-4)</f>
        <v/>
      </c>
      <c r="B774" s="19"/>
      <c r="C774" s="13"/>
      <c r="D774" s="13"/>
      <c r="E774" s="13"/>
      <c r="F774" s="13"/>
      <c r="G774" s="13"/>
      <c r="H774" s="15"/>
      <c r="I774" s="19"/>
      <c r="J774" s="19"/>
      <c r="K774" s="19"/>
      <c r="L774" s="13"/>
      <c r="M774" s="13"/>
      <c r="N774" s="20">
        <f>IF($C774="","",IFERROR(INDEX(EtapaProb,MATCH($G774,Etapas,0)),0))</f>
        <v/>
      </c>
      <c r="O774" s="21">
        <f>IF($C774="","",IF($P774="Aberto",N($H774)*$N774,0))</f>
        <v/>
      </c>
      <c r="P774" s="18">
        <f>IF($C774="","",IF($G774="Ganho","Ganho",IF($G774="Perdido","Perdido","Aberto")))</f>
        <v/>
      </c>
      <c r="Q774" s="18">
        <f>IF(OR($C774="",$P774&lt;&gt;"Aberto"),"",IF($I774="",Hoje-$B774,Hoje-$I774))</f>
        <v/>
      </c>
      <c r="R774" s="22">
        <f>IF(OR($C774="",$P774&lt;&gt;"Aberto"),"",IF($J774="",IF($Q774&gt;DiasSC,"ATRASADO","Definir data"),IF($J774&lt;Hoje,"ATRASADO",IF($J774=Hoje,"HOJE","Em dia"))))</f>
        <v/>
      </c>
      <c r="S774" s="23">
        <f>IF($R774="","",IF(OR($R774="ATRASADO",$R774="HOJE",$R774="Definir data"),COUNTIF($R$5:$R774,"ATRASADO")+COUNTIF($R$5:$R774,"HOJE")+COUNTIF($R$5:$R774,"Definir data"),""))</f>
        <v/>
      </c>
      <c r="T774" s="18">
        <f>IF($C774="","",IF(OR($B774="",$E774="",$F774="",$G774=""),"Preencher entrada/origem/vendedor/etapa",IF(AND(OR($P774="Ganho",$P774="Perdido"),$K774=""),"Falta data de fechamento",IF(AND($P774="Perdido",$L774=""),"Informe o motivo da perda","OK"))))</f>
        <v/>
      </c>
    </row>
    <row r="775" spans="1:20">
      <c r="A775" s="18">
        <f>IF($C775="","",ROW()-4)</f>
        <v/>
      </c>
      <c r="B775" s="19"/>
      <c r="C775" s="13"/>
      <c r="D775" s="13"/>
      <c r="E775" s="13"/>
      <c r="F775" s="13"/>
      <c r="G775" s="13"/>
      <c r="H775" s="15"/>
      <c r="I775" s="19"/>
      <c r="J775" s="19"/>
      <c r="K775" s="19"/>
      <c r="L775" s="13"/>
      <c r="M775" s="13"/>
      <c r="N775" s="20">
        <f>IF($C775="","",IFERROR(INDEX(EtapaProb,MATCH($G775,Etapas,0)),0))</f>
        <v/>
      </c>
      <c r="O775" s="21">
        <f>IF($C775="","",IF($P775="Aberto",N($H775)*$N775,0))</f>
        <v/>
      </c>
      <c r="P775" s="18">
        <f>IF($C775="","",IF($G775="Ganho","Ganho",IF($G775="Perdido","Perdido","Aberto")))</f>
        <v/>
      </c>
      <c r="Q775" s="18">
        <f>IF(OR($C775="",$P775&lt;&gt;"Aberto"),"",IF($I775="",Hoje-$B775,Hoje-$I775))</f>
        <v/>
      </c>
      <c r="R775" s="22">
        <f>IF(OR($C775="",$P775&lt;&gt;"Aberto"),"",IF($J775="",IF($Q775&gt;DiasSC,"ATRASADO","Definir data"),IF($J775&lt;Hoje,"ATRASADO",IF($J775=Hoje,"HOJE","Em dia"))))</f>
        <v/>
      </c>
      <c r="S775" s="23">
        <f>IF($R775="","",IF(OR($R775="ATRASADO",$R775="HOJE",$R775="Definir data"),COUNTIF($R$5:$R775,"ATRASADO")+COUNTIF($R$5:$R775,"HOJE")+COUNTIF($R$5:$R775,"Definir data"),""))</f>
        <v/>
      </c>
      <c r="T775" s="18">
        <f>IF($C775="","",IF(OR($B775="",$E775="",$F775="",$G775=""),"Preencher entrada/origem/vendedor/etapa",IF(AND(OR($P775="Ganho",$P775="Perdido"),$K775=""),"Falta data de fechamento",IF(AND($P775="Perdido",$L775=""),"Informe o motivo da perda","OK"))))</f>
        <v/>
      </c>
    </row>
    <row r="776" spans="1:20">
      <c r="A776" s="18">
        <f>IF($C776="","",ROW()-4)</f>
        <v/>
      </c>
      <c r="B776" s="19"/>
      <c r="C776" s="13"/>
      <c r="D776" s="13"/>
      <c r="E776" s="13"/>
      <c r="F776" s="13"/>
      <c r="G776" s="13"/>
      <c r="H776" s="15"/>
      <c r="I776" s="19"/>
      <c r="J776" s="19"/>
      <c r="K776" s="19"/>
      <c r="L776" s="13"/>
      <c r="M776" s="13"/>
      <c r="N776" s="20">
        <f>IF($C776="","",IFERROR(INDEX(EtapaProb,MATCH($G776,Etapas,0)),0))</f>
        <v/>
      </c>
      <c r="O776" s="21">
        <f>IF($C776="","",IF($P776="Aberto",N($H776)*$N776,0))</f>
        <v/>
      </c>
      <c r="P776" s="18">
        <f>IF($C776="","",IF($G776="Ganho","Ganho",IF($G776="Perdido","Perdido","Aberto")))</f>
        <v/>
      </c>
      <c r="Q776" s="18">
        <f>IF(OR($C776="",$P776&lt;&gt;"Aberto"),"",IF($I776="",Hoje-$B776,Hoje-$I776))</f>
        <v/>
      </c>
      <c r="R776" s="22">
        <f>IF(OR($C776="",$P776&lt;&gt;"Aberto"),"",IF($J776="",IF($Q776&gt;DiasSC,"ATRASADO","Definir data"),IF($J776&lt;Hoje,"ATRASADO",IF($J776=Hoje,"HOJE","Em dia"))))</f>
        <v/>
      </c>
      <c r="S776" s="23">
        <f>IF($R776="","",IF(OR($R776="ATRASADO",$R776="HOJE",$R776="Definir data"),COUNTIF($R$5:$R776,"ATRASADO")+COUNTIF($R$5:$R776,"HOJE")+COUNTIF($R$5:$R776,"Definir data"),""))</f>
        <v/>
      </c>
      <c r="T776" s="18">
        <f>IF($C776="","",IF(OR($B776="",$E776="",$F776="",$G776=""),"Preencher entrada/origem/vendedor/etapa",IF(AND(OR($P776="Ganho",$P776="Perdido"),$K776=""),"Falta data de fechamento",IF(AND($P776="Perdido",$L776=""),"Informe o motivo da perda","OK"))))</f>
        <v/>
      </c>
    </row>
    <row r="777" spans="1:20">
      <c r="A777" s="18">
        <f>IF($C777="","",ROW()-4)</f>
        <v/>
      </c>
      <c r="B777" s="19"/>
      <c r="C777" s="13"/>
      <c r="D777" s="13"/>
      <c r="E777" s="13"/>
      <c r="F777" s="13"/>
      <c r="G777" s="13"/>
      <c r="H777" s="15"/>
      <c r="I777" s="19"/>
      <c r="J777" s="19"/>
      <c r="K777" s="19"/>
      <c r="L777" s="13"/>
      <c r="M777" s="13"/>
      <c r="N777" s="20">
        <f>IF($C777="","",IFERROR(INDEX(EtapaProb,MATCH($G777,Etapas,0)),0))</f>
        <v/>
      </c>
      <c r="O777" s="21">
        <f>IF($C777="","",IF($P777="Aberto",N($H777)*$N777,0))</f>
        <v/>
      </c>
      <c r="P777" s="18">
        <f>IF($C777="","",IF($G777="Ganho","Ganho",IF($G777="Perdido","Perdido","Aberto")))</f>
        <v/>
      </c>
      <c r="Q777" s="18">
        <f>IF(OR($C777="",$P777&lt;&gt;"Aberto"),"",IF($I777="",Hoje-$B777,Hoje-$I777))</f>
        <v/>
      </c>
      <c r="R777" s="22">
        <f>IF(OR($C777="",$P777&lt;&gt;"Aberto"),"",IF($J777="",IF($Q777&gt;DiasSC,"ATRASADO","Definir data"),IF($J777&lt;Hoje,"ATRASADO",IF($J777=Hoje,"HOJE","Em dia"))))</f>
        <v/>
      </c>
      <c r="S777" s="23">
        <f>IF($R777="","",IF(OR($R777="ATRASADO",$R777="HOJE",$R777="Definir data"),COUNTIF($R$5:$R777,"ATRASADO")+COUNTIF($R$5:$R777,"HOJE")+COUNTIF($R$5:$R777,"Definir data"),""))</f>
        <v/>
      </c>
      <c r="T777" s="18">
        <f>IF($C777="","",IF(OR($B777="",$E777="",$F777="",$G777=""),"Preencher entrada/origem/vendedor/etapa",IF(AND(OR($P777="Ganho",$P777="Perdido"),$K777=""),"Falta data de fechamento",IF(AND($P777="Perdido",$L777=""),"Informe o motivo da perda","OK"))))</f>
        <v/>
      </c>
    </row>
    <row r="778" spans="1:20">
      <c r="A778" s="18">
        <f>IF($C778="","",ROW()-4)</f>
        <v/>
      </c>
      <c r="B778" s="19"/>
      <c r="C778" s="13"/>
      <c r="D778" s="13"/>
      <c r="E778" s="13"/>
      <c r="F778" s="13"/>
      <c r="G778" s="13"/>
      <c r="H778" s="15"/>
      <c r="I778" s="19"/>
      <c r="J778" s="19"/>
      <c r="K778" s="19"/>
      <c r="L778" s="13"/>
      <c r="M778" s="13"/>
      <c r="N778" s="20">
        <f>IF($C778="","",IFERROR(INDEX(EtapaProb,MATCH($G778,Etapas,0)),0))</f>
        <v/>
      </c>
      <c r="O778" s="21">
        <f>IF($C778="","",IF($P778="Aberto",N($H778)*$N778,0))</f>
        <v/>
      </c>
      <c r="P778" s="18">
        <f>IF($C778="","",IF($G778="Ganho","Ganho",IF($G778="Perdido","Perdido","Aberto")))</f>
        <v/>
      </c>
      <c r="Q778" s="18">
        <f>IF(OR($C778="",$P778&lt;&gt;"Aberto"),"",IF($I778="",Hoje-$B778,Hoje-$I778))</f>
        <v/>
      </c>
      <c r="R778" s="22">
        <f>IF(OR($C778="",$P778&lt;&gt;"Aberto"),"",IF($J778="",IF($Q778&gt;DiasSC,"ATRASADO","Definir data"),IF($J778&lt;Hoje,"ATRASADO",IF($J778=Hoje,"HOJE","Em dia"))))</f>
        <v/>
      </c>
      <c r="S778" s="23">
        <f>IF($R778="","",IF(OR($R778="ATRASADO",$R778="HOJE",$R778="Definir data"),COUNTIF($R$5:$R778,"ATRASADO")+COUNTIF($R$5:$R778,"HOJE")+COUNTIF($R$5:$R778,"Definir data"),""))</f>
        <v/>
      </c>
      <c r="T778" s="18">
        <f>IF($C778="","",IF(OR($B778="",$E778="",$F778="",$G778=""),"Preencher entrada/origem/vendedor/etapa",IF(AND(OR($P778="Ganho",$P778="Perdido"),$K778=""),"Falta data de fechamento",IF(AND($P778="Perdido",$L778=""),"Informe o motivo da perda","OK"))))</f>
        <v/>
      </c>
    </row>
    <row r="779" spans="1:20">
      <c r="A779" s="18">
        <f>IF($C779="","",ROW()-4)</f>
        <v/>
      </c>
      <c r="B779" s="19"/>
      <c r="C779" s="13"/>
      <c r="D779" s="13"/>
      <c r="E779" s="13"/>
      <c r="F779" s="13"/>
      <c r="G779" s="13"/>
      <c r="H779" s="15"/>
      <c r="I779" s="19"/>
      <c r="J779" s="19"/>
      <c r="K779" s="19"/>
      <c r="L779" s="13"/>
      <c r="M779" s="13"/>
      <c r="N779" s="20">
        <f>IF($C779="","",IFERROR(INDEX(EtapaProb,MATCH($G779,Etapas,0)),0))</f>
        <v/>
      </c>
      <c r="O779" s="21">
        <f>IF($C779="","",IF($P779="Aberto",N($H779)*$N779,0))</f>
        <v/>
      </c>
      <c r="P779" s="18">
        <f>IF($C779="","",IF($G779="Ganho","Ganho",IF($G779="Perdido","Perdido","Aberto")))</f>
        <v/>
      </c>
      <c r="Q779" s="18">
        <f>IF(OR($C779="",$P779&lt;&gt;"Aberto"),"",IF($I779="",Hoje-$B779,Hoje-$I779))</f>
        <v/>
      </c>
      <c r="R779" s="22">
        <f>IF(OR($C779="",$P779&lt;&gt;"Aberto"),"",IF($J779="",IF($Q779&gt;DiasSC,"ATRASADO","Definir data"),IF($J779&lt;Hoje,"ATRASADO",IF($J779=Hoje,"HOJE","Em dia"))))</f>
        <v/>
      </c>
      <c r="S779" s="23">
        <f>IF($R779="","",IF(OR($R779="ATRASADO",$R779="HOJE",$R779="Definir data"),COUNTIF($R$5:$R779,"ATRASADO")+COUNTIF($R$5:$R779,"HOJE")+COUNTIF($R$5:$R779,"Definir data"),""))</f>
        <v/>
      </c>
      <c r="T779" s="18">
        <f>IF($C779="","",IF(OR($B779="",$E779="",$F779="",$G779=""),"Preencher entrada/origem/vendedor/etapa",IF(AND(OR($P779="Ganho",$P779="Perdido"),$K779=""),"Falta data de fechamento",IF(AND($P779="Perdido",$L779=""),"Informe o motivo da perda","OK"))))</f>
        <v/>
      </c>
    </row>
    <row r="780" spans="1:20">
      <c r="A780" s="18">
        <f>IF($C780="","",ROW()-4)</f>
        <v/>
      </c>
      <c r="B780" s="19"/>
      <c r="C780" s="13"/>
      <c r="D780" s="13"/>
      <c r="E780" s="13"/>
      <c r="F780" s="13"/>
      <c r="G780" s="13"/>
      <c r="H780" s="15"/>
      <c r="I780" s="19"/>
      <c r="J780" s="19"/>
      <c r="K780" s="19"/>
      <c r="L780" s="13"/>
      <c r="M780" s="13"/>
      <c r="N780" s="20">
        <f>IF($C780="","",IFERROR(INDEX(EtapaProb,MATCH($G780,Etapas,0)),0))</f>
        <v/>
      </c>
      <c r="O780" s="21">
        <f>IF($C780="","",IF($P780="Aberto",N($H780)*$N780,0))</f>
        <v/>
      </c>
      <c r="P780" s="18">
        <f>IF($C780="","",IF($G780="Ganho","Ganho",IF($G780="Perdido","Perdido","Aberto")))</f>
        <v/>
      </c>
      <c r="Q780" s="18">
        <f>IF(OR($C780="",$P780&lt;&gt;"Aberto"),"",IF($I780="",Hoje-$B780,Hoje-$I780))</f>
        <v/>
      </c>
      <c r="R780" s="22">
        <f>IF(OR($C780="",$P780&lt;&gt;"Aberto"),"",IF($J780="",IF($Q780&gt;DiasSC,"ATRASADO","Definir data"),IF($J780&lt;Hoje,"ATRASADO",IF($J780=Hoje,"HOJE","Em dia"))))</f>
        <v/>
      </c>
      <c r="S780" s="23">
        <f>IF($R780="","",IF(OR($R780="ATRASADO",$R780="HOJE",$R780="Definir data"),COUNTIF($R$5:$R780,"ATRASADO")+COUNTIF($R$5:$R780,"HOJE")+COUNTIF($R$5:$R780,"Definir data"),""))</f>
        <v/>
      </c>
      <c r="T780" s="18">
        <f>IF($C780="","",IF(OR($B780="",$E780="",$F780="",$G780=""),"Preencher entrada/origem/vendedor/etapa",IF(AND(OR($P780="Ganho",$P780="Perdido"),$K780=""),"Falta data de fechamento",IF(AND($P780="Perdido",$L780=""),"Informe o motivo da perda","OK"))))</f>
        <v/>
      </c>
    </row>
    <row r="781" spans="1:20">
      <c r="A781" s="18">
        <f>IF($C781="","",ROW()-4)</f>
        <v/>
      </c>
      <c r="B781" s="19"/>
      <c r="C781" s="13"/>
      <c r="D781" s="13"/>
      <c r="E781" s="13"/>
      <c r="F781" s="13"/>
      <c r="G781" s="13"/>
      <c r="H781" s="15"/>
      <c r="I781" s="19"/>
      <c r="J781" s="19"/>
      <c r="K781" s="19"/>
      <c r="L781" s="13"/>
      <c r="M781" s="13"/>
      <c r="N781" s="20">
        <f>IF($C781="","",IFERROR(INDEX(EtapaProb,MATCH($G781,Etapas,0)),0))</f>
        <v/>
      </c>
      <c r="O781" s="21">
        <f>IF($C781="","",IF($P781="Aberto",N($H781)*$N781,0))</f>
        <v/>
      </c>
      <c r="P781" s="18">
        <f>IF($C781="","",IF($G781="Ganho","Ganho",IF($G781="Perdido","Perdido","Aberto")))</f>
        <v/>
      </c>
      <c r="Q781" s="18">
        <f>IF(OR($C781="",$P781&lt;&gt;"Aberto"),"",IF($I781="",Hoje-$B781,Hoje-$I781))</f>
        <v/>
      </c>
      <c r="R781" s="22">
        <f>IF(OR($C781="",$P781&lt;&gt;"Aberto"),"",IF($J781="",IF($Q781&gt;DiasSC,"ATRASADO","Definir data"),IF($J781&lt;Hoje,"ATRASADO",IF($J781=Hoje,"HOJE","Em dia"))))</f>
        <v/>
      </c>
      <c r="S781" s="23">
        <f>IF($R781="","",IF(OR($R781="ATRASADO",$R781="HOJE",$R781="Definir data"),COUNTIF($R$5:$R781,"ATRASADO")+COUNTIF($R$5:$R781,"HOJE")+COUNTIF($R$5:$R781,"Definir data"),""))</f>
        <v/>
      </c>
      <c r="T781" s="18">
        <f>IF($C781="","",IF(OR($B781="",$E781="",$F781="",$G781=""),"Preencher entrada/origem/vendedor/etapa",IF(AND(OR($P781="Ganho",$P781="Perdido"),$K781=""),"Falta data de fechamento",IF(AND($P781="Perdido",$L781=""),"Informe o motivo da perda","OK"))))</f>
        <v/>
      </c>
    </row>
    <row r="782" spans="1:20">
      <c r="A782" s="18">
        <f>IF($C782="","",ROW()-4)</f>
        <v/>
      </c>
      <c r="B782" s="19"/>
      <c r="C782" s="13"/>
      <c r="D782" s="13"/>
      <c r="E782" s="13"/>
      <c r="F782" s="13"/>
      <c r="G782" s="13"/>
      <c r="H782" s="15"/>
      <c r="I782" s="19"/>
      <c r="J782" s="19"/>
      <c r="K782" s="19"/>
      <c r="L782" s="13"/>
      <c r="M782" s="13"/>
      <c r="N782" s="20">
        <f>IF($C782="","",IFERROR(INDEX(EtapaProb,MATCH($G782,Etapas,0)),0))</f>
        <v/>
      </c>
      <c r="O782" s="21">
        <f>IF($C782="","",IF($P782="Aberto",N($H782)*$N782,0))</f>
        <v/>
      </c>
      <c r="P782" s="18">
        <f>IF($C782="","",IF($G782="Ganho","Ganho",IF($G782="Perdido","Perdido","Aberto")))</f>
        <v/>
      </c>
      <c r="Q782" s="18">
        <f>IF(OR($C782="",$P782&lt;&gt;"Aberto"),"",IF($I782="",Hoje-$B782,Hoje-$I782))</f>
        <v/>
      </c>
      <c r="R782" s="22">
        <f>IF(OR($C782="",$P782&lt;&gt;"Aberto"),"",IF($J782="",IF($Q782&gt;DiasSC,"ATRASADO","Definir data"),IF($J782&lt;Hoje,"ATRASADO",IF($J782=Hoje,"HOJE","Em dia"))))</f>
        <v/>
      </c>
      <c r="S782" s="23">
        <f>IF($R782="","",IF(OR($R782="ATRASADO",$R782="HOJE",$R782="Definir data"),COUNTIF($R$5:$R782,"ATRASADO")+COUNTIF($R$5:$R782,"HOJE")+COUNTIF($R$5:$R782,"Definir data"),""))</f>
        <v/>
      </c>
      <c r="T782" s="18">
        <f>IF($C782="","",IF(OR($B782="",$E782="",$F782="",$G782=""),"Preencher entrada/origem/vendedor/etapa",IF(AND(OR($P782="Ganho",$P782="Perdido"),$K782=""),"Falta data de fechamento",IF(AND($P782="Perdido",$L782=""),"Informe o motivo da perda","OK"))))</f>
        <v/>
      </c>
    </row>
    <row r="783" spans="1:20">
      <c r="A783" s="18">
        <f>IF($C783="","",ROW()-4)</f>
        <v/>
      </c>
      <c r="B783" s="19"/>
      <c r="C783" s="13"/>
      <c r="D783" s="13"/>
      <c r="E783" s="13"/>
      <c r="F783" s="13"/>
      <c r="G783" s="13"/>
      <c r="H783" s="15"/>
      <c r="I783" s="19"/>
      <c r="J783" s="19"/>
      <c r="K783" s="19"/>
      <c r="L783" s="13"/>
      <c r="M783" s="13"/>
      <c r="N783" s="20">
        <f>IF($C783="","",IFERROR(INDEX(EtapaProb,MATCH($G783,Etapas,0)),0))</f>
        <v/>
      </c>
      <c r="O783" s="21">
        <f>IF($C783="","",IF($P783="Aberto",N($H783)*$N783,0))</f>
        <v/>
      </c>
      <c r="P783" s="18">
        <f>IF($C783="","",IF($G783="Ganho","Ganho",IF($G783="Perdido","Perdido","Aberto")))</f>
        <v/>
      </c>
      <c r="Q783" s="18">
        <f>IF(OR($C783="",$P783&lt;&gt;"Aberto"),"",IF($I783="",Hoje-$B783,Hoje-$I783))</f>
        <v/>
      </c>
      <c r="R783" s="22">
        <f>IF(OR($C783="",$P783&lt;&gt;"Aberto"),"",IF($J783="",IF($Q783&gt;DiasSC,"ATRASADO","Definir data"),IF($J783&lt;Hoje,"ATRASADO",IF($J783=Hoje,"HOJE","Em dia"))))</f>
        <v/>
      </c>
      <c r="S783" s="23">
        <f>IF($R783="","",IF(OR($R783="ATRASADO",$R783="HOJE",$R783="Definir data"),COUNTIF($R$5:$R783,"ATRASADO")+COUNTIF($R$5:$R783,"HOJE")+COUNTIF($R$5:$R783,"Definir data"),""))</f>
        <v/>
      </c>
      <c r="T783" s="18">
        <f>IF($C783="","",IF(OR($B783="",$E783="",$F783="",$G783=""),"Preencher entrada/origem/vendedor/etapa",IF(AND(OR($P783="Ganho",$P783="Perdido"),$K783=""),"Falta data de fechamento",IF(AND($P783="Perdido",$L783=""),"Informe o motivo da perda","OK"))))</f>
        <v/>
      </c>
    </row>
    <row r="784" spans="1:20">
      <c r="A784" s="18">
        <f>IF($C784="","",ROW()-4)</f>
        <v/>
      </c>
      <c r="B784" s="19"/>
      <c r="C784" s="13"/>
      <c r="D784" s="13"/>
      <c r="E784" s="13"/>
      <c r="F784" s="13"/>
      <c r="G784" s="13"/>
      <c r="H784" s="15"/>
      <c r="I784" s="19"/>
      <c r="J784" s="19"/>
      <c r="K784" s="19"/>
      <c r="L784" s="13"/>
      <c r="M784" s="13"/>
      <c r="N784" s="20">
        <f>IF($C784="","",IFERROR(INDEX(EtapaProb,MATCH($G784,Etapas,0)),0))</f>
        <v/>
      </c>
      <c r="O784" s="21">
        <f>IF($C784="","",IF($P784="Aberto",N($H784)*$N784,0))</f>
        <v/>
      </c>
      <c r="P784" s="18">
        <f>IF($C784="","",IF($G784="Ganho","Ganho",IF($G784="Perdido","Perdido","Aberto")))</f>
        <v/>
      </c>
      <c r="Q784" s="18">
        <f>IF(OR($C784="",$P784&lt;&gt;"Aberto"),"",IF($I784="",Hoje-$B784,Hoje-$I784))</f>
        <v/>
      </c>
      <c r="R784" s="22">
        <f>IF(OR($C784="",$P784&lt;&gt;"Aberto"),"",IF($J784="",IF($Q784&gt;DiasSC,"ATRASADO","Definir data"),IF($J784&lt;Hoje,"ATRASADO",IF($J784=Hoje,"HOJE","Em dia"))))</f>
        <v/>
      </c>
      <c r="S784" s="23">
        <f>IF($R784="","",IF(OR($R784="ATRASADO",$R784="HOJE",$R784="Definir data"),COUNTIF($R$5:$R784,"ATRASADO")+COUNTIF($R$5:$R784,"HOJE")+COUNTIF($R$5:$R784,"Definir data"),""))</f>
        <v/>
      </c>
      <c r="T784" s="18">
        <f>IF($C784="","",IF(OR($B784="",$E784="",$F784="",$G784=""),"Preencher entrada/origem/vendedor/etapa",IF(AND(OR($P784="Ganho",$P784="Perdido"),$K784=""),"Falta data de fechamento",IF(AND($P784="Perdido",$L784=""),"Informe o motivo da perda","OK"))))</f>
        <v/>
      </c>
    </row>
    <row r="785" spans="1:20">
      <c r="A785" s="18">
        <f>IF($C785="","",ROW()-4)</f>
        <v/>
      </c>
      <c r="B785" s="19"/>
      <c r="C785" s="13"/>
      <c r="D785" s="13"/>
      <c r="E785" s="13"/>
      <c r="F785" s="13"/>
      <c r="G785" s="13"/>
      <c r="H785" s="15"/>
      <c r="I785" s="19"/>
      <c r="J785" s="19"/>
      <c r="K785" s="19"/>
      <c r="L785" s="13"/>
      <c r="M785" s="13"/>
      <c r="N785" s="20">
        <f>IF($C785="","",IFERROR(INDEX(EtapaProb,MATCH($G785,Etapas,0)),0))</f>
        <v/>
      </c>
      <c r="O785" s="21">
        <f>IF($C785="","",IF($P785="Aberto",N($H785)*$N785,0))</f>
        <v/>
      </c>
      <c r="P785" s="18">
        <f>IF($C785="","",IF($G785="Ganho","Ganho",IF($G785="Perdido","Perdido","Aberto")))</f>
        <v/>
      </c>
      <c r="Q785" s="18">
        <f>IF(OR($C785="",$P785&lt;&gt;"Aberto"),"",IF($I785="",Hoje-$B785,Hoje-$I785))</f>
        <v/>
      </c>
      <c r="R785" s="22">
        <f>IF(OR($C785="",$P785&lt;&gt;"Aberto"),"",IF($J785="",IF($Q785&gt;DiasSC,"ATRASADO","Definir data"),IF($J785&lt;Hoje,"ATRASADO",IF($J785=Hoje,"HOJE","Em dia"))))</f>
        <v/>
      </c>
      <c r="S785" s="23">
        <f>IF($R785="","",IF(OR($R785="ATRASADO",$R785="HOJE",$R785="Definir data"),COUNTIF($R$5:$R785,"ATRASADO")+COUNTIF($R$5:$R785,"HOJE")+COUNTIF($R$5:$R785,"Definir data"),""))</f>
        <v/>
      </c>
      <c r="T785" s="18">
        <f>IF($C785="","",IF(OR($B785="",$E785="",$F785="",$G785=""),"Preencher entrada/origem/vendedor/etapa",IF(AND(OR($P785="Ganho",$P785="Perdido"),$K785=""),"Falta data de fechamento",IF(AND($P785="Perdido",$L785=""),"Informe o motivo da perda","OK"))))</f>
        <v/>
      </c>
    </row>
    <row r="786" spans="1:20">
      <c r="A786" s="18">
        <f>IF($C786="","",ROW()-4)</f>
        <v/>
      </c>
      <c r="B786" s="19"/>
      <c r="C786" s="13"/>
      <c r="D786" s="13"/>
      <c r="E786" s="13"/>
      <c r="F786" s="13"/>
      <c r="G786" s="13"/>
      <c r="H786" s="15"/>
      <c r="I786" s="19"/>
      <c r="J786" s="19"/>
      <c r="K786" s="19"/>
      <c r="L786" s="13"/>
      <c r="M786" s="13"/>
      <c r="N786" s="20">
        <f>IF($C786="","",IFERROR(INDEX(EtapaProb,MATCH($G786,Etapas,0)),0))</f>
        <v/>
      </c>
      <c r="O786" s="21">
        <f>IF($C786="","",IF($P786="Aberto",N($H786)*$N786,0))</f>
        <v/>
      </c>
      <c r="P786" s="18">
        <f>IF($C786="","",IF($G786="Ganho","Ganho",IF($G786="Perdido","Perdido","Aberto")))</f>
        <v/>
      </c>
      <c r="Q786" s="18">
        <f>IF(OR($C786="",$P786&lt;&gt;"Aberto"),"",IF($I786="",Hoje-$B786,Hoje-$I786))</f>
        <v/>
      </c>
      <c r="R786" s="22">
        <f>IF(OR($C786="",$P786&lt;&gt;"Aberto"),"",IF($J786="",IF($Q786&gt;DiasSC,"ATRASADO","Definir data"),IF($J786&lt;Hoje,"ATRASADO",IF($J786=Hoje,"HOJE","Em dia"))))</f>
        <v/>
      </c>
      <c r="S786" s="23">
        <f>IF($R786="","",IF(OR($R786="ATRASADO",$R786="HOJE",$R786="Definir data"),COUNTIF($R$5:$R786,"ATRASADO")+COUNTIF($R$5:$R786,"HOJE")+COUNTIF($R$5:$R786,"Definir data"),""))</f>
        <v/>
      </c>
      <c r="T786" s="18">
        <f>IF($C786="","",IF(OR($B786="",$E786="",$F786="",$G786=""),"Preencher entrada/origem/vendedor/etapa",IF(AND(OR($P786="Ganho",$P786="Perdido"),$K786=""),"Falta data de fechamento",IF(AND($P786="Perdido",$L786=""),"Informe o motivo da perda","OK"))))</f>
        <v/>
      </c>
    </row>
    <row r="787" spans="1:20">
      <c r="A787" s="18">
        <f>IF($C787="","",ROW()-4)</f>
        <v/>
      </c>
      <c r="B787" s="19"/>
      <c r="C787" s="13"/>
      <c r="D787" s="13"/>
      <c r="E787" s="13"/>
      <c r="F787" s="13"/>
      <c r="G787" s="13"/>
      <c r="H787" s="15"/>
      <c r="I787" s="19"/>
      <c r="J787" s="19"/>
      <c r="K787" s="19"/>
      <c r="L787" s="13"/>
      <c r="M787" s="13"/>
      <c r="N787" s="20">
        <f>IF($C787="","",IFERROR(INDEX(EtapaProb,MATCH($G787,Etapas,0)),0))</f>
        <v/>
      </c>
      <c r="O787" s="21">
        <f>IF($C787="","",IF($P787="Aberto",N($H787)*$N787,0))</f>
        <v/>
      </c>
      <c r="P787" s="18">
        <f>IF($C787="","",IF($G787="Ganho","Ganho",IF($G787="Perdido","Perdido","Aberto")))</f>
        <v/>
      </c>
      <c r="Q787" s="18">
        <f>IF(OR($C787="",$P787&lt;&gt;"Aberto"),"",IF($I787="",Hoje-$B787,Hoje-$I787))</f>
        <v/>
      </c>
      <c r="R787" s="22">
        <f>IF(OR($C787="",$P787&lt;&gt;"Aberto"),"",IF($J787="",IF($Q787&gt;DiasSC,"ATRASADO","Definir data"),IF($J787&lt;Hoje,"ATRASADO",IF($J787=Hoje,"HOJE","Em dia"))))</f>
        <v/>
      </c>
      <c r="S787" s="23">
        <f>IF($R787="","",IF(OR($R787="ATRASADO",$R787="HOJE",$R787="Definir data"),COUNTIF($R$5:$R787,"ATRASADO")+COUNTIF($R$5:$R787,"HOJE")+COUNTIF($R$5:$R787,"Definir data"),""))</f>
        <v/>
      </c>
      <c r="T787" s="18">
        <f>IF($C787="","",IF(OR($B787="",$E787="",$F787="",$G787=""),"Preencher entrada/origem/vendedor/etapa",IF(AND(OR($P787="Ganho",$P787="Perdido"),$K787=""),"Falta data de fechamento",IF(AND($P787="Perdido",$L787=""),"Informe o motivo da perda","OK"))))</f>
        <v/>
      </c>
    </row>
    <row r="788" spans="1:20">
      <c r="A788" s="18">
        <f>IF($C788="","",ROW()-4)</f>
        <v/>
      </c>
      <c r="B788" s="19"/>
      <c r="C788" s="13"/>
      <c r="D788" s="13"/>
      <c r="E788" s="13"/>
      <c r="F788" s="13"/>
      <c r="G788" s="13"/>
      <c r="H788" s="15"/>
      <c r="I788" s="19"/>
      <c r="J788" s="19"/>
      <c r="K788" s="19"/>
      <c r="L788" s="13"/>
      <c r="M788" s="13"/>
      <c r="N788" s="20">
        <f>IF($C788="","",IFERROR(INDEX(EtapaProb,MATCH($G788,Etapas,0)),0))</f>
        <v/>
      </c>
      <c r="O788" s="21">
        <f>IF($C788="","",IF($P788="Aberto",N($H788)*$N788,0))</f>
        <v/>
      </c>
      <c r="P788" s="18">
        <f>IF($C788="","",IF($G788="Ganho","Ganho",IF($G788="Perdido","Perdido","Aberto")))</f>
        <v/>
      </c>
      <c r="Q788" s="18">
        <f>IF(OR($C788="",$P788&lt;&gt;"Aberto"),"",IF($I788="",Hoje-$B788,Hoje-$I788))</f>
        <v/>
      </c>
      <c r="R788" s="22">
        <f>IF(OR($C788="",$P788&lt;&gt;"Aberto"),"",IF($J788="",IF($Q788&gt;DiasSC,"ATRASADO","Definir data"),IF($J788&lt;Hoje,"ATRASADO",IF($J788=Hoje,"HOJE","Em dia"))))</f>
        <v/>
      </c>
      <c r="S788" s="23">
        <f>IF($R788="","",IF(OR($R788="ATRASADO",$R788="HOJE",$R788="Definir data"),COUNTIF($R$5:$R788,"ATRASADO")+COUNTIF($R$5:$R788,"HOJE")+COUNTIF($R$5:$R788,"Definir data"),""))</f>
        <v/>
      </c>
      <c r="T788" s="18">
        <f>IF($C788="","",IF(OR($B788="",$E788="",$F788="",$G788=""),"Preencher entrada/origem/vendedor/etapa",IF(AND(OR($P788="Ganho",$P788="Perdido"),$K788=""),"Falta data de fechamento",IF(AND($P788="Perdido",$L788=""),"Informe o motivo da perda","OK"))))</f>
        <v/>
      </c>
    </row>
    <row r="789" spans="1:20">
      <c r="A789" s="18">
        <f>IF($C789="","",ROW()-4)</f>
        <v/>
      </c>
      <c r="B789" s="19"/>
      <c r="C789" s="13"/>
      <c r="D789" s="13"/>
      <c r="E789" s="13"/>
      <c r="F789" s="13"/>
      <c r="G789" s="13"/>
      <c r="H789" s="15"/>
      <c r="I789" s="19"/>
      <c r="J789" s="19"/>
      <c r="K789" s="19"/>
      <c r="L789" s="13"/>
      <c r="M789" s="13"/>
      <c r="N789" s="20">
        <f>IF($C789="","",IFERROR(INDEX(EtapaProb,MATCH($G789,Etapas,0)),0))</f>
        <v/>
      </c>
      <c r="O789" s="21">
        <f>IF($C789="","",IF($P789="Aberto",N($H789)*$N789,0))</f>
        <v/>
      </c>
      <c r="P789" s="18">
        <f>IF($C789="","",IF($G789="Ganho","Ganho",IF($G789="Perdido","Perdido","Aberto")))</f>
        <v/>
      </c>
      <c r="Q789" s="18">
        <f>IF(OR($C789="",$P789&lt;&gt;"Aberto"),"",IF($I789="",Hoje-$B789,Hoje-$I789))</f>
        <v/>
      </c>
      <c r="R789" s="22">
        <f>IF(OR($C789="",$P789&lt;&gt;"Aberto"),"",IF($J789="",IF($Q789&gt;DiasSC,"ATRASADO","Definir data"),IF($J789&lt;Hoje,"ATRASADO",IF($J789=Hoje,"HOJE","Em dia"))))</f>
        <v/>
      </c>
      <c r="S789" s="23">
        <f>IF($R789="","",IF(OR($R789="ATRASADO",$R789="HOJE",$R789="Definir data"),COUNTIF($R$5:$R789,"ATRASADO")+COUNTIF($R$5:$R789,"HOJE")+COUNTIF($R$5:$R789,"Definir data"),""))</f>
        <v/>
      </c>
      <c r="T789" s="18">
        <f>IF($C789="","",IF(OR($B789="",$E789="",$F789="",$G789=""),"Preencher entrada/origem/vendedor/etapa",IF(AND(OR($P789="Ganho",$P789="Perdido"),$K789=""),"Falta data de fechamento",IF(AND($P789="Perdido",$L789=""),"Informe o motivo da perda","OK"))))</f>
        <v/>
      </c>
    </row>
    <row r="790" spans="1:20">
      <c r="A790" s="18">
        <f>IF($C790="","",ROW()-4)</f>
        <v/>
      </c>
      <c r="B790" s="19"/>
      <c r="C790" s="13"/>
      <c r="D790" s="13"/>
      <c r="E790" s="13"/>
      <c r="F790" s="13"/>
      <c r="G790" s="13"/>
      <c r="H790" s="15"/>
      <c r="I790" s="19"/>
      <c r="J790" s="19"/>
      <c r="K790" s="19"/>
      <c r="L790" s="13"/>
      <c r="M790" s="13"/>
      <c r="N790" s="20">
        <f>IF($C790="","",IFERROR(INDEX(EtapaProb,MATCH($G790,Etapas,0)),0))</f>
        <v/>
      </c>
      <c r="O790" s="21">
        <f>IF($C790="","",IF($P790="Aberto",N($H790)*$N790,0))</f>
        <v/>
      </c>
      <c r="P790" s="18">
        <f>IF($C790="","",IF($G790="Ganho","Ganho",IF($G790="Perdido","Perdido","Aberto")))</f>
        <v/>
      </c>
      <c r="Q790" s="18">
        <f>IF(OR($C790="",$P790&lt;&gt;"Aberto"),"",IF($I790="",Hoje-$B790,Hoje-$I790))</f>
        <v/>
      </c>
      <c r="R790" s="22">
        <f>IF(OR($C790="",$P790&lt;&gt;"Aberto"),"",IF($J790="",IF($Q790&gt;DiasSC,"ATRASADO","Definir data"),IF($J790&lt;Hoje,"ATRASADO",IF($J790=Hoje,"HOJE","Em dia"))))</f>
        <v/>
      </c>
      <c r="S790" s="23">
        <f>IF($R790="","",IF(OR($R790="ATRASADO",$R790="HOJE",$R790="Definir data"),COUNTIF($R$5:$R790,"ATRASADO")+COUNTIF($R$5:$R790,"HOJE")+COUNTIF($R$5:$R790,"Definir data"),""))</f>
        <v/>
      </c>
      <c r="T790" s="18">
        <f>IF($C790="","",IF(OR($B790="",$E790="",$F790="",$G790=""),"Preencher entrada/origem/vendedor/etapa",IF(AND(OR($P790="Ganho",$P790="Perdido"),$K790=""),"Falta data de fechamento",IF(AND($P790="Perdido",$L790=""),"Informe o motivo da perda","OK"))))</f>
        <v/>
      </c>
    </row>
    <row r="791" spans="1:20">
      <c r="A791" s="18">
        <f>IF($C791="","",ROW()-4)</f>
        <v/>
      </c>
      <c r="B791" s="19"/>
      <c r="C791" s="13"/>
      <c r="D791" s="13"/>
      <c r="E791" s="13"/>
      <c r="F791" s="13"/>
      <c r="G791" s="13"/>
      <c r="H791" s="15"/>
      <c r="I791" s="19"/>
      <c r="J791" s="19"/>
      <c r="K791" s="19"/>
      <c r="L791" s="13"/>
      <c r="M791" s="13"/>
      <c r="N791" s="20">
        <f>IF($C791="","",IFERROR(INDEX(EtapaProb,MATCH($G791,Etapas,0)),0))</f>
        <v/>
      </c>
      <c r="O791" s="21">
        <f>IF($C791="","",IF($P791="Aberto",N($H791)*$N791,0))</f>
        <v/>
      </c>
      <c r="P791" s="18">
        <f>IF($C791="","",IF($G791="Ganho","Ganho",IF($G791="Perdido","Perdido","Aberto")))</f>
        <v/>
      </c>
      <c r="Q791" s="18">
        <f>IF(OR($C791="",$P791&lt;&gt;"Aberto"),"",IF($I791="",Hoje-$B791,Hoje-$I791))</f>
        <v/>
      </c>
      <c r="R791" s="22">
        <f>IF(OR($C791="",$P791&lt;&gt;"Aberto"),"",IF($J791="",IF($Q791&gt;DiasSC,"ATRASADO","Definir data"),IF($J791&lt;Hoje,"ATRASADO",IF($J791=Hoje,"HOJE","Em dia"))))</f>
        <v/>
      </c>
      <c r="S791" s="23">
        <f>IF($R791="","",IF(OR($R791="ATRASADO",$R791="HOJE",$R791="Definir data"),COUNTIF($R$5:$R791,"ATRASADO")+COUNTIF($R$5:$R791,"HOJE")+COUNTIF($R$5:$R791,"Definir data"),""))</f>
        <v/>
      </c>
      <c r="T791" s="18">
        <f>IF($C791="","",IF(OR($B791="",$E791="",$F791="",$G791=""),"Preencher entrada/origem/vendedor/etapa",IF(AND(OR($P791="Ganho",$P791="Perdido"),$K791=""),"Falta data de fechamento",IF(AND($P791="Perdido",$L791=""),"Informe o motivo da perda","OK"))))</f>
        <v/>
      </c>
    </row>
    <row r="792" spans="1:20">
      <c r="A792" s="18">
        <f>IF($C792="","",ROW()-4)</f>
        <v/>
      </c>
      <c r="B792" s="19"/>
      <c r="C792" s="13"/>
      <c r="D792" s="13"/>
      <c r="E792" s="13"/>
      <c r="F792" s="13"/>
      <c r="G792" s="13"/>
      <c r="H792" s="15"/>
      <c r="I792" s="19"/>
      <c r="J792" s="19"/>
      <c r="K792" s="19"/>
      <c r="L792" s="13"/>
      <c r="M792" s="13"/>
      <c r="N792" s="20">
        <f>IF($C792="","",IFERROR(INDEX(EtapaProb,MATCH($G792,Etapas,0)),0))</f>
        <v/>
      </c>
      <c r="O792" s="21">
        <f>IF($C792="","",IF($P792="Aberto",N($H792)*$N792,0))</f>
        <v/>
      </c>
      <c r="P792" s="18">
        <f>IF($C792="","",IF($G792="Ganho","Ganho",IF($G792="Perdido","Perdido","Aberto")))</f>
        <v/>
      </c>
      <c r="Q792" s="18">
        <f>IF(OR($C792="",$P792&lt;&gt;"Aberto"),"",IF($I792="",Hoje-$B792,Hoje-$I792))</f>
        <v/>
      </c>
      <c r="R792" s="22">
        <f>IF(OR($C792="",$P792&lt;&gt;"Aberto"),"",IF($J792="",IF($Q792&gt;DiasSC,"ATRASADO","Definir data"),IF($J792&lt;Hoje,"ATRASADO",IF($J792=Hoje,"HOJE","Em dia"))))</f>
        <v/>
      </c>
      <c r="S792" s="23">
        <f>IF($R792="","",IF(OR($R792="ATRASADO",$R792="HOJE",$R792="Definir data"),COUNTIF($R$5:$R792,"ATRASADO")+COUNTIF($R$5:$R792,"HOJE")+COUNTIF($R$5:$R792,"Definir data"),""))</f>
        <v/>
      </c>
      <c r="T792" s="18">
        <f>IF($C792="","",IF(OR($B792="",$E792="",$F792="",$G792=""),"Preencher entrada/origem/vendedor/etapa",IF(AND(OR($P792="Ganho",$P792="Perdido"),$K792=""),"Falta data de fechamento",IF(AND($P792="Perdido",$L792=""),"Informe o motivo da perda","OK"))))</f>
        <v/>
      </c>
    </row>
    <row r="793" spans="1:20">
      <c r="A793" s="18">
        <f>IF($C793="","",ROW()-4)</f>
        <v/>
      </c>
      <c r="B793" s="19"/>
      <c r="C793" s="13"/>
      <c r="D793" s="13"/>
      <c r="E793" s="13"/>
      <c r="F793" s="13"/>
      <c r="G793" s="13"/>
      <c r="H793" s="15"/>
      <c r="I793" s="19"/>
      <c r="J793" s="19"/>
      <c r="K793" s="19"/>
      <c r="L793" s="13"/>
      <c r="M793" s="13"/>
      <c r="N793" s="20">
        <f>IF($C793="","",IFERROR(INDEX(EtapaProb,MATCH($G793,Etapas,0)),0))</f>
        <v/>
      </c>
      <c r="O793" s="21">
        <f>IF($C793="","",IF($P793="Aberto",N($H793)*$N793,0))</f>
        <v/>
      </c>
      <c r="P793" s="18">
        <f>IF($C793="","",IF($G793="Ganho","Ganho",IF($G793="Perdido","Perdido","Aberto")))</f>
        <v/>
      </c>
      <c r="Q793" s="18">
        <f>IF(OR($C793="",$P793&lt;&gt;"Aberto"),"",IF($I793="",Hoje-$B793,Hoje-$I793))</f>
        <v/>
      </c>
      <c r="R793" s="22">
        <f>IF(OR($C793="",$P793&lt;&gt;"Aberto"),"",IF($J793="",IF($Q793&gt;DiasSC,"ATRASADO","Definir data"),IF($J793&lt;Hoje,"ATRASADO",IF($J793=Hoje,"HOJE","Em dia"))))</f>
        <v/>
      </c>
      <c r="S793" s="23">
        <f>IF($R793="","",IF(OR($R793="ATRASADO",$R793="HOJE",$R793="Definir data"),COUNTIF($R$5:$R793,"ATRASADO")+COUNTIF($R$5:$R793,"HOJE")+COUNTIF($R$5:$R793,"Definir data"),""))</f>
        <v/>
      </c>
      <c r="T793" s="18">
        <f>IF($C793="","",IF(OR($B793="",$E793="",$F793="",$G793=""),"Preencher entrada/origem/vendedor/etapa",IF(AND(OR($P793="Ganho",$P793="Perdido"),$K793=""),"Falta data de fechamento",IF(AND($P793="Perdido",$L793=""),"Informe o motivo da perda","OK"))))</f>
        <v/>
      </c>
    </row>
    <row r="794" spans="1:20">
      <c r="A794" s="18">
        <f>IF($C794="","",ROW()-4)</f>
        <v/>
      </c>
      <c r="B794" s="19"/>
      <c r="C794" s="13"/>
      <c r="D794" s="13"/>
      <c r="E794" s="13"/>
      <c r="F794" s="13"/>
      <c r="G794" s="13"/>
      <c r="H794" s="15"/>
      <c r="I794" s="19"/>
      <c r="J794" s="19"/>
      <c r="K794" s="19"/>
      <c r="L794" s="13"/>
      <c r="M794" s="13"/>
      <c r="N794" s="20">
        <f>IF($C794="","",IFERROR(INDEX(EtapaProb,MATCH($G794,Etapas,0)),0))</f>
        <v/>
      </c>
      <c r="O794" s="21">
        <f>IF($C794="","",IF($P794="Aberto",N($H794)*$N794,0))</f>
        <v/>
      </c>
      <c r="P794" s="18">
        <f>IF($C794="","",IF($G794="Ganho","Ganho",IF($G794="Perdido","Perdido","Aberto")))</f>
        <v/>
      </c>
      <c r="Q794" s="18">
        <f>IF(OR($C794="",$P794&lt;&gt;"Aberto"),"",IF($I794="",Hoje-$B794,Hoje-$I794))</f>
        <v/>
      </c>
      <c r="R794" s="22">
        <f>IF(OR($C794="",$P794&lt;&gt;"Aberto"),"",IF($J794="",IF($Q794&gt;DiasSC,"ATRASADO","Definir data"),IF($J794&lt;Hoje,"ATRASADO",IF($J794=Hoje,"HOJE","Em dia"))))</f>
        <v/>
      </c>
      <c r="S794" s="23">
        <f>IF($R794="","",IF(OR($R794="ATRASADO",$R794="HOJE",$R794="Definir data"),COUNTIF($R$5:$R794,"ATRASADO")+COUNTIF($R$5:$R794,"HOJE")+COUNTIF($R$5:$R794,"Definir data"),""))</f>
        <v/>
      </c>
      <c r="T794" s="18">
        <f>IF($C794="","",IF(OR($B794="",$E794="",$F794="",$G794=""),"Preencher entrada/origem/vendedor/etapa",IF(AND(OR($P794="Ganho",$P794="Perdido"),$K794=""),"Falta data de fechamento",IF(AND($P794="Perdido",$L794=""),"Informe o motivo da perda","OK"))))</f>
        <v/>
      </c>
    </row>
    <row r="795" spans="1:20">
      <c r="A795" s="18">
        <f>IF($C795="","",ROW()-4)</f>
        <v/>
      </c>
      <c r="B795" s="19"/>
      <c r="C795" s="13"/>
      <c r="D795" s="13"/>
      <c r="E795" s="13"/>
      <c r="F795" s="13"/>
      <c r="G795" s="13"/>
      <c r="H795" s="15"/>
      <c r="I795" s="19"/>
      <c r="J795" s="19"/>
      <c r="K795" s="19"/>
      <c r="L795" s="13"/>
      <c r="M795" s="13"/>
      <c r="N795" s="20">
        <f>IF($C795="","",IFERROR(INDEX(EtapaProb,MATCH($G795,Etapas,0)),0))</f>
        <v/>
      </c>
      <c r="O795" s="21">
        <f>IF($C795="","",IF($P795="Aberto",N($H795)*$N795,0))</f>
        <v/>
      </c>
      <c r="P795" s="18">
        <f>IF($C795="","",IF($G795="Ganho","Ganho",IF($G795="Perdido","Perdido","Aberto")))</f>
        <v/>
      </c>
      <c r="Q795" s="18">
        <f>IF(OR($C795="",$P795&lt;&gt;"Aberto"),"",IF($I795="",Hoje-$B795,Hoje-$I795))</f>
        <v/>
      </c>
      <c r="R795" s="22">
        <f>IF(OR($C795="",$P795&lt;&gt;"Aberto"),"",IF($J795="",IF($Q795&gt;DiasSC,"ATRASADO","Definir data"),IF($J795&lt;Hoje,"ATRASADO",IF($J795=Hoje,"HOJE","Em dia"))))</f>
        <v/>
      </c>
      <c r="S795" s="23">
        <f>IF($R795="","",IF(OR($R795="ATRASADO",$R795="HOJE",$R795="Definir data"),COUNTIF($R$5:$R795,"ATRASADO")+COUNTIF($R$5:$R795,"HOJE")+COUNTIF($R$5:$R795,"Definir data"),""))</f>
        <v/>
      </c>
      <c r="T795" s="18">
        <f>IF($C795="","",IF(OR($B795="",$E795="",$F795="",$G795=""),"Preencher entrada/origem/vendedor/etapa",IF(AND(OR($P795="Ganho",$P795="Perdido"),$K795=""),"Falta data de fechamento",IF(AND($P795="Perdido",$L795=""),"Informe o motivo da perda","OK"))))</f>
        <v/>
      </c>
    </row>
    <row r="796" spans="1:20">
      <c r="A796" s="18">
        <f>IF($C796="","",ROW()-4)</f>
        <v/>
      </c>
      <c r="B796" s="19"/>
      <c r="C796" s="13"/>
      <c r="D796" s="13"/>
      <c r="E796" s="13"/>
      <c r="F796" s="13"/>
      <c r="G796" s="13"/>
      <c r="H796" s="15"/>
      <c r="I796" s="19"/>
      <c r="J796" s="19"/>
      <c r="K796" s="19"/>
      <c r="L796" s="13"/>
      <c r="M796" s="13"/>
      <c r="N796" s="20">
        <f>IF($C796="","",IFERROR(INDEX(EtapaProb,MATCH($G796,Etapas,0)),0))</f>
        <v/>
      </c>
      <c r="O796" s="21">
        <f>IF($C796="","",IF($P796="Aberto",N($H796)*$N796,0))</f>
        <v/>
      </c>
      <c r="P796" s="18">
        <f>IF($C796="","",IF($G796="Ganho","Ganho",IF($G796="Perdido","Perdido","Aberto")))</f>
        <v/>
      </c>
      <c r="Q796" s="18">
        <f>IF(OR($C796="",$P796&lt;&gt;"Aberto"),"",IF($I796="",Hoje-$B796,Hoje-$I796))</f>
        <v/>
      </c>
      <c r="R796" s="22">
        <f>IF(OR($C796="",$P796&lt;&gt;"Aberto"),"",IF($J796="",IF($Q796&gt;DiasSC,"ATRASADO","Definir data"),IF($J796&lt;Hoje,"ATRASADO",IF($J796=Hoje,"HOJE","Em dia"))))</f>
        <v/>
      </c>
      <c r="S796" s="23">
        <f>IF($R796="","",IF(OR($R796="ATRASADO",$R796="HOJE",$R796="Definir data"),COUNTIF($R$5:$R796,"ATRASADO")+COUNTIF($R$5:$R796,"HOJE")+COUNTIF($R$5:$R796,"Definir data"),""))</f>
        <v/>
      </c>
      <c r="T796" s="18">
        <f>IF($C796="","",IF(OR($B796="",$E796="",$F796="",$G796=""),"Preencher entrada/origem/vendedor/etapa",IF(AND(OR($P796="Ganho",$P796="Perdido"),$K796=""),"Falta data de fechamento",IF(AND($P796="Perdido",$L796=""),"Informe o motivo da perda","OK"))))</f>
        <v/>
      </c>
    </row>
    <row r="797" spans="1:20">
      <c r="A797" s="18">
        <f>IF($C797="","",ROW()-4)</f>
        <v/>
      </c>
      <c r="B797" s="19"/>
      <c r="C797" s="13"/>
      <c r="D797" s="13"/>
      <c r="E797" s="13"/>
      <c r="F797" s="13"/>
      <c r="G797" s="13"/>
      <c r="H797" s="15"/>
      <c r="I797" s="19"/>
      <c r="J797" s="19"/>
      <c r="K797" s="19"/>
      <c r="L797" s="13"/>
      <c r="M797" s="13"/>
      <c r="N797" s="20">
        <f>IF($C797="","",IFERROR(INDEX(EtapaProb,MATCH($G797,Etapas,0)),0))</f>
        <v/>
      </c>
      <c r="O797" s="21">
        <f>IF($C797="","",IF($P797="Aberto",N($H797)*$N797,0))</f>
        <v/>
      </c>
      <c r="P797" s="18">
        <f>IF($C797="","",IF($G797="Ganho","Ganho",IF($G797="Perdido","Perdido","Aberto")))</f>
        <v/>
      </c>
      <c r="Q797" s="18">
        <f>IF(OR($C797="",$P797&lt;&gt;"Aberto"),"",IF($I797="",Hoje-$B797,Hoje-$I797))</f>
        <v/>
      </c>
      <c r="R797" s="22">
        <f>IF(OR($C797="",$P797&lt;&gt;"Aberto"),"",IF($J797="",IF($Q797&gt;DiasSC,"ATRASADO","Definir data"),IF($J797&lt;Hoje,"ATRASADO",IF($J797=Hoje,"HOJE","Em dia"))))</f>
        <v/>
      </c>
      <c r="S797" s="23">
        <f>IF($R797="","",IF(OR($R797="ATRASADO",$R797="HOJE",$R797="Definir data"),COUNTIF($R$5:$R797,"ATRASADO")+COUNTIF($R$5:$R797,"HOJE")+COUNTIF($R$5:$R797,"Definir data"),""))</f>
        <v/>
      </c>
      <c r="T797" s="18">
        <f>IF($C797="","",IF(OR($B797="",$E797="",$F797="",$G797=""),"Preencher entrada/origem/vendedor/etapa",IF(AND(OR($P797="Ganho",$P797="Perdido"),$K797=""),"Falta data de fechamento",IF(AND($P797="Perdido",$L797=""),"Informe o motivo da perda","OK"))))</f>
        <v/>
      </c>
    </row>
    <row r="798" spans="1:20">
      <c r="A798" s="18">
        <f>IF($C798="","",ROW()-4)</f>
        <v/>
      </c>
      <c r="B798" s="19"/>
      <c r="C798" s="13"/>
      <c r="D798" s="13"/>
      <c r="E798" s="13"/>
      <c r="F798" s="13"/>
      <c r="G798" s="13"/>
      <c r="H798" s="15"/>
      <c r="I798" s="19"/>
      <c r="J798" s="19"/>
      <c r="K798" s="19"/>
      <c r="L798" s="13"/>
      <c r="M798" s="13"/>
      <c r="N798" s="20">
        <f>IF($C798="","",IFERROR(INDEX(EtapaProb,MATCH($G798,Etapas,0)),0))</f>
        <v/>
      </c>
      <c r="O798" s="21">
        <f>IF($C798="","",IF($P798="Aberto",N($H798)*$N798,0))</f>
        <v/>
      </c>
      <c r="P798" s="18">
        <f>IF($C798="","",IF($G798="Ganho","Ganho",IF($G798="Perdido","Perdido","Aberto")))</f>
        <v/>
      </c>
      <c r="Q798" s="18">
        <f>IF(OR($C798="",$P798&lt;&gt;"Aberto"),"",IF($I798="",Hoje-$B798,Hoje-$I798))</f>
        <v/>
      </c>
      <c r="R798" s="22">
        <f>IF(OR($C798="",$P798&lt;&gt;"Aberto"),"",IF($J798="",IF($Q798&gt;DiasSC,"ATRASADO","Definir data"),IF($J798&lt;Hoje,"ATRASADO",IF($J798=Hoje,"HOJE","Em dia"))))</f>
        <v/>
      </c>
      <c r="S798" s="23">
        <f>IF($R798="","",IF(OR($R798="ATRASADO",$R798="HOJE",$R798="Definir data"),COUNTIF($R$5:$R798,"ATRASADO")+COUNTIF($R$5:$R798,"HOJE")+COUNTIF($R$5:$R798,"Definir data"),""))</f>
        <v/>
      </c>
      <c r="T798" s="18">
        <f>IF($C798="","",IF(OR($B798="",$E798="",$F798="",$G798=""),"Preencher entrada/origem/vendedor/etapa",IF(AND(OR($P798="Ganho",$P798="Perdido"),$K798=""),"Falta data de fechamento",IF(AND($P798="Perdido",$L798=""),"Informe o motivo da perda","OK"))))</f>
        <v/>
      </c>
    </row>
    <row r="799" spans="1:20">
      <c r="A799" s="18">
        <f>IF($C799="","",ROW()-4)</f>
        <v/>
      </c>
      <c r="B799" s="19"/>
      <c r="C799" s="13"/>
      <c r="D799" s="13"/>
      <c r="E799" s="13"/>
      <c r="F799" s="13"/>
      <c r="G799" s="13"/>
      <c r="H799" s="15"/>
      <c r="I799" s="19"/>
      <c r="J799" s="19"/>
      <c r="K799" s="19"/>
      <c r="L799" s="13"/>
      <c r="M799" s="13"/>
      <c r="N799" s="20">
        <f>IF($C799="","",IFERROR(INDEX(EtapaProb,MATCH($G799,Etapas,0)),0))</f>
        <v/>
      </c>
      <c r="O799" s="21">
        <f>IF($C799="","",IF($P799="Aberto",N($H799)*$N799,0))</f>
        <v/>
      </c>
      <c r="P799" s="18">
        <f>IF($C799="","",IF($G799="Ganho","Ganho",IF($G799="Perdido","Perdido","Aberto")))</f>
        <v/>
      </c>
      <c r="Q799" s="18">
        <f>IF(OR($C799="",$P799&lt;&gt;"Aberto"),"",IF($I799="",Hoje-$B799,Hoje-$I799))</f>
        <v/>
      </c>
      <c r="R799" s="22">
        <f>IF(OR($C799="",$P799&lt;&gt;"Aberto"),"",IF($J799="",IF($Q799&gt;DiasSC,"ATRASADO","Definir data"),IF($J799&lt;Hoje,"ATRASADO",IF($J799=Hoje,"HOJE","Em dia"))))</f>
        <v/>
      </c>
      <c r="S799" s="23">
        <f>IF($R799="","",IF(OR($R799="ATRASADO",$R799="HOJE",$R799="Definir data"),COUNTIF($R$5:$R799,"ATRASADO")+COUNTIF($R$5:$R799,"HOJE")+COUNTIF($R$5:$R799,"Definir data"),""))</f>
        <v/>
      </c>
      <c r="T799" s="18">
        <f>IF($C799="","",IF(OR($B799="",$E799="",$F799="",$G799=""),"Preencher entrada/origem/vendedor/etapa",IF(AND(OR($P799="Ganho",$P799="Perdido"),$K799=""),"Falta data de fechamento",IF(AND($P799="Perdido",$L799=""),"Informe o motivo da perda","OK"))))</f>
        <v/>
      </c>
    </row>
    <row r="800" spans="1:20">
      <c r="A800" s="18">
        <f>IF($C800="","",ROW()-4)</f>
        <v/>
      </c>
      <c r="B800" s="19"/>
      <c r="C800" s="13"/>
      <c r="D800" s="13"/>
      <c r="E800" s="13"/>
      <c r="F800" s="13"/>
      <c r="G800" s="13"/>
      <c r="H800" s="15"/>
      <c r="I800" s="19"/>
      <c r="J800" s="19"/>
      <c r="K800" s="19"/>
      <c r="L800" s="13"/>
      <c r="M800" s="13"/>
      <c r="N800" s="20">
        <f>IF($C800="","",IFERROR(INDEX(EtapaProb,MATCH($G800,Etapas,0)),0))</f>
        <v/>
      </c>
      <c r="O800" s="21">
        <f>IF($C800="","",IF($P800="Aberto",N($H800)*$N800,0))</f>
        <v/>
      </c>
      <c r="P800" s="18">
        <f>IF($C800="","",IF($G800="Ganho","Ganho",IF($G800="Perdido","Perdido","Aberto")))</f>
        <v/>
      </c>
      <c r="Q800" s="18">
        <f>IF(OR($C800="",$P800&lt;&gt;"Aberto"),"",IF($I800="",Hoje-$B800,Hoje-$I800))</f>
        <v/>
      </c>
      <c r="R800" s="22">
        <f>IF(OR($C800="",$P800&lt;&gt;"Aberto"),"",IF($J800="",IF($Q800&gt;DiasSC,"ATRASADO","Definir data"),IF($J800&lt;Hoje,"ATRASADO",IF($J800=Hoje,"HOJE","Em dia"))))</f>
        <v/>
      </c>
      <c r="S800" s="23">
        <f>IF($R800="","",IF(OR($R800="ATRASADO",$R800="HOJE",$R800="Definir data"),COUNTIF($R$5:$R800,"ATRASADO")+COUNTIF($R$5:$R800,"HOJE")+COUNTIF($R$5:$R800,"Definir data"),""))</f>
        <v/>
      </c>
      <c r="T800" s="18">
        <f>IF($C800="","",IF(OR($B800="",$E800="",$F800="",$G800=""),"Preencher entrada/origem/vendedor/etapa",IF(AND(OR($P800="Ganho",$P800="Perdido"),$K800=""),"Falta data de fechamento",IF(AND($P800="Perdido",$L800=""),"Informe o motivo da perda","OK"))))</f>
        <v/>
      </c>
    </row>
    <row r="801" spans="1:20">
      <c r="A801" s="18">
        <f>IF($C801="","",ROW()-4)</f>
        <v/>
      </c>
      <c r="B801" s="19"/>
      <c r="C801" s="13"/>
      <c r="D801" s="13"/>
      <c r="E801" s="13"/>
      <c r="F801" s="13"/>
      <c r="G801" s="13"/>
      <c r="H801" s="15"/>
      <c r="I801" s="19"/>
      <c r="J801" s="19"/>
      <c r="K801" s="19"/>
      <c r="L801" s="13"/>
      <c r="M801" s="13"/>
      <c r="N801" s="20">
        <f>IF($C801="","",IFERROR(INDEX(EtapaProb,MATCH($G801,Etapas,0)),0))</f>
        <v/>
      </c>
      <c r="O801" s="21">
        <f>IF($C801="","",IF($P801="Aberto",N($H801)*$N801,0))</f>
        <v/>
      </c>
      <c r="P801" s="18">
        <f>IF($C801="","",IF($G801="Ganho","Ganho",IF($G801="Perdido","Perdido","Aberto")))</f>
        <v/>
      </c>
      <c r="Q801" s="18">
        <f>IF(OR($C801="",$P801&lt;&gt;"Aberto"),"",IF($I801="",Hoje-$B801,Hoje-$I801))</f>
        <v/>
      </c>
      <c r="R801" s="22">
        <f>IF(OR($C801="",$P801&lt;&gt;"Aberto"),"",IF($J801="",IF($Q801&gt;DiasSC,"ATRASADO","Definir data"),IF($J801&lt;Hoje,"ATRASADO",IF($J801=Hoje,"HOJE","Em dia"))))</f>
        <v/>
      </c>
      <c r="S801" s="23">
        <f>IF($R801="","",IF(OR($R801="ATRASADO",$R801="HOJE",$R801="Definir data"),COUNTIF($R$5:$R801,"ATRASADO")+COUNTIF($R$5:$R801,"HOJE")+COUNTIF($R$5:$R801,"Definir data"),""))</f>
        <v/>
      </c>
      <c r="T801" s="18">
        <f>IF($C801="","",IF(OR($B801="",$E801="",$F801="",$G801=""),"Preencher entrada/origem/vendedor/etapa",IF(AND(OR($P801="Ganho",$P801="Perdido"),$K801=""),"Falta data de fechamento",IF(AND($P801="Perdido",$L801=""),"Informe o motivo da perda","OK"))))</f>
        <v/>
      </c>
    </row>
    <row r="802" spans="1:20">
      <c r="A802" s="18">
        <f>IF($C802="","",ROW()-4)</f>
        <v/>
      </c>
      <c r="B802" s="19"/>
      <c r="C802" s="13"/>
      <c r="D802" s="13"/>
      <c r="E802" s="13"/>
      <c r="F802" s="13"/>
      <c r="G802" s="13"/>
      <c r="H802" s="15"/>
      <c r="I802" s="19"/>
      <c r="J802" s="19"/>
      <c r="K802" s="19"/>
      <c r="L802" s="13"/>
      <c r="M802" s="13"/>
      <c r="N802" s="20">
        <f>IF($C802="","",IFERROR(INDEX(EtapaProb,MATCH($G802,Etapas,0)),0))</f>
        <v/>
      </c>
      <c r="O802" s="21">
        <f>IF($C802="","",IF($P802="Aberto",N($H802)*$N802,0))</f>
        <v/>
      </c>
      <c r="P802" s="18">
        <f>IF($C802="","",IF($G802="Ganho","Ganho",IF($G802="Perdido","Perdido","Aberto")))</f>
        <v/>
      </c>
      <c r="Q802" s="18">
        <f>IF(OR($C802="",$P802&lt;&gt;"Aberto"),"",IF($I802="",Hoje-$B802,Hoje-$I802))</f>
        <v/>
      </c>
      <c r="R802" s="22">
        <f>IF(OR($C802="",$P802&lt;&gt;"Aberto"),"",IF($J802="",IF($Q802&gt;DiasSC,"ATRASADO","Definir data"),IF($J802&lt;Hoje,"ATRASADO",IF($J802=Hoje,"HOJE","Em dia"))))</f>
        <v/>
      </c>
      <c r="S802" s="23">
        <f>IF($R802="","",IF(OR($R802="ATRASADO",$R802="HOJE",$R802="Definir data"),COUNTIF($R$5:$R802,"ATRASADO")+COUNTIF($R$5:$R802,"HOJE")+COUNTIF($R$5:$R802,"Definir data"),""))</f>
        <v/>
      </c>
      <c r="T802" s="18">
        <f>IF($C802="","",IF(OR($B802="",$E802="",$F802="",$G802=""),"Preencher entrada/origem/vendedor/etapa",IF(AND(OR($P802="Ganho",$P802="Perdido"),$K802=""),"Falta data de fechamento",IF(AND($P802="Perdido",$L802=""),"Informe o motivo da perda","OK"))))</f>
        <v/>
      </c>
    </row>
    <row r="803" spans="1:20">
      <c r="A803" s="18">
        <f>IF($C803="","",ROW()-4)</f>
        <v/>
      </c>
      <c r="B803" s="19"/>
      <c r="C803" s="13"/>
      <c r="D803" s="13"/>
      <c r="E803" s="13"/>
      <c r="F803" s="13"/>
      <c r="G803" s="13"/>
      <c r="H803" s="15"/>
      <c r="I803" s="19"/>
      <c r="J803" s="19"/>
      <c r="K803" s="19"/>
      <c r="L803" s="13"/>
      <c r="M803" s="13"/>
      <c r="N803" s="20">
        <f>IF($C803="","",IFERROR(INDEX(EtapaProb,MATCH($G803,Etapas,0)),0))</f>
        <v/>
      </c>
      <c r="O803" s="21">
        <f>IF($C803="","",IF($P803="Aberto",N($H803)*$N803,0))</f>
        <v/>
      </c>
      <c r="P803" s="18">
        <f>IF($C803="","",IF($G803="Ganho","Ganho",IF($G803="Perdido","Perdido","Aberto")))</f>
        <v/>
      </c>
      <c r="Q803" s="18">
        <f>IF(OR($C803="",$P803&lt;&gt;"Aberto"),"",IF($I803="",Hoje-$B803,Hoje-$I803))</f>
        <v/>
      </c>
      <c r="R803" s="22">
        <f>IF(OR($C803="",$P803&lt;&gt;"Aberto"),"",IF($J803="",IF($Q803&gt;DiasSC,"ATRASADO","Definir data"),IF($J803&lt;Hoje,"ATRASADO",IF($J803=Hoje,"HOJE","Em dia"))))</f>
        <v/>
      </c>
      <c r="S803" s="23">
        <f>IF($R803="","",IF(OR($R803="ATRASADO",$R803="HOJE",$R803="Definir data"),COUNTIF($R$5:$R803,"ATRASADO")+COUNTIF($R$5:$R803,"HOJE")+COUNTIF($R$5:$R803,"Definir data"),""))</f>
        <v/>
      </c>
      <c r="T803" s="18">
        <f>IF($C803="","",IF(OR($B803="",$E803="",$F803="",$G803=""),"Preencher entrada/origem/vendedor/etapa",IF(AND(OR($P803="Ganho",$P803="Perdido"),$K803=""),"Falta data de fechamento",IF(AND($P803="Perdido",$L803=""),"Informe o motivo da perda","OK"))))</f>
        <v/>
      </c>
    </row>
    <row r="804" spans="1:20">
      <c r="A804" s="18">
        <f>IF($C804="","",ROW()-4)</f>
        <v/>
      </c>
      <c r="B804" s="19"/>
      <c r="C804" s="13"/>
      <c r="D804" s="13"/>
      <c r="E804" s="13"/>
      <c r="F804" s="13"/>
      <c r="G804" s="13"/>
      <c r="H804" s="15"/>
      <c r="I804" s="19"/>
      <c r="J804" s="19"/>
      <c r="K804" s="19"/>
      <c r="L804" s="13"/>
      <c r="M804" s="13"/>
      <c r="N804" s="20">
        <f>IF($C804="","",IFERROR(INDEX(EtapaProb,MATCH($G804,Etapas,0)),0))</f>
        <v/>
      </c>
      <c r="O804" s="21">
        <f>IF($C804="","",IF($P804="Aberto",N($H804)*$N804,0))</f>
        <v/>
      </c>
      <c r="P804" s="18">
        <f>IF($C804="","",IF($G804="Ganho","Ganho",IF($G804="Perdido","Perdido","Aberto")))</f>
        <v/>
      </c>
      <c r="Q804" s="18">
        <f>IF(OR($C804="",$P804&lt;&gt;"Aberto"),"",IF($I804="",Hoje-$B804,Hoje-$I804))</f>
        <v/>
      </c>
      <c r="R804" s="22">
        <f>IF(OR($C804="",$P804&lt;&gt;"Aberto"),"",IF($J804="",IF($Q804&gt;DiasSC,"ATRASADO","Definir data"),IF($J804&lt;Hoje,"ATRASADO",IF($J804=Hoje,"HOJE","Em dia"))))</f>
        <v/>
      </c>
      <c r="S804" s="23">
        <f>IF($R804="","",IF(OR($R804="ATRASADO",$R804="HOJE",$R804="Definir data"),COUNTIF($R$5:$R804,"ATRASADO")+COUNTIF($R$5:$R804,"HOJE")+COUNTIF($R$5:$R804,"Definir data"),""))</f>
        <v/>
      </c>
      <c r="T804" s="18">
        <f>IF($C804="","",IF(OR($B804="",$E804="",$F804="",$G804=""),"Preencher entrada/origem/vendedor/etapa",IF(AND(OR($P804="Ganho",$P804="Perdido"),$K804=""),"Falta data de fechamento",IF(AND($P804="Perdido",$L804=""),"Informe o motivo da perda","OK"))))</f>
        <v/>
      </c>
    </row>
    <row r="805" spans="1:20">
      <c r="A805" s="18">
        <f>IF($C805="","",ROW()-4)</f>
        <v/>
      </c>
      <c r="B805" s="19"/>
      <c r="C805" s="13"/>
      <c r="D805" s="13"/>
      <c r="E805" s="13"/>
      <c r="F805" s="13"/>
      <c r="G805" s="13"/>
      <c r="H805" s="15"/>
      <c r="I805" s="19"/>
      <c r="J805" s="19"/>
      <c r="K805" s="19"/>
      <c r="L805" s="13"/>
      <c r="M805" s="13"/>
      <c r="N805" s="20">
        <f>IF($C805="","",IFERROR(INDEX(EtapaProb,MATCH($G805,Etapas,0)),0))</f>
        <v/>
      </c>
      <c r="O805" s="21">
        <f>IF($C805="","",IF($P805="Aberto",N($H805)*$N805,0))</f>
        <v/>
      </c>
      <c r="P805" s="18">
        <f>IF($C805="","",IF($G805="Ganho","Ganho",IF($G805="Perdido","Perdido","Aberto")))</f>
        <v/>
      </c>
      <c r="Q805" s="18">
        <f>IF(OR($C805="",$P805&lt;&gt;"Aberto"),"",IF($I805="",Hoje-$B805,Hoje-$I805))</f>
        <v/>
      </c>
      <c r="R805" s="22">
        <f>IF(OR($C805="",$P805&lt;&gt;"Aberto"),"",IF($J805="",IF($Q805&gt;DiasSC,"ATRASADO","Definir data"),IF($J805&lt;Hoje,"ATRASADO",IF($J805=Hoje,"HOJE","Em dia"))))</f>
        <v/>
      </c>
      <c r="S805" s="23">
        <f>IF($R805="","",IF(OR($R805="ATRASADO",$R805="HOJE",$R805="Definir data"),COUNTIF($R$5:$R805,"ATRASADO")+COUNTIF($R$5:$R805,"HOJE")+COUNTIF($R$5:$R805,"Definir data"),""))</f>
        <v/>
      </c>
      <c r="T805" s="18">
        <f>IF($C805="","",IF(OR($B805="",$E805="",$F805="",$G805=""),"Preencher entrada/origem/vendedor/etapa",IF(AND(OR($P805="Ganho",$P805="Perdido"),$K805=""),"Falta data de fechamento",IF(AND($P805="Perdido",$L805=""),"Informe o motivo da perda","OK"))))</f>
        <v/>
      </c>
    </row>
    <row r="806" spans="1:20">
      <c r="A806" s="18">
        <f>IF($C806="","",ROW()-4)</f>
        <v/>
      </c>
      <c r="B806" s="19"/>
      <c r="C806" s="13"/>
      <c r="D806" s="13"/>
      <c r="E806" s="13"/>
      <c r="F806" s="13"/>
      <c r="G806" s="13"/>
      <c r="H806" s="15"/>
      <c r="I806" s="19"/>
      <c r="J806" s="19"/>
      <c r="K806" s="19"/>
      <c r="L806" s="13"/>
      <c r="M806" s="13"/>
      <c r="N806" s="20">
        <f>IF($C806="","",IFERROR(INDEX(EtapaProb,MATCH($G806,Etapas,0)),0))</f>
        <v/>
      </c>
      <c r="O806" s="21">
        <f>IF($C806="","",IF($P806="Aberto",N($H806)*$N806,0))</f>
        <v/>
      </c>
      <c r="P806" s="18">
        <f>IF($C806="","",IF($G806="Ganho","Ganho",IF($G806="Perdido","Perdido","Aberto")))</f>
        <v/>
      </c>
      <c r="Q806" s="18">
        <f>IF(OR($C806="",$P806&lt;&gt;"Aberto"),"",IF($I806="",Hoje-$B806,Hoje-$I806))</f>
        <v/>
      </c>
      <c r="R806" s="22">
        <f>IF(OR($C806="",$P806&lt;&gt;"Aberto"),"",IF($J806="",IF($Q806&gt;DiasSC,"ATRASADO","Definir data"),IF($J806&lt;Hoje,"ATRASADO",IF($J806=Hoje,"HOJE","Em dia"))))</f>
        <v/>
      </c>
      <c r="S806" s="23">
        <f>IF($R806="","",IF(OR($R806="ATRASADO",$R806="HOJE",$R806="Definir data"),COUNTIF($R$5:$R806,"ATRASADO")+COUNTIF($R$5:$R806,"HOJE")+COUNTIF($R$5:$R806,"Definir data"),""))</f>
        <v/>
      </c>
      <c r="T806" s="18">
        <f>IF($C806="","",IF(OR($B806="",$E806="",$F806="",$G806=""),"Preencher entrada/origem/vendedor/etapa",IF(AND(OR($P806="Ganho",$P806="Perdido"),$K806=""),"Falta data de fechamento",IF(AND($P806="Perdido",$L806=""),"Informe o motivo da perda","OK"))))</f>
        <v/>
      </c>
    </row>
    <row r="807" spans="1:20">
      <c r="A807" s="18">
        <f>IF($C807="","",ROW()-4)</f>
        <v/>
      </c>
      <c r="B807" s="19"/>
      <c r="C807" s="13"/>
      <c r="D807" s="13"/>
      <c r="E807" s="13"/>
      <c r="F807" s="13"/>
      <c r="G807" s="13"/>
      <c r="H807" s="15"/>
      <c r="I807" s="19"/>
      <c r="J807" s="19"/>
      <c r="K807" s="19"/>
      <c r="L807" s="13"/>
      <c r="M807" s="13"/>
      <c r="N807" s="20">
        <f>IF($C807="","",IFERROR(INDEX(EtapaProb,MATCH($G807,Etapas,0)),0))</f>
        <v/>
      </c>
      <c r="O807" s="21">
        <f>IF($C807="","",IF($P807="Aberto",N($H807)*$N807,0))</f>
        <v/>
      </c>
      <c r="P807" s="18">
        <f>IF($C807="","",IF($G807="Ganho","Ganho",IF($G807="Perdido","Perdido","Aberto")))</f>
        <v/>
      </c>
      <c r="Q807" s="18">
        <f>IF(OR($C807="",$P807&lt;&gt;"Aberto"),"",IF($I807="",Hoje-$B807,Hoje-$I807))</f>
        <v/>
      </c>
      <c r="R807" s="22">
        <f>IF(OR($C807="",$P807&lt;&gt;"Aberto"),"",IF($J807="",IF($Q807&gt;DiasSC,"ATRASADO","Definir data"),IF($J807&lt;Hoje,"ATRASADO",IF($J807=Hoje,"HOJE","Em dia"))))</f>
        <v/>
      </c>
      <c r="S807" s="23">
        <f>IF($R807="","",IF(OR($R807="ATRASADO",$R807="HOJE",$R807="Definir data"),COUNTIF($R$5:$R807,"ATRASADO")+COUNTIF($R$5:$R807,"HOJE")+COUNTIF($R$5:$R807,"Definir data"),""))</f>
        <v/>
      </c>
      <c r="T807" s="18">
        <f>IF($C807="","",IF(OR($B807="",$E807="",$F807="",$G807=""),"Preencher entrada/origem/vendedor/etapa",IF(AND(OR($P807="Ganho",$P807="Perdido"),$K807=""),"Falta data de fechamento",IF(AND($P807="Perdido",$L807=""),"Informe o motivo da perda","OK"))))</f>
        <v/>
      </c>
    </row>
    <row r="808" spans="1:20">
      <c r="A808" s="18">
        <f>IF($C808="","",ROW()-4)</f>
        <v/>
      </c>
      <c r="B808" s="19"/>
      <c r="C808" s="13"/>
      <c r="D808" s="13"/>
      <c r="E808" s="13"/>
      <c r="F808" s="13"/>
      <c r="G808" s="13"/>
      <c r="H808" s="15"/>
      <c r="I808" s="19"/>
      <c r="J808" s="19"/>
      <c r="K808" s="19"/>
      <c r="L808" s="13"/>
      <c r="M808" s="13"/>
      <c r="N808" s="20">
        <f>IF($C808="","",IFERROR(INDEX(EtapaProb,MATCH($G808,Etapas,0)),0))</f>
        <v/>
      </c>
      <c r="O808" s="21">
        <f>IF($C808="","",IF($P808="Aberto",N($H808)*$N808,0))</f>
        <v/>
      </c>
      <c r="P808" s="18">
        <f>IF($C808="","",IF($G808="Ganho","Ganho",IF($G808="Perdido","Perdido","Aberto")))</f>
        <v/>
      </c>
      <c r="Q808" s="18">
        <f>IF(OR($C808="",$P808&lt;&gt;"Aberto"),"",IF($I808="",Hoje-$B808,Hoje-$I808))</f>
        <v/>
      </c>
      <c r="R808" s="22">
        <f>IF(OR($C808="",$P808&lt;&gt;"Aberto"),"",IF($J808="",IF($Q808&gt;DiasSC,"ATRASADO","Definir data"),IF($J808&lt;Hoje,"ATRASADO",IF($J808=Hoje,"HOJE","Em dia"))))</f>
        <v/>
      </c>
      <c r="S808" s="23">
        <f>IF($R808="","",IF(OR($R808="ATRASADO",$R808="HOJE",$R808="Definir data"),COUNTIF($R$5:$R808,"ATRASADO")+COUNTIF($R$5:$R808,"HOJE")+COUNTIF($R$5:$R808,"Definir data"),""))</f>
        <v/>
      </c>
      <c r="T808" s="18">
        <f>IF($C808="","",IF(OR($B808="",$E808="",$F808="",$G808=""),"Preencher entrada/origem/vendedor/etapa",IF(AND(OR($P808="Ganho",$P808="Perdido"),$K808=""),"Falta data de fechamento",IF(AND($P808="Perdido",$L808=""),"Informe o motivo da perda","OK"))))</f>
        <v/>
      </c>
    </row>
    <row r="809" spans="1:20">
      <c r="A809" s="18">
        <f>IF($C809="","",ROW()-4)</f>
        <v/>
      </c>
      <c r="B809" s="19"/>
      <c r="C809" s="13"/>
      <c r="D809" s="13"/>
      <c r="E809" s="13"/>
      <c r="F809" s="13"/>
      <c r="G809" s="13"/>
      <c r="H809" s="15"/>
      <c r="I809" s="19"/>
      <c r="J809" s="19"/>
      <c r="K809" s="19"/>
      <c r="L809" s="13"/>
      <c r="M809" s="13"/>
      <c r="N809" s="20">
        <f>IF($C809="","",IFERROR(INDEX(EtapaProb,MATCH($G809,Etapas,0)),0))</f>
        <v/>
      </c>
      <c r="O809" s="21">
        <f>IF($C809="","",IF($P809="Aberto",N($H809)*$N809,0))</f>
        <v/>
      </c>
      <c r="P809" s="18">
        <f>IF($C809="","",IF($G809="Ganho","Ganho",IF($G809="Perdido","Perdido","Aberto")))</f>
        <v/>
      </c>
      <c r="Q809" s="18">
        <f>IF(OR($C809="",$P809&lt;&gt;"Aberto"),"",IF($I809="",Hoje-$B809,Hoje-$I809))</f>
        <v/>
      </c>
      <c r="R809" s="22">
        <f>IF(OR($C809="",$P809&lt;&gt;"Aberto"),"",IF($J809="",IF($Q809&gt;DiasSC,"ATRASADO","Definir data"),IF($J809&lt;Hoje,"ATRASADO",IF($J809=Hoje,"HOJE","Em dia"))))</f>
        <v/>
      </c>
      <c r="S809" s="23">
        <f>IF($R809="","",IF(OR($R809="ATRASADO",$R809="HOJE",$R809="Definir data"),COUNTIF($R$5:$R809,"ATRASADO")+COUNTIF($R$5:$R809,"HOJE")+COUNTIF($R$5:$R809,"Definir data"),""))</f>
        <v/>
      </c>
      <c r="T809" s="18">
        <f>IF($C809="","",IF(OR($B809="",$E809="",$F809="",$G809=""),"Preencher entrada/origem/vendedor/etapa",IF(AND(OR($P809="Ganho",$P809="Perdido"),$K809=""),"Falta data de fechamento",IF(AND($P809="Perdido",$L809=""),"Informe o motivo da perda","OK"))))</f>
        <v/>
      </c>
    </row>
    <row r="810" spans="1:20">
      <c r="A810" s="18">
        <f>IF($C810="","",ROW()-4)</f>
        <v/>
      </c>
      <c r="B810" s="19"/>
      <c r="C810" s="13"/>
      <c r="D810" s="13"/>
      <c r="E810" s="13"/>
      <c r="F810" s="13"/>
      <c r="G810" s="13"/>
      <c r="H810" s="15"/>
      <c r="I810" s="19"/>
      <c r="J810" s="19"/>
      <c r="K810" s="19"/>
      <c r="L810" s="13"/>
      <c r="M810" s="13"/>
      <c r="N810" s="20">
        <f>IF($C810="","",IFERROR(INDEX(EtapaProb,MATCH($G810,Etapas,0)),0))</f>
        <v/>
      </c>
      <c r="O810" s="21">
        <f>IF($C810="","",IF($P810="Aberto",N($H810)*$N810,0))</f>
        <v/>
      </c>
      <c r="P810" s="18">
        <f>IF($C810="","",IF($G810="Ganho","Ganho",IF($G810="Perdido","Perdido","Aberto")))</f>
        <v/>
      </c>
      <c r="Q810" s="18">
        <f>IF(OR($C810="",$P810&lt;&gt;"Aberto"),"",IF($I810="",Hoje-$B810,Hoje-$I810))</f>
        <v/>
      </c>
      <c r="R810" s="22">
        <f>IF(OR($C810="",$P810&lt;&gt;"Aberto"),"",IF($J810="",IF($Q810&gt;DiasSC,"ATRASADO","Definir data"),IF($J810&lt;Hoje,"ATRASADO",IF($J810=Hoje,"HOJE","Em dia"))))</f>
        <v/>
      </c>
      <c r="S810" s="23">
        <f>IF($R810="","",IF(OR($R810="ATRASADO",$R810="HOJE",$R810="Definir data"),COUNTIF($R$5:$R810,"ATRASADO")+COUNTIF($R$5:$R810,"HOJE")+COUNTIF($R$5:$R810,"Definir data"),""))</f>
        <v/>
      </c>
      <c r="T810" s="18">
        <f>IF($C810="","",IF(OR($B810="",$E810="",$F810="",$G810=""),"Preencher entrada/origem/vendedor/etapa",IF(AND(OR($P810="Ganho",$P810="Perdido"),$K810=""),"Falta data de fechamento",IF(AND($P810="Perdido",$L810=""),"Informe o motivo da perda","OK"))))</f>
        <v/>
      </c>
    </row>
    <row r="811" spans="1:20">
      <c r="A811" s="18">
        <f>IF($C811="","",ROW()-4)</f>
        <v/>
      </c>
      <c r="B811" s="19"/>
      <c r="C811" s="13"/>
      <c r="D811" s="13"/>
      <c r="E811" s="13"/>
      <c r="F811" s="13"/>
      <c r="G811" s="13"/>
      <c r="H811" s="15"/>
      <c r="I811" s="19"/>
      <c r="J811" s="19"/>
      <c r="K811" s="19"/>
      <c r="L811" s="13"/>
      <c r="M811" s="13"/>
      <c r="N811" s="20">
        <f>IF($C811="","",IFERROR(INDEX(EtapaProb,MATCH($G811,Etapas,0)),0))</f>
        <v/>
      </c>
      <c r="O811" s="21">
        <f>IF($C811="","",IF($P811="Aberto",N($H811)*$N811,0))</f>
        <v/>
      </c>
      <c r="P811" s="18">
        <f>IF($C811="","",IF($G811="Ganho","Ganho",IF($G811="Perdido","Perdido","Aberto")))</f>
        <v/>
      </c>
      <c r="Q811" s="18">
        <f>IF(OR($C811="",$P811&lt;&gt;"Aberto"),"",IF($I811="",Hoje-$B811,Hoje-$I811))</f>
        <v/>
      </c>
      <c r="R811" s="22">
        <f>IF(OR($C811="",$P811&lt;&gt;"Aberto"),"",IF($J811="",IF($Q811&gt;DiasSC,"ATRASADO","Definir data"),IF($J811&lt;Hoje,"ATRASADO",IF($J811=Hoje,"HOJE","Em dia"))))</f>
        <v/>
      </c>
      <c r="S811" s="23">
        <f>IF($R811="","",IF(OR($R811="ATRASADO",$R811="HOJE",$R811="Definir data"),COUNTIF($R$5:$R811,"ATRASADO")+COUNTIF($R$5:$R811,"HOJE")+COUNTIF($R$5:$R811,"Definir data"),""))</f>
        <v/>
      </c>
      <c r="T811" s="18">
        <f>IF($C811="","",IF(OR($B811="",$E811="",$F811="",$G811=""),"Preencher entrada/origem/vendedor/etapa",IF(AND(OR($P811="Ganho",$P811="Perdido"),$K811=""),"Falta data de fechamento",IF(AND($P811="Perdido",$L811=""),"Informe o motivo da perda","OK"))))</f>
        <v/>
      </c>
    </row>
    <row r="812" spans="1:20">
      <c r="A812" s="18">
        <f>IF($C812="","",ROW()-4)</f>
        <v/>
      </c>
      <c r="B812" s="19"/>
      <c r="C812" s="13"/>
      <c r="D812" s="13"/>
      <c r="E812" s="13"/>
      <c r="F812" s="13"/>
      <c r="G812" s="13"/>
      <c r="H812" s="15"/>
      <c r="I812" s="19"/>
      <c r="J812" s="19"/>
      <c r="K812" s="19"/>
      <c r="L812" s="13"/>
      <c r="M812" s="13"/>
      <c r="N812" s="20">
        <f>IF($C812="","",IFERROR(INDEX(EtapaProb,MATCH($G812,Etapas,0)),0))</f>
        <v/>
      </c>
      <c r="O812" s="21">
        <f>IF($C812="","",IF($P812="Aberto",N($H812)*$N812,0))</f>
        <v/>
      </c>
      <c r="P812" s="18">
        <f>IF($C812="","",IF($G812="Ganho","Ganho",IF($G812="Perdido","Perdido","Aberto")))</f>
        <v/>
      </c>
      <c r="Q812" s="18">
        <f>IF(OR($C812="",$P812&lt;&gt;"Aberto"),"",IF($I812="",Hoje-$B812,Hoje-$I812))</f>
        <v/>
      </c>
      <c r="R812" s="22">
        <f>IF(OR($C812="",$P812&lt;&gt;"Aberto"),"",IF($J812="",IF($Q812&gt;DiasSC,"ATRASADO","Definir data"),IF($J812&lt;Hoje,"ATRASADO",IF($J812=Hoje,"HOJE","Em dia"))))</f>
        <v/>
      </c>
      <c r="S812" s="23">
        <f>IF($R812="","",IF(OR($R812="ATRASADO",$R812="HOJE",$R812="Definir data"),COUNTIF($R$5:$R812,"ATRASADO")+COUNTIF($R$5:$R812,"HOJE")+COUNTIF($R$5:$R812,"Definir data"),""))</f>
        <v/>
      </c>
      <c r="T812" s="18">
        <f>IF($C812="","",IF(OR($B812="",$E812="",$F812="",$G812=""),"Preencher entrada/origem/vendedor/etapa",IF(AND(OR($P812="Ganho",$P812="Perdido"),$K812=""),"Falta data de fechamento",IF(AND($P812="Perdido",$L812=""),"Informe o motivo da perda","OK"))))</f>
        <v/>
      </c>
    </row>
    <row r="813" spans="1:20">
      <c r="A813" s="18">
        <f>IF($C813="","",ROW()-4)</f>
        <v/>
      </c>
      <c r="B813" s="19"/>
      <c r="C813" s="13"/>
      <c r="D813" s="13"/>
      <c r="E813" s="13"/>
      <c r="F813" s="13"/>
      <c r="G813" s="13"/>
      <c r="H813" s="15"/>
      <c r="I813" s="19"/>
      <c r="J813" s="19"/>
      <c r="K813" s="19"/>
      <c r="L813" s="13"/>
      <c r="M813" s="13"/>
      <c r="N813" s="20">
        <f>IF($C813="","",IFERROR(INDEX(EtapaProb,MATCH($G813,Etapas,0)),0))</f>
        <v/>
      </c>
      <c r="O813" s="21">
        <f>IF($C813="","",IF($P813="Aberto",N($H813)*$N813,0))</f>
        <v/>
      </c>
      <c r="P813" s="18">
        <f>IF($C813="","",IF($G813="Ganho","Ganho",IF($G813="Perdido","Perdido","Aberto")))</f>
        <v/>
      </c>
      <c r="Q813" s="18">
        <f>IF(OR($C813="",$P813&lt;&gt;"Aberto"),"",IF($I813="",Hoje-$B813,Hoje-$I813))</f>
        <v/>
      </c>
      <c r="R813" s="22">
        <f>IF(OR($C813="",$P813&lt;&gt;"Aberto"),"",IF($J813="",IF($Q813&gt;DiasSC,"ATRASADO","Definir data"),IF($J813&lt;Hoje,"ATRASADO",IF($J813=Hoje,"HOJE","Em dia"))))</f>
        <v/>
      </c>
      <c r="S813" s="23">
        <f>IF($R813="","",IF(OR($R813="ATRASADO",$R813="HOJE",$R813="Definir data"),COUNTIF($R$5:$R813,"ATRASADO")+COUNTIF($R$5:$R813,"HOJE")+COUNTIF($R$5:$R813,"Definir data"),""))</f>
        <v/>
      </c>
      <c r="T813" s="18">
        <f>IF($C813="","",IF(OR($B813="",$E813="",$F813="",$G813=""),"Preencher entrada/origem/vendedor/etapa",IF(AND(OR($P813="Ganho",$P813="Perdido"),$K813=""),"Falta data de fechamento",IF(AND($P813="Perdido",$L813=""),"Informe o motivo da perda","OK"))))</f>
        <v/>
      </c>
    </row>
    <row r="814" spans="1:20">
      <c r="A814" s="18">
        <f>IF($C814="","",ROW()-4)</f>
        <v/>
      </c>
      <c r="B814" s="19"/>
      <c r="C814" s="13"/>
      <c r="D814" s="13"/>
      <c r="E814" s="13"/>
      <c r="F814" s="13"/>
      <c r="G814" s="13"/>
      <c r="H814" s="15"/>
      <c r="I814" s="19"/>
      <c r="J814" s="19"/>
      <c r="K814" s="19"/>
      <c r="L814" s="13"/>
      <c r="M814" s="13"/>
      <c r="N814" s="20">
        <f>IF($C814="","",IFERROR(INDEX(EtapaProb,MATCH($G814,Etapas,0)),0))</f>
        <v/>
      </c>
      <c r="O814" s="21">
        <f>IF($C814="","",IF($P814="Aberto",N($H814)*$N814,0))</f>
        <v/>
      </c>
      <c r="P814" s="18">
        <f>IF($C814="","",IF($G814="Ganho","Ganho",IF($G814="Perdido","Perdido","Aberto")))</f>
        <v/>
      </c>
      <c r="Q814" s="18">
        <f>IF(OR($C814="",$P814&lt;&gt;"Aberto"),"",IF($I814="",Hoje-$B814,Hoje-$I814))</f>
        <v/>
      </c>
      <c r="R814" s="22">
        <f>IF(OR($C814="",$P814&lt;&gt;"Aberto"),"",IF($J814="",IF($Q814&gt;DiasSC,"ATRASADO","Definir data"),IF($J814&lt;Hoje,"ATRASADO",IF($J814=Hoje,"HOJE","Em dia"))))</f>
        <v/>
      </c>
      <c r="S814" s="23">
        <f>IF($R814="","",IF(OR($R814="ATRASADO",$R814="HOJE",$R814="Definir data"),COUNTIF($R$5:$R814,"ATRASADO")+COUNTIF($R$5:$R814,"HOJE")+COUNTIF($R$5:$R814,"Definir data"),""))</f>
        <v/>
      </c>
      <c r="T814" s="18">
        <f>IF($C814="","",IF(OR($B814="",$E814="",$F814="",$G814=""),"Preencher entrada/origem/vendedor/etapa",IF(AND(OR($P814="Ganho",$P814="Perdido"),$K814=""),"Falta data de fechamento",IF(AND($P814="Perdido",$L814=""),"Informe o motivo da perda","OK"))))</f>
        <v/>
      </c>
    </row>
    <row r="815" spans="1:20">
      <c r="A815" s="18">
        <f>IF($C815="","",ROW()-4)</f>
        <v/>
      </c>
      <c r="B815" s="19"/>
      <c r="C815" s="13"/>
      <c r="D815" s="13"/>
      <c r="E815" s="13"/>
      <c r="F815" s="13"/>
      <c r="G815" s="13"/>
      <c r="H815" s="15"/>
      <c r="I815" s="19"/>
      <c r="J815" s="19"/>
      <c r="K815" s="19"/>
      <c r="L815" s="13"/>
      <c r="M815" s="13"/>
      <c r="N815" s="20">
        <f>IF($C815="","",IFERROR(INDEX(EtapaProb,MATCH($G815,Etapas,0)),0))</f>
        <v/>
      </c>
      <c r="O815" s="21">
        <f>IF($C815="","",IF($P815="Aberto",N($H815)*$N815,0))</f>
        <v/>
      </c>
      <c r="P815" s="18">
        <f>IF($C815="","",IF($G815="Ganho","Ganho",IF($G815="Perdido","Perdido","Aberto")))</f>
        <v/>
      </c>
      <c r="Q815" s="18">
        <f>IF(OR($C815="",$P815&lt;&gt;"Aberto"),"",IF($I815="",Hoje-$B815,Hoje-$I815))</f>
        <v/>
      </c>
      <c r="R815" s="22">
        <f>IF(OR($C815="",$P815&lt;&gt;"Aberto"),"",IF($J815="",IF($Q815&gt;DiasSC,"ATRASADO","Definir data"),IF($J815&lt;Hoje,"ATRASADO",IF($J815=Hoje,"HOJE","Em dia"))))</f>
        <v/>
      </c>
      <c r="S815" s="23">
        <f>IF($R815="","",IF(OR($R815="ATRASADO",$R815="HOJE",$R815="Definir data"),COUNTIF($R$5:$R815,"ATRASADO")+COUNTIF($R$5:$R815,"HOJE")+COUNTIF($R$5:$R815,"Definir data"),""))</f>
        <v/>
      </c>
      <c r="T815" s="18">
        <f>IF($C815="","",IF(OR($B815="",$E815="",$F815="",$G815=""),"Preencher entrada/origem/vendedor/etapa",IF(AND(OR($P815="Ganho",$P815="Perdido"),$K815=""),"Falta data de fechamento",IF(AND($P815="Perdido",$L815=""),"Informe o motivo da perda","OK"))))</f>
        <v/>
      </c>
    </row>
    <row r="816" spans="1:20">
      <c r="A816" s="18">
        <f>IF($C816="","",ROW()-4)</f>
        <v/>
      </c>
      <c r="B816" s="19"/>
      <c r="C816" s="13"/>
      <c r="D816" s="13"/>
      <c r="E816" s="13"/>
      <c r="F816" s="13"/>
      <c r="G816" s="13"/>
      <c r="H816" s="15"/>
      <c r="I816" s="19"/>
      <c r="J816" s="19"/>
      <c r="K816" s="19"/>
      <c r="L816" s="13"/>
      <c r="M816" s="13"/>
      <c r="N816" s="20">
        <f>IF($C816="","",IFERROR(INDEX(EtapaProb,MATCH($G816,Etapas,0)),0))</f>
        <v/>
      </c>
      <c r="O816" s="21">
        <f>IF($C816="","",IF($P816="Aberto",N($H816)*$N816,0))</f>
        <v/>
      </c>
      <c r="P816" s="18">
        <f>IF($C816="","",IF($G816="Ganho","Ganho",IF($G816="Perdido","Perdido","Aberto")))</f>
        <v/>
      </c>
      <c r="Q816" s="18">
        <f>IF(OR($C816="",$P816&lt;&gt;"Aberto"),"",IF($I816="",Hoje-$B816,Hoje-$I816))</f>
        <v/>
      </c>
      <c r="R816" s="22">
        <f>IF(OR($C816="",$P816&lt;&gt;"Aberto"),"",IF($J816="",IF($Q816&gt;DiasSC,"ATRASADO","Definir data"),IF($J816&lt;Hoje,"ATRASADO",IF($J816=Hoje,"HOJE","Em dia"))))</f>
        <v/>
      </c>
      <c r="S816" s="23">
        <f>IF($R816="","",IF(OR($R816="ATRASADO",$R816="HOJE",$R816="Definir data"),COUNTIF($R$5:$R816,"ATRASADO")+COUNTIF($R$5:$R816,"HOJE")+COUNTIF($R$5:$R816,"Definir data"),""))</f>
        <v/>
      </c>
      <c r="T816" s="18">
        <f>IF($C816="","",IF(OR($B816="",$E816="",$F816="",$G816=""),"Preencher entrada/origem/vendedor/etapa",IF(AND(OR($P816="Ganho",$P816="Perdido"),$K816=""),"Falta data de fechamento",IF(AND($P816="Perdido",$L816=""),"Informe o motivo da perda","OK"))))</f>
        <v/>
      </c>
    </row>
    <row r="817" spans="1:20">
      <c r="A817" s="18">
        <f>IF($C817="","",ROW()-4)</f>
        <v/>
      </c>
      <c r="B817" s="19"/>
      <c r="C817" s="13"/>
      <c r="D817" s="13"/>
      <c r="E817" s="13"/>
      <c r="F817" s="13"/>
      <c r="G817" s="13"/>
      <c r="H817" s="15"/>
      <c r="I817" s="19"/>
      <c r="J817" s="19"/>
      <c r="K817" s="19"/>
      <c r="L817" s="13"/>
      <c r="M817" s="13"/>
      <c r="N817" s="20">
        <f>IF($C817="","",IFERROR(INDEX(EtapaProb,MATCH($G817,Etapas,0)),0))</f>
        <v/>
      </c>
      <c r="O817" s="21">
        <f>IF($C817="","",IF($P817="Aberto",N($H817)*$N817,0))</f>
        <v/>
      </c>
      <c r="P817" s="18">
        <f>IF($C817="","",IF($G817="Ganho","Ganho",IF($G817="Perdido","Perdido","Aberto")))</f>
        <v/>
      </c>
      <c r="Q817" s="18">
        <f>IF(OR($C817="",$P817&lt;&gt;"Aberto"),"",IF($I817="",Hoje-$B817,Hoje-$I817))</f>
        <v/>
      </c>
      <c r="R817" s="22">
        <f>IF(OR($C817="",$P817&lt;&gt;"Aberto"),"",IF($J817="",IF($Q817&gt;DiasSC,"ATRASADO","Definir data"),IF($J817&lt;Hoje,"ATRASADO",IF($J817=Hoje,"HOJE","Em dia"))))</f>
        <v/>
      </c>
      <c r="S817" s="23">
        <f>IF($R817="","",IF(OR($R817="ATRASADO",$R817="HOJE",$R817="Definir data"),COUNTIF($R$5:$R817,"ATRASADO")+COUNTIF($R$5:$R817,"HOJE")+COUNTIF($R$5:$R817,"Definir data"),""))</f>
        <v/>
      </c>
      <c r="T817" s="18">
        <f>IF($C817="","",IF(OR($B817="",$E817="",$F817="",$G817=""),"Preencher entrada/origem/vendedor/etapa",IF(AND(OR($P817="Ganho",$P817="Perdido"),$K817=""),"Falta data de fechamento",IF(AND($P817="Perdido",$L817=""),"Informe o motivo da perda","OK"))))</f>
        <v/>
      </c>
    </row>
    <row r="818" spans="1:20">
      <c r="A818" s="18">
        <f>IF($C818="","",ROW()-4)</f>
        <v/>
      </c>
      <c r="B818" s="19"/>
      <c r="C818" s="13"/>
      <c r="D818" s="13"/>
      <c r="E818" s="13"/>
      <c r="F818" s="13"/>
      <c r="G818" s="13"/>
      <c r="H818" s="15"/>
      <c r="I818" s="19"/>
      <c r="J818" s="19"/>
      <c r="K818" s="19"/>
      <c r="L818" s="13"/>
      <c r="M818" s="13"/>
      <c r="N818" s="20">
        <f>IF($C818="","",IFERROR(INDEX(EtapaProb,MATCH($G818,Etapas,0)),0))</f>
        <v/>
      </c>
      <c r="O818" s="21">
        <f>IF($C818="","",IF($P818="Aberto",N($H818)*$N818,0))</f>
        <v/>
      </c>
      <c r="P818" s="18">
        <f>IF($C818="","",IF($G818="Ganho","Ganho",IF($G818="Perdido","Perdido","Aberto")))</f>
        <v/>
      </c>
      <c r="Q818" s="18">
        <f>IF(OR($C818="",$P818&lt;&gt;"Aberto"),"",IF($I818="",Hoje-$B818,Hoje-$I818))</f>
        <v/>
      </c>
      <c r="R818" s="22">
        <f>IF(OR($C818="",$P818&lt;&gt;"Aberto"),"",IF($J818="",IF($Q818&gt;DiasSC,"ATRASADO","Definir data"),IF($J818&lt;Hoje,"ATRASADO",IF($J818=Hoje,"HOJE","Em dia"))))</f>
        <v/>
      </c>
      <c r="S818" s="23">
        <f>IF($R818="","",IF(OR($R818="ATRASADO",$R818="HOJE",$R818="Definir data"),COUNTIF($R$5:$R818,"ATRASADO")+COUNTIF($R$5:$R818,"HOJE")+COUNTIF($R$5:$R818,"Definir data"),""))</f>
        <v/>
      </c>
      <c r="T818" s="18">
        <f>IF($C818="","",IF(OR($B818="",$E818="",$F818="",$G818=""),"Preencher entrada/origem/vendedor/etapa",IF(AND(OR($P818="Ganho",$P818="Perdido"),$K818=""),"Falta data de fechamento",IF(AND($P818="Perdido",$L818=""),"Informe o motivo da perda","OK"))))</f>
        <v/>
      </c>
    </row>
    <row r="819" spans="1:20">
      <c r="A819" s="18">
        <f>IF($C819="","",ROW()-4)</f>
        <v/>
      </c>
      <c r="B819" s="19"/>
      <c r="C819" s="13"/>
      <c r="D819" s="13"/>
      <c r="E819" s="13"/>
      <c r="F819" s="13"/>
      <c r="G819" s="13"/>
      <c r="H819" s="15"/>
      <c r="I819" s="19"/>
      <c r="J819" s="19"/>
      <c r="K819" s="19"/>
      <c r="L819" s="13"/>
      <c r="M819" s="13"/>
      <c r="N819" s="20">
        <f>IF($C819="","",IFERROR(INDEX(EtapaProb,MATCH($G819,Etapas,0)),0))</f>
        <v/>
      </c>
      <c r="O819" s="21">
        <f>IF($C819="","",IF($P819="Aberto",N($H819)*$N819,0))</f>
        <v/>
      </c>
      <c r="P819" s="18">
        <f>IF($C819="","",IF($G819="Ganho","Ganho",IF($G819="Perdido","Perdido","Aberto")))</f>
        <v/>
      </c>
      <c r="Q819" s="18">
        <f>IF(OR($C819="",$P819&lt;&gt;"Aberto"),"",IF($I819="",Hoje-$B819,Hoje-$I819))</f>
        <v/>
      </c>
      <c r="R819" s="22">
        <f>IF(OR($C819="",$P819&lt;&gt;"Aberto"),"",IF($J819="",IF($Q819&gt;DiasSC,"ATRASADO","Definir data"),IF($J819&lt;Hoje,"ATRASADO",IF($J819=Hoje,"HOJE","Em dia"))))</f>
        <v/>
      </c>
      <c r="S819" s="23">
        <f>IF($R819="","",IF(OR($R819="ATRASADO",$R819="HOJE",$R819="Definir data"),COUNTIF($R$5:$R819,"ATRASADO")+COUNTIF($R$5:$R819,"HOJE")+COUNTIF($R$5:$R819,"Definir data"),""))</f>
        <v/>
      </c>
      <c r="T819" s="18">
        <f>IF($C819="","",IF(OR($B819="",$E819="",$F819="",$G819=""),"Preencher entrada/origem/vendedor/etapa",IF(AND(OR($P819="Ganho",$P819="Perdido"),$K819=""),"Falta data de fechamento",IF(AND($P819="Perdido",$L819=""),"Informe o motivo da perda","OK"))))</f>
        <v/>
      </c>
    </row>
    <row r="820" spans="1:20">
      <c r="A820" s="18">
        <f>IF($C820="","",ROW()-4)</f>
        <v/>
      </c>
      <c r="B820" s="19"/>
      <c r="C820" s="13"/>
      <c r="D820" s="13"/>
      <c r="E820" s="13"/>
      <c r="F820" s="13"/>
      <c r="G820" s="13"/>
      <c r="H820" s="15"/>
      <c r="I820" s="19"/>
      <c r="J820" s="19"/>
      <c r="K820" s="19"/>
      <c r="L820" s="13"/>
      <c r="M820" s="13"/>
      <c r="N820" s="20">
        <f>IF($C820="","",IFERROR(INDEX(EtapaProb,MATCH($G820,Etapas,0)),0))</f>
        <v/>
      </c>
      <c r="O820" s="21">
        <f>IF($C820="","",IF($P820="Aberto",N($H820)*$N820,0))</f>
        <v/>
      </c>
      <c r="P820" s="18">
        <f>IF($C820="","",IF($G820="Ganho","Ganho",IF($G820="Perdido","Perdido","Aberto")))</f>
        <v/>
      </c>
      <c r="Q820" s="18">
        <f>IF(OR($C820="",$P820&lt;&gt;"Aberto"),"",IF($I820="",Hoje-$B820,Hoje-$I820))</f>
        <v/>
      </c>
      <c r="R820" s="22">
        <f>IF(OR($C820="",$P820&lt;&gt;"Aberto"),"",IF($J820="",IF($Q820&gt;DiasSC,"ATRASADO","Definir data"),IF($J820&lt;Hoje,"ATRASADO",IF($J820=Hoje,"HOJE","Em dia"))))</f>
        <v/>
      </c>
      <c r="S820" s="23">
        <f>IF($R820="","",IF(OR($R820="ATRASADO",$R820="HOJE",$R820="Definir data"),COUNTIF($R$5:$R820,"ATRASADO")+COUNTIF($R$5:$R820,"HOJE")+COUNTIF($R$5:$R820,"Definir data"),""))</f>
        <v/>
      </c>
      <c r="T820" s="18">
        <f>IF($C820="","",IF(OR($B820="",$E820="",$F820="",$G820=""),"Preencher entrada/origem/vendedor/etapa",IF(AND(OR($P820="Ganho",$P820="Perdido"),$K820=""),"Falta data de fechamento",IF(AND($P820="Perdido",$L820=""),"Informe o motivo da perda","OK"))))</f>
        <v/>
      </c>
    </row>
    <row r="821" spans="1:20">
      <c r="A821" s="18">
        <f>IF($C821="","",ROW()-4)</f>
        <v/>
      </c>
      <c r="B821" s="19"/>
      <c r="C821" s="13"/>
      <c r="D821" s="13"/>
      <c r="E821" s="13"/>
      <c r="F821" s="13"/>
      <c r="G821" s="13"/>
      <c r="H821" s="15"/>
      <c r="I821" s="19"/>
      <c r="J821" s="19"/>
      <c r="K821" s="19"/>
      <c r="L821" s="13"/>
      <c r="M821" s="13"/>
      <c r="N821" s="20">
        <f>IF($C821="","",IFERROR(INDEX(EtapaProb,MATCH($G821,Etapas,0)),0))</f>
        <v/>
      </c>
      <c r="O821" s="21">
        <f>IF($C821="","",IF($P821="Aberto",N($H821)*$N821,0))</f>
        <v/>
      </c>
      <c r="P821" s="18">
        <f>IF($C821="","",IF($G821="Ganho","Ganho",IF($G821="Perdido","Perdido","Aberto")))</f>
        <v/>
      </c>
      <c r="Q821" s="18">
        <f>IF(OR($C821="",$P821&lt;&gt;"Aberto"),"",IF($I821="",Hoje-$B821,Hoje-$I821))</f>
        <v/>
      </c>
      <c r="R821" s="22">
        <f>IF(OR($C821="",$P821&lt;&gt;"Aberto"),"",IF($J821="",IF($Q821&gt;DiasSC,"ATRASADO","Definir data"),IF($J821&lt;Hoje,"ATRASADO",IF($J821=Hoje,"HOJE","Em dia"))))</f>
        <v/>
      </c>
      <c r="S821" s="23">
        <f>IF($R821="","",IF(OR($R821="ATRASADO",$R821="HOJE",$R821="Definir data"),COUNTIF($R$5:$R821,"ATRASADO")+COUNTIF($R$5:$R821,"HOJE")+COUNTIF($R$5:$R821,"Definir data"),""))</f>
        <v/>
      </c>
      <c r="T821" s="18">
        <f>IF($C821="","",IF(OR($B821="",$E821="",$F821="",$G821=""),"Preencher entrada/origem/vendedor/etapa",IF(AND(OR($P821="Ganho",$P821="Perdido"),$K821=""),"Falta data de fechamento",IF(AND($P821="Perdido",$L821=""),"Informe o motivo da perda","OK"))))</f>
        <v/>
      </c>
    </row>
    <row r="822" spans="1:20">
      <c r="A822" s="18">
        <f>IF($C822="","",ROW()-4)</f>
        <v/>
      </c>
      <c r="B822" s="19"/>
      <c r="C822" s="13"/>
      <c r="D822" s="13"/>
      <c r="E822" s="13"/>
      <c r="F822" s="13"/>
      <c r="G822" s="13"/>
      <c r="H822" s="15"/>
      <c r="I822" s="19"/>
      <c r="J822" s="19"/>
      <c r="K822" s="19"/>
      <c r="L822" s="13"/>
      <c r="M822" s="13"/>
      <c r="N822" s="20">
        <f>IF($C822="","",IFERROR(INDEX(EtapaProb,MATCH($G822,Etapas,0)),0))</f>
        <v/>
      </c>
      <c r="O822" s="21">
        <f>IF($C822="","",IF($P822="Aberto",N($H822)*$N822,0))</f>
        <v/>
      </c>
      <c r="P822" s="18">
        <f>IF($C822="","",IF($G822="Ganho","Ganho",IF($G822="Perdido","Perdido","Aberto")))</f>
        <v/>
      </c>
      <c r="Q822" s="18">
        <f>IF(OR($C822="",$P822&lt;&gt;"Aberto"),"",IF($I822="",Hoje-$B822,Hoje-$I822))</f>
        <v/>
      </c>
      <c r="R822" s="22">
        <f>IF(OR($C822="",$P822&lt;&gt;"Aberto"),"",IF($J822="",IF($Q822&gt;DiasSC,"ATRASADO","Definir data"),IF($J822&lt;Hoje,"ATRASADO",IF($J822=Hoje,"HOJE","Em dia"))))</f>
        <v/>
      </c>
      <c r="S822" s="23">
        <f>IF($R822="","",IF(OR($R822="ATRASADO",$R822="HOJE",$R822="Definir data"),COUNTIF($R$5:$R822,"ATRASADO")+COUNTIF($R$5:$R822,"HOJE")+COUNTIF($R$5:$R822,"Definir data"),""))</f>
        <v/>
      </c>
      <c r="T822" s="18">
        <f>IF($C822="","",IF(OR($B822="",$E822="",$F822="",$G822=""),"Preencher entrada/origem/vendedor/etapa",IF(AND(OR($P822="Ganho",$P822="Perdido"),$K822=""),"Falta data de fechamento",IF(AND($P822="Perdido",$L822=""),"Informe o motivo da perda","OK"))))</f>
        <v/>
      </c>
    </row>
    <row r="823" spans="1:20">
      <c r="A823" s="18">
        <f>IF($C823="","",ROW()-4)</f>
        <v/>
      </c>
      <c r="B823" s="19"/>
      <c r="C823" s="13"/>
      <c r="D823" s="13"/>
      <c r="E823" s="13"/>
      <c r="F823" s="13"/>
      <c r="G823" s="13"/>
      <c r="H823" s="15"/>
      <c r="I823" s="19"/>
      <c r="J823" s="19"/>
      <c r="K823" s="19"/>
      <c r="L823" s="13"/>
      <c r="M823" s="13"/>
      <c r="N823" s="20">
        <f>IF($C823="","",IFERROR(INDEX(EtapaProb,MATCH($G823,Etapas,0)),0))</f>
        <v/>
      </c>
      <c r="O823" s="21">
        <f>IF($C823="","",IF($P823="Aberto",N($H823)*$N823,0))</f>
        <v/>
      </c>
      <c r="P823" s="18">
        <f>IF($C823="","",IF($G823="Ganho","Ganho",IF($G823="Perdido","Perdido","Aberto")))</f>
        <v/>
      </c>
      <c r="Q823" s="18">
        <f>IF(OR($C823="",$P823&lt;&gt;"Aberto"),"",IF($I823="",Hoje-$B823,Hoje-$I823))</f>
        <v/>
      </c>
      <c r="R823" s="22">
        <f>IF(OR($C823="",$P823&lt;&gt;"Aberto"),"",IF($J823="",IF($Q823&gt;DiasSC,"ATRASADO","Definir data"),IF($J823&lt;Hoje,"ATRASADO",IF($J823=Hoje,"HOJE","Em dia"))))</f>
        <v/>
      </c>
      <c r="S823" s="23">
        <f>IF($R823="","",IF(OR($R823="ATRASADO",$R823="HOJE",$R823="Definir data"),COUNTIF($R$5:$R823,"ATRASADO")+COUNTIF($R$5:$R823,"HOJE")+COUNTIF($R$5:$R823,"Definir data"),""))</f>
        <v/>
      </c>
      <c r="T823" s="18">
        <f>IF($C823="","",IF(OR($B823="",$E823="",$F823="",$G823=""),"Preencher entrada/origem/vendedor/etapa",IF(AND(OR($P823="Ganho",$P823="Perdido"),$K823=""),"Falta data de fechamento",IF(AND($P823="Perdido",$L823=""),"Informe o motivo da perda","OK"))))</f>
        <v/>
      </c>
    </row>
    <row r="824" spans="1:20">
      <c r="A824" s="18">
        <f>IF($C824="","",ROW()-4)</f>
        <v/>
      </c>
      <c r="B824" s="19"/>
      <c r="C824" s="13"/>
      <c r="D824" s="13"/>
      <c r="E824" s="13"/>
      <c r="F824" s="13"/>
      <c r="G824" s="13"/>
      <c r="H824" s="15"/>
      <c r="I824" s="19"/>
      <c r="J824" s="19"/>
      <c r="K824" s="19"/>
      <c r="L824" s="13"/>
      <c r="M824" s="13"/>
      <c r="N824" s="20">
        <f>IF($C824="","",IFERROR(INDEX(EtapaProb,MATCH($G824,Etapas,0)),0))</f>
        <v/>
      </c>
      <c r="O824" s="21">
        <f>IF($C824="","",IF($P824="Aberto",N($H824)*$N824,0))</f>
        <v/>
      </c>
      <c r="P824" s="18">
        <f>IF($C824="","",IF($G824="Ganho","Ganho",IF($G824="Perdido","Perdido","Aberto")))</f>
        <v/>
      </c>
      <c r="Q824" s="18">
        <f>IF(OR($C824="",$P824&lt;&gt;"Aberto"),"",IF($I824="",Hoje-$B824,Hoje-$I824))</f>
        <v/>
      </c>
      <c r="R824" s="22">
        <f>IF(OR($C824="",$P824&lt;&gt;"Aberto"),"",IF($J824="",IF($Q824&gt;DiasSC,"ATRASADO","Definir data"),IF($J824&lt;Hoje,"ATRASADO",IF($J824=Hoje,"HOJE","Em dia"))))</f>
        <v/>
      </c>
      <c r="S824" s="23">
        <f>IF($R824="","",IF(OR($R824="ATRASADO",$R824="HOJE",$R824="Definir data"),COUNTIF($R$5:$R824,"ATRASADO")+COUNTIF($R$5:$R824,"HOJE")+COUNTIF($R$5:$R824,"Definir data"),""))</f>
        <v/>
      </c>
      <c r="T824" s="18">
        <f>IF($C824="","",IF(OR($B824="",$E824="",$F824="",$G824=""),"Preencher entrada/origem/vendedor/etapa",IF(AND(OR($P824="Ganho",$P824="Perdido"),$K824=""),"Falta data de fechamento",IF(AND($P824="Perdido",$L824=""),"Informe o motivo da perda","OK"))))</f>
        <v/>
      </c>
    </row>
    <row r="825" spans="1:20">
      <c r="A825" s="18">
        <f>IF($C825="","",ROW()-4)</f>
        <v/>
      </c>
      <c r="B825" s="19"/>
      <c r="C825" s="13"/>
      <c r="D825" s="13"/>
      <c r="E825" s="13"/>
      <c r="F825" s="13"/>
      <c r="G825" s="13"/>
      <c r="H825" s="15"/>
      <c r="I825" s="19"/>
      <c r="J825" s="19"/>
      <c r="K825" s="19"/>
      <c r="L825" s="13"/>
      <c r="M825" s="13"/>
      <c r="N825" s="20">
        <f>IF($C825="","",IFERROR(INDEX(EtapaProb,MATCH($G825,Etapas,0)),0))</f>
        <v/>
      </c>
      <c r="O825" s="21">
        <f>IF($C825="","",IF($P825="Aberto",N($H825)*$N825,0))</f>
        <v/>
      </c>
      <c r="P825" s="18">
        <f>IF($C825="","",IF($G825="Ganho","Ganho",IF($G825="Perdido","Perdido","Aberto")))</f>
        <v/>
      </c>
      <c r="Q825" s="18">
        <f>IF(OR($C825="",$P825&lt;&gt;"Aberto"),"",IF($I825="",Hoje-$B825,Hoje-$I825))</f>
        <v/>
      </c>
      <c r="R825" s="22">
        <f>IF(OR($C825="",$P825&lt;&gt;"Aberto"),"",IF($J825="",IF($Q825&gt;DiasSC,"ATRASADO","Definir data"),IF($J825&lt;Hoje,"ATRASADO",IF($J825=Hoje,"HOJE","Em dia"))))</f>
        <v/>
      </c>
      <c r="S825" s="23">
        <f>IF($R825="","",IF(OR($R825="ATRASADO",$R825="HOJE",$R825="Definir data"),COUNTIF($R$5:$R825,"ATRASADO")+COUNTIF($R$5:$R825,"HOJE")+COUNTIF($R$5:$R825,"Definir data"),""))</f>
        <v/>
      </c>
      <c r="T825" s="18">
        <f>IF($C825="","",IF(OR($B825="",$E825="",$F825="",$G825=""),"Preencher entrada/origem/vendedor/etapa",IF(AND(OR($P825="Ganho",$P825="Perdido"),$K825=""),"Falta data de fechamento",IF(AND($P825="Perdido",$L825=""),"Informe o motivo da perda","OK"))))</f>
        <v/>
      </c>
    </row>
    <row r="826" spans="1:20">
      <c r="A826" s="18">
        <f>IF($C826="","",ROW()-4)</f>
        <v/>
      </c>
      <c r="B826" s="19"/>
      <c r="C826" s="13"/>
      <c r="D826" s="13"/>
      <c r="E826" s="13"/>
      <c r="F826" s="13"/>
      <c r="G826" s="13"/>
      <c r="H826" s="15"/>
      <c r="I826" s="19"/>
      <c r="J826" s="19"/>
      <c r="K826" s="19"/>
      <c r="L826" s="13"/>
      <c r="M826" s="13"/>
      <c r="N826" s="20">
        <f>IF($C826="","",IFERROR(INDEX(EtapaProb,MATCH($G826,Etapas,0)),0))</f>
        <v/>
      </c>
      <c r="O826" s="21">
        <f>IF($C826="","",IF($P826="Aberto",N($H826)*$N826,0))</f>
        <v/>
      </c>
      <c r="P826" s="18">
        <f>IF($C826="","",IF($G826="Ganho","Ganho",IF($G826="Perdido","Perdido","Aberto")))</f>
        <v/>
      </c>
      <c r="Q826" s="18">
        <f>IF(OR($C826="",$P826&lt;&gt;"Aberto"),"",IF($I826="",Hoje-$B826,Hoje-$I826))</f>
        <v/>
      </c>
      <c r="R826" s="22">
        <f>IF(OR($C826="",$P826&lt;&gt;"Aberto"),"",IF($J826="",IF($Q826&gt;DiasSC,"ATRASADO","Definir data"),IF($J826&lt;Hoje,"ATRASADO",IF($J826=Hoje,"HOJE","Em dia"))))</f>
        <v/>
      </c>
      <c r="S826" s="23">
        <f>IF($R826="","",IF(OR($R826="ATRASADO",$R826="HOJE",$R826="Definir data"),COUNTIF($R$5:$R826,"ATRASADO")+COUNTIF($R$5:$R826,"HOJE")+COUNTIF($R$5:$R826,"Definir data"),""))</f>
        <v/>
      </c>
      <c r="T826" s="18">
        <f>IF($C826="","",IF(OR($B826="",$E826="",$F826="",$G826=""),"Preencher entrada/origem/vendedor/etapa",IF(AND(OR($P826="Ganho",$P826="Perdido"),$K826=""),"Falta data de fechamento",IF(AND($P826="Perdido",$L826=""),"Informe o motivo da perda","OK"))))</f>
        <v/>
      </c>
    </row>
    <row r="827" spans="1:20">
      <c r="A827" s="18">
        <f>IF($C827="","",ROW()-4)</f>
        <v/>
      </c>
      <c r="B827" s="19"/>
      <c r="C827" s="13"/>
      <c r="D827" s="13"/>
      <c r="E827" s="13"/>
      <c r="F827" s="13"/>
      <c r="G827" s="13"/>
      <c r="H827" s="15"/>
      <c r="I827" s="19"/>
      <c r="J827" s="19"/>
      <c r="K827" s="19"/>
      <c r="L827" s="13"/>
      <c r="M827" s="13"/>
      <c r="N827" s="20">
        <f>IF($C827="","",IFERROR(INDEX(EtapaProb,MATCH($G827,Etapas,0)),0))</f>
        <v/>
      </c>
      <c r="O827" s="21">
        <f>IF($C827="","",IF($P827="Aberto",N($H827)*$N827,0))</f>
        <v/>
      </c>
      <c r="P827" s="18">
        <f>IF($C827="","",IF($G827="Ganho","Ganho",IF($G827="Perdido","Perdido","Aberto")))</f>
        <v/>
      </c>
      <c r="Q827" s="18">
        <f>IF(OR($C827="",$P827&lt;&gt;"Aberto"),"",IF($I827="",Hoje-$B827,Hoje-$I827))</f>
        <v/>
      </c>
      <c r="R827" s="22">
        <f>IF(OR($C827="",$P827&lt;&gt;"Aberto"),"",IF($J827="",IF($Q827&gt;DiasSC,"ATRASADO","Definir data"),IF($J827&lt;Hoje,"ATRASADO",IF($J827=Hoje,"HOJE","Em dia"))))</f>
        <v/>
      </c>
      <c r="S827" s="23">
        <f>IF($R827="","",IF(OR($R827="ATRASADO",$R827="HOJE",$R827="Definir data"),COUNTIF($R$5:$R827,"ATRASADO")+COUNTIF($R$5:$R827,"HOJE")+COUNTIF($R$5:$R827,"Definir data"),""))</f>
        <v/>
      </c>
      <c r="T827" s="18">
        <f>IF($C827="","",IF(OR($B827="",$E827="",$F827="",$G827=""),"Preencher entrada/origem/vendedor/etapa",IF(AND(OR($P827="Ganho",$P827="Perdido"),$K827=""),"Falta data de fechamento",IF(AND($P827="Perdido",$L827=""),"Informe o motivo da perda","OK"))))</f>
        <v/>
      </c>
    </row>
    <row r="828" spans="1:20">
      <c r="A828" s="18">
        <f>IF($C828="","",ROW()-4)</f>
        <v/>
      </c>
      <c r="B828" s="19"/>
      <c r="C828" s="13"/>
      <c r="D828" s="13"/>
      <c r="E828" s="13"/>
      <c r="F828" s="13"/>
      <c r="G828" s="13"/>
      <c r="H828" s="15"/>
      <c r="I828" s="19"/>
      <c r="J828" s="19"/>
      <c r="K828" s="19"/>
      <c r="L828" s="13"/>
      <c r="M828" s="13"/>
      <c r="N828" s="20">
        <f>IF($C828="","",IFERROR(INDEX(EtapaProb,MATCH($G828,Etapas,0)),0))</f>
        <v/>
      </c>
      <c r="O828" s="21">
        <f>IF($C828="","",IF($P828="Aberto",N($H828)*$N828,0))</f>
        <v/>
      </c>
      <c r="P828" s="18">
        <f>IF($C828="","",IF($G828="Ganho","Ganho",IF($G828="Perdido","Perdido","Aberto")))</f>
        <v/>
      </c>
      <c r="Q828" s="18">
        <f>IF(OR($C828="",$P828&lt;&gt;"Aberto"),"",IF($I828="",Hoje-$B828,Hoje-$I828))</f>
        <v/>
      </c>
      <c r="R828" s="22">
        <f>IF(OR($C828="",$P828&lt;&gt;"Aberto"),"",IF($J828="",IF($Q828&gt;DiasSC,"ATRASADO","Definir data"),IF($J828&lt;Hoje,"ATRASADO",IF($J828=Hoje,"HOJE","Em dia"))))</f>
        <v/>
      </c>
      <c r="S828" s="23">
        <f>IF($R828="","",IF(OR($R828="ATRASADO",$R828="HOJE",$R828="Definir data"),COUNTIF($R$5:$R828,"ATRASADO")+COUNTIF($R$5:$R828,"HOJE")+COUNTIF($R$5:$R828,"Definir data"),""))</f>
        <v/>
      </c>
      <c r="T828" s="18">
        <f>IF($C828="","",IF(OR($B828="",$E828="",$F828="",$G828=""),"Preencher entrada/origem/vendedor/etapa",IF(AND(OR($P828="Ganho",$P828="Perdido"),$K828=""),"Falta data de fechamento",IF(AND($P828="Perdido",$L828=""),"Informe o motivo da perda","OK"))))</f>
        <v/>
      </c>
    </row>
    <row r="829" spans="1:20">
      <c r="A829" s="18">
        <f>IF($C829="","",ROW()-4)</f>
        <v/>
      </c>
      <c r="B829" s="19"/>
      <c r="C829" s="13"/>
      <c r="D829" s="13"/>
      <c r="E829" s="13"/>
      <c r="F829" s="13"/>
      <c r="G829" s="13"/>
      <c r="H829" s="15"/>
      <c r="I829" s="19"/>
      <c r="J829" s="19"/>
      <c r="K829" s="19"/>
      <c r="L829" s="13"/>
      <c r="M829" s="13"/>
      <c r="N829" s="20">
        <f>IF($C829="","",IFERROR(INDEX(EtapaProb,MATCH($G829,Etapas,0)),0))</f>
        <v/>
      </c>
      <c r="O829" s="21">
        <f>IF($C829="","",IF($P829="Aberto",N($H829)*$N829,0))</f>
        <v/>
      </c>
      <c r="P829" s="18">
        <f>IF($C829="","",IF($G829="Ganho","Ganho",IF($G829="Perdido","Perdido","Aberto")))</f>
        <v/>
      </c>
      <c r="Q829" s="18">
        <f>IF(OR($C829="",$P829&lt;&gt;"Aberto"),"",IF($I829="",Hoje-$B829,Hoje-$I829))</f>
        <v/>
      </c>
      <c r="R829" s="22">
        <f>IF(OR($C829="",$P829&lt;&gt;"Aberto"),"",IF($J829="",IF($Q829&gt;DiasSC,"ATRASADO","Definir data"),IF($J829&lt;Hoje,"ATRASADO",IF($J829=Hoje,"HOJE","Em dia"))))</f>
        <v/>
      </c>
      <c r="S829" s="23">
        <f>IF($R829="","",IF(OR($R829="ATRASADO",$R829="HOJE",$R829="Definir data"),COUNTIF($R$5:$R829,"ATRASADO")+COUNTIF($R$5:$R829,"HOJE")+COUNTIF($R$5:$R829,"Definir data"),""))</f>
        <v/>
      </c>
      <c r="T829" s="18">
        <f>IF($C829="","",IF(OR($B829="",$E829="",$F829="",$G829=""),"Preencher entrada/origem/vendedor/etapa",IF(AND(OR($P829="Ganho",$P829="Perdido"),$K829=""),"Falta data de fechamento",IF(AND($P829="Perdido",$L829=""),"Informe o motivo da perda","OK"))))</f>
        <v/>
      </c>
    </row>
    <row r="830" spans="1:20">
      <c r="A830" s="18">
        <f>IF($C830="","",ROW()-4)</f>
        <v/>
      </c>
      <c r="B830" s="19"/>
      <c r="C830" s="13"/>
      <c r="D830" s="13"/>
      <c r="E830" s="13"/>
      <c r="F830" s="13"/>
      <c r="G830" s="13"/>
      <c r="H830" s="15"/>
      <c r="I830" s="19"/>
      <c r="J830" s="19"/>
      <c r="K830" s="19"/>
      <c r="L830" s="13"/>
      <c r="M830" s="13"/>
      <c r="N830" s="20">
        <f>IF($C830="","",IFERROR(INDEX(EtapaProb,MATCH($G830,Etapas,0)),0))</f>
        <v/>
      </c>
      <c r="O830" s="21">
        <f>IF($C830="","",IF($P830="Aberto",N($H830)*$N830,0))</f>
        <v/>
      </c>
      <c r="P830" s="18">
        <f>IF($C830="","",IF($G830="Ganho","Ganho",IF($G830="Perdido","Perdido","Aberto")))</f>
        <v/>
      </c>
      <c r="Q830" s="18">
        <f>IF(OR($C830="",$P830&lt;&gt;"Aberto"),"",IF($I830="",Hoje-$B830,Hoje-$I830))</f>
        <v/>
      </c>
      <c r="R830" s="22">
        <f>IF(OR($C830="",$P830&lt;&gt;"Aberto"),"",IF($J830="",IF($Q830&gt;DiasSC,"ATRASADO","Definir data"),IF($J830&lt;Hoje,"ATRASADO",IF($J830=Hoje,"HOJE","Em dia"))))</f>
        <v/>
      </c>
      <c r="S830" s="23">
        <f>IF($R830="","",IF(OR($R830="ATRASADO",$R830="HOJE",$R830="Definir data"),COUNTIF($R$5:$R830,"ATRASADO")+COUNTIF($R$5:$R830,"HOJE")+COUNTIF($R$5:$R830,"Definir data"),""))</f>
        <v/>
      </c>
      <c r="T830" s="18">
        <f>IF($C830="","",IF(OR($B830="",$E830="",$F830="",$G830=""),"Preencher entrada/origem/vendedor/etapa",IF(AND(OR($P830="Ganho",$P830="Perdido"),$K830=""),"Falta data de fechamento",IF(AND($P830="Perdido",$L830=""),"Informe o motivo da perda","OK"))))</f>
        <v/>
      </c>
    </row>
    <row r="831" spans="1:20">
      <c r="A831" s="18">
        <f>IF($C831="","",ROW()-4)</f>
        <v/>
      </c>
      <c r="B831" s="19"/>
      <c r="C831" s="13"/>
      <c r="D831" s="13"/>
      <c r="E831" s="13"/>
      <c r="F831" s="13"/>
      <c r="G831" s="13"/>
      <c r="H831" s="15"/>
      <c r="I831" s="19"/>
      <c r="J831" s="19"/>
      <c r="K831" s="19"/>
      <c r="L831" s="13"/>
      <c r="M831" s="13"/>
      <c r="N831" s="20">
        <f>IF($C831="","",IFERROR(INDEX(EtapaProb,MATCH($G831,Etapas,0)),0))</f>
        <v/>
      </c>
      <c r="O831" s="21">
        <f>IF($C831="","",IF($P831="Aberto",N($H831)*$N831,0))</f>
        <v/>
      </c>
      <c r="P831" s="18">
        <f>IF($C831="","",IF($G831="Ganho","Ganho",IF($G831="Perdido","Perdido","Aberto")))</f>
        <v/>
      </c>
      <c r="Q831" s="18">
        <f>IF(OR($C831="",$P831&lt;&gt;"Aberto"),"",IF($I831="",Hoje-$B831,Hoje-$I831))</f>
        <v/>
      </c>
      <c r="R831" s="22">
        <f>IF(OR($C831="",$P831&lt;&gt;"Aberto"),"",IF($J831="",IF($Q831&gt;DiasSC,"ATRASADO","Definir data"),IF($J831&lt;Hoje,"ATRASADO",IF($J831=Hoje,"HOJE","Em dia"))))</f>
        <v/>
      </c>
      <c r="S831" s="23">
        <f>IF($R831="","",IF(OR($R831="ATRASADO",$R831="HOJE",$R831="Definir data"),COUNTIF($R$5:$R831,"ATRASADO")+COUNTIF($R$5:$R831,"HOJE")+COUNTIF($R$5:$R831,"Definir data"),""))</f>
        <v/>
      </c>
      <c r="T831" s="18">
        <f>IF($C831="","",IF(OR($B831="",$E831="",$F831="",$G831=""),"Preencher entrada/origem/vendedor/etapa",IF(AND(OR($P831="Ganho",$P831="Perdido"),$K831=""),"Falta data de fechamento",IF(AND($P831="Perdido",$L831=""),"Informe o motivo da perda","OK"))))</f>
        <v/>
      </c>
    </row>
    <row r="832" spans="1:20">
      <c r="A832" s="18">
        <f>IF($C832="","",ROW()-4)</f>
        <v/>
      </c>
      <c r="B832" s="19"/>
      <c r="C832" s="13"/>
      <c r="D832" s="13"/>
      <c r="E832" s="13"/>
      <c r="F832" s="13"/>
      <c r="G832" s="13"/>
      <c r="H832" s="15"/>
      <c r="I832" s="19"/>
      <c r="J832" s="19"/>
      <c r="K832" s="19"/>
      <c r="L832" s="13"/>
      <c r="M832" s="13"/>
      <c r="N832" s="20">
        <f>IF($C832="","",IFERROR(INDEX(EtapaProb,MATCH($G832,Etapas,0)),0))</f>
        <v/>
      </c>
      <c r="O832" s="21">
        <f>IF($C832="","",IF($P832="Aberto",N($H832)*$N832,0))</f>
        <v/>
      </c>
      <c r="P832" s="18">
        <f>IF($C832="","",IF($G832="Ganho","Ganho",IF($G832="Perdido","Perdido","Aberto")))</f>
        <v/>
      </c>
      <c r="Q832" s="18">
        <f>IF(OR($C832="",$P832&lt;&gt;"Aberto"),"",IF($I832="",Hoje-$B832,Hoje-$I832))</f>
        <v/>
      </c>
      <c r="R832" s="22">
        <f>IF(OR($C832="",$P832&lt;&gt;"Aberto"),"",IF($J832="",IF($Q832&gt;DiasSC,"ATRASADO","Definir data"),IF($J832&lt;Hoje,"ATRASADO",IF($J832=Hoje,"HOJE","Em dia"))))</f>
        <v/>
      </c>
      <c r="S832" s="23">
        <f>IF($R832="","",IF(OR($R832="ATRASADO",$R832="HOJE",$R832="Definir data"),COUNTIF($R$5:$R832,"ATRASADO")+COUNTIF($R$5:$R832,"HOJE")+COUNTIF($R$5:$R832,"Definir data"),""))</f>
        <v/>
      </c>
      <c r="T832" s="18">
        <f>IF($C832="","",IF(OR($B832="",$E832="",$F832="",$G832=""),"Preencher entrada/origem/vendedor/etapa",IF(AND(OR($P832="Ganho",$P832="Perdido"),$K832=""),"Falta data de fechamento",IF(AND($P832="Perdido",$L832=""),"Informe o motivo da perda","OK"))))</f>
        <v/>
      </c>
    </row>
    <row r="833" spans="1:20">
      <c r="A833" s="18">
        <f>IF($C833="","",ROW()-4)</f>
        <v/>
      </c>
      <c r="B833" s="19"/>
      <c r="C833" s="13"/>
      <c r="D833" s="13"/>
      <c r="E833" s="13"/>
      <c r="F833" s="13"/>
      <c r="G833" s="13"/>
      <c r="H833" s="15"/>
      <c r="I833" s="19"/>
      <c r="J833" s="19"/>
      <c r="K833" s="19"/>
      <c r="L833" s="13"/>
      <c r="M833" s="13"/>
      <c r="N833" s="20">
        <f>IF($C833="","",IFERROR(INDEX(EtapaProb,MATCH($G833,Etapas,0)),0))</f>
        <v/>
      </c>
      <c r="O833" s="21">
        <f>IF($C833="","",IF($P833="Aberto",N($H833)*$N833,0))</f>
        <v/>
      </c>
      <c r="P833" s="18">
        <f>IF($C833="","",IF($G833="Ganho","Ganho",IF($G833="Perdido","Perdido","Aberto")))</f>
        <v/>
      </c>
      <c r="Q833" s="18">
        <f>IF(OR($C833="",$P833&lt;&gt;"Aberto"),"",IF($I833="",Hoje-$B833,Hoje-$I833))</f>
        <v/>
      </c>
      <c r="R833" s="22">
        <f>IF(OR($C833="",$P833&lt;&gt;"Aberto"),"",IF($J833="",IF($Q833&gt;DiasSC,"ATRASADO","Definir data"),IF($J833&lt;Hoje,"ATRASADO",IF($J833=Hoje,"HOJE","Em dia"))))</f>
        <v/>
      </c>
      <c r="S833" s="23">
        <f>IF($R833="","",IF(OR($R833="ATRASADO",$R833="HOJE",$R833="Definir data"),COUNTIF($R$5:$R833,"ATRASADO")+COUNTIF($R$5:$R833,"HOJE")+COUNTIF($R$5:$R833,"Definir data"),""))</f>
        <v/>
      </c>
      <c r="T833" s="18">
        <f>IF($C833="","",IF(OR($B833="",$E833="",$F833="",$G833=""),"Preencher entrada/origem/vendedor/etapa",IF(AND(OR($P833="Ganho",$P833="Perdido"),$K833=""),"Falta data de fechamento",IF(AND($P833="Perdido",$L833=""),"Informe o motivo da perda","OK"))))</f>
        <v/>
      </c>
    </row>
    <row r="834" spans="1:20">
      <c r="A834" s="18">
        <f>IF($C834="","",ROW()-4)</f>
        <v/>
      </c>
      <c r="B834" s="19"/>
      <c r="C834" s="13"/>
      <c r="D834" s="13"/>
      <c r="E834" s="13"/>
      <c r="F834" s="13"/>
      <c r="G834" s="13"/>
      <c r="H834" s="15"/>
      <c r="I834" s="19"/>
      <c r="J834" s="19"/>
      <c r="K834" s="19"/>
      <c r="L834" s="13"/>
      <c r="M834" s="13"/>
      <c r="N834" s="20">
        <f>IF($C834="","",IFERROR(INDEX(EtapaProb,MATCH($G834,Etapas,0)),0))</f>
        <v/>
      </c>
      <c r="O834" s="21">
        <f>IF($C834="","",IF($P834="Aberto",N($H834)*$N834,0))</f>
        <v/>
      </c>
      <c r="P834" s="18">
        <f>IF($C834="","",IF($G834="Ganho","Ganho",IF($G834="Perdido","Perdido","Aberto")))</f>
        <v/>
      </c>
      <c r="Q834" s="18">
        <f>IF(OR($C834="",$P834&lt;&gt;"Aberto"),"",IF($I834="",Hoje-$B834,Hoje-$I834))</f>
        <v/>
      </c>
      <c r="R834" s="22">
        <f>IF(OR($C834="",$P834&lt;&gt;"Aberto"),"",IF($J834="",IF($Q834&gt;DiasSC,"ATRASADO","Definir data"),IF($J834&lt;Hoje,"ATRASADO",IF($J834=Hoje,"HOJE","Em dia"))))</f>
        <v/>
      </c>
      <c r="S834" s="23">
        <f>IF($R834="","",IF(OR($R834="ATRASADO",$R834="HOJE",$R834="Definir data"),COUNTIF($R$5:$R834,"ATRASADO")+COUNTIF($R$5:$R834,"HOJE")+COUNTIF($R$5:$R834,"Definir data"),""))</f>
        <v/>
      </c>
      <c r="T834" s="18">
        <f>IF($C834="","",IF(OR($B834="",$E834="",$F834="",$G834=""),"Preencher entrada/origem/vendedor/etapa",IF(AND(OR($P834="Ganho",$P834="Perdido"),$K834=""),"Falta data de fechamento",IF(AND($P834="Perdido",$L834=""),"Informe o motivo da perda","OK"))))</f>
        <v/>
      </c>
    </row>
    <row r="835" spans="1:20">
      <c r="A835" s="18">
        <f>IF($C835="","",ROW()-4)</f>
        <v/>
      </c>
      <c r="B835" s="19"/>
      <c r="C835" s="13"/>
      <c r="D835" s="13"/>
      <c r="E835" s="13"/>
      <c r="F835" s="13"/>
      <c r="G835" s="13"/>
      <c r="H835" s="15"/>
      <c r="I835" s="19"/>
      <c r="J835" s="19"/>
      <c r="K835" s="19"/>
      <c r="L835" s="13"/>
      <c r="M835" s="13"/>
      <c r="N835" s="20">
        <f>IF($C835="","",IFERROR(INDEX(EtapaProb,MATCH($G835,Etapas,0)),0))</f>
        <v/>
      </c>
      <c r="O835" s="21">
        <f>IF($C835="","",IF($P835="Aberto",N($H835)*$N835,0))</f>
        <v/>
      </c>
      <c r="P835" s="18">
        <f>IF($C835="","",IF($G835="Ganho","Ganho",IF($G835="Perdido","Perdido","Aberto")))</f>
        <v/>
      </c>
      <c r="Q835" s="18">
        <f>IF(OR($C835="",$P835&lt;&gt;"Aberto"),"",IF($I835="",Hoje-$B835,Hoje-$I835))</f>
        <v/>
      </c>
      <c r="R835" s="22">
        <f>IF(OR($C835="",$P835&lt;&gt;"Aberto"),"",IF($J835="",IF($Q835&gt;DiasSC,"ATRASADO","Definir data"),IF($J835&lt;Hoje,"ATRASADO",IF($J835=Hoje,"HOJE","Em dia"))))</f>
        <v/>
      </c>
      <c r="S835" s="23">
        <f>IF($R835="","",IF(OR($R835="ATRASADO",$R835="HOJE",$R835="Definir data"),COUNTIF($R$5:$R835,"ATRASADO")+COUNTIF($R$5:$R835,"HOJE")+COUNTIF($R$5:$R835,"Definir data"),""))</f>
        <v/>
      </c>
      <c r="T835" s="18">
        <f>IF($C835="","",IF(OR($B835="",$E835="",$F835="",$G835=""),"Preencher entrada/origem/vendedor/etapa",IF(AND(OR($P835="Ganho",$P835="Perdido"),$K835=""),"Falta data de fechamento",IF(AND($P835="Perdido",$L835=""),"Informe o motivo da perda","OK"))))</f>
        <v/>
      </c>
    </row>
    <row r="836" spans="1:20">
      <c r="A836" s="18">
        <f>IF($C836="","",ROW()-4)</f>
        <v/>
      </c>
      <c r="B836" s="19"/>
      <c r="C836" s="13"/>
      <c r="D836" s="13"/>
      <c r="E836" s="13"/>
      <c r="F836" s="13"/>
      <c r="G836" s="13"/>
      <c r="H836" s="15"/>
      <c r="I836" s="19"/>
      <c r="J836" s="19"/>
      <c r="K836" s="19"/>
      <c r="L836" s="13"/>
      <c r="M836" s="13"/>
      <c r="N836" s="20">
        <f>IF($C836="","",IFERROR(INDEX(EtapaProb,MATCH($G836,Etapas,0)),0))</f>
        <v/>
      </c>
      <c r="O836" s="21">
        <f>IF($C836="","",IF($P836="Aberto",N($H836)*$N836,0))</f>
        <v/>
      </c>
      <c r="P836" s="18">
        <f>IF($C836="","",IF($G836="Ganho","Ganho",IF($G836="Perdido","Perdido","Aberto")))</f>
        <v/>
      </c>
      <c r="Q836" s="18">
        <f>IF(OR($C836="",$P836&lt;&gt;"Aberto"),"",IF($I836="",Hoje-$B836,Hoje-$I836))</f>
        <v/>
      </c>
      <c r="R836" s="22">
        <f>IF(OR($C836="",$P836&lt;&gt;"Aberto"),"",IF($J836="",IF($Q836&gt;DiasSC,"ATRASADO","Definir data"),IF($J836&lt;Hoje,"ATRASADO",IF($J836=Hoje,"HOJE","Em dia"))))</f>
        <v/>
      </c>
      <c r="S836" s="23">
        <f>IF($R836="","",IF(OR($R836="ATRASADO",$R836="HOJE",$R836="Definir data"),COUNTIF($R$5:$R836,"ATRASADO")+COUNTIF($R$5:$R836,"HOJE")+COUNTIF($R$5:$R836,"Definir data"),""))</f>
        <v/>
      </c>
      <c r="T836" s="18">
        <f>IF($C836="","",IF(OR($B836="",$E836="",$F836="",$G836=""),"Preencher entrada/origem/vendedor/etapa",IF(AND(OR($P836="Ganho",$P836="Perdido"),$K836=""),"Falta data de fechamento",IF(AND($P836="Perdido",$L836=""),"Informe o motivo da perda","OK"))))</f>
        <v/>
      </c>
    </row>
    <row r="837" spans="1:20">
      <c r="A837" s="18">
        <f>IF($C837="","",ROW()-4)</f>
        <v/>
      </c>
      <c r="B837" s="19"/>
      <c r="C837" s="13"/>
      <c r="D837" s="13"/>
      <c r="E837" s="13"/>
      <c r="F837" s="13"/>
      <c r="G837" s="13"/>
      <c r="H837" s="15"/>
      <c r="I837" s="19"/>
      <c r="J837" s="19"/>
      <c r="K837" s="19"/>
      <c r="L837" s="13"/>
      <c r="M837" s="13"/>
      <c r="N837" s="20">
        <f>IF($C837="","",IFERROR(INDEX(EtapaProb,MATCH($G837,Etapas,0)),0))</f>
        <v/>
      </c>
      <c r="O837" s="21">
        <f>IF($C837="","",IF($P837="Aberto",N($H837)*$N837,0))</f>
        <v/>
      </c>
      <c r="P837" s="18">
        <f>IF($C837="","",IF($G837="Ganho","Ganho",IF($G837="Perdido","Perdido","Aberto")))</f>
        <v/>
      </c>
      <c r="Q837" s="18">
        <f>IF(OR($C837="",$P837&lt;&gt;"Aberto"),"",IF($I837="",Hoje-$B837,Hoje-$I837))</f>
        <v/>
      </c>
      <c r="R837" s="22">
        <f>IF(OR($C837="",$P837&lt;&gt;"Aberto"),"",IF($J837="",IF($Q837&gt;DiasSC,"ATRASADO","Definir data"),IF($J837&lt;Hoje,"ATRASADO",IF($J837=Hoje,"HOJE","Em dia"))))</f>
        <v/>
      </c>
      <c r="S837" s="23">
        <f>IF($R837="","",IF(OR($R837="ATRASADO",$R837="HOJE",$R837="Definir data"),COUNTIF($R$5:$R837,"ATRASADO")+COUNTIF($R$5:$R837,"HOJE")+COUNTIF($R$5:$R837,"Definir data"),""))</f>
        <v/>
      </c>
      <c r="T837" s="18">
        <f>IF($C837="","",IF(OR($B837="",$E837="",$F837="",$G837=""),"Preencher entrada/origem/vendedor/etapa",IF(AND(OR($P837="Ganho",$P837="Perdido"),$K837=""),"Falta data de fechamento",IF(AND($P837="Perdido",$L837=""),"Informe o motivo da perda","OK"))))</f>
        <v/>
      </c>
    </row>
    <row r="838" spans="1:20">
      <c r="A838" s="18">
        <f>IF($C838="","",ROW()-4)</f>
        <v/>
      </c>
      <c r="B838" s="19"/>
      <c r="C838" s="13"/>
      <c r="D838" s="13"/>
      <c r="E838" s="13"/>
      <c r="F838" s="13"/>
      <c r="G838" s="13"/>
      <c r="H838" s="15"/>
      <c r="I838" s="19"/>
      <c r="J838" s="19"/>
      <c r="K838" s="19"/>
      <c r="L838" s="13"/>
      <c r="M838" s="13"/>
      <c r="N838" s="20">
        <f>IF($C838="","",IFERROR(INDEX(EtapaProb,MATCH($G838,Etapas,0)),0))</f>
        <v/>
      </c>
      <c r="O838" s="21">
        <f>IF($C838="","",IF($P838="Aberto",N($H838)*$N838,0))</f>
        <v/>
      </c>
      <c r="P838" s="18">
        <f>IF($C838="","",IF($G838="Ganho","Ganho",IF($G838="Perdido","Perdido","Aberto")))</f>
        <v/>
      </c>
      <c r="Q838" s="18">
        <f>IF(OR($C838="",$P838&lt;&gt;"Aberto"),"",IF($I838="",Hoje-$B838,Hoje-$I838))</f>
        <v/>
      </c>
      <c r="R838" s="22">
        <f>IF(OR($C838="",$P838&lt;&gt;"Aberto"),"",IF($J838="",IF($Q838&gt;DiasSC,"ATRASADO","Definir data"),IF($J838&lt;Hoje,"ATRASADO",IF($J838=Hoje,"HOJE","Em dia"))))</f>
        <v/>
      </c>
      <c r="S838" s="23">
        <f>IF($R838="","",IF(OR($R838="ATRASADO",$R838="HOJE",$R838="Definir data"),COUNTIF($R$5:$R838,"ATRASADO")+COUNTIF($R$5:$R838,"HOJE")+COUNTIF($R$5:$R838,"Definir data"),""))</f>
        <v/>
      </c>
      <c r="T838" s="18">
        <f>IF($C838="","",IF(OR($B838="",$E838="",$F838="",$G838=""),"Preencher entrada/origem/vendedor/etapa",IF(AND(OR($P838="Ganho",$P838="Perdido"),$K838=""),"Falta data de fechamento",IF(AND($P838="Perdido",$L838=""),"Informe o motivo da perda","OK"))))</f>
        <v/>
      </c>
    </row>
    <row r="839" spans="1:20">
      <c r="A839" s="18">
        <f>IF($C839="","",ROW()-4)</f>
        <v/>
      </c>
      <c r="B839" s="19"/>
      <c r="C839" s="13"/>
      <c r="D839" s="13"/>
      <c r="E839" s="13"/>
      <c r="F839" s="13"/>
      <c r="G839" s="13"/>
      <c r="H839" s="15"/>
      <c r="I839" s="19"/>
      <c r="J839" s="19"/>
      <c r="K839" s="19"/>
      <c r="L839" s="13"/>
      <c r="M839" s="13"/>
      <c r="N839" s="20">
        <f>IF($C839="","",IFERROR(INDEX(EtapaProb,MATCH($G839,Etapas,0)),0))</f>
        <v/>
      </c>
      <c r="O839" s="21">
        <f>IF($C839="","",IF($P839="Aberto",N($H839)*$N839,0))</f>
        <v/>
      </c>
      <c r="P839" s="18">
        <f>IF($C839="","",IF($G839="Ganho","Ganho",IF($G839="Perdido","Perdido","Aberto")))</f>
        <v/>
      </c>
      <c r="Q839" s="18">
        <f>IF(OR($C839="",$P839&lt;&gt;"Aberto"),"",IF($I839="",Hoje-$B839,Hoje-$I839))</f>
        <v/>
      </c>
      <c r="R839" s="22">
        <f>IF(OR($C839="",$P839&lt;&gt;"Aberto"),"",IF($J839="",IF($Q839&gt;DiasSC,"ATRASADO","Definir data"),IF($J839&lt;Hoje,"ATRASADO",IF($J839=Hoje,"HOJE","Em dia"))))</f>
        <v/>
      </c>
      <c r="S839" s="23">
        <f>IF($R839="","",IF(OR($R839="ATRASADO",$R839="HOJE",$R839="Definir data"),COUNTIF($R$5:$R839,"ATRASADO")+COUNTIF($R$5:$R839,"HOJE")+COUNTIF($R$5:$R839,"Definir data"),""))</f>
        <v/>
      </c>
      <c r="T839" s="18">
        <f>IF($C839="","",IF(OR($B839="",$E839="",$F839="",$G839=""),"Preencher entrada/origem/vendedor/etapa",IF(AND(OR($P839="Ganho",$P839="Perdido"),$K839=""),"Falta data de fechamento",IF(AND($P839="Perdido",$L839=""),"Informe o motivo da perda","OK"))))</f>
        <v/>
      </c>
    </row>
    <row r="840" spans="1:20">
      <c r="A840" s="18">
        <f>IF($C840="","",ROW()-4)</f>
        <v/>
      </c>
      <c r="B840" s="19"/>
      <c r="C840" s="13"/>
      <c r="D840" s="13"/>
      <c r="E840" s="13"/>
      <c r="F840" s="13"/>
      <c r="G840" s="13"/>
      <c r="H840" s="15"/>
      <c r="I840" s="19"/>
      <c r="J840" s="19"/>
      <c r="K840" s="19"/>
      <c r="L840" s="13"/>
      <c r="M840" s="13"/>
      <c r="N840" s="20">
        <f>IF($C840="","",IFERROR(INDEX(EtapaProb,MATCH($G840,Etapas,0)),0))</f>
        <v/>
      </c>
      <c r="O840" s="21">
        <f>IF($C840="","",IF($P840="Aberto",N($H840)*$N840,0))</f>
        <v/>
      </c>
      <c r="P840" s="18">
        <f>IF($C840="","",IF($G840="Ganho","Ganho",IF($G840="Perdido","Perdido","Aberto")))</f>
        <v/>
      </c>
      <c r="Q840" s="18">
        <f>IF(OR($C840="",$P840&lt;&gt;"Aberto"),"",IF($I840="",Hoje-$B840,Hoje-$I840))</f>
        <v/>
      </c>
      <c r="R840" s="22">
        <f>IF(OR($C840="",$P840&lt;&gt;"Aberto"),"",IF($J840="",IF($Q840&gt;DiasSC,"ATRASADO","Definir data"),IF($J840&lt;Hoje,"ATRASADO",IF($J840=Hoje,"HOJE","Em dia"))))</f>
        <v/>
      </c>
      <c r="S840" s="23">
        <f>IF($R840="","",IF(OR($R840="ATRASADO",$R840="HOJE",$R840="Definir data"),COUNTIF($R$5:$R840,"ATRASADO")+COUNTIF($R$5:$R840,"HOJE")+COUNTIF($R$5:$R840,"Definir data"),""))</f>
        <v/>
      </c>
      <c r="T840" s="18">
        <f>IF($C840="","",IF(OR($B840="",$E840="",$F840="",$G840=""),"Preencher entrada/origem/vendedor/etapa",IF(AND(OR($P840="Ganho",$P840="Perdido"),$K840=""),"Falta data de fechamento",IF(AND($P840="Perdido",$L840=""),"Informe o motivo da perda","OK"))))</f>
        <v/>
      </c>
    </row>
    <row r="841" spans="1:20">
      <c r="A841" s="18">
        <f>IF($C841="","",ROW()-4)</f>
        <v/>
      </c>
      <c r="B841" s="19"/>
      <c r="C841" s="13"/>
      <c r="D841" s="13"/>
      <c r="E841" s="13"/>
      <c r="F841" s="13"/>
      <c r="G841" s="13"/>
      <c r="H841" s="15"/>
      <c r="I841" s="19"/>
      <c r="J841" s="19"/>
      <c r="K841" s="19"/>
      <c r="L841" s="13"/>
      <c r="M841" s="13"/>
      <c r="N841" s="20">
        <f>IF($C841="","",IFERROR(INDEX(EtapaProb,MATCH($G841,Etapas,0)),0))</f>
        <v/>
      </c>
      <c r="O841" s="21">
        <f>IF($C841="","",IF($P841="Aberto",N($H841)*$N841,0))</f>
        <v/>
      </c>
      <c r="P841" s="18">
        <f>IF($C841="","",IF($G841="Ganho","Ganho",IF($G841="Perdido","Perdido","Aberto")))</f>
        <v/>
      </c>
      <c r="Q841" s="18">
        <f>IF(OR($C841="",$P841&lt;&gt;"Aberto"),"",IF($I841="",Hoje-$B841,Hoje-$I841))</f>
        <v/>
      </c>
      <c r="R841" s="22">
        <f>IF(OR($C841="",$P841&lt;&gt;"Aberto"),"",IF($J841="",IF($Q841&gt;DiasSC,"ATRASADO","Definir data"),IF($J841&lt;Hoje,"ATRASADO",IF($J841=Hoje,"HOJE","Em dia"))))</f>
        <v/>
      </c>
      <c r="S841" s="23">
        <f>IF($R841="","",IF(OR($R841="ATRASADO",$R841="HOJE",$R841="Definir data"),COUNTIF($R$5:$R841,"ATRASADO")+COUNTIF($R$5:$R841,"HOJE")+COUNTIF($R$5:$R841,"Definir data"),""))</f>
        <v/>
      </c>
      <c r="T841" s="18">
        <f>IF($C841="","",IF(OR($B841="",$E841="",$F841="",$G841=""),"Preencher entrada/origem/vendedor/etapa",IF(AND(OR($P841="Ganho",$P841="Perdido"),$K841=""),"Falta data de fechamento",IF(AND($P841="Perdido",$L841=""),"Informe o motivo da perda","OK"))))</f>
        <v/>
      </c>
    </row>
    <row r="842" spans="1:20">
      <c r="A842" s="18">
        <f>IF($C842="","",ROW()-4)</f>
        <v/>
      </c>
      <c r="B842" s="19"/>
      <c r="C842" s="13"/>
      <c r="D842" s="13"/>
      <c r="E842" s="13"/>
      <c r="F842" s="13"/>
      <c r="G842" s="13"/>
      <c r="H842" s="15"/>
      <c r="I842" s="19"/>
      <c r="J842" s="19"/>
      <c r="K842" s="19"/>
      <c r="L842" s="13"/>
      <c r="M842" s="13"/>
      <c r="N842" s="20">
        <f>IF($C842="","",IFERROR(INDEX(EtapaProb,MATCH($G842,Etapas,0)),0))</f>
        <v/>
      </c>
      <c r="O842" s="21">
        <f>IF($C842="","",IF($P842="Aberto",N($H842)*$N842,0))</f>
        <v/>
      </c>
      <c r="P842" s="18">
        <f>IF($C842="","",IF($G842="Ganho","Ganho",IF($G842="Perdido","Perdido","Aberto")))</f>
        <v/>
      </c>
      <c r="Q842" s="18">
        <f>IF(OR($C842="",$P842&lt;&gt;"Aberto"),"",IF($I842="",Hoje-$B842,Hoje-$I842))</f>
        <v/>
      </c>
      <c r="R842" s="22">
        <f>IF(OR($C842="",$P842&lt;&gt;"Aberto"),"",IF($J842="",IF($Q842&gt;DiasSC,"ATRASADO","Definir data"),IF($J842&lt;Hoje,"ATRASADO",IF($J842=Hoje,"HOJE","Em dia"))))</f>
        <v/>
      </c>
      <c r="S842" s="23">
        <f>IF($R842="","",IF(OR($R842="ATRASADO",$R842="HOJE",$R842="Definir data"),COUNTIF($R$5:$R842,"ATRASADO")+COUNTIF($R$5:$R842,"HOJE")+COUNTIF($R$5:$R842,"Definir data"),""))</f>
        <v/>
      </c>
      <c r="T842" s="18">
        <f>IF($C842="","",IF(OR($B842="",$E842="",$F842="",$G842=""),"Preencher entrada/origem/vendedor/etapa",IF(AND(OR($P842="Ganho",$P842="Perdido"),$K842=""),"Falta data de fechamento",IF(AND($P842="Perdido",$L842=""),"Informe o motivo da perda","OK"))))</f>
        <v/>
      </c>
    </row>
    <row r="843" spans="1:20">
      <c r="A843" s="18">
        <f>IF($C843="","",ROW()-4)</f>
        <v/>
      </c>
      <c r="B843" s="19"/>
      <c r="C843" s="13"/>
      <c r="D843" s="13"/>
      <c r="E843" s="13"/>
      <c r="F843" s="13"/>
      <c r="G843" s="13"/>
      <c r="H843" s="15"/>
      <c r="I843" s="19"/>
      <c r="J843" s="19"/>
      <c r="K843" s="19"/>
      <c r="L843" s="13"/>
      <c r="M843" s="13"/>
      <c r="N843" s="20">
        <f>IF($C843="","",IFERROR(INDEX(EtapaProb,MATCH($G843,Etapas,0)),0))</f>
        <v/>
      </c>
      <c r="O843" s="21">
        <f>IF($C843="","",IF($P843="Aberto",N($H843)*$N843,0))</f>
        <v/>
      </c>
      <c r="P843" s="18">
        <f>IF($C843="","",IF($G843="Ganho","Ganho",IF($G843="Perdido","Perdido","Aberto")))</f>
        <v/>
      </c>
      <c r="Q843" s="18">
        <f>IF(OR($C843="",$P843&lt;&gt;"Aberto"),"",IF($I843="",Hoje-$B843,Hoje-$I843))</f>
        <v/>
      </c>
      <c r="R843" s="22">
        <f>IF(OR($C843="",$P843&lt;&gt;"Aberto"),"",IF($J843="",IF($Q843&gt;DiasSC,"ATRASADO","Definir data"),IF($J843&lt;Hoje,"ATRASADO",IF($J843=Hoje,"HOJE","Em dia"))))</f>
        <v/>
      </c>
      <c r="S843" s="23">
        <f>IF($R843="","",IF(OR($R843="ATRASADO",$R843="HOJE",$R843="Definir data"),COUNTIF($R$5:$R843,"ATRASADO")+COUNTIF($R$5:$R843,"HOJE")+COUNTIF($R$5:$R843,"Definir data"),""))</f>
        <v/>
      </c>
      <c r="T843" s="18">
        <f>IF($C843="","",IF(OR($B843="",$E843="",$F843="",$G843=""),"Preencher entrada/origem/vendedor/etapa",IF(AND(OR($P843="Ganho",$P843="Perdido"),$K843=""),"Falta data de fechamento",IF(AND($P843="Perdido",$L843=""),"Informe o motivo da perda","OK"))))</f>
        <v/>
      </c>
    </row>
    <row r="844" spans="1:20">
      <c r="A844" s="18">
        <f>IF($C844="","",ROW()-4)</f>
        <v/>
      </c>
      <c r="B844" s="19"/>
      <c r="C844" s="13"/>
      <c r="D844" s="13"/>
      <c r="E844" s="13"/>
      <c r="F844" s="13"/>
      <c r="G844" s="13"/>
      <c r="H844" s="15"/>
      <c r="I844" s="19"/>
      <c r="J844" s="19"/>
      <c r="K844" s="19"/>
      <c r="L844" s="13"/>
      <c r="M844" s="13"/>
      <c r="N844" s="20">
        <f>IF($C844="","",IFERROR(INDEX(EtapaProb,MATCH($G844,Etapas,0)),0))</f>
        <v/>
      </c>
      <c r="O844" s="21">
        <f>IF($C844="","",IF($P844="Aberto",N($H844)*$N844,0))</f>
        <v/>
      </c>
      <c r="P844" s="18">
        <f>IF($C844="","",IF($G844="Ganho","Ganho",IF($G844="Perdido","Perdido","Aberto")))</f>
        <v/>
      </c>
      <c r="Q844" s="18">
        <f>IF(OR($C844="",$P844&lt;&gt;"Aberto"),"",IF($I844="",Hoje-$B844,Hoje-$I844))</f>
        <v/>
      </c>
      <c r="R844" s="22">
        <f>IF(OR($C844="",$P844&lt;&gt;"Aberto"),"",IF($J844="",IF($Q844&gt;DiasSC,"ATRASADO","Definir data"),IF($J844&lt;Hoje,"ATRASADO",IF($J844=Hoje,"HOJE","Em dia"))))</f>
        <v/>
      </c>
      <c r="S844" s="23">
        <f>IF($R844="","",IF(OR($R844="ATRASADO",$R844="HOJE",$R844="Definir data"),COUNTIF($R$5:$R844,"ATRASADO")+COUNTIF($R$5:$R844,"HOJE")+COUNTIF($R$5:$R844,"Definir data"),""))</f>
        <v/>
      </c>
      <c r="T844" s="18">
        <f>IF($C844="","",IF(OR($B844="",$E844="",$F844="",$G844=""),"Preencher entrada/origem/vendedor/etapa",IF(AND(OR($P844="Ganho",$P844="Perdido"),$K844=""),"Falta data de fechamento",IF(AND($P844="Perdido",$L844=""),"Informe o motivo da perda","OK"))))</f>
        <v/>
      </c>
    </row>
    <row r="845" spans="1:20">
      <c r="A845" s="18">
        <f>IF($C845="","",ROW()-4)</f>
        <v/>
      </c>
      <c r="B845" s="19"/>
      <c r="C845" s="13"/>
      <c r="D845" s="13"/>
      <c r="E845" s="13"/>
      <c r="F845" s="13"/>
      <c r="G845" s="13"/>
      <c r="H845" s="15"/>
      <c r="I845" s="19"/>
      <c r="J845" s="19"/>
      <c r="K845" s="19"/>
      <c r="L845" s="13"/>
      <c r="M845" s="13"/>
      <c r="N845" s="20">
        <f>IF($C845="","",IFERROR(INDEX(EtapaProb,MATCH($G845,Etapas,0)),0))</f>
        <v/>
      </c>
      <c r="O845" s="21">
        <f>IF($C845="","",IF($P845="Aberto",N($H845)*$N845,0))</f>
        <v/>
      </c>
      <c r="P845" s="18">
        <f>IF($C845="","",IF($G845="Ganho","Ganho",IF($G845="Perdido","Perdido","Aberto")))</f>
        <v/>
      </c>
      <c r="Q845" s="18">
        <f>IF(OR($C845="",$P845&lt;&gt;"Aberto"),"",IF($I845="",Hoje-$B845,Hoje-$I845))</f>
        <v/>
      </c>
      <c r="R845" s="22">
        <f>IF(OR($C845="",$P845&lt;&gt;"Aberto"),"",IF($J845="",IF($Q845&gt;DiasSC,"ATRASADO","Definir data"),IF($J845&lt;Hoje,"ATRASADO",IF($J845=Hoje,"HOJE","Em dia"))))</f>
        <v/>
      </c>
      <c r="S845" s="23">
        <f>IF($R845="","",IF(OR($R845="ATRASADO",$R845="HOJE",$R845="Definir data"),COUNTIF($R$5:$R845,"ATRASADO")+COUNTIF($R$5:$R845,"HOJE")+COUNTIF($R$5:$R845,"Definir data"),""))</f>
        <v/>
      </c>
      <c r="T845" s="18">
        <f>IF($C845="","",IF(OR($B845="",$E845="",$F845="",$G845=""),"Preencher entrada/origem/vendedor/etapa",IF(AND(OR($P845="Ganho",$P845="Perdido"),$K845=""),"Falta data de fechamento",IF(AND($P845="Perdido",$L845=""),"Informe o motivo da perda","OK"))))</f>
        <v/>
      </c>
    </row>
    <row r="846" spans="1:20">
      <c r="A846" s="18">
        <f>IF($C846="","",ROW()-4)</f>
        <v/>
      </c>
      <c r="B846" s="19"/>
      <c r="C846" s="13"/>
      <c r="D846" s="13"/>
      <c r="E846" s="13"/>
      <c r="F846" s="13"/>
      <c r="G846" s="13"/>
      <c r="H846" s="15"/>
      <c r="I846" s="19"/>
      <c r="J846" s="19"/>
      <c r="K846" s="19"/>
      <c r="L846" s="13"/>
      <c r="M846" s="13"/>
      <c r="N846" s="20">
        <f>IF($C846="","",IFERROR(INDEX(EtapaProb,MATCH($G846,Etapas,0)),0))</f>
        <v/>
      </c>
      <c r="O846" s="21">
        <f>IF($C846="","",IF($P846="Aberto",N($H846)*$N846,0))</f>
        <v/>
      </c>
      <c r="P846" s="18">
        <f>IF($C846="","",IF($G846="Ganho","Ganho",IF($G846="Perdido","Perdido","Aberto")))</f>
        <v/>
      </c>
      <c r="Q846" s="18">
        <f>IF(OR($C846="",$P846&lt;&gt;"Aberto"),"",IF($I846="",Hoje-$B846,Hoje-$I846))</f>
        <v/>
      </c>
      <c r="R846" s="22">
        <f>IF(OR($C846="",$P846&lt;&gt;"Aberto"),"",IF($J846="",IF($Q846&gt;DiasSC,"ATRASADO","Definir data"),IF($J846&lt;Hoje,"ATRASADO",IF($J846=Hoje,"HOJE","Em dia"))))</f>
        <v/>
      </c>
      <c r="S846" s="23">
        <f>IF($R846="","",IF(OR($R846="ATRASADO",$R846="HOJE",$R846="Definir data"),COUNTIF($R$5:$R846,"ATRASADO")+COUNTIF($R$5:$R846,"HOJE")+COUNTIF($R$5:$R846,"Definir data"),""))</f>
        <v/>
      </c>
      <c r="T846" s="18">
        <f>IF($C846="","",IF(OR($B846="",$E846="",$F846="",$G846=""),"Preencher entrada/origem/vendedor/etapa",IF(AND(OR($P846="Ganho",$P846="Perdido"),$K846=""),"Falta data de fechamento",IF(AND($P846="Perdido",$L846=""),"Informe o motivo da perda","OK"))))</f>
        <v/>
      </c>
    </row>
    <row r="847" spans="1:20">
      <c r="A847" s="18">
        <f>IF($C847="","",ROW()-4)</f>
        <v/>
      </c>
      <c r="B847" s="19"/>
      <c r="C847" s="13"/>
      <c r="D847" s="13"/>
      <c r="E847" s="13"/>
      <c r="F847" s="13"/>
      <c r="G847" s="13"/>
      <c r="H847" s="15"/>
      <c r="I847" s="19"/>
      <c r="J847" s="19"/>
      <c r="K847" s="19"/>
      <c r="L847" s="13"/>
      <c r="M847" s="13"/>
      <c r="N847" s="20">
        <f>IF($C847="","",IFERROR(INDEX(EtapaProb,MATCH($G847,Etapas,0)),0))</f>
        <v/>
      </c>
      <c r="O847" s="21">
        <f>IF($C847="","",IF($P847="Aberto",N($H847)*$N847,0))</f>
        <v/>
      </c>
      <c r="P847" s="18">
        <f>IF($C847="","",IF($G847="Ganho","Ganho",IF($G847="Perdido","Perdido","Aberto")))</f>
        <v/>
      </c>
      <c r="Q847" s="18">
        <f>IF(OR($C847="",$P847&lt;&gt;"Aberto"),"",IF($I847="",Hoje-$B847,Hoje-$I847))</f>
        <v/>
      </c>
      <c r="R847" s="22">
        <f>IF(OR($C847="",$P847&lt;&gt;"Aberto"),"",IF($J847="",IF($Q847&gt;DiasSC,"ATRASADO","Definir data"),IF($J847&lt;Hoje,"ATRASADO",IF($J847=Hoje,"HOJE","Em dia"))))</f>
        <v/>
      </c>
      <c r="S847" s="23">
        <f>IF($R847="","",IF(OR($R847="ATRASADO",$R847="HOJE",$R847="Definir data"),COUNTIF($R$5:$R847,"ATRASADO")+COUNTIF($R$5:$R847,"HOJE")+COUNTIF($R$5:$R847,"Definir data"),""))</f>
        <v/>
      </c>
      <c r="T847" s="18">
        <f>IF($C847="","",IF(OR($B847="",$E847="",$F847="",$G847=""),"Preencher entrada/origem/vendedor/etapa",IF(AND(OR($P847="Ganho",$P847="Perdido"),$K847=""),"Falta data de fechamento",IF(AND($P847="Perdido",$L847=""),"Informe o motivo da perda","OK"))))</f>
        <v/>
      </c>
    </row>
    <row r="848" spans="1:20">
      <c r="A848" s="18">
        <f>IF($C848="","",ROW()-4)</f>
        <v/>
      </c>
      <c r="B848" s="19"/>
      <c r="C848" s="13"/>
      <c r="D848" s="13"/>
      <c r="E848" s="13"/>
      <c r="F848" s="13"/>
      <c r="G848" s="13"/>
      <c r="H848" s="15"/>
      <c r="I848" s="19"/>
      <c r="J848" s="19"/>
      <c r="K848" s="19"/>
      <c r="L848" s="13"/>
      <c r="M848" s="13"/>
      <c r="N848" s="20">
        <f>IF($C848="","",IFERROR(INDEX(EtapaProb,MATCH($G848,Etapas,0)),0))</f>
        <v/>
      </c>
      <c r="O848" s="21">
        <f>IF($C848="","",IF($P848="Aberto",N($H848)*$N848,0))</f>
        <v/>
      </c>
      <c r="P848" s="18">
        <f>IF($C848="","",IF($G848="Ganho","Ganho",IF($G848="Perdido","Perdido","Aberto")))</f>
        <v/>
      </c>
      <c r="Q848" s="18">
        <f>IF(OR($C848="",$P848&lt;&gt;"Aberto"),"",IF($I848="",Hoje-$B848,Hoje-$I848))</f>
        <v/>
      </c>
      <c r="R848" s="22">
        <f>IF(OR($C848="",$P848&lt;&gt;"Aberto"),"",IF($J848="",IF($Q848&gt;DiasSC,"ATRASADO","Definir data"),IF($J848&lt;Hoje,"ATRASADO",IF($J848=Hoje,"HOJE","Em dia"))))</f>
        <v/>
      </c>
      <c r="S848" s="23">
        <f>IF($R848="","",IF(OR($R848="ATRASADO",$R848="HOJE",$R848="Definir data"),COUNTIF($R$5:$R848,"ATRASADO")+COUNTIF($R$5:$R848,"HOJE")+COUNTIF($R$5:$R848,"Definir data"),""))</f>
        <v/>
      </c>
      <c r="T848" s="18">
        <f>IF($C848="","",IF(OR($B848="",$E848="",$F848="",$G848=""),"Preencher entrada/origem/vendedor/etapa",IF(AND(OR($P848="Ganho",$P848="Perdido"),$K848=""),"Falta data de fechamento",IF(AND($P848="Perdido",$L848=""),"Informe o motivo da perda","OK"))))</f>
        <v/>
      </c>
    </row>
    <row r="849" spans="1:20">
      <c r="A849" s="18">
        <f>IF($C849="","",ROW()-4)</f>
        <v/>
      </c>
      <c r="B849" s="19"/>
      <c r="C849" s="13"/>
      <c r="D849" s="13"/>
      <c r="E849" s="13"/>
      <c r="F849" s="13"/>
      <c r="G849" s="13"/>
      <c r="H849" s="15"/>
      <c r="I849" s="19"/>
      <c r="J849" s="19"/>
      <c r="K849" s="19"/>
      <c r="L849" s="13"/>
      <c r="M849" s="13"/>
      <c r="N849" s="20">
        <f>IF($C849="","",IFERROR(INDEX(EtapaProb,MATCH($G849,Etapas,0)),0))</f>
        <v/>
      </c>
      <c r="O849" s="21">
        <f>IF($C849="","",IF($P849="Aberto",N($H849)*$N849,0))</f>
        <v/>
      </c>
      <c r="P849" s="18">
        <f>IF($C849="","",IF($G849="Ganho","Ganho",IF($G849="Perdido","Perdido","Aberto")))</f>
        <v/>
      </c>
      <c r="Q849" s="18">
        <f>IF(OR($C849="",$P849&lt;&gt;"Aberto"),"",IF($I849="",Hoje-$B849,Hoje-$I849))</f>
        <v/>
      </c>
      <c r="R849" s="22">
        <f>IF(OR($C849="",$P849&lt;&gt;"Aberto"),"",IF($J849="",IF($Q849&gt;DiasSC,"ATRASADO","Definir data"),IF($J849&lt;Hoje,"ATRASADO",IF($J849=Hoje,"HOJE","Em dia"))))</f>
        <v/>
      </c>
      <c r="S849" s="23">
        <f>IF($R849="","",IF(OR($R849="ATRASADO",$R849="HOJE",$R849="Definir data"),COUNTIF($R$5:$R849,"ATRASADO")+COUNTIF($R$5:$R849,"HOJE")+COUNTIF($R$5:$R849,"Definir data"),""))</f>
        <v/>
      </c>
      <c r="T849" s="18">
        <f>IF($C849="","",IF(OR($B849="",$E849="",$F849="",$G849=""),"Preencher entrada/origem/vendedor/etapa",IF(AND(OR($P849="Ganho",$P849="Perdido"),$K849=""),"Falta data de fechamento",IF(AND($P849="Perdido",$L849=""),"Informe o motivo da perda","OK"))))</f>
        <v/>
      </c>
    </row>
    <row r="850" spans="1:20">
      <c r="A850" s="18">
        <f>IF($C850="","",ROW()-4)</f>
        <v/>
      </c>
      <c r="B850" s="19"/>
      <c r="C850" s="13"/>
      <c r="D850" s="13"/>
      <c r="E850" s="13"/>
      <c r="F850" s="13"/>
      <c r="G850" s="13"/>
      <c r="H850" s="15"/>
      <c r="I850" s="19"/>
      <c r="J850" s="19"/>
      <c r="K850" s="19"/>
      <c r="L850" s="13"/>
      <c r="M850" s="13"/>
      <c r="N850" s="20">
        <f>IF($C850="","",IFERROR(INDEX(EtapaProb,MATCH($G850,Etapas,0)),0))</f>
        <v/>
      </c>
      <c r="O850" s="21">
        <f>IF($C850="","",IF($P850="Aberto",N($H850)*$N850,0))</f>
        <v/>
      </c>
      <c r="P850" s="18">
        <f>IF($C850="","",IF($G850="Ganho","Ganho",IF($G850="Perdido","Perdido","Aberto")))</f>
        <v/>
      </c>
      <c r="Q850" s="18">
        <f>IF(OR($C850="",$P850&lt;&gt;"Aberto"),"",IF($I850="",Hoje-$B850,Hoje-$I850))</f>
        <v/>
      </c>
      <c r="R850" s="22">
        <f>IF(OR($C850="",$P850&lt;&gt;"Aberto"),"",IF($J850="",IF($Q850&gt;DiasSC,"ATRASADO","Definir data"),IF($J850&lt;Hoje,"ATRASADO",IF($J850=Hoje,"HOJE","Em dia"))))</f>
        <v/>
      </c>
      <c r="S850" s="23">
        <f>IF($R850="","",IF(OR($R850="ATRASADO",$R850="HOJE",$R850="Definir data"),COUNTIF($R$5:$R850,"ATRASADO")+COUNTIF($R$5:$R850,"HOJE")+COUNTIF($R$5:$R850,"Definir data"),""))</f>
        <v/>
      </c>
      <c r="T850" s="18">
        <f>IF($C850="","",IF(OR($B850="",$E850="",$F850="",$G850=""),"Preencher entrada/origem/vendedor/etapa",IF(AND(OR($P850="Ganho",$P850="Perdido"),$K850=""),"Falta data de fechamento",IF(AND($P850="Perdido",$L850=""),"Informe o motivo da perda","OK"))))</f>
        <v/>
      </c>
    </row>
    <row r="851" spans="1:20">
      <c r="A851" s="18">
        <f>IF($C851="","",ROW()-4)</f>
        <v/>
      </c>
      <c r="B851" s="19"/>
      <c r="C851" s="13"/>
      <c r="D851" s="13"/>
      <c r="E851" s="13"/>
      <c r="F851" s="13"/>
      <c r="G851" s="13"/>
      <c r="H851" s="15"/>
      <c r="I851" s="19"/>
      <c r="J851" s="19"/>
      <c r="K851" s="19"/>
      <c r="L851" s="13"/>
      <c r="M851" s="13"/>
      <c r="N851" s="20">
        <f>IF($C851="","",IFERROR(INDEX(EtapaProb,MATCH($G851,Etapas,0)),0))</f>
        <v/>
      </c>
      <c r="O851" s="21">
        <f>IF($C851="","",IF($P851="Aberto",N($H851)*$N851,0))</f>
        <v/>
      </c>
      <c r="P851" s="18">
        <f>IF($C851="","",IF($G851="Ganho","Ganho",IF($G851="Perdido","Perdido","Aberto")))</f>
        <v/>
      </c>
      <c r="Q851" s="18">
        <f>IF(OR($C851="",$P851&lt;&gt;"Aberto"),"",IF($I851="",Hoje-$B851,Hoje-$I851))</f>
        <v/>
      </c>
      <c r="R851" s="22">
        <f>IF(OR($C851="",$P851&lt;&gt;"Aberto"),"",IF($J851="",IF($Q851&gt;DiasSC,"ATRASADO","Definir data"),IF($J851&lt;Hoje,"ATRASADO",IF($J851=Hoje,"HOJE","Em dia"))))</f>
        <v/>
      </c>
      <c r="S851" s="23">
        <f>IF($R851="","",IF(OR($R851="ATRASADO",$R851="HOJE",$R851="Definir data"),COUNTIF($R$5:$R851,"ATRASADO")+COUNTIF($R$5:$R851,"HOJE")+COUNTIF($R$5:$R851,"Definir data"),""))</f>
        <v/>
      </c>
      <c r="T851" s="18">
        <f>IF($C851="","",IF(OR($B851="",$E851="",$F851="",$G851=""),"Preencher entrada/origem/vendedor/etapa",IF(AND(OR($P851="Ganho",$P851="Perdido"),$K851=""),"Falta data de fechamento",IF(AND($P851="Perdido",$L851=""),"Informe o motivo da perda","OK"))))</f>
        <v/>
      </c>
    </row>
    <row r="852" spans="1:20">
      <c r="A852" s="18">
        <f>IF($C852="","",ROW()-4)</f>
        <v/>
      </c>
      <c r="B852" s="19"/>
      <c r="C852" s="13"/>
      <c r="D852" s="13"/>
      <c r="E852" s="13"/>
      <c r="F852" s="13"/>
      <c r="G852" s="13"/>
      <c r="H852" s="15"/>
      <c r="I852" s="19"/>
      <c r="J852" s="19"/>
      <c r="K852" s="19"/>
      <c r="L852" s="13"/>
      <c r="M852" s="13"/>
      <c r="N852" s="20">
        <f>IF($C852="","",IFERROR(INDEX(EtapaProb,MATCH($G852,Etapas,0)),0))</f>
        <v/>
      </c>
      <c r="O852" s="21">
        <f>IF($C852="","",IF($P852="Aberto",N($H852)*$N852,0))</f>
        <v/>
      </c>
      <c r="P852" s="18">
        <f>IF($C852="","",IF($G852="Ganho","Ganho",IF($G852="Perdido","Perdido","Aberto")))</f>
        <v/>
      </c>
      <c r="Q852" s="18">
        <f>IF(OR($C852="",$P852&lt;&gt;"Aberto"),"",IF($I852="",Hoje-$B852,Hoje-$I852))</f>
        <v/>
      </c>
      <c r="R852" s="22">
        <f>IF(OR($C852="",$P852&lt;&gt;"Aberto"),"",IF($J852="",IF($Q852&gt;DiasSC,"ATRASADO","Definir data"),IF($J852&lt;Hoje,"ATRASADO",IF($J852=Hoje,"HOJE","Em dia"))))</f>
        <v/>
      </c>
      <c r="S852" s="23">
        <f>IF($R852="","",IF(OR($R852="ATRASADO",$R852="HOJE",$R852="Definir data"),COUNTIF($R$5:$R852,"ATRASADO")+COUNTIF($R$5:$R852,"HOJE")+COUNTIF($R$5:$R852,"Definir data"),""))</f>
        <v/>
      </c>
      <c r="T852" s="18">
        <f>IF($C852="","",IF(OR($B852="",$E852="",$F852="",$G852=""),"Preencher entrada/origem/vendedor/etapa",IF(AND(OR($P852="Ganho",$P852="Perdido"),$K852=""),"Falta data de fechamento",IF(AND($P852="Perdido",$L852=""),"Informe o motivo da perda","OK"))))</f>
        <v/>
      </c>
    </row>
    <row r="853" spans="1:20">
      <c r="A853" s="18">
        <f>IF($C853="","",ROW()-4)</f>
        <v/>
      </c>
      <c r="B853" s="19"/>
      <c r="C853" s="13"/>
      <c r="D853" s="13"/>
      <c r="E853" s="13"/>
      <c r="F853" s="13"/>
      <c r="G853" s="13"/>
      <c r="H853" s="15"/>
      <c r="I853" s="19"/>
      <c r="J853" s="19"/>
      <c r="K853" s="19"/>
      <c r="L853" s="13"/>
      <c r="M853" s="13"/>
      <c r="N853" s="20">
        <f>IF($C853="","",IFERROR(INDEX(EtapaProb,MATCH($G853,Etapas,0)),0))</f>
        <v/>
      </c>
      <c r="O853" s="21">
        <f>IF($C853="","",IF($P853="Aberto",N($H853)*$N853,0))</f>
        <v/>
      </c>
      <c r="P853" s="18">
        <f>IF($C853="","",IF($G853="Ganho","Ganho",IF($G853="Perdido","Perdido","Aberto")))</f>
        <v/>
      </c>
      <c r="Q853" s="18">
        <f>IF(OR($C853="",$P853&lt;&gt;"Aberto"),"",IF($I853="",Hoje-$B853,Hoje-$I853))</f>
        <v/>
      </c>
      <c r="R853" s="22">
        <f>IF(OR($C853="",$P853&lt;&gt;"Aberto"),"",IF($J853="",IF($Q853&gt;DiasSC,"ATRASADO","Definir data"),IF($J853&lt;Hoje,"ATRASADO",IF($J853=Hoje,"HOJE","Em dia"))))</f>
        <v/>
      </c>
      <c r="S853" s="23">
        <f>IF($R853="","",IF(OR($R853="ATRASADO",$R853="HOJE",$R853="Definir data"),COUNTIF($R$5:$R853,"ATRASADO")+COUNTIF($R$5:$R853,"HOJE")+COUNTIF($R$5:$R853,"Definir data"),""))</f>
        <v/>
      </c>
      <c r="T853" s="18">
        <f>IF($C853="","",IF(OR($B853="",$E853="",$F853="",$G853=""),"Preencher entrada/origem/vendedor/etapa",IF(AND(OR($P853="Ganho",$P853="Perdido"),$K853=""),"Falta data de fechamento",IF(AND($P853="Perdido",$L853=""),"Informe o motivo da perda","OK"))))</f>
        <v/>
      </c>
    </row>
    <row r="854" spans="1:20">
      <c r="A854" s="18">
        <f>IF($C854="","",ROW()-4)</f>
        <v/>
      </c>
      <c r="B854" s="19"/>
      <c r="C854" s="13"/>
      <c r="D854" s="13"/>
      <c r="E854" s="13"/>
      <c r="F854" s="13"/>
      <c r="G854" s="13"/>
      <c r="H854" s="15"/>
      <c r="I854" s="19"/>
      <c r="J854" s="19"/>
      <c r="K854" s="19"/>
      <c r="L854" s="13"/>
      <c r="M854" s="13"/>
      <c r="N854" s="20">
        <f>IF($C854="","",IFERROR(INDEX(EtapaProb,MATCH($G854,Etapas,0)),0))</f>
        <v/>
      </c>
      <c r="O854" s="21">
        <f>IF($C854="","",IF($P854="Aberto",N($H854)*$N854,0))</f>
        <v/>
      </c>
      <c r="P854" s="18">
        <f>IF($C854="","",IF($G854="Ganho","Ganho",IF($G854="Perdido","Perdido","Aberto")))</f>
        <v/>
      </c>
      <c r="Q854" s="18">
        <f>IF(OR($C854="",$P854&lt;&gt;"Aberto"),"",IF($I854="",Hoje-$B854,Hoje-$I854))</f>
        <v/>
      </c>
      <c r="R854" s="22">
        <f>IF(OR($C854="",$P854&lt;&gt;"Aberto"),"",IF($J854="",IF($Q854&gt;DiasSC,"ATRASADO","Definir data"),IF($J854&lt;Hoje,"ATRASADO",IF($J854=Hoje,"HOJE","Em dia"))))</f>
        <v/>
      </c>
      <c r="S854" s="23">
        <f>IF($R854="","",IF(OR($R854="ATRASADO",$R854="HOJE",$R854="Definir data"),COUNTIF($R$5:$R854,"ATRASADO")+COUNTIF($R$5:$R854,"HOJE")+COUNTIF($R$5:$R854,"Definir data"),""))</f>
        <v/>
      </c>
      <c r="T854" s="18">
        <f>IF($C854="","",IF(OR($B854="",$E854="",$F854="",$G854=""),"Preencher entrada/origem/vendedor/etapa",IF(AND(OR($P854="Ganho",$P854="Perdido"),$K854=""),"Falta data de fechamento",IF(AND($P854="Perdido",$L854=""),"Informe o motivo da perda","OK"))))</f>
        <v/>
      </c>
    </row>
    <row r="855" spans="1:20">
      <c r="A855" s="18">
        <f>IF($C855="","",ROW()-4)</f>
        <v/>
      </c>
      <c r="B855" s="19"/>
      <c r="C855" s="13"/>
      <c r="D855" s="13"/>
      <c r="E855" s="13"/>
      <c r="F855" s="13"/>
      <c r="G855" s="13"/>
      <c r="H855" s="15"/>
      <c r="I855" s="19"/>
      <c r="J855" s="19"/>
      <c r="K855" s="19"/>
      <c r="L855" s="13"/>
      <c r="M855" s="13"/>
      <c r="N855" s="20">
        <f>IF($C855="","",IFERROR(INDEX(EtapaProb,MATCH($G855,Etapas,0)),0))</f>
        <v/>
      </c>
      <c r="O855" s="21">
        <f>IF($C855="","",IF($P855="Aberto",N($H855)*$N855,0))</f>
        <v/>
      </c>
      <c r="P855" s="18">
        <f>IF($C855="","",IF($G855="Ganho","Ganho",IF($G855="Perdido","Perdido","Aberto")))</f>
        <v/>
      </c>
      <c r="Q855" s="18">
        <f>IF(OR($C855="",$P855&lt;&gt;"Aberto"),"",IF($I855="",Hoje-$B855,Hoje-$I855))</f>
        <v/>
      </c>
      <c r="R855" s="22">
        <f>IF(OR($C855="",$P855&lt;&gt;"Aberto"),"",IF($J855="",IF($Q855&gt;DiasSC,"ATRASADO","Definir data"),IF($J855&lt;Hoje,"ATRASADO",IF($J855=Hoje,"HOJE","Em dia"))))</f>
        <v/>
      </c>
      <c r="S855" s="23">
        <f>IF($R855="","",IF(OR($R855="ATRASADO",$R855="HOJE",$R855="Definir data"),COUNTIF($R$5:$R855,"ATRASADO")+COUNTIF($R$5:$R855,"HOJE")+COUNTIF($R$5:$R855,"Definir data"),""))</f>
        <v/>
      </c>
      <c r="T855" s="18">
        <f>IF($C855="","",IF(OR($B855="",$E855="",$F855="",$G855=""),"Preencher entrada/origem/vendedor/etapa",IF(AND(OR($P855="Ganho",$P855="Perdido"),$K855=""),"Falta data de fechamento",IF(AND($P855="Perdido",$L855=""),"Informe o motivo da perda","OK"))))</f>
        <v/>
      </c>
    </row>
    <row r="856" spans="1:20">
      <c r="A856" s="18">
        <f>IF($C856="","",ROW()-4)</f>
        <v/>
      </c>
      <c r="B856" s="19"/>
      <c r="C856" s="13"/>
      <c r="D856" s="13"/>
      <c r="E856" s="13"/>
      <c r="F856" s="13"/>
      <c r="G856" s="13"/>
      <c r="H856" s="15"/>
      <c r="I856" s="19"/>
      <c r="J856" s="19"/>
      <c r="K856" s="19"/>
      <c r="L856" s="13"/>
      <c r="M856" s="13"/>
      <c r="N856" s="20">
        <f>IF($C856="","",IFERROR(INDEX(EtapaProb,MATCH($G856,Etapas,0)),0))</f>
        <v/>
      </c>
      <c r="O856" s="21">
        <f>IF($C856="","",IF($P856="Aberto",N($H856)*$N856,0))</f>
        <v/>
      </c>
      <c r="P856" s="18">
        <f>IF($C856="","",IF($G856="Ganho","Ganho",IF($G856="Perdido","Perdido","Aberto")))</f>
        <v/>
      </c>
      <c r="Q856" s="18">
        <f>IF(OR($C856="",$P856&lt;&gt;"Aberto"),"",IF($I856="",Hoje-$B856,Hoje-$I856))</f>
        <v/>
      </c>
      <c r="R856" s="22">
        <f>IF(OR($C856="",$P856&lt;&gt;"Aberto"),"",IF($J856="",IF($Q856&gt;DiasSC,"ATRASADO","Definir data"),IF($J856&lt;Hoje,"ATRASADO",IF($J856=Hoje,"HOJE","Em dia"))))</f>
        <v/>
      </c>
      <c r="S856" s="23">
        <f>IF($R856="","",IF(OR($R856="ATRASADO",$R856="HOJE",$R856="Definir data"),COUNTIF($R$5:$R856,"ATRASADO")+COUNTIF($R$5:$R856,"HOJE")+COUNTIF($R$5:$R856,"Definir data"),""))</f>
        <v/>
      </c>
      <c r="T856" s="18">
        <f>IF($C856="","",IF(OR($B856="",$E856="",$F856="",$G856=""),"Preencher entrada/origem/vendedor/etapa",IF(AND(OR($P856="Ganho",$P856="Perdido"),$K856=""),"Falta data de fechamento",IF(AND($P856="Perdido",$L856=""),"Informe o motivo da perda","OK"))))</f>
        <v/>
      </c>
    </row>
    <row r="857" spans="1:20">
      <c r="A857" s="18">
        <f>IF($C857="","",ROW()-4)</f>
        <v/>
      </c>
      <c r="B857" s="19"/>
      <c r="C857" s="13"/>
      <c r="D857" s="13"/>
      <c r="E857" s="13"/>
      <c r="F857" s="13"/>
      <c r="G857" s="13"/>
      <c r="H857" s="15"/>
      <c r="I857" s="19"/>
      <c r="J857" s="19"/>
      <c r="K857" s="19"/>
      <c r="L857" s="13"/>
      <c r="M857" s="13"/>
      <c r="N857" s="20">
        <f>IF($C857="","",IFERROR(INDEX(EtapaProb,MATCH($G857,Etapas,0)),0))</f>
        <v/>
      </c>
      <c r="O857" s="21">
        <f>IF($C857="","",IF($P857="Aberto",N($H857)*$N857,0))</f>
        <v/>
      </c>
      <c r="P857" s="18">
        <f>IF($C857="","",IF($G857="Ganho","Ganho",IF($G857="Perdido","Perdido","Aberto")))</f>
        <v/>
      </c>
      <c r="Q857" s="18">
        <f>IF(OR($C857="",$P857&lt;&gt;"Aberto"),"",IF($I857="",Hoje-$B857,Hoje-$I857))</f>
        <v/>
      </c>
      <c r="R857" s="22">
        <f>IF(OR($C857="",$P857&lt;&gt;"Aberto"),"",IF($J857="",IF($Q857&gt;DiasSC,"ATRASADO","Definir data"),IF($J857&lt;Hoje,"ATRASADO",IF($J857=Hoje,"HOJE","Em dia"))))</f>
        <v/>
      </c>
      <c r="S857" s="23">
        <f>IF($R857="","",IF(OR($R857="ATRASADO",$R857="HOJE",$R857="Definir data"),COUNTIF($R$5:$R857,"ATRASADO")+COUNTIF($R$5:$R857,"HOJE")+COUNTIF($R$5:$R857,"Definir data"),""))</f>
        <v/>
      </c>
      <c r="T857" s="18">
        <f>IF($C857="","",IF(OR($B857="",$E857="",$F857="",$G857=""),"Preencher entrada/origem/vendedor/etapa",IF(AND(OR($P857="Ganho",$P857="Perdido"),$K857=""),"Falta data de fechamento",IF(AND($P857="Perdido",$L857=""),"Informe o motivo da perda","OK"))))</f>
        <v/>
      </c>
    </row>
    <row r="858" spans="1:20">
      <c r="A858" s="18">
        <f>IF($C858="","",ROW()-4)</f>
        <v/>
      </c>
      <c r="B858" s="19"/>
      <c r="C858" s="13"/>
      <c r="D858" s="13"/>
      <c r="E858" s="13"/>
      <c r="F858" s="13"/>
      <c r="G858" s="13"/>
      <c r="H858" s="15"/>
      <c r="I858" s="19"/>
      <c r="J858" s="19"/>
      <c r="K858" s="19"/>
      <c r="L858" s="13"/>
      <c r="M858" s="13"/>
      <c r="N858" s="20">
        <f>IF($C858="","",IFERROR(INDEX(EtapaProb,MATCH($G858,Etapas,0)),0))</f>
        <v/>
      </c>
      <c r="O858" s="21">
        <f>IF($C858="","",IF($P858="Aberto",N($H858)*$N858,0))</f>
        <v/>
      </c>
      <c r="P858" s="18">
        <f>IF($C858="","",IF($G858="Ganho","Ganho",IF($G858="Perdido","Perdido","Aberto")))</f>
        <v/>
      </c>
      <c r="Q858" s="18">
        <f>IF(OR($C858="",$P858&lt;&gt;"Aberto"),"",IF($I858="",Hoje-$B858,Hoje-$I858))</f>
        <v/>
      </c>
      <c r="R858" s="22">
        <f>IF(OR($C858="",$P858&lt;&gt;"Aberto"),"",IF($J858="",IF($Q858&gt;DiasSC,"ATRASADO","Definir data"),IF($J858&lt;Hoje,"ATRASADO",IF($J858=Hoje,"HOJE","Em dia"))))</f>
        <v/>
      </c>
      <c r="S858" s="23">
        <f>IF($R858="","",IF(OR($R858="ATRASADO",$R858="HOJE",$R858="Definir data"),COUNTIF($R$5:$R858,"ATRASADO")+COUNTIF($R$5:$R858,"HOJE")+COUNTIF($R$5:$R858,"Definir data"),""))</f>
        <v/>
      </c>
      <c r="T858" s="18">
        <f>IF($C858="","",IF(OR($B858="",$E858="",$F858="",$G858=""),"Preencher entrada/origem/vendedor/etapa",IF(AND(OR($P858="Ganho",$P858="Perdido"),$K858=""),"Falta data de fechamento",IF(AND($P858="Perdido",$L858=""),"Informe o motivo da perda","OK"))))</f>
        <v/>
      </c>
    </row>
    <row r="859" spans="1:20">
      <c r="A859" s="18">
        <f>IF($C859="","",ROW()-4)</f>
        <v/>
      </c>
      <c r="B859" s="19"/>
      <c r="C859" s="13"/>
      <c r="D859" s="13"/>
      <c r="E859" s="13"/>
      <c r="F859" s="13"/>
      <c r="G859" s="13"/>
      <c r="H859" s="15"/>
      <c r="I859" s="19"/>
      <c r="J859" s="19"/>
      <c r="K859" s="19"/>
      <c r="L859" s="13"/>
      <c r="M859" s="13"/>
      <c r="N859" s="20">
        <f>IF($C859="","",IFERROR(INDEX(EtapaProb,MATCH($G859,Etapas,0)),0))</f>
        <v/>
      </c>
      <c r="O859" s="21">
        <f>IF($C859="","",IF($P859="Aberto",N($H859)*$N859,0))</f>
        <v/>
      </c>
      <c r="P859" s="18">
        <f>IF($C859="","",IF($G859="Ganho","Ganho",IF($G859="Perdido","Perdido","Aberto")))</f>
        <v/>
      </c>
      <c r="Q859" s="18">
        <f>IF(OR($C859="",$P859&lt;&gt;"Aberto"),"",IF($I859="",Hoje-$B859,Hoje-$I859))</f>
        <v/>
      </c>
      <c r="R859" s="22">
        <f>IF(OR($C859="",$P859&lt;&gt;"Aberto"),"",IF($J859="",IF($Q859&gt;DiasSC,"ATRASADO","Definir data"),IF($J859&lt;Hoje,"ATRASADO",IF($J859=Hoje,"HOJE","Em dia"))))</f>
        <v/>
      </c>
      <c r="S859" s="23">
        <f>IF($R859="","",IF(OR($R859="ATRASADO",$R859="HOJE",$R859="Definir data"),COUNTIF($R$5:$R859,"ATRASADO")+COUNTIF($R$5:$R859,"HOJE")+COUNTIF($R$5:$R859,"Definir data"),""))</f>
        <v/>
      </c>
      <c r="T859" s="18">
        <f>IF($C859="","",IF(OR($B859="",$E859="",$F859="",$G859=""),"Preencher entrada/origem/vendedor/etapa",IF(AND(OR($P859="Ganho",$P859="Perdido"),$K859=""),"Falta data de fechamento",IF(AND($P859="Perdido",$L859=""),"Informe o motivo da perda","OK"))))</f>
        <v/>
      </c>
    </row>
    <row r="860" spans="1:20">
      <c r="A860" s="18">
        <f>IF($C860="","",ROW()-4)</f>
        <v/>
      </c>
      <c r="B860" s="19"/>
      <c r="C860" s="13"/>
      <c r="D860" s="13"/>
      <c r="E860" s="13"/>
      <c r="F860" s="13"/>
      <c r="G860" s="13"/>
      <c r="H860" s="15"/>
      <c r="I860" s="19"/>
      <c r="J860" s="19"/>
      <c r="K860" s="19"/>
      <c r="L860" s="13"/>
      <c r="M860" s="13"/>
      <c r="N860" s="20">
        <f>IF($C860="","",IFERROR(INDEX(EtapaProb,MATCH($G860,Etapas,0)),0))</f>
        <v/>
      </c>
      <c r="O860" s="21">
        <f>IF($C860="","",IF($P860="Aberto",N($H860)*$N860,0))</f>
        <v/>
      </c>
      <c r="P860" s="18">
        <f>IF($C860="","",IF($G860="Ganho","Ganho",IF($G860="Perdido","Perdido","Aberto")))</f>
        <v/>
      </c>
      <c r="Q860" s="18">
        <f>IF(OR($C860="",$P860&lt;&gt;"Aberto"),"",IF($I860="",Hoje-$B860,Hoje-$I860))</f>
        <v/>
      </c>
      <c r="R860" s="22">
        <f>IF(OR($C860="",$P860&lt;&gt;"Aberto"),"",IF($J860="",IF($Q860&gt;DiasSC,"ATRASADO","Definir data"),IF($J860&lt;Hoje,"ATRASADO",IF($J860=Hoje,"HOJE","Em dia"))))</f>
        <v/>
      </c>
      <c r="S860" s="23">
        <f>IF($R860="","",IF(OR($R860="ATRASADO",$R860="HOJE",$R860="Definir data"),COUNTIF($R$5:$R860,"ATRASADO")+COUNTIF($R$5:$R860,"HOJE")+COUNTIF($R$5:$R860,"Definir data"),""))</f>
        <v/>
      </c>
      <c r="T860" s="18">
        <f>IF($C860="","",IF(OR($B860="",$E860="",$F860="",$G860=""),"Preencher entrada/origem/vendedor/etapa",IF(AND(OR($P860="Ganho",$P860="Perdido"),$K860=""),"Falta data de fechamento",IF(AND($P860="Perdido",$L860=""),"Informe o motivo da perda","OK"))))</f>
        <v/>
      </c>
    </row>
    <row r="861" spans="1:20">
      <c r="A861" s="18">
        <f>IF($C861="","",ROW()-4)</f>
        <v/>
      </c>
      <c r="B861" s="19"/>
      <c r="C861" s="13"/>
      <c r="D861" s="13"/>
      <c r="E861" s="13"/>
      <c r="F861" s="13"/>
      <c r="G861" s="13"/>
      <c r="H861" s="15"/>
      <c r="I861" s="19"/>
      <c r="J861" s="19"/>
      <c r="K861" s="19"/>
      <c r="L861" s="13"/>
      <c r="M861" s="13"/>
      <c r="N861" s="20">
        <f>IF($C861="","",IFERROR(INDEX(EtapaProb,MATCH($G861,Etapas,0)),0))</f>
        <v/>
      </c>
      <c r="O861" s="21">
        <f>IF($C861="","",IF($P861="Aberto",N($H861)*$N861,0))</f>
        <v/>
      </c>
      <c r="P861" s="18">
        <f>IF($C861="","",IF($G861="Ganho","Ganho",IF($G861="Perdido","Perdido","Aberto")))</f>
        <v/>
      </c>
      <c r="Q861" s="18">
        <f>IF(OR($C861="",$P861&lt;&gt;"Aberto"),"",IF($I861="",Hoje-$B861,Hoje-$I861))</f>
        <v/>
      </c>
      <c r="R861" s="22">
        <f>IF(OR($C861="",$P861&lt;&gt;"Aberto"),"",IF($J861="",IF($Q861&gt;DiasSC,"ATRASADO","Definir data"),IF($J861&lt;Hoje,"ATRASADO",IF($J861=Hoje,"HOJE","Em dia"))))</f>
        <v/>
      </c>
      <c r="S861" s="23">
        <f>IF($R861="","",IF(OR($R861="ATRASADO",$R861="HOJE",$R861="Definir data"),COUNTIF($R$5:$R861,"ATRASADO")+COUNTIF($R$5:$R861,"HOJE")+COUNTIF($R$5:$R861,"Definir data"),""))</f>
        <v/>
      </c>
      <c r="T861" s="18">
        <f>IF($C861="","",IF(OR($B861="",$E861="",$F861="",$G861=""),"Preencher entrada/origem/vendedor/etapa",IF(AND(OR($P861="Ganho",$P861="Perdido"),$K861=""),"Falta data de fechamento",IF(AND($P861="Perdido",$L861=""),"Informe o motivo da perda","OK"))))</f>
        <v/>
      </c>
    </row>
    <row r="862" spans="1:20">
      <c r="A862" s="18">
        <f>IF($C862="","",ROW()-4)</f>
        <v/>
      </c>
      <c r="B862" s="19"/>
      <c r="C862" s="13"/>
      <c r="D862" s="13"/>
      <c r="E862" s="13"/>
      <c r="F862" s="13"/>
      <c r="G862" s="13"/>
      <c r="H862" s="15"/>
      <c r="I862" s="19"/>
      <c r="J862" s="19"/>
      <c r="K862" s="19"/>
      <c r="L862" s="13"/>
      <c r="M862" s="13"/>
      <c r="N862" s="20">
        <f>IF($C862="","",IFERROR(INDEX(EtapaProb,MATCH($G862,Etapas,0)),0))</f>
        <v/>
      </c>
      <c r="O862" s="21">
        <f>IF($C862="","",IF($P862="Aberto",N($H862)*$N862,0))</f>
        <v/>
      </c>
      <c r="P862" s="18">
        <f>IF($C862="","",IF($G862="Ganho","Ganho",IF($G862="Perdido","Perdido","Aberto")))</f>
        <v/>
      </c>
      <c r="Q862" s="18">
        <f>IF(OR($C862="",$P862&lt;&gt;"Aberto"),"",IF($I862="",Hoje-$B862,Hoje-$I862))</f>
        <v/>
      </c>
      <c r="R862" s="22">
        <f>IF(OR($C862="",$P862&lt;&gt;"Aberto"),"",IF($J862="",IF($Q862&gt;DiasSC,"ATRASADO","Definir data"),IF($J862&lt;Hoje,"ATRASADO",IF($J862=Hoje,"HOJE","Em dia"))))</f>
        <v/>
      </c>
      <c r="S862" s="23">
        <f>IF($R862="","",IF(OR($R862="ATRASADO",$R862="HOJE",$R862="Definir data"),COUNTIF($R$5:$R862,"ATRASADO")+COUNTIF($R$5:$R862,"HOJE")+COUNTIF($R$5:$R862,"Definir data"),""))</f>
        <v/>
      </c>
      <c r="T862" s="18">
        <f>IF($C862="","",IF(OR($B862="",$E862="",$F862="",$G862=""),"Preencher entrada/origem/vendedor/etapa",IF(AND(OR($P862="Ganho",$P862="Perdido"),$K862=""),"Falta data de fechamento",IF(AND($P862="Perdido",$L862=""),"Informe o motivo da perda","OK"))))</f>
        <v/>
      </c>
    </row>
    <row r="863" spans="1:20">
      <c r="A863" s="18">
        <f>IF($C863="","",ROW()-4)</f>
        <v/>
      </c>
      <c r="B863" s="19"/>
      <c r="C863" s="13"/>
      <c r="D863" s="13"/>
      <c r="E863" s="13"/>
      <c r="F863" s="13"/>
      <c r="G863" s="13"/>
      <c r="H863" s="15"/>
      <c r="I863" s="19"/>
      <c r="J863" s="19"/>
      <c r="K863" s="19"/>
      <c r="L863" s="13"/>
      <c r="M863" s="13"/>
      <c r="N863" s="20">
        <f>IF($C863="","",IFERROR(INDEX(EtapaProb,MATCH($G863,Etapas,0)),0))</f>
        <v/>
      </c>
      <c r="O863" s="21">
        <f>IF($C863="","",IF($P863="Aberto",N($H863)*$N863,0))</f>
        <v/>
      </c>
      <c r="P863" s="18">
        <f>IF($C863="","",IF($G863="Ganho","Ganho",IF($G863="Perdido","Perdido","Aberto")))</f>
        <v/>
      </c>
      <c r="Q863" s="18">
        <f>IF(OR($C863="",$P863&lt;&gt;"Aberto"),"",IF($I863="",Hoje-$B863,Hoje-$I863))</f>
        <v/>
      </c>
      <c r="R863" s="22">
        <f>IF(OR($C863="",$P863&lt;&gt;"Aberto"),"",IF($J863="",IF($Q863&gt;DiasSC,"ATRASADO","Definir data"),IF($J863&lt;Hoje,"ATRASADO",IF($J863=Hoje,"HOJE","Em dia"))))</f>
        <v/>
      </c>
      <c r="S863" s="23">
        <f>IF($R863="","",IF(OR($R863="ATRASADO",$R863="HOJE",$R863="Definir data"),COUNTIF($R$5:$R863,"ATRASADO")+COUNTIF($R$5:$R863,"HOJE")+COUNTIF($R$5:$R863,"Definir data"),""))</f>
        <v/>
      </c>
      <c r="T863" s="18">
        <f>IF($C863="","",IF(OR($B863="",$E863="",$F863="",$G863=""),"Preencher entrada/origem/vendedor/etapa",IF(AND(OR($P863="Ganho",$P863="Perdido"),$K863=""),"Falta data de fechamento",IF(AND($P863="Perdido",$L863=""),"Informe o motivo da perda","OK"))))</f>
        <v/>
      </c>
    </row>
    <row r="864" spans="1:20">
      <c r="A864" s="18">
        <f>IF($C864="","",ROW()-4)</f>
        <v/>
      </c>
      <c r="B864" s="19"/>
      <c r="C864" s="13"/>
      <c r="D864" s="13"/>
      <c r="E864" s="13"/>
      <c r="F864" s="13"/>
      <c r="G864" s="13"/>
      <c r="H864" s="15"/>
      <c r="I864" s="19"/>
      <c r="J864" s="19"/>
      <c r="K864" s="19"/>
      <c r="L864" s="13"/>
      <c r="M864" s="13"/>
      <c r="N864" s="20">
        <f>IF($C864="","",IFERROR(INDEX(EtapaProb,MATCH($G864,Etapas,0)),0))</f>
        <v/>
      </c>
      <c r="O864" s="21">
        <f>IF($C864="","",IF($P864="Aberto",N($H864)*$N864,0))</f>
        <v/>
      </c>
      <c r="P864" s="18">
        <f>IF($C864="","",IF($G864="Ganho","Ganho",IF($G864="Perdido","Perdido","Aberto")))</f>
        <v/>
      </c>
      <c r="Q864" s="18">
        <f>IF(OR($C864="",$P864&lt;&gt;"Aberto"),"",IF($I864="",Hoje-$B864,Hoje-$I864))</f>
        <v/>
      </c>
      <c r="R864" s="22">
        <f>IF(OR($C864="",$P864&lt;&gt;"Aberto"),"",IF($J864="",IF($Q864&gt;DiasSC,"ATRASADO","Definir data"),IF($J864&lt;Hoje,"ATRASADO",IF($J864=Hoje,"HOJE","Em dia"))))</f>
        <v/>
      </c>
      <c r="S864" s="23">
        <f>IF($R864="","",IF(OR($R864="ATRASADO",$R864="HOJE",$R864="Definir data"),COUNTIF($R$5:$R864,"ATRASADO")+COUNTIF($R$5:$R864,"HOJE")+COUNTIF($R$5:$R864,"Definir data"),""))</f>
        <v/>
      </c>
      <c r="T864" s="18">
        <f>IF($C864="","",IF(OR($B864="",$E864="",$F864="",$G864=""),"Preencher entrada/origem/vendedor/etapa",IF(AND(OR($P864="Ganho",$P864="Perdido"),$K864=""),"Falta data de fechamento",IF(AND($P864="Perdido",$L864=""),"Informe o motivo da perda","OK"))))</f>
        <v/>
      </c>
    </row>
    <row r="865" spans="1:20">
      <c r="A865" s="18">
        <f>IF($C865="","",ROW()-4)</f>
        <v/>
      </c>
      <c r="B865" s="19"/>
      <c r="C865" s="13"/>
      <c r="D865" s="13"/>
      <c r="E865" s="13"/>
      <c r="F865" s="13"/>
      <c r="G865" s="13"/>
      <c r="H865" s="15"/>
      <c r="I865" s="19"/>
      <c r="J865" s="19"/>
      <c r="K865" s="19"/>
      <c r="L865" s="13"/>
      <c r="M865" s="13"/>
      <c r="N865" s="20">
        <f>IF($C865="","",IFERROR(INDEX(EtapaProb,MATCH($G865,Etapas,0)),0))</f>
        <v/>
      </c>
      <c r="O865" s="21">
        <f>IF($C865="","",IF($P865="Aberto",N($H865)*$N865,0))</f>
        <v/>
      </c>
      <c r="P865" s="18">
        <f>IF($C865="","",IF($G865="Ganho","Ganho",IF($G865="Perdido","Perdido","Aberto")))</f>
        <v/>
      </c>
      <c r="Q865" s="18">
        <f>IF(OR($C865="",$P865&lt;&gt;"Aberto"),"",IF($I865="",Hoje-$B865,Hoje-$I865))</f>
        <v/>
      </c>
      <c r="R865" s="22">
        <f>IF(OR($C865="",$P865&lt;&gt;"Aberto"),"",IF($J865="",IF($Q865&gt;DiasSC,"ATRASADO","Definir data"),IF($J865&lt;Hoje,"ATRASADO",IF($J865=Hoje,"HOJE","Em dia"))))</f>
        <v/>
      </c>
      <c r="S865" s="23">
        <f>IF($R865="","",IF(OR($R865="ATRASADO",$R865="HOJE",$R865="Definir data"),COUNTIF($R$5:$R865,"ATRASADO")+COUNTIF($R$5:$R865,"HOJE")+COUNTIF($R$5:$R865,"Definir data"),""))</f>
        <v/>
      </c>
      <c r="T865" s="18">
        <f>IF($C865="","",IF(OR($B865="",$E865="",$F865="",$G865=""),"Preencher entrada/origem/vendedor/etapa",IF(AND(OR($P865="Ganho",$P865="Perdido"),$K865=""),"Falta data de fechamento",IF(AND($P865="Perdido",$L865=""),"Informe o motivo da perda","OK"))))</f>
        <v/>
      </c>
    </row>
    <row r="866" spans="1:20">
      <c r="A866" s="18">
        <f>IF($C866="","",ROW()-4)</f>
        <v/>
      </c>
      <c r="B866" s="19"/>
      <c r="C866" s="13"/>
      <c r="D866" s="13"/>
      <c r="E866" s="13"/>
      <c r="F866" s="13"/>
      <c r="G866" s="13"/>
      <c r="H866" s="15"/>
      <c r="I866" s="19"/>
      <c r="J866" s="19"/>
      <c r="K866" s="19"/>
      <c r="L866" s="13"/>
      <c r="M866" s="13"/>
      <c r="N866" s="20">
        <f>IF($C866="","",IFERROR(INDEX(EtapaProb,MATCH($G866,Etapas,0)),0))</f>
        <v/>
      </c>
      <c r="O866" s="21">
        <f>IF($C866="","",IF($P866="Aberto",N($H866)*$N866,0))</f>
        <v/>
      </c>
      <c r="P866" s="18">
        <f>IF($C866="","",IF($G866="Ganho","Ganho",IF($G866="Perdido","Perdido","Aberto")))</f>
        <v/>
      </c>
      <c r="Q866" s="18">
        <f>IF(OR($C866="",$P866&lt;&gt;"Aberto"),"",IF($I866="",Hoje-$B866,Hoje-$I866))</f>
        <v/>
      </c>
      <c r="R866" s="22">
        <f>IF(OR($C866="",$P866&lt;&gt;"Aberto"),"",IF($J866="",IF($Q866&gt;DiasSC,"ATRASADO","Definir data"),IF($J866&lt;Hoje,"ATRASADO",IF($J866=Hoje,"HOJE","Em dia"))))</f>
        <v/>
      </c>
      <c r="S866" s="23">
        <f>IF($R866="","",IF(OR($R866="ATRASADO",$R866="HOJE",$R866="Definir data"),COUNTIF($R$5:$R866,"ATRASADO")+COUNTIF($R$5:$R866,"HOJE")+COUNTIF($R$5:$R866,"Definir data"),""))</f>
        <v/>
      </c>
      <c r="T866" s="18">
        <f>IF($C866="","",IF(OR($B866="",$E866="",$F866="",$G866=""),"Preencher entrada/origem/vendedor/etapa",IF(AND(OR($P866="Ganho",$P866="Perdido"),$K866=""),"Falta data de fechamento",IF(AND($P866="Perdido",$L866=""),"Informe o motivo da perda","OK"))))</f>
        <v/>
      </c>
    </row>
    <row r="867" spans="1:20">
      <c r="A867" s="18">
        <f>IF($C867="","",ROW()-4)</f>
        <v/>
      </c>
      <c r="B867" s="19"/>
      <c r="C867" s="13"/>
      <c r="D867" s="13"/>
      <c r="E867" s="13"/>
      <c r="F867" s="13"/>
      <c r="G867" s="13"/>
      <c r="H867" s="15"/>
      <c r="I867" s="19"/>
      <c r="J867" s="19"/>
      <c r="K867" s="19"/>
      <c r="L867" s="13"/>
      <c r="M867" s="13"/>
      <c r="N867" s="20">
        <f>IF($C867="","",IFERROR(INDEX(EtapaProb,MATCH($G867,Etapas,0)),0))</f>
        <v/>
      </c>
      <c r="O867" s="21">
        <f>IF($C867="","",IF($P867="Aberto",N($H867)*$N867,0))</f>
        <v/>
      </c>
      <c r="P867" s="18">
        <f>IF($C867="","",IF($G867="Ganho","Ganho",IF($G867="Perdido","Perdido","Aberto")))</f>
        <v/>
      </c>
      <c r="Q867" s="18">
        <f>IF(OR($C867="",$P867&lt;&gt;"Aberto"),"",IF($I867="",Hoje-$B867,Hoje-$I867))</f>
        <v/>
      </c>
      <c r="R867" s="22">
        <f>IF(OR($C867="",$P867&lt;&gt;"Aberto"),"",IF($J867="",IF($Q867&gt;DiasSC,"ATRASADO","Definir data"),IF($J867&lt;Hoje,"ATRASADO",IF($J867=Hoje,"HOJE","Em dia"))))</f>
        <v/>
      </c>
      <c r="S867" s="23">
        <f>IF($R867="","",IF(OR($R867="ATRASADO",$R867="HOJE",$R867="Definir data"),COUNTIF($R$5:$R867,"ATRASADO")+COUNTIF($R$5:$R867,"HOJE")+COUNTIF($R$5:$R867,"Definir data"),""))</f>
        <v/>
      </c>
      <c r="T867" s="18">
        <f>IF($C867="","",IF(OR($B867="",$E867="",$F867="",$G867=""),"Preencher entrada/origem/vendedor/etapa",IF(AND(OR($P867="Ganho",$P867="Perdido"),$K867=""),"Falta data de fechamento",IF(AND($P867="Perdido",$L867=""),"Informe o motivo da perda","OK"))))</f>
        <v/>
      </c>
    </row>
    <row r="868" spans="1:20">
      <c r="A868" s="18">
        <f>IF($C868="","",ROW()-4)</f>
        <v/>
      </c>
      <c r="B868" s="19"/>
      <c r="C868" s="13"/>
      <c r="D868" s="13"/>
      <c r="E868" s="13"/>
      <c r="F868" s="13"/>
      <c r="G868" s="13"/>
      <c r="H868" s="15"/>
      <c r="I868" s="19"/>
      <c r="J868" s="19"/>
      <c r="K868" s="19"/>
      <c r="L868" s="13"/>
      <c r="M868" s="13"/>
      <c r="N868" s="20">
        <f>IF($C868="","",IFERROR(INDEX(EtapaProb,MATCH($G868,Etapas,0)),0))</f>
        <v/>
      </c>
      <c r="O868" s="21">
        <f>IF($C868="","",IF($P868="Aberto",N($H868)*$N868,0))</f>
        <v/>
      </c>
      <c r="P868" s="18">
        <f>IF($C868="","",IF($G868="Ganho","Ganho",IF($G868="Perdido","Perdido","Aberto")))</f>
        <v/>
      </c>
      <c r="Q868" s="18">
        <f>IF(OR($C868="",$P868&lt;&gt;"Aberto"),"",IF($I868="",Hoje-$B868,Hoje-$I868))</f>
        <v/>
      </c>
      <c r="R868" s="22">
        <f>IF(OR($C868="",$P868&lt;&gt;"Aberto"),"",IF($J868="",IF($Q868&gt;DiasSC,"ATRASADO","Definir data"),IF($J868&lt;Hoje,"ATRASADO",IF($J868=Hoje,"HOJE","Em dia"))))</f>
        <v/>
      </c>
      <c r="S868" s="23">
        <f>IF($R868="","",IF(OR($R868="ATRASADO",$R868="HOJE",$R868="Definir data"),COUNTIF($R$5:$R868,"ATRASADO")+COUNTIF($R$5:$R868,"HOJE")+COUNTIF($R$5:$R868,"Definir data"),""))</f>
        <v/>
      </c>
      <c r="T868" s="18">
        <f>IF($C868="","",IF(OR($B868="",$E868="",$F868="",$G868=""),"Preencher entrada/origem/vendedor/etapa",IF(AND(OR($P868="Ganho",$P868="Perdido"),$K868=""),"Falta data de fechamento",IF(AND($P868="Perdido",$L868=""),"Informe o motivo da perda","OK"))))</f>
        <v/>
      </c>
    </row>
    <row r="869" spans="1:20">
      <c r="A869" s="18">
        <f>IF($C869="","",ROW()-4)</f>
        <v/>
      </c>
      <c r="B869" s="19"/>
      <c r="C869" s="13"/>
      <c r="D869" s="13"/>
      <c r="E869" s="13"/>
      <c r="F869" s="13"/>
      <c r="G869" s="13"/>
      <c r="H869" s="15"/>
      <c r="I869" s="19"/>
      <c r="J869" s="19"/>
      <c r="K869" s="19"/>
      <c r="L869" s="13"/>
      <c r="M869" s="13"/>
      <c r="N869" s="20">
        <f>IF($C869="","",IFERROR(INDEX(EtapaProb,MATCH($G869,Etapas,0)),0))</f>
        <v/>
      </c>
      <c r="O869" s="21">
        <f>IF($C869="","",IF($P869="Aberto",N($H869)*$N869,0))</f>
        <v/>
      </c>
      <c r="P869" s="18">
        <f>IF($C869="","",IF($G869="Ganho","Ganho",IF($G869="Perdido","Perdido","Aberto")))</f>
        <v/>
      </c>
      <c r="Q869" s="18">
        <f>IF(OR($C869="",$P869&lt;&gt;"Aberto"),"",IF($I869="",Hoje-$B869,Hoje-$I869))</f>
        <v/>
      </c>
      <c r="R869" s="22">
        <f>IF(OR($C869="",$P869&lt;&gt;"Aberto"),"",IF($J869="",IF($Q869&gt;DiasSC,"ATRASADO","Definir data"),IF($J869&lt;Hoje,"ATRASADO",IF($J869=Hoje,"HOJE","Em dia"))))</f>
        <v/>
      </c>
      <c r="S869" s="23">
        <f>IF($R869="","",IF(OR($R869="ATRASADO",$R869="HOJE",$R869="Definir data"),COUNTIF($R$5:$R869,"ATRASADO")+COUNTIF($R$5:$R869,"HOJE")+COUNTIF($R$5:$R869,"Definir data"),""))</f>
        <v/>
      </c>
      <c r="T869" s="18">
        <f>IF($C869="","",IF(OR($B869="",$E869="",$F869="",$G869=""),"Preencher entrada/origem/vendedor/etapa",IF(AND(OR($P869="Ganho",$P869="Perdido"),$K869=""),"Falta data de fechamento",IF(AND($P869="Perdido",$L869=""),"Informe o motivo da perda","OK"))))</f>
        <v/>
      </c>
    </row>
    <row r="870" spans="1:20">
      <c r="A870" s="18">
        <f>IF($C870="","",ROW()-4)</f>
        <v/>
      </c>
      <c r="B870" s="19"/>
      <c r="C870" s="13"/>
      <c r="D870" s="13"/>
      <c r="E870" s="13"/>
      <c r="F870" s="13"/>
      <c r="G870" s="13"/>
      <c r="H870" s="15"/>
      <c r="I870" s="19"/>
      <c r="J870" s="19"/>
      <c r="K870" s="19"/>
      <c r="L870" s="13"/>
      <c r="M870" s="13"/>
      <c r="N870" s="20">
        <f>IF($C870="","",IFERROR(INDEX(EtapaProb,MATCH($G870,Etapas,0)),0))</f>
        <v/>
      </c>
      <c r="O870" s="21">
        <f>IF($C870="","",IF($P870="Aberto",N($H870)*$N870,0))</f>
        <v/>
      </c>
      <c r="P870" s="18">
        <f>IF($C870="","",IF($G870="Ganho","Ganho",IF($G870="Perdido","Perdido","Aberto")))</f>
        <v/>
      </c>
      <c r="Q870" s="18">
        <f>IF(OR($C870="",$P870&lt;&gt;"Aberto"),"",IF($I870="",Hoje-$B870,Hoje-$I870))</f>
        <v/>
      </c>
      <c r="R870" s="22">
        <f>IF(OR($C870="",$P870&lt;&gt;"Aberto"),"",IF($J870="",IF($Q870&gt;DiasSC,"ATRASADO","Definir data"),IF($J870&lt;Hoje,"ATRASADO",IF($J870=Hoje,"HOJE","Em dia"))))</f>
        <v/>
      </c>
      <c r="S870" s="23">
        <f>IF($R870="","",IF(OR($R870="ATRASADO",$R870="HOJE",$R870="Definir data"),COUNTIF($R$5:$R870,"ATRASADO")+COUNTIF($R$5:$R870,"HOJE")+COUNTIF($R$5:$R870,"Definir data"),""))</f>
        <v/>
      </c>
      <c r="T870" s="18">
        <f>IF($C870="","",IF(OR($B870="",$E870="",$F870="",$G870=""),"Preencher entrada/origem/vendedor/etapa",IF(AND(OR($P870="Ganho",$P870="Perdido"),$K870=""),"Falta data de fechamento",IF(AND($P870="Perdido",$L870=""),"Informe o motivo da perda","OK"))))</f>
        <v/>
      </c>
    </row>
    <row r="871" spans="1:20">
      <c r="A871" s="18">
        <f>IF($C871="","",ROW()-4)</f>
        <v/>
      </c>
      <c r="B871" s="19"/>
      <c r="C871" s="13"/>
      <c r="D871" s="13"/>
      <c r="E871" s="13"/>
      <c r="F871" s="13"/>
      <c r="G871" s="13"/>
      <c r="H871" s="15"/>
      <c r="I871" s="19"/>
      <c r="J871" s="19"/>
      <c r="K871" s="19"/>
      <c r="L871" s="13"/>
      <c r="M871" s="13"/>
      <c r="N871" s="20">
        <f>IF($C871="","",IFERROR(INDEX(EtapaProb,MATCH($G871,Etapas,0)),0))</f>
        <v/>
      </c>
      <c r="O871" s="21">
        <f>IF($C871="","",IF($P871="Aberto",N($H871)*$N871,0))</f>
        <v/>
      </c>
      <c r="P871" s="18">
        <f>IF($C871="","",IF($G871="Ganho","Ganho",IF($G871="Perdido","Perdido","Aberto")))</f>
        <v/>
      </c>
      <c r="Q871" s="18">
        <f>IF(OR($C871="",$P871&lt;&gt;"Aberto"),"",IF($I871="",Hoje-$B871,Hoje-$I871))</f>
        <v/>
      </c>
      <c r="R871" s="22">
        <f>IF(OR($C871="",$P871&lt;&gt;"Aberto"),"",IF($J871="",IF($Q871&gt;DiasSC,"ATRASADO","Definir data"),IF($J871&lt;Hoje,"ATRASADO",IF($J871=Hoje,"HOJE","Em dia"))))</f>
        <v/>
      </c>
      <c r="S871" s="23">
        <f>IF($R871="","",IF(OR($R871="ATRASADO",$R871="HOJE",$R871="Definir data"),COUNTIF($R$5:$R871,"ATRASADO")+COUNTIF($R$5:$R871,"HOJE")+COUNTIF($R$5:$R871,"Definir data"),""))</f>
        <v/>
      </c>
      <c r="T871" s="18">
        <f>IF($C871="","",IF(OR($B871="",$E871="",$F871="",$G871=""),"Preencher entrada/origem/vendedor/etapa",IF(AND(OR($P871="Ganho",$P871="Perdido"),$K871=""),"Falta data de fechamento",IF(AND($P871="Perdido",$L871=""),"Informe o motivo da perda","OK"))))</f>
        <v/>
      </c>
    </row>
    <row r="872" spans="1:20">
      <c r="A872" s="18">
        <f>IF($C872="","",ROW()-4)</f>
        <v/>
      </c>
      <c r="B872" s="19"/>
      <c r="C872" s="13"/>
      <c r="D872" s="13"/>
      <c r="E872" s="13"/>
      <c r="F872" s="13"/>
      <c r="G872" s="13"/>
      <c r="H872" s="15"/>
      <c r="I872" s="19"/>
      <c r="J872" s="19"/>
      <c r="K872" s="19"/>
      <c r="L872" s="13"/>
      <c r="M872" s="13"/>
      <c r="N872" s="20">
        <f>IF($C872="","",IFERROR(INDEX(EtapaProb,MATCH($G872,Etapas,0)),0))</f>
        <v/>
      </c>
      <c r="O872" s="21">
        <f>IF($C872="","",IF($P872="Aberto",N($H872)*$N872,0))</f>
        <v/>
      </c>
      <c r="P872" s="18">
        <f>IF($C872="","",IF($G872="Ganho","Ganho",IF($G872="Perdido","Perdido","Aberto")))</f>
        <v/>
      </c>
      <c r="Q872" s="18">
        <f>IF(OR($C872="",$P872&lt;&gt;"Aberto"),"",IF($I872="",Hoje-$B872,Hoje-$I872))</f>
        <v/>
      </c>
      <c r="R872" s="22">
        <f>IF(OR($C872="",$P872&lt;&gt;"Aberto"),"",IF($J872="",IF($Q872&gt;DiasSC,"ATRASADO","Definir data"),IF($J872&lt;Hoje,"ATRASADO",IF($J872=Hoje,"HOJE","Em dia"))))</f>
        <v/>
      </c>
      <c r="S872" s="23">
        <f>IF($R872="","",IF(OR($R872="ATRASADO",$R872="HOJE",$R872="Definir data"),COUNTIF($R$5:$R872,"ATRASADO")+COUNTIF($R$5:$R872,"HOJE")+COUNTIF($R$5:$R872,"Definir data"),""))</f>
        <v/>
      </c>
      <c r="T872" s="18">
        <f>IF($C872="","",IF(OR($B872="",$E872="",$F872="",$G872=""),"Preencher entrada/origem/vendedor/etapa",IF(AND(OR($P872="Ganho",$P872="Perdido"),$K872=""),"Falta data de fechamento",IF(AND($P872="Perdido",$L872=""),"Informe o motivo da perda","OK"))))</f>
        <v/>
      </c>
    </row>
    <row r="873" spans="1:20">
      <c r="A873" s="18">
        <f>IF($C873="","",ROW()-4)</f>
        <v/>
      </c>
      <c r="B873" s="19"/>
      <c r="C873" s="13"/>
      <c r="D873" s="13"/>
      <c r="E873" s="13"/>
      <c r="F873" s="13"/>
      <c r="G873" s="13"/>
      <c r="H873" s="15"/>
      <c r="I873" s="19"/>
      <c r="J873" s="19"/>
      <c r="K873" s="19"/>
      <c r="L873" s="13"/>
      <c r="M873" s="13"/>
      <c r="N873" s="20">
        <f>IF($C873="","",IFERROR(INDEX(EtapaProb,MATCH($G873,Etapas,0)),0))</f>
        <v/>
      </c>
      <c r="O873" s="21">
        <f>IF($C873="","",IF($P873="Aberto",N($H873)*$N873,0))</f>
        <v/>
      </c>
      <c r="P873" s="18">
        <f>IF($C873="","",IF($G873="Ganho","Ganho",IF($G873="Perdido","Perdido","Aberto")))</f>
        <v/>
      </c>
      <c r="Q873" s="18">
        <f>IF(OR($C873="",$P873&lt;&gt;"Aberto"),"",IF($I873="",Hoje-$B873,Hoje-$I873))</f>
        <v/>
      </c>
      <c r="R873" s="22">
        <f>IF(OR($C873="",$P873&lt;&gt;"Aberto"),"",IF($J873="",IF($Q873&gt;DiasSC,"ATRASADO","Definir data"),IF($J873&lt;Hoje,"ATRASADO",IF($J873=Hoje,"HOJE","Em dia"))))</f>
        <v/>
      </c>
      <c r="S873" s="23">
        <f>IF($R873="","",IF(OR($R873="ATRASADO",$R873="HOJE",$R873="Definir data"),COUNTIF($R$5:$R873,"ATRASADO")+COUNTIF($R$5:$R873,"HOJE")+COUNTIF($R$5:$R873,"Definir data"),""))</f>
        <v/>
      </c>
      <c r="T873" s="18">
        <f>IF($C873="","",IF(OR($B873="",$E873="",$F873="",$G873=""),"Preencher entrada/origem/vendedor/etapa",IF(AND(OR($P873="Ganho",$P873="Perdido"),$K873=""),"Falta data de fechamento",IF(AND($P873="Perdido",$L873=""),"Informe o motivo da perda","OK"))))</f>
        <v/>
      </c>
    </row>
    <row r="874" spans="1:20">
      <c r="A874" s="18">
        <f>IF($C874="","",ROW()-4)</f>
        <v/>
      </c>
      <c r="B874" s="19"/>
      <c r="C874" s="13"/>
      <c r="D874" s="13"/>
      <c r="E874" s="13"/>
      <c r="F874" s="13"/>
      <c r="G874" s="13"/>
      <c r="H874" s="15"/>
      <c r="I874" s="19"/>
      <c r="J874" s="19"/>
      <c r="K874" s="19"/>
      <c r="L874" s="13"/>
      <c r="M874" s="13"/>
      <c r="N874" s="20">
        <f>IF($C874="","",IFERROR(INDEX(EtapaProb,MATCH($G874,Etapas,0)),0))</f>
        <v/>
      </c>
      <c r="O874" s="21">
        <f>IF($C874="","",IF($P874="Aberto",N($H874)*$N874,0))</f>
        <v/>
      </c>
      <c r="P874" s="18">
        <f>IF($C874="","",IF($G874="Ganho","Ganho",IF($G874="Perdido","Perdido","Aberto")))</f>
        <v/>
      </c>
      <c r="Q874" s="18">
        <f>IF(OR($C874="",$P874&lt;&gt;"Aberto"),"",IF($I874="",Hoje-$B874,Hoje-$I874))</f>
        <v/>
      </c>
      <c r="R874" s="22">
        <f>IF(OR($C874="",$P874&lt;&gt;"Aberto"),"",IF($J874="",IF($Q874&gt;DiasSC,"ATRASADO","Definir data"),IF($J874&lt;Hoje,"ATRASADO",IF($J874=Hoje,"HOJE","Em dia"))))</f>
        <v/>
      </c>
      <c r="S874" s="23">
        <f>IF($R874="","",IF(OR($R874="ATRASADO",$R874="HOJE",$R874="Definir data"),COUNTIF($R$5:$R874,"ATRASADO")+COUNTIF($R$5:$R874,"HOJE")+COUNTIF($R$5:$R874,"Definir data"),""))</f>
        <v/>
      </c>
      <c r="T874" s="18">
        <f>IF($C874="","",IF(OR($B874="",$E874="",$F874="",$G874=""),"Preencher entrada/origem/vendedor/etapa",IF(AND(OR($P874="Ganho",$P874="Perdido"),$K874=""),"Falta data de fechamento",IF(AND($P874="Perdido",$L874=""),"Informe o motivo da perda","OK"))))</f>
        <v/>
      </c>
    </row>
    <row r="875" spans="1:20">
      <c r="A875" s="18">
        <f>IF($C875="","",ROW()-4)</f>
        <v/>
      </c>
      <c r="B875" s="19"/>
      <c r="C875" s="13"/>
      <c r="D875" s="13"/>
      <c r="E875" s="13"/>
      <c r="F875" s="13"/>
      <c r="G875" s="13"/>
      <c r="H875" s="15"/>
      <c r="I875" s="19"/>
      <c r="J875" s="19"/>
      <c r="K875" s="19"/>
      <c r="L875" s="13"/>
      <c r="M875" s="13"/>
      <c r="N875" s="20">
        <f>IF($C875="","",IFERROR(INDEX(EtapaProb,MATCH($G875,Etapas,0)),0))</f>
        <v/>
      </c>
      <c r="O875" s="21">
        <f>IF($C875="","",IF($P875="Aberto",N($H875)*$N875,0))</f>
        <v/>
      </c>
      <c r="P875" s="18">
        <f>IF($C875="","",IF($G875="Ganho","Ganho",IF($G875="Perdido","Perdido","Aberto")))</f>
        <v/>
      </c>
      <c r="Q875" s="18">
        <f>IF(OR($C875="",$P875&lt;&gt;"Aberto"),"",IF($I875="",Hoje-$B875,Hoje-$I875))</f>
        <v/>
      </c>
      <c r="R875" s="22">
        <f>IF(OR($C875="",$P875&lt;&gt;"Aberto"),"",IF($J875="",IF($Q875&gt;DiasSC,"ATRASADO","Definir data"),IF($J875&lt;Hoje,"ATRASADO",IF($J875=Hoje,"HOJE","Em dia"))))</f>
        <v/>
      </c>
      <c r="S875" s="23">
        <f>IF($R875="","",IF(OR($R875="ATRASADO",$R875="HOJE",$R875="Definir data"),COUNTIF($R$5:$R875,"ATRASADO")+COUNTIF($R$5:$R875,"HOJE")+COUNTIF($R$5:$R875,"Definir data"),""))</f>
        <v/>
      </c>
      <c r="T875" s="18">
        <f>IF($C875="","",IF(OR($B875="",$E875="",$F875="",$G875=""),"Preencher entrada/origem/vendedor/etapa",IF(AND(OR($P875="Ganho",$P875="Perdido"),$K875=""),"Falta data de fechamento",IF(AND($P875="Perdido",$L875=""),"Informe o motivo da perda","OK"))))</f>
        <v/>
      </c>
    </row>
    <row r="876" spans="1:20">
      <c r="A876" s="18">
        <f>IF($C876="","",ROW()-4)</f>
        <v/>
      </c>
      <c r="B876" s="19"/>
      <c r="C876" s="13"/>
      <c r="D876" s="13"/>
      <c r="E876" s="13"/>
      <c r="F876" s="13"/>
      <c r="G876" s="13"/>
      <c r="H876" s="15"/>
      <c r="I876" s="19"/>
      <c r="J876" s="19"/>
      <c r="K876" s="19"/>
      <c r="L876" s="13"/>
      <c r="M876" s="13"/>
      <c r="N876" s="20">
        <f>IF($C876="","",IFERROR(INDEX(EtapaProb,MATCH($G876,Etapas,0)),0))</f>
        <v/>
      </c>
      <c r="O876" s="21">
        <f>IF($C876="","",IF($P876="Aberto",N($H876)*$N876,0))</f>
        <v/>
      </c>
      <c r="P876" s="18">
        <f>IF($C876="","",IF($G876="Ganho","Ganho",IF($G876="Perdido","Perdido","Aberto")))</f>
        <v/>
      </c>
      <c r="Q876" s="18">
        <f>IF(OR($C876="",$P876&lt;&gt;"Aberto"),"",IF($I876="",Hoje-$B876,Hoje-$I876))</f>
        <v/>
      </c>
      <c r="R876" s="22">
        <f>IF(OR($C876="",$P876&lt;&gt;"Aberto"),"",IF($J876="",IF($Q876&gt;DiasSC,"ATRASADO","Definir data"),IF($J876&lt;Hoje,"ATRASADO",IF($J876=Hoje,"HOJE","Em dia"))))</f>
        <v/>
      </c>
      <c r="S876" s="23">
        <f>IF($R876="","",IF(OR($R876="ATRASADO",$R876="HOJE",$R876="Definir data"),COUNTIF($R$5:$R876,"ATRASADO")+COUNTIF($R$5:$R876,"HOJE")+COUNTIF($R$5:$R876,"Definir data"),""))</f>
        <v/>
      </c>
      <c r="T876" s="18">
        <f>IF($C876="","",IF(OR($B876="",$E876="",$F876="",$G876=""),"Preencher entrada/origem/vendedor/etapa",IF(AND(OR($P876="Ganho",$P876="Perdido"),$K876=""),"Falta data de fechamento",IF(AND($P876="Perdido",$L876=""),"Informe o motivo da perda","OK"))))</f>
        <v/>
      </c>
    </row>
    <row r="877" spans="1:20">
      <c r="A877" s="18">
        <f>IF($C877="","",ROW()-4)</f>
        <v/>
      </c>
      <c r="B877" s="19"/>
      <c r="C877" s="13"/>
      <c r="D877" s="13"/>
      <c r="E877" s="13"/>
      <c r="F877" s="13"/>
      <c r="G877" s="13"/>
      <c r="H877" s="15"/>
      <c r="I877" s="19"/>
      <c r="J877" s="19"/>
      <c r="K877" s="19"/>
      <c r="L877" s="13"/>
      <c r="M877" s="13"/>
      <c r="N877" s="20">
        <f>IF($C877="","",IFERROR(INDEX(EtapaProb,MATCH($G877,Etapas,0)),0))</f>
        <v/>
      </c>
      <c r="O877" s="21">
        <f>IF($C877="","",IF($P877="Aberto",N($H877)*$N877,0))</f>
        <v/>
      </c>
      <c r="P877" s="18">
        <f>IF($C877="","",IF($G877="Ganho","Ganho",IF($G877="Perdido","Perdido","Aberto")))</f>
        <v/>
      </c>
      <c r="Q877" s="18">
        <f>IF(OR($C877="",$P877&lt;&gt;"Aberto"),"",IF($I877="",Hoje-$B877,Hoje-$I877))</f>
        <v/>
      </c>
      <c r="R877" s="22">
        <f>IF(OR($C877="",$P877&lt;&gt;"Aberto"),"",IF($J877="",IF($Q877&gt;DiasSC,"ATRASADO","Definir data"),IF($J877&lt;Hoje,"ATRASADO",IF($J877=Hoje,"HOJE","Em dia"))))</f>
        <v/>
      </c>
      <c r="S877" s="23">
        <f>IF($R877="","",IF(OR($R877="ATRASADO",$R877="HOJE",$R877="Definir data"),COUNTIF($R$5:$R877,"ATRASADO")+COUNTIF($R$5:$R877,"HOJE")+COUNTIF($R$5:$R877,"Definir data"),""))</f>
        <v/>
      </c>
      <c r="T877" s="18">
        <f>IF($C877="","",IF(OR($B877="",$E877="",$F877="",$G877=""),"Preencher entrada/origem/vendedor/etapa",IF(AND(OR($P877="Ganho",$P877="Perdido"),$K877=""),"Falta data de fechamento",IF(AND($P877="Perdido",$L877=""),"Informe o motivo da perda","OK"))))</f>
        <v/>
      </c>
    </row>
    <row r="878" spans="1:20">
      <c r="A878" s="18">
        <f>IF($C878="","",ROW()-4)</f>
        <v/>
      </c>
      <c r="B878" s="19"/>
      <c r="C878" s="13"/>
      <c r="D878" s="13"/>
      <c r="E878" s="13"/>
      <c r="F878" s="13"/>
      <c r="G878" s="13"/>
      <c r="H878" s="15"/>
      <c r="I878" s="19"/>
      <c r="J878" s="19"/>
      <c r="K878" s="19"/>
      <c r="L878" s="13"/>
      <c r="M878" s="13"/>
      <c r="N878" s="20">
        <f>IF($C878="","",IFERROR(INDEX(EtapaProb,MATCH($G878,Etapas,0)),0))</f>
        <v/>
      </c>
      <c r="O878" s="21">
        <f>IF($C878="","",IF($P878="Aberto",N($H878)*$N878,0))</f>
        <v/>
      </c>
      <c r="P878" s="18">
        <f>IF($C878="","",IF($G878="Ganho","Ganho",IF($G878="Perdido","Perdido","Aberto")))</f>
        <v/>
      </c>
      <c r="Q878" s="18">
        <f>IF(OR($C878="",$P878&lt;&gt;"Aberto"),"",IF($I878="",Hoje-$B878,Hoje-$I878))</f>
        <v/>
      </c>
      <c r="R878" s="22">
        <f>IF(OR($C878="",$P878&lt;&gt;"Aberto"),"",IF($J878="",IF($Q878&gt;DiasSC,"ATRASADO","Definir data"),IF($J878&lt;Hoje,"ATRASADO",IF($J878=Hoje,"HOJE","Em dia"))))</f>
        <v/>
      </c>
      <c r="S878" s="23">
        <f>IF($R878="","",IF(OR($R878="ATRASADO",$R878="HOJE",$R878="Definir data"),COUNTIF($R$5:$R878,"ATRASADO")+COUNTIF($R$5:$R878,"HOJE")+COUNTIF($R$5:$R878,"Definir data"),""))</f>
        <v/>
      </c>
      <c r="T878" s="18">
        <f>IF($C878="","",IF(OR($B878="",$E878="",$F878="",$G878=""),"Preencher entrada/origem/vendedor/etapa",IF(AND(OR($P878="Ganho",$P878="Perdido"),$K878=""),"Falta data de fechamento",IF(AND($P878="Perdido",$L878=""),"Informe o motivo da perda","OK"))))</f>
        <v/>
      </c>
    </row>
    <row r="879" spans="1:20">
      <c r="A879" s="18">
        <f>IF($C879="","",ROW()-4)</f>
        <v/>
      </c>
      <c r="B879" s="19"/>
      <c r="C879" s="13"/>
      <c r="D879" s="13"/>
      <c r="E879" s="13"/>
      <c r="F879" s="13"/>
      <c r="G879" s="13"/>
      <c r="H879" s="15"/>
      <c r="I879" s="19"/>
      <c r="J879" s="19"/>
      <c r="K879" s="19"/>
      <c r="L879" s="13"/>
      <c r="M879" s="13"/>
      <c r="N879" s="20">
        <f>IF($C879="","",IFERROR(INDEX(EtapaProb,MATCH($G879,Etapas,0)),0))</f>
        <v/>
      </c>
      <c r="O879" s="21">
        <f>IF($C879="","",IF($P879="Aberto",N($H879)*$N879,0))</f>
        <v/>
      </c>
      <c r="P879" s="18">
        <f>IF($C879="","",IF($G879="Ganho","Ganho",IF($G879="Perdido","Perdido","Aberto")))</f>
        <v/>
      </c>
      <c r="Q879" s="18">
        <f>IF(OR($C879="",$P879&lt;&gt;"Aberto"),"",IF($I879="",Hoje-$B879,Hoje-$I879))</f>
        <v/>
      </c>
      <c r="R879" s="22">
        <f>IF(OR($C879="",$P879&lt;&gt;"Aberto"),"",IF($J879="",IF($Q879&gt;DiasSC,"ATRASADO","Definir data"),IF($J879&lt;Hoje,"ATRASADO",IF($J879=Hoje,"HOJE","Em dia"))))</f>
        <v/>
      </c>
      <c r="S879" s="23">
        <f>IF($R879="","",IF(OR($R879="ATRASADO",$R879="HOJE",$R879="Definir data"),COUNTIF($R$5:$R879,"ATRASADO")+COUNTIF($R$5:$R879,"HOJE")+COUNTIF($R$5:$R879,"Definir data"),""))</f>
        <v/>
      </c>
      <c r="T879" s="18">
        <f>IF($C879="","",IF(OR($B879="",$E879="",$F879="",$G879=""),"Preencher entrada/origem/vendedor/etapa",IF(AND(OR($P879="Ganho",$P879="Perdido"),$K879=""),"Falta data de fechamento",IF(AND($P879="Perdido",$L879=""),"Informe o motivo da perda","OK"))))</f>
        <v/>
      </c>
    </row>
    <row r="880" spans="1:20">
      <c r="A880" s="18">
        <f>IF($C880="","",ROW()-4)</f>
        <v/>
      </c>
      <c r="B880" s="19"/>
      <c r="C880" s="13"/>
      <c r="D880" s="13"/>
      <c r="E880" s="13"/>
      <c r="F880" s="13"/>
      <c r="G880" s="13"/>
      <c r="H880" s="15"/>
      <c r="I880" s="19"/>
      <c r="J880" s="19"/>
      <c r="K880" s="19"/>
      <c r="L880" s="13"/>
      <c r="M880" s="13"/>
      <c r="N880" s="20">
        <f>IF($C880="","",IFERROR(INDEX(EtapaProb,MATCH($G880,Etapas,0)),0))</f>
        <v/>
      </c>
      <c r="O880" s="21">
        <f>IF($C880="","",IF($P880="Aberto",N($H880)*$N880,0))</f>
        <v/>
      </c>
      <c r="P880" s="18">
        <f>IF($C880="","",IF($G880="Ganho","Ganho",IF($G880="Perdido","Perdido","Aberto")))</f>
        <v/>
      </c>
      <c r="Q880" s="18">
        <f>IF(OR($C880="",$P880&lt;&gt;"Aberto"),"",IF($I880="",Hoje-$B880,Hoje-$I880))</f>
        <v/>
      </c>
      <c r="R880" s="22">
        <f>IF(OR($C880="",$P880&lt;&gt;"Aberto"),"",IF($J880="",IF($Q880&gt;DiasSC,"ATRASADO","Definir data"),IF($J880&lt;Hoje,"ATRASADO",IF($J880=Hoje,"HOJE","Em dia"))))</f>
        <v/>
      </c>
      <c r="S880" s="23">
        <f>IF($R880="","",IF(OR($R880="ATRASADO",$R880="HOJE",$R880="Definir data"),COUNTIF($R$5:$R880,"ATRASADO")+COUNTIF($R$5:$R880,"HOJE")+COUNTIF($R$5:$R880,"Definir data"),""))</f>
        <v/>
      </c>
      <c r="T880" s="18">
        <f>IF($C880="","",IF(OR($B880="",$E880="",$F880="",$G880=""),"Preencher entrada/origem/vendedor/etapa",IF(AND(OR($P880="Ganho",$P880="Perdido"),$K880=""),"Falta data de fechamento",IF(AND($P880="Perdido",$L880=""),"Informe o motivo da perda","OK"))))</f>
        <v/>
      </c>
    </row>
    <row r="881" spans="1:20">
      <c r="A881" s="18">
        <f>IF($C881="","",ROW()-4)</f>
        <v/>
      </c>
      <c r="B881" s="19"/>
      <c r="C881" s="13"/>
      <c r="D881" s="13"/>
      <c r="E881" s="13"/>
      <c r="F881" s="13"/>
      <c r="G881" s="13"/>
      <c r="H881" s="15"/>
      <c r="I881" s="19"/>
      <c r="J881" s="19"/>
      <c r="K881" s="19"/>
      <c r="L881" s="13"/>
      <c r="M881" s="13"/>
      <c r="N881" s="20">
        <f>IF($C881="","",IFERROR(INDEX(EtapaProb,MATCH($G881,Etapas,0)),0))</f>
        <v/>
      </c>
      <c r="O881" s="21">
        <f>IF($C881="","",IF($P881="Aberto",N($H881)*$N881,0))</f>
        <v/>
      </c>
      <c r="P881" s="18">
        <f>IF($C881="","",IF($G881="Ganho","Ganho",IF($G881="Perdido","Perdido","Aberto")))</f>
        <v/>
      </c>
      <c r="Q881" s="18">
        <f>IF(OR($C881="",$P881&lt;&gt;"Aberto"),"",IF($I881="",Hoje-$B881,Hoje-$I881))</f>
        <v/>
      </c>
      <c r="R881" s="22">
        <f>IF(OR($C881="",$P881&lt;&gt;"Aberto"),"",IF($J881="",IF($Q881&gt;DiasSC,"ATRASADO","Definir data"),IF($J881&lt;Hoje,"ATRASADO",IF($J881=Hoje,"HOJE","Em dia"))))</f>
        <v/>
      </c>
      <c r="S881" s="23">
        <f>IF($R881="","",IF(OR($R881="ATRASADO",$R881="HOJE",$R881="Definir data"),COUNTIF($R$5:$R881,"ATRASADO")+COUNTIF($R$5:$R881,"HOJE")+COUNTIF($R$5:$R881,"Definir data"),""))</f>
        <v/>
      </c>
      <c r="T881" s="18">
        <f>IF($C881="","",IF(OR($B881="",$E881="",$F881="",$G881=""),"Preencher entrada/origem/vendedor/etapa",IF(AND(OR($P881="Ganho",$P881="Perdido"),$K881=""),"Falta data de fechamento",IF(AND($P881="Perdido",$L881=""),"Informe o motivo da perda","OK"))))</f>
        <v/>
      </c>
    </row>
    <row r="882" spans="1:20">
      <c r="A882" s="18">
        <f>IF($C882="","",ROW()-4)</f>
        <v/>
      </c>
      <c r="B882" s="19"/>
      <c r="C882" s="13"/>
      <c r="D882" s="13"/>
      <c r="E882" s="13"/>
      <c r="F882" s="13"/>
      <c r="G882" s="13"/>
      <c r="H882" s="15"/>
      <c r="I882" s="19"/>
      <c r="J882" s="19"/>
      <c r="K882" s="19"/>
      <c r="L882" s="13"/>
      <c r="M882" s="13"/>
      <c r="N882" s="20">
        <f>IF($C882="","",IFERROR(INDEX(EtapaProb,MATCH($G882,Etapas,0)),0))</f>
        <v/>
      </c>
      <c r="O882" s="21">
        <f>IF($C882="","",IF($P882="Aberto",N($H882)*$N882,0))</f>
        <v/>
      </c>
      <c r="P882" s="18">
        <f>IF($C882="","",IF($G882="Ganho","Ganho",IF($G882="Perdido","Perdido","Aberto")))</f>
        <v/>
      </c>
      <c r="Q882" s="18">
        <f>IF(OR($C882="",$P882&lt;&gt;"Aberto"),"",IF($I882="",Hoje-$B882,Hoje-$I882))</f>
        <v/>
      </c>
      <c r="R882" s="22">
        <f>IF(OR($C882="",$P882&lt;&gt;"Aberto"),"",IF($J882="",IF($Q882&gt;DiasSC,"ATRASADO","Definir data"),IF($J882&lt;Hoje,"ATRASADO",IF($J882=Hoje,"HOJE","Em dia"))))</f>
        <v/>
      </c>
      <c r="S882" s="23">
        <f>IF($R882="","",IF(OR($R882="ATRASADO",$R882="HOJE",$R882="Definir data"),COUNTIF($R$5:$R882,"ATRASADO")+COUNTIF($R$5:$R882,"HOJE")+COUNTIF($R$5:$R882,"Definir data"),""))</f>
        <v/>
      </c>
      <c r="T882" s="18">
        <f>IF($C882="","",IF(OR($B882="",$E882="",$F882="",$G882=""),"Preencher entrada/origem/vendedor/etapa",IF(AND(OR($P882="Ganho",$P882="Perdido"),$K882=""),"Falta data de fechamento",IF(AND($P882="Perdido",$L882=""),"Informe o motivo da perda","OK"))))</f>
        <v/>
      </c>
    </row>
    <row r="883" spans="1:20">
      <c r="A883" s="18">
        <f>IF($C883="","",ROW()-4)</f>
        <v/>
      </c>
      <c r="B883" s="19"/>
      <c r="C883" s="13"/>
      <c r="D883" s="13"/>
      <c r="E883" s="13"/>
      <c r="F883" s="13"/>
      <c r="G883" s="13"/>
      <c r="H883" s="15"/>
      <c r="I883" s="19"/>
      <c r="J883" s="19"/>
      <c r="K883" s="19"/>
      <c r="L883" s="13"/>
      <c r="M883" s="13"/>
      <c r="N883" s="20">
        <f>IF($C883="","",IFERROR(INDEX(EtapaProb,MATCH($G883,Etapas,0)),0))</f>
        <v/>
      </c>
      <c r="O883" s="21">
        <f>IF($C883="","",IF($P883="Aberto",N($H883)*$N883,0))</f>
        <v/>
      </c>
      <c r="P883" s="18">
        <f>IF($C883="","",IF($G883="Ganho","Ganho",IF($G883="Perdido","Perdido","Aberto")))</f>
        <v/>
      </c>
      <c r="Q883" s="18">
        <f>IF(OR($C883="",$P883&lt;&gt;"Aberto"),"",IF($I883="",Hoje-$B883,Hoje-$I883))</f>
        <v/>
      </c>
      <c r="R883" s="22">
        <f>IF(OR($C883="",$P883&lt;&gt;"Aberto"),"",IF($J883="",IF($Q883&gt;DiasSC,"ATRASADO","Definir data"),IF($J883&lt;Hoje,"ATRASADO",IF($J883=Hoje,"HOJE","Em dia"))))</f>
        <v/>
      </c>
      <c r="S883" s="23">
        <f>IF($R883="","",IF(OR($R883="ATRASADO",$R883="HOJE",$R883="Definir data"),COUNTIF($R$5:$R883,"ATRASADO")+COUNTIF($R$5:$R883,"HOJE")+COUNTIF($R$5:$R883,"Definir data"),""))</f>
        <v/>
      </c>
      <c r="T883" s="18">
        <f>IF($C883="","",IF(OR($B883="",$E883="",$F883="",$G883=""),"Preencher entrada/origem/vendedor/etapa",IF(AND(OR($P883="Ganho",$P883="Perdido"),$K883=""),"Falta data de fechamento",IF(AND($P883="Perdido",$L883=""),"Informe o motivo da perda","OK"))))</f>
        <v/>
      </c>
    </row>
    <row r="884" spans="1:20">
      <c r="A884" s="18">
        <f>IF($C884="","",ROW()-4)</f>
        <v/>
      </c>
      <c r="B884" s="19"/>
      <c r="C884" s="13"/>
      <c r="D884" s="13"/>
      <c r="E884" s="13"/>
      <c r="F884" s="13"/>
      <c r="G884" s="13"/>
      <c r="H884" s="15"/>
      <c r="I884" s="19"/>
      <c r="J884" s="19"/>
      <c r="K884" s="19"/>
      <c r="L884" s="13"/>
      <c r="M884" s="13"/>
      <c r="N884" s="20">
        <f>IF($C884="","",IFERROR(INDEX(EtapaProb,MATCH($G884,Etapas,0)),0))</f>
        <v/>
      </c>
      <c r="O884" s="21">
        <f>IF($C884="","",IF($P884="Aberto",N($H884)*$N884,0))</f>
        <v/>
      </c>
      <c r="P884" s="18">
        <f>IF($C884="","",IF($G884="Ganho","Ganho",IF($G884="Perdido","Perdido","Aberto")))</f>
        <v/>
      </c>
      <c r="Q884" s="18">
        <f>IF(OR($C884="",$P884&lt;&gt;"Aberto"),"",IF($I884="",Hoje-$B884,Hoje-$I884))</f>
        <v/>
      </c>
      <c r="R884" s="22">
        <f>IF(OR($C884="",$P884&lt;&gt;"Aberto"),"",IF($J884="",IF($Q884&gt;DiasSC,"ATRASADO","Definir data"),IF($J884&lt;Hoje,"ATRASADO",IF($J884=Hoje,"HOJE","Em dia"))))</f>
        <v/>
      </c>
      <c r="S884" s="23">
        <f>IF($R884="","",IF(OR($R884="ATRASADO",$R884="HOJE",$R884="Definir data"),COUNTIF($R$5:$R884,"ATRASADO")+COUNTIF($R$5:$R884,"HOJE")+COUNTIF($R$5:$R884,"Definir data"),""))</f>
        <v/>
      </c>
      <c r="T884" s="18">
        <f>IF($C884="","",IF(OR($B884="",$E884="",$F884="",$G884=""),"Preencher entrada/origem/vendedor/etapa",IF(AND(OR($P884="Ganho",$P884="Perdido"),$K884=""),"Falta data de fechamento",IF(AND($P884="Perdido",$L884=""),"Informe o motivo da perda","OK"))))</f>
        <v/>
      </c>
    </row>
    <row r="885" spans="1:20">
      <c r="A885" s="18">
        <f>IF($C885="","",ROW()-4)</f>
        <v/>
      </c>
      <c r="B885" s="19"/>
      <c r="C885" s="13"/>
      <c r="D885" s="13"/>
      <c r="E885" s="13"/>
      <c r="F885" s="13"/>
      <c r="G885" s="13"/>
      <c r="H885" s="15"/>
      <c r="I885" s="19"/>
      <c r="J885" s="19"/>
      <c r="K885" s="19"/>
      <c r="L885" s="13"/>
      <c r="M885" s="13"/>
      <c r="N885" s="20">
        <f>IF($C885="","",IFERROR(INDEX(EtapaProb,MATCH($G885,Etapas,0)),0))</f>
        <v/>
      </c>
      <c r="O885" s="21">
        <f>IF($C885="","",IF($P885="Aberto",N($H885)*$N885,0))</f>
        <v/>
      </c>
      <c r="P885" s="18">
        <f>IF($C885="","",IF($G885="Ganho","Ganho",IF($G885="Perdido","Perdido","Aberto")))</f>
        <v/>
      </c>
      <c r="Q885" s="18">
        <f>IF(OR($C885="",$P885&lt;&gt;"Aberto"),"",IF($I885="",Hoje-$B885,Hoje-$I885))</f>
        <v/>
      </c>
      <c r="R885" s="22">
        <f>IF(OR($C885="",$P885&lt;&gt;"Aberto"),"",IF($J885="",IF($Q885&gt;DiasSC,"ATRASADO","Definir data"),IF($J885&lt;Hoje,"ATRASADO",IF($J885=Hoje,"HOJE","Em dia"))))</f>
        <v/>
      </c>
      <c r="S885" s="23">
        <f>IF($R885="","",IF(OR($R885="ATRASADO",$R885="HOJE",$R885="Definir data"),COUNTIF($R$5:$R885,"ATRASADO")+COUNTIF($R$5:$R885,"HOJE")+COUNTIF($R$5:$R885,"Definir data"),""))</f>
        <v/>
      </c>
      <c r="T885" s="18">
        <f>IF($C885="","",IF(OR($B885="",$E885="",$F885="",$G885=""),"Preencher entrada/origem/vendedor/etapa",IF(AND(OR($P885="Ganho",$P885="Perdido"),$K885=""),"Falta data de fechamento",IF(AND($P885="Perdido",$L885=""),"Informe o motivo da perda","OK"))))</f>
        <v/>
      </c>
    </row>
    <row r="886" spans="1:20">
      <c r="A886" s="18">
        <f>IF($C886="","",ROW()-4)</f>
        <v/>
      </c>
      <c r="B886" s="19"/>
      <c r="C886" s="13"/>
      <c r="D886" s="13"/>
      <c r="E886" s="13"/>
      <c r="F886" s="13"/>
      <c r="G886" s="13"/>
      <c r="H886" s="15"/>
      <c r="I886" s="19"/>
      <c r="J886" s="19"/>
      <c r="K886" s="19"/>
      <c r="L886" s="13"/>
      <c r="M886" s="13"/>
      <c r="N886" s="20">
        <f>IF($C886="","",IFERROR(INDEX(EtapaProb,MATCH($G886,Etapas,0)),0))</f>
        <v/>
      </c>
      <c r="O886" s="21">
        <f>IF($C886="","",IF($P886="Aberto",N($H886)*$N886,0))</f>
        <v/>
      </c>
      <c r="P886" s="18">
        <f>IF($C886="","",IF($G886="Ganho","Ganho",IF($G886="Perdido","Perdido","Aberto")))</f>
        <v/>
      </c>
      <c r="Q886" s="18">
        <f>IF(OR($C886="",$P886&lt;&gt;"Aberto"),"",IF($I886="",Hoje-$B886,Hoje-$I886))</f>
        <v/>
      </c>
      <c r="R886" s="22">
        <f>IF(OR($C886="",$P886&lt;&gt;"Aberto"),"",IF($J886="",IF($Q886&gt;DiasSC,"ATRASADO","Definir data"),IF($J886&lt;Hoje,"ATRASADO",IF($J886=Hoje,"HOJE","Em dia"))))</f>
        <v/>
      </c>
      <c r="S886" s="23">
        <f>IF($R886="","",IF(OR($R886="ATRASADO",$R886="HOJE",$R886="Definir data"),COUNTIF($R$5:$R886,"ATRASADO")+COUNTIF($R$5:$R886,"HOJE")+COUNTIF($R$5:$R886,"Definir data"),""))</f>
        <v/>
      </c>
      <c r="T886" s="18">
        <f>IF($C886="","",IF(OR($B886="",$E886="",$F886="",$G886=""),"Preencher entrada/origem/vendedor/etapa",IF(AND(OR($P886="Ganho",$P886="Perdido"),$K886=""),"Falta data de fechamento",IF(AND($P886="Perdido",$L886=""),"Informe o motivo da perda","OK"))))</f>
        <v/>
      </c>
    </row>
    <row r="887" spans="1:20">
      <c r="A887" s="18">
        <f>IF($C887="","",ROW()-4)</f>
        <v/>
      </c>
      <c r="B887" s="19"/>
      <c r="C887" s="13"/>
      <c r="D887" s="13"/>
      <c r="E887" s="13"/>
      <c r="F887" s="13"/>
      <c r="G887" s="13"/>
      <c r="H887" s="15"/>
      <c r="I887" s="19"/>
      <c r="J887" s="19"/>
      <c r="K887" s="19"/>
      <c r="L887" s="13"/>
      <c r="M887" s="13"/>
      <c r="N887" s="20">
        <f>IF($C887="","",IFERROR(INDEX(EtapaProb,MATCH($G887,Etapas,0)),0))</f>
        <v/>
      </c>
      <c r="O887" s="21">
        <f>IF($C887="","",IF($P887="Aberto",N($H887)*$N887,0))</f>
        <v/>
      </c>
      <c r="P887" s="18">
        <f>IF($C887="","",IF($G887="Ganho","Ganho",IF($G887="Perdido","Perdido","Aberto")))</f>
        <v/>
      </c>
      <c r="Q887" s="18">
        <f>IF(OR($C887="",$P887&lt;&gt;"Aberto"),"",IF($I887="",Hoje-$B887,Hoje-$I887))</f>
        <v/>
      </c>
      <c r="R887" s="22">
        <f>IF(OR($C887="",$P887&lt;&gt;"Aberto"),"",IF($J887="",IF($Q887&gt;DiasSC,"ATRASADO","Definir data"),IF($J887&lt;Hoje,"ATRASADO",IF($J887=Hoje,"HOJE","Em dia"))))</f>
        <v/>
      </c>
      <c r="S887" s="23">
        <f>IF($R887="","",IF(OR($R887="ATRASADO",$R887="HOJE",$R887="Definir data"),COUNTIF($R$5:$R887,"ATRASADO")+COUNTIF($R$5:$R887,"HOJE")+COUNTIF($R$5:$R887,"Definir data"),""))</f>
        <v/>
      </c>
      <c r="T887" s="18">
        <f>IF($C887="","",IF(OR($B887="",$E887="",$F887="",$G887=""),"Preencher entrada/origem/vendedor/etapa",IF(AND(OR($P887="Ganho",$P887="Perdido"),$K887=""),"Falta data de fechamento",IF(AND($P887="Perdido",$L887=""),"Informe o motivo da perda","OK"))))</f>
        <v/>
      </c>
    </row>
    <row r="888" spans="1:20">
      <c r="A888" s="18">
        <f>IF($C888="","",ROW()-4)</f>
        <v/>
      </c>
      <c r="B888" s="19"/>
      <c r="C888" s="13"/>
      <c r="D888" s="13"/>
      <c r="E888" s="13"/>
      <c r="F888" s="13"/>
      <c r="G888" s="13"/>
      <c r="H888" s="15"/>
      <c r="I888" s="19"/>
      <c r="J888" s="19"/>
      <c r="K888" s="19"/>
      <c r="L888" s="13"/>
      <c r="M888" s="13"/>
      <c r="N888" s="20">
        <f>IF($C888="","",IFERROR(INDEX(EtapaProb,MATCH($G888,Etapas,0)),0))</f>
        <v/>
      </c>
      <c r="O888" s="21">
        <f>IF($C888="","",IF($P888="Aberto",N($H888)*$N888,0))</f>
        <v/>
      </c>
      <c r="P888" s="18">
        <f>IF($C888="","",IF($G888="Ganho","Ganho",IF($G888="Perdido","Perdido","Aberto")))</f>
        <v/>
      </c>
      <c r="Q888" s="18">
        <f>IF(OR($C888="",$P888&lt;&gt;"Aberto"),"",IF($I888="",Hoje-$B888,Hoje-$I888))</f>
        <v/>
      </c>
      <c r="R888" s="22">
        <f>IF(OR($C888="",$P888&lt;&gt;"Aberto"),"",IF($J888="",IF($Q888&gt;DiasSC,"ATRASADO","Definir data"),IF($J888&lt;Hoje,"ATRASADO",IF($J888=Hoje,"HOJE","Em dia"))))</f>
        <v/>
      </c>
      <c r="S888" s="23">
        <f>IF($R888="","",IF(OR($R888="ATRASADO",$R888="HOJE",$R888="Definir data"),COUNTIF($R$5:$R888,"ATRASADO")+COUNTIF($R$5:$R888,"HOJE")+COUNTIF($R$5:$R888,"Definir data"),""))</f>
        <v/>
      </c>
      <c r="T888" s="18">
        <f>IF($C888="","",IF(OR($B888="",$E888="",$F888="",$G888=""),"Preencher entrada/origem/vendedor/etapa",IF(AND(OR($P888="Ganho",$P888="Perdido"),$K888=""),"Falta data de fechamento",IF(AND($P888="Perdido",$L888=""),"Informe o motivo da perda","OK"))))</f>
        <v/>
      </c>
    </row>
    <row r="889" spans="1:20">
      <c r="A889" s="18">
        <f>IF($C889="","",ROW()-4)</f>
        <v/>
      </c>
      <c r="B889" s="19"/>
      <c r="C889" s="13"/>
      <c r="D889" s="13"/>
      <c r="E889" s="13"/>
      <c r="F889" s="13"/>
      <c r="G889" s="13"/>
      <c r="H889" s="15"/>
      <c r="I889" s="19"/>
      <c r="J889" s="19"/>
      <c r="K889" s="19"/>
      <c r="L889" s="13"/>
      <c r="M889" s="13"/>
      <c r="N889" s="20">
        <f>IF($C889="","",IFERROR(INDEX(EtapaProb,MATCH($G889,Etapas,0)),0))</f>
        <v/>
      </c>
      <c r="O889" s="21">
        <f>IF($C889="","",IF($P889="Aberto",N($H889)*$N889,0))</f>
        <v/>
      </c>
      <c r="P889" s="18">
        <f>IF($C889="","",IF($G889="Ganho","Ganho",IF($G889="Perdido","Perdido","Aberto")))</f>
        <v/>
      </c>
      <c r="Q889" s="18">
        <f>IF(OR($C889="",$P889&lt;&gt;"Aberto"),"",IF($I889="",Hoje-$B889,Hoje-$I889))</f>
        <v/>
      </c>
      <c r="R889" s="22">
        <f>IF(OR($C889="",$P889&lt;&gt;"Aberto"),"",IF($J889="",IF($Q889&gt;DiasSC,"ATRASADO","Definir data"),IF($J889&lt;Hoje,"ATRASADO",IF($J889=Hoje,"HOJE","Em dia"))))</f>
        <v/>
      </c>
      <c r="S889" s="23">
        <f>IF($R889="","",IF(OR($R889="ATRASADO",$R889="HOJE",$R889="Definir data"),COUNTIF($R$5:$R889,"ATRASADO")+COUNTIF($R$5:$R889,"HOJE")+COUNTIF($R$5:$R889,"Definir data"),""))</f>
        <v/>
      </c>
      <c r="T889" s="18">
        <f>IF($C889="","",IF(OR($B889="",$E889="",$F889="",$G889=""),"Preencher entrada/origem/vendedor/etapa",IF(AND(OR($P889="Ganho",$P889="Perdido"),$K889=""),"Falta data de fechamento",IF(AND($P889="Perdido",$L889=""),"Informe o motivo da perda","OK"))))</f>
        <v/>
      </c>
    </row>
    <row r="890" spans="1:20">
      <c r="A890" s="18">
        <f>IF($C890="","",ROW()-4)</f>
        <v/>
      </c>
      <c r="B890" s="19"/>
      <c r="C890" s="13"/>
      <c r="D890" s="13"/>
      <c r="E890" s="13"/>
      <c r="F890" s="13"/>
      <c r="G890" s="13"/>
      <c r="H890" s="15"/>
      <c r="I890" s="19"/>
      <c r="J890" s="19"/>
      <c r="K890" s="19"/>
      <c r="L890" s="13"/>
      <c r="M890" s="13"/>
      <c r="N890" s="20">
        <f>IF($C890="","",IFERROR(INDEX(EtapaProb,MATCH($G890,Etapas,0)),0))</f>
        <v/>
      </c>
      <c r="O890" s="21">
        <f>IF($C890="","",IF($P890="Aberto",N($H890)*$N890,0))</f>
        <v/>
      </c>
      <c r="P890" s="18">
        <f>IF($C890="","",IF($G890="Ganho","Ganho",IF($G890="Perdido","Perdido","Aberto")))</f>
        <v/>
      </c>
      <c r="Q890" s="18">
        <f>IF(OR($C890="",$P890&lt;&gt;"Aberto"),"",IF($I890="",Hoje-$B890,Hoje-$I890))</f>
        <v/>
      </c>
      <c r="R890" s="22">
        <f>IF(OR($C890="",$P890&lt;&gt;"Aberto"),"",IF($J890="",IF($Q890&gt;DiasSC,"ATRASADO","Definir data"),IF($J890&lt;Hoje,"ATRASADO",IF($J890=Hoje,"HOJE","Em dia"))))</f>
        <v/>
      </c>
      <c r="S890" s="23">
        <f>IF($R890="","",IF(OR($R890="ATRASADO",$R890="HOJE",$R890="Definir data"),COUNTIF($R$5:$R890,"ATRASADO")+COUNTIF($R$5:$R890,"HOJE")+COUNTIF($R$5:$R890,"Definir data"),""))</f>
        <v/>
      </c>
      <c r="T890" s="18">
        <f>IF($C890="","",IF(OR($B890="",$E890="",$F890="",$G890=""),"Preencher entrada/origem/vendedor/etapa",IF(AND(OR($P890="Ganho",$P890="Perdido"),$K890=""),"Falta data de fechamento",IF(AND($P890="Perdido",$L890=""),"Informe o motivo da perda","OK"))))</f>
        <v/>
      </c>
    </row>
    <row r="891" spans="1:20">
      <c r="A891" s="18">
        <f>IF($C891="","",ROW()-4)</f>
        <v/>
      </c>
      <c r="B891" s="19"/>
      <c r="C891" s="13"/>
      <c r="D891" s="13"/>
      <c r="E891" s="13"/>
      <c r="F891" s="13"/>
      <c r="G891" s="13"/>
      <c r="H891" s="15"/>
      <c r="I891" s="19"/>
      <c r="J891" s="19"/>
      <c r="K891" s="19"/>
      <c r="L891" s="13"/>
      <c r="M891" s="13"/>
      <c r="N891" s="20">
        <f>IF($C891="","",IFERROR(INDEX(EtapaProb,MATCH($G891,Etapas,0)),0))</f>
        <v/>
      </c>
      <c r="O891" s="21">
        <f>IF($C891="","",IF($P891="Aberto",N($H891)*$N891,0))</f>
        <v/>
      </c>
      <c r="P891" s="18">
        <f>IF($C891="","",IF($G891="Ganho","Ganho",IF($G891="Perdido","Perdido","Aberto")))</f>
        <v/>
      </c>
      <c r="Q891" s="18">
        <f>IF(OR($C891="",$P891&lt;&gt;"Aberto"),"",IF($I891="",Hoje-$B891,Hoje-$I891))</f>
        <v/>
      </c>
      <c r="R891" s="22">
        <f>IF(OR($C891="",$P891&lt;&gt;"Aberto"),"",IF($J891="",IF($Q891&gt;DiasSC,"ATRASADO","Definir data"),IF($J891&lt;Hoje,"ATRASADO",IF($J891=Hoje,"HOJE","Em dia"))))</f>
        <v/>
      </c>
      <c r="S891" s="23">
        <f>IF($R891="","",IF(OR($R891="ATRASADO",$R891="HOJE",$R891="Definir data"),COUNTIF($R$5:$R891,"ATRASADO")+COUNTIF($R$5:$R891,"HOJE")+COUNTIF($R$5:$R891,"Definir data"),""))</f>
        <v/>
      </c>
      <c r="T891" s="18">
        <f>IF($C891="","",IF(OR($B891="",$E891="",$F891="",$G891=""),"Preencher entrada/origem/vendedor/etapa",IF(AND(OR($P891="Ganho",$P891="Perdido"),$K891=""),"Falta data de fechamento",IF(AND($P891="Perdido",$L891=""),"Informe o motivo da perda","OK"))))</f>
        <v/>
      </c>
    </row>
    <row r="892" spans="1:20">
      <c r="A892" s="18">
        <f>IF($C892="","",ROW()-4)</f>
        <v/>
      </c>
      <c r="B892" s="19"/>
      <c r="C892" s="13"/>
      <c r="D892" s="13"/>
      <c r="E892" s="13"/>
      <c r="F892" s="13"/>
      <c r="G892" s="13"/>
      <c r="H892" s="15"/>
      <c r="I892" s="19"/>
      <c r="J892" s="19"/>
      <c r="K892" s="19"/>
      <c r="L892" s="13"/>
      <c r="M892" s="13"/>
      <c r="N892" s="20">
        <f>IF($C892="","",IFERROR(INDEX(EtapaProb,MATCH($G892,Etapas,0)),0))</f>
        <v/>
      </c>
      <c r="O892" s="21">
        <f>IF($C892="","",IF($P892="Aberto",N($H892)*$N892,0))</f>
        <v/>
      </c>
      <c r="P892" s="18">
        <f>IF($C892="","",IF($G892="Ganho","Ganho",IF($G892="Perdido","Perdido","Aberto")))</f>
        <v/>
      </c>
      <c r="Q892" s="18">
        <f>IF(OR($C892="",$P892&lt;&gt;"Aberto"),"",IF($I892="",Hoje-$B892,Hoje-$I892))</f>
        <v/>
      </c>
      <c r="R892" s="22">
        <f>IF(OR($C892="",$P892&lt;&gt;"Aberto"),"",IF($J892="",IF($Q892&gt;DiasSC,"ATRASADO","Definir data"),IF($J892&lt;Hoje,"ATRASADO",IF($J892=Hoje,"HOJE","Em dia"))))</f>
        <v/>
      </c>
      <c r="S892" s="23">
        <f>IF($R892="","",IF(OR($R892="ATRASADO",$R892="HOJE",$R892="Definir data"),COUNTIF($R$5:$R892,"ATRASADO")+COUNTIF($R$5:$R892,"HOJE")+COUNTIF($R$5:$R892,"Definir data"),""))</f>
        <v/>
      </c>
      <c r="T892" s="18">
        <f>IF($C892="","",IF(OR($B892="",$E892="",$F892="",$G892=""),"Preencher entrada/origem/vendedor/etapa",IF(AND(OR($P892="Ganho",$P892="Perdido"),$K892=""),"Falta data de fechamento",IF(AND($P892="Perdido",$L892=""),"Informe o motivo da perda","OK"))))</f>
        <v/>
      </c>
    </row>
    <row r="893" spans="1:20">
      <c r="A893" s="18">
        <f>IF($C893="","",ROW()-4)</f>
        <v/>
      </c>
      <c r="B893" s="19"/>
      <c r="C893" s="13"/>
      <c r="D893" s="13"/>
      <c r="E893" s="13"/>
      <c r="F893" s="13"/>
      <c r="G893" s="13"/>
      <c r="H893" s="15"/>
      <c r="I893" s="19"/>
      <c r="J893" s="19"/>
      <c r="K893" s="19"/>
      <c r="L893" s="13"/>
      <c r="M893" s="13"/>
      <c r="N893" s="20">
        <f>IF($C893="","",IFERROR(INDEX(EtapaProb,MATCH($G893,Etapas,0)),0))</f>
        <v/>
      </c>
      <c r="O893" s="21">
        <f>IF($C893="","",IF($P893="Aberto",N($H893)*$N893,0))</f>
        <v/>
      </c>
      <c r="P893" s="18">
        <f>IF($C893="","",IF($G893="Ganho","Ganho",IF($G893="Perdido","Perdido","Aberto")))</f>
        <v/>
      </c>
      <c r="Q893" s="18">
        <f>IF(OR($C893="",$P893&lt;&gt;"Aberto"),"",IF($I893="",Hoje-$B893,Hoje-$I893))</f>
        <v/>
      </c>
      <c r="R893" s="22">
        <f>IF(OR($C893="",$P893&lt;&gt;"Aberto"),"",IF($J893="",IF($Q893&gt;DiasSC,"ATRASADO","Definir data"),IF($J893&lt;Hoje,"ATRASADO",IF($J893=Hoje,"HOJE","Em dia"))))</f>
        <v/>
      </c>
      <c r="S893" s="23">
        <f>IF($R893="","",IF(OR($R893="ATRASADO",$R893="HOJE",$R893="Definir data"),COUNTIF($R$5:$R893,"ATRASADO")+COUNTIF($R$5:$R893,"HOJE")+COUNTIF($R$5:$R893,"Definir data"),""))</f>
        <v/>
      </c>
      <c r="T893" s="18">
        <f>IF($C893="","",IF(OR($B893="",$E893="",$F893="",$G893=""),"Preencher entrada/origem/vendedor/etapa",IF(AND(OR($P893="Ganho",$P893="Perdido"),$K893=""),"Falta data de fechamento",IF(AND($P893="Perdido",$L893=""),"Informe o motivo da perda","OK"))))</f>
        <v/>
      </c>
    </row>
    <row r="894" spans="1:20">
      <c r="A894" s="18">
        <f>IF($C894="","",ROW()-4)</f>
        <v/>
      </c>
      <c r="B894" s="19"/>
      <c r="C894" s="13"/>
      <c r="D894" s="13"/>
      <c r="E894" s="13"/>
      <c r="F894" s="13"/>
      <c r="G894" s="13"/>
      <c r="H894" s="15"/>
      <c r="I894" s="19"/>
      <c r="J894" s="19"/>
      <c r="K894" s="19"/>
      <c r="L894" s="13"/>
      <c r="M894" s="13"/>
      <c r="N894" s="20">
        <f>IF($C894="","",IFERROR(INDEX(EtapaProb,MATCH($G894,Etapas,0)),0))</f>
        <v/>
      </c>
      <c r="O894" s="21">
        <f>IF($C894="","",IF($P894="Aberto",N($H894)*$N894,0))</f>
        <v/>
      </c>
      <c r="P894" s="18">
        <f>IF($C894="","",IF($G894="Ganho","Ganho",IF($G894="Perdido","Perdido","Aberto")))</f>
        <v/>
      </c>
      <c r="Q894" s="18">
        <f>IF(OR($C894="",$P894&lt;&gt;"Aberto"),"",IF($I894="",Hoje-$B894,Hoje-$I894))</f>
        <v/>
      </c>
      <c r="R894" s="22">
        <f>IF(OR($C894="",$P894&lt;&gt;"Aberto"),"",IF($J894="",IF($Q894&gt;DiasSC,"ATRASADO","Definir data"),IF($J894&lt;Hoje,"ATRASADO",IF($J894=Hoje,"HOJE","Em dia"))))</f>
        <v/>
      </c>
      <c r="S894" s="23">
        <f>IF($R894="","",IF(OR($R894="ATRASADO",$R894="HOJE",$R894="Definir data"),COUNTIF($R$5:$R894,"ATRASADO")+COUNTIF($R$5:$R894,"HOJE")+COUNTIF($R$5:$R894,"Definir data"),""))</f>
        <v/>
      </c>
      <c r="T894" s="18">
        <f>IF($C894="","",IF(OR($B894="",$E894="",$F894="",$G894=""),"Preencher entrada/origem/vendedor/etapa",IF(AND(OR($P894="Ganho",$P894="Perdido"),$K894=""),"Falta data de fechamento",IF(AND($P894="Perdido",$L894=""),"Informe o motivo da perda","OK"))))</f>
        <v/>
      </c>
    </row>
    <row r="895" spans="1:20">
      <c r="A895" s="18">
        <f>IF($C895="","",ROW()-4)</f>
        <v/>
      </c>
      <c r="B895" s="19"/>
      <c r="C895" s="13"/>
      <c r="D895" s="13"/>
      <c r="E895" s="13"/>
      <c r="F895" s="13"/>
      <c r="G895" s="13"/>
      <c r="H895" s="15"/>
      <c r="I895" s="19"/>
      <c r="J895" s="19"/>
      <c r="K895" s="19"/>
      <c r="L895" s="13"/>
      <c r="M895" s="13"/>
      <c r="N895" s="20">
        <f>IF($C895="","",IFERROR(INDEX(EtapaProb,MATCH($G895,Etapas,0)),0))</f>
        <v/>
      </c>
      <c r="O895" s="21">
        <f>IF($C895="","",IF($P895="Aberto",N($H895)*$N895,0))</f>
        <v/>
      </c>
      <c r="P895" s="18">
        <f>IF($C895="","",IF($G895="Ganho","Ganho",IF($G895="Perdido","Perdido","Aberto")))</f>
        <v/>
      </c>
      <c r="Q895" s="18">
        <f>IF(OR($C895="",$P895&lt;&gt;"Aberto"),"",IF($I895="",Hoje-$B895,Hoje-$I895))</f>
        <v/>
      </c>
      <c r="R895" s="22">
        <f>IF(OR($C895="",$P895&lt;&gt;"Aberto"),"",IF($J895="",IF($Q895&gt;DiasSC,"ATRASADO","Definir data"),IF($J895&lt;Hoje,"ATRASADO",IF($J895=Hoje,"HOJE","Em dia"))))</f>
        <v/>
      </c>
      <c r="S895" s="23">
        <f>IF($R895="","",IF(OR($R895="ATRASADO",$R895="HOJE",$R895="Definir data"),COUNTIF($R$5:$R895,"ATRASADO")+COUNTIF($R$5:$R895,"HOJE")+COUNTIF($R$5:$R895,"Definir data"),""))</f>
        <v/>
      </c>
      <c r="T895" s="18">
        <f>IF($C895="","",IF(OR($B895="",$E895="",$F895="",$G895=""),"Preencher entrada/origem/vendedor/etapa",IF(AND(OR($P895="Ganho",$P895="Perdido"),$K895=""),"Falta data de fechamento",IF(AND($P895="Perdido",$L895=""),"Informe o motivo da perda","OK"))))</f>
        <v/>
      </c>
    </row>
    <row r="896" spans="1:20">
      <c r="A896" s="18">
        <f>IF($C896="","",ROW()-4)</f>
        <v/>
      </c>
      <c r="B896" s="19"/>
      <c r="C896" s="13"/>
      <c r="D896" s="13"/>
      <c r="E896" s="13"/>
      <c r="F896" s="13"/>
      <c r="G896" s="13"/>
      <c r="H896" s="15"/>
      <c r="I896" s="19"/>
      <c r="J896" s="19"/>
      <c r="K896" s="19"/>
      <c r="L896" s="13"/>
      <c r="M896" s="13"/>
      <c r="N896" s="20">
        <f>IF($C896="","",IFERROR(INDEX(EtapaProb,MATCH($G896,Etapas,0)),0))</f>
        <v/>
      </c>
      <c r="O896" s="21">
        <f>IF($C896="","",IF($P896="Aberto",N($H896)*$N896,0))</f>
        <v/>
      </c>
      <c r="P896" s="18">
        <f>IF($C896="","",IF($G896="Ganho","Ganho",IF($G896="Perdido","Perdido","Aberto")))</f>
        <v/>
      </c>
      <c r="Q896" s="18">
        <f>IF(OR($C896="",$P896&lt;&gt;"Aberto"),"",IF($I896="",Hoje-$B896,Hoje-$I896))</f>
        <v/>
      </c>
      <c r="R896" s="22">
        <f>IF(OR($C896="",$P896&lt;&gt;"Aberto"),"",IF($J896="",IF($Q896&gt;DiasSC,"ATRASADO","Definir data"),IF($J896&lt;Hoje,"ATRASADO",IF($J896=Hoje,"HOJE","Em dia"))))</f>
        <v/>
      </c>
      <c r="S896" s="23">
        <f>IF($R896="","",IF(OR($R896="ATRASADO",$R896="HOJE",$R896="Definir data"),COUNTIF($R$5:$R896,"ATRASADO")+COUNTIF($R$5:$R896,"HOJE")+COUNTIF($R$5:$R896,"Definir data"),""))</f>
        <v/>
      </c>
      <c r="T896" s="18">
        <f>IF($C896="","",IF(OR($B896="",$E896="",$F896="",$G896=""),"Preencher entrada/origem/vendedor/etapa",IF(AND(OR($P896="Ganho",$P896="Perdido"),$K896=""),"Falta data de fechamento",IF(AND($P896="Perdido",$L896=""),"Informe o motivo da perda","OK"))))</f>
        <v/>
      </c>
    </row>
    <row r="897" spans="1:20">
      <c r="A897" s="18">
        <f>IF($C897="","",ROW()-4)</f>
        <v/>
      </c>
      <c r="B897" s="19"/>
      <c r="C897" s="13"/>
      <c r="D897" s="13"/>
      <c r="E897" s="13"/>
      <c r="F897" s="13"/>
      <c r="G897" s="13"/>
      <c r="H897" s="15"/>
      <c r="I897" s="19"/>
      <c r="J897" s="19"/>
      <c r="K897" s="19"/>
      <c r="L897" s="13"/>
      <c r="M897" s="13"/>
      <c r="N897" s="20">
        <f>IF($C897="","",IFERROR(INDEX(EtapaProb,MATCH($G897,Etapas,0)),0))</f>
        <v/>
      </c>
      <c r="O897" s="21">
        <f>IF($C897="","",IF($P897="Aberto",N($H897)*$N897,0))</f>
        <v/>
      </c>
      <c r="P897" s="18">
        <f>IF($C897="","",IF($G897="Ganho","Ganho",IF($G897="Perdido","Perdido","Aberto")))</f>
        <v/>
      </c>
      <c r="Q897" s="18">
        <f>IF(OR($C897="",$P897&lt;&gt;"Aberto"),"",IF($I897="",Hoje-$B897,Hoje-$I897))</f>
        <v/>
      </c>
      <c r="R897" s="22">
        <f>IF(OR($C897="",$P897&lt;&gt;"Aberto"),"",IF($J897="",IF($Q897&gt;DiasSC,"ATRASADO","Definir data"),IF($J897&lt;Hoje,"ATRASADO",IF($J897=Hoje,"HOJE","Em dia"))))</f>
        <v/>
      </c>
      <c r="S897" s="23">
        <f>IF($R897="","",IF(OR($R897="ATRASADO",$R897="HOJE",$R897="Definir data"),COUNTIF($R$5:$R897,"ATRASADO")+COUNTIF($R$5:$R897,"HOJE")+COUNTIF($R$5:$R897,"Definir data"),""))</f>
        <v/>
      </c>
      <c r="T897" s="18">
        <f>IF($C897="","",IF(OR($B897="",$E897="",$F897="",$G897=""),"Preencher entrada/origem/vendedor/etapa",IF(AND(OR($P897="Ganho",$P897="Perdido"),$K897=""),"Falta data de fechamento",IF(AND($P897="Perdido",$L897=""),"Informe o motivo da perda","OK"))))</f>
        <v/>
      </c>
    </row>
    <row r="898" spans="1:20">
      <c r="A898" s="18">
        <f>IF($C898="","",ROW()-4)</f>
        <v/>
      </c>
      <c r="B898" s="19"/>
      <c r="C898" s="13"/>
      <c r="D898" s="13"/>
      <c r="E898" s="13"/>
      <c r="F898" s="13"/>
      <c r="G898" s="13"/>
      <c r="H898" s="15"/>
      <c r="I898" s="19"/>
      <c r="J898" s="19"/>
      <c r="K898" s="19"/>
      <c r="L898" s="13"/>
      <c r="M898" s="13"/>
      <c r="N898" s="20">
        <f>IF($C898="","",IFERROR(INDEX(EtapaProb,MATCH($G898,Etapas,0)),0))</f>
        <v/>
      </c>
      <c r="O898" s="21">
        <f>IF($C898="","",IF($P898="Aberto",N($H898)*$N898,0))</f>
        <v/>
      </c>
      <c r="P898" s="18">
        <f>IF($C898="","",IF($G898="Ganho","Ganho",IF($G898="Perdido","Perdido","Aberto")))</f>
        <v/>
      </c>
      <c r="Q898" s="18">
        <f>IF(OR($C898="",$P898&lt;&gt;"Aberto"),"",IF($I898="",Hoje-$B898,Hoje-$I898))</f>
        <v/>
      </c>
      <c r="R898" s="22">
        <f>IF(OR($C898="",$P898&lt;&gt;"Aberto"),"",IF($J898="",IF($Q898&gt;DiasSC,"ATRASADO","Definir data"),IF($J898&lt;Hoje,"ATRASADO",IF($J898=Hoje,"HOJE","Em dia"))))</f>
        <v/>
      </c>
      <c r="S898" s="23">
        <f>IF($R898="","",IF(OR($R898="ATRASADO",$R898="HOJE",$R898="Definir data"),COUNTIF($R$5:$R898,"ATRASADO")+COUNTIF($R$5:$R898,"HOJE")+COUNTIF($R$5:$R898,"Definir data"),""))</f>
        <v/>
      </c>
      <c r="T898" s="18">
        <f>IF($C898="","",IF(OR($B898="",$E898="",$F898="",$G898=""),"Preencher entrada/origem/vendedor/etapa",IF(AND(OR($P898="Ganho",$P898="Perdido"),$K898=""),"Falta data de fechamento",IF(AND($P898="Perdido",$L898=""),"Informe o motivo da perda","OK"))))</f>
        <v/>
      </c>
    </row>
    <row r="899" spans="1:20">
      <c r="A899" s="18">
        <f>IF($C899="","",ROW()-4)</f>
        <v/>
      </c>
      <c r="B899" s="19"/>
      <c r="C899" s="13"/>
      <c r="D899" s="13"/>
      <c r="E899" s="13"/>
      <c r="F899" s="13"/>
      <c r="G899" s="13"/>
      <c r="H899" s="15"/>
      <c r="I899" s="19"/>
      <c r="J899" s="19"/>
      <c r="K899" s="19"/>
      <c r="L899" s="13"/>
      <c r="M899" s="13"/>
      <c r="N899" s="20">
        <f>IF($C899="","",IFERROR(INDEX(EtapaProb,MATCH($G899,Etapas,0)),0))</f>
        <v/>
      </c>
      <c r="O899" s="21">
        <f>IF($C899="","",IF($P899="Aberto",N($H899)*$N899,0))</f>
        <v/>
      </c>
      <c r="P899" s="18">
        <f>IF($C899="","",IF($G899="Ganho","Ganho",IF($G899="Perdido","Perdido","Aberto")))</f>
        <v/>
      </c>
      <c r="Q899" s="18">
        <f>IF(OR($C899="",$P899&lt;&gt;"Aberto"),"",IF($I899="",Hoje-$B899,Hoje-$I899))</f>
        <v/>
      </c>
      <c r="R899" s="22">
        <f>IF(OR($C899="",$P899&lt;&gt;"Aberto"),"",IF($J899="",IF($Q899&gt;DiasSC,"ATRASADO","Definir data"),IF($J899&lt;Hoje,"ATRASADO",IF($J899=Hoje,"HOJE","Em dia"))))</f>
        <v/>
      </c>
      <c r="S899" s="23">
        <f>IF($R899="","",IF(OR($R899="ATRASADO",$R899="HOJE",$R899="Definir data"),COUNTIF($R$5:$R899,"ATRASADO")+COUNTIF($R$5:$R899,"HOJE")+COUNTIF($R$5:$R899,"Definir data"),""))</f>
        <v/>
      </c>
      <c r="T899" s="18">
        <f>IF($C899="","",IF(OR($B899="",$E899="",$F899="",$G899=""),"Preencher entrada/origem/vendedor/etapa",IF(AND(OR($P899="Ganho",$P899="Perdido"),$K899=""),"Falta data de fechamento",IF(AND($P899="Perdido",$L899=""),"Informe o motivo da perda","OK"))))</f>
        <v/>
      </c>
    </row>
    <row r="900" spans="1:20">
      <c r="A900" s="18">
        <f>IF($C900="","",ROW()-4)</f>
        <v/>
      </c>
      <c r="B900" s="19"/>
      <c r="C900" s="13"/>
      <c r="D900" s="13"/>
      <c r="E900" s="13"/>
      <c r="F900" s="13"/>
      <c r="G900" s="13"/>
      <c r="H900" s="15"/>
      <c r="I900" s="19"/>
      <c r="J900" s="19"/>
      <c r="K900" s="19"/>
      <c r="L900" s="13"/>
      <c r="M900" s="13"/>
      <c r="N900" s="20">
        <f>IF($C900="","",IFERROR(INDEX(EtapaProb,MATCH($G900,Etapas,0)),0))</f>
        <v/>
      </c>
      <c r="O900" s="21">
        <f>IF($C900="","",IF($P900="Aberto",N($H900)*$N900,0))</f>
        <v/>
      </c>
      <c r="P900" s="18">
        <f>IF($C900="","",IF($G900="Ganho","Ganho",IF($G900="Perdido","Perdido","Aberto")))</f>
        <v/>
      </c>
      <c r="Q900" s="18">
        <f>IF(OR($C900="",$P900&lt;&gt;"Aberto"),"",IF($I900="",Hoje-$B900,Hoje-$I900))</f>
        <v/>
      </c>
      <c r="R900" s="22">
        <f>IF(OR($C900="",$P900&lt;&gt;"Aberto"),"",IF($J900="",IF($Q900&gt;DiasSC,"ATRASADO","Definir data"),IF($J900&lt;Hoje,"ATRASADO",IF($J900=Hoje,"HOJE","Em dia"))))</f>
        <v/>
      </c>
      <c r="S900" s="23">
        <f>IF($R900="","",IF(OR($R900="ATRASADO",$R900="HOJE",$R900="Definir data"),COUNTIF($R$5:$R900,"ATRASADO")+COUNTIF($R$5:$R900,"HOJE")+COUNTIF($R$5:$R900,"Definir data"),""))</f>
        <v/>
      </c>
      <c r="T900" s="18">
        <f>IF($C900="","",IF(OR($B900="",$E900="",$F900="",$G900=""),"Preencher entrada/origem/vendedor/etapa",IF(AND(OR($P900="Ganho",$P900="Perdido"),$K900=""),"Falta data de fechamento",IF(AND($P900="Perdido",$L900=""),"Informe o motivo da perda","OK"))))</f>
        <v/>
      </c>
    </row>
    <row r="901" spans="1:20">
      <c r="A901" s="18">
        <f>IF($C901="","",ROW()-4)</f>
        <v/>
      </c>
      <c r="B901" s="19"/>
      <c r="C901" s="13"/>
      <c r="D901" s="13"/>
      <c r="E901" s="13"/>
      <c r="F901" s="13"/>
      <c r="G901" s="13"/>
      <c r="H901" s="15"/>
      <c r="I901" s="19"/>
      <c r="J901" s="19"/>
      <c r="K901" s="19"/>
      <c r="L901" s="13"/>
      <c r="M901" s="13"/>
      <c r="N901" s="20">
        <f>IF($C901="","",IFERROR(INDEX(EtapaProb,MATCH($G901,Etapas,0)),0))</f>
        <v/>
      </c>
      <c r="O901" s="21">
        <f>IF($C901="","",IF($P901="Aberto",N($H901)*$N901,0))</f>
        <v/>
      </c>
      <c r="P901" s="18">
        <f>IF($C901="","",IF($G901="Ganho","Ganho",IF($G901="Perdido","Perdido","Aberto")))</f>
        <v/>
      </c>
      <c r="Q901" s="18">
        <f>IF(OR($C901="",$P901&lt;&gt;"Aberto"),"",IF($I901="",Hoje-$B901,Hoje-$I901))</f>
        <v/>
      </c>
      <c r="R901" s="22">
        <f>IF(OR($C901="",$P901&lt;&gt;"Aberto"),"",IF($J901="",IF($Q901&gt;DiasSC,"ATRASADO","Definir data"),IF($J901&lt;Hoje,"ATRASADO",IF($J901=Hoje,"HOJE","Em dia"))))</f>
        <v/>
      </c>
      <c r="S901" s="23">
        <f>IF($R901="","",IF(OR($R901="ATRASADO",$R901="HOJE",$R901="Definir data"),COUNTIF($R$5:$R901,"ATRASADO")+COUNTIF($R$5:$R901,"HOJE")+COUNTIF($R$5:$R901,"Definir data"),""))</f>
        <v/>
      </c>
      <c r="T901" s="18">
        <f>IF($C901="","",IF(OR($B901="",$E901="",$F901="",$G901=""),"Preencher entrada/origem/vendedor/etapa",IF(AND(OR($P901="Ganho",$P901="Perdido"),$K901=""),"Falta data de fechamento",IF(AND($P901="Perdido",$L901=""),"Informe o motivo da perda","OK"))))</f>
        <v/>
      </c>
    </row>
    <row r="902" spans="1:20">
      <c r="A902" s="18">
        <f>IF($C902="","",ROW()-4)</f>
        <v/>
      </c>
      <c r="B902" s="19"/>
      <c r="C902" s="13"/>
      <c r="D902" s="13"/>
      <c r="E902" s="13"/>
      <c r="F902" s="13"/>
      <c r="G902" s="13"/>
      <c r="H902" s="15"/>
      <c r="I902" s="19"/>
      <c r="J902" s="19"/>
      <c r="K902" s="19"/>
      <c r="L902" s="13"/>
      <c r="M902" s="13"/>
      <c r="N902" s="20">
        <f>IF($C902="","",IFERROR(INDEX(EtapaProb,MATCH($G902,Etapas,0)),0))</f>
        <v/>
      </c>
      <c r="O902" s="21">
        <f>IF($C902="","",IF($P902="Aberto",N($H902)*$N902,0))</f>
        <v/>
      </c>
      <c r="P902" s="18">
        <f>IF($C902="","",IF($G902="Ganho","Ganho",IF($G902="Perdido","Perdido","Aberto")))</f>
        <v/>
      </c>
      <c r="Q902" s="18">
        <f>IF(OR($C902="",$P902&lt;&gt;"Aberto"),"",IF($I902="",Hoje-$B902,Hoje-$I902))</f>
        <v/>
      </c>
      <c r="R902" s="22">
        <f>IF(OR($C902="",$P902&lt;&gt;"Aberto"),"",IF($J902="",IF($Q902&gt;DiasSC,"ATRASADO","Definir data"),IF($J902&lt;Hoje,"ATRASADO",IF($J902=Hoje,"HOJE","Em dia"))))</f>
        <v/>
      </c>
      <c r="S902" s="23">
        <f>IF($R902="","",IF(OR($R902="ATRASADO",$R902="HOJE",$R902="Definir data"),COUNTIF($R$5:$R902,"ATRASADO")+COUNTIF($R$5:$R902,"HOJE")+COUNTIF($R$5:$R902,"Definir data"),""))</f>
        <v/>
      </c>
      <c r="T902" s="18">
        <f>IF($C902="","",IF(OR($B902="",$E902="",$F902="",$G902=""),"Preencher entrada/origem/vendedor/etapa",IF(AND(OR($P902="Ganho",$P902="Perdido"),$K902=""),"Falta data de fechamento",IF(AND($P902="Perdido",$L902=""),"Informe o motivo da perda","OK"))))</f>
        <v/>
      </c>
    </row>
    <row r="903" spans="1:20">
      <c r="A903" s="18">
        <f>IF($C903="","",ROW()-4)</f>
        <v/>
      </c>
      <c r="B903" s="19"/>
      <c r="C903" s="13"/>
      <c r="D903" s="13"/>
      <c r="E903" s="13"/>
      <c r="F903" s="13"/>
      <c r="G903" s="13"/>
      <c r="H903" s="15"/>
      <c r="I903" s="19"/>
      <c r="J903" s="19"/>
      <c r="K903" s="19"/>
      <c r="L903" s="13"/>
      <c r="M903" s="13"/>
      <c r="N903" s="20">
        <f>IF($C903="","",IFERROR(INDEX(EtapaProb,MATCH($G903,Etapas,0)),0))</f>
        <v/>
      </c>
      <c r="O903" s="21">
        <f>IF($C903="","",IF($P903="Aberto",N($H903)*$N903,0))</f>
        <v/>
      </c>
      <c r="P903" s="18">
        <f>IF($C903="","",IF($G903="Ganho","Ganho",IF($G903="Perdido","Perdido","Aberto")))</f>
        <v/>
      </c>
      <c r="Q903" s="18">
        <f>IF(OR($C903="",$P903&lt;&gt;"Aberto"),"",IF($I903="",Hoje-$B903,Hoje-$I903))</f>
        <v/>
      </c>
      <c r="R903" s="22">
        <f>IF(OR($C903="",$P903&lt;&gt;"Aberto"),"",IF($J903="",IF($Q903&gt;DiasSC,"ATRASADO","Definir data"),IF($J903&lt;Hoje,"ATRASADO",IF($J903=Hoje,"HOJE","Em dia"))))</f>
        <v/>
      </c>
      <c r="S903" s="23">
        <f>IF($R903="","",IF(OR($R903="ATRASADO",$R903="HOJE",$R903="Definir data"),COUNTIF($R$5:$R903,"ATRASADO")+COUNTIF($R$5:$R903,"HOJE")+COUNTIF($R$5:$R903,"Definir data"),""))</f>
        <v/>
      </c>
      <c r="T903" s="18">
        <f>IF($C903="","",IF(OR($B903="",$E903="",$F903="",$G903=""),"Preencher entrada/origem/vendedor/etapa",IF(AND(OR($P903="Ganho",$P903="Perdido"),$K903=""),"Falta data de fechamento",IF(AND($P903="Perdido",$L903=""),"Informe o motivo da perda","OK"))))</f>
        <v/>
      </c>
    </row>
    <row r="904" spans="1:20">
      <c r="A904" s="18">
        <f>IF($C904="","",ROW()-4)</f>
        <v/>
      </c>
      <c r="B904" s="19"/>
      <c r="C904" s="13"/>
      <c r="D904" s="13"/>
      <c r="E904" s="13"/>
      <c r="F904" s="13"/>
      <c r="G904" s="13"/>
      <c r="H904" s="15"/>
      <c r="I904" s="19"/>
      <c r="J904" s="19"/>
      <c r="K904" s="19"/>
      <c r="L904" s="13"/>
      <c r="M904" s="13"/>
      <c r="N904" s="20">
        <f>IF($C904="","",IFERROR(INDEX(EtapaProb,MATCH($G904,Etapas,0)),0))</f>
        <v/>
      </c>
      <c r="O904" s="21">
        <f>IF($C904="","",IF($P904="Aberto",N($H904)*$N904,0))</f>
        <v/>
      </c>
      <c r="P904" s="18">
        <f>IF($C904="","",IF($G904="Ganho","Ganho",IF($G904="Perdido","Perdido","Aberto")))</f>
        <v/>
      </c>
      <c r="Q904" s="18">
        <f>IF(OR($C904="",$P904&lt;&gt;"Aberto"),"",IF($I904="",Hoje-$B904,Hoje-$I904))</f>
        <v/>
      </c>
      <c r="R904" s="22">
        <f>IF(OR($C904="",$P904&lt;&gt;"Aberto"),"",IF($J904="",IF($Q904&gt;DiasSC,"ATRASADO","Definir data"),IF($J904&lt;Hoje,"ATRASADO",IF($J904=Hoje,"HOJE","Em dia"))))</f>
        <v/>
      </c>
      <c r="S904" s="23">
        <f>IF($R904="","",IF(OR($R904="ATRASADO",$R904="HOJE",$R904="Definir data"),COUNTIF($R$5:$R904,"ATRASADO")+COUNTIF($R$5:$R904,"HOJE")+COUNTIF($R$5:$R904,"Definir data"),""))</f>
        <v/>
      </c>
      <c r="T904" s="18">
        <f>IF($C904="","",IF(OR($B904="",$E904="",$F904="",$G904=""),"Preencher entrada/origem/vendedor/etapa",IF(AND(OR($P904="Ganho",$P904="Perdido"),$K904=""),"Falta data de fechamento",IF(AND($P904="Perdido",$L904=""),"Informe o motivo da perda","OK"))))</f>
        <v/>
      </c>
    </row>
    <row r="905" spans="1:20">
      <c r="A905" s="18">
        <f>IF($C905="","",ROW()-4)</f>
        <v/>
      </c>
      <c r="B905" s="19"/>
      <c r="C905" s="13"/>
      <c r="D905" s="13"/>
      <c r="E905" s="13"/>
      <c r="F905" s="13"/>
      <c r="G905" s="13"/>
      <c r="H905" s="15"/>
      <c r="I905" s="19"/>
      <c r="J905" s="19"/>
      <c r="K905" s="19"/>
      <c r="L905" s="13"/>
      <c r="M905" s="13"/>
      <c r="N905" s="20">
        <f>IF($C905="","",IFERROR(INDEX(EtapaProb,MATCH($G905,Etapas,0)),0))</f>
        <v/>
      </c>
      <c r="O905" s="21">
        <f>IF($C905="","",IF($P905="Aberto",N($H905)*$N905,0))</f>
        <v/>
      </c>
      <c r="P905" s="18">
        <f>IF($C905="","",IF($G905="Ganho","Ganho",IF($G905="Perdido","Perdido","Aberto")))</f>
        <v/>
      </c>
      <c r="Q905" s="18">
        <f>IF(OR($C905="",$P905&lt;&gt;"Aberto"),"",IF($I905="",Hoje-$B905,Hoje-$I905))</f>
        <v/>
      </c>
      <c r="R905" s="22">
        <f>IF(OR($C905="",$P905&lt;&gt;"Aberto"),"",IF($J905="",IF($Q905&gt;DiasSC,"ATRASADO","Definir data"),IF($J905&lt;Hoje,"ATRASADO",IF($J905=Hoje,"HOJE","Em dia"))))</f>
        <v/>
      </c>
      <c r="S905" s="23">
        <f>IF($R905="","",IF(OR($R905="ATRASADO",$R905="HOJE",$R905="Definir data"),COUNTIF($R$5:$R905,"ATRASADO")+COUNTIF($R$5:$R905,"HOJE")+COUNTIF($R$5:$R905,"Definir data"),""))</f>
        <v/>
      </c>
      <c r="T905" s="18">
        <f>IF($C905="","",IF(OR($B905="",$E905="",$F905="",$G905=""),"Preencher entrada/origem/vendedor/etapa",IF(AND(OR($P905="Ganho",$P905="Perdido"),$K905=""),"Falta data de fechamento",IF(AND($P905="Perdido",$L905=""),"Informe o motivo da perda","OK"))))</f>
        <v/>
      </c>
    </row>
    <row r="906" spans="1:20">
      <c r="A906" s="18">
        <f>IF($C906="","",ROW()-4)</f>
        <v/>
      </c>
      <c r="B906" s="19"/>
      <c r="C906" s="13"/>
      <c r="D906" s="13"/>
      <c r="E906" s="13"/>
      <c r="F906" s="13"/>
      <c r="G906" s="13"/>
      <c r="H906" s="15"/>
      <c r="I906" s="19"/>
      <c r="J906" s="19"/>
      <c r="K906" s="19"/>
      <c r="L906" s="13"/>
      <c r="M906" s="13"/>
      <c r="N906" s="20">
        <f>IF($C906="","",IFERROR(INDEX(EtapaProb,MATCH($G906,Etapas,0)),0))</f>
        <v/>
      </c>
      <c r="O906" s="21">
        <f>IF($C906="","",IF($P906="Aberto",N($H906)*$N906,0))</f>
        <v/>
      </c>
      <c r="P906" s="18">
        <f>IF($C906="","",IF($G906="Ganho","Ganho",IF($G906="Perdido","Perdido","Aberto")))</f>
        <v/>
      </c>
      <c r="Q906" s="18">
        <f>IF(OR($C906="",$P906&lt;&gt;"Aberto"),"",IF($I906="",Hoje-$B906,Hoje-$I906))</f>
        <v/>
      </c>
      <c r="R906" s="22">
        <f>IF(OR($C906="",$P906&lt;&gt;"Aberto"),"",IF($J906="",IF($Q906&gt;DiasSC,"ATRASADO","Definir data"),IF($J906&lt;Hoje,"ATRASADO",IF($J906=Hoje,"HOJE","Em dia"))))</f>
        <v/>
      </c>
      <c r="S906" s="23">
        <f>IF($R906="","",IF(OR($R906="ATRASADO",$R906="HOJE",$R906="Definir data"),COUNTIF($R$5:$R906,"ATRASADO")+COUNTIF($R$5:$R906,"HOJE")+COUNTIF($R$5:$R906,"Definir data"),""))</f>
        <v/>
      </c>
      <c r="T906" s="18">
        <f>IF($C906="","",IF(OR($B906="",$E906="",$F906="",$G906=""),"Preencher entrada/origem/vendedor/etapa",IF(AND(OR($P906="Ganho",$P906="Perdido"),$K906=""),"Falta data de fechamento",IF(AND($P906="Perdido",$L906=""),"Informe o motivo da perda","OK"))))</f>
        <v/>
      </c>
    </row>
    <row r="907" spans="1:20">
      <c r="A907" s="18">
        <f>IF($C907="","",ROW()-4)</f>
        <v/>
      </c>
      <c r="B907" s="19"/>
      <c r="C907" s="13"/>
      <c r="D907" s="13"/>
      <c r="E907" s="13"/>
      <c r="F907" s="13"/>
      <c r="G907" s="13"/>
      <c r="H907" s="15"/>
      <c r="I907" s="19"/>
      <c r="J907" s="19"/>
      <c r="K907" s="19"/>
      <c r="L907" s="13"/>
      <c r="M907" s="13"/>
      <c r="N907" s="20">
        <f>IF($C907="","",IFERROR(INDEX(EtapaProb,MATCH($G907,Etapas,0)),0))</f>
        <v/>
      </c>
      <c r="O907" s="21">
        <f>IF($C907="","",IF($P907="Aberto",N($H907)*$N907,0))</f>
        <v/>
      </c>
      <c r="P907" s="18">
        <f>IF($C907="","",IF($G907="Ganho","Ganho",IF($G907="Perdido","Perdido","Aberto")))</f>
        <v/>
      </c>
      <c r="Q907" s="18">
        <f>IF(OR($C907="",$P907&lt;&gt;"Aberto"),"",IF($I907="",Hoje-$B907,Hoje-$I907))</f>
        <v/>
      </c>
      <c r="R907" s="22">
        <f>IF(OR($C907="",$P907&lt;&gt;"Aberto"),"",IF($J907="",IF($Q907&gt;DiasSC,"ATRASADO","Definir data"),IF($J907&lt;Hoje,"ATRASADO",IF($J907=Hoje,"HOJE","Em dia"))))</f>
        <v/>
      </c>
      <c r="S907" s="23">
        <f>IF($R907="","",IF(OR($R907="ATRASADO",$R907="HOJE",$R907="Definir data"),COUNTIF($R$5:$R907,"ATRASADO")+COUNTIF($R$5:$R907,"HOJE")+COUNTIF($R$5:$R907,"Definir data"),""))</f>
        <v/>
      </c>
      <c r="T907" s="18">
        <f>IF($C907="","",IF(OR($B907="",$E907="",$F907="",$G907=""),"Preencher entrada/origem/vendedor/etapa",IF(AND(OR($P907="Ganho",$P907="Perdido"),$K907=""),"Falta data de fechamento",IF(AND($P907="Perdido",$L907=""),"Informe o motivo da perda","OK"))))</f>
        <v/>
      </c>
    </row>
    <row r="908" spans="1:20">
      <c r="A908" s="18">
        <f>IF($C908="","",ROW()-4)</f>
        <v/>
      </c>
      <c r="B908" s="19"/>
      <c r="C908" s="13"/>
      <c r="D908" s="13"/>
      <c r="E908" s="13"/>
      <c r="F908" s="13"/>
      <c r="G908" s="13"/>
      <c r="H908" s="15"/>
      <c r="I908" s="19"/>
      <c r="J908" s="19"/>
      <c r="K908" s="19"/>
      <c r="L908" s="13"/>
      <c r="M908" s="13"/>
      <c r="N908" s="20">
        <f>IF($C908="","",IFERROR(INDEX(EtapaProb,MATCH($G908,Etapas,0)),0))</f>
        <v/>
      </c>
      <c r="O908" s="21">
        <f>IF($C908="","",IF($P908="Aberto",N($H908)*$N908,0))</f>
        <v/>
      </c>
      <c r="P908" s="18">
        <f>IF($C908="","",IF($G908="Ganho","Ganho",IF($G908="Perdido","Perdido","Aberto")))</f>
        <v/>
      </c>
      <c r="Q908" s="18">
        <f>IF(OR($C908="",$P908&lt;&gt;"Aberto"),"",IF($I908="",Hoje-$B908,Hoje-$I908))</f>
        <v/>
      </c>
      <c r="R908" s="22">
        <f>IF(OR($C908="",$P908&lt;&gt;"Aberto"),"",IF($J908="",IF($Q908&gt;DiasSC,"ATRASADO","Definir data"),IF($J908&lt;Hoje,"ATRASADO",IF($J908=Hoje,"HOJE","Em dia"))))</f>
        <v/>
      </c>
      <c r="S908" s="23">
        <f>IF($R908="","",IF(OR($R908="ATRASADO",$R908="HOJE",$R908="Definir data"),COUNTIF($R$5:$R908,"ATRASADO")+COUNTIF($R$5:$R908,"HOJE")+COUNTIF($R$5:$R908,"Definir data"),""))</f>
        <v/>
      </c>
      <c r="T908" s="18">
        <f>IF($C908="","",IF(OR($B908="",$E908="",$F908="",$G908=""),"Preencher entrada/origem/vendedor/etapa",IF(AND(OR($P908="Ganho",$P908="Perdido"),$K908=""),"Falta data de fechamento",IF(AND($P908="Perdido",$L908=""),"Informe o motivo da perda","OK"))))</f>
        <v/>
      </c>
    </row>
    <row r="909" spans="1:20">
      <c r="A909" s="18">
        <f>IF($C909="","",ROW()-4)</f>
        <v/>
      </c>
      <c r="B909" s="19"/>
      <c r="C909" s="13"/>
      <c r="D909" s="13"/>
      <c r="E909" s="13"/>
      <c r="F909" s="13"/>
      <c r="G909" s="13"/>
      <c r="H909" s="15"/>
      <c r="I909" s="19"/>
      <c r="J909" s="19"/>
      <c r="K909" s="19"/>
      <c r="L909" s="13"/>
      <c r="M909" s="13"/>
      <c r="N909" s="20">
        <f>IF($C909="","",IFERROR(INDEX(EtapaProb,MATCH($G909,Etapas,0)),0))</f>
        <v/>
      </c>
      <c r="O909" s="21">
        <f>IF($C909="","",IF($P909="Aberto",N($H909)*$N909,0))</f>
        <v/>
      </c>
      <c r="P909" s="18">
        <f>IF($C909="","",IF($G909="Ganho","Ganho",IF($G909="Perdido","Perdido","Aberto")))</f>
        <v/>
      </c>
      <c r="Q909" s="18">
        <f>IF(OR($C909="",$P909&lt;&gt;"Aberto"),"",IF($I909="",Hoje-$B909,Hoje-$I909))</f>
        <v/>
      </c>
      <c r="R909" s="22">
        <f>IF(OR($C909="",$P909&lt;&gt;"Aberto"),"",IF($J909="",IF($Q909&gt;DiasSC,"ATRASADO","Definir data"),IF($J909&lt;Hoje,"ATRASADO",IF($J909=Hoje,"HOJE","Em dia"))))</f>
        <v/>
      </c>
      <c r="S909" s="23">
        <f>IF($R909="","",IF(OR($R909="ATRASADO",$R909="HOJE",$R909="Definir data"),COUNTIF($R$5:$R909,"ATRASADO")+COUNTIF($R$5:$R909,"HOJE")+COUNTIF($R$5:$R909,"Definir data"),""))</f>
        <v/>
      </c>
      <c r="T909" s="18">
        <f>IF($C909="","",IF(OR($B909="",$E909="",$F909="",$G909=""),"Preencher entrada/origem/vendedor/etapa",IF(AND(OR($P909="Ganho",$P909="Perdido"),$K909=""),"Falta data de fechamento",IF(AND($P909="Perdido",$L909=""),"Informe o motivo da perda","OK"))))</f>
        <v/>
      </c>
    </row>
    <row r="910" spans="1:20">
      <c r="A910" s="18">
        <f>IF($C910="","",ROW()-4)</f>
        <v/>
      </c>
      <c r="B910" s="19"/>
      <c r="C910" s="13"/>
      <c r="D910" s="13"/>
      <c r="E910" s="13"/>
      <c r="F910" s="13"/>
      <c r="G910" s="13"/>
      <c r="H910" s="15"/>
      <c r="I910" s="19"/>
      <c r="J910" s="19"/>
      <c r="K910" s="19"/>
      <c r="L910" s="13"/>
      <c r="M910" s="13"/>
      <c r="N910" s="20">
        <f>IF($C910="","",IFERROR(INDEX(EtapaProb,MATCH($G910,Etapas,0)),0))</f>
        <v/>
      </c>
      <c r="O910" s="21">
        <f>IF($C910="","",IF($P910="Aberto",N($H910)*$N910,0))</f>
        <v/>
      </c>
      <c r="P910" s="18">
        <f>IF($C910="","",IF($G910="Ganho","Ganho",IF($G910="Perdido","Perdido","Aberto")))</f>
        <v/>
      </c>
      <c r="Q910" s="18">
        <f>IF(OR($C910="",$P910&lt;&gt;"Aberto"),"",IF($I910="",Hoje-$B910,Hoje-$I910))</f>
        <v/>
      </c>
      <c r="R910" s="22">
        <f>IF(OR($C910="",$P910&lt;&gt;"Aberto"),"",IF($J910="",IF($Q910&gt;DiasSC,"ATRASADO","Definir data"),IF($J910&lt;Hoje,"ATRASADO",IF($J910=Hoje,"HOJE","Em dia"))))</f>
        <v/>
      </c>
      <c r="S910" s="23">
        <f>IF($R910="","",IF(OR($R910="ATRASADO",$R910="HOJE",$R910="Definir data"),COUNTIF($R$5:$R910,"ATRASADO")+COUNTIF($R$5:$R910,"HOJE")+COUNTIF($R$5:$R910,"Definir data"),""))</f>
        <v/>
      </c>
      <c r="T910" s="18">
        <f>IF($C910="","",IF(OR($B910="",$E910="",$F910="",$G910=""),"Preencher entrada/origem/vendedor/etapa",IF(AND(OR($P910="Ganho",$P910="Perdido"),$K910=""),"Falta data de fechamento",IF(AND($P910="Perdido",$L910=""),"Informe o motivo da perda","OK"))))</f>
        <v/>
      </c>
    </row>
    <row r="911" spans="1:20">
      <c r="A911" s="18">
        <f>IF($C911="","",ROW()-4)</f>
        <v/>
      </c>
      <c r="B911" s="19"/>
      <c r="C911" s="13"/>
      <c r="D911" s="13"/>
      <c r="E911" s="13"/>
      <c r="F911" s="13"/>
      <c r="G911" s="13"/>
      <c r="H911" s="15"/>
      <c r="I911" s="19"/>
      <c r="J911" s="19"/>
      <c r="K911" s="19"/>
      <c r="L911" s="13"/>
      <c r="M911" s="13"/>
      <c r="N911" s="20">
        <f>IF($C911="","",IFERROR(INDEX(EtapaProb,MATCH($G911,Etapas,0)),0))</f>
        <v/>
      </c>
      <c r="O911" s="21">
        <f>IF($C911="","",IF($P911="Aberto",N($H911)*$N911,0))</f>
        <v/>
      </c>
      <c r="P911" s="18">
        <f>IF($C911="","",IF($G911="Ganho","Ganho",IF($G911="Perdido","Perdido","Aberto")))</f>
        <v/>
      </c>
      <c r="Q911" s="18">
        <f>IF(OR($C911="",$P911&lt;&gt;"Aberto"),"",IF($I911="",Hoje-$B911,Hoje-$I911))</f>
        <v/>
      </c>
      <c r="R911" s="22">
        <f>IF(OR($C911="",$P911&lt;&gt;"Aberto"),"",IF($J911="",IF($Q911&gt;DiasSC,"ATRASADO","Definir data"),IF($J911&lt;Hoje,"ATRASADO",IF($J911=Hoje,"HOJE","Em dia"))))</f>
        <v/>
      </c>
      <c r="S911" s="23">
        <f>IF($R911="","",IF(OR($R911="ATRASADO",$R911="HOJE",$R911="Definir data"),COUNTIF($R$5:$R911,"ATRASADO")+COUNTIF($R$5:$R911,"HOJE")+COUNTIF($R$5:$R911,"Definir data"),""))</f>
        <v/>
      </c>
      <c r="T911" s="18">
        <f>IF($C911="","",IF(OR($B911="",$E911="",$F911="",$G911=""),"Preencher entrada/origem/vendedor/etapa",IF(AND(OR($P911="Ganho",$P911="Perdido"),$K911=""),"Falta data de fechamento",IF(AND($P911="Perdido",$L911=""),"Informe o motivo da perda","OK"))))</f>
        <v/>
      </c>
    </row>
    <row r="912" spans="1:20">
      <c r="A912" s="18">
        <f>IF($C912="","",ROW()-4)</f>
        <v/>
      </c>
      <c r="B912" s="19"/>
      <c r="C912" s="13"/>
      <c r="D912" s="13"/>
      <c r="E912" s="13"/>
      <c r="F912" s="13"/>
      <c r="G912" s="13"/>
      <c r="H912" s="15"/>
      <c r="I912" s="19"/>
      <c r="J912" s="19"/>
      <c r="K912" s="19"/>
      <c r="L912" s="13"/>
      <c r="M912" s="13"/>
      <c r="N912" s="20">
        <f>IF($C912="","",IFERROR(INDEX(EtapaProb,MATCH($G912,Etapas,0)),0))</f>
        <v/>
      </c>
      <c r="O912" s="21">
        <f>IF($C912="","",IF($P912="Aberto",N($H912)*$N912,0))</f>
        <v/>
      </c>
      <c r="P912" s="18">
        <f>IF($C912="","",IF($G912="Ganho","Ganho",IF($G912="Perdido","Perdido","Aberto")))</f>
        <v/>
      </c>
      <c r="Q912" s="18">
        <f>IF(OR($C912="",$P912&lt;&gt;"Aberto"),"",IF($I912="",Hoje-$B912,Hoje-$I912))</f>
        <v/>
      </c>
      <c r="R912" s="22">
        <f>IF(OR($C912="",$P912&lt;&gt;"Aberto"),"",IF($J912="",IF($Q912&gt;DiasSC,"ATRASADO","Definir data"),IF($J912&lt;Hoje,"ATRASADO",IF($J912=Hoje,"HOJE","Em dia"))))</f>
        <v/>
      </c>
      <c r="S912" s="23">
        <f>IF($R912="","",IF(OR($R912="ATRASADO",$R912="HOJE",$R912="Definir data"),COUNTIF($R$5:$R912,"ATRASADO")+COUNTIF($R$5:$R912,"HOJE")+COUNTIF($R$5:$R912,"Definir data"),""))</f>
        <v/>
      </c>
      <c r="T912" s="18">
        <f>IF($C912="","",IF(OR($B912="",$E912="",$F912="",$G912=""),"Preencher entrada/origem/vendedor/etapa",IF(AND(OR($P912="Ganho",$P912="Perdido"),$K912=""),"Falta data de fechamento",IF(AND($P912="Perdido",$L912=""),"Informe o motivo da perda","OK"))))</f>
        <v/>
      </c>
    </row>
    <row r="913" spans="1:20">
      <c r="A913" s="18">
        <f>IF($C913="","",ROW()-4)</f>
        <v/>
      </c>
      <c r="B913" s="19"/>
      <c r="C913" s="13"/>
      <c r="D913" s="13"/>
      <c r="E913" s="13"/>
      <c r="F913" s="13"/>
      <c r="G913" s="13"/>
      <c r="H913" s="15"/>
      <c r="I913" s="19"/>
      <c r="J913" s="19"/>
      <c r="K913" s="19"/>
      <c r="L913" s="13"/>
      <c r="M913" s="13"/>
      <c r="N913" s="20">
        <f>IF($C913="","",IFERROR(INDEX(EtapaProb,MATCH($G913,Etapas,0)),0))</f>
        <v/>
      </c>
      <c r="O913" s="21">
        <f>IF($C913="","",IF($P913="Aberto",N($H913)*$N913,0))</f>
        <v/>
      </c>
      <c r="P913" s="18">
        <f>IF($C913="","",IF($G913="Ganho","Ganho",IF($G913="Perdido","Perdido","Aberto")))</f>
        <v/>
      </c>
      <c r="Q913" s="18">
        <f>IF(OR($C913="",$P913&lt;&gt;"Aberto"),"",IF($I913="",Hoje-$B913,Hoje-$I913))</f>
        <v/>
      </c>
      <c r="R913" s="22">
        <f>IF(OR($C913="",$P913&lt;&gt;"Aberto"),"",IF($J913="",IF($Q913&gt;DiasSC,"ATRASADO","Definir data"),IF($J913&lt;Hoje,"ATRASADO",IF($J913=Hoje,"HOJE","Em dia"))))</f>
        <v/>
      </c>
      <c r="S913" s="23">
        <f>IF($R913="","",IF(OR($R913="ATRASADO",$R913="HOJE",$R913="Definir data"),COUNTIF($R$5:$R913,"ATRASADO")+COUNTIF($R$5:$R913,"HOJE")+COUNTIF($R$5:$R913,"Definir data"),""))</f>
        <v/>
      </c>
      <c r="T913" s="18">
        <f>IF($C913="","",IF(OR($B913="",$E913="",$F913="",$G913=""),"Preencher entrada/origem/vendedor/etapa",IF(AND(OR($P913="Ganho",$P913="Perdido"),$K913=""),"Falta data de fechamento",IF(AND($P913="Perdido",$L913=""),"Informe o motivo da perda","OK"))))</f>
        <v/>
      </c>
    </row>
    <row r="914" spans="1:20">
      <c r="A914" s="18">
        <f>IF($C914="","",ROW()-4)</f>
        <v/>
      </c>
      <c r="B914" s="19"/>
      <c r="C914" s="13"/>
      <c r="D914" s="13"/>
      <c r="E914" s="13"/>
      <c r="F914" s="13"/>
      <c r="G914" s="13"/>
      <c r="H914" s="15"/>
      <c r="I914" s="19"/>
      <c r="J914" s="19"/>
      <c r="K914" s="19"/>
      <c r="L914" s="13"/>
      <c r="M914" s="13"/>
      <c r="N914" s="20">
        <f>IF($C914="","",IFERROR(INDEX(EtapaProb,MATCH($G914,Etapas,0)),0))</f>
        <v/>
      </c>
      <c r="O914" s="21">
        <f>IF($C914="","",IF($P914="Aberto",N($H914)*$N914,0))</f>
        <v/>
      </c>
      <c r="P914" s="18">
        <f>IF($C914="","",IF($G914="Ganho","Ganho",IF($G914="Perdido","Perdido","Aberto")))</f>
        <v/>
      </c>
      <c r="Q914" s="18">
        <f>IF(OR($C914="",$P914&lt;&gt;"Aberto"),"",IF($I914="",Hoje-$B914,Hoje-$I914))</f>
        <v/>
      </c>
      <c r="R914" s="22">
        <f>IF(OR($C914="",$P914&lt;&gt;"Aberto"),"",IF($J914="",IF($Q914&gt;DiasSC,"ATRASADO","Definir data"),IF($J914&lt;Hoje,"ATRASADO",IF($J914=Hoje,"HOJE","Em dia"))))</f>
        <v/>
      </c>
      <c r="S914" s="23">
        <f>IF($R914="","",IF(OR($R914="ATRASADO",$R914="HOJE",$R914="Definir data"),COUNTIF($R$5:$R914,"ATRASADO")+COUNTIF($R$5:$R914,"HOJE")+COUNTIF($R$5:$R914,"Definir data"),""))</f>
        <v/>
      </c>
      <c r="T914" s="18">
        <f>IF($C914="","",IF(OR($B914="",$E914="",$F914="",$G914=""),"Preencher entrada/origem/vendedor/etapa",IF(AND(OR($P914="Ganho",$P914="Perdido"),$K914=""),"Falta data de fechamento",IF(AND($P914="Perdido",$L914=""),"Informe o motivo da perda","OK"))))</f>
        <v/>
      </c>
    </row>
    <row r="915" spans="1:20">
      <c r="A915" s="18">
        <f>IF($C915="","",ROW()-4)</f>
        <v/>
      </c>
      <c r="B915" s="19"/>
      <c r="C915" s="13"/>
      <c r="D915" s="13"/>
      <c r="E915" s="13"/>
      <c r="F915" s="13"/>
      <c r="G915" s="13"/>
      <c r="H915" s="15"/>
      <c r="I915" s="19"/>
      <c r="J915" s="19"/>
      <c r="K915" s="19"/>
      <c r="L915" s="13"/>
      <c r="M915" s="13"/>
      <c r="N915" s="20">
        <f>IF($C915="","",IFERROR(INDEX(EtapaProb,MATCH($G915,Etapas,0)),0))</f>
        <v/>
      </c>
      <c r="O915" s="21">
        <f>IF($C915="","",IF($P915="Aberto",N($H915)*$N915,0))</f>
        <v/>
      </c>
      <c r="P915" s="18">
        <f>IF($C915="","",IF($G915="Ganho","Ganho",IF($G915="Perdido","Perdido","Aberto")))</f>
        <v/>
      </c>
      <c r="Q915" s="18">
        <f>IF(OR($C915="",$P915&lt;&gt;"Aberto"),"",IF($I915="",Hoje-$B915,Hoje-$I915))</f>
        <v/>
      </c>
      <c r="R915" s="22">
        <f>IF(OR($C915="",$P915&lt;&gt;"Aberto"),"",IF($J915="",IF($Q915&gt;DiasSC,"ATRASADO","Definir data"),IF($J915&lt;Hoje,"ATRASADO",IF($J915=Hoje,"HOJE","Em dia"))))</f>
        <v/>
      </c>
      <c r="S915" s="23">
        <f>IF($R915="","",IF(OR($R915="ATRASADO",$R915="HOJE",$R915="Definir data"),COUNTIF($R$5:$R915,"ATRASADO")+COUNTIF($R$5:$R915,"HOJE")+COUNTIF($R$5:$R915,"Definir data"),""))</f>
        <v/>
      </c>
      <c r="T915" s="18">
        <f>IF($C915="","",IF(OR($B915="",$E915="",$F915="",$G915=""),"Preencher entrada/origem/vendedor/etapa",IF(AND(OR($P915="Ganho",$P915="Perdido"),$K915=""),"Falta data de fechamento",IF(AND($P915="Perdido",$L915=""),"Informe o motivo da perda","OK"))))</f>
        <v/>
      </c>
    </row>
    <row r="916" spans="1:20">
      <c r="A916" s="18">
        <f>IF($C916="","",ROW()-4)</f>
        <v/>
      </c>
      <c r="B916" s="19"/>
      <c r="C916" s="13"/>
      <c r="D916" s="13"/>
      <c r="E916" s="13"/>
      <c r="F916" s="13"/>
      <c r="G916" s="13"/>
      <c r="H916" s="15"/>
      <c r="I916" s="19"/>
      <c r="J916" s="19"/>
      <c r="K916" s="19"/>
      <c r="L916" s="13"/>
      <c r="M916" s="13"/>
      <c r="N916" s="20">
        <f>IF($C916="","",IFERROR(INDEX(EtapaProb,MATCH($G916,Etapas,0)),0))</f>
        <v/>
      </c>
      <c r="O916" s="21">
        <f>IF($C916="","",IF($P916="Aberto",N($H916)*$N916,0))</f>
        <v/>
      </c>
      <c r="P916" s="18">
        <f>IF($C916="","",IF($G916="Ganho","Ganho",IF($G916="Perdido","Perdido","Aberto")))</f>
        <v/>
      </c>
      <c r="Q916" s="18">
        <f>IF(OR($C916="",$P916&lt;&gt;"Aberto"),"",IF($I916="",Hoje-$B916,Hoje-$I916))</f>
        <v/>
      </c>
      <c r="R916" s="22">
        <f>IF(OR($C916="",$P916&lt;&gt;"Aberto"),"",IF($J916="",IF($Q916&gt;DiasSC,"ATRASADO","Definir data"),IF($J916&lt;Hoje,"ATRASADO",IF($J916=Hoje,"HOJE","Em dia"))))</f>
        <v/>
      </c>
      <c r="S916" s="23">
        <f>IF($R916="","",IF(OR($R916="ATRASADO",$R916="HOJE",$R916="Definir data"),COUNTIF($R$5:$R916,"ATRASADO")+COUNTIF($R$5:$R916,"HOJE")+COUNTIF($R$5:$R916,"Definir data"),""))</f>
        <v/>
      </c>
      <c r="T916" s="18">
        <f>IF($C916="","",IF(OR($B916="",$E916="",$F916="",$G916=""),"Preencher entrada/origem/vendedor/etapa",IF(AND(OR($P916="Ganho",$P916="Perdido"),$K916=""),"Falta data de fechamento",IF(AND($P916="Perdido",$L916=""),"Informe o motivo da perda","OK"))))</f>
        <v/>
      </c>
    </row>
    <row r="917" spans="1:20">
      <c r="A917" s="18">
        <f>IF($C917="","",ROW()-4)</f>
        <v/>
      </c>
      <c r="B917" s="19"/>
      <c r="C917" s="13"/>
      <c r="D917" s="13"/>
      <c r="E917" s="13"/>
      <c r="F917" s="13"/>
      <c r="G917" s="13"/>
      <c r="H917" s="15"/>
      <c r="I917" s="19"/>
      <c r="J917" s="19"/>
      <c r="K917" s="19"/>
      <c r="L917" s="13"/>
      <c r="M917" s="13"/>
      <c r="N917" s="20">
        <f>IF($C917="","",IFERROR(INDEX(EtapaProb,MATCH($G917,Etapas,0)),0))</f>
        <v/>
      </c>
      <c r="O917" s="21">
        <f>IF($C917="","",IF($P917="Aberto",N($H917)*$N917,0))</f>
        <v/>
      </c>
      <c r="P917" s="18">
        <f>IF($C917="","",IF($G917="Ganho","Ganho",IF($G917="Perdido","Perdido","Aberto")))</f>
        <v/>
      </c>
      <c r="Q917" s="18">
        <f>IF(OR($C917="",$P917&lt;&gt;"Aberto"),"",IF($I917="",Hoje-$B917,Hoje-$I917))</f>
        <v/>
      </c>
      <c r="R917" s="22">
        <f>IF(OR($C917="",$P917&lt;&gt;"Aberto"),"",IF($J917="",IF($Q917&gt;DiasSC,"ATRASADO","Definir data"),IF($J917&lt;Hoje,"ATRASADO",IF($J917=Hoje,"HOJE","Em dia"))))</f>
        <v/>
      </c>
      <c r="S917" s="23">
        <f>IF($R917="","",IF(OR($R917="ATRASADO",$R917="HOJE",$R917="Definir data"),COUNTIF($R$5:$R917,"ATRASADO")+COUNTIF($R$5:$R917,"HOJE")+COUNTIF($R$5:$R917,"Definir data"),""))</f>
        <v/>
      </c>
      <c r="T917" s="18">
        <f>IF($C917="","",IF(OR($B917="",$E917="",$F917="",$G917=""),"Preencher entrada/origem/vendedor/etapa",IF(AND(OR($P917="Ganho",$P917="Perdido"),$K917=""),"Falta data de fechamento",IF(AND($P917="Perdido",$L917=""),"Informe o motivo da perda","OK"))))</f>
        <v/>
      </c>
    </row>
    <row r="918" spans="1:20">
      <c r="A918" s="18">
        <f>IF($C918="","",ROW()-4)</f>
        <v/>
      </c>
      <c r="B918" s="19"/>
      <c r="C918" s="13"/>
      <c r="D918" s="13"/>
      <c r="E918" s="13"/>
      <c r="F918" s="13"/>
      <c r="G918" s="13"/>
      <c r="H918" s="15"/>
      <c r="I918" s="19"/>
      <c r="J918" s="19"/>
      <c r="K918" s="19"/>
      <c r="L918" s="13"/>
      <c r="M918" s="13"/>
      <c r="N918" s="20">
        <f>IF($C918="","",IFERROR(INDEX(EtapaProb,MATCH($G918,Etapas,0)),0))</f>
        <v/>
      </c>
      <c r="O918" s="21">
        <f>IF($C918="","",IF($P918="Aberto",N($H918)*$N918,0))</f>
        <v/>
      </c>
      <c r="P918" s="18">
        <f>IF($C918="","",IF($G918="Ganho","Ganho",IF($G918="Perdido","Perdido","Aberto")))</f>
        <v/>
      </c>
      <c r="Q918" s="18">
        <f>IF(OR($C918="",$P918&lt;&gt;"Aberto"),"",IF($I918="",Hoje-$B918,Hoje-$I918))</f>
        <v/>
      </c>
      <c r="R918" s="22">
        <f>IF(OR($C918="",$P918&lt;&gt;"Aberto"),"",IF($J918="",IF($Q918&gt;DiasSC,"ATRASADO","Definir data"),IF($J918&lt;Hoje,"ATRASADO",IF($J918=Hoje,"HOJE","Em dia"))))</f>
        <v/>
      </c>
      <c r="S918" s="23">
        <f>IF($R918="","",IF(OR($R918="ATRASADO",$R918="HOJE",$R918="Definir data"),COUNTIF($R$5:$R918,"ATRASADO")+COUNTIF($R$5:$R918,"HOJE")+COUNTIF($R$5:$R918,"Definir data"),""))</f>
        <v/>
      </c>
      <c r="T918" s="18">
        <f>IF($C918="","",IF(OR($B918="",$E918="",$F918="",$G918=""),"Preencher entrada/origem/vendedor/etapa",IF(AND(OR($P918="Ganho",$P918="Perdido"),$K918=""),"Falta data de fechamento",IF(AND($P918="Perdido",$L918=""),"Informe o motivo da perda","OK"))))</f>
        <v/>
      </c>
    </row>
    <row r="919" spans="1:20">
      <c r="A919" s="18">
        <f>IF($C919="","",ROW()-4)</f>
        <v/>
      </c>
      <c r="B919" s="19"/>
      <c r="C919" s="13"/>
      <c r="D919" s="13"/>
      <c r="E919" s="13"/>
      <c r="F919" s="13"/>
      <c r="G919" s="13"/>
      <c r="H919" s="15"/>
      <c r="I919" s="19"/>
      <c r="J919" s="19"/>
      <c r="K919" s="19"/>
      <c r="L919" s="13"/>
      <c r="M919" s="13"/>
      <c r="N919" s="20">
        <f>IF($C919="","",IFERROR(INDEX(EtapaProb,MATCH($G919,Etapas,0)),0))</f>
        <v/>
      </c>
      <c r="O919" s="21">
        <f>IF($C919="","",IF($P919="Aberto",N($H919)*$N919,0))</f>
        <v/>
      </c>
      <c r="P919" s="18">
        <f>IF($C919="","",IF($G919="Ganho","Ganho",IF($G919="Perdido","Perdido","Aberto")))</f>
        <v/>
      </c>
      <c r="Q919" s="18">
        <f>IF(OR($C919="",$P919&lt;&gt;"Aberto"),"",IF($I919="",Hoje-$B919,Hoje-$I919))</f>
        <v/>
      </c>
      <c r="R919" s="22">
        <f>IF(OR($C919="",$P919&lt;&gt;"Aberto"),"",IF($J919="",IF($Q919&gt;DiasSC,"ATRASADO","Definir data"),IF($J919&lt;Hoje,"ATRASADO",IF($J919=Hoje,"HOJE","Em dia"))))</f>
        <v/>
      </c>
      <c r="S919" s="23">
        <f>IF($R919="","",IF(OR($R919="ATRASADO",$R919="HOJE",$R919="Definir data"),COUNTIF($R$5:$R919,"ATRASADO")+COUNTIF($R$5:$R919,"HOJE")+COUNTIF($R$5:$R919,"Definir data"),""))</f>
        <v/>
      </c>
      <c r="T919" s="18">
        <f>IF($C919="","",IF(OR($B919="",$E919="",$F919="",$G919=""),"Preencher entrada/origem/vendedor/etapa",IF(AND(OR($P919="Ganho",$P919="Perdido"),$K919=""),"Falta data de fechamento",IF(AND($P919="Perdido",$L919=""),"Informe o motivo da perda","OK"))))</f>
        <v/>
      </c>
    </row>
    <row r="920" spans="1:20">
      <c r="A920" s="18">
        <f>IF($C920="","",ROW()-4)</f>
        <v/>
      </c>
      <c r="B920" s="19"/>
      <c r="C920" s="13"/>
      <c r="D920" s="13"/>
      <c r="E920" s="13"/>
      <c r="F920" s="13"/>
      <c r="G920" s="13"/>
      <c r="H920" s="15"/>
      <c r="I920" s="19"/>
      <c r="J920" s="19"/>
      <c r="K920" s="19"/>
      <c r="L920" s="13"/>
      <c r="M920" s="13"/>
      <c r="N920" s="20">
        <f>IF($C920="","",IFERROR(INDEX(EtapaProb,MATCH($G920,Etapas,0)),0))</f>
        <v/>
      </c>
      <c r="O920" s="21">
        <f>IF($C920="","",IF($P920="Aberto",N($H920)*$N920,0))</f>
        <v/>
      </c>
      <c r="P920" s="18">
        <f>IF($C920="","",IF($G920="Ganho","Ganho",IF($G920="Perdido","Perdido","Aberto")))</f>
        <v/>
      </c>
      <c r="Q920" s="18">
        <f>IF(OR($C920="",$P920&lt;&gt;"Aberto"),"",IF($I920="",Hoje-$B920,Hoje-$I920))</f>
        <v/>
      </c>
      <c r="R920" s="22">
        <f>IF(OR($C920="",$P920&lt;&gt;"Aberto"),"",IF($J920="",IF($Q920&gt;DiasSC,"ATRASADO","Definir data"),IF($J920&lt;Hoje,"ATRASADO",IF($J920=Hoje,"HOJE","Em dia"))))</f>
        <v/>
      </c>
      <c r="S920" s="23">
        <f>IF($R920="","",IF(OR($R920="ATRASADO",$R920="HOJE",$R920="Definir data"),COUNTIF($R$5:$R920,"ATRASADO")+COUNTIF($R$5:$R920,"HOJE")+COUNTIF($R$5:$R920,"Definir data"),""))</f>
        <v/>
      </c>
      <c r="T920" s="18">
        <f>IF($C920="","",IF(OR($B920="",$E920="",$F920="",$G920=""),"Preencher entrada/origem/vendedor/etapa",IF(AND(OR($P920="Ganho",$P920="Perdido"),$K920=""),"Falta data de fechamento",IF(AND($P920="Perdido",$L920=""),"Informe o motivo da perda","OK"))))</f>
        <v/>
      </c>
    </row>
    <row r="921" spans="1:20">
      <c r="A921" s="18">
        <f>IF($C921="","",ROW()-4)</f>
        <v/>
      </c>
      <c r="B921" s="19"/>
      <c r="C921" s="13"/>
      <c r="D921" s="13"/>
      <c r="E921" s="13"/>
      <c r="F921" s="13"/>
      <c r="G921" s="13"/>
      <c r="H921" s="15"/>
      <c r="I921" s="19"/>
      <c r="J921" s="19"/>
      <c r="K921" s="19"/>
      <c r="L921" s="13"/>
      <c r="M921" s="13"/>
      <c r="N921" s="20">
        <f>IF($C921="","",IFERROR(INDEX(EtapaProb,MATCH($G921,Etapas,0)),0))</f>
        <v/>
      </c>
      <c r="O921" s="21">
        <f>IF($C921="","",IF($P921="Aberto",N($H921)*$N921,0))</f>
        <v/>
      </c>
      <c r="P921" s="18">
        <f>IF($C921="","",IF($G921="Ganho","Ganho",IF($G921="Perdido","Perdido","Aberto")))</f>
        <v/>
      </c>
      <c r="Q921" s="18">
        <f>IF(OR($C921="",$P921&lt;&gt;"Aberto"),"",IF($I921="",Hoje-$B921,Hoje-$I921))</f>
        <v/>
      </c>
      <c r="R921" s="22">
        <f>IF(OR($C921="",$P921&lt;&gt;"Aberto"),"",IF($J921="",IF($Q921&gt;DiasSC,"ATRASADO","Definir data"),IF($J921&lt;Hoje,"ATRASADO",IF($J921=Hoje,"HOJE","Em dia"))))</f>
        <v/>
      </c>
      <c r="S921" s="23">
        <f>IF($R921="","",IF(OR($R921="ATRASADO",$R921="HOJE",$R921="Definir data"),COUNTIF($R$5:$R921,"ATRASADO")+COUNTIF($R$5:$R921,"HOJE")+COUNTIF($R$5:$R921,"Definir data"),""))</f>
        <v/>
      </c>
      <c r="T921" s="18">
        <f>IF($C921="","",IF(OR($B921="",$E921="",$F921="",$G921=""),"Preencher entrada/origem/vendedor/etapa",IF(AND(OR($P921="Ganho",$P921="Perdido"),$K921=""),"Falta data de fechamento",IF(AND($P921="Perdido",$L921=""),"Informe o motivo da perda","OK"))))</f>
        <v/>
      </c>
    </row>
    <row r="922" spans="1:20">
      <c r="A922" s="18">
        <f>IF($C922="","",ROW()-4)</f>
        <v/>
      </c>
      <c r="B922" s="19"/>
      <c r="C922" s="13"/>
      <c r="D922" s="13"/>
      <c r="E922" s="13"/>
      <c r="F922" s="13"/>
      <c r="G922" s="13"/>
      <c r="H922" s="15"/>
      <c r="I922" s="19"/>
      <c r="J922" s="19"/>
      <c r="K922" s="19"/>
      <c r="L922" s="13"/>
      <c r="M922" s="13"/>
      <c r="N922" s="20">
        <f>IF($C922="","",IFERROR(INDEX(EtapaProb,MATCH($G922,Etapas,0)),0))</f>
        <v/>
      </c>
      <c r="O922" s="21">
        <f>IF($C922="","",IF($P922="Aberto",N($H922)*$N922,0))</f>
        <v/>
      </c>
      <c r="P922" s="18">
        <f>IF($C922="","",IF($G922="Ganho","Ganho",IF($G922="Perdido","Perdido","Aberto")))</f>
        <v/>
      </c>
      <c r="Q922" s="18">
        <f>IF(OR($C922="",$P922&lt;&gt;"Aberto"),"",IF($I922="",Hoje-$B922,Hoje-$I922))</f>
        <v/>
      </c>
      <c r="R922" s="22">
        <f>IF(OR($C922="",$P922&lt;&gt;"Aberto"),"",IF($J922="",IF($Q922&gt;DiasSC,"ATRASADO","Definir data"),IF($J922&lt;Hoje,"ATRASADO",IF($J922=Hoje,"HOJE","Em dia"))))</f>
        <v/>
      </c>
      <c r="S922" s="23">
        <f>IF($R922="","",IF(OR($R922="ATRASADO",$R922="HOJE",$R922="Definir data"),COUNTIF($R$5:$R922,"ATRASADO")+COUNTIF($R$5:$R922,"HOJE")+COUNTIF($R$5:$R922,"Definir data"),""))</f>
        <v/>
      </c>
      <c r="T922" s="18">
        <f>IF($C922="","",IF(OR($B922="",$E922="",$F922="",$G922=""),"Preencher entrada/origem/vendedor/etapa",IF(AND(OR($P922="Ganho",$P922="Perdido"),$K922=""),"Falta data de fechamento",IF(AND($P922="Perdido",$L922=""),"Informe o motivo da perda","OK"))))</f>
        <v/>
      </c>
    </row>
    <row r="923" spans="1:20">
      <c r="A923" s="18">
        <f>IF($C923="","",ROW()-4)</f>
        <v/>
      </c>
      <c r="B923" s="19"/>
      <c r="C923" s="13"/>
      <c r="D923" s="13"/>
      <c r="E923" s="13"/>
      <c r="F923" s="13"/>
      <c r="G923" s="13"/>
      <c r="H923" s="15"/>
      <c r="I923" s="19"/>
      <c r="J923" s="19"/>
      <c r="K923" s="19"/>
      <c r="L923" s="13"/>
      <c r="M923" s="13"/>
      <c r="N923" s="20">
        <f>IF($C923="","",IFERROR(INDEX(EtapaProb,MATCH($G923,Etapas,0)),0))</f>
        <v/>
      </c>
      <c r="O923" s="21">
        <f>IF($C923="","",IF($P923="Aberto",N($H923)*$N923,0))</f>
        <v/>
      </c>
      <c r="P923" s="18">
        <f>IF($C923="","",IF($G923="Ganho","Ganho",IF($G923="Perdido","Perdido","Aberto")))</f>
        <v/>
      </c>
      <c r="Q923" s="18">
        <f>IF(OR($C923="",$P923&lt;&gt;"Aberto"),"",IF($I923="",Hoje-$B923,Hoje-$I923))</f>
        <v/>
      </c>
      <c r="R923" s="22">
        <f>IF(OR($C923="",$P923&lt;&gt;"Aberto"),"",IF($J923="",IF($Q923&gt;DiasSC,"ATRASADO","Definir data"),IF($J923&lt;Hoje,"ATRASADO",IF($J923=Hoje,"HOJE","Em dia"))))</f>
        <v/>
      </c>
      <c r="S923" s="23">
        <f>IF($R923="","",IF(OR($R923="ATRASADO",$R923="HOJE",$R923="Definir data"),COUNTIF($R$5:$R923,"ATRASADO")+COUNTIF($R$5:$R923,"HOJE")+COUNTIF($R$5:$R923,"Definir data"),""))</f>
        <v/>
      </c>
      <c r="T923" s="18">
        <f>IF($C923="","",IF(OR($B923="",$E923="",$F923="",$G923=""),"Preencher entrada/origem/vendedor/etapa",IF(AND(OR($P923="Ganho",$P923="Perdido"),$K923=""),"Falta data de fechamento",IF(AND($P923="Perdido",$L923=""),"Informe o motivo da perda","OK"))))</f>
        <v/>
      </c>
    </row>
    <row r="924" spans="1:20">
      <c r="A924" s="18">
        <f>IF($C924="","",ROW()-4)</f>
        <v/>
      </c>
      <c r="B924" s="19"/>
      <c r="C924" s="13"/>
      <c r="D924" s="13"/>
      <c r="E924" s="13"/>
      <c r="F924" s="13"/>
      <c r="G924" s="13"/>
      <c r="H924" s="15"/>
      <c r="I924" s="19"/>
      <c r="J924" s="19"/>
      <c r="K924" s="19"/>
      <c r="L924" s="13"/>
      <c r="M924" s="13"/>
      <c r="N924" s="20">
        <f>IF($C924="","",IFERROR(INDEX(EtapaProb,MATCH($G924,Etapas,0)),0))</f>
        <v/>
      </c>
      <c r="O924" s="21">
        <f>IF($C924="","",IF($P924="Aberto",N($H924)*$N924,0))</f>
        <v/>
      </c>
      <c r="P924" s="18">
        <f>IF($C924="","",IF($G924="Ganho","Ganho",IF($G924="Perdido","Perdido","Aberto")))</f>
        <v/>
      </c>
      <c r="Q924" s="18">
        <f>IF(OR($C924="",$P924&lt;&gt;"Aberto"),"",IF($I924="",Hoje-$B924,Hoje-$I924))</f>
        <v/>
      </c>
      <c r="R924" s="22">
        <f>IF(OR($C924="",$P924&lt;&gt;"Aberto"),"",IF($J924="",IF($Q924&gt;DiasSC,"ATRASADO","Definir data"),IF($J924&lt;Hoje,"ATRASADO",IF($J924=Hoje,"HOJE","Em dia"))))</f>
        <v/>
      </c>
      <c r="S924" s="23">
        <f>IF($R924="","",IF(OR($R924="ATRASADO",$R924="HOJE",$R924="Definir data"),COUNTIF($R$5:$R924,"ATRASADO")+COUNTIF($R$5:$R924,"HOJE")+COUNTIF($R$5:$R924,"Definir data"),""))</f>
        <v/>
      </c>
      <c r="T924" s="18">
        <f>IF($C924="","",IF(OR($B924="",$E924="",$F924="",$G924=""),"Preencher entrada/origem/vendedor/etapa",IF(AND(OR($P924="Ganho",$P924="Perdido"),$K924=""),"Falta data de fechamento",IF(AND($P924="Perdido",$L924=""),"Informe o motivo da perda","OK"))))</f>
        <v/>
      </c>
    </row>
    <row r="925" spans="1:20">
      <c r="A925" s="18">
        <f>IF($C925="","",ROW()-4)</f>
        <v/>
      </c>
      <c r="B925" s="19"/>
      <c r="C925" s="13"/>
      <c r="D925" s="13"/>
      <c r="E925" s="13"/>
      <c r="F925" s="13"/>
      <c r="G925" s="13"/>
      <c r="H925" s="15"/>
      <c r="I925" s="19"/>
      <c r="J925" s="19"/>
      <c r="K925" s="19"/>
      <c r="L925" s="13"/>
      <c r="M925" s="13"/>
      <c r="N925" s="20">
        <f>IF($C925="","",IFERROR(INDEX(EtapaProb,MATCH($G925,Etapas,0)),0))</f>
        <v/>
      </c>
      <c r="O925" s="21">
        <f>IF($C925="","",IF($P925="Aberto",N($H925)*$N925,0))</f>
        <v/>
      </c>
      <c r="P925" s="18">
        <f>IF($C925="","",IF($G925="Ganho","Ganho",IF($G925="Perdido","Perdido","Aberto")))</f>
        <v/>
      </c>
      <c r="Q925" s="18">
        <f>IF(OR($C925="",$P925&lt;&gt;"Aberto"),"",IF($I925="",Hoje-$B925,Hoje-$I925))</f>
        <v/>
      </c>
      <c r="R925" s="22">
        <f>IF(OR($C925="",$P925&lt;&gt;"Aberto"),"",IF($J925="",IF($Q925&gt;DiasSC,"ATRASADO","Definir data"),IF($J925&lt;Hoje,"ATRASADO",IF($J925=Hoje,"HOJE","Em dia"))))</f>
        <v/>
      </c>
      <c r="S925" s="23">
        <f>IF($R925="","",IF(OR($R925="ATRASADO",$R925="HOJE",$R925="Definir data"),COUNTIF($R$5:$R925,"ATRASADO")+COUNTIF($R$5:$R925,"HOJE")+COUNTIF($R$5:$R925,"Definir data"),""))</f>
        <v/>
      </c>
      <c r="T925" s="18">
        <f>IF($C925="","",IF(OR($B925="",$E925="",$F925="",$G925=""),"Preencher entrada/origem/vendedor/etapa",IF(AND(OR($P925="Ganho",$P925="Perdido"),$K925=""),"Falta data de fechamento",IF(AND($P925="Perdido",$L925=""),"Informe o motivo da perda","OK"))))</f>
        <v/>
      </c>
    </row>
    <row r="926" spans="1:20">
      <c r="A926" s="18">
        <f>IF($C926="","",ROW()-4)</f>
        <v/>
      </c>
      <c r="B926" s="19"/>
      <c r="C926" s="13"/>
      <c r="D926" s="13"/>
      <c r="E926" s="13"/>
      <c r="F926" s="13"/>
      <c r="G926" s="13"/>
      <c r="H926" s="15"/>
      <c r="I926" s="19"/>
      <c r="J926" s="19"/>
      <c r="K926" s="19"/>
      <c r="L926" s="13"/>
      <c r="M926" s="13"/>
      <c r="N926" s="20">
        <f>IF($C926="","",IFERROR(INDEX(EtapaProb,MATCH($G926,Etapas,0)),0))</f>
        <v/>
      </c>
      <c r="O926" s="21">
        <f>IF($C926="","",IF($P926="Aberto",N($H926)*$N926,0))</f>
        <v/>
      </c>
      <c r="P926" s="18">
        <f>IF($C926="","",IF($G926="Ganho","Ganho",IF($G926="Perdido","Perdido","Aberto")))</f>
        <v/>
      </c>
      <c r="Q926" s="18">
        <f>IF(OR($C926="",$P926&lt;&gt;"Aberto"),"",IF($I926="",Hoje-$B926,Hoje-$I926))</f>
        <v/>
      </c>
      <c r="R926" s="22">
        <f>IF(OR($C926="",$P926&lt;&gt;"Aberto"),"",IF($J926="",IF($Q926&gt;DiasSC,"ATRASADO","Definir data"),IF($J926&lt;Hoje,"ATRASADO",IF($J926=Hoje,"HOJE","Em dia"))))</f>
        <v/>
      </c>
      <c r="S926" s="23">
        <f>IF($R926="","",IF(OR($R926="ATRASADO",$R926="HOJE",$R926="Definir data"),COUNTIF($R$5:$R926,"ATRASADO")+COUNTIF($R$5:$R926,"HOJE")+COUNTIF($R$5:$R926,"Definir data"),""))</f>
        <v/>
      </c>
      <c r="T926" s="18">
        <f>IF($C926="","",IF(OR($B926="",$E926="",$F926="",$G926=""),"Preencher entrada/origem/vendedor/etapa",IF(AND(OR($P926="Ganho",$P926="Perdido"),$K926=""),"Falta data de fechamento",IF(AND($P926="Perdido",$L926=""),"Informe o motivo da perda","OK"))))</f>
        <v/>
      </c>
    </row>
    <row r="927" spans="1:20">
      <c r="A927" s="18">
        <f>IF($C927="","",ROW()-4)</f>
        <v/>
      </c>
      <c r="B927" s="19"/>
      <c r="C927" s="13"/>
      <c r="D927" s="13"/>
      <c r="E927" s="13"/>
      <c r="F927" s="13"/>
      <c r="G927" s="13"/>
      <c r="H927" s="15"/>
      <c r="I927" s="19"/>
      <c r="J927" s="19"/>
      <c r="K927" s="19"/>
      <c r="L927" s="13"/>
      <c r="M927" s="13"/>
      <c r="N927" s="20">
        <f>IF($C927="","",IFERROR(INDEX(EtapaProb,MATCH($G927,Etapas,0)),0))</f>
        <v/>
      </c>
      <c r="O927" s="21">
        <f>IF($C927="","",IF($P927="Aberto",N($H927)*$N927,0))</f>
        <v/>
      </c>
      <c r="P927" s="18">
        <f>IF($C927="","",IF($G927="Ganho","Ganho",IF($G927="Perdido","Perdido","Aberto")))</f>
        <v/>
      </c>
      <c r="Q927" s="18">
        <f>IF(OR($C927="",$P927&lt;&gt;"Aberto"),"",IF($I927="",Hoje-$B927,Hoje-$I927))</f>
        <v/>
      </c>
      <c r="R927" s="22">
        <f>IF(OR($C927="",$P927&lt;&gt;"Aberto"),"",IF($J927="",IF($Q927&gt;DiasSC,"ATRASADO","Definir data"),IF($J927&lt;Hoje,"ATRASADO",IF($J927=Hoje,"HOJE","Em dia"))))</f>
        <v/>
      </c>
      <c r="S927" s="23">
        <f>IF($R927="","",IF(OR($R927="ATRASADO",$R927="HOJE",$R927="Definir data"),COUNTIF($R$5:$R927,"ATRASADO")+COUNTIF($R$5:$R927,"HOJE")+COUNTIF($R$5:$R927,"Definir data"),""))</f>
        <v/>
      </c>
      <c r="T927" s="18">
        <f>IF($C927="","",IF(OR($B927="",$E927="",$F927="",$G927=""),"Preencher entrada/origem/vendedor/etapa",IF(AND(OR($P927="Ganho",$P927="Perdido"),$K927=""),"Falta data de fechamento",IF(AND($P927="Perdido",$L927=""),"Informe o motivo da perda","OK"))))</f>
        <v/>
      </c>
    </row>
    <row r="928" spans="1:20">
      <c r="A928" s="18">
        <f>IF($C928="","",ROW()-4)</f>
        <v/>
      </c>
      <c r="B928" s="19"/>
      <c r="C928" s="13"/>
      <c r="D928" s="13"/>
      <c r="E928" s="13"/>
      <c r="F928" s="13"/>
      <c r="G928" s="13"/>
      <c r="H928" s="15"/>
      <c r="I928" s="19"/>
      <c r="J928" s="19"/>
      <c r="K928" s="19"/>
      <c r="L928" s="13"/>
      <c r="M928" s="13"/>
      <c r="N928" s="20">
        <f>IF($C928="","",IFERROR(INDEX(EtapaProb,MATCH($G928,Etapas,0)),0))</f>
        <v/>
      </c>
      <c r="O928" s="21">
        <f>IF($C928="","",IF($P928="Aberto",N($H928)*$N928,0))</f>
        <v/>
      </c>
      <c r="P928" s="18">
        <f>IF($C928="","",IF($G928="Ganho","Ganho",IF($G928="Perdido","Perdido","Aberto")))</f>
        <v/>
      </c>
      <c r="Q928" s="18">
        <f>IF(OR($C928="",$P928&lt;&gt;"Aberto"),"",IF($I928="",Hoje-$B928,Hoje-$I928))</f>
        <v/>
      </c>
      <c r="R928" s="22">
        <f>IF(OR($C928="",$P928&lt;&gt;"Aberto"),"",IF($J928="",IF($Q928&gt;DiasSC,"ATRASADO","Definir data"),IF($J928&lt;Hoje,"ATRASADO",IF($J928=Hoje,"HOJE","Em dia"))))</f>
        <v/>
      </c>
      <c r="S928" s="23">
        <f>IF($R928="","",IF(OR($R928="ATRASADO",$R928="HOJE",$R928="Definir data"),COUNTIF($R$5:$R928,"ATRASADO")+COUNTIF($R$5:$R928,"HOJE")+COUNTIF($R$5:$R928,"Definir data"),""))</f>
        <v/>
      </c>
      <c r="T928" s="18">
        <f>IF($C928="","",IF(OR($B928="",$E928="",$F928="",$G928=""),"Preencher entrada/origem/vendedor/etapa",IF(AND(OR($P928="Ganho",$P928="Perdido"),$K928=""),"Falta data de fechamento",IF(AND($P928="Perdido",$L928=""),"Informe o motivo da perda","OK"))))</f>
        <v/>
      </c>
    </row>
    <row r="929" spans="1:20">
      <c r="A929" s="18">
        <f>IF($C929="","",ROW()-4)</f>
        <v/>
      </c>
      <c r="B929" s="19"/>
      <c r="C929" s="13"/>
      <c r="D929" s="13"/>
      <c r="E929" s="13"/>
      <c r="F929" s="13"/>
      <c r="G929" s="13"/>
      <c r="H929" s="15"/>
      <c r="I929" s="19"/>
      <c r="J929" s="19"/>
      <c r="K929" s="19"/>
      <c r="L929" s="13"/>
      <c r="M929" s="13"/>
      <c r="N929" s="20">
        <f>IF($C929="","",IFERROR(INDEX(EtapaProb,MATCH($G929,Etapas,0)),0))</f>
        <v/>
      </c>
      <c r="O929" s="21">
        <f>IF($C929="","",IF($P929="Aberto",N($H929)*$N929,0))</f>
        <v/>
      </c>
      <c r="P929" s="18">
        <f>IF($C929="","",IF($G929="Ganho","Ganho",IF($G929="Perdido","Perdido","Aberto")))</f>
        <v/>
      </c>
      <c r="Q929" s="18">
        <f>IF(OR($C929="",$P929&lt;&gt;"Aberto"),"",IF($I929="",Hoje-$B929,Hoje-$I929))</f>
        <v/>
      </c>
      <c r="R929" s="22">
        <f>IF(OR($C929="",$P929&lt;&gt;"Aberto"),"",IF($J929="",IF($Q929&gt;DiasSC,"ATRASADO","Definir data"),IF($J929&lt;Hoje,"ATRASADO",IF($J929=Hoje,"HOJE","Em dia"))))</f>
        <v/>
      </c>
      <c r="S929" s="23">
        <f>IF($R929="","",IF(OR($R929="ATRASADO",$R929="HOJE",$R929="Definir data"),COUNTIF($R$5:$R929,"ATRASADO")+COUNTIF($R$5:$R929,"HOJE")+COUNTIF($R$5:$R929,"Definir data"),""))</f>
        <v/>
      </c>
      <c r="T929" s="18">
        <f>IF($C929="","",IF(OR($B929="",$E929="",$F929="",$G929=""),"Preencher entrada/origem/vendedor/etapa",IF(AND(OR($P929="Ganho",$P929="Perdido"),$K929=""),"Falta data de fechamento",IF(AND($P929="Perdido",$L929=""),"Informe o motivo da perda","OK"))))</f>
        <v/>
      </c>
    </row>
    <row r="930" spans="1:20">
      <c r="A930" s="18">
        <f>IF($C930="","",ROW()-4)</f>
        <v/>
      </c>
      <c r="B930" s="19"/>
      <c r="C930" s="13"/>
      <c r="D930" s="13"/>
      <c r="E930" s="13"/>
      <c r="F930" s="13"/>
      <c r="G930" s="13"/>
      <c r="H930" s="15"/>
      <c r="I930" s="19"/>
      <c r="J930" s="19"/>
      <c r="K930" s="19"/>
      <c r="L930" s="13"/>
      <c r="M930" s="13"/>
      <c r="N930" s="20">
        <f>IF($C930="","",IFERROR(INDEX(EtapaProb,MATCH($G930,Etapas,0)),0))</f>
        <v/>
      </c>
      <c r="O930" s="21">
        <f>IF($C930="","",IF($P930="Aberto",N($H930)*$N930,0))</f>
        <v/>
      </c>
      <c r="P930" s="18">
        <f>IF($C930="","",IF($G930="Ganho","Ganho",IF($G930="Perdido","Perdido","Aberto")))</f>
        <v/>
      </c>
      <c r="Q930" s="18">
        <f>IF(OR($C930="",$P930&lt;&gt;"Aberto"),"",IF($I930="",Hoje-$B930,Hoje-$I930))</f>
        <v/>
      </c>
      <c r="R930" s="22">
        <f>IF(OR($C930="",$P930&lt;&gt;"Aberto"),"",IF($J930="",IF($Q930&gt;DiasSC,"ATRASADO","Definir data"),IF($J930&lt;Hoje,"ATRASADO",IF($J930=Hoje,"HOJE","Em dia"))))</f>
        <v/>
      </c>
      <c r="S930" s="23">
        <f>IF($R930="","",IF(OR($R930="ATRASADO",$R930="HOJE",$R930="Definir data"),COUNTIF($R$5:$R930,"ATRASADO")+COUNTIF($R$5:$R930,"HOJE")+COUNTIF($R$5:$R930,"Definir data"),""))</f>
        <v/>
      </c>
      <c r="T930" s="18">
        <f>IF($C930="","",IF(OR($B930="",$E930="",$F930="",$G930=""),"Preencher entrada/origem/vendedor/etapa",IF(AND(OR($P930="Ganho",$P930="Perdido"),$K930=""),"Falta data de fechamento",IF(AND($P930="Perdido",$L930=""),"Informe o motivo da perda","OK"))))</f>
        <v/>
      </c>
    </row>
    <row r="931" spans="1:20">
      <c r="A931" s="18">
        <f>IF($C931="","",ROW()-4)</f>
        <v/>
      </c>
      <c r="B931" s="19"/>
      <c r="C931" s="13"/>
      <c r="D931" s="13"/>
      <c r="E931" s="13"/>
      <c r="F931" s="13"/>
      <c r="G931" s="13"/>
      <c r="H931" s="15"/>
      <c r="I931" s="19"/>
      <c r="J931" s="19"/>
      <c r="K931" s="19"/>
      <c r="L931" s="13"/>
      <c r="M931" s="13"/>
      <c r="N931" s="20">
        <f>IF($C931="","",IFERROR(INDEX(EtapaProb,MATCH($G931,Etapas,0)),0))</f>
        <v/>
      </c>
      <c r="O931" s="21">
        <f>IF($C931="","",IF($P931="Aberto",N($H931)*$N931,0))</f>
        <v/>
      </c>
      <c r="P931" s="18">
        <f>IF($C931="","",IF($G931="Ganho","Ganho",IF($G931="Perdido","Perdido","Aberto")))</f>
        <v/>
      </c>
      <c r="Q931" s="18">
        <f>IF(OR($C931="",$P931&lt;&gt;"Aberto"),"",IF($I931="",Hoje-$B931,Hoje-$I931))</f>
        <v/>
      </c>
      <c r="R931" s="22">
        <f>IF(OR($C931="",$P931&lt;&gt;"Aberto"),"",IF($J931="",IF($Q931&gt;DiasSC,"ATRASADO","Definir data"),IF($J931&lt;Hoje,"ATRASADO",IF($J931=Hoje,"HOJE","Em dia"))))</f>
        <v/>
      </c>
      <c r="S931" s="23">
        <f>IF($R931="","",IF(OR($R931="ATRASADO",$R931="HOJE",$R931="Definir data"),COUNTIF($R$5:$R931,"ATRASADO")+COUNTIF($R$5:$R931,"HOJE")+COUNTIF($R$5:$R931,"Definir data"),""))</f>
        <v/>
      </c>
      <c r="T931" s="18">
        <f>IF($C931="","",IF(OR($B931="",$E931="",$F931="",$G931=""),"Preencher entrada/origem/vendedor/etapa",IF(AND(OR($P931="Ganho",$P931="Perdido"),$K931=""),"Falta data de fechamento",IF(AND($P931="Perdido",$L931=""),"Informe o motivo da perda","OK"))))</f>
        <v/>
      </c>
    </row>
    <row r="932" spans="1:20">
      <c r="A932" s="18">
        <f>IF($C932="","",ROW()-4)</f>
        <v/>
      </c>
      <c r="B932" s="19"/>
      <c r="C932" s="13"/>
      <c r="D932" s="13"/>
      <c r="E932" s="13"/>
      <c r="F932" s="13"/>
      <c r="G932" s="13"/>
      <c r="H932" s="15"/>
      <c r="I932" s="19"/>
      <c r="J932" s="19"/>
      <c r="K932" s="19"/>
      <c r="L932" s="13"/>
      <c r="M932" s="13"/>
      <c r="N932" s="20">
        <f>IF($C932="","",IFERROR(INDEX(EtapaProb,MATCH($G932,Etapas,0)),0))</f>
        <v/>
      </c>
      <c r="O932" s="21">
        <f>IF($C932="","",IF($P932="Aberto",N($H932)*$N932,0))</f>
        <v/>
      </c>
      <c r="P932" s="18">
        <f>IF($C932="","",IF($G932="Ganho","Ganho",IF($G932="Perdido","Perdido","Aberto")))</f>
        <v/>
      </c>
      <c r="Q932" s="18">
        <f>IF(OR($C932="",$P932&lt;&gt;"Aberto"),"",IF($I932="",Hoje-$B932,Hoje-$I932))</f>
        <v/>
      </c>
      <c r="R932" s="22">
        <f>IF(OR($C932="",$P932&lt;&gt;"Aberto"),"",IF($J932="",IF($Q932&gt;DiasSC,"ATRASADO","Definir data"),IF($J932&lt;Hoje,"ATRASADO",IF($J932=Hoje,"HOJE","Em dia"))))</f>
        <v/>
      </c>
      <c r="S932" s="23">
        <f>IF($R932="","",IF(OR($R932="ATRASADO",$R932="HOJE",$R932="Definir data"),COUNTIF($R$5:$R932,"ATRASADO")+COUNTIF($R$5:$R932,"HOJE")+COUNTIF($R$5:$R932,"Definir data"),""))</f>
        <v/>
      </c>
      <c r="T932" s="18">
        <f>IF($C932="","",IF(OR($B932="",$E932="",$F932="",$G932=""),"Preencher entrada/origem/vendedor/etapa",IF(AND(OR($P932="Ganho",$P932="Perdido"),$K932=""),"Falta data de fechamento",IF(AND($P932="Perdido",$L932=""),"Informe o motivo da perda","OK"))))</f>
        <v/>
      </c>
    </row>
    <row r="933" spans="1:20">
      <c r="A933" s="18">
        <f>IF($C933="","",ROW()-4)</f>
        <v/>
      </c>
      <c r="B933" s="19"/>
      <c r="C933" s="13"/>
      <c r="D933" s="13"/>
      <c r="E933" s="13"/>
      <c r="F933" s="13"/>
      <c r="G933" s="13"/>
      <c r="H933" s="15"/>
      <c r="I933" s="19"/>
      <c r="J933" s="19"/>
      <c r="K933" s="19"/>
      <c r="L933" s="13"/>
      <c r="M933" s="13"/>
      <c r="N933" s="20">
        <f>IF($C933="","",IFERROR(INDEX(EtapaProb,MATCH($G933,Etapas,0)),0))</f>
        <v/>
      </c>
      <c r="O933" s="21">
        <f>IF($C933="","",IF($P933="Aberto",N($H933)*$N933,0))</f>
        <v/>
      </c>
      <c r="P933" s="18">
        <f>IF($C933="","",IF($G933="Ganho","Ganho",IF($G933="Perdido","Perdido","Aberto")))</f>
        <v/>
      </c>
      <c r="Q933" s="18">
        <f>IF(OR($C933="",$P933&lt;&gt;"Aberto"),"",IF($I933="",Hoje-$B933,Hoje-$I933))</f>
        <v/>
      </c>
      <c r="R933" s="22">
        <f>IF(OR($C933="",$P933&lt;&gt;"Aberto"),"",IF($J933="",IF($Q933&gt;DiasSC,"ATRASADO","Definir data"),IF($J933&lt;Hoje,"ATRASADO",IF($J933=Hoje,"HOJE","Em dia"))))</f>
        <v/>
      </c>
      <c r="S933" s="23">
        <f>IF($R933="","",IF(OR($R933="ATRASADO",$R933="HOJE",$R933="Definir data"),COUNTIF($R$5:$R933,"ATRASADO")+COUNTIF($R$5:$R933,"HOJE")+COUNTIF($R$5:$R933,"Definir data"),""))</f>
        <v/>
      </c>
      <c r="T933" s="18">
        <f>IF($C933="","",IF(OR($B933="",$E933="",$F933="",$G933=""),"Preencher entrada/origem/vendedor/etapa",IF(AND(OR($P933="Ganho",$P933="Perdido"),$K933=""),"Falta data de fechamento",IF(AND($P933="Perdido",$L933=""),"Informe o motivo da perda","OK"))))</f>
        <v/>
      </c>
    </row>
    <row r="934" spans="1:20">
      <c r="A934" s="18">
        <f>IF($C934="","",ROW()-4)</f>
        <v/>
      </c>
      <c r="B934" s="19"/>
      <c r="C934" s="13"/>
      <c r="D934" s="13"/>
      <c r="E934" s="13"/>
      <c r="F934" s="13"/>
      <c r="G934" s="13"/>
      <c r="H934" s="15"/>
      <c r="I934" s="19"/>
      <c r="J934" s="19"/>
      <c r="K934" s="19"/>
      <c r="L934" s="13"/>
      <c r="M934" s="13"/>
      <c r="N934" s="20">
        <f>IF($C934="","",IFERROR(INDEX(EtapaProb,MATCH($G934,Etapas,0)),0))</f>
        <v/>
      </c>
      <c r="O934" s="21">
        <f>IF($C934="","",IF($P934="Aberto",N($H934)*$N934,0))</f>
        <v/>
      </c>
      <c r="P934" s="18">
        <f>IF($C934="","",IF($G934="Ganho","Ganho",IF($G934="Perdido","Perdido","Aberto")))</f>
        <v/>
      </c>
      <c r="Q934" s="18">
        <f>IF(OR($C934="",$P934&lt;&gt;"Aberto"),"",IF($I934="",Hoje-$B934,Hoje-$I934))</f>
        <v/>
      </c>
      <c r="R934" s="22">
        <f>IF(OR($C934="",$P934&lt;&gt;"Aberto"),"",IF($J934="",IF($Q934&gt;DiasSC,"ATRASADO","Definir data"),IF($J934&lt;Hoje,"ATRASADO",IF($J934=Hoje,"HOJE","Em dia"))))</f>
        <v/>
      </c>
      <c r="S934" s="23">
        <f>IF($R934="","",IF(OR($R934="ATRASADO",$R934="HOJE",$R934="Definir data"),COUNTIF($R$5:$R934,"ATRASADO")+COUNTIF($R$5:$R934,"HOJE")+COUNTIF($R$5:$R934,"Definir data"),""))</f>
        <v/>
      </c>
      <c r="T934" s="18">
        <f>IF($C934="","",IF(OR($B934="",$E934="",$F934="",$G934=""),"Preencher entrada/origem/vendedor/etapa",IF(AND(OR($P934="Ganho",$P934="Perdido"),$K934=""),"Falta data de fechamento",IF(AND($P934="Perdido",$L934=""),"Informe o motivo da perda","OK"))))</f>
        <v/>
      </c>
    </row>
    <row r="935" spans="1:20">
      <c r="A935" s="18">
        <f>IF($C935="","",ROW()-4)</f>
        <v/>
      </c>
      <c r="B935" s="19"/>
      <c r="C935" s="13"/>
      <c r="D935" s="13"/>
      <c r="E935" s="13"/>
      <c r="F935" s="13"/>
      <c r="G935" s="13"/>
      <c r="H935" s="15"/>
      <c r="I935" s="19"/>
      <c r="J935" s="19"/>
      <c r="K935" s="19"/>
      <c r="L935" s="13"/>
      <c r="M935" s="13"/>
      <c r="N935" s="20">
        <f>IF($C935="","",IFERROR(INDEX(EtapaProb,MATCH($G935,Etapas,0)),0))</f>
        <v/>
      </c>
      <c r="O935" s="21">
        <f>IF($C935="","",IF($P935="Aberto",N($H935)*$N935,0))</f>
        <v/>
      </c>
      <c r="P935" s="18">
        <f>IF($C935="","",IF($G935="Ganho","Ganho",IF($G935="Perdido","Perdido","Aberto")))</f>
        <v/>
      </c>
      <c r="Q935" s="18">
        <f>IF(OR($C935="",$P935&lt;&gt;"Aberto"),"",IF($I935="",Hoje-$B935,Hoje-$I935))</f>
        <v/>
      </c>
      <c r="R935" s="22">
        <f>IF(OR($C935="",$P935&lt;&gt;"Aberto"),"",IF($J935="",IF($Q935&gt;DiasSC,"ATRASADO","Definir data"),IF($J935&lt;Hoje,"ATRASADO",IF($J935=Hoje,"HOJE","Em dia"))))</f>
        <v/>
      </c>
      <c r="S935" s="23">
        <f>IF($R935="","",IF(OR($R935="ATRASADO",$R935="HOJE",$R935="Definir data"),COUNTIF($R$5:$R935,"ATRASADO")+COUNTIF($R$5:$R935,"HOJE")+COUNTIF($R$5:$R935,"Definir data"),""))</f>
        <v/>
      </c>
      <c r="T935" s="18">
        <f>IF($C935="","",IF(OR($B935="",$E935="",$F935="",$G935=""),"Preencher entrada/origem/vendedor/etapa",IF(AND(OR($P935="Ganho",$P935="Perdido"),$K935=""),"Falta data de fechamento",IF(AND($P935="Perdido",$L935=""),"Informe o motivo da perda","OK"))))</f>
        <v/>
      </c>
    </row>
    <row r="936" spans="1:20">
      <c r="A936" s="18">
        <f>IF($C936="","",ROW()-4)</f>
        <v/>
      </c>
      <c r="B936" s="19"/>
      <c r="C936" s="13"/>
      <c r="D936" s="13"/>
      <c r="E936" s="13"/>
      <c r="F936" s="13"/>
      <c r="G936" s="13"/>
      <c r="H936" s="15"/>
      <c r="I936" s="19"/>
      <c r="J936" s="19"/>
      <c r="K936" s="19"/>
      <c r="L936" s="13"/>
      <c r="M936" s="13"/>
      <c r="N936" s="20">
        <f>IF($C936="","",IFERROR(INDEX(EtapaProb,MATCH($G936,Etapas,0)),0))</f>
        <v/>
      </c>
      <c r="O936" s="21">
        <f>IF($C936="","",IF($P936="Aberto",N($H936)*$N936,0))</f>
        <v/>
      </c>
      <c r="P936" s="18">
        <f>IF($C936="","",IF($G936="Ganho","Ganho",IF($G936="Perdido","Perdido","Aberto")))</f>
        <v/>
      </c>
      <c r="Q936" s="18">
        <f>IF(OR($C936="",$P936&lt;&gt;"Aberto"),"",IF($I936="",Hoje-$B936,Hoje-$I936))</f>
        <v/>
      </c>
      <c r="R936" s="22">
        <f>IF(OR($C936="",$P936&lt;&gt;"Aberto"),"",IF($J936="",IF($Q936&gt;DiasSC,"ATRASADO","Definir data"),IF($J936&lt;Hoje,"ATRASADO",IF($J936=Hoje,"HOJE","Em dia"))))</f>
        <v/>
      </c>
      <c r="S936" s="23">
        <f>IF($R936="","",IF(OR($R936="ATRASADO",$R936="HOJE",$R936="Definir data"),COUNTIF($R$5:$R936,"ATRASADO")+COUNTIF($R$5:$R936,"HOJE")+COUNTIF($R$5:$R936,"Definir data"),""))</f>
        <v/>
      </c>
      <c r="T936" s="18">
        <f>IF($C936="","",IF(OR($B936="",$E936="",$F936="",$G936=""),"Preencher entrada/origem/vendedor/etapa",IF(AND(OR($P936="Ganho",$P936="Perdido"),$K936=""),"Falta data de fechamento",IF(AND($P936="Perdido",$L936=""),"Informe o motivo da perda","OK"))))</f>
        <v/>
      </c>
    </row>
    <row r="937" spans="1:20">
      <c r="A937" s="18">
        <f>IF($C937="","",ROW()-4)</f>
        <v/>
      </c>
      <c r="B937" s="19"/>
      <c r="C937" s="13"/>
      <c r="D937" s="13"/>
      <c r="E937" s="13"/>
      <c r="F937" s="13"/>
      <c r="G937" s="13"/>
      <c r="H937" s="15"/>
      <c r="I937" s="19"/>
      <c r="J937" s="19"/>
      <c r="K937" s="19"/>
      <c r="L937" s="13"/>
      <c r="M937" s="13"/>
      <c r="N937" s="20">
        <f>IF($C937="","",IFERROR(INDEX(EtapaProb,MATCH($G937,Etapas,0)),0))</f>
        <v/>
      </c>
      <c r="O937" s="21">
        <f>IF($C937="","",IF($P937="Aberto",N($H937)*$N937,0))</f>
        <v/>
      </c>
      <c r="P937" s="18">
        <f>IF($C937="","",IF($G937="Ganho","Ganho",IF($G937="Perdido","Perdido","Aberto")))</f>
        <v/>
      </c>
      <c r="Q937" s="18">
        <f>IF(OR($C937="",$P937&lt;&gt;"Aberto"),"",IF($I937="",Hoje-$B937,Hoje-$I937))</f>
        <v/>
      </c>
      <c r="R937" s="22">
        <f>IF(OR($C937="",$P937&lt;&gt;"Aberto"),"",IF($J937="",IF($Q937&gt;DiasSC,"ATRASADO","Definir data"),IF($J937&lt;Hoje,"ATRASADO",IF($J937=Hoje,"HOJE","Em dia"))))</f>
        <v/>
      </c>
      <c r="S937" s="23">
        <f>IF($R937="","",IF(OR($R937="ATRASADO",$R937="HOJE",$R937="Definir data"),COUNTIF($R$5:$R937,"ATRASADO")+COUNTIF($R$5:$R937,"HOJE")+COUNTIF($R$5:$R937,"Definir data"),""))</f>
        <v/>
      </c>
      <c r="T937" s="18">
        <f>IF($C937="","",IF(OR($B937="",$E937="",$F937="",$G937=""),"Preencher entrada/origem/vendedor/etapa",IF(AND(OR($P937="Ganho",$P937="Perdido"),$K937=""),"Falta data de fechamento",IF(AND($P937="Perdido",$L937=""),"Informe o motivo da perda","OK"))))</f>
        <v/>
      </c>
    </row>
    <row r="938" spans="1:20">
      <c r="A938" s="18">
        <f>IF($C938="","",ROW()-4)</f>
        <v/>
      </c>
      <c r="B938" s="19"/>
      <c r="C938" s="13"/>
      <c r="D938" s="13"/>
      <c r="E938" s="13"/>
      <c r="F938" s="13"/>
      <c r="G938" s="13"/>
      <c r="H938" s="15"/>
      <c r="I938" s="19"/>
      <c r="J938" s="19"/>
      <c r="K938" s="19"/>
      <c r="L938" s="13"/>
      <c r="M938" s="13"/>
      <c r="N938" s="20">
        <f>IF($C938="","",IFERROR(INDEX(EtapaProb,MATCH($G938,Etapas,0)),0))</f>
        <v/>
      </c>
      <c r="O938" s="21">
        <f>IF($C938="","",IF($P938="Aberto",N($H938)*$N938,0))</f>
        <v/>
      </c>
      <c r="P938" s="18">
        <f>IF($C938="","",IF($G938="Ganho","Ganho",IF($G938="Perdido","Perdido","Aberto")))</f>
        <v/>
      </c>
      <c r="Q938" s="18">
        <f>IF(OR($C938="",$P938&lt;&gt;"Aberto"),"",IF($I938="",Hoje-$B938,Hoje-$I938))</f>
        <v/>
      </c>
      <c r="R938" s="22">
        <f>IF(OR($C938="",$P938&lt;&gt;"Aberto"),"",IF($J938="",IF($Q938&gt;DiasSC,"ATRASADO","Definir data"),IF($J938&lt;Hoje,"ATRASADO",IF($J938=Hoje,"HOJE","Em dia"))))</f>
        <v/>
      </c>
      <c r="S938" s="23">
        <f>IF($R938="","",IF(OR($R938="ATRASADO",$R938="HOJE",$R938="Definir data"),COUNTIF($R$5:$R938,"ATRASADO")+COUNTIF($R$5:$R938,"HOJE")+COUNTIF($R$5:$R938,"Definir data"),""))</f>
        <v/>
      </c>
      <c r="T938" s="18">
        <f>IF($C938="","",IF(OR($B938="",$E938="",$F938="",$G938=""),"Preencher entrada/origem/vendedor/etapa",IF(AND(OR($P938="Ganho",$P938="Perdido"),$K938=""),"Falta data de fechamento",IF(AND($P938="Perdido",$L938=""),"Informe o motivo da perda","OK"))))</f>
        <v/>
      </c>
    </row>
    <row r="939" spans="1:20">
      <c r="A939" s="18">
        <f>IF($C939="","",ROW()-4)</f>
        <v/>
      </c>
      <c r="B939" s="19"/>
      <c r="C939" s="13"/>
      <c r="D939" s="13"/>
      <c r="E939" s="13"/>
      <c r="F939" s="13"/>
      <c r="G939" s="13"/>
      <c r="H939" s="15"/>
      <c r="I939" s="19"/>
      <c r="J939" s="19"/>
      <c r="K939" s="19"/>
      <c r="L939" s="13"/>
      <c r="M939" s="13"/>
      <c r="N939" s="20">
        <f>IF($C939="","",IFERROR(INDEX(EtapaProb,MATCH($G939,Etapas,0)),0))</f>
        <v/>
      </c>
      <c r="O939" s="21">
        <f>IF($C939="","",IF($P939="Aberto",N($H939)*$N939,0))</f>
        <v/>
      </c>
      <c r="P939" s="18">
        <f>IF($C939="","",IF($G939="Ganho","Ganho",IF($G939="Perdido","Perdido","Aberto")))</f>
        <v/>
      </c>
      <c r="Q939" s="18">
        <f>IF(OR($C939="",$P939&lt;&gt;"Aberto"),"",IF($I939="",Hoje-$B939,Hoje-$I939))</f>
        <v/>
      </c>
      <c r="R939" s="22">
        <f>IF(OR($C939="",$P939&lt;&gt;"Aberto"),"",IF($J939="",IF($Q939&gt;DiasSC,"ATRASADO","Definir data"),IF($J939&lt;Hoje,"ATRASADO",IF($J939=Hoje,"HOJE","Em dia"))))</f>
        <v/>
      </c>
      <c r="S939" s="23">
        <f>IF($R939="","",IF(OR($R939="ATRASADO",$R939="HOJE",$R939="Definir data"),COUNTIF($R$5:$R939,"ATRASADO")+COUNTIF($R$5:$R939,"HOJE")+COUNTIF($R$5:$R939,"Definir data"),""))</f>
        <v/>
      </c>
      <c r="T939" s="18">
        <f>IF($C939="","",IF(OR($B939="",$E939="",$F939="",$G939=""),"Preencher entrada/origem/vendedor/etapa",IF(AND(OR($P939="Ganho",$P939="Perdido"),$K939=""),"Falta data de fechamento",IF(AND($P939="Perdido",$L939=""),"Informe o motivo da perda","OK"))))</f>
        <v/>
      </c>
    </row>
    <row r="940" spans="1:20">
      <c r="A940" s="18">
        <f>IF($C940="","",ROW()-4)</f>
        <v/>
      </c>
      <c r="B940" s="19"/>
      <c r="C940" s="13"/>
      <c r="D940" s="13"/>
      <c r="E940" s="13"/>
      <c r="F940" s="13"/>
      <c r="G940" s="13"/>
      <c r="H940" s="15"/>
      <c r="I940" s="19"/>
      <c r="J940" s="19"/>
      <c r="K940" s="19"/>
      <c r="L940" s="13"/>
      <c r="M940" s="13"/>
      <c r="N940" s="20">
        <f>IF($C940="","",IFERROR(INDEX(EtapaProb,MATCH($G940,Etapas,0)),0))</f>
        <v/>
      </c>
      <c r="O940" s="21">
        <f>IF($C940="","",IF($P940="Aberto",N($H940)*$N940,0))</f>
        <v/>
      </c>
      <c r="P940" s="18">
        <f>IF($C940="","",IF($G940="Ganho","Ganho",IF($G940="Perdido","Perdido","Aberto")))</f>
        <v/>
      </c>
      <c r="Q940" s="18">
        <f>IF(OR($C940="",$P940&lt;&gt;"Aberto"),"",IF($I940="",Hoje-$B940,Hoje-$I940))</f>
        <v/>
      </c>
      <c r="R940" s="22">
        <f>IF(OR($C940="",$P940&lt;&gt;"Aberto"),"",IF($J940="",IF($Q940&gt;DiasSC,"ATRASADO","Definir data"),IF($J940&lt;Hoje,"ATRASADO",IF($J940=Hoje,"HOJE","Em dia"))))</f>
        <v/>
      </c>
      <c r="S940" s="23">
        <f>IF($R940="","",IF(OR($R940="ATRASADO",$R940="HOJE",$R940="Definir data"),COUNTIF($R$5:$R940,"ATRASADO")+COUNTIF($R$5:$R940,"HOJE")+COUNTIF($R$5:$R940,"Definir data"),""))</f>
        <v/>
      </c>
      <c r="T940" s="18">
        <f>IF($C940="","",IF(OR($B940="",$E940="",$F940="",$G940=""),"Preencher entrada/origem/vendedor/etapa",IF(AND(OR($P940="Ganho",$P940="Perdido"),$K940=""),"Falta data de fechamento",IF(AND($P940="Perdido",$L940=""),"Informe o motivo da perda","OK"))))</f>
        <v/>
      </c>
    </row>
    <row r="941" spans="1:20">
      <c r="A941" s="18">
        <f>IF($C941="","",ROW()-4)</f>
        <v/>
      </c>
      <c r="B941" s="19"/>
      <c r="C941" s="13"/>
      <c r="D941" s="13"/>
      <c r="E941" s="13"/>
      <c r="F941" s="13"/>
      <c r="G941" s="13"/>
      <c r="H941" s="15"/>
      <c r="I941" s="19"/>
      <c r="J941" s="19"/>
      <c r="K941" s="19"/>
      <c r="L941" s="13"/>
      <c r="M941" s="13"/>
      <c r="N941" s="20">
        <f>IF($C941="","",IFERROR(INDEX(EtapaProb,MATCH($G941,Etapas,0)),0))</f>
        <v/>
      </c>
      <c r="O941" s="21">
        <f>IF($C941="","",IF($P941="Aberto",N($H941)*$N941,0))</f>
        <v/>
      </c>
      <c r="P941" s="18">
        <f>IF($C941="","",IF($G941="Ganho","Ganho",IF($G941="Perdido","Perdido","Aberto")))</f>
        <v/>
      </c>
      <c r="Q941" s="18">
        <f>IF(OR($C941="",$P941&lt;&gt;"Aberto"),"",IF($I941="",Hoje-$B941,Hoje-$I941))</f>
        <v/>
      </c>
      <c r="R941" s="22">
        <f>IF(OR($C941="",$P941&lt;&gt;"Aberto"),"",IF($J941="",IF($Q941&gt;DiasSC,"ATRASADO","Definir data"),IF($J941&lt;Hoje,"ATRASADO",IF($J941=Hoje,"HOJE","Em dia"))))</f>
        <v/>
      </c>
      <c r="S941" s="23">
        <f>IF($R941="","",IF(OR($R941="ATRASADO",$R941="HOJE",$R941="Definir data"),COUNTIF($R$5:$R941,"ATRASADO")+COUNTIF($R$5:$R941,"HOJE")+COUNTIF($R$5:$R941,"Definir data"),""))</f>
        <v/>
      </c>
      <c r="T941" s="18">
        <f>IF($C941="","",IF(OR($B941="",$E941="",$F941="",$G941=""),"Preencher entrada/origem/vendedor/etapa",IF(AND(OR($P941="Ganho",$P941="Perdido"),$K941=""),"Falta data de fechamento",IF(AND($P941="Perdido",$L941=""),"Informe o motivo da perda","OK"))))</f>
        <v/>
      </c>
    </row>
    <row r="942" spans="1:20">
      <c r="A942" s="18">
        <f>IF($C942="","",ROW()-4)</f>
        <v/>
      </c>
      <c r="B942" s="19"/>
      <c r="C942" s="13"/>
      <c r="D942" s="13"/>
      <c r="E942" s="13"/>
      <c r="F942" s="13"/>
      <c r="G942" s="13"/>
      <c r="H942" s="15"/>
      <c r="I942" s="19"/>
      <c r="J942" s="19"/>
      <c r="K942" s="19"/>
      <c r="L942" s="13"/>
      <c r="M942" s="13"/>
      <c r="N942" s="20">
        <f>IF($C942="","",IFERROR(INDEX(EtapaProb,MATCH($G942,Etapas,0)),0))</f>
        <v/>
      </c>
      <c r="O942" s="21">
        <f>IF($C942="","",IF($P942="Aberto",N($H942)*$N942,0))</f>
        <v/>
      </c>
      <c r="P942" s="18">
        <f>IF($C942="","",IF($G942="Ganho","Ganho",IF($G942="Perdido","Perdido","Aberto")))</f>
        <v/>
      </c>
      <c r="Q942" s="18">
        <f>IF(OR($C942="",$P942&lt;&gt;"Aberto"),"",IF($I942="",Hoje-$B942,Hoje-$I942))</f>
        <v/>
      </c>
      <c r="R942" s="22">
        <f>IF(OR($C942="",$P942&lt;&gt;"Aberto"),"",IF($J942="",IF($Q942&gt;DiasSC,"ATRASADO","Definir data"),IF($J942&lt;Hoje,"ATRASADO",IF($J942=Hoje,"HOJE","Em dia"))))</f>
        <v/>
      </c>
      <c r="S942" s="23">
        <f>IF($R942="","",IF(OR($R942="ATRASADO",$R942="HOJE",$R942="Definir data"),COUNTIF($R$5:$R942,"ATRASADO")+COUNTIF($R$5:$R942,"HOJE")+COUNTIF($R$5:$R942,"Definir data"),""))</f>
        <v/>
      </c>
      <c r="T942" s="18">
        <f>IF($C942="","",IF(OR($B942="",$E942="",$F942="",$G942=""),"Preencher entrada/origem/vendedor/etapa",IF(AND(OR($P942="Ganho",$P942="Perdido"),$K942=""),"Falta data de fechamento",IF(AND($P942="Perdido",$L942=""),"Informe o motivo da perda","OK"))))</f>
        <v/>
      </c>
    </row>
    <row r="943" spans="1:20">
      <c r="A943" s="18">
        <f>IF($C943="","",ROW()-4)</f>
        <v/>
      </c>
      <c r="B943" s="19"/>
      <c r="C943" s="13"/>
      <c r="D943" s="13"/>
      <c r="E943" s="13"/>
      <c r="F943" s="13"/>
      <c r="G943" s="13"/>
      <c r="H943" s="15"/>
      <c r="I943" s="19"/>
      <c r="J943" s="19"/>
      <c r="K943" s="19"/>
      <c r="L943" s="13"/>
      <c r="M943" s="13"/>
      <c r="N943" s="20">
        <f>IF($C943="","",IFERROR(INDEX(EtapaProb,MATCH($G943,Etapas,0)),0))</f>
        <v/>
      </c>
      <c r="O943" s="21">
        <f>IF($C943="","",IF($P943="Aberto",N($H943)*$N943,0))</f>
        <v/>
      </c>
      <c r="P943" s="18">
        <f>IF($C943="","",IF($G943="Ganho","Ganho",IF($G943="Perdido","Perdido","Aberto")))</f>
        <v/>
      </c>
      <c r="Q943" s="18">
        <f>IF(OR($C943="",$P943&lt;&gt;"Aberto"),"",IF($I943="",Hoje-$B943,Hoje-$I943))</f>
        <v/>
      </c>
      <c r="R943" s="22">
        <f>IF(OR($C943="",$P943&lt;&gt;"Aberto"),"",IF($J943="",IF($Q943&gt;DiasSC,"ATRASADO","Definir data"),IF($J943&lt;Hoje,"ATRASADO",IF($J943=Hoje,"HOJE","Em dia"))))</f>
        <v/>
      </c>
      <c r="S943" s="23">
        <f>IF($R943="","",IF(OR($R943="ATRASADO",$R943="HOJE",$R943="Definir data"),COUNTIF($R$5:$R943,"ATRASADO")+COUNTIF($R$5:$R943,"HOJE")+COUNTIF($R$5:$R943,"Definir data"),""))</f>
        <v/>
      </c>
      <c r="T943" s="18">
        <f>IF($C943="","",IF(OR($B943="",$E943="",$F943="",$G943=""),"Preencher entrada/origem/vendedor/etapa",IF(AND(OR($P943="Ganho",$P943="Perdido"),$K943=""),"Falta data de fechamento",IF(AND($P943="Perdido",$L943=""),"Informe o motivo da perda","OK"))))</f>
        <v/>
      </c>
    </row>
    <row r="944" spans="1:20">
      <c r="A944" s="18">
        <f>IF($C944="","",ROW()-4)</f>
        <v/>
      </c>
      <c r="B944" s="19"/>
      <c r="C944" s="13"/>
      <c r="D944" s="13"/>
      <c r="E944" s="13"/>
      <c r="F944" s="13"/>
      <c r="G944" s="13"/>
      <c r="H944" s="15"/>
      <c r="I944" s="19"/>
      <c r="J944" s="19"/>
      <c r="K944" s="19"/>
      <c r="L944" s="13"/>
      <c r="M944" s="13"/>
      <c r="N944" s="20">
        <f>IF($C944="","",IFERROR(INDEX(EtapaProb,MATCH($G944,Etapas,0)),0))</f>
        <v/>
      </c>
      <c r="O944" s="21">
        <f>IF($C944="","",IF($P944="Aberto",N($H944)*$N944,0))</f>
        <v/>
      </c>
      <c r="P944" s="18">
        <f>IF($C944="","",IF($G944="Ganho","Ganho",IF($G944="Perdido","Perdido","Aberto")))</f>
        <v/>
      </c>
      <c r="Q944" s="18">
        <f>IF(OR($C944="",$P944&lt;&gt;"Aberto"),"",IF($I944="",Hoje-$B944,Hoje-$I944))</f>
        <v/>
      </c>
      <c r="R944" s="22">
        <f>IF(OR($C944="",$P944&lt;&gt;"Aberto"),"",IF($J944="",IF($Q944&gt;DiasSC,"ATRASADO","Definir data"),IF($J944&lt;Hoje,"ATRASADO",IF($J944=Hoje,"HOJE","Em dia"))))</f>
        <v/>
      </c>
      <c r="S944" s="23">
        <f>IF($R944="","",IF(OR($R944="ATRASADO",$R944="HOJE",$R944="Definir data"),COUNTIF($R$5:$R944,"ATRASADO")+COUNTIF($R$5:$R944,"HOJE")+COUNTIF($R$5:$R944,"Definir data"),""))</f>
        <v/>
      </c>
      <c r="T944" s="18">
        <f>IF($C944="","",IF(OR($B944="",$E944="",$F944="",$G944=""),"Preencher entrada/origem/vendedor/etapa",IF(AND(OR($P944="Ganho",$P944="Perdido"),$K944=""),"Falta data de fechamento",IF(AND($P944="Perdido",$L944=""),"Informe o motivo da perda","OK"))))</f>
        <v/>
      </c>
    </row>
    <row r="945" spans="1:20">
      <c r="A945" s="18">
        <f>IF($C945="","",ROW()-4)</f>
        <v/>
      </c>
      <c r="B945" s="19"/>
      <c r="C945" s="13"/>
      <c r="D945" s="13"/>
      <c r="E945" s="13"/>
      <c r="F945" s="13"/>
      <c r="G945" s="13"/>
      <c r="H945" s="15"/>
      <c r="I945" s="19"/>
      <c r="J945" s="19"/>
      <c r="K945" s="19"/>
      <c r="L945" s="13"/>
      <c r="M945" s="13"/>
      <c r="N945" s="20">
        <f>IF($C945="","",IFERROR(INDEX(EtapaProb,MATCH($G945,Etapas,0)),0))</f>
        <v/>
      </c>
      <c r="O945" s="21">
        <f>IF($C945="","",IF($P945="Aberto",N($H945)*$N945,0))</f>
        <v/>
      </c>
      <c r="P945" s="18">
        <f>IF($C945="","",IF($G945="Ganho","Ganho",IF($G945="Perdido","Perdido","Aberto")))</f>
        <v/>
      </c>
      <c r="Q945" s="18">
        <f>IF(OR($C945="",$P945&lt;&gt;"Aberto"),"",IF($I945="",Hoje-$B945,Hoje-$I945))</f>
        <v/>
      </c>
      <c r="R945" s="22">
        <f>IF(OR($C945="",$P945&lt;&gt;"Aberto"),"",IF($J945="",IF($Q945&gt;DiasSC,"ATRASADO","Definir data"),IF($J945&lt;Hoje,"ATRASADO",IF($J945=Hoje,"HOJE","Em dia"))))</f>
        <v/>
      </c>
      <c r="S945" s="23">
        <f>IF($R945="","",IF(OR($R945="ATRASADO",$R945="HOJE",$R945="Definir data"),COUNTIF($R$5:$R945,"ATRASADO")+COUNTIF($R$5:$R945,"HOJE")+COUNTIF($R$5:$R945,"Definir data"),""))</f>
        <v/>
      </c>
      <c r="T945" s="18">
        <f>IF($C945="","",IF(OR($B945="",$E945="",$F945="",$G945=""),"Preencher entrada/origem/vendedor/etapa",IF(AND(OR($P945="Ganho",$P945="Perdido"),$K945=""),"Falta data de fechamento",IF(AND($P945="Perdido",$L945=""),"Informe o motivo da perda","OK"))))</f>
        <v/>
      </c>
    </row>
    <row r="946" spans="1:20">
      <c r="A946" s="18">
        <f>IF($C946="","",ROW()-4)</f>
        <v/>
      </c>
      <c r="B946" s="19"/>
      <c r="C946" s="13"/>
      <c r="D946" s="13"/>
      <c r="E946" s="13"/>
      <c r="F946" s="13"/>
      <c r="G946" s="13"/>
      <c r="H946" s="15"/>
      <c r="I946" s="19"/>
      <c r="J946" s="19"/>
      <c r="K946" s="19"/>
      <c r="L946" s="13"/>
      <c r="M946" s="13"/>
      <c r="N946" s="20">
        <f>IF($C946="","",IFERROR(INDEX(EtapaProb,MATCH($G946,Etapas,0)),0))</f>
        <v/>
      </c>
      <c r="O946" s="21">
        <f>IF($C946="","",IF($P946="Aberto",N($H946)*$N946,0))</f>
        <v/>
      </c>
      <c r="P946" s="18">
        <f>IF($C946="","",IF($G946="Ganho","Ganho",IF($G946="Perdido","Perdido","Aberto")))</f>
        <v/>
      </c>
      <c r="Q946" s="18">
        <f>IF(OR($C946="",$P946&lt;&gt;"Aberto"),"",IF($I946="",Hoje-$B946,Hoje-$I946))</f>
        <v/>
      </c>
      <c r="R946" s="22">
        <f>IF(OR($C946="",$P946&lt;&gt;"Aberto"),"",IF($J946="",IF($Q946&gt;DiasSC,"ATRASADO","Definir data"),IF($J946&lt;Hoje,"ATRASADO",IF($J946=Hoje,"HOJE","Em dia"))))</f>
        <v/>
      </c>
      <c r="S946" s="23">
        <f>IF($R946="","",IF(OR($R946="ATRASADO",$R946="HOJE",$R946="Definir data"),COUNTIF($R$5:$R946,"ATRASADO")+COUNTIF($R$5:$R946,"HOJE")+COUNTIF($R$5:$R946,"Definir data"),""))</f>
        <v/>
      </c>
      <c r="T946" s="18">
        <f>IF($C946="","",IF(OR($B946="",$E946="",$F946="",$G946=""),"Preencher entrada/origem/vendedor/etapa",IF(AND(OR($P946="Ganho",$P946="Perdido"),$K946=""),"Falta data de fechamento",IF(AND($P946="Perdido",$L946=""),"Informe o motivo da perda","OK"))))</f>
        <v/>
      </c>
    </row>
    <row r="947" spans="1:20">
      <c r="A947" s="18">
        <f>IF($C947="","",ROW()-4)</f>
        <v/>
      </c>
      <c r="B947" s="19"/>
      <c r="C947" s="13"/>
      <c r="D947" s="13"/>
      <c r="E947" s="13"/>
      <c r="F947" s="13"/>
      <c r="G947" s="13"/>
      <c r="H947" s="15"/>
      <c r="I947" s="19"/>
      <c r="J947" s="19"/>
      <c r="K947" s="19"/>
      <c r="L947" s="13"/>
      <c r="M947" s="13"/>
      <c r="N947" s="20">
        <f>IF($C947="","",IFERROR(INDEX(EtapaProb,MATCH($G947,Etapas,0)),0))</f>
        <v/>
      </c>
      <c r="O947" s="21">
        <f>IF($C947="","",IF($P947="Aberto",N($H947)*$N947,0))</f>
        <v/>
      </c>
      <c r="P947" s="18">
        <f>IF($C947="","",IF($G947="Ganho","Ganho",IF($G947="Perdido","Perdido","Aberto")))</f>
        <v/>
      </c>
      <c r="Q947" s="18">
        <f>IF(OR($C947="",$P947&lt;&gt;"Aberto"),"",IF($I947="",Hoje-$B947,Hoje-$I947))</f>
        <v/>
      </c>
      <c r="R947" s="22">
        <f>IF(OR($C947="",$P947&lt;&gt;"Aberto"),"",IF($J947="",IF($Q947&gt;DiasSC,"ATRASADO","Definir data"),IF($J947&lt;Hoje,"ATRASADO",IF($J947=Hoje,"HOJE","Em dia"))))</f>
        <v/>
      </c>
      <c r="S947" s="23">
        <f>IF($R947="","",IF(OR($R947="ATRASADO",$R947="HOJE",$R947="Definir data"),COUNTIF($R$5:$R947,"ATRASADO")+COUNTIF($R$5:$R947,"HOJE")+COUNTIF($R$5:$R947,"Definir data"),""))</f>
        <v/>
      </c>
      <c r="T947" s="18">
        <f>IF($C947="","",IF(OR($B947="",$E947="",$F947="",$G947=""),"Preencher entrada/origem/vendedor/etapa",IF(AND(OR($P947="Ganho",$P947="Perdido"),$K947=""),"Falta data de fechamento",IF(AND($P947="Perdido",$L947=""),"Informe o motivo da perda","OK"))))</f>
        <v/>
      </c>
    </row>
    <row r="948" spans="1:20">
      <c r="A948" s="18">
        <f>IF($C948="","",ROW()-4)</f>
        <v/>
      </c>
      <c r="B948" s="19"/>
      <c r="C948" s="13"/>
      <c r="D948" s="13"/>
      <c r="E948" s="13"/>
      <c r="F948" s="13"/>
      <c r="G948" s="13"/>
      <c r="H948" s="15"/>
      <c r="I948" s="19"/>
      <c r="J948" s="19"/>
      <c r="K948" s="19"/>
      <c r="L948" s="13"/>
      <c r="M948" s="13"/>
      <c r="N948" s="20">
        <f>IF($C948="","",IFERROR(INDEX(EtapaProb,MATCH($G948,Etapas,0)),0))</f>
        <v/>
      </c>
      <c r="O948" s="21">
        <f>IF($C948="","",IF($P948="Aberto",N($H948)*$N948,0))</f>
        <v/>
      </c>
      <c r="P948" s="18">
        <f>IF($C948="","",IF($G948="Ganho","Ganho",IF($G948="Perdido","Perdido","Aberto")))</f>
        <v/>
      </c>
      <c r="Q948" s="18">
        <f>IF(OR($C948="",$P948&lt;&gt;"Aberto"),"",IF($I948="",Hoje-$B948,Hoje-$I948))</f>
        <v/>
      </c>
      <c r="R948" s="22">
        <f>IF(OR($C948="",$P948&lt;&gt;"Aberto"),"",IF($J948="",IF($Q948&gt;DiasSC,"ATRASADO","Definir data"),IF($J948&lt;Hoje,"ATRASADO",IF($J948=Hoje,"HOJE","Em dia"))))</f>
        <v/>
      </c>
      <c r="S948" s="23">
        <f>IF($R948="","",IF(OR($R948="ATRASADO",$R948="HOJE",$R948="Definir data"),COUNTIF($R$5:$R948,"ATRASADO")+COUNTIF($R$5:$R948,"HOJE")+COUNTIF($R$5:$R948,"Definir data"),""))</f>
        <v/>
      </c>
      <c r="T948" s="18">
        <f>IF($C948="","",IF(OR($B948="",$E948="",$F948="",$G948=""),"Preencher entrada/origem/vendedor/etapa",IF(AND(OR($P948="Ganho",$P948="Perdido"),$K948=""),"Falta data de fechamento",IF(AND($P948="Perdido",$L948=""),"Informe o motivo da perda","OK"))))</f>
        <v/>
      </c>
    </row>
    <row r="949" spans="1:20">
      <c r="A949" s="18">
        <f>IF($C949="","",ROW()-4)</f>
        <v/>
      </c>
      <c r="B949" s="19"/>
      <c r="C949" s="13"/>
      <c r="D949" s="13"/>
      <c r="E949" s="13"/>
      <c r="F949" s="13"/>
      <c r="G949" s="13"/>
      <c r="H949" s="15"/>
      <c r="I949" s="19"/>
      <c r="J949" s="19"/>
      <c r="K949" s="19"/>
      <c r="L949" s="13"/>
      <c r="M949" s="13"/>
      <c r="N949" s="20">
        <f>IF($C949="","",IFERROR(INDEX(EtapaProb,MATCH($G949,Etapas,0)),0))</f>
        <v/>
      </c>
      <c r="O949" s="21">
        <f>IF($C949="","",IF($P949="Aberto",N($H949)*$N949,0))</f>
        <v/>
      </c>
      <c r="P949" s="18">
        <f>IF($C949="","",IF($G949="Ganho","Ganho",IF($G949="Perdido","Perdido","Aberto")))</f>
        <v/>
      </c>
      <c r="Q949" s="18">
        <f>IF(OR($C949="",$P949&lt;&gt;"Aberto"),"",IF($I949="",Hoje-$B949,Hoje-$I949))</f>
        <v/>
      </c>
      <c r="R949" s="22">
        <f>IF(OR($C949="",$P949&lt;&gt;"Aberto"),"",IF($J949="",IF($Q949&gt;DiasSC,"ATRASADO","Definir data"),IF($J949&lt;Hoje,"ATRASADO",IF($J949=Hoje,"HOJE","Em dia"))))</f>
        <v/>
      </c>
      <c r="S949" s="23">
        <f>IF($R949="","",IF(OR($R949="ATRASADO",$R949="HOJE",$R949="Definir data"),COUNTIF($R$5:$R949,"ATRASADO")+COUNTIF($R$5:$R949,"HOJE")+COUNTIF($R$5:$R949,"Definir data"),""))</f>
        <v/>
      </c>
      <c r="T949" s="18">
        <f>IF($C949="","",IF(OR($B949="",$E949="",$F949="",$G949=""),"Preencher entrada/origem/vendedor/etapa",IF(AND(OR($P949="Ganho",$P949="Perdido"),$K949=""),"Falta data de fechamento",IF(AND($P949="Perdido",$L949=""),"Informe o motivo da perda","OK"))))</f>
        <v/>
      </c>
    </row>
    <row r="950" spans="1:20">
      <c r="A950" s="18">
        <f>IF($C950="","",ROW()-4)</f>
        <v/>
      </c>
      <c r="B950" s="19"/>
      <c r="C950" s="13"/>
      <c r="D950" s="13"/>
      <c r="E950" s="13"/>
      <c r="F950" s="13"/>
      <c r="G950" s="13"/>
      <c r="H950" s="15"/>
      <c r="I950" s="19"/>
      <c r="J950" s="19"/>
      <c r="K950" s="19"/>
      <c r="L950" s="13"/>
      <c r="M950" s="13"/>
      <c r="N950" s="20">
        <f>IF($C950="","",IFERROR(INDEX(EtapaProb,MATCH($G950,Etapas,0)),0))</f>
        <v/>
      </c>
      <c r="O950" s="21">
        <f>IF($C950="","",IF($P950="Aberto",N($H950)*$N950,0))</f>
        <v/>
      </c>
      <c r="P950" s="18">
        <f>IF($C950="","",IF($G950="Ganho","Ganho",IF($G950="Perdido","Perdido","Aberto")))</f>
        <v/>
      </c>
      <c r="Q950" s="18">
        <f>IF(OR($C950="",$P950&lt;&gt;"Aberto"),"",IF($I950="",Hoje-$B950,Hoje-$I950))</f>
        <v/>
      </c>
      <c r="R950" s="22">
        <f>IF(OR($C950="",$P950&lt;&gt;"Aberto"),"",IF($J950="",IF($Q950&gt;DiasSC,"ATRASADO","Definir data"),IF($J950&lt;Hoje,"ATRASADO",IF($J950=Hoje,"HOJE","Em dia"))))</f>
        <v/>
      </c>
      <c r="S950" s="23">
        <f>IF($R950="","",IF(OR($R950="ATRASADO",$R950="HOJE",$R950="Definir data"),COUNTIF($R$5:$R950,"ATRASADO")+COUNTIF($R$5:$R950,"HOJE")+COUNTIF($R$5:$R950,"Definir data"),""))</f>
        <v/>
      </c>
      <c r="T950" s="18">
        <f>IF($C950="","",IF(OR($B950="",$E950="",$F950="",$G950=""),"Preencher entrada/origem/vendedor/etapa",IF(AND(OR($P950="Ganho",$P950="Perdido"),$K950=""),"Falta data de fechamento",IF(AND($P950="Perdido",$L950=""),"Informe o motivo da perda","OK"))))</f>
        <v/>
      </c>
    </row>
    <row r="951" spans="1:20">
      <c r="A951" s="18">
        <f>IF($C951="","",ROW()-4)</f>
        <v/>
      </c>
      <c r="B951" s="19"/>
      <c r="C951" s="13"/>
      <c r="D951" s="13"/>
      <c r="E951" s="13"/>
      <c r="F951" s="13"/>
      <c r="G951" s="13"/>
      <c r="H951" s="15"/>
      <c r="I951" s="19"/>
      <c r="J951" s="19"/>
      <c r="K951" s="19"/>
      <c r="L951" s="13"/>
      <c r="M951" s="13"/>
      <c r="N951" s="20">
        <f>IF($C951="","",IFERROR(INDEX(EtapaProb,MATCH($G951,Etapas,0)),0))</f>
        <v/>
      </c>
      <c r="O951" s="21">
        <f>IF($C951="","",IF($P951="Aberto",N($H951)*$N951,0))</f>
        <v/>
      </c>
      <c r="P951" s="18">
        <f>IF($C951="","",IF($G951="Ganho","Ganho",IF($G951="Perdido","Perdido","Aberto")))</f>
        <v/>
      </c>
      <c r="Q951" s="18">
        <f>IF(OR($C951="",$P951&lt;&gt;"Aberto"),"",IF($I951="",Hoje-$B951,Hoje-$I951))</f>
        <v/>
      </c>
      <c r="R951" s="22">
        <f>IF(OR($C951="",$P951&lt;&gt;"Aberto"),"",IF($J951="",IF($Q951&gt;DiasSC,"ATRASADO","Definir data"),IF($J951&lt;Hoje,"ATRASADO",IF($J951=Hoje,"HOJE","Em dia"))))</f>
        <v/>
      </c>
      <c r="S951" s="23">
        <f>IF($R951="","",IF(OR($R951="ATRASADO",$R951="HOJE",$R951="Definir data"),COUNTIF($R$5:$R951,"ATRASADO")+COUNTIF($R$5:$R951,"HOJE")+COUNTIF($R$5:$R951,"Definir data"),""))</f>
        <v/>
      </c>
      <c r="T951" s="18">
        <f>IF($C951="","",IF(OR($B951="",$E951="",$F951="",$G951=""),"Preencher entrada/origem/vendedor/etapa",IF(AND(OR($P951="Ganho",$P951="Perdido"),$K951=""),"Falta data de fechamento",IF(AND($P951="Perdido",$L951=""),"Informe o motivo da perda","OK"))))</f>
        <v/>
      </c>
    </row>
    <row r="952" spans="1:20">
      <c r="A952" s="18">
        <f>IF($C952="","",ROW()-4)</f>
        <v/>
      </c>
      <c r="B952" s="19"/>
      <c r="C952" s="13"/>
      <c r="D952" s="13"/>
      <c r="E952" s="13"/>
      <c r="F952" s="13"/>
      <c r="G952" s="13"/>
      <c r="H952" s="15"/>
      <c r="I952" s="19"/>
      <c r="J952" s="19"/>
      <c r="K952" s="19"/>
      <c r="L952" s="13"/>
      <c r="M952" s="13"/>
      <c r="N952" s="20">
        <f>IF($C952="","",IFERROR(INDEX(EtapaProb,MATCH($G952,Etapas,0)),0))</f>
        <v/>
      </c>
      <c r="O952" s="21">
        <f>IF($C952="","",IF($P952="Aberto",N($H952)*$N952,0))</f>
        <v/>
      </c>
      <c r="P952" s="18">
        <f>IF($C952="","",IF($G952="Ganho","Ganho",IF($G952="Perdido","Perdido","Aberto")))</f>
        <v/>
      </c>
      <c r="Q952" s="18">
        <f>IF(OR($C952="",$P952&lt;&gt;"Aberto"),"",IF($I952="",Hoje-$B952,Hoje-$I952))</f>
        <v/>
      </c>
      <c r="R952" s="22">
        <f>IF(OR($C952="",$P952&lt;&gt;"Aberto"),"",IF($J952="",IF($Q952&gt;DiasSC,"ATRASADO","Definir data"),IF($J952&lt;Hoje,"ATRASADO",IF($J952=Hoje,"HOJE","Em dia"))))</f>
        <v/>
      </c>
      <c r="S952" s="23">
        <f>IF($R952="","",IF(OR($R952="ATRASADO",$R952="HOJE",$R952="Definir data"),COUNTIF($R$5:$R952,"ATRASADO")+COUNTIF($R$5:$R952,"HOJE")+COUNTIF($R$5:$R952,"Definir data"),""))</f>
        <v/>
      </c>
      <c r="T952" s="18">
        <f>IF($C952="","",IF(OR($B952="",$E952="",$F952="",$G952=""),"Preencher entrada/origem/vendedor/etapa",IF(AND(OR($P952="Ganho",$P952="Perdido"),$K952=""),"Falta data de fechamento",IF(AND($P952="Perdido",$L952=""),"Informe o motivo da perda","OK"))))</f>
        <v/>
      </c>
    </row>
    <row r="953" spans="1:20">
      <c r="A953" s="18">
        <f>IF($C953="","",ROW()-4)</f>
        <v/>
      </c>
      <c r="B953" s="19"/>
      <c r="C953" s="13"/>
      <c r="D953" s="13"/>
      <c r="E953" s="13"/>
      <c r="F953" s="13"/>
      <c r="G953" s="13"/>
      <c r="H953" s="15"/>
      <c r="I953" s="19"/>
      <c r="J953" s="19"/>
      <c r="K953" s="19"/>
      <c r="L953" s="13"/>
      <c r="M953" s="13"/>
      <c r="N953" s="20">
        <f>IF($C953="","",IFERROR(INDEX(EtapaProb,MATCH($G953,Etapas,0)),0))</f>
        <v/>
      </c>
      <c r="O953" s="21">
        <f>IF($C953="","",IF($P953="Aberto",N($H953)*$N953,0))</f>
        <v/>
      </c>
      <c r="P953" s="18">
        <f>IF($C953="","",IF($G953="Ganho","Ganho",IF($G953="Perdido","Perdido","Aberto")))</f>
        <v/>
      </c>
      <c r="Q953" s="18">
        <f>IF(OR($C953="",$P953&lt;&gt;"Aberto"),"",IF($I953="",Hoje-$B953,Hoje-$I953))</f>
        <v/>
      </c>
      <c r="R953" s="22">
        <f>IF(OR($C953="",$P953&lt;&gt;"Aberto"),"",IF($J953="",IF($Q953&gt;DiasSC,"ATRASADO","Definir data"),IF($J953&lt;Hoje,"ATRASADO",IF($J953=Hoje,"HOJE","Em dia"))))</f>
        <v/>
      </c>
      <c r="S953" s="23">
        <f>IF($R953="","",IF(OR($R953="ATRASADO",$R953="HOJE",$R953="Definir data"),COUNTIF($R$5:$R953,"ATRASADO")+COUNTIF($R$5:$R953,"HOJE")+COUNTIF($R$5:$R953,"Definir data"),""))</f>
        <v/>
      </c>
      <c r="T953" s="18">
        <f>IF($C953="","",IF(OR($B953="",$E953="",$F953="",$G953=""),"Preencher entrada/origem/vendedor/etapa",IF(AND(OR($P953="Ganho",$P953="Perdido"),$K953=""),"Falta data de fechamento",IF(AND($P953="Perdido",$L953=""),"Informe o motivo da perda","OK"))))</f>
        <v/>
      </c>
    </row>
    <row r="954" spans="1:20">
      <c r="A954" s="18">
        <f>IF($C954="","",ROW()-4)</f>
        <v/>
      </c>
      <c r="B954" s="19"/>
      <c r="C954" s="13"/>
      <c r="D954" s="13"/>
      <c r="E954" s="13"/>
      <c r="F954" s="13"/>
      <c r="G954" s="13"/>
      <c r="H954" s="15"/>
      <c r="I954" s="19"/>
      <c r="J954" s="19"/>
      <c r="K954" s="19"/>
      <c r="L954" s="13"/>
      <c r="M954" s="13"/>
      <c r="N954" s="20">
        <f>IF($C954="","",IFERROR(INDEX(EtapaProb,MATCH($G954,Etapas,0)),0))</f>
        <v/>
      </c>
      <c r="O954" s="21">
        <f>IF($C954="","",IF($P954="Aberto",N($H954)*$N954,0))</f>
        <v/>
      </c>
      <c r="P954" s="18">
        <f>IF($C954="","",IF($G954="Ganho","Ganho",IF($G954="Perdido","Perdido","Aberto")))</f>
        <v/>
      </c>
      <c r="Q954" s="18">
        <f>IF(OR($C954="",$P954&lt;&gt;"Aberto"),"",IF($I954="",Hoje-$B954,Hoje-$I954))</f>
        <v/>
      </c>
      <c r="R954" s="22">
        <f>IF(OR($C954="",$P954&lt;&gt;"Aberto"),"",IF($J954="",IF($Q954&gt;DiasSC,"ATRASADO","Definir data"),IF($J954&lt;Hoje,"ATRASADO",IF($J954=Hoje,"HOJE","Em dia"))))</f>
        <v/>
      </c>
      <c r="S954" s="23">
        <f>IF($R954="","",IF(OR($R954="ATRASADO",$R954="HOJE",$R954="Definir data"),COUNTIF($R$5:$R954,"ATRASADO")+COUNTIF($R$5:$R954,"HOJE")+COUNTIF($R$5:$R954,"Definir data"),""))</f>
        <v/>
      </c>
      <c r="T954" s="18">
        <f>IF($C954="","",IF(OR($B954="",$E954="",$F954="",$G954=""),"Preencher entrada/origem/vendedor/etapa",IF(AND(OR($P954="Ganho",$P954="Perdido"),$K954=""),"Falta data de fechamento",IF(AND($P954="Perdido",$L954=""),"Informe o motivo da perda","OK"))))</f>
        <v/>
      </c>
    </row>
    <row r="955" spans="1:20">
      <c r="A955" s="18">
        <f>IF($C955="","",ROW()-4)</f>
        <v/>
      </c>
      <c r="B955" s="19"/>
      <c r="C955" s="13"/>
      <c r="D955" s="13"/>
      <c r="E955" s="13"/>
      <c r="F955" s="13"/>
      <c r="G955" s="13"/>
      <c r="H955" s="15"/>
      <c r="I955" s="19"/>
      <c r="J955" s="19"/>
      <c r="K955" s="19"/>
      <c r="L955" s="13"/>
      <c r="M955" s="13"/>
      <c r="N955" s="20">
        <f>IF($C955="","",IFERROR(INDEX(EtapaProb,MATCH($G955,Etapas,0)),0))</f>
        <v/>
      </c>
      <c r="O955" s="21">
        <f>IF($C955="","",IF($P955="Aberto",N($H955)*$N955,0))</f>
        <v/>
      </c>
      <c r="P955" s="18">
        <f>IF($C955="","",IF($G955="Ganho","Ganho",IF($G955="Perdido","Perdido","Aberto")))</f>
        <v/>
      </c>
      <c r="Q955" s="18">
        <f>IF(OR($C955="",$P955&lt;&gt;"Aberto"),"",IF($I955="",Hoje-$B955,Hoje-$I955))</f>
        <v/>
      </c>
      <c r="R955" s="22">
        <f>IF(OR($C955="",$P955&lt;&gt;"Aberto"),"",IF($J955="",IF($Q955&gt;DiasSC,"ATRASADO","Definir data"),IF($J955&lt;Hoje,"ATRASADO",IF($J955=Hoje,"HOJE","Em dia"))))</f>
        <v/>
      </c>
      <c r="S955" s="23">
        <f>IF($R955="","",IF(OR($R955="ATRASADO",$R955="HOJE",$R955="Definir data"),COUNTIF($R$5:$R955,"ATRASADO")+COUNTIF($R$5:$R955,"HOJE")+COUNTIF($R$5:$R955,"Definir data"),""))</f>
        <v/>
      </c>
      <c r="T955" s="18">
        <f>IF($C955="","",IF(OR($B955="",$E955="",$F955="",$G955=""),"Preencher entrada/origem/vendedor/etapa",IF(AND(OR($P955="Ganho",$P955="Perdido"),$K955=""),"Falta data de fechamento",IF(AND($P955="Perdido",$L955=""),"Informe o motivo da perda","OK"))))</f>
        <v/>
      </c>
    </row>
    <row r="956" spans="1:20">
      <c r="A956" s="18">
        <f>IF($C956="","",ROW()-4)</f>
        <v/>
      </c>
      <c r="B956" s="19"/>
      <c r="C956" s="13"/>
      <c r="D956" s="13"/>
      <c r="E956" s="13"/>
      <c r="F956" s="13"/>
      <c r="G956" s="13"/>
      <c r="H956" s="15"/>
      <c r="I956" s="19"/>
      <c r="J956" s="19"/>
      <c r="K956" s="19"/>
      <c r="L956" s="13"/>
      <c r="M956" s="13"/>
      <c r="N956" s="20">
        <f>IF($C956="","",IFERROR(INDEX(EtapaProb,MATCH($G956,Etapas,0)),0))</f>
        <v/>
      </c>
      <c r="O956" s="21">
        <f>IF($C956="","",IF($P956="Aberto",N($H956)*$N956,0))</f>
        <v/>
      </c>
      <c r="P956" s="18">
        <f>IF($C956="","",IF($G956="Ganho","Ganho",IF($G956="Perdido","Perdido","Aberto")))</f>
        <v/>
      </c>
      <c r="Q956" s="18">
        <f>IF(OR($C956="",$P956&lt;&gt;"Aberto"),"",IF($I956="",Hoje-$B956,Hoje-$I956))</f>
        <v/>
      </c>
      <c r="R956" s="22">
        <f>IF(OR($C956="",$P956&lt;&gt;"Aberto"),"",IF($J956="",IF($Q956&gt;DiasSC,"ATRASADO","Definir data"),IF($J956&lt;Hoje,"ATRASADO",IF($J956=Hoje,"HOJE","Em dia"))))</f>
        <v/>
      </c>
      <c r="S956" s="23">
        <f>IF($R956="","",IF(OR($R956="ATRASADO",$R956="HOJE",$R956="Definir data"),COUNTIF($R$5:$R956,"ATRASADO")+COUNTIF($R$5:$R956,"HOJE")+COUNTIF($R$5:$R956,"Definir data"),""))</f>
        <v/>
      </c>
      <c r="T956" s="18">
        <f>IF($C956="","",IF(OR($B956="",$E956="",$F956="",$G956=""),"Preencher entrada/origem/vendedor/etapa",IF(AND(OR($P956="Ganho",$P956="Perdido"),$K956=""),"Falta data de fechamento",IF(AND($P956="Perdido",$L956=""),"Informe o motivo da perda","OK"))))</f>
        <v/>
      </c>
    </row>
    <row r="957" spans="1:20">
      <c r="A957" s="18">
        <f>IF($C957="","",ROW()-4)</f>
        <v/>
      </c>
      <c r="B957" s="19"/>
      <c r="C957" s="13"/>
      <c r="D957" s="13"/>
      <c r="E957" s="13"/>
      <c r="F957" s="13"/>
      <c r="G957" s="13"/>
      <c r="H957" s="15"/>
      <c r="I957" s="19"/>
      <c r="J957" s="19"/>
      <c r="K957" s="19"/>
      <c r="L957" s="13"/>
      <c r="M957" s="13"/>
      <c r="N957" s="20">
        <f>IF($C957="","",IFERROR(INDEX(EtapaProb,MATCH($G957,Etapas,0)),0))</f>
        <v/>
      </c>
      <c r="O957" s="21">
        <f>IF($C957="","",IF($P957="Aberto",N($H957)*$N957,0))</f>
        <v/>
      </c>
      <c r="P957" s="18">
        <f>IF($C957="","",IF($G957="Ganho","Ganho",IF($G957="Perdido","Perdido","Aberto")))</f>
        <v/>
      </c>
      <c r="Q957" s="18">
        <f>IF(OR($C957="",$P957&lt;&gt;"Aberto"),"",IF($I957="",Hoje-$B957,Hoje-$I957))</f>
        <v/>
      </c>
      <c r="R957" s="22">
        <f>IF(OR($C957="",$P957&lt;&gt;"Aberto"),"",IF($J957="",IF($Q957&gt;DiasSC,"ATRASADO","Definir data"),IF($J957&lt;Hoje,"ATRASADO",IF($J957=Hoje,"HOJE","Em dia"))))</f>
        <v/>
      </c>
      <c r="S957" s="23">
        <f>IF($R957="","",IF(OR($R957="ATRASADO",$R957="HOJE",$R957="Definir data"),COUNTIF($R$5:$R957,"ATRASADO")+COUNTIF($R$5:$R957,"HOJE")+COUNTIF($R$5:$R957,"Definir data"),""))</f>
        <v/>
      </c>
      <c r="T957" s="18">
        <f>IF($C957="","",IF(OR($B957="",$E957="",$F957="",$G957=""),"Preencher entrada/origem/vendedor/etapa",IF(AND(OR($P957="Ganho",$P957="Perdido"),$K957=""),"Falta data de fechamento",IF(AND($P957="Perdido",$L957=""),"Informe o motivo da perda","OK"))))</f>
        <v/>
      </c>
    </row>
    <row r="958" spans="1:20">
      <c r="A958" s="18">
        <f>IF($C958="","",ROW()-4)</f>
        <v/>
      </c>
      <c r="B958" s="19"/>
      <c r="C958" s="13"/>
      <c r="D958" s="13"/>
      <c r="E958" s="13"/>
      <c r="F958" s="13"/>
      <c r="G958" s="13"/>
      <c r="H958" s="15"/>
      <c r="I958" s="19"/>
      <c r="J958" s="19"/>
      <c r="K958" s="19"/>
      <c r="L958" s="13"/>
      <c r="M958" s="13"/>
      <c r="N958" s="20">
        <f>IF($C958="","",IFERROR(INDEX(EtapaProb,MATCH($G958,Etapas,0)),0))</f>
        <v/>
      </c>
      <c r="O958" s="21">
        <f>IF($C958="","",IF($P958="Aberto",N($H958)*$N958,0))</f>
        <v/>
      </c>
      <c r="P958" s="18">
        <f>IF($C958="","",IF($G958="Ganho","Ganho",IF($G958="Perdido","Perdido","Aberto")))</f>
        <v/>
      </c>
      <c r="Q958" s="18">
        <f>IF(OR($C958="",$P958&lt;&gt;"Aberto"),"",IF($I958="",Hoje-$B958,Hoje-$I958))</f>
        <v/>
      </c>
      <c r="R958" s="22">
        <f>IF(OR($C958="",$P958&lt;&gt;"Aberto"),"",IF($J958="",IF($Q958&gt;DiasSC,"ATRASADO","Definir data"),IF($J958&lt;Hoje,"ATRASADO",IF($J958=Hoje,"HOJE","Em dia"))))</f>
        <v/>
      </c>
      <c r="S958" s="23">
        <f>IF($R958="","",IF(OR($R958="ATRASADO",$R958="HOJE",$R958="Definir data"),COUNTIF($R$5:$R958,"ATRASADO")+COUNTIF($R$5:$R958,"HOJE")+COUNTIF($R$5:$R958,"Definir data"),""))</f>
        <v/>
      </c>
      <c r="T958" s="18">
        <f>IF($C958="","",IF(OR($B958="",$E958="",$F958="",$G958=""),"Preencher entrada/origem/vendedor/etapa",IF(AND(OR($P958="Ganho",$P958="Perdido"),$K958=""),"Falta data de fechamento",IF(AND($P958="Perdido",$L958=""),"Informe o motivo da perda","OK"))))</f>
        <v/>
      </c>
    </row>
    <row r="959" spans="1:20">
      <c r="A959" s="18">
        <f>IF($C959="","",ROW()-4)</f>
        <v/>
      </c>
      <c r="B959" s="19"/>
      <c r="C959" s="13"/>
      <c r="D959" s="13"/>
      <c r="E959" s="13"/>
      <c r="F959" s="13"/>
      <c r="G959" s="13"/>
      <c r="H959" s="15"/>
      <c r="I959" s="19"/>
      <c r="J959" s="19"/>
      <c r="K959" s="19"/>
      <c r="L959" s="13"/>
      <c r="M959" s="13"/>
      <c r="N959" s="20">
        <f>IF($C959="","",IFERROR(INDEX(EtapaProb,MATCH($G959,Etapas,0)),0))</f>
        <v/>
      </c>
      <c r="O959" s="21">
        <f>IF($C959="","",IF($P959="Aberto",N($H959)*$N959,0))</f>
        <v/>
      </c>
      <c r="P959" s="18">
        <f>IF($C959="","",IF($G959="Ganho","Ganho",IF($G959="Perdido","Perdido","Aberto")))</f>
        <v/>
      </c>
      <c r="Q959" s="18">
        <f>IF(OR($C959="",$P959&lt;&gt;"Aberto"),"",IF($I959="",Hoje-$B959,Hoje-$I959))</f>
        <v/>
      </c>
      <c r="R959" s="22">
        <f>IF(OR($C959="",$P959&lt;&gt;"Aberto"),"",IF($J959="",IF($Q959&gt;DiasSC,"ATRASADO","Definir data"),IF($J959&lt;Hoje,"ATRASADO",IF($J959=Hoje,"HOJE","Em dia"))))</f>
        <v/>
      </c>
      <c r="S959" s="23">
        <f>IF($R959="","",IF(OR($R959="ATRASADO",$R959="HOJE",$R959="Definir data"),COUNTIF($R$5:$R959,"ATRASADO")+COUNTIF($R$5:$R959,"HOJE")+COUNTIF($R$5:$R959,"Definir data"),""))</f>
        <v/>
      </c>
      <c r="T959" s="18">
        <f>IF($C959="","",IF(OR($B959="",$E959="",$F959="",$G959=""),"Preencher entrada/origem/vendedor/etapa",IF(AND(OR($P959="Ganho",$P959="Perdido"),$K959=""),"Falta data de fechamento",IF(AND($P959="Perdido",$L959=""),"Informe o motivo da perda","OK"))))</f>
        <v/>
      </c>
    </row>
    <row r="960" spans="1:20">
      <c r="A960" s="18">
        <f>IF($C960="","",ROW()-4)</f>
        <v/>
      </c>
      <c r="B960" s="19"/>
      <c r="C960" s="13"/>
      <c r="D960" s="13"/>
      <c r="E960" s="13"/>
      <c r="F960" s="13"/>
      <c r="G960" s="13"/>
      <c r="H960" s="15"/>
      <c r="I960" s="19"/>
      <c r="J960" s="19"/>
      <c r="K960" s="19"/>
      <c r="L960" s="13"/>
      <c r="M960" s="13"/>
      <c r="N960" s="20">
        <f>IF($C960="","",IFERROR(INDEX(EtapaProb,MATCH($G960,Etapas,0)),0))</f>
        <v/>
      </c>
      <c r="O960" s="21">
        <f>IF($C960="","",IF($P960="Aberto",N($H960)*$N960,0))</f>
        <v/>
      </c>
      <c r="P960" s="18">
        <f>IF($C960="","",IF($G960="Ganho","Ganho",IF($G960="Perdido","Perdido","Aberto")))</f>
        <v/>
      </c>
      <c r="Q960" s="18">
        <f>IF(OR($C960="",$P960&lt;&gt;"Aberto"),"",IF($I960="",Hoje-$B960,Hoje-$I960))</f>
        <v/>
      </c>
      <c r="R960" s="22">
        <f>IF(OR($C960="",$P960&lt;&gt;"Aberto"),"",IF($J960="",IF($Q960&gt;DiasSC,"ATRASADO","Definir data"),IF($J960&lt;Hoje,"ATRASADO",IF($J960=Hoje,"HOJE","Em dia"))))</f>
        <v/>
      </c>
      <c r="S960" s="23">
        <f>IF($R960="","",IF(OR($R960="ATRASADO",$R960="HOJE",$R960="Definir data"),COUNTIF($R$5:$R960,"ATRASADO")+COUNTIF($R$5:$R960,"HOJE")+COUNTIF($R$5:$R960,"Definir data"),""))</f>
        <v/>
      </c>
      <c r="T960" s="18">
        <f>IF($C960="","",IF(OR($B960="",$E960="",$F960="",$G960=""),"Preencher entrada/origem/vendedor/etapa",IF(AND(OR($P960="Ganho",$P960="Perdido"),$K960=""),"Falta data de fechamento",IF(AND($P960="Perdido",$L960=""),"Informe o motivo da perda","OK"))))</f>
        <v/>
      </c>
    </row>
    <row r="961" spans="1:20">
      <c r="A961" s="18">
        <f>IF($C961="","",ROW()-4)</f>
        <v/>
      </c>
      <c r="B961" s="19"/>
      <c r="C961" s="13"/>
      <c r="D961" s="13"/>
      <c r="E961" s="13"/>
      <c r="F961" s="13"/>
      <c r="G961" s="13"/>
      <c r="H961" s="15"/>
      <c r="I961" s="19"/>
      <c r="J961" s="19"/>
      <c r="K961" s="19"/>
      <c r="L961" s="13"/>
      <c r="M961" s="13"/>
      <c r="N961" s="20">
        <f>IF($C961="","",IFERROR(INDEX(EtapaProb,MATCH($G961,Etapas,0)),0))</f>
        <v/>
      </c>
      <c r="O961" s="21">
        <f>IF($C961="","",IF($P961="Aberto",N($H961)*$N961,0))</f>
        <v/>
      </c>
      <c r="P961" s="18">
        <f>IF($C961="","",IF($G961="Ganho","Ganho",IF($G961="Perdido","Perdido","Aberto")))</f>
        <v/>
      </c>
      <c r="Q961" s="18">
        <f>IF(OR($C961="",$P961&lt;&gt;"Aberto"),"",IF($I961="",Hoje-$B961,Hoje-$I961))</f>
        <v/>
      </c>
      <c r="R961" s="22">
        <f>IF(OR($C961="",$P961&lt;&gt;"Aberto"),"",IF($J961="",IF($Q961&gt;DiasSC,"ATRASADO","Definir data"),IF($J961&lt;Hoje,"ATRASADO",IF($J961=Hoje,"HOJE","Em dia"))))</f>
        <v/>
      </c>
      <c r="S961" s="23">
        <f>IF($R961="","",IF(OR($R961="ATRASADO",$R961="HOJE",$R961="Definir data"),COUNTIF($R$5:$R961,"ATRASADO")+COUNTIF($R$5:$R961,"HOJE")+COUNTIF($R$5:$R961,"Definir data"),""))</f>
        <v/>
      </c>
      <c r="T961" s="18">
        <f>IF($C961="","",IF(OR($B961="",$E961="",$F961="",$G961=""),"Preencher entrada/origem/vendedor/etapa",IF(AND(OR($P961="Ganho",$P961="Perdido"),$K961=""),"Falta data de fechamento",IF(AND($P961="Perdido",$L961=""),"Informe o motivo da perda","OK"))))</f>
        <v/>
      </c>
    </row>
    <row r="962" spans="1:20">
      <c r="A962" s="18">
        <f>IF($C962="","",ROW()-4)</f>
        <v/>
      </c>
      <c r="B962" s="19"/>
      <c r="C962" s="13"/>
      <c r="D962" s="13"/>
      <c r="E962" s="13"/>
      <c r="F962" s="13"/>
      <c r="G962" s="13"/>
      <c r="H962" s="15"/>
      <c r="I962" s="19"/>
      <c r="J962" s="19"/>
      <c r="K962" s="19"/>
      <c r="L962" s="13"/>
      <c r="M962" s="13"/>
      <c r="N962" s="20">
        <f>IF($C962="","",IFERROR(INDEX(EtapaProb,MATCH($G962,Etapas,0)),0))</f>
        <v/>
      </c>
      <c r="O962" s="21">
        <f>IF($C962="","",IF($P962="Aberto",N($H962)*$N962,0))</f>
        <v/>
      </c>
      <c r="P962" s="18">
        <f>IF($C962="","",IF($G962="Ganho","Ganho",IF($G962="Perdido","Perdido","Aberto")))</f>
        <v/>
      </c>
      <c r="Q962" s="18">
        <f>IF(OR($C962="",$P962&lt;&gt;"Aberto"),"",IF($I962="",Hoje-$B962,Hoje-$I962))</f>
        <v/>
      </c>
      <c r="R962" s="22">
        <f>IF(OR($C962="",$P962&lt;&gt;"Aberto"),"",IF($J962="",IF($Q962&gt;DiasSC,"ATRASADO","Definir data"),IF($J962&lt;Hoje,"ATRASADO",IF($J962=Hoje,"HOJE","Em dia"))))</f>
        <v/>
      </c>
      <c r="S962" s="23">
        <f>IF($R962="","",IF(OR($R962="ATRASADO",$R962="HOJE",$R962="Definir data"),COUNTIF($R$5:$R962,"ATRASADO")+COUNTIF($R$5:$R962,"HOJE")+COUNTIF($R$5:$R962,"Definir data"),""))</f>
        <v/>
      </c>
      <c r="T962" s="18">
        <f>IF($C962="","",IF(OR($B962="",$E962="",$F962="",$G962=""),"Preencher entrada/origem/vendedor/etapa",IF(AND(OR($P962="Ganho",$P962="Perdido"),$K962=""),"Falta data de fechamento",IF(AND($P962="Perdido",$L962=""),"Informe o motivo da perda","OK"))))</f>
        <v/>
      </c>
    </row>
    <row r="963" spans="1:20">
      <c r="A963" s="18">
        <f>IF($C963="","",ROW()-4)</f>
        <v/>
      </c>
      <c r="B963" s="19"/>
      <c r="C963" s="13"/>
      <c r="D963" s="13"/>
      <c r="E963" s="13"/>
      <c r="F963" s="13"/>
      <c r="G963" s="13"/>
      <c r="H963" s="15"/>
      <c r="I963" s="19"/>
      <c r="J963" s="19"/>
      <c r="K963" s="19"/>
      <c r="L963" s="13"/>
      <c r="M963" s="13"/>
      <c r="N963" s="20">
        <f>IF($C963="","",IFERROR(INDEX(EtapaProb,MATCH($G963,Etapas,0)),0))</f>
        <v/>
      </c>
      <c r="O963" s="21">
        <f>IF($C963="","",IF($P963="Aberto",N($H963)*$N963,0))</f>
        <v/>
      </c>
      <c r="P963" s="18">
        <f>IF($C963="","",IF($G963="Ganho","Ganho",IF($G963="Perdido","Perdido","Aberto")))</f>
        <v/>
      </c>
      <c r="Q963" s="18">
        <f>IF(OR($C963="",$P963&lt;&gt;"Aberto"),"",IF($I963="",Hoje-$B963,Hoje-$I963))</f>
        <v/>
      </c>
      <c r="R963" s="22">
        <f>IF(OR($C963="",$P963&lt;&gt;"Aberto"),"",IF($J963="",IF($Q963&gt;DiasSC,"ATRASADO","Definir data"),IF($J963&lt;Hoje,"ATRASADO",IF($J963=Hoje,"HOJE","Em dia"))))</f>
        <v/>
      </c>
      <c r="S963" s="23">
        <f>IF($R963="","",IF(OR($R963="ATRASADO",$R963="HOJE",$R963="Definir data"),COUNTIF($R$5:$R963,"ATRASADO")+COUNTIF($R$5:$R963,"HOJE")+COUNTIF($R$5:$R963,"Definir data"),""))</f>
        <v/>
      </c>
      <c r="T963" s="18">
        <f>IF($C963="","",IF(OR($B963="",$E963="",$F963="",$G963=""),"Preencher entrada/origem/vendedor/etapa",IF(AND(OR($P963="Ganho",$P963="Perdido"),$K963=""),"Falta data de fechamento",IF(AND($P963="Perdido",$L963=""),"Informe o motivo da perda","OK"))))</f>
        <v/>
      </c>
    </row>
    <row r="964" spans="1:20">
      <c r="A964" s="18">
        <f>IF($C964="","",ROW()-4)</f>
        <v/>
      </c>
      <c r="B964" s="19"/>
      <c r="C964" s="13"/>
      <c r="D964" s="13"/>
      <c r="E964" s="13"/>
      <c r="F964" s="13"/>
      <c r="G964" s="13"/>
      <c r="H964" s="15"/>
      <c r="I964" s="19"/>
      <c r="J964" s="19"/>
      <c r="K964" s="19"/>
      <c r="L964" s="13"/>
      <c r="M964" s="13"/>
      <c r="N964" s="20">
        <f>IF($C964="","",IFERROR(INDEX(EtapaProb,MATCH($G964,Etapas,0)),0))</f>
        <v/>
      </c>
      <c r="O964" s="21">
        <f>IF($C964="","",IF($P964="Aberto",N($H964)*$N964,0))</f>
        <v/>
      </c>
      <c r="P964" s="18">
        <f>IF($C964="","",IF($G964="Ganho","Ganho",IF($G964="Perdido","Perdido","Aberto")))</f>
        <v/>
      </c>
      <c r="Q964" s="18">
        <f>IF(OR($C964="",$P964&lt;&gt;"Aberto"),"",IF($I964="",Hoje-$B964,Hoje-$I964))</f>
        <v/>
      </c>
      <c r="R964" s="22">
        <f>IF(OR($C964="",$P964&lt;&gt;"Aberto"),"",IF($J964="",IF($Q964&gt;DiasSC,"ATRASADO","Definir data"),IF($J964&lt;Hoje,"ATRASADO",IF($J964=Hoje,"HOJE","Em dia"))))</f>
        <v/>
      </c>
      <c r="S964" s="23">
        <f>IF($R964="","",IF(OR($R964="ATRASADO",$R964="HOJE",$R964="Definir data"),COUNTIF($R$5:$R964,"ATRASADO")+COUNTIF($R$5:$R964,"HOJE")+COUNTIF($R$5:$R964,"Definir data"),""))</f>
        <v/>
      </c>
      <c r="T964" s="18">
        <f>IF($C964="","",IF(OR($B964="",$E964="",$F964="",$G964=""),"Preencher entrada/origem/vendedor/etapa",IF(AND(OR($P964="Ganho",$P964="Perdido"),$K964=""),"Falta data de fechamento",IF(AND($P964="Perdido",$L964=""),"Informe o motivo da perda","OK"))))</f>
        <v/>
      </c>
    </row>
    <row r="965" spans="1:20">
      <c r="A965" s="18">
        <f>IF($C965="","",ROW()-4)</f>
        <v/>
      </c>
      <c r="B965" s="19"/>
      <c r="C965" s="13"/>
      <c r="D965" s="13"/>
      <c r="E965" s="13"/>
      <c r="F965" s="13"/>
      <c r="G965" s="13"/>
      <c r="H965" s="15"/>
      <c r="I965" s="19"/>
      <c r="J965" s="19"/>
      <c r="K965" s="19"/>
      <c r="L965" s="13"/>
      <c r="M965" s="13"/>
      <c r="N965" s="20">
        <f>IF($C965="","",IFERROR(INDEX(EtapaProb,MATCH($G965,Etapas,0)),0))</f>
        <v/>
      </c>
      <c r="O965" s="21">
        <f>IF($C965="","",IF($P965="Aberto",N($H965)*$N965,0))</f>
        <v/>
      </c>
      <c r="P965" s="18">
        <f>IF($C965="","",IF($G965="Ganho","Ganho",IF($G965="Perdido","Perdido","Aberto")))</f>
        <v/>
      </c>
      <c r="Q965" s="18">
        <f>IF(OR($C965="",$P965&lt;&gt;"Aberto"),"",IF($I965="",Hoje-$B965,Hoje-$I965))</f>
        <v/>
      </c>
      <c r="R965" s="22">
        <f>IF(OR($C965="",$P965&lt;&gt;"Aberto"),"",IF($J965="",IF($Q965&gt;DiasSC,"ATRASADO","Definir data"),IF($J965&lt;Hoje,"ATRASADO",IF($J965=Hoje,"HOJE","Em dia"))))</f>
        <v/>
      </c>
      <c r="S965" s="23">
        <f>IF($R965="","",IF(OR($R965="ATRASADO",$R965="HOJE",$R965="Definir data"),COUNTIF($R$5:$R965,"ATRASADO")+COUNTIF($R$5:$R965,"HOJE")+COUNTIF($R$5:$R965,"Definir data"),""))</f>
        <v/>
      </c>
      <c r="T965" s="18">
        <f>IF($C965="","",IF(OR($B965="",$E965="",$F965="",$G965=""),"Preencher entrada/origem/vendedor/etapa",IF(AND(OR($P965="Ganho",$P965="Perdido"),$K965=""),"Falta data de fechamento",IF(AND($P965="Perdido",$L965=""),"Informe o motivo da perda","OK"))))</f>
        <v/>
      </c>
    </row>
    <row r="966" spans="1:20">
      <c r="A966" s="18">
        <f>IF($C966="","",ROW()-4)</f>
        <v/>
      </c>
      <c r="B966" s="19"/>
      <c r="C966" s="13"/>
      <c r="D966" s="13"/>
      <c r="E966" s="13"/>
      <c r="F966" s="13"/>
      <c r="G966" s="13"/>
      <c r="H966" s="15"/>
      <c r="I966" s="19"/>
      <c r="J966" s="19"/>
      <c r="K966" s="19"/>
      <c r="L966" s="13"/>
      <c r="M966" s="13"/>
      <c r="N966" s="20">
        <f>IF($C966="","",IFERROR(INDEX(EtapaProb,MATCH($G966,Etapas,0)),0))</f>
        <v/>
      </c>
      <c r="O966" s="21">
        <f>IF($C966="","",IF($P966="Aberto",N($H966)*$N966,0))</f>
        <v/>
      </c>
      <c r="P966" s="18">
        <f>IF($C966="","",IF($G966="Ganho","Ganho",IF($G966="Perdido","Perdido","Aberto")))</f>
        <v/>
      </c>
      <c r="Q966" s="18">
        <f>IF(OR($C966="",$P966&lt;&gt;"Aberto"),"",IF($I966="",Hoje-$B966,Hoje-$I966))</f>
        <v/>
      </c>
      <c r="R966" s="22">
        <f>IF(OR($C966="",$P966&lt;&gt;"Aberto"),"",IF($J966="",IF($Q966&gt;DiasSC,"ATRASADO","Definir data"),IF($J966&lt;Hoje,"ATRASADO",IF($J966=Hoje,"HOJE","Em dia"))))</f>
        <v/>
      </c>
      <c r="S966" s="23">
        <f>IF($R966="","",IF(OR($R966="ATRASADO",$R966="HOJE",$R966="Definir data"),COUNTIF($R$5:$R966,"ATRASADO")+COUNTIF($R$5:$R966,"HOJE")+COUNTIF($R$5:$R966,"Definir data"),""))</f>
        <v/>
      </c>
      <c r="T966" s="18">
        <f>IF($C966="","",IF(OR($B966="",$E966="",$F966="",$G966=""),"Preencher entrada/origem/vendedor/etapa",IF(AND(OR($P966="Ganho",$P966="Perdido"),$K966=""),"Falta data de fechamento",IF(AND($P966="Perdido",$L966=""),"Informe o motivo da perda","OK"))))</f>
        <v/>
      </c>
    </row>
    <row r="967" spans="1:20">
      <c r="A967" s="18">
        <f>IF($C967="","",ROW()-4)</f>
        <v/>
      </c>
      <c r="B967" s="19"/>
      <c r="C967" s="13"/>
      <c r="D967" s="13"/>
      <c r="E967" s="13"/>
      <c r="F967" s="13"/>
      <c r="G967" s="13"/>
      <c r="H967" s="15"/>
      <c r="I967" s="19"/>
      <c r="J967" s="19"/>
      <c r="K967" s="19"/>
      <c r="L967" s="13"/>
      <c r="M967" s="13"/>
      <c r="N967" s="20">
        <f>IF($C967="","",IFERROR(INDEX(EtapaProb,MATCH($G967,Etapas,0)),0))</f>
        <v/>
      </c>
      <c r="O967" s="21">
        <f>IF($C967="","",IF($P967="Aberto",N($H967)*$N967,0))</f>
        <v/>
      </c>
      <c r="P967" s="18">
        <f>IF($C967="","",IF($G967="Ganho","Ganho",IF($G967="Perdido","Perdido","Aberto")))</f>
        <v/>
      </c>
      <c r="Q967" s="18">
        <f>IF(OR($C967="",$P967&lt;&gt;"Aberto"),"",IF($I967="",Hoje-$B967,Hoje-$I967))</f>
        <v/>
      </c>
      <c r="R967" s="22">
        <f>IF(OR($C967="",$P967&lt;&gt;"Aberto"),"",IF($J967="",IF($Q967&gt;DiasSC,"ATRASADO","Definir data"),IF($J967&lt;Hoje,"ATRASADO",IF($J967=Hoje,"HOJE","Em dia"))))</f>
        <v/>
      </c>
      <c r="S967" s="23">
        <f>IF($R967="","",IF(OR($R967="ATRASADO",$R967="HOJE",$R967="Definir data"),COUNTIF($R$5:$R967,"ATRASADO")+COUNTIF($R$5:$R967,"HOJE")+COUNTIF($R$5:$R967,"Definir data"),""))</f>
        <v/>
      </c>
      <c r="T967" s="18">
        <f>IF($C967="","",IF(OR($B967="",$E967="",$F967="",$G967=""),"Preencher entrada/origem/vendedor/etapa",IF(AND(OR($P967="Ganho",$P967="Perdido"),$K967=""),"Falta data de fechamento",IF(AND($P967="Perdido",$L967=""),"Informe o motivo da perda","OK"))))</f>
        <v/>
      </c>
    </row>
    <row r="968" spans="1:20">
      <c r="A968" s="18">
        <f>IF($C968="","",ROW()-4)</f>
        <v/>
      </c>
      <c r="B968" s="19"/>
      <c r="C968" s="13"/>
      <c r="D968" s="13"/>
      <c r="E968" s="13"/>
      <c r="F968" s="13"/>
      <c r="G968" s="13"/>
      <c r="H968" s="15"/>
      <c r="I968" s="19"/>
      <c r="J968" s="19"/>
      <c r="K968" s="19"/>
      <c r="L968" s="13"/>
      <c r="M968" s="13"/>
      <c r="N968" s="20">
        <f>IF($C968="","",IFERROR(INDEX(EtapaProb,MATCH($G968,Etapas,0)),0))</f>
        <v/>
      </c>
      <c r="O968" s="21">
        <f>IF($C968="","",IF($P968="Aberto",N($H968)*$N968,0))</f>
        <v/>
      </c>
      <c r="P968" s="18">
        <f>IF($C968="","",IF($G968="Ganho","Ganho",IF($G968="Perdido","Perdido","Aberto")))</f>
        <v/>
      </c>
      <c r="Q968" s="18">
        <f>IF(OR($C968="",$P968&lt;&gt;"Aberto"),"",IF($I968="",Hoje-$B968,Hoje-$I968))</f>
        <v/>
      </c>
      <c r="R968" s="22">
        <f>IF(OR($C968="",$P968&lt;&gt;"Aberto"),"",IF($J968="",IF($Q968&gt;DiasSC,"ATRASADO","Definir data"),IF($J968&lt;Hoje,"ATRASADO",IF($J968=Hoje,"HOJE","Em dia"))))</f>
        <v/>
      </c>
      <c r="S968" s="23">
        <f>IF($R968="","",IF(OR($R968="ATRASADO",$R968="HOJE",$R968="Definir data"),COUNTIF($R$5:$R968,"ATRASADO")+COUNTIF($R$5:$R968,"HOJE")+COUNTIF($R$5:$R968,"Definir data"),""))</f>
        <v/>
      </c>
      <c r="T968" s="18">
        <f>IF($C968="","",IF(OR($B968="",$E968="",$F968="",$G968=""),"Preencher entrada/origem/vendedor/etapa",IF(AND(OR($P968="Ganho",$P968="Perdido"),$K968=""),"Falta data de fechamento",IF(AND($P968="Perdido",$L968=""),"Informe o motivo da perda","OK"))))</f>
        <v/>
      </c>
    </row>
    <row r="969" spans="1:20">
      <c r="A969" s="18">
        <f>IF($C969="","",ROW()-4)</f>
        <v/>
      </c>
      <c r="B969" s="19"/>
      <c r="C969" s="13"/>
      <c r="D969" s="13"/>
      <c r="E969" s="13"/>
      <c r="F969" s="13"/>
      <c r="G969" s="13"/>
      <c r="H969" s="15"/>
      <c r="I969" s="19"/>
      <c r="J969" s="19"/>
      <c r="K969" s="19"/>
      <c r="L969" s="13"/>
      <c r="M969" s="13"/>
      <c r="N969" s="20">
        <f>IF($C969="","",IFERROR(INDEX(EtapaProb,MATCH($G969,Etapas,0)),0))</f>
        <v/>
      </c>
      <c r="O969" s="21">
        <f>IF($C969="","",IF($P969="Aberto",N($H969)*$N969,0))</f>
        <v/>
      </c>
      <c r="P969" s="18">
        <f>IF($C969="","",IF($G969="Ganho","Ganho",IF($G969="Perdido","Perdido","Aberto")))</f>
        <v/>
      </c>
      <c r="Q969" s="18">
        <f>IF(OR($C969="",$P969&lt;&gt;"Aberto"),"",IF($I969="",Hoje-$B969,Hoje-$I969))</f>
        <v/>
      </c>
      <c r="R969" s="22">
        <f>IF(OR($C969="",$P969&lt;&gt;"Aberto"),"",IF($J969="",IF($Q969&gt;DiasSC,"ATRASADO","Definir data"),IF($J969&lt;Hoje,"ATRASADO",IF($J969=Hoje,"HOJE","Em dia"))))</f>
        <v/>
      </c>
      <c r="S969" s="23">
        <f>IF($R969="","",IF(OR($R969="ATRASADO",$R969="HOJE",$R969="Definir data"),COUNTIF($R$5:$R969,"ATRASADO")+COUNTIF($R$5:$R969,"HOJE")+COUNTIF($R$5:$R969,"Definir data"),""))</f>
        <v/>
      </c>
      <c r="T969" s="18">
        <f>IF($C969="","",IF(OR($B969="",$E969="",$F969="",$G969=""),"Preencher entrada/origem/vendedor/etapa",IF(AND(OR($P969="Ganho",$P969="Perdido"),$K969=""),"Falta data de fechamento",IF(AND($P969="Perdido",$L969=""),"Informe o motivo da perda","OK"))))</f>
        <v/>
      </c>
    </row>
    <row r="970" spans="1:20">
      <c r="A970" s="18">
        <f>IF($C970="","",ROW()-4)</f>
        <v/>
      </c>
      <c r="B970" s="19"/>
      <c r="C970" s="13"/>
      <c r="D970" s="13"/>
      <c r="E970" s="13"/>
      <c r="F970" s="13"/>
      <c r="G970" s="13"/>
      <c r="H970" s="15"/>
      <c r="I970" s="19"/>
      <c r="J970" s="19"/>
      <c r="K970" s="19"/>
      <c r="L970" s="13"/>
      <c r="M970" s="13"/>
      <c r="N970" s="20">
        <f>IF($C970="","",IFERROR(INDEX(EtapaProb,MATCH($G970,Etapas,0)),0))</f>
        <v/>
      </c>
      <c r="O970" s="21">
        <f>IF($C970="","",IF($P970="Aberto",N($H970)*$N970,0))</f>
        <v/>
      </c>
      <c r="P970" s="18">
        <f>IF($C970="","",IF($G970="Ganho","Ganho",IF($G970="Perdido","Perdido","Aberto")))</f>
        <v/>
      </c>
      <c r="Q970" s="18">
        <f>IF(OR($C970="",$P970&lt;&gt;"Aberto"),"",IF($I970="",Hoje-$B970,Hoje-$I970))</f>
        <v/>
      </c>
      <c r="R970" s="22">
        <f>IF(OR($C970="",$P970&lt;&gt;"Aberto"),"",IF($J970="",IF($Q970&gt;DiasSC,"ATRASADO","Definir data"),IF($J970&lt;Hoje,"ATRASADO",IF($J970=Hoje,"HOJE","Em dia"))))</f>
        <v/>
      </c>
      <c r="S970" s="23">
        <f>IF($R970="","",IF(OR($R970="ATRASADO",$R970="HOJE",$R970="Definir data"),COUNTIF($R$5:$R970,"ATRASADO")+COUNTIF($R$5:$R970,"HOJE")+COUNTIF($R$5:$R970,"Definir data"),""))</f>
        <v/>
      </c>
      <c r="T970" s="18">
        <f>IF($C970="","",IF(OR($B970="",$E970="",$F970="",$G970=""),"Preencher entrada/origem/vendedor/etapa",IF(AND(OR($P970="Ganho",$P970="Perdido"),$K970=""),"Falta data de fechamento",IF(AND($P970="Perdido",$L970=""),"Informe o motivo da perda","OK"))))</f>
        <v/>
      </c>
    </row>
    <row r="971" spans="1:20">
      <c r="A971" s="18">
        <f>IF($C971="","",ROW()-4)</f>
        <v/>
      </c>
      <c r="B971" s="19"/>
      <c r="C971" s="13"/>
      <c r="D971" s="13"/>
      <c r="E971" s="13"/>
      <c r="F971" s="13"/>
      <c r="G971" s="13"/>
      <c r="H971" s="15"/>
      <c r="I971" s="19"/>
      <c r="J971" s="19"/>
      <c r="K971" s="19"/>
      <c r="L971" s="13"/>
      <c r="M971" s="13"/>
      <c r="N971" s="20">
        <f>IF($C971="","",IFERROR(INDEX(EtapaProb,MATCH($G971,Etapas,0)),0))</f>
        <v/>
      </c>
      <c r="O971" s="21">
        <f>IF($C971="","",IF($P971="Aberto",N($H971)*$N971,0))</f>
        <v/>
      </c>
      <c r="P971" s="18">
        <f>IF($C971="","",IF($G971="Ganho","Ganho",IF($G971="Perdido","Perdido","Aberto")))</f>
        <v/>
      </c>
      <c r="Q971" s="18">
        <f>IF(OR($C971="",$P971&lt;&gt;"Aberto"),"",IF($I971="",Hoje-$B971,Hoje-$I971))</f>
        <v/>
      </c>
      <c r="R971" s="22">
        <f>IF(OR($C971="",$P971&lt;&gt;"Aberto"),"",IF($J971="",IF($Q971&gt;DiasSC,"ATRASADO","Definir data"),IF($J971&lt;Hoje,"ATRASADO",IF($J971=Hoje,"HOJE","Em dia"))))</f>
        <v/>
      </c>
      <c r="S971" s="23">
        <f>IF($R971="","",IF(OR($R971="ATRASADO",$R971="HOJE",$R971="Definir data"),COUNTIF($R$5:$R971,"ATRASADO")+COUNTIF($R$5:$R971,"HOJE")+COUNTIF($R$5:$R971,"Definir data"),""))</f>
        <v/>
      </c>
      <c r="T971" s="18">
        <f>IF($C971="","",IF(OR($B971="",$E971="",$F971="",$G971=""),"Preencher entrada/origem/vendedor/etapa",IF(AND(OR($P971="Ganho",$P971="Perdido"),$K971=""),"Falta data de fechamento",IF(AND($P971="Perdido",$L971=""),"Informe o motivo da perda","OK"))))</f>
        <v/>
      </c>
    </row>
    <row r="972" spans="1:20">
      <c r="A972" s="18">
        <f>IF($C972="","",ROW()-4)</f>
        <v/>
      </c>
      <c r="B972" s="19"/>
      <c r="C972" s="13"/>
      <c r="D972" s="13"/>
      <c r="E972" s="13"/>
      <c r="F972" s="13"/>
      <c r="G972" s="13"/>
      <c r="H972" s="15"/>
      <c r="I972" s="19"/>
      <c r="J972" s="19"/>
      <c r="K972" s="19"/>
      <c r="L972" s="13"/>
      <c r="M972" s="13"/>
      <c r="N972" s="20">
        <f>IF($C972="","",IFERROR(INDEX(EtapaProb,MATCH($G972,Etapas,0)),0))</f>
        <v/>
      </c>
      <c r="O972" s="21">
        <f>IF($C972="","",IF($P972="Aberto",N($H972)*$N972,0))</f>
        <v/>
      </c>
      <c r="P972" s="18">
        <f>IF($C972="","",IF($G972="Ganho","Ganho",IF($G972="Perdido","Perdido","Aberto")))</f>
        <v/>
      </c>
      <c r="Q972" s="18">
        <f>IF(OR($C972="",$P972&lt;&gt;"Aberto"),"",IF($I972="",Hoje-$B972,Hoje-$I972))</f>
        <v/>
      </c>
      <c r="R972" s="22">
        <f>IF(OR($C972="",$P972&lt;&gt;"Aberto"),"",IF($J972="",IF($Q972&gt;DiasSC,"ATRASADO","Definir data"),IF($J972&lt;Hoje,"ATRASADO",IF($J972=Hoje,"HOJE","Em dia"))))</f>
        <v/>
      </c>
      <c r="S972" s="23">
        <f>IF($R972="","",IF(OR($R972="ATRASADO",$R972="HOJE",$R972="Definir data"),COUNTIF($R$5:$R972,"ATRASADO")+COUNTIF($R$5:$R972,"HOJE")+COUNTIF($R$5:$R972,"Definir data"),""))</f>
        <v/>
      </c>
      <c r="T972" s="18">
        <f>IF($C972="","",IF(OR($B972="",$E972="",$F972="",$G972=""),"Preencher entrada/origem/vendedor/etapa",IF(AND(OR($P972="Ganho",$P972="Perdido"),$K972=""),"Falta data de fechamento",IF(AND($P972="Perdido",$L972=""),"Informe o motivo da perda","OK"))))</f>
        <v/>
      </c>
    </row>
    <row r="973" spans="1:20">
      <c r="A973" s="18">
        <f>IF($C973="","",ROW()-4)</f>
        <v/>
      </c>
      <c r="B973" s="19"/>
      <c r="C973" s="13"/>
      <c r="D973" s="13"/>
      <c r="E973" s="13"/>
      <c r="F973" s="13"/>
      <c r="G973" s="13"/>
      <c r="H973" s="15"/>
      <c r="I973" s="19"/>
      <c r="J973" s="19"/>
      <c r="K973" s="19"/>
      <c r="L973" s="13"/>
      <c r="M973" s="13"/>
      <c r="N973" s="20">
        <f>IF($C973="","",IFERROR(INDEX(EtapaProb,MATCH($G973,Etapas,0)),0))</f>
        <v/>
      </c>
      <c r="O973" s="21">
        <f>IF($C973="","",IF($P973="Aberto",N($H973)*$N973,0))</f>
        <v/>
      </c>
      <c r="P973" s="18">
        <f>IF($C973="","",IF($G973="Ganho","Ganho",IF($G973="Perdido","Perdido","Aberto")))</f>
        <v/>
      </c>
      <c r="Q973" s="18">
        <f>IF(OR($C973="",$P973&lt;&gt;"Aberto"),"",IF($I973="",Hoje-$B973,Hoje-$I973))</f>
        <v/>
      </c>
      <c r="R973" s="22">
        <f>IF(OR($C973="",$P973&lt;&gt;"Aberto"),"",IF($J973="",IF($Q973&gt;DiasSC,"ATRASADO","Definir data"),IF($J973&lt;Hoje,"ATRASADO",IF($J973=Hoje,"HOJE","Em dia"))))</f>
        <v/>
      </c>
      <c r="S973" s="23">
        <f>IF($R973="","",IF(OR($R973="ATRASADO",$R973="HOJE",$R973="Definir data"),COUNTIF($R$5:$R973,"ATRASADO")+COUNTIF($R$5:$R973,"HOJE")+COUNTIF($R$5:$R973,"Definir data"),""))</f>
        <v/>
      </c>
      <c r="T973" s="18">
        <f>IF($C973="","",IF(OR($B973="",$E973="",$F973="",$G973=""),"Preencher entrada/origem/vendedor/etapa",IF(AND(OR($P973="Ganho",$P973="Perdido"),$K973=""),"Falta data de fechamento",IF(AND($P973="Perdido",$L973=""),"Informe o motivo da perda","OK"))))</f>
        <v/>
      </c>
    </row>
    <row r="974" spans="1:20">
      <c r="A974" s="18">
        <f>IF($C974="","",ROW()-4)</f>
        <v/>
      </c>
      <c r="B974" s="19"/>
      <c r="C974" s="13"/>
      <c r="D974" s="13"/>
      <c r="E974" s="13"/>
      <c r="F974" s="13"/>
      <c r="G974" s="13"/>
      <c r="H974" s="15"/>
      <c r="I974" s="19"/>
      <c r="J974" s="19"/>
      <c r="K974" s="19"/>
      <c r="L974" s="13"/>
      <c r="M974" s="13"/>
      <c r="N974" s="20">
        <f>IF($C974="","",IFERROR(INDEX(EtapaProb,MATCH($G974,Etapas,0)),0))</f>
        <v/>
      </c>
      <c r="O974" s="21">
        <f>IF($C974="","",IF($P974="Aberto",N($H974)*$N974,0))</f>
        <v/>
      </c>
      <c r="P974" s="18">
        <f>IF($C974="","",IF($G974="Ganho","Ganho",IF($G974="Perdido","Perdido","Aberto")))</f>
        <v/>
      </c>
      <c r="Q974" s="18">
        <f>IF(OR($C974="",$P974&lt;&gt;"Aberto"),"",IF($I974="",Hoje-$B974,Hoje-$I974))</f>
        <v/>
      </c>
      <c r="R974" s="22">
        <f>IF(OR($C974="",$P974&lt;&gt;"Aberto"),"",IF($J974="",IF($Q974&gt;DiasSC,"ATRASADO","Definir data"),IF($J974&lt;Hoje,"ATRASADO",IF($J974=Hoje,"HOJE","Em dia"))))</f>
        <v/>
      </c>
      <c r="S974" s="23">
        <f>IF($R974="","",IF(OR($R974="ATRASADO",$R974="HOJE",$R974="Definir data"),COUNTIF($R$5:$R974,"ATRASADO")+COUNTIF($R$5:$R974,"HOJE")+COUNTIF($R$5:$R974,"Definir data"),""))</f>
        <v/>
      </c>
      <c r="T974" s="18">
        <f>IF($C974="","",IF(OR($B974="",$E974="",$F974="",$G974=""),"Preencher entrada/origem/vendedor/etapa",IF(AND(OR($P974="Ganho",$P974="Perdido"),$K974=""),"Falta data de fechamento",IF(AND($P974="Perdido",$L974=""),"Informe o motivo da perda","OK"))))</f>
        <v/>
      </c>
    </row>
    <row r="975" spans="1:20">
      <c r="A975" s="18">
        <f>IF($C975="","",ROW()-4)</f>
        <v/>
      </c>
      <c r="B975" s="19"/>
      <c r="C975" s="13"/>
      <c r="D975" s="13"/>
      <c r="E975" s="13"/>
      <c r="F975" s="13"/>
      <c r="G975" s="13"/>
      <c r="H975" s="15"/>
      <c r="I975" s="19"/>
      <c r="J975" s="19"/>
      <c r="K975" s="19"/>
      <c r="L975" s="13"/>
      <c r="M975" s="13"/>
      <c r="N975" s="20">
        <f>IF($C975="","",IFERROR(INDEX(EtapaProb,MATCH($G975,Etapas,0)),0))</f>
        <v/>
      </c>
      <c r="O975" s="21">
        <f>IF($C975="","",IF($P975="Aberto",N($H975)*$N975,0))</f>
        <v/>
      </c>
      <c r="P975" s="18">
        <f>IF($C975="","",IF($G975="Ganho","Ganho",IF($G975="Perdido","Perdido","Aberto")))</f>
        <v/>
      </c>
      <c r="Q975" s="18">
        <f>IF(OR($C975="",$P975&lt;&gt;"Aberto"),"",IF($I975="",Hoje-$B975,Hoje-$I975))</f>
        <v/>
      </c>
      <c r="R975" s="22">
        <f>IF(OR($C975="",$P975&lt;&gt;"Aberto"),"",IF($J975="",IF($Q975&gt;DiasSC,"ATRASADO","Definir data"),IF($J975&lt;Hoje,"ATRASADO",IF($J975=Hoje,"HOJE","Em dia"))))</f>
        <v/>
      </c>
      <c r="S975" s="23">
        <f>IF($R975="","",IF(OR($R975="ATRASADO",$R975="HOJE",$R975="Definir data"),COUNTIF($R$5:$R975,"ATRASADO")+COUNTIF($R$5:$R975,"HOJE")+COUNTIF($R$5:$R975,"Definir data"),""))</f>
        <v/>
      </c>
      <c r="T975" s="18">
        <f>IF($C975="","",IF(OR($B975="",$E975="",$F975="",$G975=""),"Preencher entrada/origem/vendedor/etapa",IF(AND(OR($P975="Ganho",$P975="Perdido"),$K975=""),"Falta data de fechamento",IF(AND($P975="Perdido",$L975=""),"Informe o motivo da perda","OK"))))</f>
        <v/>
      </c>
    </row>
    <row r="976" spans="1:20">
      <c r="A976" s="18">
        <f>IF($C976="","",ROW()-4)</f>
        <v/>
      </c>
      <c r="B976" s="19"/>
      <c r="C976" s="13"/>
      <c r="D976" s="13"/>
      <c r="E976" s="13"/>
      <c r="F976" s="13"/>
      <c r="G976" s="13"/>
      <c r="H976" s="15"/>
      <c r="I976" s="19"/>
      <c r="J976" s="19"/>
      <c r="K976" s="19"/>
      <c r="L976" s="13"/>
      <c r="M976" s="13"/>
      <c r="N976" s="20">
        <f>IF($C976="","",IFERROR(INDEX(EtapaProb,MATCH($G976,Etapas,0)),0))</f>
        <v/>
      </c>
      <c r="O976" s="21">
        <f>IF($C976="","",IF($P976="Aberto",N($H976)*$N976,0))</f>
        <v/>
      </c>
      <c r="P976" s="18">
        <f>IF($C976="","",IF($G976="Ganho","Ganho",IF($G976="Perdido","Perdido","Aberto")))</f>
        <v/>
      </c>
      <c r="Q976" s="18">
        <f>IF(OR($C976="",$P976&lt;&gt;"Aberto"),"",IF($I976="",Hoje-$B976,Hoje-$I976))</f>
        <v/>
      </c>
      <c r="R976" s="22">
        <f>IF(OR($C976="",$P976&lt;&gt;"Aberto"),"",IF($J976="",IF($Q976&gt;DiasSC,"ATRASADO","Definir data"),IF($J976&lt;Hoje,"ATRASADO",IF($J976=Hoje,"HOJE","Em dia"))))</f>
        <v/>
      </c>
      <c r="S976" s="23">
        <f>IF($R976="","",IF(OR($R976="ATRASADO",$R976="HOJE",$R976="Definir data"),COUNTIF($R$5:$R976,"ATRASADO")+COUNTIF($R$5:$R976,"HOJE")+COUNTIF($R$5:$R976,"Definir data"),""))</f>
        <v/>
      </c>
      <c r="T976" s="18">
        <f>IF($C976="","",IF(OR($B976="",$E976="",$F976="",$G976=""),"Preencher entrada/origem/vendedor/etapa",IF(AND(OR($P976="Ganho",$P976="Perdido"),$K976=""),"Falta data de fechamento",IF(AND($P976="Perdido",$L976=""),"Informe o motivo da perda","OK"))))</f>
        <v/>
      </c>
    </row>
    <row r="977" spans="1:20">
      <c r="A977" s="18">
        <f>IF($C977="","",ROW()-4)</f>
        <v/>
      </c>
      <c r="B977" s="19"/>
      <c r="C977" s="13"/>
      <c r="D977" s="13"/>
      <c r="E977" s="13"/>
      <c r="F977" s="13"/>
      <c r="G977" s="13"/>
      <c r="H977" s="15"/>
      <c r="I977" s="19"/>
      <c r="J977" s="19"/>
      <c r="K977" s="19"/>
      <c r="L977" s="13"/>
      <c r="M977" s="13"/>
      <c r="N977" s="20">
        <f>IF($C977="","",IFERROR(INDEX(EtapaProb,MATCH($G977,Etapas,0)),0))</f>
        <v/>
      </c>
      <c r="O977" s="21">
        <f>IF($C977="","",IF($P977="Aberto",N($H977)*$N977,0))</f>
        <v/>
      </c>
      <c r="P977" s="18">
        <f>IF($C977="","",IF($G977="Ganho","Ganho",IF($G977="Perdido","Perdido","Aberto")))</f>
        <v/>
      </c>
      <c r="Q977" s="18">
        <f>IF(OR($C977="",$P977&lt;&gt;"Aberto"),"",IF($I977="",Hoje-$B977,Hoje-$I977))</f>
        <v/>
      </c>
      <c r="R977" s="22">
        <f>IF(OR($C977="",$P977&lt;&gt;"Aberto"),"",IF($J977="",IF($Q977&gt;DiasSC,"ATRASADO","Definir data"),IF($J977&lt;Hoje,"ATRASADO",IF($J977=Hoje,"HOJE","Em dia"))))</f>
        <v/>
      </c>
      <c r="S977" s="23">
        <f>IF($R977="","",IF(OR($R977="ATRASADO",$R977="HOJE",$R977="Definir data"),COUNTIF($R$5:$R977,"ATRASADO")+COUNTIF($R$5:$R977,"HOJE")+COUNTIF($R$5:$R977,"Definir data"),""))</f>
        <v/>
      </c>
      <c r="T977" s="18">
        <f>IF($C977="","",IF(OR($B977="",$E977="",$F977="",$G977=""),"Preencher entrada/origem/vendedor/etapa",IF(AND(OR($P977="Ganho",$P977="Perdido"),$K977=""),"Falta data de fechamento",IF(AND($P977="Perdido",$L977=""),"Informe o motivo da perda","OK"))))</f>
        <v/>
      </c>
    </row>
    <row r="978" spans="1:20">
      <c r="A978" s="18">
        <f>IF($C978="","",ROW()-4)</f>
        <v/>
      </c>
      <c r="B978" s="19"/>
      <c r="C978" s="13"/>
      <c r="D978" s="13"/>
      <c r="E978" s="13"/>
      <c r="F978" s="13"/>
      <c r="G978" s="13"/>
      <c r="H978" s="15"/>
      <c r="I978" s="19"/>
      <c r="J978" s="19"/>
      <c r="K978" s="19"/>
      <c r="L978" s="13"/>
      <c r="M978" s="13"/>
      <c r="N978" s="20">
        <f>IF($C978="","",IFERROR(INDEX(EtapaProb,MATCH($G978,Etapas,0)),0))</f>
        <v/>
      </c>
      <c r="O978" s="21">
        <f>IF($C978="","",IF($P978="Aberto",N($H978)*$N978,0))</f>
        <v/>
      </c>
      <c r="P978" s="18">
        <f>IF($C978="","",IF($G978="Ganho","Ganho",IF($G978="Perdido","Perdido","Aberto")))</f>
        <v/>
      </c>
      <c r="Q978" s="18">
        <f>IF(OR($C978="",$P978&lt;&gt;"Aberto"),"",IF($I978="",Hoje-$B978,Hoje-$I978))</f>
        <v/>
      </c>
      <c r="R978" s="22">
        <f>IF(OR($C978="",$P978&lt;&gt;"Aberto"),"",IF($J978="",IF($Q978&gt;DiasSC,"ATRASADO","Definir data"),IF($J978&lt;Hoje,"ATRASADO",IF($J978=Hoje,"HOJE","Em dia"))))</f>
        <v/>
      </c>
      <c r="S978" s="23">
        <f>IF($R978="","",IF(OR($R978="ATRASADO",$R978="HOJE",$R978="Definir data"),COUNTIF($R$5:$R978,"ATRASADO")+COUNTIF($R$5:$R978,"HOJE")+COUNTIF($R$5:$R978,"Definir data"),""))</f>
        <v/>
      </c>
      <c r="T978" s="18">
        <f>IF($C978="","",IF(OR($B978="",$E978="",$F978="",$G978=""),"Preencher entrada/origem/vendedor/etapa",IF(AND(OR($P978="Ganho",$P978="Perdido"),$K978=""),"Falta data de fechamento",IF(AND($P978="Perdido",$L978=""),"Informe o motivo da perda","OK"))))</f>
        <v/>
      </c>
    </row>
    <row r="979" spans="1:20">
      <c r="A979" s="18">
        <f>IF($C979="","",ROW()-4)</f>
        <v/>
      </c>
      <c r="B979" s="19"/>
      <c r="C979" s="13"/>
      <c r="D979" s="13"/>
      <c r="E979" s="13"/>
      <c r="F979" s="13"/>
      <c r="G979" s="13"/>
      <c r="H979" s="15"/>
      <c r="I979" s="19"/>
      <c r="J979" s="19"/>
      <c r="K979" s="19"/>
      <c r="L979" s="13"/>
      <c r="M979" s="13"/>
      <c r="N979" s="20">
        <f>IF($C979="","",IFERROR(INDEX(EtapaProb,MATCH($G979,Etapas,0)),0))</f>
        <v/>
      </c>
      <c r="O979" s="21">
        <f>IF($C979="","",IF($P979="Aberto",N($H979)*$N979,0))</f>
        <v/>
      </c>
      <c r="P979" s="18">
        <f>IF($C979="","",IF($G979="Ganho","Ganho",IF($G979="Perdido","Perdido","Aberto")))</f>
        <v/>
      </c>
      <c r="Q979" s="18">
        <f>IF(OR($C979="",$P979&lt;&gt;"Aberto"),"",IF($I979="",Hoje-$B979,Hoje-$I979))</f>
        <v/>
      </c>
      <c r="R979" s="22">
        <f>IF(OR($C979="",$P979&lt;&gt;"Aberto"),"",IF($J979="",IF($Q979&gt;DiasSC,"ATRASADO","Definir data"),IF($J979&lt;Hoje,"ATRASADO",IF($J979=Hoje,"HOJE","Em dia"))))</f>
        <v/>
      </c>
      <c r="S979" s="23">
        <f>IF($R979="","",IF(OR($R979="ATRASADO",$R979="HOJE",$R979="Definir data"),COUNTIF($R$5:$R979,"ATRASADO")+COUNTIF($R$5:$R979,"HOJE")+COUNTIF($R$5:$R979,"Definir data"),""))</f>
        <v/>
      </c>
      <c r="T979" s="18">
        <f>IF($C979="","",IF(OR($B979="",$E979="",$F979="",$G979=""),"Preencher entrada/origem/vendedor/etapa",IF(AND(OR($P979="Ganho",$P979="Perdido"),$K979=""),"Falta data de fechamento",IF(AND($P979="Perdido",$L979=""),"Informe o motivo da perda","OK"))))</f>
        <v/>
      </c>
    </row>
    <row r="980" spans="1:20">
      <c r="A980" s="18">
        <f>IF($C980="","",ROW()-4)</f>
        <v/>
      </c>
      <c r="B980" s="19"/>
      <c r="C980" s="13"/>
      <c r="D980" s="13"/>
      <c r="E980" s="13"/>
      <c r="F980" s="13"/>
      <c r="G980" s="13"/>
      <c r="H980" s="15"/>
      <c r="I980" s="19"/>
      <c r="J980" s="19"/>
      <c r="K980" s="19"/>
      <c r="L980" s="13"/>
      <c r="M980" s="13"/>
      <c r="N980" s="20">
        <f>IF($C980="","",IFERROR(INDEX(EtapaProb,MATCH($G980,Etapas,0)),0))</f>
        <v/>
      </c>
      <c r="O980" s="21">
        <f>IF($C980="","",IF($P980="Aberto",N($H980)*$N980,0))</f>
        <v/>
      </c>
      <c r="P980" s="18">
        <f>IF($C980="","",IF($G980="Ganho","Ganho",IF($G980="Perdido","Perdido","Aberto")))</f>
        <v/>
      </c>
      <c r="Q980" s="18">
        <f>IF(OR($C980="",$P980&lt;&gt;"Aberto"),"",IF($I980="",Hoje-$B980,Hoje-$I980))</f>
        <v/>
      </c>
      <c r="R980" s="22">
        <f>IF(OR($C980="",$P980&lt;&gt;"Aberto"),"",IF($J980="",IF($Q980&gt;DiasSC,"ATRASADO","Definir data"),IF($J980&lt;Hoje,"ATRASADO",IF($J980=Hoje,"HOJE","Em dia"))))</f>
        <v/>
      </c>
      <c r="S980" s="23">
        <f>IF($R980="","",IF(OR($R980="ATRASADO",$R980="HOJE",$R980="Definir data"),COUNTIF($R$5:$R980,"ATRASADO")+COUNTIF($R$5:$R980,"HOJE")+COUNTIF($R$5:$R980,"Definir data"),""))</f>
        <v/>
      </c>
      <c r="T980" s="18">
        <f>IF($C980="","",IF(OR($B980="",$E980="",$F980="",$G980=""),"Preencher entrada/origem/vendedor/etapa",IF(AND(OR($P980="Ganho",$P980="Perdido"),$K980=""),"Falta data de fechamento",IF(AND($P980="Perdido",$L980=""),"Informe o motivo da perda","OK"))))</f>
        <v/>
      </c>
    </row>
    <row r="981" spans="1:20">
      <c r="A981" s="18">
        <f>IF($C981="","",ROW()-4)</f>
        <v/>
      </c>
      <c r="B981" s="19"/>
      <c r="C981" s="13"/>
      <c r="D981" s="13"/>
      <c r="E981" s="13"/>
      <c r="F981" s="13"/>
      <c r="G981" s="13"/>
      <c r="H981" s="15"/>
      <c r="I981" s="19"/>
      <c r="J981" s="19"/>
      <c r="K981" s="19"/>
      <c r="L981" s="13"/>
      <c r="M981" s="13"/>
      <c r="N981" s="20">
        <f>IF($C981="","",IFERROR(INDEX(EtapaProb,MATCH($G981,Etapas,0)),0))</f>
        <v/>
      </c>
      <c r="O981" s="21">
        <f>IF($C981="","",IF($P981="Aberto",N($H981)*$N981,0))</f>
        <v/>
      </c>
      <c r="P981" s="18">
        <f>IF($C981="","",IF($G981="Ganho","Ganho",IF($G981="Perdido","Perdido","Aberto")))</f>
        <v/>
      </c>
      <c r="Q981" s="18">
        <f>IF(OR($C981="",$P981&lt;&gt;"Aberto"),"",IF($I981="",Hoje-$B981,Hoje-$I981))</f>
        <v/>
      </c>
      <c r="R981" s="22">
        <f>IF(OR($C981="",$P981&lt;&gt;"Aberto"),"",IF($J981="",IF($Q981&gt;DiasSC,"ATRASADO","Definir data"),IF($J981&lt;Hoje,"ATRASADO",IF($J981=Hoje,"HOJE","Em dia"))))</f>
        <v/>
      </c>
      <c r="S981" s="23">
        <f>IF($R981="","",IF(OR($R981="ATRASADO",$R981="HOJE",$R981="Definir data"),COUNTIF($R$5:$R981,"ATRASADO")+COUNTIF($R$5:$R981,"HOJE")+COUNTIF($R$5:$R981,"Definir data"),""))</f>
        <v/>
      </c>
      <c r="T981" s="18">
        <f>IF($C981="","",IF(OR($B981="",$E981="",$F981="",$G981=""),"Preencher entrada/origem/vendedor/etapa",IF(AND(OR($P981="Ganho",$P981="Perdido"),$K981=""),"Falta data de fechamento",IF(AND($P981="Perdido",$L981=""),"Informe o motivo da perda","OK"))))</f>
        <v/>
      </c>
    </row>
    <row r="982" spans="1:20">
      <c r="A982" s="18">
        <f>IF($C982="","",ROW()-4)</f>
        <v/>
      </c>
      <c r="B982" s="19"/>
      <c r="C982" s="13"/>
      <c r="D982" s="13"/>
      <c r="E982" s="13"/>
      <c r="F982" s="13"/>
      <c r="G982" s="13"/>
      <c r="H982" s="15"/>
      <c r="I982" s="19"/>
      <c r="J982" s="19"/>
      <c r="K982" s="19"/>
      <c r="L982" s="13"/>
      <c r="M982" s="13"/>
      <c r="N982" s="20">
        <f>IF($C982="","",IFERROR(INDEX(EtapaProb,MATCH($G982,Etapas,0)),0))</f>
        <v/>
      </c>
      <c r="O982" s="21">
        <f>IF($C982="","",IF($P982="Aberto",N($H982)*$N982,0))</f>
        <v/>
      </c>
      <c r="P982" s="18">
        <f>IF($C982="","",IF($G982="Ganho","Ganho",IF($G982="Perdido","Perdido","Aberto")))</f>
        <v/>
      </c>
      <c r="Q982" s="18">
        <f>IF(OR($C982="",$P982&lt;&gt;"Aberto"),"",IF($I982="",Hoje-$B982,Hoje-$I982))</f>
        <v/>
      </c>
      <c r="R982" s="22">
        <f>IF(OR($C982="",$P982&lt;&gt;"Aberto"),"",IF($J982="",IF($Q982&gt;DiasSC,"ATRASADO","Definir data"),IF($J982&lt;Hoje,"ATRASADO",IF($J982=Hoje,"HOJE","Em dia"))))</f>
        <v/>
      </c>
      <c r="S982" s="23">
        <f>IF($R982="","",IF(OR($R982="ATRASADO",$R982="HOJE",$R982="Definir data"),COUNTIF($R$5:$R982,"ATRASADO")+COUNTIF($R$5:$R982,"HOJE")+COUNTIF($R$5:$R982,"Definir data"),""))</f>
        <v/>
      </c>
      <c r="T982" s="18">
        <f>IF($C982="","",IF(OR($B982="",$E982="",$F982="",$G982=""),"Preencher entrada/origem/vendedor/etapa",IF(AND(OR($P982="Ganho",$P982="Perdido"),$K982=""),"Falta data de fechamento",IF(AND($P982="Perdido",$L982=""),"Informe o motivo da perda","OK"))))</f>
        <v/>
      </c>
    </row>
    <row r="983" spans="1:20">
      <c r="A983" s="18">
        <f>IF($C983="","",ROW()-4)</f>
        <v/>
      </c>
      <c r="B983" s="19"/>
      <c r="C983" s="13"/>
      <c r="D983" s="13"/>
      <c r="E983" s="13"/>
      <c r="F983" s="13"/>
      <c r="G983" s="13"/>
      <c r="H983" s="15"/>
      <c r="I983" s="19"/>
      <c r="J983" s="19"/>
      <c r="K983" s="19"/>
      <c r="L983" s="13"/>
      <c r="M983" s="13"/>
      <c r="N983" s="20">
        <f>IF($C983="","",IFERROR(INDEX(EtapaProb,MATCH($G983,Etapas,0)),0))</f>
        <v/>
      </c>
      <c r="O983" s="21">
        <f>IF($C983="","",IF($P983="Aberto",N($H983)*$N983,0))</f>
        <v/>
      </c>
      <c r="P983" s="18">
        <f>IF($C983="","",IF($G983="Ganho","Ganho",IF($G983="Perdido","Perdido","Aberto")))</f>
        <v/>
      </c>
      <c r="Q983" s="18">
        <f>IF(OR($C983="",$P983&lt;&gt;"Aberto"),"",IF($I983="",Hoje-$B983,Hoje-$I983))</f>
        <v/>
      </c>
      <c r="R983" s="22">
        <f>IF(OR($C983="",$P983&lt;&gt;"Aberto"),"",IF($J983="",IF($Q983&gt;DiasSC,"ATRASADO","Definir data"),IF($J983&lt;Hoje,"ATRASADO",IF($J983=Hoje,"HOJE","Em dia"))))</f>
        <v/>
      </c>
      <c r="S983" s="23">
        <f>IF($R983="","",IF(OR($R983="ATRASADO",$R983="HOJE",$R983="Definir data"),COUNTIF($R$5:$R983,"ATRASADO")+COUNTIF($R$5:$R983,"HOJE")+COUNTIF($R$5:$R983,"Definir data"),""))</f>
        <v/>
      </c>
      <c r="T983" s="18">
        <f>IF($C983="","",IF(OR($B983="",$E983="",$F983="",$G983=""),"Preencher entrada/origem/vendedor/etapa",IF(AND(OR($P983="Ganho",$P983="Perdido"),$K983=""),"Falta data de fechamento",IF(AND($P983="Perdido",$L983=""),"Informe o motivo da perda","OK"))))</f>
        <v/>
      </c>
    </row>
    <row r="984" spans="1:20">
      <c r="A984" s="18">
        <f>IF($C984="","",ROW()-4)</f>
        <v/>
      </c>
      <c r="B984" s="19"/>
      <c r="C984" s="13"/>
      <c r="D984" s="13"/>
      <c r="E984" s="13"/>
      <c r="F984" s="13"/>
      <c r="G984" s="13"/>
      <c r="H984" s="15"/>
      <c r="I984" s="19"/>
      <c r="J984" s="19"/>
      <c r="K984" s="19"/>
      <c r="L984" s="13"/>
      <c r="M984" s="13"/>
      <c r="N984" s="20">
        <f>IF($C984="","",IFERROR(INDEX(EtapaProb,MATCH($G984,Etapas,0)),0))</f>
        <v/>
      </c>
      <c r="O984" s="21">
        <f>IF($C984="","",IF($P984="Aberto",N($H984)*$N984,0))</f>
        <v/>
      </c>
      <c r="P984" s="18">
        <f>IF($C984="","",IF($G984="Ganho","Ganho",IF($G984="Perdido","Perdido","Aberto")))</f>
        <v/>
      </c>
      <c r="Q984" s="18">
        <f>IF(OR($C984="",$P984&lt;&gt;"Aberto"),"",IF($I984="",Hoje-$B984,Hoje-$I984))</f>
        <v/>
      </c>
      <c r="R984" s="22">
        <f>IF(OR($C984="",$P984&lt;&gt;"Aberto"),"",IF($J984="",IF($Q984&gt;DiasSC,"ATRASADO","Definir data"),IF($J984&lt;Hoje,"ATRASADO",IF($J984=Hoje,"HOJE","Em dia"))))</f>
        <v/>
      </c>
      <c r="S984" s="23">
        <f>IF($R984="","",IF(OR($R984="ATRASADO",$R984="HOJE",$R984="Definir data"),COUNTIF($R$5:$R984,"ATRASADO")+COUNTIF($R$5:$R984,"HOJE")+COUNTIF($R$5:$R984,"Definir data"),""))</f>
        <v/>
      </c>
      <c r="T984" s="18">
        <f>IF($C984="","",IF(OR($B984="",$E984="",$F984="",$G984=""),"Preencher entrada/origem/vendedor/etapa",IF(AND(OR($P984="Ganho",$P984="Perdido"),$K984=""),"Falta data de fechamento",IF(AND($P984="Perdido",$L984=""),"Informe o motivo da perda","OK"))))</f>
        <v/>
      </c>
    </row>
    <row r="985" spans="1:20">
      <c r="A985" s="18">
        <f>IF($C985="","",ROW()-4)</f>
        <v/>
      </c>
      <c r="B985" s="19"/>
      <c r="C985" s="13"/>
      <c r="D985" s="13"/>
      <c r="E985" s="13"/>
      <c r="F985" s="13"/>
      <c r="G985" s="13"/>
      <c r="H985" s="15"/>
      <c r="I985" s="19"/>
      <c r="J985" s="19"/>
      <c r="K985" s="19"/>
      <c r="L985" s="13"/>
      <c r="M985" s="13"/>
      <c r="N985" s="20">
        <f>IF($C985="","",IFERROR(INDEX(EtapaProb,MATCH($G985,Etapas,0)),0))</f>
        <v/>
      </c>
      <c r="O985" s="21">
        <f>IF($C985="","",IF($P985="Aberto",N($H985)*$N985,0))</f>
        <v/>
      </c>
      <c r="P985" s="18">
        <f>IF($C985="","",IF($G985="Ganho","Ganho",IF($G985="Perdido","Perdido","Aberto")))</f>
        <v/>
      </c>
      <c r="Q985" s="18">
        <f>IF(OR($C985="",$P985&lt;&gt;"Aberto"),"",IF($I985="",Hoje-$B985,Hoje-$I985))</f>
        <v/>
      </c>
      <c r="R985" s="22">
        <f>IF(OR($C985="",$P985&lt;&gt;"Aberto"),"",IF($J985="",IF($Q985&gt;DiasSC,"ATRASADO","Definir data"),IF($J985&lt;Hoje,"ATRASADO",IF($J985=Hoje,"HOJE","Em dia"))))</f>
        <v/>
      </c>
      <c r="S985" s="23">
        <f>IF($R985="","",IF(OR($R985="ATRASADO",$R985="HOJE",$R985="Definir data"),COUNTIF($R$5:$R985,"ATRASADO")+COUNTIF($R$5:$R985,"HOJE")+COUNTIF($R$5:$R985,"Definir data"),""))</f>
        <v/>
      </c>
      <c r="T985" s="18">
        <f>IF($C985="","",IF(OR($B985="",$E985="",$F985="",$G985=""),"Preencher entrada/origem/vendedor/etapa",IF(AND(OR($P985="Ganho",$P985="Perdido"),$K985=""),"Falta data de fechamento",IF(AND($P985="Perdido",$L985=""),"Informe o motivo da perda","OK"))))</f>
        <v/>
      </c>
    </row>
    <row r="986" spans="1:20">
      <c r="A986" s="18">
        <f>IF($C986="","",ROW()-4)</f>
        <v/>
      </c>
      <c r="B986" s="19"/>
      <c r="C986" s="13"/>
      <c r="D986" s="13"/>
      <c r="E986" s="13"/>
      <c r="F986" s="13"/>
      <c r="G986" s="13"/>
      <c r="H986" s="15"/>
      <c r="I986" s="19"/>
      <c r="J986" s="19"/>
      <c r="K986" s="19"/>
      <c r="L986" s="13"/>
      <c r="M986" s="13"/>
      <c r="N986" s="20">
        <f>IF($C986="","",IFERROR(INDEX(EtapaProb,MATCH($G986,Etapas,0)),0))</f>
        <v/>
      </c>
      <c r="O986" s="21">
        <f>IF($C986="","",IF($P986="Aberto",N($H986)*$N986,0))</f>
        <v/>
      </c>
      <c r="P986" s="18">
        <f>IF($C986="","",IF($G986="Ganho","Ganho",IF($G986="Perdido","Perdido","Aberto")))</f>
        <v/>
      </c>
      <c r="Q986" s="18">
        <f>IF(OR($C986="",$P986&lt;&gt;"Aberto"),"",IF($I986="",Hoje-$B986,Hoje-$I986))</f>
        <v/>
      </c>
      <c r="R986" s="22">
        <f>IF(OR($C986="",$P986&lt;&gt;"Aberto"),"",IF($J986="",IF($Q986&gt;DiasSC,"ATRASADO","Definir data"),IF($J986&lt;Hoje,"ATRASADO",IF($J986=Hoje,"HOJE","Em dia"))))</f>
        <v/>
      </c>
      <c r="S986" s="23">
        <f>IF($R986="","",IF(OR($R986="ATRASADO",$R986="HOJE",$R986="Definir data"),COUNTIF($R$5:$R986,"ATRASADO")+COUNTIF($R$5:$R986,"HOJE")+COUNTIF($R$5:$R986,"Definir data"),""))</f>
        <v/>
      </c>
      <c r="T986" s="18">
        <f>IF($C986="","",IF(OR($B986="",$E986="",$F986="",$G986=""),"Preencher entrada/origem/vendedor/etapa",IF(AND(OR($P986="Ganho",$P986="Perdido"),$K986=""),"Falta data de fechamento",IF(AND($P986="Perdido",$L986=""),"Informe o motivo da perda","OK"))))</f>
        <v/>
      </c>
    </row>
    <row r="987" spans="1:20">
      <c r="A987" s="18">
        <f>IF($C987="","",ROW()-4)</f>
        <v/>
      </c>
      <c r="B987" s="19"/>
      <c r="C987" s="13"/>
      <c r="D987" s="13"/>
      <c r="E987" s="13"/>
      <c r="F987" s="13"/>
      <c r="G987" s="13"/>
      <c r="H987" s="15"/>
      <c r="I987" s="19"/>
      <c r="J987" s="19"/>
      <c r="K987" s="19"/>
      <c r="L987" s="13"/>
      <c r="M987" s="13"/>
      <c r="N987" s="20">
        <f>IF($C987="","",IFERROR(INDEX(EtapaProb,MATCH($G987,Etapas,0)),0))</f>
        <v/>
      </c>
      <c r="O987" s="21">
        <f>IF($C987="","",IF($P987="Aberto",N($H987)*$N987,0))</f>
        <v/>
      </c>
      <c r="P987" s="18">
        <f>IF($C987="","",IF($G987="Ganho","Ganho",IF($G987="Perdido","Perdido","Aberto")))</f>
        <v/>
      </c>
      <c r="Q987" s="18">
        <f>IF(OR($C987="",$P987&lt;&gt;"Aberto"),"",IF($I987="",Hoje-$B987,Hoje-$I987))</f>
        <v/>
      </c>
      <c r="R987" s="22">
        <f>IF(OR($C987="",$P987&lt;&gt;"Aberto"),"",IF($J987="",IF($Q987&gt;DiasSC,"ATRASADO","Definir data"),IF($J987&lt;Hoje,"ATRASADO",IF($J987=Hoje,"HOJE","Em dia"))))</f>
        <v/>
      </c>
      <c r="S987" s="23">
        <f>IF($R987="","",IF(OR($R987="ATRASADO",$R987="HOJE",$R987="Definir data"),COUNTIF($R$5:$R987,"ATRASADO")+COUNTIF($R$5:$R987,"HOJE")+COUNTIF($R$5:$R987,"Definir data"),""))</f>
        <v/>
      </c>
      <c r="T987" s="18">
        <f>IF($C987="","",IF(OR($B987="",$E987="",$F987="",$G987=""),"Preencher entrada/origem/vendedor/etapa",IF(AND(OR($P987="Ganho",$P987="Perdido"),$K987=""),"Falta data de fechamento",IF(AND($P987="Perdido",$L987=""),"Informe o motivo da perda","OK"))))</f>
        <v/>
      </c>
    </row>
    <row r="988" spans="1:20">
      <c r="A988" s="18">
        <f>IF($C988="","",ROW()-4)</f>
        <v/>
      </c>
      <c r="B988" s="19"/>
      <c r="C988" s="13"/>
      <c r="D988" s="13"/>
      <c r="E988" s="13"/>
      <c r="F988" s="13"/>
      <c r="G988" s="13"/>
      <c r="H988" s="15"/>
      <c r="I988" s="19"/>
      <c r="J988" s="19"/>
      <c r="K988" s="19"/>
      <c r="L988" s="13"/>
      <c r="M988" s="13"/>
      <c r="N988" s="20">
        <f>IF($C988="","",IFERROR(INDEX(EtapaProb,MATCH($G988,Etapas,0)),0))</f>
        <v/>
      </c>
      <c r="O988" s="21">
        <f>IF($C988="","",IF($P988="Aberto",N($H988)*$N988,0))</f>
        <v/>
      </c>
      <c r="P988" s="18">
        <f>IF($C988="","",IF($G988="Ganho","Ganho",IF($G988="Perdido","Perdido","Aberto")))</f>
        <v/>
      </c>
      <c r="Q988" s="18">
        <f>IF(OR($C988="",$P988&lt;&gt;"Aberto"),"",IF($I988="",Hoje-$B988,Hoje-$I988))</f>
        <v/>
      </c>
      <c r="R988" s="22">
        <f>IF(OR($C988="",$P988&lt;&gt;"Aberto"),"",IF($J988="",IF($Q988&gt;DiasSC,"ATRASADO","Definir data"),IF($J988&lt;Hoje,"ATRASADO",IF($J988=Hoje,"HOJE","Em dia"))))</f>
        <v/>
      </c>
      <c r="S988" s="23">
        <f>IF($R988="","",IF(OR($R988="ATRASADO",$R988="HOJE",$R988="Definir data"),COUNTIF($R$5:$R988,"ATRASADO")+COUNTIF($R$5:$R988,"HOJE")+COUNTIF($R$5:$R988,"Definir data"),""))</f>
        <v/>
      </c>
      <c r="T988" s="18">
        <f>IF($C988="","",IF(OR($B988="",$E988="",$F988="",$G988=""),"Preencher entrada/origem/vendedor/etapa",IF(AND(OR($P988="Ganho",$P988="Perdido"),$K988=""),"Falta data de fechamento",IF(AND($P988="Perdido",$L988=""),"Informe o motivo da perda","OK"))))</f>
        <v/>
      </c>
    </row>
    <row r="989" spans="1:20">
      <c r="A989" s="18">
        <f>IF($C989="","",ROW()-4)</f>
        <v/>
      </c>
      <c r="B989" s="19"/>
      <c r="C989" s="13"/>
      <c r="D989" s="13"/>
      <c r="E989" s="13"/>
      <c r="F989" s="13"/>
      <c r="G989" s="13"/>
      <c r="H989" s="15"/>
      <c r="I989" s="19"/>
      <c r="J989" s="19"/>
      <c r="K989" s="19"/>
      <c r="L989" s="13"/>
      <c r="M989" s="13"/>
      <c r="N989" s="20">
        <f>IF($C989="","",IFERROR(INDEX(EtapaProb,MATCH($G989,Etapas,0)),0))</f>
        <v/>
      </c>
      <c r="O989" s="21">
        <f>IF($C989="","",IF($P989="Aberto",N($H989)*$N989,0))</f>
        <v/>
      </c>
      <c r="P989" s="18">
        <f>IF($C989="","",IF($G989="Ganho","Ganho",IF($G989="Perdido","Perdido","Aberto")))</f>
        <v/>
      </c>
      <c r="Q989" s="18">
        <f>IF(OR($C989="",$P989&lt;&gt;"Aberto"),"",IF($I989="",Hoje-$B989,Hoje-$I989))</f>
        <v/>
      </c>
      <c r="R989" s="22">
        <f>IF(OR($C989="",$P989&lt;&gt;"Aberto"),"",IF($J989="",IF($Q989&gt;DiasSC,"ATRASADO","Definir data"),IF($J989&lt;Hoje,"ATRASADO",IF($J989=Hoje,"HOJE","Em dia"))))</f>
        <v/>
      </c>
      <c r="S989" s="23">
        <f>IF($R989="","",IF(OR($R989="ATRASADO",$R989="HOJE",$R989="Definir data"),COUNTIF($R$5:$R989,"ATRASADO")+COUNTIF($R$5:$R989,"HOJE")+COUNTIF($R$5:$R989,"Definir data"),""))</f>
        <v/>
      </c>
      <c r="T989" s="18">
        <f>IF($C989="","",IF(OR($B989="",$E989="",$F989="",$G989=""),"Preencher entrada/origem/vendedor/etapa",IF(AND(OR($P989="Ganho",$P989="Perdido"),$K989=""),"Falta data de fechamento",IF(AND($P989="Perdido",$L989=""),"Informe o motivo da perda","OK"))))</f>
        <v/>
      </c>
    </row>
    <row r="990" spans="1:20">
      <c r="A990" s="18">
        <f>IF($C990="","",ROW()-4)</f>
        <v/>
      </c>
      <c r="B990" s="19"/>
      <c r="C990" s="13"/>
      <c r="D990" s="13"/>
      <c r="E990" s="13"/>
      <c r="F990" s="13"/>
      <c r="G990" s="13"/>
      <c r="H990" s="15"/>
      <c r="I990" s="19"/>
      <c r="J990" s="19"/>
      <c r="K990" s="19"/>
      <c r="L990" s="13"/>
      <c r="M990" s="13"/>
      <c r="N990" s="20">
        <f>IF($C990="","",IFERROR(INDEX(EtapaProb,MATCH($G990,Etapas,0)),0))</f>
        <v/>
      </c>
      <c r="O990" s="21">
        <f>IF($C990="","",IF($P990="Aberto",N($H990)*$N990,0))</f>
        <v/>
      </c>
      <c r="P990" s="18">
        <f>IF($C990="","",IF($G990="Ganho","Ganho",IF($G990="Perdido","Perdido","Aberto")))</f>
        <v/>
      </c>
      <c r="Q990" s="18">
        <f>IF(OR($C990="",$P990&lt;&gt;"Aberto"),"",IF($I990="",Hoje-$B990,Hoje-$I990))</f>
        <v/>
      </c>
      <c r="R990" s="22">
        <f>IF(OR($C990="",$P990&lt;&gt;"Aberto"),"",IF($J990="",IF($Q990&gt;DiasSC,"ATRASADO","Definir data"),IF($J990&lt;Hoje,"ATRASADO",IF($J990=Hoje,"HOJE","Em dia"))))</f>
        <v/>
      </c>
      <c r="S990" s="23">
        <f>IF($R990="","",IF(OR($R990="ATRASADO",$R990="HOJE",$R990="Definir data"),COUNTIF($R$5:$R990,"ATRASADO")+COUNTIF($R$5:$R990,"HOJE")+COUNTIF($R$5:$R990,"Definir data"),""))</f>
        <v/>
      </c>
      <c r="T990" s="18">
        <f>IF($C990="","",IF(OR($B990="",$E990="",$F990="",$G990=""),"Preencher entrada/origem/vendedor/etapa",IF(AND(OR($P990="Ganho",$P990="Perdido"),$K990=""),"Falta data de fechamento",IF(AND($P990="Perdido",$L990=""),"Informe o motivo da perda","OK"))))</f>
        <v/>
      </c>
    </row>
    <row r="991" spans="1:20">
      <c r="A991" s="18">
        <f>IF($C991="","",ROW()-4)</f>
        <v/>
      </c>
      <c r="B991" s="19"/>
      <c r="C991" s="13"/>
      <c r="D991" s="13"/>
      <c r="E991" s="13"/>
      <c r="F991" s="13"/>
      <c r="G991" s="13"/>
      <c r="H991" s="15"/>
      <c r="I991" s="19"/>
      <c r="J991" s="19"/>
      <c r="K991" s="19"/>
      <c r="L991" s="13"/>
      <c r="M991" s="13"/>
      <c r="N991" s="20">
        <f>IF($C991="","",IFERROR(INDEX(EtapaProb,MATCH($G991,Etapas,0)),0))</f>
        <v/>
      </c>
      <c r="O991" s="21">
        <f>IF($C991="","",IF($P991="Aberto",N($H991)*$N991,0))</f>
        <v/>
      </c>
      <c r="P991" s="18">
        <f>IF($C991="","",IF($G991="Ganho","Ganho",IF($G991="Perdido","Perdido","Aberto")))</f>
        <v/>
      </c>
      <c r="Q991" s="18">
        <f>IF(OR($C991="",$P991&lt;&gt;"Aberto"),"",IF($I991="",Hoje-$B991,Hoje-$I991))</f>
        <v/>
      </c>
      <c r="R991" s="22">
        <f>IF(OR($C991="",$P991&lt;&gt;"Aberto"),"",IF($J991="",IF($Q991&gt;DiasSC,"ATRASADO","Definir data"),IF($J991&lt;Hoje,"ATRASADO",IF($J991=Hoje,"HOJE","Em dia"))))</f>
        <v/>
      </c>
      <c r="S991" s="23">
        <f>IF($R991="","",IF(OR($R991="ATRASADO",$R991="HOJE",$R991="Definir data"),COUNTIF($R$5:$R991,"ATRASADO")+COUNTIF($R$5:$R991,"HOJE")+COUNTIF($R$5:$R991,"Definir data"),""))</f>
        <v/>
      </c>
      <c r="T991" s="18">
        <f>IF($C991="","",IF(OR($B991="",$E991="",$F991="",$G991=""),"Preencher entrada/origem/vendedor/etapa",IF(AND(OR($P991="Ganho",$P991="Perdido"),$K991=""),"Falta data de fechamento",IF(AND($P991="Perdido",$L991=""),"Informe o motivo da perda","OK"))))</f>
        <v/>
      </c>
    </row>
    <row r="992" spans="1:20">
      <c r="A992" s="18">
        <f>IF($C992="","",ROW()-4)</f>
        <v/>
      </c>
      <c r="B992" s="19"/>
      <c r="C992" s="13"/>
      <c r="D992" s="13"/>
      <c r="E992" s="13"/>
      <c r="F992" s="13"/>
      <c r="G992" s="13"/>
      <c r="H992" s="15"/>
      <c r="I992" s="19"/>
      <c r="J992" s="19"/>
      <c r="K992" s="19"/>
      <c r="L992" s="13"/>
      <c r="M992" s="13"/>
      <c r="N992" s="20">
        <f>IF($C992="","",IFERROR(INDEX(EtapaProb,MATCH($G992,Etapas,0)),0))</f>
        <v/>
      </c>
      <c r="O992" s="21">
        <f>IF($C992="","",IF($P992="Aberto",N($H992)*$N992,0))</f>
        <v/>
      </c>
      <c r="P992" s="18">
        <f>IF($C992="","",IF($G992="Ganho","Ganho",IF($G992="Perdido","Perdido","Aberto")))</f>
        <v/>
      </c>
      <c r="Q992" s="18">
        <f>IF(OR($C992="",$P992&lt;&gt;"Aberto"),"",IF($I992="",Hoje-$B992,Hoje-$I992))</f>
        <v/>
      </c>
      <c r="R992" s="22">
        <f>IF(OR($C992="",$P992&lt;&gt;"Aberto"),"",IF($J992="",IF($Q992&gt;DiasSC,"ATRASADO","Definir data"),IF($J992&lt;Hoje,"ATRASADO",IF($J992=Hoje,"HOJE","Em dia"))))</f>
        <v/>
      </c>
      <c r="S992" s="23">
        <f>IF($R992="","",IF(OR($R992="ATRASADO",$R992="HOJE",$R992="Definir data"),COUNTIF($R$5:$R992,"ATRASADO")+COUNTIF($R$5:$R992,"HOJE")+COUNTIF($R$5:$R992,"Definir data"),""))</f>
        <v/>
      </c>
      <c r="T992" s="18">
        <f>IF($C992="","",IF(OR($B992="",$E992="",$F992="",$G992=""),"Preencher entrada/origem/vendedor/etapa",IF(AND(OR($P992="Ganho",$P992="Perdido"),$K992=""),"Falta data de fechamento",IF(AND($P992="Perdido",$L992=""),"Informe o motivo da perda","OK"))))</f>
        <v/>
      </c>
    </row>
    <row r="993" spans="1:20">
      <c r="A993" s="18">
        <f>IF($C993="","",ROW()-4)</f>
        <v/>
      </c>
      <c r="B993" s="19"/>
      <c r="C993" s="13"/>
      <c r="D993" s="13"/>
      <c r="E993" s="13"/>
      <c r="F993" s="13"/>
      <c r="G993" s="13"/>
      <c r="H993" s="15"/>
      <c r="I993" s="19"/>
      <c r="J993" s="19"/>
      <c r="K993" s="19"/>
      <c r="L993" s="13"/>
      <c r="M993" s="13"/>
      <c r="N993" s="20">
        <f>IF($C993="","",IFERROR(INDEX(EtapaProb,MATCH($G993,Etapas,0)),0))</f>
        <v/>
      </c>
      <c r="O993" s="21">
        <f>IF($C993="","",IF($P993="Aberto",N($H993)*$N993,0))</f>
        <v/>
      </c>
      <c r="P993" s="18">
        <f>IF($C993="","",IF($G993="Ganho","Ganho",IF($G993="Perdido","Perdido","Aberto")))</f>
        <v/>
      </c>
      <c r="Q993" s="18">
        <f>IF(OR($C993="",$P993&lt;&gt;"Aberto"),"",IF($I993="",Hoje-$B993,Hoje-$I993))</f>
        <v/>
      </c>
      <c r="R993" s="22">
        <f>IF(OR($C993="",$P993&lt;&gt;"Aberto"),"",IF($J993="",IF($Q993&gt;DiasSC,"ATRASADO","Definir data"),IF($J993&lt;Hoje,"ATRASADO",IF($J993=Hoje,"HOJE","Em dia"))))</f>
        <v/>
      </c>
      <c r="S993" s="23">
        <f>IF($R993="","",IF(OR($R993="ATRASADO",$R993="HOJE",$R993="Definir data"),COUNTIF($R$5:$R993,"ATRASADO")+COUNTIF($R$5:$R993,"HOJE")+COUNTIF($R$5:$R993,"Definir data"),""))</f>
        <v/>
      </c>
      <c r="T993" s="18">
        <f>IF($C993="","",IF(OR($B993="",$E993="",$F993="",$G993=""),"Preencher entrada/origem/vendedor/etapa",IF(AND(OR($P993="Ganho",$P993="Perdido"),$K993=""),"Falta data de fechamento",IF(AND($P993="Perdido",$L993=""),"Informe o motivo da perda","OK"))))</f>
        <v/>
      </c>
    </row>
    <row r="994" spans="1:20">
      <c r="A994" s="18">
        <f>IF($C994="","",ROW()-4)</f>
        <v/>
      </c>
      <c r="B994" s="19"/>
      <c r="C994" s="13"/>
      <c r="D994" s="13"/>
      <c r="E994" s="13"/>
      <c r="F994" s="13"/>
      <c r="G994" s="13"/>
      <c r="H994" s="15"/>
      <c r="I994" s="19"/>
      <c r="J994" s="19"/>
      <c r="K994" s="19"/>
      <c r="L994" s="13"/>
      <c r="M994" s="13"/>
      <c r="N994" s="20">
        <f>IF($C994="","",IFERROR(INDEX(EtapaProb,MATCH($G994,Etapas,0)),0))</f>
        <v/>
      </c>
      <c r="O994" s="21">
        <f>IF($C994="","",IF($P994="Aberto",N($H994)*$N994,0))</f>
        <v/>
      </c>
      <c r="P994" s="18">
        <f>IF($C994="","",IF($G994="Ganho","Ganho",IF($G994="Perdido","Perdido","Aberto")))</f>
        <v/>
      </c>
      <c r="Q994" s="18">
        <f>IF(OR($C994="",$P994&lt;&gt;"Aberto"),"",IF($I994="",Hoje-$B994,Hoje-$I994))</f>
        <v/>
      </c>
      <c r="R994" s="22">
        <f>IF(OR($C994="",$P994&lt;&gt;"Aberto"),"",IF($J994="",IF($Q994&gt;DiasSC,"ATRASADO","Definir data"),IF($J994&lt;Hoje,"ATRASADO",IF($J994=Hoje,"HOJE","Em dia"))))</f>
        <v/>
      </c>
      <c r="S994" s="23">
        <f>IF($R994="","",IF(OR($R994="ATRASADO",$R994="HOJE",$R994="Definir data"),COUNTIF($R$5:$R994,"ATRASADO")+COUNTIF($R$5:$R994,"HOJE")+COUNTIF($R$5:$R994,"Definir data"),""))</f>
        <v/>
      </c>
      <c r="T994" s="18">
        <f>IF($C994="","",IF(OR($B994="",$E994="",$F994="",$G994=""),"Preencher entrada/origem/vendedor/etapa",IF(AND(OR($P994="Ganho",$P994="Perdido"),$K994=""),"Falta data de fechamento",IF(AND($P994="Perdido",$L994=""),"Informe o motivo da perda","OK"))))</f>
        <v/>
      </c>
    </row>
    <row r="995" spans="1:20">
      <c r="A995" s="18">
        <f>IF($C995="","",ROW()-4)</f>
        <v/>
      </c>
      <c r="B995" s="19"/>
      <c r="C995" s="13"/>
      <c r="D995" s="13"/>
      <c r="E995" s="13"/>
      <c r="F995" s="13"/>
      <c r="G995" s="13"/>
      <c r="H995" s="15"/>
      <c r="I995" s="19"/>
      <c r="J995" s="19"/>
      <c r="K995" s="19"/>
      <c r="L995" s="13"/>
      <c r="M995" s="13"/>
      <c r="N995" s="20">
        <f>IF($C995="","",IFERROR(INDEX(EtapaProb,MATCH($G995,Etapas,0)),0))</f>
        <v/>
      </c>
      <c r="O995" s="21">
        <f>IF($C995="","",IF($P995="Aberto",N($H995)*$N995,0))</f>
        <v/>
      </c>
      <c r="P995" s="18">
        <f>IF($C995="","",IF($G995="Ganho","Ganho",IF($G995="Perdido","Perdido","Aberto")))</f>
        <v/>
      </c>
      <c r="Q995" s="18">
        <f>IF(OR($C995="",$P995&lt;&gt;"Aberto"),"",IF($I995="",Hoje-$B995,Hoje-$I995))</f>
        <v/>
      </c>
      <c r="R995" s="22">
        <f>IF(OR($C995="",$P995&lt;&gt;"Aberto"),"",IF($J995="",IF($Q995&gt;DiasSC,"ATRASADO","Definir data"),IF($J995&lt;Hoje,"ATRASADO",IF($J995=Hoje,"HOJE","Em dia"))))</f>
        <v/>
      </c>
      <c r="S995" s="23">
        <f>IF($R995="","",IF(OR($R995="ATRASADO",$R995="HOJE",$R995="Definir data"),COUNTIF($R$5:$R995,"ATRASADO")+COUNTIF($R$5:$R995,"HOJE")+COUNTIF($R$5:$R995,"Definir data"),""))</f>
        <v/>
      </c>
      <c r="T995" s="18">
        <f>IF($C995="","",IF(OR($B995="",$E995="",$F995="",$G995=""),"Preencher entrada/origem/vendedor/etapa",IF(AND(OR($P995="Ganho",$P995="Perdido"),$K995=""),"Falta data de fechamento",IF(AND($P995="Perdido",$L995=""),"Informe o motivo da perda","OK"))))</f>
        <v/>
      </c>
    </row>
    <row r="996" spans="1:20">
      <c r="A996" s="18">
        <f>IF($C996="","",ROW()-4)</f>
        <v/>
      </c>
      <c r="B996" s="19"/>
      <c r="C996" s="13"/>
      <c r="D996" s="13"/>
      <c r="E996" s="13"/>
      <c r="F996" s="13"/>
      <c r="G996" s="13"/>
      <c r="H996" s="15"/>
      <c r="I996" s="19"/>
      <c r="J996" s="19"/>
      <c r="K996" s="19"/>
      <c r="L996" s="13"/>
      <c r="M996" s="13"/>
      <c r="N996" s="20">
        <f>IF($C996="","",IFERROR(INDEX(EtapaProb,MATCH($G996,Etapas,0)),0))</f>
        <v/>
      </c>
      <c r="O996" s="21">
        <f>IF($C996="","",IF($P996="Aberto",N($H996)*$N996,0))</f>
        <v/>
      </c>
      <c r="P996" s="18">
        <f>IF($C996="","",IF($G996="Ganho","Ganho",IF($G996="Perdido","Perdido","Aberto")))</f>
        <v/>
      </c>
      <c r="Q996" s="18">
        <f>IF(OR($C996="",$P996&lt;&gt;"Aberto"),"",IF($I996="",Hoje-$B996,Hoje-$I996))</f>
        <v/>
      </c>
      <c r="R996" s="22">
        <f>IF(OR($C996="",$P996&lt;&gt;"Aberto"),"",IF($J996="",IF($Q996&gt;DiasSC,"ATRASADO","Definir data"),IF($J996&lt;Hoje,"ATRASADO",IF($J996=Hoje,"HOJE","Em dia"))))</f>
        <v/>
      </c>
      <c r="S996" s="23">
        <f>IF($R996="","",IF(OR($R996="ATRASADO",$R996="HOJE",$R996="Definir data"),COUNTIF($R$5:$R996,"ATRASADO")+COUNTIF($R$5:$R996,"HOJE")+COUNTIF($R$5:$R996,"Definir data"),""))</f>
        <v/>
      </c>
      <c r="T996" s="18">
        <f>IF($C996="","",IF(OR($B996="",$E996="",$F996="",$G996=""),"Preencher entrada/origem/vendedor/etapa",IF(AND(OR($P996="Ganho",$P996="Perdido"),$K996=""),"Falta data de fechamento",IF(AND($P996="Perdido",$L996=""),"Informe o motivo da perda","OK"))))</f>
        <v/>
      </c>
    </row>
    <row r="997" spans="1:20">
      <c r="A997" s="18">
        <f>IF($C997="","",ROW()-4)</f>
        <v/>
      </c>
      <c r="B997" s="19"/>
      <c r="C997" s="13"/>
      <c r="D997" s="13"/>
      <c r="E997" s="13"/>
      <c r="F997" s="13"/>
      <c r="G997" s="13"/>
      <c r="H997" s="15"/>
      <c r="I997" s="19"/>
      <c r="J997" s="19"/>
      <c r="K997" s="19"/>
      <c r="L997" s="13"/>
      <c r="M997" s="13"/>
      <c r="N997" s="20">
        <f>IF($C997="","",IFERROR(INDEX(EtapaProb,MATCH($G997,Etapas,0)),0))</f>
        <v/>
      </c>
      <c r="O997" s="21">
        <f>IF($C997="","",IF($P997="Aberto",N($H997)*$N997,0))</f>
        <v/>
      </c>
      <c r="P997" s="18">
        <f>IF($C997="","",IF($G997="Ganho","Ganho",IF($G997="Perdido","Perdido","Aberto")))</f>
        <v/>
      </c>
      <c r="Q997" s="18">
        <f>IF(OR($C997="",$P997&lt;&gt;"Aberto"),"",IF($I997="",Hoje-$B997,Hoje-$I997))</f>
        <v/>
      </c>
      <c r="R997" s="22">
        <f>IF(OR($C997="",$P997&lt;&gt;"Aberto"),"",IF($J997="",IF($Q997&gt;DiasSC,"ATRASADO","Definir data"),IF($J997&lt;Hoje,"ATRASADO",IF($J997=Hoje,"HOJE","Em dia"))))</f>
        <v/>
      </c>
      <c r="S997" s="23">
        <f>IF($R997="","",IF(OR($R997="ATRASADO",$R997="HOJE",$R997="Definir data"),COUNTIF($R$5:$R997,"ATRASADO")+COUNTIF($R$5:$R997,"HOJE")+COUNTIF($R$5:$R997,"Definir data"),""))</f>
        <v/>
      </c>
      <c r="T997" s="18">
        <f>IF($C997="","",IF(OR($B997="",$E997="",$F997="",$G997=""),"Preencher entrada/origem/vendedor/etapa",IF(AND(OR($P997="Ganho",$P997="Perdido"),$K997=""),"Falta data de fechamento",IF(AND($P997="Perdido",$L997=""),"Informe o motivo da perda","OK"))))</f>
        <v/>
      </c>
    </row>
    <row r="998" spans="1:20">
      <c r="A998" s="18">
        <f>IF($C998="","",ROW()-4)</f>
        <v/>
      </c>
      <c r="B998" s="19"/>
      <c r="C998" s="13"/>
      <c r="D998" s="13"/>
      <c r="E998" s="13"/>
      <c r="F998" s="13"/>
      <c r="G998" s="13"/>
      <c r="H998" s="15"/>
      <c r="I998" s="19"/>
      <c r="J998" s="19"/>
      <c r="K998" s="19"/>
      <c r="L998" s="13"/>
      <c r="M998" s="13"/>
      <c r="N998" s="20">
        <f>IF($C998="","",IFERROR(INDEX(EtapaProb,MATCH($G998,Etapas,0)),0))</f>
        <v/>
      </c>
      <c r="O998" s="21">
        <f>IF($C998="","",IF($P998="Aberto",N($H998)*$N998,0))</f>
        <v/>
      </c>
      <c r="P998" s="18">
        <f>IF($C998="","",IF($G998="Ganho","Ganho",IF($G998="Perdido","Perdido","Aberto")))</f>
        <v/>
      </c>
      <c r="Q998" s="18">
        <f>IF(OR($C998="",$P998&lt;&gt;"Aberto"),"",IF($I998="",Hoje-$B998,Hoje-$I998))</f>
        <v/>
      </c>
      <c r="R998" s="22">
        <f>IF(OR($C998="",$P998&lt;&gt;"Aberto"),"",IF($J998="",IF($Q998&gt;DiasSC,"ATRASADO","Definir data"),IF($J998&lt;Hoje,"ATRASADO",IF($J998=Hoje,"HOJE","Em dia"))))</f>
        <v/>
      </c>
      <c r="S998" s="23">
        <f>IF($R998="","",IF(OR($R998="ATRASADO",$R998="HOJE",$R998="Definir data"),COUNTIF($R$5:$R998,"ATRASADO")+COUNTIF($R$5:$R998,"HOJE")+COUNTIF($R$5:$R998,"Definir data"),""))</f>
        <v/>
      </c>
      <c r="T998" s="18">
        <f>IF($C998="","",IF(OR($B998="",$E998="",$F998="",$G998=""),"Preencher entrada/origem/vendedor/etapa",IF(AND(OR($P998="Ganho",$P998="Perdido"),$K998=""),"Falta data de fechamento",IF(AND($P998="Perdido",$L998=""),"Informe o motivo da perda","OK"))))</f>
        <v/>
      </c>
    </row>
    <row r="999" spans="1:20">
      <c r="A999" s="18">
        <f>IF($C999="","",ROW()-4)</f>
        <v/>
      </c>
      <c r="B999" s="19"/>
      <c r="C999" s="13"/>
      <c r="D999" s="13"/>
      <c r="E999" s="13"/>
      <c r="F999" s="13"/>
      <c r="G999" s="13"/>
      <c r="H999" s="15"/>
      <c r="I999" s="19"/>
      <c r="J999" s="19"/>
      <c r="K999" s="19"/>
      <c r="L999" s="13"/>
      <c r="M999" s="13"/>
      <c r="N999" s="20">
        <f>IF($C999="","",IFERROR(INDEX(EtapaProb,MATCH($G999,Etapas,0)),0))</f>
        <v/>
      </c>
      <c r="O999" s="21">
        <f>IF($C999="","",IF($P999="Aberto",N($H999)*$N999,0))</f>
        <v/>
      </c>
      <c r="P999" s="18">
        <f>IF($C999="","",IF($G999="Ganho","Ganho",IF($G999="Perdido","Perdido","Aberto")))</f>
        <v/>
      </c>
      <c r="Q999" s="18">
        <f>IF(OR($C999="",$P999&lt;&gt;"Aberto"),"",IF($I999="",Hoje-$B999,Hoje-$I999))</f>
        <v/>
      </c>
      <c r="R999" s="22">
        <f>IF(OR($C999="",$P999&lt;&gt;"Aberto"),"",IF($J999="",IF($Q999&gt;DiasSC,"ATRASADO","Definir data"),IF($J999&lt;Hoje,"ATRASADO",IF($J999=Hoje,"HOJE","Em dia"))))</f>
        <v/>
      </c>
      <c r="S999" s="23">
        <f>IF($R999="","",IF(OR($R999="ATRASADO",$R999="HOJE",$R999="Definir data"),COUNTIF($R$5:$R999,"ATRASADO")+COUNTIF($R$5:$R999,"HOJE")+COUNTIF($R$5:$R999,"Definir data"),""))</f>
        <v/>
      </c>
      <c r="T999" s="18">
        <f>IF($C999="","",IF(OR($B999="",$E999="",$F999="",$G999=""),"Preencher entrada/origem/vendedor/etapa",IF(AND(OR($P999="Ganho",$P999="Perdido"),$K999=""),"Falta data de fechamento",IF(AND($P999="Perdido",$L999=""),"Informe o motivo da perda","OK"))))</f>
        <v/>
      </c>
    </row>
    <row r="1000" spans="1:20">
      <c r="A1000" s="18">
        <f>IF($C1000="","",ROW()-4)</f>
        <v/>
      </c>
      <c r="B1000" s="19"/>
      <c r="C1000" s="13"/>
      <c r="D1000" s="13"/>
      <c r="E1000" s="13"/>
      <c r="F1000" s="13"/>
      <c r="G1000" s="13"/>
      <c r="H1000" s="15"/>
      <c r="I1000" s="19"/>
      <c r="J1000" s="19"/>
      <c r="K1000" s="19"/>
      <c r="L1000" s="13"/>
      <c r="M1000" s="13"/>
      <c r="N1000" s="20">
        <f>IF($C1000="","",IFERROR(INDEX(EtapaProb,MATCH($G1000,Etapas,0)),0))</f>
        <v/>
      </c>
      <c r="O1000" s="21">
        <f>IF($C1000="","",IF($P1000="Aberto",N($H1000)*$N1000,0))</f>
        <v/>
      </c>
      <c r="P1000" s="18">
        <f>IF($C1000="","",IF($G1000="Ganho","Ganho",IF($G1000="Perdido","Perdido","Aberto")))</f>
        <v/>
      </c>
      <c r="Q1000" s="18">
        <f>IF(OR($C1000="",$P1000&lt;&gt;"Aberto"),"",IF($I1000="",Hoje-$B1000,Hoje-$I1000))</f>
        <v/>
      </c>
      <c r="R1000" s="22">
        <f>IF(OR($C1000="",$P1000&lt;&gt;"Aberto"),"",IF($J1000="",IF($Q1000&gt;DiasSC,"ATRASADO","Definir data"),IF($J1000&lt;Hoje,"ATRASADO",IF($J1000=Hoje,"HOJE","Em dia"))))</f>
        <v/>
      </c>
      <c r="S1000" s="23">
        <f>IF($R1000="","",IF(OR($R1000="ATRASADO",$R1000="HOJE",$R1000="Definir data"),COUNTIF($R$5:$R1000,"ATRASADO")+COUNTIF($R$5:$R1000,"HOJE")+COUNTIF($R$5:$R1000,"Definir data"),""))</f>
        <v/>
      </c>
      <c r="T1000" s="18">
        <f>IF($C1000="","",IF(OR($B1000="",$E1000="",$F1000="",$G1000=""),"Preencher entrada/origem/vendedor/etapa",IF(AND(OR($P1000="Ganho",$P1000="Perdido"),$K1000=""),"Falta data de fechamento",IF(AND($P1000="Perdido",$L1000=""),"Informe o motivo da perda","OK"))))</f>
        <v/>
      </c>
    </row>
    <row r="1001" spans="1:20">
      <c r="A1001" s="18">
        <f>IF($C1001="","",ROW()-4)</f>
        <v/>
      </c>
      <c r="B1001" s="19"/>
      <c r="C1001" s="13"/>
      <c r="D1001" s="13"/>
      <c r="E1001" s="13"/>
      <c r="F1001" s="13"/>
      <c r="G1001" s="13"/>
      <c r="H1001" s="15"/>
      <c r="I1001" s="19"/>
      <c r="J1001" s="19"/>
      <c r="K1001" s="19"/>
      <c r="L1001" s="13"/>
      <c r="M1001" s="13"/>
      <c r="N1001" s="20">
        <f>IF($C1001="","",IFERROR(INDEX(EtapaProb,MATCH($G1001,Etapas,0)),0))</f>
        <v/>
      </c>
      <c r="O1001" s="21">
        <f>IF($C1001="","",IF($P1001="Aberto",N($H1001)*$N1001,0))</f>
        <v/>
      </c>
      <c r="P1001" s="18">
        <f>IF($C1001="","",IF($G1001="Ganho","Ganho",IF($G1001="Perdido","Perdido","Aberto")))</f>
        <v/>
      </c>
      <c r="Q1001" s="18">
        <f>IF(OR($C1001="",$P1001&lt;&gt;"Aberto"),"",IF($I1001="",Hoje-$B1001,Hoje-$I1001))</f>
        <v/>
      </c>
      <c r="R1001" s="22">
        <f>IF(OR($C1001="",$P1001&lt;&gt;"Aberto"),"",IF($J1001="",IF($Q1001&gt;DiasSC,"ATRASADO","Definir data"),IF($J1001&lt;Hoje,"ATRASADO",IF($J1001=Hoje,"HOJE","Em dia"))))</f>
        <v/>
      </c>
      <c r="S1001" s="23">
        <f>IF($R1001="","",IF(OR($R1001="ATRASADO",$R1001="HOJE",$R1001="Definir data"),COUNTIF($R$5:$R1001,"ATRASADO")+COUNTIF($R$5:$R1001,"HOJE")+COUNTIF($R$5:$R1001,"Definir data"),""))</f>
        <v/>
      </c>
      <c r="T1001" s="18">
        <f>IF($C1001="","",IF(OR($B1001="",$E1001="",$F1001="",$G1001=""),"Preencher entrada/origem/vendedor/etapa",IF(AND(OR($P1001="Ganho",$P1001="Perdido"),$K1001=""),"Falta data de fechamento",IF(AND($P1001="Perdido",$L1001=""),"Informe o motivo da perda","OK"))))</f>
        <v/>
      </c>
    </row>
    <row r="1002" spans="1:20">
      <c r="A1002" s="18">
        <f>IF($C1002="","",ROW()-4)</f>
        <v/>
      </c>
      <c r="B1002" s="19"/>
      <c r="C1002" s="13"/>
      <c r="D1002" s="13"/>
      <c r="E1002" s="13"/>
      <c r="F1002" s="13"/>
      <c r="G1002" s="13"/>
      <c r="H1002" s="15"/>
      <c r="I1002" s="19"/>
      <c r="J1002" s="19"/>
      <c r="K1002" s="19"/>
      <c r="L1002" s="13"/>
      <c r="M1002" s="13"/>
      <c r="N1002" s="20">
        <f>IF($C1002="","",IFERROR(INDEX(EtapaProb,MATCH($G1002,Etapas,0)),0))</f>
        <v/>
      </c>
      <c r="O1002" s="21">
        <f>IF($C1002="","",IF($P1002="Aberto",N($H1002)*$N1002,0))</f>
        <v/>
      </c>
      <c r="P1002" s="18">
        <f>IF($C1002="","",IF($G1002="Ganho","Ganho",IF($G1002="Perdido","Perdido","Aberto")))</f>
        <v/>
      </c>
      <c r="Q1002" s="18">
        <f>IF(OR($C1002="",$P1002&lt;&gt;"Aberto"),"",IF($I1002="",Hoje-$B1002,Hoje-$I1002))</f>
        <v/>
      </c>
      <c r="R1002" s="22">
        <f>IF(OR($C1002="",$P1002&lt;&gt;"Aberto"),"",IF($J1002="",IF($Q1002&gt;DiasSC,"ATRASADO","Definir data"),IF($J1002&lt;Hoje,"ATRASADO",IF($J1002=Hoje,"HOJE","Em dia"))))</f>
        <v/>
      </c>
      <c r="S1002" s="23">
        <f>IF($R1002="","",IF(OR($R1002="ATRASADO",$R1002="HOJE",$R1002="Definir data"),COUNTIF($R$5:$R1002,"ATRASADO")+COUNTIF($R$5:$R1002,"HOJE")+COUNTIF($R$5:$R1002,"Definir data"),""))</f>
        <v/>
      </c>
      <c r="T1002" s="18">
        <f>IF($C1002="","",IF(OR($B1002="",$E1002="",$F1002="",$G1002=""),"Preencher entrada/origem/vendedor/etapa",IF(AND(OR($P1002="Ganho",$P1002="Perdido"),$K1002=""),"Falta data de fechamento",IF(AND($P1002="Perdido",$L1002=""),"Informe o motivo da perda","OK"))))</f>
        <v/>
      </c>
    </row>
    <row r="1003" spans="1:20">
      <c r="A1003" s="18">
        <f>IF($C1003="","",ROW()-4)</f>
        <v/>
      </c>
      <c r="B1003" s="19"/>
      <c r="C1003" s="13"/>
      <c r="D1003" s="13"/>
      <c r="E1003" s="13"/>
      <c r="F1003" s="13"/>
      <c r="G1003" s="13"/>
      <c r="H1003" s="15"/>
      <c r="I1003" s="19"/>
      <c r="J1003" s="19"/>
      <c r="K1003" s="19"/>
      <c r="L1003" s="13"/>
      <c r="M1003" s="13"/>
      <c r="N1003" s="20">
        <f>IF($C1003="","",IFERROR(INDEX(EtapaProb,MATCH($G1003,Etapas,0)),0))</f>
        <v/>
      </c>
      <c r="O1003" s="21">
        <f>IF($C1003="","",IF($P1003="Aberto",N($H1003)*$N1003,0))</f>
        <v/>
      </c>
      <c r="P1003" s="18">
        <f>IF($C1003="","",IF($G1003="Ganho","Ganho",IF($G1003="Perdido","Perdido","Aberto")))</f>
        <v/>
      </c>
      <c r="Q1003" s="18">
        <f>IF(OR($C1003="",$P1003&lt;&gt;"Aberto"),"",IF($I1003="",Hoje-$B1003,Hoje-$I1003))</f>
        <v/>
      </c>
      <c r="R1003" s="22">
        <f>IF(OR($C1003="",$P1003&lt;&gt;"Aberto"),"",IF($J1003="",IF($Q1003&gt;DiasSC,"ATRASADO","Definir data"),IF($J1003&lt;Hoje,"ATRASADO",IF($J1003=Hoje,"HOJE","Em dia"))))</f>
        <v/>
      </c>
      <c r="S1003" s="23">
        <f>IF($R1003="","",IF(OR($R1003="ATRASADO",$R1003="HOJE",$R1003="Definir data"),COUNTIF($R$5:$R1003,"ATRASADO")+COUNTIF($R$5:$R1003,"HOJE")+COUNTIF($R$5:$R1003,"Definir data"),""))</f>
        <v/>
      </c>
      <c r="T1003" s="18">
        <f>IF($C1003="","",IF(OR($B1003="",$E1003="",$F1003="",$G1003=""),"Preencher entrada/origem/vendedor/etapa",IF(AND(OR($P1003="Ganho",$P1003="Perdido"),$K1003=""),"Falta data de fechamento",IF(AND($P1003="Perdido",$L1003=""),"Informe o motivo da perda","OK"))))</f>
        <v/>
      </c>
    </row>
    <row r="1004" spans="1:20">
      <c r="A1004" s="18">
        <f>IF($C1004="","",ROW()-4)</f>
        <v/>
      </c>
      <c r="B1004" s="19"/>
      <c r="C1004" s="13"/>
      <c r="D1004" s="13"/>
      <c r="E1004" s="13"/>
      <c r="F1004" s="13"/>
      <c r="G1004" s="13"/>
      <c r="H1004" s="15"/>
      <c r="I1004" s="19"/>
      <c r="J1004" s="19"/>
      <c r="K1004" s="19"/>
      <c r="L1004" s="13"/>
      <c r="M1004" s="13"/>
      <c r="N1004" s="20">
        <f>IF($C1004="","",IFERROR(INDEX(EtapaProb,MATCH($G1004,Etapas,0)),0))</f>
        <v/>
      </c>
      <c r="O1004" s="21">
        <f>IF($C1004="","",IF($P1004="Aberto",N($H1004)*$N1004,0))</f>
        <v/>
      </c>
      <c r="P1004" s="18">
        <f>IF($C1004="","",IF($G1004="Ganho","Ganho",IF($G1004="Perdido","Perdido","Aberto")))</f>
        <v/>
      </c>
      <c r="Q1004" s="18">
        <f>IF(OR($C1004="",$P1004&lt;&gt;"Aberto"),"",IF($I1004="",Hoje-$B1004,Hoje-$I1004))</f>
        <v/>
      </c>
      <c r="R1004" s="22">
        <f>IF(OR($C1004="",$P1004&lt;&gt;"Aberto"),"",IF($J1004="",IF($Q1004&gt;DiasSC,"ATRASADO","Definir data"),IF($J1004&lt;Hoje,"ATRASADO",IF($J1004=Hoje,"HOJE","Em dia"))))</f>
        <v/>
      </c>
      <c r="S1004" s="23">
        <f>IF($R1004="","",IF(OR($R1004="ATRASADO",$R1004="HOJE",$R1004="Definir data"),COUNTIF($R$5:$R1004,"ATRASADO")+COUNTIF($R$5:$R1004,"HOJE")+COUNTIF($R$5:$R1004,"Definir data"),""))</f>
        <v/>
      </c>
      <c r="T1004" s="18">
        <f>IF($C1004="","",IF(OR($B1004="",$E1004="",$F1004="",$G1004=""),"Preencher entrada/origem/vendedor/etapa",IF(AND(OR($P1004="Ganho",$P1004="Perdido"),$K1004=""),"Falta data de fechamento",IF(AND($P1004="Perdido",$L1004=""),"Informe o motivo da perda","OK"))))</f>
        <v/>
      </c>
    </row>
  </sheetData>
  <autoFilter ref="A4:T1004"/>
  <mergeCells count="2">
    <mergeCell ref="A1:U1"/>
    <mergeCell ref="A2:U2"/>
  </mergeCells>
  <conditionalFormatting sqref="P5:P1004">
    <cfRule type="cellIs" dxfId="4" priority="5" operator="equal">
      <formula>"Ganho"</formula>
    </cfRule>
    <cfRule type="cellIs" dxfId="5" priority="6" operator="equal">
      <formula>"Perdido"</formula>
    </cfRule>
  </conditionalFormatting>
  <conditionalFormatting sqref="R5:R1004">
    <cfRule type="cellIs" dxfId="0" priority="1" operator="equal">
      <formula>"ATRASADO"</formula>
    </cfRule>
    <cfRule type="cellIs" dxfId="1" priority="2" operator="equal">
      <formula>"HOJE"</formula>
    </cfRule>
    <cfRule type="cellIs" dxfId="2" priority="3" operator="equal">
      <formula>"Em dia"</formula>
    </cfRule>
    <cfRule type="cellIs" dxfId="3" priority="4" operator="equal">
      <formula>"Definir data"</formula>
    </cfRule>
  </conditionalFormatting>
  <conditionalFormatting sqref="T5:T1004">
    <cfRule type="cellIs" dxfId="6" priority="7" operator="notEqual">
      <formula>"OK"</formula>
    </cfRule>
  </conditionalFormatting>
  <dataValidations count="7">
    <dataValidation type="date" operator="greaterThanOrEqual" allowBlank="1" showInputMessage="1" showErrorMessage="1" errorTitle="Data inválida" error="Digite uma data válida (dd/mm/aaaa)." promptTitle="Data" prompt="Digite a data no formato dd/mm/aaaa" sqref="B5:B1004">
      <formula1>36526</formula1>
    </dataValidation>
    <dataValidation type="list" allowBlank="1" showInputMessage="1" showErrorMessage="1" errorTitle="Valor inválido" error="Escolha um item da lista." sqref="E5:E1004">
      <formula1>Origens</formula1>
    </dataValidation>
    <dataValidation type="list" allowBlank="1" showInputMessage="1" showErrorMessage="1" errorTitle="Valor inválido" error="Escolha um item da lista." sqref="F5:F1004">
      <formula1>Vendedores</formula1>
    </dataValidation>
    <dataValidation type="list" allowBlank="1" showInputMessage="1" showErrorMessage="1" errorTitle="Valor inválido" error="Escolha um item da lista." sqref="G5:G1004">
      <formula1>Etapas</formula1>
    </dataValidation>
    <dataValidation type="decimal" operator="greaterThanOrEqual" allowBlank="1" showInputMessage="1" showErrorMessage="1" errorTitle="Valor inválido" error="Digite um número maior ou igual a 0." sqref="H5:H1004">
      <formula1>0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I5:K1004">
      <formula1>36526</formula1>
    </dataValidation>
    <dataValidation type="list" allowBlank="1" showInputMessage="1" showErrorMessage="1" errorTitle="Valor inválido" error="Escolha um item da lista." sqref="L5:L1004">
      <formula1>Motivos</formula1>
    </dataValidation>
  </dataValidations>
  <pageMargins left="0.7" right="0.7" top="0.75" bottom="0.75" header="0.3" footer="0.3"/>
  <pageSetup paperSize="9" fitToHeight="0" orientation="landscape"/>
  <headerFooter>
    <oddFooter>&amp;L&amp;8Carvex XLS - CRM e Funil de Vendas com Follow-up&amp;R&amp;8Página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1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32.7109375" customWidth="1"/>
    <col min="4" max="4" width="17.7109375" customWidth="1"/>
    <col min="5" max="5" width="16.7109375" customWidth="1"/>
    <col min="6" max="7" width="14.7109375" customWidth="1"/>
    <col min="8" max="9" width="12.7109375" customWidth="1"/>
    <col min="10" max="10" width="10.7109375" customWidth="1"/>
  </cols>
  <sheetData>
    <row r="1" spans="1:10" ht="36" customHeight="1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</row>
    <row r="4" spans="1:10" ht="32" customHeight="1">
      <c r="A4" s="10" t="s">
        <v>92</v>
      </c>
      <c r="B4" s="10" t="s">
        <v>93</v>
      </c>
      <c r="C4" s="10" t="s">
        <v>94</v>
      </c>
      <c r="D4" s="10" t="s">
        <v>73</v>
      </c>
      <c r="E4" s="10" t="s">
        <v>76</v>
      </c>
      <c r="F4" s="10" t="s">
        <v>75</v>
      </c>
      <c r="G4" s="10" t="s">
        <v>95</v>
      </c>
      <c r="H4" s="10" t="s">
        <v>78</v>
      </c>
      <c r="I4" s="10" t="s">
        <v>96</v>
      </c>
      <c r="J4" s="10" t="s">
        <v>86</v>
      </c>
    </row>
    <row r="5" spans="1:10">
      <c r="A5" s="24">
        <v>1</v>
      </c>
      <c r="B5" s="22">
        <f>IFERROR(INDEX(Leads!$R$5:$R$1004,MATCH($A5,Leads!$S$5:$S$1004,0))&amp;"","")</f>
        <v/>
      </c>
      <c r="C5" s="25">
        <f>IFERROR(INDEX(Leads!$C$5:$C$1004,MATCH($A5,Leads!$S$5:$S$1004,0))&amp;"","")</f>
        <v/>
      </c>
      <c r="D5" s="25">
        <f>IFERROR(INDEX(Leads!$D$5:$D$1004,MATCH($A5,Leads!$S$5:$S$1004,0))&amp;"","")</f>
        <v/>
      </c>
      <c r="E5" s="25">
        <f>IFERROR(INDEX(Leads!$G$5:$G$1004,MATCH($A5,Leads!$S$5:$S$1004,0))&amp;"","")</f>
        <v/>
      </c>
      <c r="F5" s="25">
        <f>IFERROR(INDEX(Leads!$F$5:$F$1004,MATCH($A5,Leads!$S$5:$S$1004,0))&amp;"","")</f>
        <v/>
      </c>
      <c r="G5" s="21">
        <f>IFERROR(IF(INDEX(Leads!$H$5:$H$1004,MATCH($A5,Leads!$S$5:$S$1004,0))="","",INDEX(Leads!$H$5:$H$1004,MATCH($A5,Leads!$S$5:$S$1004,0))),"")</f>
        <v/>
      </c>
      <c r="H5" s="14">
        <f>IFERROR(IF(INDEX(Leads!$I$5:$I$1004,MATCH($A5,Leads!$S$5:$S$1004,0))="","",INDEX(Leads!$I$5:$I$1004,MATCH($A5,Leads!$S$5:$S$1004,0))),"")</f>
        <v/>
      </c>
      <c r="I5" s="14">
        <f>IFERROR(IF(INDEX(Leads!$J$5:$J$1004,MATCH($A5,Leads!$S$5:$S$1004,0))="","",INDEX(Leads!$J$5:$J$1004,MATCH($A5,Leads!$S$5:$S$1004,0))),"")</f>
        <v/>
      </c>
      <c r="J5" s="26">
        <f>IFERROR(IF(INDEX(Leads!$Q$5:$Q$1004,MATCH($A5,Leads!$S$5:$S$1004,0))="","",INDEX(Leads!$Q$5:$Q$1004,MATCH($A5,Leads!$S$5:$S$1004,0))),"")</f>
        <v/>
      </c>
    </row>
    <row r="6" spans="1:10">
      <c r="A6" s="24">
        <v>2</v>
      </c>
      <c r="B6" s="22">
        <f>IFERROR(INDEX(Leads!$R$5:$R$1004,MATCH($A6,Leads!$S$5:$S$1004,0))&amp;"","")</f>
        <v/>
      </c>
      <c r="C6" s="25">
        <f>IFERROR(INDEX(Leads!$C$5:$C$1004,MATCH($A6,Leads!$S$5:$S$1004,0))&amp;"","")</f>
        <v/>
      </c>
      <c r="D6" s="25">
        <f>IFERROR(INDEX(Leads!$D$5:$D$1004,MATCH($A6,Leads!$S$5:$S$1004,0))&amp;"","")</f>
        <v/>
      </c>
      <c r="E6" s="25">
        <f>IFERROR(INDEX(Leads!$G$5:$G$1004,MATCH($A6,Leads!$S$5:$S$1004,0))&amp;"","")</f>
        <v/>
      </c>
      <c r="F6" s="25">
        <f>IFERROR(INDEX(Leads!$F$5:$F$1004,MATCH($A6,Leads!$S$5:$S$1004,0))&amp;"","")</f>
        <v/>
      </c>
      <c r="G6" s="21">
        <f>IFERROR(IF(INDEX(Leads!$H$5:$H$1004,MATCH($A6,Leads!$S$5:$S$1004,0))="","",INDEX(Leads!$H$5:$H$1004,MATCH($A6,Leads!$S$5:$S$1004,0))),"")</f>
        <v/>
      </c>
      <c r="H6" s="14">
        <f>IFERROR(IF(INDEX(Leads!$I$5:$I$1004,MATCH($A6,Leads!$S$5:$S$1004,0))="","",INDEX(Leads!$I$5:$I$1004,MATCH($A6,Leads!$S$5:$S$1004,0))),"")</f>
        <v/>
      </c>
      <c r="I6" s="14">
        <f>IFERROR(IF(INDEX(Leads!$J$5:$J$1004,MATCH($A6,Leads!$S$5:$S$1004,0))="","",INDEX(Leads!$J$5:$J$1004,MATCH($A6,Leads!$S$5:$S$1004,0))),"")</f>
        <v/>
      </c>
      <c r="J6" s="26">
        <f>IFERROR(IF(INDEX(Leads!$Q$5:$Q$1004,MATCH($A6,Leads!$S$5:$S$1004,0))="","",INDEX(Leads!$Q$5:$Q$1004,MATCH($A6,Leads!$S$5:$S$1004,0))),"")</f>
        <v/>
      </c>
    </row>
    <row r="7" spans="1:10">
      <c r="A7" s="24">
        <v>3</v>
      </c>
      <c r="B7" s="22">
        <f>IFERROR(INDEX(Leads!$R$5:$R$1004,MATCH($A7,Leads!$S$5:$S$1004,0))&amp;"","")</f>
        <v/>
      </c>
      <c r="C7" s="25">
        <f>IFERROR(INDEX(Leads!$C$5:$C$1004,MATCH($A7,Leads!$S$5:$S$1004,0))&amp;"","")</f>
        <v/>
      </c>
      <c r="D7" s="25">
        <f>IFERROR(INDEX(Leads!$D$5:$D$1004,MATCH($A7,Leads!$S$5:$S$1004,0))&amp;"","")</f>
        <v/>
      </c>
      <c r="E7" s="25">
        <f>IFERROR(INDEX(Leads!$G$5:$G$1004,MATCH($A7,Leads!$S$5:$S$1004,0))&amp;"","")</f>
        <v/>
      </c>
      <c r="F7" s="25">
        <f>IFERROR(INDEX(Leads!$F$5:$F$1004,MATCH($A7,Leads!$S$5:$S$1004,0))&amp;"","")</f>
        <v/>
      </c>
      <c r="G7" s="21">
        <f>IFERROR(IF(INDEX(Leads!$H$5:$H$1004,MATCH($A7,Leads!$S$5:$S$1004,0))="","",INDEX(Leads!$H$5:$H$1004,MATCH($A7,Leads!$S$5:$S$1004,0))),"")</f>
        <v/>
      </c>
      <c r="H7" s="14">
        <f>IFERROR(IF(INDEX(Leads!$I$5:$I$1004,MATCH($A7,Leads!$S$5:$S$1004,0))="","",INDEX(Leads!$I$5:$I$1004,MATCH($A7,Leads!$S$5:$S$1004,0))),"")</f>
        <v/>
      </c>
      <c r="I7" s="14">
        <f>IFERROR(IF(INDEX(Leads!$J$5:$J$1004,MATCH($A7,Leads!$S$5:$S$1004,0))="","",INDEX(Leads!$J$5:$J$1004,MATCH($A7,Leads!$S$5:$S$1004,0))),"")</f>
        <v/>
      </c>
      <c r="J7" s="26">
        <f>IFERROR(IF(INDEX(Leads!$Q$5:$Q$1004,MATCH($A7,Leads!$S$5:$S$1004,0))="","",INDEX(Leads!$Q$5:$Q$1004,MATCH($A7,Leads!$S$5:$S$1004,0))),"")</f>
        <v/>
      </c>
    </row>
    <row r="8" spans="1:10">
      <c r="A8" s="24">
        <v>4</v>
      </c>
      <c r="B8" s="22">
        <f>IFERROR(INDEX(Leads!$R$5:$R$1004,MATCH($A8,Leads!$S$5:$S$1004,0))&amp;"","")</f>
        <v/>
      </c>
      <c r="C8" s="25">
        <f>IFERROR(INDEX(Leads!$C$5:$C$1004,MATCH($A8,Leads!$S$5:$S$1004,0))&amp;"","")</f>
        <v/>
      </c>
      <c r="D8" s="25">
        <f>IFERROR(INDEX(Leads!$D$5:$D$1004,MATCH($A8,Leads!$S$5:$S$1004,0))&amp;"","")</f>
        <v/>
      </c>
      <c r="E8" s="25">
        <f>IFERROR(INDEX(Leads!$G$5:$G$1004,MATCH($A8,Leads!$S$5:$S$1004,0))&amp;"","")</f>
        <v/>
      </c>
      <c r="F8" s="25">
        <f>IFERROR(INDEX(Leads!$F$5:$F$1004,MATCH($A8,Leads!$S$5:$S$1004,0))&amp;"","")</f>
        <v/>
      </c>
      <c r="G8" s="21">
        <f>IFERROR(IF(INDEX(Leads!$H$5:$H$1004,MATCH($A8,Leads!$S$5:$S$1004,0))="","",INDEX(Leads!$H$5:$H$1004,MATCH($A8,Leads!$S$5:$S$1004,0))),"")</f>
        <v/>
      </c>
      <c r="H8" s="14">
        <f>IFERROR(IF(INDEX(Leads!$I$5:$I$1004,MATCH($A8,Leads!$S$5:$S$1004,0))="","",INDEX(Leads!$I$5:$I$1004,MATCH($A8,Leads!$S$5:$S$1004,0))),"")</f>
        <v/>
      </c>
      <c r="I8" s="14">
        <f>IFERROR(IF(INDEX(Leads!$J$5:$J$1004,MATCH($A8,Leads!$S$5:$S$1004,0))="","",INDEX(Leads!$J$5:$J$1004,MATCH($A8,Leads!$S$5:$S$1004,0))),"")</f>
        <v/>
      </c>
      <c r="J8" s="26">
        <f>IFERROR(IF(INDEX(Leads!$Q$5:$Q$1004,MATCH($A8,Leads!$S$5:$S$1004,0))="","",INDEX(Leads!$Q$5:$Q$1004,MATCH($A8,Leads!$S$5:$S$1004,0))),"")</f>
        <v/>
      </c>
    </row>
    <row r="9" spans="1:10">
      <c r="A9" s="24">
        <v>5</v>
      </c>
      <c r="B9" s="22">
        <f>IFERROR(INDEX(Leads!$R$5:$R$1004,MATCH($A9,Leads!$S$5:$S$1004,0))&amp;"","")</f>
        <v/>
      </c>
      <c r="C9" s="25">
        <f>IFERROR(INDEX(Leads!$C$5:$C$1004,MATCH($A9,Leads!$S$5:$S$1004,0))&amp;"","")</f>
        <v/>
      </c>
      <c r="D9" s="25">
        <f>IFERROR(INDEX(Leads!$D$5:$D$1004,MATCH($A9,Leads!$S$5:$S$1004,0))&amp;"","")</f>
        <v/>
      </c>
      <c r="E9" s="25">
        <f>IFERROR(INDEX(Leads!$G$5:$G$1004,MATCH($A9,Leads!$S$5:$S$1004,0))&amp;"","")</f>
        <v/>
      </c>
      <c r="F9" s="25">
        <f>IFERROR(INDEX(Leads!$F$5:$F$1004,MATCH($A9,Leads!$S$5:$S$1004,0))&amp;"","")</f>
        <v/>
      </c>
      <c r="G9" s="21">
        <f>IFERROR(IF(INDEX(Leads!$H$5:$H$1004,MATCH($A9,Leads!$S$5:$S$1004,0))="","",INDEX(Leads!$H$5:$H$1004,MATCH($A9,Leads!$S$5:$S$1004,0))),"")</f>
        <v/>
      </c>
      <c r="H9" s="14">
        <f>IFERROR(IF(INDEX(Leads!$I$5:$I$1004,MATCH($A9,Leads!$S$5:$S$1004,0))="","",INDEX(Leads!$I$5:$I$1004,MATCH($A9,Leads!$S$5:$S$1004,0))),"")</f>
        <v/>
      </c>
      <c r="I9" s="14">
        <f>IFERROR(IF(INDEX(Leads!$J$5:$J$1004,MATCH($A9,Leads!$S$5:$S$1004,0))="","",INDEX(Leads!$J$5:$J$1004,MATCH($A9,Leads!$S$5:$S$1004,0))),"")</f>
        <v/>
      </c>
      <c r="J9" s="26">
        <f>IFERROR(IF(INDEX(Leads!$Q$5:$Q$1004,MATCH($A9,Leads!$S$5:$S$1004,0))="","",INDEX(Leads!$Q$5:$Q$1004,MATCH($A9,Leads!$S$5:$S$1004,0))),"")</f>
        <v/>
      </c>
    </row>
    <row r="10" spans="1:10">
      <c r="A10" s="24">
        <v>6</v>
      </c>
      <c r="B10" s="22">
        <f>IFERROR(INDEX(Leads!$R$5:$R$1004,MATCH($A10,Leads!$S$5:$S$1004,0))&amp;"","")</f>
        <v/>
      </c>
      <c r="C10" s="25">
        <f>IFERROR(INDEX(Leads!$C$5:$C$1004,MATCH($A10,Leads!$S$5:$S$1004,0))&amp;"","")</f>
        <v/>
      </c>
      <c r="D10" s="25">
        <f>IFERROR(INDEX(Leads!$D$5:$D$1004,MATCH($A10,Leads!$S$5:$S$1004,0))&amp;"","")</f>
        <v/>
      </c>
      <c r="E10" s="25">
        <f>IFERROR(INDEX(Leads!$G$5:$G$1004,MATCH($A10,Leads!$S$5:$S$1004,0))&amp;"","")</f>
        <v/>
      </c>
      <c r="F10" s="25">
        <f>IFERROR(INDEX(Leads!$F$5:$F$1004,MATCH($A10,Leads!$S$5:$S$1004,0))&amp;"","")</f>
        <v/>
      </c>
      <c r="G10" s="21">
        <f>IFERROR(IF(INDEX(Leads!$H$5:$H$1004,MATCH($A10,Leads!$S$5:$S$1004,0))="","",INDEX(Leads!$H$5:$H$1004,MATCH($A10,Leads!$S$5:$S$1004,0))),"")</f>
        <v/>
      </c>
      <c r="H10" s="14">
        <f>IFERROR(IF(INDEX(Leads!$I$5:$I$1004,MATCH($A10,Leads!$S$5:$S$1004,0))="","",INDEX(Leads!$I$5:$I$1004,MATCH($A10,Leads!$S$5:$S$1004,0))),"")</f>
        <v/>
      </c>
      <c r="I10" s="14">
        <f>IFERROR(IF(INDEX(Leads!$J$5:$J$1004,MATCH($A10,Leads!$S$5:$S$1004,0))="","",INDEX(Leads!$J$5:$J$1004,MATCH($A10,Leads!$S$5:$S$1004,0))),"")</f>
        <v/>
      </c>
      <c r="J10" s="26">
        <f>IFERROR(IF(INDEX(Leads!$Q$5:$Q$1004,MATCH($A10,Leads!$S$5:$S$1004,0))="","",INDEX(Leads!$Q$5:$Q$1004,MATCH($A10,Leads!$S$5:$S$1004,0))),"")</f>
        <v/>
      </c>
    </row>
    <row r="11" spans="1:10">
      <c r="A11" s="24">
        <v>7</v>
      </c>
      <c r="B11" s="22">
        <f>IFERROR(INDEX(Leads!$R$5:$R$1004,MATCH($A11,Leads!$S$5:$S$1004,0))&amp;"","")</f>
        <v/>
      </c>
      <c r="C11" s="25">
        <f>IFERROR(INDEX(Leads!$C$5:$C$1004,MATCH($A11,Leads!$S$5:$S$1004,0))&amp;"","")</f>
        <v/>
      </c>
      <c r="D11" s="25">
        <f>IFERROR(INDEX(Leads!$D$5:$D$1004,MATCH($A11,Leads!$S$5:$S$1004,0))&amp;"","")</f>
        <v/>
      </c>
      <c r="E11" s="25">
        <f>IFERROR(INDEX(Leads!$G$5:$G$1004,MATCH($A11,Leads!$S$5:$S$1004,0))&amp;"","")</f>
        <v/>
      </c>
      <c r="F11" s="25">
        <f>IFERROR(INDEX(Leads!$F$5:$F$1004,MATCH($A11,Leads!$S$5:$S$1004,0))&amp;"","")</f>
        <v/>
      </c>
      <c r="G11" s="21">
        <f>IFERROR(IF(INDEX(Leads!$H$5:$H$1004,MATCH($A11,Leads!$S$5:$S$1004,0))="","",INDEX(Leads!$H$5:$H$1004,MATCH($A11,Leads!$S$5:$S$1004,0))),"")</f>
        <v/>
      </c>
      <c r="H11" s="14">
        <f>IFERROR(IF(INDEX(Leads!$I$5:$I$1004,MATCH($A11,Leads!$S$5:$S$1004,0))="","",INDEX(Leads!$I$5:$I$1004,MATCH($A11,Leads!$S$5:$S$1004,0))),"")</f>
        <v/>
      </c>
      <c r="I11" s="14">
        <f>IFERROR(IF(INDEX(Leads!$J$5:$J$1004,MATCH($A11,Leads!$S$5:$S$1004,0))="","",INDEX(Leads!$J$5:$J$1004,MATCH($A11,Leads!$S$5:$S$1004,0))),"")</f>
        <v/>
      </c>
      <c r="J11" s="26">
        <f>IFERROR(IF(INDEX(Leads!$Q$5:$Q$1004,MATCH($A11,Leads!$S$5:$S$1004,0))="","",INDEX(Leads!$Q$5:$Q$1004,MATCH($A11,Leads!$S$5:$S$1004,0))),"")</f>
        <v/>
      </c>
    </row>
    <row r="12" spans="1:10">
      <c r="A12" s="24">
        <v>8</v>
      </c>
      <c r="B12" s="22">
        <f>IFERROR(INDEX(Leads!$R$5:$R$1004,MATCH($A12,Leads!$S$5:$S$1004,0))&amp;"","")</f>
        <v/>
      </c>
      <c r="C12" s="25">
        <f>IFERROR(INDEX(Leads!$C$5:$C$1004,MATCH($A12,Leads!$S$5:$S$1004,0))&amp;"","")</f>
        <v/>
      </c>
      <c r="D12" s="25">
        <f>IFERROR(INDEX(Leads!$D$5:$D$1004,MATCH($A12,Leads!$S$5:$S$1004,0))&amp;"","")</f>
        <v/>
      </c>
      <c r="E12" s="25">
        <f>IFERROR(INDEX(Leads!$G$5:$G$1004,MATCH($A12,Leads!$S$5:$S$1004,0))&amp;"","")</f>
        <v/>
      </c>
      <c r="F12" s="25">
        <f>IFERROR(INDEX(Leads!$F$5:$F$1004,MATCH($A12,Leads!$S$5:$S$1004,0))&amp;"","")</f>
        <v/>
      </c>
      <c r="G12" s="21">
        <f>IFERROR(IF(INDEX(Leads!$H$5:$H$1004,MATCH($A12,Leads!$S$5:$S$1004,0))="","",INDEX(Leads!$H$5:$H$1004,MATCH($A12,Leads!$S$5:$S$1004,0))),"")</f>
        <v/>
      </c>
      <c r="H12" s="14">
        <f>IFERROR(IF(INDEX(Leads!$I$5:$I$1004,MATCH($A12,Leads!$S$5:$S$1004,0))="","",INDEX(Leads!$I$5:$I$1004,MATCH($A12,Leads!$S$5:$S$1004,0))),"")</f>
        <v/>
      </c>
      <c r="I12" s="14">
        <f>IFERROR(IF(INDEX(Leads!$J$5:$J$1004,MATCH($A12,Leads!$S$5:$S$1004,0))="","",INDEX(Leads!$J$5:$J$1004,MATCH($A12,Leads!$S$5:$S$1004,0))),"")</f>
        <v/>
      </c>
      <c r="J12" s="26">
        <f>IFERROR(IF(INDEX(Leads!$Q$5:$Q$1004,MATCH($A12,Leads!$S$5:$S$1004,0))="","",INDEX(Leads!$Q$5:$Q$1004,MATCH($A12,Leads!$S$5:$S$1004,0))),"")</f>
        <v/>
      </c>
    </row>
    <row r="13" spans="1:10">
      <c r="A13" s="24">
        <v>9</v>
      </c>
      <c r="B13" s="22">
        <f>IFERROR(INDEX(Leads!$R$5:$R$1004,MATCH($A13,Leads!$S$5:$S$1004,0))&amp;"","")</f>
        <v/>
      </c>
      <c r="C13" s="25">
        <f>IFERROR(INDEX(Leads!$C$5:$C$1004,MATCH($A13,Leads!$S$5:$S$1004,0))&amp;"","")</f>
        <v/>
      </c>
      <c r="D13" s="25">
        <f>IFERROR(INDEX(Leads!$D$5:$D$1004,MATCH($A13,Leads!$S$5:$S$1004,0))&amp;"","")</f>
        <v/>
      </c>
      <c r="E13" s="25">
        <f>IFERROR(INDEX(Leads!$G$5:$G$1004,MATCH($A13,Leads!$S$5:$S$1004,0))&amp;"","")</f>
        <v/>
      </c>
      <c r="F13" s="25">
        <f>IFERROR(INDEX(Leads!$F$5:$F$1004,MATCH($A13,Leads!$S$5:$S$1004,0))&amp;"","")</f>
        <v/>
      </c>
      <c r="G13" s="21">
        <f>IFERROR(IF(INDEX(Leads!$H$5:$H$1004,MATCH($A13,Leads!$S$5:$S$1004,0))="","",INDEX(Leads!$H$5:$H$1004,MATCH($A13,Leads!$S$5:$S$1004,0))),"")</f>
        <v/>
      </c>
      <c r="H13" s="14">
        <f>IFERROR(IF(INDEX(Leads!$I$5:$I$1004,MATCH($A13,Leads!$S$5:$S$1004,0))="","",INDEX(Leads!$I$5:$I$1004,MATCH($A13,Leads!$S$5:$S$1004,0))),"")</f>
        <v/>
      </c>
      <c r="I13" s="14">
        <f>IFERROR(IF(INDEX(Leads!$J$5:$J$1004,MATCH($A13,Leads!$S$5:$S$1004,0))="","",INDEX(Leads!$J$5:$J$1004,MATCH($A13,Leads!$S$5:$S$1004,0))),"")</f>
        <v/>
      </c>
      <c r="J13" s="26">
        <f>IFERROR(IF(INDEX(Leads!$Q$5:$Q$1004,MATCH($A13,Leads!$S$5:$S$1004,0))="","",INDEX(Leads!$Q$5:$Q$1004,MATCH($A13,Leads!$S$5:$S$1004,0))),"")</f>
        <v/>
      </c>
    </row>
    <row r="14" spans="1:10">
      <c r="A14" s="24">
        <v>10</v>
      </c>
      <c r="B14" s="22">
        <f>IFERROR(INDEX(Leads!$R$5:$R$1004,MATCH($A14,Leads!$S$5:$S$1004,0))&amp;"","")</f>
        <v/>
      </c>
      <c r="C14" s="25">
        <f>IFERROR(INDEX(Leads!$C$5:$C$1004,MATCH($A14,Leads!$S$5:$S$1004,0))&amp;"","")</f>
        <v/>
      </c>
      <c r="D14" s="25">
        <f>IFERROR(INDEX(Leads!$D$5:$D$1004,MATCH($A14,Leads!$S$5:$S$1004,0))&amp;"","")</f>
        <v/>
      </c>
      <c r="E14" s="25">
        <f>IFERROR(INDEX(Leads!$G$5:$G$1004,MATCH($A14,Leads!$S$5:$S$1004,0))&amp;"","")</f>
        <v/>
      </c>
      <c r="F14" s="25">
        <f>IFERROR(INDEX(Leads!$F$5:$F$1004,MATCH($A14,Leads!$S$5:$S$1004,0))&amp;"","")</f>
        <v/>
      </c>
      <c r="G14" s="21">
        <f>IFERROR(IF(INDEX(Leads!$H$5:$H$1004,MATCH($A14,Leads!$S$5:$S$1004,0))="","",INDEX(Leads!$H$5:$H$1004,MATCH($A14,Leads!$S$5:$S$1004,0))),"")</f>
        <v/>
      </c>
      <c r="H14" s="14">
        <f>IFERROR(IF(INDEX(Leads!$I$5:$I$1004,MATCH($A14,Leads!$S$5:$S$1004,0))="","",INDEX(Leads!$I$5:$I$1004,MATCH($A14,Leads!$S$5:$S$1004,0))),"")</f>
        <v/>
      </c>
      <c r="I14" s="14">
        <f>IFERROR(IF(INDEX(Leads!$J$5:$J$1004,MATCH($A14,Leads!$S$5:$S$1004,0))="","",INDEX(Leads!$J$5:$J$1004,MATCH($A14,Leads!$S$5:$S$1004,0))),"")</f>
        <v/>
      </c>
      <c r="J14" s="26">
        <f>IFERROR(IF(INDEX(Leads!$Q$5:$Q$1004,MATCH($A14,Leads!$S$5:$S$1004,0))="","",INDEX(Leads!$Q$5:$Q$1004,MATCH($A14,Leads!$S$5:$S$1004,0))),"")</f>
        <v/>
      </c>
    </row>
    <row r="15" spans="1:10">
      <c r="A15" s="24">
        <v>11</v>
      </c>
      <c r="B15" s="22">
        <f>IFERROR(INDEX(Leads!$R$5:$R$1004,MATCH($A15,Leads!$S$5:$S$1004,0))&amp;"","")</f>
        <v/>
      </c>
      <c r="C15" s="25">
        <f>IFERROR(INDEX(Leads!$C$5:$C$1004,MATCH($A15,Leads!$S$5:$S$1004,0))&amp;"","")</f>
        <v/>
      </c>
      <c r="D15" s="25">
        <f>IFERROR(INDEX(Leads!$D$5:$D$1004,MATCH($A15,Leads!$S$5:$S$1004,0))&amp;"","")</f>
        <v/>
      </c>
      <c r="E15" s="25">
        <f>IFERROR(INDEX(Leads!$G$5:$G$1004,MATCH($A15,Leads!$S$5:$S$1004,0))&amp;"","")</f>
        <v/>
      </c>
      <c r="F15" s="25">
        <f>IFERROR(INDEX(Leads!$F$5:$F$1004,MATCH($A15,Leads!$S$5:$S$1004,0))&amp;"","")</f>
        <v/>
      </c>
      <c r="G15" s="21">
        <f>IFERROR(IF(INDEX(Leads!$H$5:$H$1004,MATCH($A15,Leads!$S$5:$S$1004,0))="","",INDEX(Leads!$H$5:$H$1004,MATCH($A15,Leads!$S$5:$S$1004,0))),"")</f>
        <v/>
      </c>
      <c r="H15" s="14">
        <f>IFERROR(IF(INDEX(Leads!$I$5:$I$1004,MATCH($A15,Leads!$S$5:$S$1004,0))="","",INDEX(Leads!$I$5:$I$1004,MATCH($A15,Leads!$S$5:$S$1004,0))),"")</f>
        <v/>
      </c>
      <c r="I15" s="14">
        <f>IFERROR(IF(INDEX(Leads!$J$5:$J$1004,MATCH($A15,Leads!$S$5:$S$1004,0))="","",INDEX(Leads!$J$5:$J$1004,MATCH($A15,Leads!$S$5:$S$1004,0))),"")</f>
        <v/>
      </c>
      <c r="J15" s="26">
        <f>IFERROR(IF(INDEX(Leads!$Q$5:$Q$1004,MATCH($A15,Leads!$S$5:$S$1004,0))="","",INDEX(Leads!$Q$5:$Q$1004,MATCH($A15,Leads!$S$5:$S$1004,0))),"")</f>
        <v/>
      </c>
    </row>
    <row r="16" spans="1:10">
      <c r="A16" s="24">
        <v>12</v>
      </c>
      <c r="B16" s="22">
        <f>IFERROR(INDEX(Leads!$R$5:$R$1004,MATCH($A16,Leads!$S$5:$S$1004,0))&amp;"","")</f>
        <v/>
      </c>
      <c r="C16" s="25">
        <f>IFERROR(INDEX(Leads!$C$5:$C$1004,MATCH($A16,Leads!$S$5:$S$1004,0))&amp;"","")</f>
        <v/>
      </c>
      <c r="D16" s="25">
        <f>IFERROR(INDEX(Leads!$D$5:$D$1004,MATCH($A16,Leads!$S$5:$S$1004,0))&amp;"","")</f>
        <v/>
      </c>
      <c r="E16" s="25">
        <f>IFERROR(INDEX(Leads!$G$5:$G$1004,MATCH($A16,Leads!$S$5:$S$1004,0))&amp;"","")</f>
        <v/>
      </c>
      <c r="F16" s="25">
        <f>IFERROR(INDEX(Leads!$F$5:$F$1004,MATCH($A16,Leads!$S$5:$S$1004,0))&amp;"","")</f>
        <v/>
      </c>
      <c r="G16" s="21">
        <f>IFERROR(IF(INDEX(Leads!$H$5:$H$1004,MATCH($A16,Leads!$S$5:$S$1004,0))="","",INDEX(Leads!$H$5:$H$1004,MATCH($A16,Leads!$S$5:$S$1004,0))),"")</f>
        <v/>
      </c>
      <c r="H16" s="14">
        <f>IFERROR(IF(INDEX(Leads!$I$5:$I$1004,MATCH($A16,Leads!$S$5:$S$1004,0))="","",INDEX(Leads!$I$5:$I$1004,MATCH($A16,Leads!$S$5:$S$1004,0))),"")</f>
        <v/>
      </c>
      <c r="I16" s="14">
        <f>IFERROR(IF(INDEX(Leads!$J$5:$J$1004,MATCH($A16,Leads!$S$5:$S$1004,0))="","",INDEX(Leads!$J$5:$J$1004,MATCH($A16,Leads!$S$5:$S$1004,0))),"")</f>
        <v/>
      </c>
      <c r="J16" s="26">
        <f>IFERROR(IF(INDEX(Leads!$Q$5:$Q$1004,MATCH($A16,Leads!$S$5:$S$1004,0))="","",INDEX(Leads!$Q$5:$Q$1004,MATCH($A16,Leads!$S$5:$S$1004,0))),"")</f>
        <v/>
      </c>
    </row>
    <row r="17" spans="1:10">
      <c r="A17" s="24">
        <v>13</v>
      </c>
      <c r="B17" s="22">
        <f>IFERROR(INDEX(Leads!$R$5:$R$1004,MATCH($A17,Leads!$S$5:$S$1004,0))&amp;"","")</f>
        <v/>
      </c>
      <c r="C17" s="25">
        <f>IFERROR(INDEX(Leads!$C$5:$C$1004,MATCH($A17,Leads!$S$5:$S$1004,0))&amp;"","")</f>
        <v/>
      </c>
      <c r="D17" s="25">
        <f>IFERROR(INDEX(Leads!$D$5:$D$1004,MATCH($A17,Leads!$S$5:$S$1004,0))&amp;"","")</f>
        <v/>
      </c>
      <c r="E17" s="25">
        <f>IFERROR(INDEX(Leads!$G$5:$G$1004,MATCH($A17,Leads!$S$5:$S$1004,0))&amp;"","")</f>
        <v/>
      </c>
      <c r="F17" s="25">
        <f>IFERROR(INDEX(Leads!$F$5:$F$1004,MATCH($A17,Leads!$S$5:$S$1004,0))&amp;"","")</f>
        <v/>
      </c>
      <c r="G17" s="21">
        <f>IFERROR(IF(INDEX(Leads!$H$5:$H$1004,MATCH($A17,Leads!$S$5:$S$1004,0))="","",INDEX(Leads!$H$5:$H$1004,MATCH($A17,Leads!$S$5:$S$1004,0))),"")</f>
        <v/>
      </c>
      <c r="H17" s="14">
        <f>IFERROR(IF(INDEX(Leads!$I$5:$I$1004,MATCH($A17,Leads!$S$5:$S$1004,0))="","",INDEX(Leads!$I$5:$I$1004,MATCH($A17,Leads!$S$5:$S$1004,0))),"")</f>
        <v/>
      </c>
      <c r="I17" s="14">
        <f>IFERROR(IF(INDEX(Leads!$J$5:$J$1004,MATCH($A17,Leads!$S$5:$S$1004,0))="","",INDEX(Leads!$J$5:$J$1004,MATCH($A17,Leads!$S$5:$S$1004,0))),"")</f>
        <v/>
      </c>
      <c r="J17" s="26">
        <f>IFERROR(IF(INDEX(Leads!$Q$5:$Q$1004,MATCH($A17,Leads!$S$5:$S$1004,0))="","",INDEX(Leads!$Q$5:$Q$1004,MATCH($A17,Leads!$S$5:$S$1004,0))),"")</f>
        <v/>
      </c>
    </row>
    <row r="18" spans="1:10">
      <c r="A18" s="24">
        <v>14</v>
      </c>
      <c r="B18" s="22">
        <f>IFERROR(INDEX(Leads!$R$5:$R$1004,MATCH($A18,Leads!$S$5:$S$1004,0))&amp;"","")</f>
        <v/>
      </c>
      <c r="C18" s="25">
        <f>IFERROR(INDEX(Leads!$C$5:$C$1004,MATCH($A18,Leads!$S$5:$S$1004,0))&amp;"","")</f>
        <v/>
      </c>
      <c r="D18" s="25">
        <f>IFERROR(INDEX(Leads!$D$5:$D$1004,MATCH($A18,Leads!$S$5:$S$1004,0))&amp;"","")</f>
        <v/>
      </c>
      <c r="E18" s="25">
        <f>IFERROR(INDEX(Leads!$G$5:$G$1004,MATCH($A18,Leads!$S$5:$S$1004,0))&amp;"","")</f>
        <v/>
      </c>
      <c r="F18" s="25">
        <f>IFERROR(INDEX(Leads!$F$5:$F$1004,MATCH($A18,Leads!$S$5:$S$1004,0))&amp;"","")</f>
        <v/>
      </c>
      <c r="G18" s="21">
        <f>IFERROR(IF(INDEX(Leads!$H$5:$H$1004,MATCH($A18,Leads!$S$5:$S$1004,0))="","",INDEX(Leads!$H$5:$H$1004,MATCH($A18,Leads!$S$5:$S$1004,0))),"")</f>
        <v/>
      </c>
      <c r="H18" s="14">
        <f>IFERROR(IF(INDEX(Leads!$I$5:$I$1004,MATCH($A18,Leads!$S$5:$S$1004,0))="","",INDEX(Leads!$I$5:$I$1004,MATCH($A18,Leads!$S$5:$S$1004,0))),"")</f>
        <v/>
      </c>
      <c r="I18" s="14">
        <f>IFERROR(IF(INDEX(Leads!$J$5:$J$1004,MATCH($A18,Leads!$S$5:$S$1004,0))="","",INDEX(Leads!$J$5:$J$1004,MATCH($A18,Leads!$S$5:$S$1004,0))),"")</f>
        <v/>
      </c>
      <c r="J18" s="26">
        <f>IFERROR(IF(INDEX(Leads!$Q$5:$Q$1004,MATCH($A18,Leads!$S$5:$S$1004,0))="","",INDEX(Leads!$Q$5:$Q$1004,MATCH($A18,Leads!$S$5:$S$1004,0))),"")</f>
        <v/>
      </c>
    </row>
    <row r="19" spans="1:10">
      <c r="A19" s="24">
        <v>15</v>
      </c>
      <c r="B19" s="22">
        <f>IFERROR(INDEX(Leads!$R$5:$R$1004,MATCH($A19,Leads!$S$5:$S$1004,0))&amp;"","")</f>
        <v/>
      </c>
      <c r="C19" s="25">
        <f>IFERROR(INDEX(Leads!$C$5:$C$1004,MATCH($A19,Leads!$S$5:$S$1004,0))&amp;"","")</f>
        <v/>
      </c>
      <c r="D19" s="25">
        <f>IFERROR(INDEX(Leads!$D$5:$D$1004,MATCH($A19,Leads!$S$5:$S$1004,0))&amp;"","")</f>
        <v/>
      </c>
      <c r="E19" s="25">
        <f>IFERROR(INDEX(Leads!$G$5:$G$1004,MATCH($A19,Leads!$S$5:$S$1004,0))&amp;"","")</f>
        <v/>
      </c>
      <c r="F19" s="25">
        <f>IFERROR(INDEX(Leads!$F$5:$F$1004,MATCH($A19,Leads!$S$5:$S$1004,0))&amp;"","")</f>
        <v/>
      </c>
      <c r="G19" s="21">
        <f>IFERROR(IF(INDEX(Leads!$H$5:$H$1004,MATCH($A19,Leads!$S$5:$S$1004,0))="","",INDEX(Leads!$H$5:$H$1004,MATCH($A19,Leads!$S$5:$S$1004,0))),"")</f>
        <v/>
      </c>
      <c r="H19" s="14">
        <f>IFERROR(IF(INDEX(Leads!$I$5:$I$1004,MATCH($A19,Leads!$S$5:$S$1004,0))="","",INDEX(Leads!$I$5:$I$1004,MATCH($A19,Leads!$S$5:$S$1004,0))),"")</f>
        <v/>
      </c>
      <c r="I19" s="14">
        <f>IFERROR(IF(INDEX(Leads!$J$5:$J$1004,MATCH($A19,Leads!$S$5:$S$1004,0))="","",INDEX(Leads!$J$5:$J$1004,MATCH($A19,Leads!$S$5:$S$1004,0))),"")</f>
        <v/>
      </c>
      <c r="J19" s="26">
        <f>IFERROR(IF(INDEX(Leads!$Q$5:$Q$1004,MATCH($A19,Leads!$S$5:$S$1004,0))="","",INDEX(Leads!$Q$5:$Q$1004,MATCH($A19,Leads!$S$5:$S$1004,0))),"")</f>
        <v/>
      </c>
    </row>
    <row r="20" spans="1:10">
      <c r="A20" s="24">
        <v>16</v>
      </c>
      <c r="B20" s="22">
        <f>IFERROR(INDEX(Leads!$R$5:$R$1004,MATCH($A20,Leads!$S$5:$S$1004,0))&amp;"","")</f>
        <v/>
      </c>
      <c r="C20" s="25">
        <f>IFERROR(INDEX(Leads!$C$5:$C$1004,MATCH($A20,Leads!$S$5:$S$1004,0))&amp;"","")</f>
        <v/>
      </c>
      <c r="D20" s="25">
        <f>IFERROR(INDEX(Leads!$D$5:$D$1004,MATCH($A20,Leads!$S$5:$S$1004,0))&amp;"","")</f>
        <v/>
      </c>
      <c r="E20" s="25">
        <f>IFERROR(INDEX(Leads!$G$5:$G$1004,MATCH($A20,Leads!$S$5:$S$1004,0))&amp;"","")</f>
        <v/>
      </c>
      <c r="F20" s="25">
        <f>IFERROR(INDEX(Leads!$F$5:$F$1004,MATCH($A20,Leads!$S$5:$S$1004,0))&amp;"","")</f>
        <v/>
      </c>
      <c r="G20" s="21">
        <f>IFERROR(IF(INDEX(Leads!$H$5:$H$1004,MATCH($A20,Leads!$S$5:$S$1004,0))="","",INDEX(Leads!$H$5:$H$1004,MATCH($A20,Leads!$S$5:$S$1004,0))),"")</f>
        <v/>
      </c>
      <c r="H20" s="14">
        <f>IFERROR(IF(INDEX(Leads!$I$5:$I$1004,MATCH($A20,Leads!$S$5:$S$1004,0))="","",INDEX(Leads!$I$5:$I$1004,MATCH($A20,Leads!$S$5:$S$1004,0))),"")</f>
        <v/>
      </c>
      <c r="I20" s="14">
        <f>IFERROR(IF(INDEX(Leads!$J$5:$J$1004,MATCH($A20,Leads!$S$5:$S$1004,0))="","",INDEX(Leads!$J$5:$J$1004,MATCH($A20,Leads!$S$5:$S$1004,0))),"")</f>
        <v/>
      </c>
      <c r="J20" s="26">
        <f>IFERROR(IF(INDEX(Leads!$Q$5:$Q$1004,MATCH($A20,Leads!$S$5:$S$1004,0))="","",INDEX(Leads!$Q$5:$Q$1004,MATCH($A20,Leads!$S$5:$S$1004,0))),"")</f>
        <v/>
      </c>
    </row>
    <row r="21" spans="1:10">
      <c r="A21" s="24">
        <v>17</v>
      </c>
      <c r="B21" s="22">
        <f>IFERROR(INDEX(Leads!$R$5:$R$1004,MATCH($A21,Leads!$S$5:$S$1004,0))&amp;"","")</f>
        <v/>
      </c>
      <c r="C21" s="25">
        <f>IFERROR(INDEX(Leads!$C$5:$C$1004,MATCH($A21,Leads!$S$5:$S$1004,0))&amp;"","")</f>
        <v/>
      </c>
      <c r="D21" s="25">
        <f>IFERROR(INDEX(Leads!$D$5:$D$1004,MATCH($A21,Leads!$S$5:$S$1004,0))&amp;"","")</f>
        <v/>
      </c>
      <c r="E21" s="25">
        <f>IFERROR(INDEX(Leads!$G$5:$G$1004,MATCH($A21,Leads!$S$5:$S$1004,0))&amp;"","")</f>
        <v/>
      </c>
      <c r="F21" s="25">
        <f>IFERROR(INDEX(Leads!$F$5:$F$1004,MATCH($A21,Leads!$S$5:$S$1004,0))&amp;"","")</f>
        <v/>
      </c>
      <c r="G21" s="21">
        <f>IFERROR(IF(INDEX(Leads!$H$5:$H$1004,MATCH($A21,Leads!$S$5:$S$1004,0))="","",INDEX(Leads!$H$5:$H$1004,MATCH($A21,Leads!$S$5:$S$1004,0))),"")</f>
        <v/>
      </c>
      <c r="H21" s="14">
        <f>IFERROR(IF(INDEX(Leads!$I$5:$I$1004,MATCH($A21,Leads!$S$5:$S$1004,0))="","",INDEX(Leads!$I$5:$I$1004,MATCH($A21,Leads!$S$5:$S$1004,0))),"")</f>
        <v/>
      </c>
      <c r="I21" s="14">
        <f>IFERROR(IF(INDEX(Leads!$J$5:$J$1004,MATCH($A21,Leads!$S$5:$S$1004,0))="","",INDEX(Leads!$J$5:$J$1004,MATCH($A21,Leads!$S$5:$S$1004,0))),"")</f>
        <v/>
      </c>
      <c r="J21" s="26">
        <f>IFERROR(IF(INDEX(Leads!$Q$5:$Q$1004,MATCH($A21,Leads!$S$5:$S$1004,0))="","",INDEX(Leads!$Q$5:$Q$1004,MATCH($A21,Leads!$S$5:$S$1004,0))),"")</f>
        <v/>
      </c>
    </row>
    <row r="22" spans="1:10">
      <c r="A22" s="24">
        <v>18</v>
      </c>
      <c r="B22" s="22">
        <f>IFERROR(INDEX(Leads!$R$5:$R$1004,MATCH($A22,Leads!$S$5:$S$1004,0))&amp;"","")</f>
        <v/>
      </c>
      <c r="C22" s="25">
        <f>IFERROR(INDEX(Leads!$C$5:$C$1004,MATCH($A22,Leads!$S$5:$S$1004,0))&amp;"","")</f>
        <v/>
      </c>
      <c r="D22" s="25">
        <f>IFERROR(INDEX(Leads!$D$5:$D$1004,MATCH($A22,Leads!$S$5:$S$1004,0))&amp;"","")</f>
        <v/>
      </c>
      <c r="E22" s="25">
        <f>IFERROR(INDEX(Leads!$G$5:$G$1004,MATCH($A22,Leads!$S$5:$S$1004,0))&amp;"","")</f>
        <v/>
      </c>
      <c r="F22" s="25">
        <f>IFERROR(INDEX(Leads!$F$5:$F$1004,MATCH($A22,Leads!$S$5:$S$1004,0))&amp;"","")</f>
        <v/>
      </c>
      <c r="G22" s="21">
        <f>IFERROR(IF(INDEX(Leads!$H$5:$H$1004,MATCH($A22,Leads!$S$5:$S$1004,0))="","",INDEX(Leads!$H$5:$H$1004,MATCH($A22,Leads!$S$5:$S$1004,0))),"")</f>
        <v/>
      </c>
      <c r="H22" s="14">
        <f>IFERROR(IF(INDEX(Leads!$I$5:$I$1004,MATCH($A22,Leads!$S$5:$S$1004,0))="","",INDEX(Leads!$I$5:$I$1004,MATCH($A22,Leads!$S$5:$S$1004,0))),"")</f>
        <v/>
      </c>
      <c r="I22" s="14">
        <f>IFERROR(IF(INDEX(Leads!$J$5:$J$1004,MATCH($A22,Leads!$S$5:$S$1004,0))="","",INDEX(Leads!$J$5:$J$1004,MATCH($A22,Leads!$S$5:$S$1004,0))),"")</f>
        <v/>
      </c>
      <c r="J22" s="26">
        <f>IFERROR(IF(INDEX(Leads!$Q$5:$Q$1004,MATCH($A22,Leads!$S$5:$S$1004,0))="","",INDEX(Leads!$Q$5:$Q$1004,MATCH($A22,Leads!$S$5:$S$1004,0))),"")</f>
        <v/>
      </c>
    </row>
    <row r="23" spans="1:10">
      <c r="A23" s="24">
        <v>19</v>
      </c>
      <c r="B23" s="22">
        <f>IFERROR(INDEX(Leads!$R$5:$R$1004,MATCH($A23,Leads!$S$5:$S$1004,0))&amp;"","")</f>
        <v/>
      </c>
      <c r="C23" s="25">
        <f>IFERROR(INDEX(Leads!$C$5:$C$1004,MATCH($A23,Leads!$S$5:$S$1004,0))&amp;"","")</f>
        <v/>
      </c>
      <c r="D23" s="25">
        <f>IFERROR(INDEX(Leads!$D$5:$D$1004,MATCH($A23,Leads!$S$5:$S$1004,0))&amp;"","")</f>
        <v/>
      </c>
      <c r="E23" s="25">
        <f>IFERROR(INDEX(Leads!$G$5:$G$1004,MATCH($A23,Leads!$S$5:$S$1004,0))&amp;"","")</f>
        <v/>
      </c>
      <c r="F23" s="25">
        <f>IFERROR(INDEX(Leads!$F$5:$F$1004,MATCH($A23,Leads!$S$5:$S$1004,0))&amp;"","")</f>
        <v/>
      </c>
      <c r="G23" s="21">
        <f>IFERROR(IF(INDEX(Leads!$H$5:$H$1004,MATCH($A23,Leads!$S$5:$S$1004,0))="","",INDEX(Leads!$H$5:$H$1004,MATCH($A23,Leads!$S$5:$S$1004,0))),"")</f>
        <v/>
      </c>
      <c r="H23" s="14">
        <f>IFERROR(IF(INDEX(Leads!$I$5:$I$1004,MATCH($A23,Leads!$S$5:$S$1004,0))="","",INDEX(Leads!$I$5:$I$1004,MATCH($A23,Leads!$S$5:$S$1004,0))),"")</f>
        <v/>
      </c>
      <c r="I23" s="14">
        <f>IFERROR(IF(INDEX(Leads!$J$5:$J$1004,MATCH($A23,Leads!$S$5:$S$1004,0))="","",INDEX(Leads!$J$5:$J$1004,MATCH($A23,Leads!$S$5:$S$1004,0))),"")</f>
        <v/>
      </c>
      <c r="J23" s="26">
        <f>IFERROR(IF(INDEX(Leads!$Q$5:$Q$1004,MATCH($A23,Leads!$S$5:$S$1004,0))="","",INDEX(Leads!$Q$5:$Q$1004,MATCH($A23,Leads!$S$5:$S$1004,0))),"")</f>
        <v/>
      </c>
    </row>
    <row r="24" spans="1:10">
      <c r="A24" s="24">
        <v>20</v>
      </c>
      <c r="B24" s="22">
        <f>IFERROR(INDEX(Leads!$R$5:$R$1004,MATCH($A24,Leads!$S$5:$S$1004,0))&amp;"","")</f>
        <v/>
      </c>
      <c r="C24" s="25">
        <f>IFERROR(INDEX(Leads!$C$5:$C$1004,MATCH($A24,Leads!$S$5:$S$1004,0))&amp;"","")</f>
        <v/>
      </c>
      <c r="D24" s="25">
        <f>IFERROR(INDEX(Leads!$D$5:$D$1004,MATCH($A24,Leads!$S$5:$S$1004,0))&amp;"","")</f>
        <v/>
      </c>
      <c r="E24" s="25">
        <f>IFERROR(INDEX(Leads!$G$5:$G$1004,MATCH($A24,Leads!$S$5:$S$1004,0))&amp;"","")</f>
        <v/>
      </c>
      <c r="F24" s="25">
        <f>IFERROR(INDEX(Leads!$F$5:$F$1004,MATCH($A24,Leads!$S$5:$S$1004,0))&amp;"","")</f>
        <v/>
      </c>
      <c r="G24" s="21">
        <f>IFERROR(IF(INDEX(Leads!$H$5:$H$1004,MATCH($A24,Leads!$S$5:$S$1004,0))="","",INDEX(Leads!$H$5:$H$1004,MATCH($A24,Leads!$S$5:$S$1004,0))),"")</f>
        <v/>
      </c>
      <c r="H24" s="14">
        <f>IFERROR(IF(INDEX(Leads!$I$5:$I$1004,MATCH($A24,Leads!$S$5:$S$1004,0))="","",INDEX(Leads!$I$5:$I$1004,MATCH($A24,Leads!$S$5:$S$1004,0))),"")</f>
        <v/>
      </c>
      <c r="I24" s="14">
        <f>IFERROR(IF(INDEX(Leads!$J$5:$J$1004,MATCH($A24,Leads!$S$5:$S$1004,0))="","",INDEX(Leads!$J$5:$J$1004,MATCH($A24,Leads!$S$5:$S$1004,0))),"")</f>
        <v/>
      </c>
      <c r="J24" s="26">
        <f>IFERROR(IF(INDEX(Leads!$Q$5:$Q$1004,MATCH($A24,Leads!$S$5:$S$1004,0))="","",INDEX(Leads!$Q$5:$Q$1004,MATCH($A24,Leads!$S$5:$S$1004,0))),"")</f>
        <v/>
      </c>
    </row>
    <row r="25" spans="1:10">
      <c r="A25" s="24">
        <v>21</v>
      </c>
      <c r="B25" s="22">
        <f>IFERROR(INDEX(Leads!$R$5:$R$1004,MATCH($A25,Leads!$S$5:$S$1004,0))&amp;"","")</f>
        <v/>
      </c>
      <c r="C25" s="25">
        <f>IFERROR(INDEX(Leads!$C$5:$C$1004,MATCH($A25,Leads!$S$5:$S$1004,0))&amp;"","")</f>
        <v/>
      </c>
      <c r="D25" s="25">
        <f>IFERROR(INDEX(Leads!$D$5:$D$1004,MATCH($A25,Leads!$S$5:$S$1004,0))&amp;"","")</f>
        <v/>
      </c>
      <c r="E25" s="25">
        <f>IFERROR(INDEX(Leads!$G$5:$G$1004,MATCH($A25,Leads!$S$5:$S$1004,0))&amp;"","")</f>
        <v/>
      </c>
      <c r="F25" s="25">
        <f>IFERROR(INDEX(Leads!$F$5:$F$1004,MATCH($A25,Leads!$S$5:$S$1004,0))&amp;"","")</f>
        <v/>
      </c>
      <c r="G25" s="21">
        <f>IFERROR(IF(INDEX(Leads!$H$5:$H$1004,MATCH($A25,Leads!$S$5:$S$1004,0))="","",INDEX(Leads!$H$5:$H$1004,MATCH($A25,Leads!$S$5:$S$1004,0))),"")</f>
        <v/>
      </c>
      <c r="H25" s="14">
        <f>IFERROR(IF(INDEX(Leads!$I$5:$I$1004,MATCH($A25,Leads!$S$5:$S$1004,0))="","",INDEX(Leads!$I$5:$I$1004,MATCH($A25,Leads!$S$5:$S$1004,0))),"")</f>
        <v/>
      </c>
      <c r="I25" s="14">
        <f>IFERROR(IF(INDEX(Leads!$J$5:$J$1004,MATCH($A25,Leads!$S$5:$S$1004,0))="","",INDEX(Leads!$J$5:$J$1004,MATCH($A25,Leads!$S$5:$S$1004,0))),"")</f>
        <v/>
      </c>
      <c r="J25" s="26">
        <f>IFERROR(IF(INDEX(Leads!$Q$5:$Q$1004,MATCH($A25,Leads!$S$5:$S$1004,0))="","",INDEX(Leads!$Q$5:$Q$1004,MATCH($A25,Leads!$S$5:$S$1004,0))),"")</f>
        <v/>
      </c>
    </row>
    <row r="26" spans="1:10">
      <c r="A26" s="24">
        <v>22</v>
      </c>
      <c r="B26" s="22">
        <f>IFERROR(INDEX(Leads!$R$5:$R$1004,MATCH($A26,Leads!$S$5:$S$1004,0))&amp;"","")</f>
        <v/>
      </c>
      <c r="C26" s="25">
        <f>IFERROR(INDEX(Leads!$C$5:$C$1004,MATCH($A26,Leads!$S$5:$S$1004,0))&amp;"","")</f>
        <v/>
      </c>
      <c r="D26" s="25">
        <f>IFERROR(INDEX(Leads!$D$5:$D$1004,MATCH($A26,Leads!$S$5:$S$1004,0))&amp;"","")</f>
        <v/>
      </c>
      <c r="E26" s="25">
        <f>IFERROR(INDEX(Leads!$G$5:$G$1004,MATCH($A26,Leads!$S$5:$S$1004,0))&amp;"","")</f>
        <v/>
      </c>
      <c r="F26" s="25">
        <f>IFERROR(INDEX(Leads!$F$5:$F$1004,MATCH($A26,Leads!$S$5:$S$1004,0))&amp;"","")</f>
        <v/>
      </c>
      <c r="G26" s="21">
        <f>IFERROR(IF(INDEX(Leads!$H$5:$H$1004,MATCH($A26,Leads!$S$5:$S$1004,0))="","",INDEX(Leads!$H$5:$H$1004,MATCH($A26,Leads!$S$5:$S$1004,0))),"")</f>
        <v/>
      </c>
      <c r="H26" s="14">
        <f>IFERROR(IF(INDEX(Leads!$I$5:$I$1004,MATCH($A26,Leads!$S$5:$S$1004,0))="","",INDEX(Leads!$I$5:$I$1004,MATCH($A26,Leads!$S$5:$S$1004,0))),"")</f>
        <v/>
      </c>
      <c r="I26" s="14">
        <f>IFERROR(IF(INDEX(Leads!$J$5:$J$1004,MATCH($A26,Leads!$S$5:$S$1004,0))="","",INDEX(Leads!$J$5:$J$1004,MATCH($A26,Leads!$S$5:$S$1004,0))),"")</f>
        <v/>
      </c>
      <c r="J26" s="26">
        <f>IFERROR(IF(INDEX(Leads!$Q$5:$Q$1004,MATCH($A26,Leads!$S$5:$S$1004,0))="","",INDEX(Leads!$Q$5:$Q$1004,MATCH($A26,Leads!$S$5:$S$1004,0))),"")</f>
        <v/>
      </c>
    </row>
    <row r="27" spans="1:10">
      <c r="A27" s="24">
        <v>23</v>
      </c>
      <c r="B27" s="22">
        <f>IFERROR(INDEX(Leads!$R$5:$R$1004,MATCH($A27,Leads!$S$5:$S$1004,0))&amp;"","")</f>
        <v/>
      </c>
      <c r="C27" s="25">
        <f>IFERROR(INDEX(Leads!$C$5:$C$1004,MATCH($A27,Leads!$S$5:$S$1004,0))&amp;"","")</f>
        <v/>
      </c>
      <c r="D27" s="25">
        <f>IFERROR(INDEX(Leads!$D$5:$D$1004,MATCH($A27,Leads!$S$5:$S$1004,0))&amp;"","")</f>
        <v/>
      </c>
      <c r="E27" s="25">
        <f>IFERROR(INDEX(Leads!$G$5:$G$1004,MATCH($A27,Leads!$S$5:$S$1004,0))&amp;"","")</f>
        <v/>
      </c>
      <c r="F27" s="25">
        <f>IFERROR(INDEX(Leads!$F$5:$F$1004,MATCH($A27,Leads!$S$5:$S$1004,0))&amp;"","")</f>
        <v/>
      </c>
      <c r="G27" s="21">
        <f>IFERROR(IF(INDEX(Leads!$H$5:$H$1004,MATCH($A27,Leads!$S$5:$S$1004,0))="","",INDEX(Leads!$H$5:$H$1004,MATCH($A27,Leads!$S$5:$S$1004,0))),"")</f>
        <v/>
      </c>
      <c r="H27" s="14">
        <f>IFERROR(IF(INDEX(Leads!$I$5:$I$1004,MATCH($A27,Leads!$S$5:$S$1004,0))="","",INDEX(Leads!$I$5:$I$1004,MATCH($A27,Leads!$S$5:$S$1004,0))),"")</f>
        <v/>
      </c>
      <c r="I27" s="14">
        <f>IFERROR(IF(INDEX(Leads!$J$5:$J$1004,MATCH($A27,Leads!$S$5:$S$1004,0))="","",INDEX(Leads!$J$5:$J$1004,MATCH($A27,Leads!$S$5:$S$1004,0))),"")</f>
        <v/>
      </c>
      <c r="J27" s="26">
        <f>IFERROR(IF(INDEX(Leads!$Q$5:$Q$1004,MATCH($A27,Leads!$S$5:$S$1004,0))="","",INDEX(Leads!$Q$5:$Q$1004,MATCH($A27,Leads!$S$5:$S$1004,0))),"")</f>
        <v/>
      </c>
    </row>
    <row r="28" spans="1:10">
      <c r="A28" s="24">
        <v>24</v>
      </c>
      <c r="B28" s="22">
        <f>IFERROR(INDEX(Leads!$R$5:$R$1004,MATCH($A28,Leads!$S$5:$S$1004,0))&amp;"","")</f>
        <v/>
      </c>
      <c r="C28" s="25">
        <f>IFERROR(INDEX(Leads!$C$5:$C$1004,MATCH($A28,Leads!$S$5:$S$1004,0))&amp;"","")</f>
        <v/>
      </c>
      <c r="D28" s="25">
        <f>IFERROR(INDEX(Leads!$D$5:$D$1004,MATCH($A28,Leads!$S$5:$S$1004,0))&amp;"","")</f>
        <v/>
      </c>
      <c r="E28" s="25">
        <f>IFERROR(INDEX(Leads!$G$5:$G$1004,MATCH($A28,Leads!$S$5:$S$1004,0))&amp;"","")</f>
        <v/>
      </c>
      <c r="F28" s="25">
        <f>IFERROR(INDEX(Leads!$F$5:$F$1004,MATCH($A28,Leads!$S$5:$S$1004,0))&amp;"","")</f>
        <v/>
      </c>
      <c r="G28" s="21">
        <f>IFERROR(IF(INDEX(Leads!$H$5:$H$1004,MATCH($A28,Leads!$S$5:$S$1004,0))="","",INDEX(Leads!$H$5:$H$1004,MATCH($A28,Leads!$S$5:$S$1004,0))),"")</f>
        <v/>
      </c>
      <c r="H28" s="14">
        <f>IFERROR(IF(INDEX(Leads!$I$5:$I$1004,MATCH($A28,Leads!$S$5:$S$1004,0))="","",INDEX(Leads!$I$5:$I$1004,MATCH($A28,Leads!$S$5:$S$1004,0))),"")</f>
        <v/>
      </c>
      <c r="I28" s="14">
        <f>IFERROR(IF(INDEX(Leads!$J$5:$J$1004,MATCH($A28,Leads!$S$5:$S$1004,0))="","",INDEX(Leads!$J$5:$J$1004,MATCH($A28,Leads!$S$5:$S$1004,0))),"")</f>
        <v/>
      </c>
      <c r="J28" s="26">
        <f>IFERROR(IF(INDEX(Leads!$Q$5:$Q$1004,MATCH($A28,Leads!$S$5:$S$1004,0))="","",INDEX(Leads!$Q$5:$Q$1004,MATCH($A28,Leads!$S$5:$S$1004,0))),"")</f>
        <v/>
      </c>
    </row>
    <row r="29" spans="1:10">
      <c r="A29" s="24">
        <v>25</v>
      </c>
      <c r="B29" s="22">
        <f>IFERROR(INDEX(Leads!$R$5:$R$1004,MATCH($A29,Leads!$S$5:$S$1004,0))&amp;"","")</f>
        <v/>
      </c>
      <c r="C29" s="25">
        <f>IFERROR(INDEX(Leads!$C$5:$C$1004,MATCH($A29,Leads!$S$5:$S$1004,0))&amp;"","")</f>
        <v/>
      </c>
      <c r="D29" s="25">
        <f>IFERROR(INDEX(Leads!$D$5:$D$1004,MATCH($A29,Leads!$S$5:$S$1004,0))&amp;"","")</f>
        <v/>
      </c>
      <c r="E29" s="25">
        <f>IFERROR(INDEX(Leads!$G$5:$G$1004,MATCH($A29,Leads!$S$5:$S$1004,0))&amp;"","")</f>
        <v/>
      </c>
      <c r="F29" s="25">
        <f>IFERROR(INDEX(Leads!$F$5:$F$1004,MATCH($A29,Leads!$S$5:$S$1004,0))&amp;"","")</f>
        <v/>
      </c>
      <c r="G29" s="21">
        <f>IFERROR(IF(INDEX(Leads!$H$5:$H$1004,MATCH($A29,Leads!$S$5:$S$1004,0))="","",INDEX(Leads!$H$5:$H$1004,MATCH($A29,Leads!$S$5:$S$1004,0))),"")</f>
        <v/>
      </c>
      <c r="H29" s="14">
        <f>IFERROR(IF(INDEX(Leads!$I$5:$I$1004,MATCH($A29,Leads!$S$5:$S$1004,0))="","",INDEX(Leads!$I$5:$I$1004,MATCH($A29,Leads!$S$5:$S$1004,0))),"")</f>
        <v/>
      </c>
      <c r="I29" s="14">
        <f>IFERROR(IF(INDEX(Leads!$J$5:$J$1004,MATCH($A29,Leads!$S$5:$S$1004,0))="","",INDEX(Leads!$J$5:$J$1004,MATCH($A29,Leads!$S$5:$S$1004,0))),"")</f>
        <v/>
      </c>
      <c r="J29" s="26">
        <f>IFERROR(IF(INDEX(Leads!$Q$5:$Q$1004,MATCH($A29,Leads!$S$5:$S$1004,0))="","",INDEX(Leads!$Q$5:$Q$1004,MATCH($A29,Leads!$S$5:$S$1004,0))),"")</f>
        <v/>
      </c>
    </row>
    <row r="30" spans="1:10">
      <c r="A30" s="24">
        <v>26</v>
      </c>
      <c r="B30" s="22">
        <f>IFERROR(INDEX(Leads!$R$5:$R$1004,MATCH($A30,Leads!$S$5:$S$1004,0))&amp;"","")</f>
        <v/>
      </c>
      <c r="C30" s="25">
        <f>IFERROR(INDEX(Leads!$C$5:$C$1004,MATCH($A30,Leads!$S$5:$S$1004,0))&amp;"","")</f>
        <v/>
      </c>
      <c r="D30" s="25">
        <f>IFERROR(INDEX(Leads!$D$5:$D$1004,MATCH($A30,Leads!$S$5:$S$1004,0))&amp;"","")</f>
        <v/>
      </c>
      <c r="E30" s="25">
        <f>IFERROR(INDEX(Leads!$G$5:$G$1004,MATCH($A30,Leads!$S$5:$S$1004,0))&amp;"","")</f>
        <v/>
      </c>
      <c r="F30" s="25">
        <f>IFERROR(INDEX(Leads!$F$5:$F$1004,MATCH($A30,Leads!$S$5:$S$1004,0))&amp;"","")</f>
        <v/>
      </c>
      <c r="G30" s="21">
        <f>IFERROR(IF(INDEX(Leads!$H$5:$H$1004,MATCH($A30,Leads!$S$5:$S$1004,0))="","",INDEX(Leads!$H$5:$H$1004,MATCH($A30,Leads!$S$5:$S$1004,0))),"")</f>
        <v/>
      </c>
      <c r="H30" s="14">
        <f>IFERROR(IF(INDEX(Leads!$I$5:$I$1004,MATCH($A30,Leads!$S$5:$S$1004,0))="","",INDEX(Leads!$I$5:$I$1004,MATCH($A30,Leads!$S$5:$S$1004,0))),"")</f>
        <v/>
      </c>
      <c r="I30" s="14">
        <f>IFERROR(IF(INDEX(Leads!$J$5:$J$1004,MATCH($A30,Leads!$S$5:$S$1004,0))="","",INDEX(Leads!$J$5:$J$1004,MATCH($A30,Leads!$S$5:$S$1004,0))),"")</f>
        <v/>
      </c>
      <c r="J30" s="26">
        <f>IFERROR(IF(INDEX(Leads!$Q$5:$Q$1004,MATCH($A30,Leads!$S$5:$S$1004,0))="","",INDEX(Leads!$Q$5:$Q$1004,MATCH($A30,Leads!$S$5:$S$1004,0))),"")</f>
        <v/>
      </c>
    </row>
    <row r="31" spans="1:10">
      <c r="A31" s="24">
        <v>27</v>
      </c>
      <c r="B31" s="22">
        <f>IFERROR(INDEX(Leads!$R$5:$R$1004,MATCH($A31,Leads!$S$5:$S$1004,0))&amp;"","")</f>
        <v/>
      </c>
      <c r="C31" s="25">
        <f>IFERROR(INDEX(Leads!$C$5:$C$1004,MATCH($A31,Leads!$S$5:$S$1004,0))&amp;"","")</f>
        <v/>
      </c>
      <c r="D31" s="25">
        <f>IFERROR(INDEX(Leads!$D$5:$D$1004,MATCH($A31,Leads!$S$5:$S$1004,0))&amp;"","")</f>
        <v/>
      </c>
      <c r="E31" s="25">
        <f>IFERROR(INDEX(Leads!$G$5:$G$1004,MATCH($A31,Leads!$S$5:$S$1004,0))&amp;"","")</f>
        <v/>
      </c>
      <c r="F31" s="25">
        <f>IFERROR(INDEX(Leads!$F$5:$F$1004,MATCH($A31,Leads!$S$5:$S$1004,0))&amp;"","")</f>
        <v/>
      </c>
      <c r="G31" s="21">
        <f>IFERROR(IF(INDEX(Leads!$H$5:$H$1004,MATCH($A31,Leads!$S$5:$S$1004,0))="","",INDEX(Leads!$H$5:$H$1004,MATCH($A31,Leads!$S$5:$S$1004,0))),"")</f>
        <v/>
      </c>
      <c r="H31" s="14">
        <f>IFERROR(IF(INDEX(Leads!$I$5:$I$1004,MATCH($A31,Leads!$S$5:$S$1004,0))="","",INDEX(Leads!$I$5:$I$1004,MATCH($A31,Leads!$S$5:$S$1004,0))),"")</f>
        <v/>
      </c>
      <c r="I31" s="14">
        <f>IFERROR(IF(INDEX(Leads!$J$5:$J$1004,MATCH($A31,Leads!$S$5:$S$1004,0))="","",INDEX(Leads!$J$5:$J$1004,MATCH($A31,Leads!$S$5:$S$1004,0))),"")</f>
        <v/>
      </c>
      <c r="J31" s="26">
        <f>IFERROR(IF(INDEX(Leads!$Q$5:$Q$1004,MATCH($A31,Leads!$S$5:$S$1004,0))="","",INDEX(Leads!$Q$5:$Q$1004,MATCH($A31,Leads!$S$5:$S$1004,0))),"")</f>
        <v/>
      </c>
    </row>
    <row r="32" spans="1:10">
      <c r="A32" s="24">
        <v>28</v>
      </c>
      <c r="B32" s="22">
        <f>IFERROR(INDEX(Leads!$R$5:$R$1004,MATCH($A32,Leads!$S$5:$S$1004,0))&amp;"","")</f>
        <v/>
      </c>
      <c r="C32" s="25">
        <f>IFERROR(INDEX(Leads!$C$5:$C$1004,MATCH($A32,Leads!$S$5:$S$1004,0))&amp;"","")</f>
        <v/>
      </c>
      <c r="D32" s="25">
        <f>IFERROR(INDEX(Leads!$D$5:$D$1004,MATCH($A32,Leads!$S$5:$S$1004,0))&amp;"","")</f>
        <v/>
      </c>
      <c r="E32" s="25">
        <f>IFERROR(INDEX(Leads!$G$5:$G$1004,MATCH($A32,Leads!$S$5:$S$1004,0))&amp;"","")</f>
        <v/>
      </c>
      <c r="F32" s="25">
        <f>IFERROR(INDEX(Leads!$F$5:$F$1004,MATCH($A32,Leads!$S$5:$S$1004,0))&amp;"","")</f>
        <v/>
      </c>
      <c r="G32" s="21">
        <f>IFERROR(IF(INDEX(Leads!$H$5:$H$1004,MATCH($A32,Leads!$S$5:$S$1004,0))="","",INDEX(Leads!$H$5:$H$1004,MATCH($A32,Leads!$S$5:$S$1004,0))),"")</f>
        <v/>
      </c>
      <c r="H32" s="14">
        <f>IFERROR(IF(INDEX(Leads!$I$5:$I$1004,MATCH($A32,Leads!$S$5:$S$1004,0))="","",INDEX(Leads!$I$5:$I$1004,MATCH($A32,Leads!$S$5:$S$1004,0))),"")</f>
        <v/>
      </c>
      <c r="I32" s="14">
        <f>IFERROR(IF(INDEX(Leads!$J$5:$J$1004,MATCH($A32,Leads!$S$5:$S$1004,0))="","",INDEX(Leads!$J$5:$J$1004,MATCH($A32,Leads!$S$5:$S$1004,0))),"")</f>
        <v/>
      </c>
      <c r="J32" s="26">
        <f>IFERROR(IF(INDEX(Leads!$Q$5:$Q$1004,MATCH($A32,Leads!$S$5:$S$1004,0))="","",INDEX(Leads!$Q$5:$Q$1004,MATCH($A32,Leads!$S$5:$S$1004,0))),"")</f>
        <v/>
      </c>
    </row>
    <row r="33" spans="1:10">
      <c r="A33" s="24">
        <v>29</v>
      </c>
      <c r="B33" s="22">
        <f>IFERROR(INDEX(Leads!$R$5:$R$1004,MATCH($A33,Leads!$S$5:$S$1004,0))&amp;"","")</f>
        <v/>
      </c>
      <c r="C33" s="25">
        <f>IFERROR(INDEX(Leads!$C$5:$C$1004,MATCH($A33,Leads!$S$5:$S$1004,0))&amp;"","")</f>
        <v/>
      </c>
      <c r="D33" s="25">
        <f>IFERROR(INDEX(Leads!$D$5:$D$1004,MATCH($A33,Leads!$S$5:$S$1004,0))&amp;"","")</f>
        <v/>
      </c>
      <c r="E33" s="25">
        <f>IFERROR(INDEX(Leads!$G$5:$G$1004,MATCH($A33,Leads!$S$5:$S$1004,0))&amp;"","")</f>
        <v/>
      </c>
      <c r="F33" s="25">
        <f>IFERROR(INDEX(Leads!$F$5:$F$1004,MATCH($A33,Leads!$S$5:$S$1004,0))&amp;"","")</f>
        <v/>
      </c>
      <c r="G33" s="21">
        <f>IFERROR(IF(INDEX(Leads!$H$5:$H$1004,MATCH($A33,Leads!$S$5:$S$1004,0))="","",INDEX(Leads!$H$5:$H$1004,MATCH($A33,Leads!$S$5:$S$1004,0))),"")</f>
        <v/>
      </c>
      <c r="H33" s="14">
        <f>IFERROR(IF(INDEX(Leads!$I$5:$I$1004,MATCH($A33,Leads!$S$5:$S$1004,0))="","",INDEX(Leads!$I$5:$I$1004,MATCH($A33,Leads!$S$5:$S$1004,0))),"")</f>
        <v/>
      </c>
      <c r="I33" s="14">
        <f>IFERROR(IF(INDEX(Leads!$J$5:$J$1004,MATCH($A33,Leads!$S$5:$S$1004,0))="","",INDEX(Leads!$J$5:$J$1004,MATCH($A33,Leads!$S$5:$S$1004,0))),"")</f>
        <v/>
      </c>
      <c r="J33" s="26">
        <f>IFERROR(IF(INDEX(Leads!$Q$5:$Q$1004,MATCH($A33,Leads!$S$5:$S$1004,0))="","",INDEX(Leads!$Q$5:$Q$1004,MATCH($A33,Leads!$S$5:$S$1004,0))),"")</f>
        <v/>
      </c>
    </row>
    <row r="34" spans="1:10">
      <c r="A34" s="24">
        <v>30</v>
      </c>
      <c r="B34" s="22">
        <f>IFERROR(INDEX(Leads!$R$5:$R$1004,MATCH($A34,Leads!$S$5:$S$1004,0))&amp;"","")</f>
        <v/>
      </c>
      <c r="C34" s="25">
        <f>IFERROR(INDEX(Leads!$C$5:$C$1004,MATCH($A34,Leads!$S$5:$S$1004,0))&amp;"","")</f>
        <v/>
      </c>
      <c r="D34" s="25">
        <f>IFERROR(INDEX(Leads!$D$5:$D$1004,MATCH($A34,Leads!$S$5:$S$1004,0))&amp;"","")</f>
        <v/>
      </c>
      <c r="E34" s="25">
        <f>IFERROR(INDEX(Leads!$G$5:$G$1004,MATCH($A34,Leads!$S$5:$S$1004,0))&amp;"","")</f>
        <v/>
      </c>
      <c r="F34" s="25">
        <f>IFERROR(INDEX(Leads!$F$5:$F$1004,MATCH($A34,Leads!$S$5:$S$1004,0))&amp;"","")</f>
        <v/>
      </c>
      <c r="G34" s="21">
        <f>IFERROR(IF(INDEX(Leads!$H$5:$H$1004,MATCH($A34,Leads!$S$5:$S$1004,0))="","",INDEX(Leads!$H$5:$H$1004,MATCH($A34,Leads!$S$5:$S$1004,0))),"")</f>
        <v/>
      </c>
      <c r="H34" s="14">
        <f>IFERROR(IF(INDEX(Leads!$I$5:$I$1004,MATCH($A34,Leads!$S$5:$S$1004,0))="","",INDEX(Leads!$I$5:$I$1004,MATCH($A34,Leads!$S$5:$S$1004,0))),"")</f>
        <v/>
      </c>
      <c r="I34" s="14">
        <f>IFERROR(IF(INDEX(Leads!$J$5:$J$1004,MATCH($A34,Leads!$S$5:$S$1004,0))="","",INDEX(Leads!$J$5:$J$1004,MATCH($A34,Leads!$S$5:$S$1004,0))),"")</f>
        <v/>
      </c>
      <c r="J34" s="26">
        <f>IFERROR(IF(INDEX(Leads!$Q$5:$Q$1004,MATCH($A34,Leads!$S$5:$S$1004,0))="","",INDEX(Leads!$Q$5:$Q$1004,MATCH($A34,Leads!$S$5:$S$1004,0))),"")</f>
        <v/>
      </c>
    </row>
    <row r="35" spans="1:10">
      <c r="A35" s="24">
        <v>31</v>
      </c>
      <c r="B35" s="22">
        <f>IFERROR(INDEX(Leads!$R$5:$R$1004,MATCH($A35,Leads!$S$5:$S$1004,0))&amp;"","")</f>
        <v/>
      </c>
      <c r="C35" s="25">
        <f>IFERROR(INDEX(Leads!$C$5:$C$1004,MATCH($A35,Leads!$S$5:$S$1004,0))&amp;"","")</f>
        <v/>
      </c>
      <c r="D35" s="25">
        <f>IFERROR(INDEX(Leads!$D$5:$D$1004,MATCH($A35,Leads!$S$5:$S$1004,0))&amp;"","")</f>
        <v/>
      </c>
      <c r="E35" s="25">
        <f>IFERROR(INDEX(Leads!$G$5:$G$1004,MATCH($A35,Leads!$S$5:$S$1004,0))&amp;"","")</f>
        <v/>
      </c>
      <c r="F35" s="25">
        <f>IFERROR(INDEX(Leads!$F$5:$F$1004,MATCH($A35,Leads!$S$5:$S$1004,0))&amp;"","")</f>
        <v/>
      </c>
      <c r="G35" s="21">
        <f>IFERROR(IF(INDEX(Leads!$H$5:$H$1004,MATCH($A35,Leads!$S$5:$S$1004,0))="","",INDEX(Leads!$H$5:$H$1004,MATCH($A35,Leads!$S$5:$S$1004,0))),"")</f>
        <v/>
      </c>
      <c r="H35" s="14">
        <f>IFERROR(IF(INDEX(Leads!$I$5:$I$1004,MATCH($A35,Leads!$S$5:$S$1004,0))="","",INDEX(Leads!$I$5:$I$1004,MATCH($A35,Leads!$S$5:$S$1004,0))),"")</f>
        <v/>
      </c>
      <c r="I35" s="14">
        <f>IFERROR(IF(INDEX(Leads!$J$5:$J$1004,MATCH($A35,Leads!$S$5:$S$1004,0))="","",INDEX(Leads!$J$5:$J$1004,MATCH($A35,Leads!$S$5:$S$1004,0))),"")</f>
        <v/>
      </c>
      <c r="J35" s="26">
        <f>IFERROR(IF(INDEX(Leads!$Q$5:$Q$1004,MATCH($A35,Leads!$S$5:$S$1004,0))="","",INDEX(Leads!$Q$5:$Q$1004,MATCH($A35,Leads!$S$5:$S$1004,0))),"")</f>
        <v/>
      </c>
    </row>
    <row r="36" spans="1:10">
      <c r="A36" s="24">
        <v>32</v>
      </c>
      <c r="B36" s="22">
        <f>IFERROR(INDEX(Leads!$R$5:$R$1004,MATCH($A36,Leads!$S$5:$S$1004,0))&amp;"","")</f>
        <v/>
      </c>
      <c r="C36" s="25">
        <f>IFERROR(INDEX(Leads!$C$5:$C$1004,MATCH($A36,Leads!$S$5:$S$1004,0))&amp;"","")</f>
        <v/>
      </c>
      <c r="D36" s="25">
        <f>IFERROR(INDEX(Leads!$D$5:$D$1004,MATCH($A36,Leads!$S$5:$S$1004,0))&amp;"","")</f>
        <v/>
      </c>
      <c r="E36" s="25">
        <f>IFERROR(INDEX(Leads!$G$5:$G$1004,MATCH($A36,Leads!$S$5:$S$1004,0))&amp;"","")</f>
        <v/>
      </c>
      <c r="F36" s="25">
        <f>IFERROR(INDEX(Leads!$F$5:$F$1004,MATCH($A36,Leads!$S$5:$S$1004,0))&amp;"","")</f>
        <v/>
      </c>
      <c r="G36" s="21">
        <f>IFERROR(IF(INDEX(Leads!$H$5:$H$1004,MATCH($A36,Leads!$S$5:$S$1004,0))="","",INDEX(Leads!$H$5:$H$1004,MATCH($A36,Leads!$S$5:$S$1004,0))),"")</f>
        <v/>
      </c>
      <c r="H36" s="14">
        <f>IFERROR(IF(INDEX(Leads!$I$5:$I$1004,MATCH($A36,Leads!$S$5:$S$1004,0))="","",INDEX(Leads!$I$5:$I$1004,MATCH($A36,Leads!$S$5:$S$1004,0))),"")</f>
        <v/>
      </c>
      <c r="I36" s="14">
        <f>IFERROR(IF(INDEX(Leads!$J$5:$J$1004,MATCH($A36,Leads!$S$5:$S$1004,0))="","",INDEX(Leads!$J$5:$J$1004,MATCH($A36,Leads!$S$5:$S$1004,0))),"")</f>
        <v/>
      </c>
      <c r="J36" s="26">
        <f>IFERROR(IF(INDEX(Leads!$Q$5:$Q$1004,MATCH($A36,Leads!$S$5:$S$1004,0))="","",INDEX(Leads!$Q$5:$Q$1004,MATCH($A36,Leads!$S$5:$S$1004,0))),"")</f>
        <v/>
      </c>
    </row>
    <row r="37" spans="1:10">
      <c r="A37" s="24">
        <v>33</v>
      </c>
      <c r="B37" s="22">
        <f>IFERROR(INDEX(Leads!$R$5:$R$1004,MATCH($A37,Leads!$S$5:$S$1004,0))&amp;"","")</f>
        <v/>
      </c>
      <c r="C37" s="25">
        <f>IFERROR(INDEX(Leads!$C$5:$C$1004,MATCH($A37,Leads!$S$5:$S$1004,0))&amp;"","")</f>
        <v/>
      </c>
      <c r="D37" s="25">
        <f>IFERROR(INDEX(Leads!$D$5:$D$1004,MATCH($A37,Leads!$S$5:$S$1004,0))&amp;"","")</f>
        <v/>
      </c>
      <c r="E37" s="25">
        <f>IFERROR(INDEX(Leads!$G$5:$G$1004,MATCH($A37,Leads!$S$5:$S$1004,0))&amp;"","")</f>
        <v/>
      </c>
      <c r="F37" s="25">
        <f>IFERROR(INDEX(Leads!$F$5:$F$1004,MATCH($A37,Leads!$S$5:$S$1004,0))&amp;"","")</f>
        <v/>
      </c>
      <c r="G37" s="21">
        <f>IFERROR(IF(INDEX(Leads!$H$5:$H$1004,MATCH($A37,Leads!$S$5:$S$1004,0))="","",INDEX(Leads!$H$5:$H$1004,MATCH($A37,Leads!$S$5:$S$1004,0))),"")</f>
        <v/>
      </c>
      <c r="H37" s="14">
        <f>IFERROR(IF(INDEX(Leads!$I$5:$I$1004,MATCH($A37,Leads!$S$5:$S$1004,0))="","",INDEX(Leads!$I$5:$I$1004,MATCH($A37,Leads!$S$5:$S$1004,0))),"")</f>
        <v/>
      </c>
      <c r="I37" s="14">
        <f>IFERROR(IF(INDEX(Leads!$J$5:$J$1004,MATCH($A37,Leads!$S$5:$S$1004,0))="","",INDEX(Leads!$J$5:$J$1004,MATCH($A37,Leads!$S$5:$S$1004,0))),"")</f>
        <v/>
      </c>
      <c r="J37" s="26">
        <f>IFERROR(IF(INDEX(Leads!$Q$5:$Q$1004,MATCH($A37,Leads!$S$5:$S$1004,0))="","",INDEX(Leads!$Q$5:$Q$1004,MATCH($A37,Leads!$S$5:$S$1004,0))),"")</f>
        <v/>
      </c>
    </row>
    <row r="38" spans="1:10">
      <c r="A38" s="24">
        <v>34</v>
      </c>
      <c r="B38" s="22">
        <f>IFERROR(INDEX(Leads!$R$5:$R$1004,MATCH($A38,Leads!$S$5:$S$1004,0))&amp;"","")</f>
        <v/>
      </c>
      <c r="C38" s="25">
        <f>IFERROR(INDEX(Leads!$C$5:$C$1004,MATCH($A38,Leads!$S$5:$S$1004,0))&amp;"","")</f>
        <v/>
      </c>
      <c r="D38" s="25">
        <f>IFERROR(INDEX(Leads!$D$5:$D$1004,MATCH($A38,Leads!$S$5:$S$1004,0))&amp;"","")</f>
        <v/>
      </c>
      <c r="E38" s="25">
        <f>IFERROR(INDEX(Leads!$G$5:$G$1004,MATCH($A38,Leads!$S$5:$S$1004,0))&amp;"","")</f>
        <v/>
      </c>
      <c r="F38" s="25">
        <f>IFERROR(INDEX(Leads!$F$5:$F$1004,MATCH($A38,Leads!$S$5:$S$1004,0))&amp;"","")</f>
        <v/>
      </c>
      <c r="G38" s="21">
        <f>IFERROR(IF(INDEX(Leads!$H$5:$H$1004,MATCH($A38,Leads!$S$5:$S$1004,0))="","",INDEX(Leads!$H$5:$H$1004,MATCH($A38,Leads!$S$5:$S$1004,0))),"")</f>
        <v/>
      </c>
      <c r="H38" s="14">
        <f>IFERROR(IF(INDEX(Leads!$I$5:$I$1004,MATCH($A38,Leads!$S$5:$S$1004,0))="","",INDEX(Leads!$I$5:$I$1004,MATCH($A38,Leads!$S$5:$S$1004,0))),"")</f>
        <v/>
      </c>
      <c r="I38" s="14">
        <f>IFERROR(IF(INDEX(Leads!$J$5:$J$1004,MATCH($A38,Leads!$S$5:$S$1004,0))="","",INDEX(Leads!$J$5:$J$1004,MATCH($A38,Leads!$S$5:$S$1004,0))),"")</f>
        <v/>
      </c>
      <c r="J38" s="26">
        <f>IFERROR(IF(INDEX(Leads!$Q$5:$Q$1004,MATCH($A38,Leads!$S$5:$S$1004,0))="","",INDEX(Leads!$Q$5:$Q$1004,MATCH($A38,Leads!$S$5:$S$1004,0))),"")</f>
        <v/>
      </c>
    </row>
    <row r="39" spans="1:10">
      <c r="A39" s="24">
        <v>35</v>
      </c>
      <c r="B39" s="22">
        <f>IFERROR(INDEX(Leads!$R$5:$R$1004,MATCH($A39,Leads!$S$5:$S$1004,0))&amp;"","")</f>
        <v/>
      </c>
      <c r="C39" s="25">
        <f>IFERROR(INDEX(Leads!$C$5:$C$1004,MATCH($A39,Leads!$S$5:$S$1004,0))&amp;"","")</f>
        <v/>
      </c>
      <c r="D39" s="25">
        <f>IFERROR(INDEX(Leads!$D$5:$D$1004,MATCH($A39,Leads!$S$5:$S$1004,0))&amp;"","")</f>
        <v/>
      </c>
      <c r="E39" s="25">
        <f>IFERROR(INDEX(Leads!$G$5:$G$1004,MATCH($A39,Leads!$S$5:$S$1004,0))&amp;"","")</f>
        <v/>
      </c>
      <c r="F39" s="25">
        <f>IFERROR(INDEX(Leads!$F$5:$F$1004,MATCH($A39,Leads!$S$5:$S$1004,0))&amp;"","")</f>
        <v/>
      </c>
      <c r="G39" s="21">
        <f>IFERROR(IF(INDEX(Leads!$H$5:$H$1004,MATCH($A39,Leads!$S$5:$S$1004,0))="","",INDEX(Leads!$H$5:$H$1004,MATCH($A39,Leads!$S$5:$S$1004,0))),"")</f>
        <v/>
      </c>
      <c r="H39" s="14">
        <f>IFERROR(IF(INDEX(Leads!$I$5:$I$1004,MATCH($A39,Leads!$S$5:$S$1004,0))="","",INDEX(Leads!$I$5:$I$1004,MATCH($A39,Leads!$S$5:$S$1004,0))),"")</f>
        <v/>
      </c>
      <c r="I39" s="14">
        <f>IFERROR(IF(INDEX(Leads!$J$5:$J$1004,MATCH($A39,Leads!$S$5:$S$1004,0))="","",INDEX(Leads!$J$5:$J$1004,MATCH($A39,Leads!$S$5:$S$1004,0))),"")</f>
        <v/>
      </c>
      <c r="J39" s="26">
        <f>IFERROR(IF(INDEX(Leads!$Q$5:$Q$1004,MATCH($A39,Leads!$S$5:$S$1004,0))="","",INDEX(Leads!$Q$5:$Q$1004,MATCH($A39,Leads!$S$5:$S$1004,0))),"")</f>
        <v/>
      </c>
    </row>
    <row r="40" spans="1:10">
      <c r="A40" s="24">
        <v>36</v>
      </c>
      <c r="B40" s="22">
        <f>IFERROR(INDEX(Leads!$R$5:$R$1004,MATCH($A40,Leads!$S$5:$S$1004,0))&amp;"","")</f>
        <v/>
      </c>
      <c r="C40" s="25">
        <f>IFERROR(INDEX(Leads!$C$5:$C$1004,MATCH($A40,Leads!$S$5:$S$1004,0))&amp;"","")</f>
        <v/>
      </c>
      <c r="D40" s="25">
        <f>IFERROR(INDEX(Leads!$D$5:$D$1004,MATCH($A40,Leads!$S$5:$S$1004,0))&amp;"","")</f>
        <v/>
      </c>
      <c r="E40" s="25">
        <f>IFERROR(INDEX(Leads!$G$5:$G$1004,MATCH($A40,Leads!$S$5:$S$1004,0))&amp;"","")</f>
        <v/>
      </c>
      <c r="F40" s="25">
        <f>IFERROR(INDEX(Leads!$F$5:$F$1004,MATCH($A40,Leads!$S$5:$S$1004,0))&amp;"","")</f>
        <v/>
      </c>
      <c r="G40" s="21">
        <f>IFERROR(IF(INDEX(Leads!$H$5:$H$1004,MATCH($A40,Leads!$S$5:$S$1004,0))="","",INDEX(Leads!$H$5:$H$1004,MATCH($A40,Leads!$S$5:$S$1004,0))),"")</f>
        <v/>
      </c>
      <c r="H40" s="14">
        <f>IFERROR(IF(INDEX(Leads!$I$5:$I$1004,MATCH($A40,Leads!$S$5:$S$1004,0))="","",INDEX(Leads!$I$5:$I$1004,MATCH($A40,Leads!$S$5:$S$1004,0))),"")</f>
        <v/>
      </c>
      <c r="I40" s="14">
        <f>IFERROR(IF(INDEX(Leads!$J$5:$J$1004,MATCH($A40,Leads!$S$5:$S$1004,0))="","",INDEX(Leads!$J$5:$J$1004,MATCH($A40,Leads!$S$5:$S$1004,0))),"")</f>
        <v/>
      </c>
      <c r="J40" s="26">
        <f>IFERROR(IF(INDEX(Leads!$Q$5:$Q$1004,MATCH($A40,Leads!$S$5:$S$1004,0))="","",INDEX(Leads!$Q$5:$Q$1004,MATCH($A40,Leads!$S$5:$S$1004,0))),"")</f>
        <v/>
      </c>
    </row>
    <row r="41" spans="1:10">
      <c r="A41" s="24">
        <v>37</v>
      </c>
      <c r="B41" s="22">
        <f>IFERROR(INDEX(Leads!$R$5:$R$1004,MATCH($A41,Leads!$S$5:$S$1004,0))&amp;"","")</f>
        <v/>
      </c>
      <c r="C41" s="25">
        <f>IFERROR(INDEX(Leads!$C$5:$C$1004,MATCH($A41,Leads!$S$5:$S$1004,0))&amp;"","")</f>
        <v/>
      </c>
      <c r="D41" s="25">
        <f>IFERROR(INDEX(Leads!$D$5:$D$1004,MATCH($A41,Leads!$S$5:$S$1004,0))&amp;"","")</f>
        <v/>
      </c>
      <c r="E41" s="25">
        <f>IFERROR(INDEX(Leads!$G$5:$G$1004,MATCH($A41,Leads!$S$5:$S$1004,0))&amp;"","")</f>
        <v/>
      </c>
      <c r="F41" s="25">
        <f>IFERROR(INDEX(Leads!$F$5:$F$1004,MATCH($A41,Leads!$S$5:$S$1004,0))&amp;"","")</f>
        <v/>
      </c>
      <c r="G41" s="21">
        <f>IFERROR(IF(INDEX(Leads!$H$5:$H$1004,MATCH($A41,Leads!$S$5:$S$1004,0))="","",INDEX(Leads!$H$5:$H$1004,MATCH($A41,Leads!$S$5:$S$1004,0))),"")</f>
        <v/>
      </c>
      <c r="H41" s="14">
        <f>IFERROR(IF(INDEX(Leads!$I$5:$I$1004,MATCH($A41,Leads!$S$5:$S$1004,0))="","",INDEX(Leads!$I$5:$I$1004,MATCH($A41,Leads!$S$5:$S$1004,0))),"")</f>
        <v/>
      </c>
      <c r="I41" s="14">
        <f>IFERROR(IF(INDEX(Leads!$J$5:$J$1004,MATCH($A41,Leads!$S$5:$S$1004,0))="","",INDEX(Leads!$J$5:$J$1004,MATCH($A41,Leads!$S$5:$S$1004,0))),"")</f>
        <v/>
      </c>
      <c r="J41" s="26">
        <f>IFERROR(IF(INDEX(Leads!$Q$5:$Q$1004,MATCH($A41,Leads!$S$5:$S$1004,0))="","",INDEX(Leads!$Q$5:$Q$1004,MATCH($A41,Leads!$S$5:$S$1004,0))),"")</f>
        <v/>
      </c>
    </row>
    <row r="42" spans="1:10">
      <c r="A42" s="24">
        <v>38</v>
      </c>
      <c r="B42" s="22">
        <f>IFERROR(INDEX(Leads!$R$5:$R$1004,MATCH($A42,Leads!$S$5:$S$1004,0))&amp;"","")</f>
        <v/>
      </c>
      <c r="C42" s="25">
        <f>IFERROR(INDEX(Leads!$C$5:$C$1004,MATCH($A42,Leads!$S$5:$S$1004,0))&amp;"","")</f>
        <v/>
      </c>
      <c r="D42" s="25">
        <f>IFERROR(INDEX(Leads!$D$5:$D$1004,MATCH($A42,Leads!$S$5:$S$1004,0))&amp;"","")</f>
        <v/>
      </c>
      <c r="E42" s="25">
        <f>IFERROR(INDEX(Leads!$G$5:$G$1004,MATCH($A42,Leads!$S$5:$S$1004,0))&amp;"","")</f>
        <v/>
      </c>
      <c r="F42" s="25">
        <f>IFERROR(INDEX(Leads!$F$5:$F$1004,MATCH($A42,Leads!$S$5:$S$1004,0))&amp;"","")</f>
        <v/>
      </c>
      <c r="G42" s="21">
        <f>IFERROR(IF(INDEX(Leads!$H$5:$H$1004,MATCH($A42,Leads!$S$5:$S$1004,0))="","",INDEX(Leads!$H$5:$H$1004,MATCH($A42,Leads!$S$5:$S$1004,0))),"")</f>
        <v/>
      </c>
      <c r="H42" s="14">
        <f>IFERROR(IF(INDEX(Leads!$I$5:$I$1004,MATCH($A42,Leads!$S$5:$S$1004,0))="","",INDEX(Leads!$I$5:$I$1004,MATCH($A42,Leads!$S$5:$S$1004,0))),"")</f>
        <v/>
      </c>
      <c r="I42" s="14">
        <f>IFERROR(IF(INDEX(Leads!$J$5:$J$1004,MATCH($A42,Leads!$S$5:$S$1004,0))="","",INDEX(Leads!$J$5:$J$1004,MATCH($A42,Leads!$S$5:$S$1004,0))),"")</f>
        <v/>
      </c>
      <c r="J42" s="26">
        <f>IFERROR(IF(INDEX(Leads!$Q$5:$Q$1004,MATCH($A42,Leads!$S$5:$S$1004,0))="","",INDEX(Leads!$Q$5:$Q$1004,MATCH($A42,Leads!$S$5:$S$1004,0))),"")</f>
        <v/>
      </c>
    </row>
    <row r="43" spans="1:10">
      <c r="A43" s="24">
        <v>39</v>
      </c>
      <c r="B43" s="22">
        <f>IFERROR(INDEX(Leads!$R$5:$R$1004,MATCH($A43,Leads!$S$5:$S$1004,0))&amp;"","")</f>
        <v/>
      </c>
      <c r="C43" s="25">
        <f>IFERROR(INDEX(Leads!$C$5:$C$1004,MATCH($A43,Leads!$S$5:$S$1004,0))&amp;"","")</f>
        <v/>
      </c>
      <c r="D43" s="25">
        <f>IFERROR(INDEX(Leads!$D$5:$D$1004,MATCH($A43,Leads!$S$5:$S$1004,0))&amp;"","")</f>
        <v/>
      </c>
      <c r="E43" s="25">
        <f>IFERROR(INDEX(Leads!$G$5:$G$1004,MATCH($A43,Leads!$S$5:$S$1004,0))&amp;"","")</f>
        <v/>
      </c>
      <c r="F43" s="25">
        <f>IFERROR(INDEX(Leads!$F$5:$F$1004,MATCH($A43,Leads!$S$5:$S$1004,0))&amp;"","")</f>
        <v/>
      </c>
      <c r="G43" s="21">
        <f>IFERROR(IF(INDEX(Leads!$H$5:$H$1004,MATCH($A43,Leads!$S$5:$S$1004,0))="","",INDEX(Leads!$H$5:$H$1004,MATCH($A43,Leads!$S$5:$S$1004,0))),"")</f>
        <v/>
      </c>
      <c r="H43" s="14">
        <f>IFERROR(IF(INDEX(Leads!$I$5:$I$1004,MATCH($A43,Leads!$S$5:$S$1004,0))="","",INDEX(Leads!$I$5:$I$1004,MATCH($A43,Leads!$S$5:$S$1004,0))),"")</f>
        <v/>
      </c>
      <c r="I43" s="14">
        <f>IFERROR(IF(INDEX(Leads!$J$5:$J$1004,MATCH($A43,Leads!$S$5:$S$1004,0))="","",INDEX(Leads!$J$5:$J$1004,MATCH($A43,Leads!$S$5:$S$1004,0))),"")</f>
        <v/>
      </c>
      <c r="J43" s="26">
        <f>IFERROR(IF(INDEX(Leads!$Q$5:$Q$1004,MATCH($A43,Leads!$S$5:$S$1004,0))="","",INDEX(Leads!$Q$5:$Q$1004,MATCH($A43,Leads!$S$5:$S$1004,0))),"")</f>
        <v/>
      </c>
    </row>
    <row r="44" spans="1:10">
      <c r="A44" s="24">
        <v>40</v>
      </c>
      <c r="B44" s="22">
        <f>IFERROR(INDEX(Leads!$R$5:$R$1004,MATCH($A44,Leads!$S$5:$S$1004,0))&amp;"","")</f>
        <v/>
      </c>
      <c r="C44" s="25">
        <f>IFERROR(INDEX(Leads!$C$5:$C$1004,MATCH($A44,Leads!$S$5:$S$1004,0))&amp;"","")</f>
        <v/>
      </c>
      <c r="D44" s="25">
        <f>IFERROR(INDEX(Leads!$D$5:$D$1004,MATCH($A44,Leads!$S$5:$S$1004,0))&amp;"","")</f>
        <v/>
      </c>
      <c r="E44" s="25">
        <f>IFERROR(INDEX(Leads!$G$5:$G$1004,MATCH($A44,Leads!$S$5:$S$1004,0))&amp;"","")</f>
        <v/>
      </c>
      <c r="F44" s="25">
        <f>IFERROR(INDEX(Leads!$F$5:$F$1004,MATCH($A44,Leads!$S$5:$S$1004,0))&amp;"","")</f>
        <v/>
      </c>
      <c r="G44" s="21">
        <f>IFERROR(IF(INDEX(Leads!$H$5:$H$1004,MATCH($A44,Leads!$S$5:$S$1004,0))="","",INDEX(Leads!$H$5:$H$1004,MATCH($A44,Leads!$S$5:$S$1004,0))),"")</f>
        <v/>
      </c>
      <c r="H44" s="14">
        <f>IFERROR(IF(INDEX(Leads!$I$5:$I$1004,MATCH($A44,Leads!$S$5:$S$1004,0))="","",INDEX(Leads!$I$5:$I$1004,MATCH($A44,Leads!$S$5:$S$1004,0))),"")</f>
        <v/>
      </c>
      <c r="I44" s="14">
        <f>IFERROR(IF(INDEX(Leads!$J$5:$J$1004,MATCH($A44,Leads!$S$5:$S$1004,0))="","",INDEX(Leads!$J$5:$J$1004,MATCH($A44,Leads!$S$5:$S$1004,0))),"")</f>
        <v/>
      </c>
      <c r="J44" s="26">
        <f>IFERROR(IF(INDEX(Leads!$Q$5:$Q$1004,MATCH($A44,Leads!$S$5:$S$1004,0))="","",INDEX(Leads!$Q$5:$Q$1004,MATCH($A44,Leads!$S$5:$S$1004,0))),"")</f>
        <v/>
      </c>
    </row>
    <row r="45" spans="1:10">
      <c r="A45" s="24">
        <v>41</v>
      </c>
      <c r="B45" s="22">
        <f>IFERROR(INDEX(Leads!$R$5:$R$1004,MATCH($A45,Leads!$S$5:$S$1004,0))&amp;"","")</f>
        <v/>
      </c>
      <c r="C45" s="25">
        <f>IFERROR(INDEX(Leads!$C$5:$C$1004,MATCH($A45,Leads!$S$5:$S$1004,0))&amp;"","")</f>
        <v/>
      </c>
      <c r="D45" s="25">
        <f>IFERROR(INDEX(Leads!$D$5:$D$1004,MATCH($A45,Leads!$S$5:$S$1004,0))&amp;"","")</f>
        <v/>
      </c>
      <c r="E45" s="25">
        <f>IFERROR(INDEX(Leads!$G$5:$G$1004,MATCH($A45,Leads!$S$5:$S$1004,0))&amp;"","")</f>
        <v/>
      </c>
      <c r="F45" s="25">
        <f>IFERROR(INDEX(Leads!$F$5:$F$1004,MATCH($A45,Leads!$S$5:$S$1004,0))&amp;"","")</f>
        <v/>
      </c>
      <c r="G45" s="21">
        <f>IFERROR(IF(INDEX(Leads!$H$5:$H$1004,MATCH($A45,Leads!$S$5:$S$1004,0))="","",INDEX(Leads!$H$5:$H$1004,MATCH($A45,Leads!$S$5:$S$1004,0))),"")</f>
        <v/>
      </c>
      <c r="H45" s="14">
        <f>IFERROR(IF(INDEX(Leads!$I$5:$I$1004,MATCH($A45,Leads!$S$5:$S$1004,0))="","",INDEX(Leads!$I$5:$I$1004,MATCH($A45,Leads!$S$5:$S$1004,0))),"")</f>
        <v/>
      </c>
      <c r="I45" s="14">
        <f>IFERROR(IF(INDEX(Leads!$J$5:$J$1004,MATCH($A45,Leads!$S$5:$S$1004,0))="","",INDEX(Leads!$J$5:$J$1004,MATCH($A45,Leads!$S$5:$S$1004,0))),"")</f>
        <v/>
      </c>
      <c r="J45" s="26">
        <f>IFERROR(IF(INDEX(Leads!$Q$5:$Q$1004,MATCH($A45,Leads!$S$5:$S$1004,0))="","",INDEX(Leads!$Q$5:$Q$1004,MATCH($A45,Leads!$S$5:$S$1004,0))),"")</f>
        <v/>
      </c>
    </row>
    <row r="46" spans="1:10">
      <c r="A46" s="24">
        <v>42</v>
      </c>
      <c r="B46" s="22">
        <f>IFERROR(INDEX(Leads!$R$5:$R$1004,MATCH($A46,Leads!$S$5:$S$1004,0))&amp;"","")</f>
        <v/>
      </c>
      <c r="C46" s="25">
        <f>IFERROR(INDEX(Leads!$C$5:$C$1004,MATCH($A46,Leads!$S$5:$S$1004,0))&amp;"","")</f>
        <v/>
      </c>
      <c r="D46" s="25">
        <f>IFERROR(INDEX(Leads!$D$5:$D$1004,MATCH($A46,Leads!$S$5:$S$1004,0))&amp;"","")</f>
        <v/>
      </c>
      <c r="E46" s="25">
        <f>IFERROR(INDEX(Leads!$G$5:$G$1004,MATCH($A46,Leads!$S$5:$S$1004,0))&amp;"","")</f>
        <v/>
      </c>
      <c r="F46" s="25">
        <f>IFERROR(INDEX(Leads!$F$5:$F$1004,MATCH($A46,Leads!$S$5:$S$1004,0))&amp;"","")</f>
        <v/>
      </c>
      <c r="G46" s="21">
        <f>IFERROR(IF(INDEX(Leads!$H$5:$H$1004,MATCH($A46,Leads!$S$5:$S$1004,0))="","",INDEX(Leads!$H$5:$H$1004,MATCH($A46,Leads!$S$5:$S$1004,0))),"")</f>
        <v/>
      </c>
      <c r="H46" s="14">
        <f>IFERROR(IF(INDEX(Leads!$I$5:$I$1004,MATCH($A46,Leads!$S$5:$S$1004,0))="","",INDEX(Leads!$I$5:$I$1004,MATCH($A46,Leads!$S$5:$S$1004,0))),"")</f>
        <v/>
      </c>
      <c r="I46" s="14">
        <f>IFERROR(IF(INDEX(Leads!$J$5:$J$1004,MATCH($A46,Leads!$S$5:$S$1004,0))="","",INDEX(Leads!$J$5:$J$1004,MATCH($A46,Leads!$S$5:$S$1004,0))),"")</f>
        <v/>
      </c>
      <c r="J46" s="26">
        <f>IFERROR(IF(INDEX(Leads!$Q$5:$Q$1004,MATCH($A46,Leads!$S$5:$S$1004,0))="","",INDEX(Leads!$Q$5:$Q$1004,MATCH($A46,Leads!$S$5:$S$1004,0))),"")</f>
        <v/>
      </c>
    </row>
    <row r="47" spans="1:10">
      <c r="A47" s="24">
        <v>43</v>
      </c>
      <c r="B47" s="22">
        <f>IFERROR(INDEX(Leads!$R$5:$R$1004,MATCH($A47,Leads!$S$5:$S$1004,0))&amp;"","")</f>
        <v/>
      </c>
      <c r="C47" s="25">
        <f>IFERROR(INDEX(Leads!$C$5:$C$1004,MATCH($A47,Leads!$S$5:$S$1004,0))&amp;"","")</f>
        <v/>
      </c>
      <c r="D47" s="25">
        <f>IFERROR(INDEX(Leads!$D$5:$D$1004,MATCH($A47,Leads!$S$5:$S$1004,0))&amp;"","")</f>
        <v/>
      </c>
      <c r="E47" s="25">
        <f>IFERROR(INDEX(Leads!$G$5:$G$1004,MATCH($A47,Leads!$S$5:$S$1004,0))&amp;"","")</f>
        <v/>
      </c>
      <c r="F47" s="25">
        <f>IFERROR(INDEX(Leads!$F$5:$F$1004,MATCH($A47,Leads!$S$5:$S$1004,0))&amp;"","")</f>
        <v/>
      </c>
      <c r="G47" s="21">
        <f>IFERROR(IF(INDEX(Leads!$H$5:$H$1004,MATCH($A47,Leads!$S$5:$S$1004,0))="","",INDEX(Leads!$H$5:$H$1004,MATCH($A47,Leads!$S$5:$S$1004,0))),"")</f>
        <v/>
      </c>
      <c r="H47" s="14">
        <f>IFERROR(IF(INDEX(Leads!$I$5:$I$1004,MATCH($A47,Leads!$S$5:$S$1004,0))="","",INDEX(Leads!$I$5:$I$1004,MATCH($A47,Leads!$S$5:$S$1004,0))),"")</f>
        <v/>
      </c>
      <c r="I47" s="14">
        <f>IFERROR(IF(INDEX(Leads!$J$5:$J$1004,MATCH($A47,Leads!$S$5:$S$1004,0))="","",INDEX(Leads!$J$5:$J$1004,MATCH($A47,Leads!$S$5:$S$1004,0))),"")</f>
        <v/>
      </c>
      <c r="J47" s="26">
        <f>IFERROR(IF(INDEX(Leads!$Q$5:$Q$1004,MATCH($A47,Leads!$S$5:$S$1004,0))="","",INDEX(Leads!$Q$5:$Q$1004,MATCH($A47,Leads!$S$5:$S$1004,0))),"")</f>
        <v/>
      </c>
    </row>
    <row r="48" spans="1:10">
      <c r="A48" s="24">
        <v>44</v>
      </c>
      <c r="B48" s="22">
        <f>IFERROR(INDEX(Leads!$R$5:$R$1004,MATCH($A48,Leads!$S$5:$S$1004,0))&amp;"","")</f>
        <v/>
      </c>
      <c r="C48" s="25">
        <f>IFERROR(INDEX(Leads!$C$5:$C$1004,MATCH($A48,Leads!$S$5:$S$1004,0))&amp;"","")</f>
        <v/>
      </c>
      <c r="D48" s="25">
        <f>IFERROR(INDEX(Leads!$D$5:$D$1004,MATCH($A48,Leads!$S$5:$S$1004,0))&amp;"","")</f>
        <v/>
      </c>
      <c r="E48" s="25">
        <f>IFERROR(INDEX(Leads!$G$5:$G$1004,MATCH($A48,Leads!$S$5:$S$1004,0))&amp;"","")</f>
        <v/>
      </c>
      <c r="F48" s="25">
        <f>IFERROR(INDEX(Leads!$F$5:$F$1004,MATCH($A48,Leads!$S$5:$S$1004,0))&amp;"","")</f>
        <v/>
      </c>
      <c r="G48" s="21">
        <f>IFERROR(IF(INDEX(Leads!$H$5:$H$1004,MATCH($A48,Leads!$S$5:$S$1004,0))="","",INDEX(Leads!$H$5:$H$1004,MATCH($A48,Leads!$S$5:$S$1004,0))),"")</f>
        <v/>
      </c>
      <c r="H48" s="14">
        <f>IFERROR(IF(INDEX(Leads!$I$5:$I$1004,MATCH($A48,Leads!$S$5:$S$1004,0))="","",INDEX(Leads!$I$5:$I$1004,MATCH($A48,Leads!$S$5:$S$1004,0))),"")</f>
        <v/>
      </c>
      <c r="I48" s="14">
        <f>IFERROR(IF(INDEX(Leads!$J$5:$J$1004,MATCH($A48,Leads!$S$5:$S$1004,0))="","",INDEX(Leads!$J$5:$J$1004,MATCH($A48,Leads!$S$5:$S$1004,0))),"")</f>
        <v/>
      </c>
      <c r="J48" s="26">
        <f>IFERROR(IF(INDEX(Leads!$Q$5:$Q$1004,MATCH($A48,Leads!$S$5:$S$1004,0))="","",INDEX(Leads!$Q$5:$Q$1004,MATCH($A48,Leads!$S$5:$S$1004,0))),"")</f>
        <v/>
      </c>
    </row>
    <row r="49" spans="1:10">
      <c r="A49" s="24">
        <v>45</v>
      </c>
      <c r="B49" s="22">
        <f>IFERROR(INDEX(Leads!$R$5:$R$1004,MATCH($A49,Leads!$S$5:$S$1004,0))&amp;"","")</f>
        <v/>
      </c>
      <c r="C49" s="25">
        <f>IFERROR(INDEX(Leads!$C$5:$C$1004,MATCH($A49,Leads!$S$5:$S$1004,0))&amp;"","")</f>
        <v/>
      </c>
      <c r="D49" s="25">
        <f>IFERROR(INDEX(Leads!$D$5:$D$1004,MATCH($A49,Leads!$S$5:$S$1004,0))&amp;"","")</f>
        <v/>
      </c>
      <c r="E49" s="25">
        <f>IFERROR(INDEX(Leads!$G$5:$G$1004,MATCH($A49,Leads!$S$5:$S$1004,0))&amp;"","")</f>
        <v/>
      </c>
      <c r="F49" s="25">
        <f>IFERROR(INDEX(Leads!$F$5:$F$1004,MATCH($A49,Leads!$S$5:$S$1004,0))&amp;"","")</f>
        <v/>
      </c>
      <c r="G49" s="21">
        <f>IFERROR(IF(INDEX(Leads!$H$5:$H$1004,MATCH($A49,Leads!$S$5:$S$1004,0))="","",INDEX(Leads!$H$5:$H$1004,MATCH($A49,Leads!$S$5:$S$1004,0))),"")</f>
        <v/>
      </c>
      <c r="H49" s="14">
        <f>IFERROR(IF(INDEX(Leads!$I$5:$I$1004,MATCH($A49,Leads!$S$5:$S$1004,0))="","",INDEX(Leads!$I$5:$I$1004,MATCH($A49,Leads!$S$5:$S$1004,0))),"")</f>
        <v/>
      </c>
      <c r="I49" s="14">
        <f>IFERROR(IF(INDEX(Leads!$J$5:$J$1004,MATCH($A49,Leads!$S$5:$S$1004,0))="","",INDEX(Leads!$J$5:$J$1004,MATCH($A49,Leads!$S$5:$S$1004,0))),"")</f>
        <v/>
      </c>
      <c r="J49" s="26">
        <f>IFERROR(IF(INDEX(Leads!$Q$5:$Q$1004,MATCH($A49,Leads!$S$5:$S$1004,0))="","",INDEX(Leads!$Q$5:$Q$1004,MATCH($A49,Leads!$S$5:$S$1004,0))),"")</f>
        <v/>
      </c>
    </row>
    <row r="50" spans="1:10">
      <c r="A50" s="24">
        <v>46</v>
      </c>
      <c r="B50" s="22">
        <f>IFERROR(INDEX(Leads!$R$5:$R$1004,MATCH($A50,Leads!$S$5:$S$1004,0))&amp;"","")</f>
        <v/>
      </c>
      <c r="C50" s="25">
        <f>IFERROR(INDEX(Leads!$C$5:$C$1004,MATCH($A50,Leads!$S$5:$S$1004,0))&amp;"","")</f>
        <v/>
      </c>
      <c r="D50" s="25">
        <f>IFERROR(INDEX(Leads!$D$5:$D$1004,MATCH($A50,Leads!$S$5:$S$1004,0))&amp;"","")</f>
        <v/>
      </c>
      <c r="E50" s="25">
        <f>IFERROR(INDEX(Leads!$G$5:$G$1004,MATCH($A50,Leads!$S$5:$S$1004,0))&amp;"","")</f>
        <v/>
      </c>
      <c r="F50" s="25">
        <f>IFERROR(INDEX(Leads!$F$5:$F$1004,MATCH($A50,Leads!$S$5:$S$1004,0))&amp;"","")</f>
        <v/>
      </c>
      <c r="G50" s="21">
        <f>IFERROR(IF(INDEX(Leads!$H$5:$H$1004,MATCH($A50,Leads!$S$5:$S$1004,0))="","",INDEX(Leads!$H$5:$H$1004,MATCH($A50,Leads!$S$5:$S$1004,0))),"")</f>
        <v/>
      </c>
      <c r="H50" s="14">
        <f>IFERROR(IF(INDEX(Leads!$I$5:$I$1004,MATCH($A50,Leads!$S$5:$S$1004,0))="","",INDEX(Leads!$I$5:$I$1004,MATCH($A50,Leads!$S$5:$S$1004,0))),"")</f>
        <v/>
      </c>
      <c r="I50" s="14">
        <f>IFERROR(IF(INDEX(Leads!$J$5:$J$1004,MATCH($A50,Leads!$S$5:$S$1004,0))="","",INDEX(Leads!$J$5:$J$1004,MATCH($A50,Leads!$S$5:$S$1004,0))),"")</f>
        <v/>
      </c>
      <c r="J50" s="26">
        <f>IFERROR(IF(INDEX(Leads!$Q$5:$Q$1004,MATCH($A50,Leads!$S$5:$S$1004,0))="","",INDEX(Leads!$Q$5:$Q$1004,MATCH($A50,Leads!$S$5:$S$1004,0))),"")</f>
        <v/>
      </c>
    </row>
    <row r="51" spans="1:10">
      <c r="A51" s="24">
        <v>47</v>
      </c>
      <c r="B51" s="22">
        <f>IFERROR(INDEX(Leads!$R$5:$R$1004,MATCH($A51,Leads!$S$5:$S$1004,0))&amp;"","")</f>
        <v/>
      </c>
      <c r="C51" s="25">
        <f>IFERROR(INDEX(Leads!$C$5:$C$1004,MATCH($A51,Leads!$S$5:$S$1004,0))&amp;"","")</f>
        <v/>
      </c>
      <c r="D51" s="25">
        <f>IFERROR(INDEX(Leads!$D$5:$D$1004,MATCH($A51,Leads!$S$5:$S$1004,0))&amp;"","")</f>
        <v/>
      </c>
      <c r="E51" s="25">
        <f>IFERROR(INDEX(Leads!$G$5:$G$1004,MATCH($A51,Leads!$S$5:$S$1004,0))&amp;"","")</f>
        <v/>
      </c>
      <c r="F51" s="25">
        <f>IFERROR(INDEX(Leads!$F$5:$F$1004,MATCH($A51,Leads!$S$5:$S$1004,0))&amp;"","")</f>
        <v/>
      </c>
      <c r="G51" s="21">
        <f>IFERROR(IF(INDEX(Leads!$H$5:$H$1004,MATCH($A51,Leads!$S$5:$S$1004,0))="","",INDEX(Leads!$H$5:$H$1004,MATCH($A51,Leads!$S$5:$S$1004,0))),"")</f>
        <v/>
      </c>
      <c r="H51" s="14">
        <f>IFERROR(IF(INDEX(Leads!$I$5:$I$1004,MATCH($A51,Leads!$S$5:$S$1004,0))="","",INDEX(Leads!$I$5:$I$1004,MATCH($A51,Leads!$S$5:$S$1004,0))),"")</f>
        <v/>
      </c>
      <c r="I51" s="14">
        <f>IFERROR(IF(INDEX(Leads!$J$5:$J$1004,MATCH($A51,Leads!$S$5:$S$1004,0))="","",INDEX(Leads!$J$5:$J$1004,MATCH($A51,Leads!$S$5:$S$1004,0))),"")</f>
        <v/>
      </c>
      <c r="J51" s="26">
        <f>IFERROR(IF(INDEX(Leads!$Q$5:$Q$1004,MATCH($A51,Leads!$S$5:$S$1004,0))="","",INDEX(Leads!$Q$5:$Q$1004,MATCH($A51,Leads!$S$5:$S$1004,0))),"")</f>
        <v/>
      </c>
    </row>
    <row r="52" spans="1:10">
      <c r="A52" s="24">
        <v>48</v>
      </c>
      <c r="B52" s="22">
        <f>IFERROR(INDEX(Leads!$R$5:$R$1004,MATCH($A52,Leads!$S$5:$S$1004,0))&amp;"","")</f>
        <v/>
      </c>
      <c r="C52" s="25">
        <f>IFERROR(INDEX(Leads!$C$5:$C$1004,MATCH($A52,Leads!$S$5:$S$1004,0))&amp;"","")</f>
        <v/>
      </c>
      <c r="D52" s="25">
        <f>IFERROR(INDEX(Leads!$D$5:$D$1004,MATCH($A52,Leads!$S$5:$S$1004,0))&amp;"","")</f>
        <v/>
      </c>
      <c r="E52" s="25">
        <f>IFERROR(INDEX(Leads!$G$5:$G$1004,MATCH($A52,Leads!$S$5:$S$1004,0))&amp;"","")</f>
        <v/>
      </c>
      <c r="F52" s="25">
        <f>IFERROR(INDEX(Leads!$F$5:$F$1004,MATCH($A52,Leads!$S$5:$S$1004,0))&amp;"","")</f>
        <v/>
      </c>
      <c r="G52" s="21">
        <f>IFERROR(IF(INDEX(Leads!$H$5:$H$1004,MATCH($A52,Leads!$S$5:$S$1004,0))="","",INDEX(Leads!$H$5:$H$1004,MATCH($A52,Leads!$S$5:$S$1004,0))),"")</f>
        <v/>
      </c>
      <c r="H52" s="14">
        <f>IFERROR(IF(INDEX(Leads!$I$5:$I$1004,MATCH($A52,Leads!$S$5:$S$1004,0))="","",INDEX(Leads!$I$5:$I$1004,MATCH($A52,Leads!$S$5:$S$1004,0))),"")</f>
        <v/>
      </c>
      <c r="I52" s="14">
        <f>IFERROR(IF(INDEX(Leads!$J$5:$J$1004,MATCH($A52,Leads!$S$5:$S$1004,0))="","",INDEX(Leads!$J$5:$J$1004,MATCH($A52,Leads!$S$5:$S$1004,0))),"")</f>
        <v/>
      </c>
      <c r="J52" s="26">
        <f>IFERROR(IF(INDEX(Leads!$Q$5:$Q$1004,MATCH($A52,Leads!$S$5:$S$1004,0))="","",INDEX(Leads!$Q$5:$Q$1004,MATCH($A52,Leads!$S$5:$S$1004,0))),"")</f>
        <v/>
      </c>
    </row>
    <row r="53" spans="1:10">
      <c r="A53" s="24">
        <v>49</v>
      </c>
      <c r="B53" s="22">
        <f>IFERROR(INDEX(Leads!$R$5:$R$1004,MATCH($A53,Leads!$S$5:$S$1004,0))&amp;"","")</f>
        <v/>
      </c>
      <c r="C53" s="25">
        <f>IFERROR(INDEX(Leads!$C$5:$C$1004,MATCH($A53,Leads!$S$5:$S$1004,0))&amp;"","")</f>
        <v/>
      </c>
      <c r="D53" s="25">
        <f>IFERROR(INDEX(Leads!$D$5:$D$1004,MATCH($A53,Leads!$S$5:$S$1004,0))&amp;"","")</f>
        <v/>
      </c>
      <c r="E53" s="25">
        <f>IFERROR(INDEX(Leads!$G$5:$G$1004,MATCH($A53,Leads!$S$5:$S$1004,0))&amp;"","")</f>
        <v/>
      </c>
      <c r="F53" s="25">
        <f>IFERROR(INDEX(Leads!$F$5:$F$1004,MATCH($A53,Leads!$S$5:$S$1004,0))&amp;"","")</f>
        <v/>
      </c>
      <c r="G53" s="21">
        <f>IFERROR(IF(INDEX(Leads!$H$5:$H$1004,MATCH($A53,Leads!$S$5:$S$1004,0))="","",INDEX(Leads!$H$5:$H$1004,MATCH($A53,Leads!$S$5:$S$1004,0))),"")</f>
        <v/>
      </c>
      <c r="H53" s="14">
        <f>IFERROR(IF(INDEX(Leads!$I$5:$I$1004,MATCH($A53,Leads!$S$5:$S$1004,0))="","",INDEX(Leads!$I$5:$I$1004,MATCH($A53,Leads!$S$5:$S$1004,0))),"")</f>
        <v/>
      </c>
      <c r="I53" s="14">
        <f>IFERROR(IF(INDEX(Leads!$J$5:$J$1004,MATCH($A53,Leads!$S$5:$S$1004,0))="","",INDEX(Leads!$J$5:$J$1004,MATCH($A53,Leads!$S$5:$S$1004,0))),"")</f>
        <v/>
      </c>
      <c r="J53" s="26">
        <f>IFERROR(IF(INDEX(Leads!$Q$5:$Q$1004,MATCH($A53,Leads!$S$5:$S$1004,0))="","",INDEX(Leads!$Q$5:$Q$1004,MATCH($A53,Leads!$S$5:$S$1004,0))),"")</f>
        <v/>
      </c>
    </row>
    <row r="54" spans="1:10">
      <c r="A54" s="24">
        <v>50</v>
      </c>
      <c r="B54" s="22">
        <f>IFERROR(INDEX(Leads!$R$5:$R$1004,MATCH($A54,Leads!$S$5:$S$1004,0))&amp;"","")</f>
        <v/>
      </c>
      <c r="C54" s="25">
        <f>IFERROR(INDEX(Leads!$C$5:$C$1004,MATCH($A54,Leads!$S$5:$S$1004,0))&amp;"","")</f>
        <v/>
      </c>
      <c r="D54" s="25">
        <f>IFERROR(INDEX(Leads!$D$5:$D$1004,MATCH($A54,Leads!$S$5:$S$1004,0))&amp;"","")</f>
        <v/>
      </c>
      <c r="E54" s="25">
        <f>IFERROR(INDEX(Leads!$G$5:$G$1004,MATCH($A54,Leads!$S$5:$S$1004,0))&amp;"","")</f>
        <v/>
      </c>
      <c r="F54" s="25">
        <f>IFERROR(INDEX(Leads!$F$5:$F$1004,MATCH($A54,Leads!$S$5:$S$1004,0))&amp;"","")</f>
        <v/>
      </c>
      <c r="G54" s="21">
        <f>IFERROR(IF(INDEX(Leads!$H$5:$H$1004,MATCH($A54,Leads!$S$5:$S$1004,0))="","",INDEX(Leads!$H$5:$H$1004,MATCH($A54,Leads!$S$5:$S$1004,0))),"")</f>
        <v/>
      </c>
      <c r="H54" s="14">
        <f>IFERROR(IF(INDEX(Leads!$I$5:$I$1004,MATCH($A54,Leads!$S$5:$S$1004,0))="","",INDEX(Leads!$I$5:$I$1004,MATCH($A54,Leads!$S$5:$S$1004,0))),"")</f>
        <v/>
      </c>
      <c r="I54" s="14">
        <f>IFERROR(IF(INDEX(Leads!$J$5:$J$1004,MATCH($A54,Leads!$S$5:$S$1004,0))="","",INDEX(Leads!$J$5:$J$1004,MATCH($A54,Leads!$S$5:$S$1004,0))),"")</f>
        <v/>
      </c>
      <c r="J54" s="26">
        <f>IFERROR(IF(INDEX(Leads!$Q$5:$Q$1004,MATCH($A54,Leads!$S$5:$S$1004,0))="","",INDEX(Leads!$Q$5:$Q$1004,MATCH($A54,Leads!$S$5:$S$1004,0))),"")</f>
        <v/>
      </c>
    </row>
    <row r="55" spans="1:10">
      <c r="A55" s="24">
        <v>51</v>
      </c>
      <c r="B55" s="22">
        <f>IFERROR(INDEX(Leads!$R$5:$R$1004,MATCH($A55,Leads!$S$5:$S$1004,0))&amp;"","")</f>
        <v/>
      </c>
      <c r="C55" s="25">
        <f>IFERROR(INDEX(Leads!$C$5:$C$1004,MATCH($A55,Leads!$S$5:$S$1004,0))&amp;"","")</f>
        <v/>
      </c>
      <c r="D55" s="25">
        <f>IFERROR(INDEX(Leads!$D$5:$D$1004,MATCH($A55,Leads!$S$5:$S$1004,0))&amp;"","")</f>
        <v/>
      </c>
      <c r="E55" s="25">
        <f>IFERROR(INDEX(Leads!$G$5:$G$1004,MATCH($A55,Leads!$S$5:$S$1004,0))&amp;"","")</f>
        <v/>
      </c>
      <c r="F55" s="25">
        <f>IFERROR(INDEX(Leads!$F$5:$F$1004,MATCH($A55,Leads!$S$5:$S$1004,0))&amp;"","")</f>
        <v/>
      </c>
      <c r="G55" s="21">
        <f>IFERROR(IF(INDEX(Leads!$H$5:$H$1004,MATCH($A55,Leads!$S$5:$S$1004,0))="","",INDEX(Leads!$H$5:$H$1004,MATCH($A55,Leads!$S$5:$S$1004,0))),"")</f>
        <v/>
      </c>
      <c r="H55" s="14">
        <f>IFERROR(IF(INDEX(Leads!$I$5:$I$1004,MATCH($A55,Leads!$S$5:$S$1004,0))="","",INDEX(Leads!$I$5:$I$1004,MATCH($A55,Leads!$S$5:$S$1004,0))),"")</f>
        <v/>
      </c>
      <c r="I55" s="14">
        <f>IFERROR(IF(INDEX(Leads!$J$5:$J$1004,MATCH($A55,Leads!$S$5:$S$1004,0))="","",INDEX(Leads!$J$5:$J$1004,MATCH($A55,Leads!$S$5:$S$1004,0))),"")</f>
        <v/>
      </c>
      <c r="J55" s="26">
        <f>IFERROR(IF(INDEX(Leads!$Q$5:$Q$1004,MATCH($A55,Leads!$S$5:$S$1004,0))="","",INDEX(Leads!$Q$5:$Q$1004,MATCH($A55,Leads!$S$5:$S$1004,0))),"")</f>
        <v/>
      </c>
    </row>
    <row r="56" spans="1:10">
      <c r="A56" s="24">
        <v>52</v>
      </c>
      <c r="B56" s="22">
        <f>IFERROR(INDEX(Leads!$R$5:$R$1004,MATCH($A56,Leads!$S$5:$S$1004,0))&amp;"","")</f>
        <v/>
      </c>
      <c r="C56" s="25">
        <f>IFERROR(INDEX(Leads!$C$5:$C$1004,MATCH($A56,Leads!$S$5:$S$1004,0))&amp;"","")</f>
        <v/>
      </c>
      <c r="D56" s="25">
        <f>IFERROR(INDEX(Leads!$D$5:$D$1004,MATCH($A56,Leads!$S$5:$S$1004,0))&amp;"","")</f>
        <v/>
      </c>
      <c r="E56" s="25">
        <f>IFERROR(INDEX(Leads!$G$5:$G$1004,MATCH($A56,Leads!$S$5:$S$1004,0))&amp;"","")</f>
        <v/>
      </c>
      <c r="F56" s="25">
        <f>IFERROR(INDEX(Leads!$F$5:$F$1004,MATCH($A56,Leads!$S$5:$S$1004,0))&amp;"","")</f>
        <v/>
      </c>
      <c r="G56" s="21">
        <f>IFERROR(IF(INDEX(Leads!$H$5:$H$1004,MATCH($A56,Leads!$S$5:$S$1004,0))="","",INDEX(Leads!$H$5:$H$1004,MATCH($A56,Leads!$S$5:$S$1004,0))),"")</f>
        <v/>
      </c>
      <c r="H56" s="14">
        <f>IFERROR(IF(INDEX(Leads!$I$5:$I$1004,MATCH($A56,Leads!$S$5:$S$1004,0))="","",INDEX(Leads!$I$5:$I$1004,MATCH($A56,Leads!$S$5:$S$1004,0))),"")</f>
        <v/>
      </c>
      <c r="I56" s="14">
        <f>IFERROR(IF(INDEX(Leads!$J$5:$J$1004,MATCH($A56,Leads!$S$5:$S$1004,0))="","",INDEX(Leads!$J$5:$J$1004,MATCH($A56,Leads!$S$5:$S$1004,0))),"")</f>
        <v/>
      </c>
      <c r="J56" s="26">
        <f>IFERROR(IF(INDEX(Leads!$Q$5:$Q$1004,MATCH($A56,Leads!$S$5:$S$1004,0))="","",INDEX(Leads!$Q$5:$Q$1004,MATCH($A56,Leads!$S$5:$S$1004,0))),"")</f>
        <v/>
      </c>
    </row>
    <row r="57" spans="1:10">
      <c r="A57" s="24">
        <v>53</v>
      </c>
      <c r="B57" s="22">
        <f>IFERROR(INDEX(Leads!$R$5:$R$1004,MATCH($A57,Leads!$S$5:$S$1004,0))&amp;"","")</f>
        <v/>
      </c>
      <c r="C57" s="25">
        <f>IFERROR(INDEX(Leads!$C$5:$C$1004,MATCH($A57,Leads!$S$5:$S$1004,0))&amp;"","")</f>
        <v/>
      </c>
      <c r="D57" s="25">
        <f>IFERROR(INDEX(Leads!$D$5:$D$1004,MATCH($A57,Leads!$S$5:$S$1004,0))&amp;"","")</f>
        <v/>
      </c>
      <c r="E57" s="25">
        <f>IFERROR(INDEX(Leads!$G$5:$G$1004,MATCH($A57,Leads!$S$5:$S$1004,0))&amp;"","")</f>
        <v/>
      </c>
      <c r="F57" s="25">
        <f>IFERROR(INDEX(Leads!$F$5:$F$1004,MATCH($A57,Leads!$S$5:$S$1004,0))&amp;"","")</f>
        <v/>
      </c>
      <c r="G57" s="21">
        <f>IFERROR(IF(INDEX(Leads!$H$5:$H$1004,MATCH($A57,Leads!$S$5:$S$1004,0))="","",INDEX(Leads!$H$5:$H$1004,MATCH($A57,Leads!$S$5:$S$1004,0))),"")</f>
        <v/>
      </c>
      <c r="H57" s="14">
        <f>IFERROR(IF(INDEX(Leads!$I$5:$I$1004,MATCH($A57,Leads!$S$5:$S$1004,0))="","",INDEX(Leads!$I$5:$I$1004,MATCH($A57,Leads!$S$5:$S$1004,0))),"")</f>
        <v/>
      </c>
      <c r="I57" s="14">
        <f>IFERROR(IF(INDEX(Leads!$J$5:$J$1004,MATCH($A57,Leads!$S$5:$S$1004,0))="","",INDEX(Leads!$J$5:$J$1004,MATCH($A57,Leads!$S$5:$S$1004,0))),"")</f>
        <v/>
      </c>
      <c r="J57" s="26">
        <f>IFERROR(IF(INDEX(Leads!$Q$5:$Q$1004,MATCH($A57,Leads!$S$5:$S$1004,0))="","",INDEX(Leads!$Q$5:$Q$1004,MATCH($A57,Leads!$S$5:$S$1004,0))),"")</f>
        <v/>
      </c>
    </row>
    <row r="58" spans="1:10">
      <c r="A58" s="24">
        <v>54</v>
      </c>
      <c r="B58" s="22">
        <f>IFERROR(INDEX(Leads!$R$5:$R$1004,MATCH($A58,Leads!$S$5:$S$1004,0))&amp;"","")</f>
        <v/>
      </c>
      <c r="C58" s="25">
        <f>IFERROR(INDEX(Leads!$C$5:$C$1004,MATCH($A58,Leads!$S$5:$S$1004,0))&amp;"","")</f>
        <v/>
      </c>
      <c r="D58" s="25">
        <f>IFERROR(INDEX(Leads!$D$5:$D$1004,MATCH($A58,Leads!$S$5:$S$1004,0))&amp;"","")</f>
        <v/>
      </c>
      <c r="E58" s="25">
        <f>IFERROR(INDEX(Leads!$G$5:$G$1004,MATCH($A58,Leads!$S$5:$S$1004,0))&amp;"","")</f>
        <v/>
      </c>
      <c r="F58" s="25">
        <f>IFERROR(INDEX(Leads!$F$5:$F$1004,MATCH($A58,Leads!$S$5:$S$1004,0))&amp;"","")</f>
        <v/>
      </c>
      <c r="G58" s="21">
        <f>IFERROR(IF(INDEX(Leads!$H$5:$H$1004,MATCH($A58,Leads!$S$5:$S$1004,0))="","",INDEX(Leads!$H$5:$H$1004,MATCH($A58,Leads!$S$5:$S$1004,0))),"")</f>
        <v/>
      </c>
      <c r="H58" s="14">
        <f>IFERROR(IF(INDEX(Leads!$I$5:$I$1004,MATCH($A58,Leads!$S$5:$S$1004,0))="","",INDEX(Leads!$I$5:$I$1004,MATCH($A58,Leads!$S$5:$S$1004,0))),"")</f>
        <v/>
      </c>
      <c r="I58" s="14">
        <f>IFERROR(IF(INDEX(Leads!$J$5:$J$1004,MATCH($A58,Leads!$S$5:$S$1004,0))="","",INDEX(Leads!$J$5:$J$1004,MATCH($A58,Leads!$S$5:$S$1004,0))),"")</f>
        <v/>
      </c>
      <c r="J58" s="26">
        <f>IFERROR(IF(INDEX(Leads!$Q$5:$Q$1004,MATCH($A58,Leads!$S$5:$S$1004,0))="","",INDEX(Leads!$Q$5:$Q$1004,MATCH($A58,Leads!$S$5:$S$1004,0))),"")</f>
        <v/>
      </c>
    </row>
    <row r="59" spans="1:10">
      <c r="A59" s="24">
        <v>55</v>
      </c>
      <c r="B59" s="22">
        <f>IFERROR(INDEX(Leads!$R$5:$R$1004,MATCH($A59,Leads!$S$5:$S$1004,0))&amp;"","")</f>
        <v/>
      </c>
      <c r="C59" s="25">
        <f>IFERROR(INDEX(Leads!$C$5:$C$1004,MATCH($A59,Leads!$S$5:$S$1004,0))&amp;"","")</f>
        <v/>
      </c>
      <c r="D59" s="25">
        <f>IFERROR(INDEX(Leads!$D$5:$D$1004,MATCH($A59,Leads!$S$5:$S$1004,0))&amp;"","")</f>
        <v/>
      </c>
      <c r="E59" s="25">
        <f>IFERROR(INDEX(Leads!$G$5:$G$1004,MATCH($A59,Leads!$S$5:$S$1004,0))&amp;"","")</f>
        <v/>
      </c>
      <c r="F59" s="25">
        <f>IFERROR(INDEX(Leads!$F$5:$F$1004,MATCH($A59,Leads!$S$5:$S$1004,0))&amp;"","")</f>
        <v/>
      </c>
      <c r="G59" s="21">
        <f>IFERROR(IF(INDEX(Leads!$H$5:$H$1004,MATCH($A59,Leads!$S$5:$S$1004,0))="","",INDEX(Leads!$H$5:$H$1004,MATCH($A59,Leads!$S$5:$S$1004,0))),"")</f>
        <v/>
      </c>
      <c r="H59" s="14">
        <f>IFERROR(IF(INDEX(Leads!$I$5:$I$1004,MATCH($A59,Leads!$S$5:$S$1004,0))="","",INDEX(Leads!$I$5:$I$1004,MATCH($A59,Leads!$S$5:$S$1004,0))),"")</f>
        <v/>
      </c>
      <c r="I59" s="14">
        <f>IFERROR(IF(INDEX(Leads!$J$5:$J$1004,MATCH($A59,Leads!$S$5:$S$1004,0))="","",INDEX(Leads!$J$5:$J$1004,MATCH($A59,Leads!$S$5:$S$1004,0))),"")</f>
        <v/>
      </c>
      <c r="J59" s="26">
        <f>IFERROR(IF(INDEX(Leads!$Q$5:$Q$1004,MATCH($A59,Leads!$S$5:$S$1004,0))="","",INDEX(Leads!$Q$5:$Q$1004,MATCH($A59,Leads!$S$5:$S$1004,0))),"")</f>
        <v/>
      </c>
    </row>
    <row r="60" spans="1:10">
      <c r="A60" s="24">
        <v>56</v>
      </c>
      <c r="B60" s="22">
        <f>IFERROR(INDEX(Leads!$R$5:$R$1004,MATCH($A60,Leads!$S$5:$S$1004,0))&amp;"","")</f>
        <v/>
      </c>
      <c r="C60" s="25">
        <f>IFERROR(INDEX(Leads!$C$5:$C$1004,MATCH($A60,Leads!$S$5:$S$1004,0))&amp;"","")</f>
        <v/>
      </c>
      <c r="D60" s="25">
        <f>IFERROR(INDEX(Leads!$D$5:$D$1004,MATCH($A60,Leads!$S$5:$S$1004,0))&amp;"","")</f>
        <v/>
      </c>
      <c r="E60" s="25">
        <f>IFERROR(INDEX(Leads!$G$5:$G$1004,MATCH($A60,Leads!$S$5:$S$1004,0))&amp;"","")</f>
        <v/>
      </c>
      <c r="F60" s="25">
        <f>IFERROR(INDEX(Leads!$F$5:$F$1004,MATCH($A60,Leads!$S$5:$S$1004,0))&amp;"","")</f>
        <v/>
      </c>
      <c r="G60" s="21">
        <f>IFERROR(IF(INDEX(Leads!$H$5:$H$1004,MATCH($A60,Leads!$S$5:$S$1004,0))="","",INDEX(Leads!$H$5:$H$1004,MATCH($A60,Leads!$S$5:$S$1004,0))),"")</f>
        <v/>
      </c>
      <c r="H60" s="14">
        <f>IFERROR(IF(INDEX(Leads!$I$5:$I$1004,MATCH($A60,Leads!$S$5:$S$1004,0))="","",INDEX(Leads!$I$5:$I$1004,MATCH($A60,Leads!$S$5:$S$1004,0))),"")</f>
        <v/>
      </c>
      <c r="I60" s="14">
        <f>IFERROR(IF(INDEX(Leads!$J$5:$J$1004,MATCH($A60,Leads!$S$5:$S$1004,0))="","",INDEX(Leads!$J$5:$J$1004,MATCH($A60,Leads!$S$5:$S$1004,0))),"")</f>
        <v/>
      </c>
      <c r="J60" s="26">
        <f>IFERROR(IF(INDEX(Leads!$Q$5:$Q$1004,MATCH($A60,Leads!$S$5:$S$1004,0))="","",INDEX(Leads!$Q$5:$Q$1004,MATCH($A60,Leads!$S$5:$S$1004,0))),"")</f>
        <v/>
      </c>
    </row>
    <row r="61" spans="1:10">
      <c r="A61" s="24">
        <v>57</v>
      </c>
      <c r="B61" s="22">
        <f>IFERROR(INDEX(Leads!$R$5:$R$1004,MATCH($A61,Leads!$S$5:$S$1004,0))&amp;"","")</f>
        <v/>
      </c>
      <c r="C61" s="25">
        <f>IFERROR(INDEX(Leads!$C$5:$C$1004,MATCH($A61,Leads!$S$5:$S$1004,0))&amp;"","")</f>
        <v/>
      </c>
      <c r="D61" s="25">
        <f>IFERROR(INDEX(Leads!$D$5:$D$1004,MATCH($A61,Leads!$S$5:$S$1004,0))&amp;"","")</f>
        <v/>
      </c>
      <c r="E61" s="25">
        <f>IFERROR(INDEX(Leads!$G$5:$G$1004,MATCH($A61,Leads!$S$5:$S$1004,0))&amp;"","")</f>
        <v/>
      </c>
      <c r="F61" s="25">
        <f>IFERROR(INDEX(Leads!$F$5:$F$1004,MATCH($A61,Leads!$S$5:$S$1004,0))&amp;"","")</f>
        <v/>
      </c>
      <c r="G61" s="21">
        <f>IFERROR(IF(INDEX(Leads!$H$5:$H$1004,MATCH($A61,Leads!$S$5:$S$1004,0))="","",INDEX(Leads!$H$5:$H$1004,MATCH($A61,Leads!$S$5:$S$1004,0))),"")</f>
        <v/>
      </c>
      <c r="H61" s="14">
        <f>IFERROR(IF(INDEX(Leads!$I$5:$I$1004,MATCH($A61,Leads!$S$5:$S$1004,0))="","",INDEX(Leads!$I$5:$I$1004,MATCH($A61,Leads!$S$5:$S$1004,0))),"")</f>
        <v/>
      </c>
      <c r="I61" s="14">
        <f>IFERROR(IF(INDEX(Leads!$J$5:$J$1004,MATCH($A61,Leads!$S$5:$S$1004,0))="","",INDEX(Leads!$J$5:$J$1004,MATCH($A61,Leads!$S$5:$S$1004,0))),"")</f>
        <v/>
      </c>
      <c r="J61" s="26">
        <f>IFERROR(IF(INDEX(Leads!$Q$5:$Q$1004,MATCH($A61,Leads!$S$5:$S$1004,0))="","",INDEX(Leads!$Q$5:$Q$1004,MATCH($A61,Leads!$S$5:$S$1004,0))),"")</f>
        <v/>
      </c>
    </row>
    <row r="62" spans="1:10">
      <c r="A62" s="24">
        <v>58</v>
      </c>
      <c r="B62" s="22">
        <f>IFERROR(INDEX(Leads!$R$5:$R$1004,MATCH($A62,Leads!$S$5:$S$1004,0))&amp;"","")</f>
        <v/>
      </c>
      <c r="C62" s="25">
        <f>IFERROR(INDEX(Leads!$C$5:$C$1004,MATCH($A62,Leads!$S$5:$S$1004,0))&amp;"","")</f>
        <v/>
      </c>
      <c r="D62" s="25">
        <f>IFERROR(INDEX(Leads!$D$5:$D$1004,MATCH($A62,Leads!$S$5:$S$1004,0))&amp;"","")</f>
        <v/>
      </c>
      <c r="E62" s="25">
        <f>IFERROR(INDEX(Leads!$G$5:$G$1004,MATCH($A62,Leads!$S$5:$S$1004,0))&amp;"","")</f>
        <v/>
      </c>
      <c r="F62" s="25">
        <f>IFERROR(INDEX(Leads!$F$5:$F$1004,MATCH($A62,Leads!$S$5:$S$1004,0))&amp;"","")</f>
        <v/>
      </c>
      <c r="G62" s="21">
        <f>IFERROR(IF(INDEX(Leads!$H$5:$H$1004,MATCH($A62,Leads!$S$5:$S$1004,0))="","",INDEX(Leads!$H$5:$H$1004,MATCH($A62,Leads!$S$5:$S$1004,0))),"")</f>
        <v/>
      </c>
      <c r="H62" s="14">
        <f>IFERROR(IF(INDEX(Leads!$I$5:$I$1004,MATCH($A62,Leads!$S$5:$S$1004,0))="","",INDEX(Leads!$I$5:$I$1004,MATCH($A62,Leads!$S$5:$S$1004,0))),"")</f>
        <v/>
      </c>
      <c r="I62" s="14">
        <f>IFERROR(IF(INDEX(Leads!$J$5:$J$1004,MATCH($A62,Leads!$S$5:$S$1004,0))="","",INDEX(Leads!$J$5:$J$1004,MATCH($A62,Leads!$S$5:$S$1004,0))),"")</f>
        <v/>
      </c>
      <c r="J62" s="26">
        <f>IFERROR(IF(INDEX(Leads!$Q$5:$Q$1004,MATCH($A62,Leads!$S$5:$S$1004,0))="","",INDEX(Leads!$Q$5:$Q$1004,MATCH($A62,Leads!$S$5:$S$1004,0))),"")</f>
        <v/>
      </c>
    </row>
    <row r="63" spans="1:10">
      <c r="A63" s="24">
        <v>59</v>
      </c>
      <c r="B63" s="22">
        <f>IFERROR(INDEX(Leads!$R$5:$R$1004,MATCH($A63,Leads!$S$5:$S$1004,0))&amp;"","")</f>
        <v/>
      </c>
      <c r="C63" s="25">
        <f>IFERROR(INDEX(Leads!$C$5:$C$1004,MATCH($A63,Leads!$S$5:$S$1004,0))&amp;"","")</f>
        <v/>
      </c>
      <c r="D63" s="25">
        <f>IFERROR(INDEX(Leads!$D$5:$D$1004,MATCH($A63,Leads!$S$5:$S$1004,0))&amp;"","")</f>
        <v/>
      </c>
      <c r="E63" s="25">
        <f>IFERROR(INDEX(Leads!$G$5:$G$1004,MATCH($A63,Leads!$S$5:$S$1004,0))&amp;"","")</f>
        <v/>
      </c>
      <c r="F63" s="25">
        <f>IFERROR(INDEX(Leads!$F$5:$F$1004,MATCH($A63,Leads!$S$5:$S$1004,0))&amp;"","")</f>
        <v/>
      </c>
      <c r="G63" s="21">
        <f>IFERROR(IF(INDEX(Leads!$H$5:$H$1004,MATCH($A63,Leads!$S$5:$S$1004,0))="","",INDEX(Leads!$H$5:$H$1004,MATCH($A63,Leads!$S$5:$S$1004,0))),"")</f>
        <v/>
      </c>
      <c r="H63" s="14">
        <f>IFERROR(IF(INDEX(Leads!$I$5:$I$1004,MATCH($A63,Leads!$S$5:$S$1004,0))="","",INDEX(Leads!$I$5:$I$1004,MATCH($A63,Leads!$S$5:$S$1004,0))),"")</f>
        <v/>
      </c>
      <c r="I63" s="14">
        <f>IFERROR(IF(INDEX(Leads!$J$5:$J$1004,MATCH($A63,Leads!$S$5:$S$1004,0))="","",INDEX(Leads!$J$5:$J$1004,MATCH($A63,Leads!$S$5:$S$1004,0))),"")</f>
        <v/>
      </c>
      <c r="J63" s="26">
        <f>IFERROR(IF(INDEX(Leads!$Q$5:$Q$1004,MATCH($A63,Leads!$S$5:$S$1004,0))="","",INDEX(Leads!$Q$5:$Q$1004,MATCH($A63,Leads!$S$5:$S$1004,0))),"")</f>
        <v/>
      </c>
    </row>
    <row r="64" spans="1:10">
      <c r="A64" s="24">
        <v>60</v>
      </c>
      <c r="B64" s="22">
        <f>IFERROR(INDEX(Leads!$R$5:$R$1004,MATCH($A64,Leads!$S$5:$S$1004,0))&amp;"","")</f>
        <v/>
      </c>
      <c r="C64" s="25">
        <f>IFERROR(INDEX(Leads!$C$5:$C$1004,MATCH($A64,Leads!$S$5:$S$1004,0))&amp;"","")</f>
        <v/>
      </c>
      <c r="D64" s="25">
        <f>IFERROR(INDEX(Leads!$D$5:$D$1004,MATCH($A64,Leads!$S$5:$S$1004,0))&amp;"","")</f>
        <v/>
      </c>
      <c r="E64" s="25">
        <f>IFERROR(INDEX(Leads!$G$5:$G$1004,MATCH($A64,Leads!$S$5:$S$1004,0))&amp;"","")</f>
        <v/>
      </c>
      <c r="F64" s="25">
        <f>IFERROR(INDEX(Leads!$F$5:$F$1004,MATCH($A64,Leads!$S$5:$S$1004,0))&amp;"","")</f>
        <v/>
      </c>
      <c r="G64" s="21">
        <f>IFERROR(IF(INDEX(Leads!$H$5:$H$1004,MATCH($A64,Leads!$S$5:$S$1004,0))="","",INDEX(Leads!$H$5:$H$1004,MATCH($A64,Leads!$S$5:$S$1004,0))),"")</f>
        <v/>
      </c>
      <c r="H64" s="14">
        <f>IFERROR(IF(INDEX(Leads!$I$5:$I$1004,MATCH($A64,Leads!$S$5:$S$1004,0))="","",INDEX(Leads!$I$5:$I$1004,MATCH($A64,Leads!$S$5:$S$1004,0))),"")</f>
        <v/>
      </c>
      <c r="I64" s="14">
        <f>IFERROR(IF(INDEX(Leads!$J$5:$J$1004,MATCH($A64,Leads!$S$5:$S$1004,0))="","",INDEX(Leads!$J$5:$J$1004,MATCH($A64,Leads!$S$5:$S$1004,0))),"")</f>
        <v/>
      </c>
      <c r="J64" s="26">
        <f>IFERROR(IF(INDEX(Leads!$Q$5:$Q$1004,MATCH($A64,Leads!$S$5:$S$1004,0))="","",INDEX(Leads!$Q$5:$Q$1004,MATCH($A64,Leads!$S$5:$S$1004,0))),"")</f>
        <v/>
      </c>
    </row>
    <row r="65" spans="1:10">
      <c r="A65" s="24">
        <v>61</v>
      </c>
      <c r="B65" s="22">
        <f>IFERROR(INDEX(Leads!$R$5:$R$1004,MATCH($A65,Leads!$S$5:$S$1004,0))&amp;"","")</f>
        <v/>
      </c>
      <c r="C65" s="25">
        <f>IFERROR(INDEX(Leads!$C$5:$C$1004,MATCH($A65,Leads!$S$5:$S$1004,0))&amp;"","")</f>
        <v/>
      </c>
      <c r="D65" s="25">
        <f>IFERROR(INDEX(Leads!$D$5:$D$1004,MATCH($A65,Leads!$S$5:$S$1004,0))&amp;"","")</f>
        <v/>
      </c>
      <c r="E65" s="25">
        <f>IFERROR(INDEX(Leads!$G$5:$G$1004,MATCH($A65,Leads!$S$5:$S$1004,0))&amp;"","")</f>
        <v/>
      </c>
      <c r="F65" s="25">
        <f>IFERROR(INDEX(Leads!$F$5:$F$1004,MATCH($A65,Leads!$S$5:$S$1004,0))&amp;"","")</f>
        <v/>
      </c>
      <c r="G65" s="21">
        <f>IFERROR(IF(INDEX(Leads!$H$5:$H$1004,MATCH($A65,Leads!$S$5:$S$1004,0))="","",INDEX(Leads!$H$5:$H$1004,MATCH($A65,Leads!$S$5:$S$1004,0))),"")</f>
        <v/>
      </c>
      <c r="H65" s="14">
        <f>IFERROR(IF(INDEX(Leads!$I$5:$I$1004,MATCH($A65,Leads!$S$5:$S$1004,0))="","",INDEX(Leads!$I$5:$I$1004,MATCH($A65,Leads!$S$5:$S$1004,0))),"")</f>
        <v/>
      </c>
      <c r="I65" s="14">
        <f>IFERROR(IF(INDEX(Leads!$J$5:$J$1004,MATCH($A65,Leads!$S$5:$S$1004,0))="","",INDEX(Leads!$J$5:$J$1004,MATCH($A65,Leads!$S$5:$S$1004,0))),"")</f>
        <v/>
      </c>
      <c r="J65" s="26">
        <f>IFERROR(IF(INDEX(Leads!$Q$5:$Q$1004,MATCH($A65,Leads!$S$5:$S$1004,0))="","",INDEX(Leads!$Q$5:$Q$1004,MATCH($A65,Leads!$S$5:$S$1004,0))),"")</f>
        <v/>
      </c>
    </row>
    <row r="66" spans="1:10">
      <c r="A66" s="24">
        <v>62</v>
      </c>
      <c r="B66" s="22">
        <f>IFERROR(INDEX(Leads!$R$5:$R$1004,MATCH($A66,Leads!$S$5:$S$1004,0))&amp;"","")</f>
        <v/>
      </c>
      <c r="C66" s="25">
        <f>IFERROR(INDEX(Leads!$C$5:$C$1004,MATCH($A66,Leads!$S$5:$S$1004,0))&amp;"","")</f>
        <v/>
      </c>
      <c r="D66" s="25">
        <f>IFERROR(INDEX(Leads!$D$5:$D$1004,MATCH($A66,Leads!$S$5:$S$1004,0))&amp;"","")</f>
        <v/>
      </c>
      <c r="E66" s="25">
        <f>IFERROR(INDEX(Leads!$G$5:$G$1004,MATCH($A66,Leads!$S$5:$S$1004,0))&amp;"","")</f>
        <v/>
      </c>
      <c r="F66" s="25">
        <f>IFERROR(INDEX(Leads!$F$5:$F$1004,MATCH($A66,Leads!$S$5:$S$1004,0))&amp;"","")</f>
        <v/>
      </c>
      <c r="G66" s="21">
        <f>IFERROR(IF(INDEX(Leads!$H$5:$H$1004,MATCH($A66,Leads!$S$5:$S$1004,0))="","",INDEX(Leads!$H$5:$H$1004,MATCH($A66,Leads!$S$5:$S$1004,0))),"")</f>
        <v/>
      </c>
      <c r="H66" s="14">
        <f>IFERROR(IF(INDEX(Leads!$I$5:$I$1004,MATCH($A66,Leads!$S$5:$S$1004,0))="","",INDEX(Leads!$I$5:$I$1004,MATCH($A66,Leads!$S$5:$S$1004,0))),"")</f>
        <v/>
      </c>
      <c r="I66" s="14">
        <f>IFERROR(IF(INDEX(Leads!$J$5:$J$1004,MATCH($A66,Leads!$S$5:$S$1004,0))="","",INDEX(Leads!$J$5:$J$1004,MATCH($A66,Leads!$S$5:$S$1004,0))),"")</f>
        <v/>
      </c>
      <c r="J66" s="26">
        <f>IFERROR(IF(INDEX(Leads!$Q$5:$Q$1004,MATCH($A66,Leads!$S$5:$S$1004,0))="","",INDEX(Leads!$Q$5:$Q$1004,MATCH($A66,Leads!$S$5:$S$1004,0))),"")</f>
        <v/>
      </c>
    </row>
    <row r="67" spans="1:10">
      <c r="A67" s="24">
        <v>63</v>
      </c>
      <c r="B67" s="22">
        <f>IFERROR(INDEX(Leads!$R$5:$R$1004,MATCH($A67,Leads!$S$5:$S$1004,0))&amp;"","")</f>
        <v/>
      </c>
      <c r="C67" s="25">
        <f>IFERROR(INDEX(Leads!$C$5:$C$1004,MATCH($A67,Leads!$S$5:$S$1004,0))&amp;"","")</f>
        <v/>
      </c>
      <c r="D67" s="25">
        <f>IFERROR(INDEX(Leads!$D$5:$D$1004,MATCH($A67,Leads!$S$5:$S$1004,0))&amp;"","")</f>
        <v/>
      </c>
      <c r="E67" s="25">
        <f>IFERROR(INDEX(Leads!$G$5:$G$1004,MATCH($A67,Leads!$S$5:$S$1004,0))&amp;"","")</f>
        <v/>
      </c>
      <c r="F67" s="25">
        <f>IFERROR(INDEX(Leads!$F$5:$F$1004,MATCH($A67,Leads!$S$5:$S$1004,0))&amp;"","")</f>
        <v/>
      </c>
      <c r="G67" s="21">
        <f>IFERROR(IF(INDEX(Leads!$H$5:$H$1004,MATCH($A67,Leads!$S$5:$S$1004,0))="","",INDEX(Leads!$H$5:$H$1004,MATCH($A67,Leads!$S$5:$S$1004,0))),"")</f>
        <v/>
      </c>
      <c r="H67" s="14">
        <f>IFERROR(IF(INDEX(Leads!$I$5:$I$1004,MATCH($A67,Leads!$S$5:$S$1004,0))="","",INDEX(Leads!$I$5:$I$1004,MATCH($A67,Leads!$S$5:$S$1004,0))),"")</f>
        <v/>
      </c>
      <c r="I67" s="14">
        <f>IFERROR(IF(INDEX(Leads!$J$5:$J$1004,MATCH($A67,Leads!$S$5:$S$1004,0))="","",INDEX(Leads!$J$5:$J$1004,MATCH($A67,Leads!$S$5:$S$1004,0))),"")</f>
        <v/>
      </c>
      <c r="J67" s="26">
        <f>IFERROR(IF(INDEX(Leads!$Q$5:$Q$1004,MATCH($A67,Leads!$S$5:$S$1004,0))="","",INDEX(Leads!$Q$5:$Q$1004,MATCH($A67,Leads!$S$5:$S$1004,0))),"")</f>
        <v/>
      </c>
    </row>
    <row r="68" spans="1:10">
      <c r="A68" s="24">
        <v>64</v>
      </c>
      <c r="B68" s="22">
        <f>IFERROR(INDEX(Leads!$R$5:$R$1004,MATCH($A68,Leads!$S$5:$S$1004,0))&amp;"","")</f>
        <v/>
      </c>
      <c r="C68" s="25">
        <f>IFERROR(INDEX(Leads!$C$5:$C$1004,MATCH($A68,Leads!$S$5:$S$1004,0))&amp;"","")</f>
        <v/>
      </c>
      <c r="D68" s="25">
        <f>IFERROR(INDEX(Leads!$D$5:$D$1004,MATCH($A68,Leads!$S$5:$S$1004,0))&amp;"","")</f>
        <v/>
      </c>
      <c r="E68" s="25">
        <f>IFERROR(INDEX(Leads!$G$5:$G$1004,MATCH($A68,Leads!$S$5:$S$1004,0))&amp;"","")</f>
        <v/>
      </c>
      <c r="F68" s="25">
        <f>IFERROR(INDEX(Leads!$F$5:$F$1004,MATCH($A68,Leads!$S$5:$S$1004,0))&amp;"","")</f>
        <v/>
      </c>
      <c r="G68" s="21">
        <f>IFERROR(IF(INDEX(Leads!$H$5:$H$1004,MATCH($A68,Leads!$S$5:$S$1004,0))="","",INDEX(Leads!$H$5:$H$1004,MATCH($A68,Leads!$S$5:$S$1004,0))),"")</f>
        <v/>
      </c>
      <c r="H68" s="14">
        <f>IFERROR(IF(INDEX(Leads!$I$5:$I$1004,MATCH($A68,Leads!$S$5:$S$1004,0))="","",INDEX(Leads!$I$5:$I$1004,MATCH($A68,Leads!$S$5:$S$1004,0))),"")</f>
        <v/>
      </c>
      <c r="I68" s="14">
        <f>IFERROR(IF(INDEX(Leads!$J$5:$J$1004,MATCH($A68,Leads!$S$5:$S$1004,0))="","",INDEX(Leads!$J$5:$J$1004,MATCH($A68,Leads!$S$5:$S$1004,0))),"")</f>
        <v/>
      </c>
      <c r="J68" s="26">
        <f>IFERROR(IF(INDEX(Leads!$Q$5:$Q$1004,MATCH($A68,Leads!$S$5:$S$1004,0))="","",INDEX(Leads!$Q$5:$Q$1004,MATCH($A68,Leads!$S$5:$S$1004,0))),"")</f>
        <v/>
      </c>
    </row>
    <row r="69" spans="1:10">
      <c r="A69" s="24">
        <v>65</v>
      </c>
      <c r="B69" s="22">
        <f>IFERROR(INDEX(Leads!$R$5:$R$1004,MATCH($A69,Leads!$S$5:$S$1004,0))&amp;"","")</f>
        <v/>
      </c>
      <c r="C69" s="25">
        <f>IFERROR(INDEX(Leads!$C$5:$C$1004,MATCH($A69,Leads!$S$5:$S$1004,0))&amp;"","")</f>
        <v/>
      </c>
      <c r="D69" s="25">
        <f>IFERROR(INDEX(Leads!$D$5:$D$1004,MATCH($A69,Leads!$S$5:$S$1004,0))&amp;"","")</f>
        <v/>
      </c>
      <c r="E69" s="25">
        <f>IFERROR(INDEX(Leads!$G$5:$G$1004,MATCH($A69,Leads!$S$5:$S$1004,0))&amp;"","")</f>
        <v/>
      </c>
      <c r="F69" s="25">
        <f>IFERROR(INDEX(Leads!$F$5:$F$1004,MATCH($A69,Leads!$S$5:$S$1004,0))&amp;"","")</f>
        <v/>
      </c>
      <c r="G69" s="21">
        <f>IFERROR(IF(INDEX(Leads!$H$5:$H$1004,MATCH($A69,Leads!$S$5:$S$1004,0))="","",INDEX(Leads!$H$5:$H$1004,MATCH($A69,Leads!$S$5:$S$1004,0))),"")</f>
        <v/>
      </c>
      <c r="H69" s="14">
        <f>IFERROR(IF(INDEX(Leads!$I$5:$I$1004,MATCH($A69,Leads!$S$5:$S$1004,0))="","",INDEX(Leads!$I$5:$I$1004,MATCH($A69,Leads!$S$5:$S$1004,0))),"")</f>
        <v/>
      </c>
      <c r="I69" s="14">
        <f>IFERROR(IF(INDEX(Leads!$J$5:$J$1004,MATCH($A69,Leads!$S$5:$S$1004,0))="","",INDEX(Leads!$J$5:$J$1004,MATCH($A69,Leads!$S$5:$S$1004,0))),"")</f>
        <v/>
      </c>
      <c r="J69" s="26">
        <f>IFERROR(IF(INDEX(Leads!$Q$5:$Q$1004,MATCH($A69,Leads!$S$5:$S$1004,0))="","",INDEX(Leads!$Q$5:$Q$1004,MATCH($A69,Leads!$S$5:$S$1004,0))),"")</f>
        <v/>
      </c>
    </row>
    <row r="70" spans="1:10">
      <c r="A70" s="24">
        <v>66</v>
      </c>
      <c r="B70" s="22">
        <f>IFERROR(INDEX(Leads!$R$5:$R$1004,MATCH($A70,Leads!$S$5:$S$1004,0))&amp;"","")</f>
        <v/>
      </c>
      <c r="C70" s="25">
        <f>IFERROR(INDEX(Leads!$C$5:$C$1004,MATCH($A70,Leads!$S$5:$S$1004,0))&amp;"","")</f>
        <v/>
      </c>
      <c r="D70" s="25">
        <f>IFERROR(INDEX(Leads!$D$5:$D$1004,MATCH($A70,Leads!$S$5:$S$1004,0))&amp;"","")</f>
        <v/>
      </c>
      <c r="E70" s="25">
        <f>IFERROR(INDEX(Leads!$G$5:$G$1004,MATCH($A70,Leads!$S$5:$S$1004,0))&amp;"","")</f>
        <v/>
      </c>
      <c r="F70" s="25">
        <f>IFERROR(INDEX(Leads!$F$5:$F$1004,MATCH($A70,Leads!$S$5:$S$1004,0))&amp;"","")</f>
        <v/>
      </c>
      <c r="G70" s="21">
        <f>IFERROR(IF(INDEX(Leads!$H$5:$H$1004,MATCH($A70,Leads!$S$5:$S$1004,0))="","",INDEX(Leads!$H$5:$H$1004,MATCH($A70,Leads!$S$5:$S$1004,0))),"")</f>
        <v/>
      </c>
      <c r="H70" s="14">
        <f>IFERROR(IF(INDEX(Leads!$I$5:$I$1004,MATCH($A70,Leads!$S$5:$S$1004,0))="","",INDEX(Leads!$I$5:$I$1004,MATCH($A70,Leads!$S$5:$S$1004,0))),"")</f>
        <v/>
      </c>
      <c r="I70" s="14">
        <f>IFERROR(IF(INDEX(Leads!$J$5:$J$1004,MATCH($A70,Leads!$S$5:$S$1004,0))="","",INDEX(Leads!$J$5:$J$1004,MATCH($A70,Leads!$S$5:$S$1004,0))),"")</f>
        <v/>
      </c>
      <c r="J70" s="26">
        <f>IFERROR(IF(INDEX(Leads!$Q$5:$Q$1004,MATCH($A70,Leads!$S$5:$S$1004,0))="","",INDEX(Leads!$Q$5:$Q$1004,MATCH($A70,Leads!$S$5:$S$1004,0))),"")</f>
        <v/>
      </c>
    </row>
    <row r="71" spans="1:10">
      <c r="A71" s="24">
        <v>67</v>
      </c>
      <c r="B71" s="22">
        <f>IFERROR(INDEX(Leads!$R$5:$R$1004,MATCH($A71,Leads!$S$5:$S$1004,0))&amp;"","")</f>
        <v/>
      </c>
      <c r="C71" s="25">
        <f>IFERROR(INDEX(Leads!$C$5:$C$1004,MATCH($A71,Leads!$S$5:$S$1004,0))&amp;"","")</f>
        <v/>
      </c>
      <c r="D71" s="25">
        <f>IFERROR(INDEX(Leads!$D$5:$D$1004,MATCH($A71,Leads!$S$5:$S$1004,0))&amp;"","")</f>
        <v/>
      </c>
      <c r="E71" s="25">
        <f>IFERROR(INDEX(Leads!$G$5:$G$1004,MATCH($A71,Leads!$S$5:$S$1004,0))&amp;"","")</f>
        <v/>
      </c>
      <c r="F71" s="25">
        <f>IFERROR(INDEX(Leads!$F$5:$F$1004,MATCH($A71,Leads!$S$5:$S$1004,0))&amp;"","")</f>
        <v/>
      </c>
      <c r="G71" s="21">
        <f>IFERROR(IF(INDEX(Leads!$H$5:$H$1004,MATCH($A71,Leads!$S$5:$S$1004,0))="","",INDEX(Leads!$H$5:$H$1004,MATCH($A71,Leads!$S$5:$S$1004,0))),"")</f>
        <v/>
      </c>
      <c r="H71" s="14">
        <f>IFERROR(IF(INDEX(Leads!$I$5:$I$1004,MATCH($A71,Leads!$S$5:$S$1004,0))="","",INDEX(Leads!$I$5:$I$1004,MATCH($A71,Leads!$S$5:$S$1004,0))),"")</f>
        <v/>
      </c>
      <c r="I71" s="14">
        <f>IFERROR(IF(INDEX(Leads!$J$5:$J$1004,MATCH($A71,Leads!$S$5:$S$1004,0))="","",INDEX(Leads!$J$5:$J$1004,MATCH($A71,Leads!$S$5:$S$1004,0))),"")</f>
        <v/>
      </c>
      <c r="J71" s="26">
        <f>IFERROR(IF(INDEX(Leads!$Q$5:$Q$1004,MATCH($A71,Leads!$S$5:$S$1004,0))="","",INDEX(Leads!$Q$5:$Q$1004,MATCH($A71,Leads!$S$5:$S$1004,0))),"")</f>
        <v/>
      </c>
    </row>
    <row r="72" spans="1:10">
      <c r="A72" s="24">
        <v>68</v>
      </c>
      <c r="B72" s="22">
        <f>IFERROR(INDEX(Leads!$R$5:$R$1004,MATCH($A72,Leads!$S$5:$S$1004,0))&amp;"","")</f>
        <v/>
      </c>
      <c r="C72" s="25">
        <f>IFERROR(INDEX(Leads!$C$5:$C$1004,MATCH($A72,Leads!$S$5:$S$1004,0))&amp;"","")</f>
        <v/>
      </c>
      <c r="D72" s="25">
        <f>IFERROR(INDEX(Leads!$D$5:$D$1004,MATCH($A72,Leads!$S$5:$S$1004,0))&amp;"","")</f>
        <v/>
      </c>
      <c r="E72" s="25">
        <f>IFERROR(INDEX(Leads!$G$5:$G$1004,MATCH($A72,Leads!$S$5:$S$1004,0))&amp;"","")</f>
        <v/>
      </c>
      <c r="F72" s="25">
        <f>IFERROR(INDEX(Leads!$F$5:$F$1004,MATCH($A72,Leads!$S$5:$S$1004,0))&amp;"","")</f>
        <v/>
      </c>
      <c r="G72" s="21">
        <f>IFERROR(IF(INDEX(Leads!$H$5:$H$1004,MATCH($A72,Leads!$S$5:$S$1004,0))="","",INDEX(Leads!$H$5:$H$1004,MATCH($A72,Leads!$S$5:$S$1004,0))),"")</f>
        <v/>
      </c>
      <c r="H72" s="14">
        <f>IFERROR(IF(INDEX(Leads!$I$5:$I$1004,MATCH($A72,Leads!$S$5:$S$1004,0))="","",INDEX(Leads!$I$5:$I$1004,MATCH($A72,Leads!$S$5:$S$1004,0))),"")</f>
        <v/>
      </c>
      <c r="I72" s="14">
        <f>IFERROR(IF(INDEX(Leads!$J$5:$J$1004,MATCH($A72,Leads!$S$5:$S$1004,0))="","",INDEX(Leads!$J$5:$J$1004,MATCH($A72,Leads!$S$5:$S$1004,0))),"")</f>
        <v/>
      </c>
      <c r="J72" s="26">
        <f>IFERROR(IF(INDEX(Leads!$Q$5:$Q$1004,MATCH($A72,Leads!$S$5:$S$1004,0))="","",INDEX(Leads!$Q$5:$Q$1004,MATCH($A72,Leads!$S$5:$S$1004,0))),"")</f>
        <v/>
      </c>
    </row>
    <row r="73" spans="1:10">
      <c r="A73" s="24">
        <v>69</v>
      </c>
      <c r="B73" s="22">
        <f>IFERROR(INDEX(Leads!$R$5:$R$1004,MATCH($A73,Leads!$S$5:$S$1004,0))&amp;"","")</f>
        <v/>
      </c>
      <c r="C73" s="25">
        <f>IFERROR(INDEX(Leads!$C$5:$C$1004,MATCH($A73,Leads!$S$5:$S$1004,0))&amp;"","")</f>
        <v/>
      </c>
      <c r="D73" s="25">
        <f>IFERROR(INDEX(Leads!$D$5:$D$1004,MATCH($A73,Leads!$S$5:$S$1004,0))&amp;"","")</f>
        <v/>
      </c>
      <c r="E73" s="25">
        <f>IFERROR(INDEX(Leads!$G$5:$G$1004,MATCH($A73,Leads!$S$5:$S$1004,0))&amp;"","")</f>
        <v/>
      </c>
      <c r="F73" s="25">
        <f>IFERROR(INDEX(Leads!$F$5:$F$1004,MATCH($A73,Leads!$S$5:$S$1004,0))&amp;"","")</f>
        <v/>
      </c>
      <c r="G73" s="21">
        <f>IFERROR(IF(INDEX(Leads!$H$5:$H$1004,MATCH($A73,Leads!$S$5:$S$1004,0))="","",INDEX(Leads!$H$5:$H$1004,MATCH($A73,Leads!$S$5:$S$1004,0))),"")</f>
        <v/>
      </c>
      <c r="H73" s="14">
        <f>IFERROR(IF(INDEX(Leads!$I$5:$I$1004,MATCH($A73,Leads!$S$5:$S$1004,0))="","",INDEX(Leads!$I$5:$I$1004,MATCH($A73,Leads!$S$5:$S$1004,0))),"")</f>
        <v/>
      </c>
      <c r="I73" s="14">
        <f>IFERROR(IF(INDEX(Leads!$J$5:$J$1004,MATCH($A73,Leads!$S$5:$S$1004,0))="","",INDEX(Leads!$J$5:$J$1004,MATCH($A73,Leads!$S$5:$S$1004,0))),"")</f>
        <v/>
      </c>
      <c r="J73" s="26">
        <f>IFERROR(IF(INDEX(Leads!$Q$5:$Q$1004,MATCH($A73,Leads!$S$5:$S$1004,0))="","",INDEX(Leads!$Q$5:$Q$1004,MATCH($A73,Leads!$S$5:$S$1004,0))),"")</f>
        <v/>
      </c>
    </row>
    <row r="74" spans="1:10">
      <c r="A74" s="24">
        <v>70</v>
      </c>
      <c r="B74" s="22">
        <f>IFERROR(INDEX(Leads!$R$5:$R$1004,MATCH($A74,Leads!$S$5:$S$1004,0))&amp;"","")</f>
        <v/>
      </c>
      <c r="C74" s="25">
        <f>IFERROR(INDEX(Leads!$C$5:$C$1004,MATCH($A74,Leads!$S$5:$S$1004,0))&amp;"","")</f>
        <v/>
      </c>
      <c r="D74" s="25">
        <f>IFERROR(INDEX(Leads!$D$5:$D$1004,MATCH($A74,Leads!$S$5:$S$1004,0))&amp;"","")</f>
        <v/>
      </c>
      <c r="E74" s="25">
        <f>IFERROR(INDEX(Leads!$G$5:$G$1004,MATCH($A74,Leads!$S$5:$S$1004,0))&amp;"","")</f>
        <v/>
      </c>
      <c r="F74" s="25">
        <f>IFERROR(INDEX(Leads!$F$5:$F$1004,MATCH($A74,Leads!$S$5:$S$1004,0))&amp;"","")</f>
        <v/>
      </c>
      <c r="G74" s="21">
        <f>IFERROR(IF(INDEX(Leads!$H$5:$H$1004,MATCH($A74,Leads!$S$5:$S$1004,0))="","",INDEX(Leads!$H$5:$H$1004,MATCH($A74,Leads!$S$5:$S$1004,0))),"")</f>
        <v/>
      </c>
      <c r="H74" s="14">
        <f>IFERROR(IF(INDEX(Leads!$I$5:$I$1004,MATCH($A74,Leads!$S$5:$S$1004,0))="","",INDEX(Leads!$I$5:$I$1004,MATCH($A74,Leads!$S$5:$S$1004,0))),"")</f>
        <v/>
      </c>
      <c r="I74" s="14">
        <f>IFERROR(IF(INDEX(Leads!$J$5:$J$1004,MATCH($A74,Leads!$S$5:$S$1004,0))="","",INDEX(Leads!$J$5:$J$1004,MATCH($A74,Leads!$S$5:$S$1004,0))),"")</f>
        <v/>
      </c>
      <c r="J74" s="26">
        <f>IFERROR(IF(INDEX(Leads!$Q$5:$Q$1004,MATCH($A74,Leads!$S$5:$S$1004,0))="","",INDEX(Leads!$Q$5:$Q$1004,MATCH($A74,Leads!$S$5:$S$1004,0))),"")</f>
        <v/>
      </c>
    </row>
    <row r="75" spans="1:10">
      <c r="A75" s="24">
        <v>71</v>
      </c>
      <c r="B75" s="22">
        <f>IFERROR(INDEX(Leads!$R$5:$R$1004,MATCH($A75,Leads!$S$5:$S$1004,0))&amp;"","")</f>
        <v/>
      </c>
      <c r="C75" s="25">
        <f>IFERROR(INDEX(Leads!$C$5:$C$1004,MATCH($A75,Leads!$S$5:$S$1004,0))&amp;"","")</f>
        <v/>
      </c>
      <c r="D75" s="25">
        <f>IFERROR(INDEX(Leads!$D$5:$D$1004,MATCH($A75,Leads!$S$5:$S$1004,0))&amp;"","")</f>
        <v/>
      </c>
      <c r="E75" s="25">
        <f>IFERROR(INDEX(Leads!$G$5:$G$1004,MATCH($A75,Leads!$S$5:$S$1004,0))&amp;"","")</f>
        <v/>
      </c>
      <c r="F75" s="25">
        <f>IFERROR(INDEX(Leads!$F$5:$F$1004,MATCH($A75,Leads!$S$5:$S$1004,0))&amp;"","")</f>
        <v/>
      </c>
      <c r="G75" s="21">
        <f>IFERROR(IF(INDEX(Leads!$H$5:$H$1004,MATCH($A75,Leads!$S$5:$S$1004,0))="","",INDEX(Leads!$H$5:$H$1004,MATCH($A75,Leads!$S$5:$S$1004,0))),"")</f>
        <v/>
      </c>
      <c r="H75" s="14">
        <f>IFERROR(IF(INDEX(Leads!$I$5:$I$1004,MATCH($A75,Leads!$S$5:$S$1004,0))="","",INDEX(Leads!$I$5:$I$1004,MATCH($A75,Leads!$S$5:$S$1004,0))),"")</f>
        <v/>
      </c>
      <c r="I75" s="14">
        <f>IFERROR(IF(INDEX(Leads!$J$5:$J$1004,MATCH($A75,Leads!$S$5:$S$1004,0))="","",INDEX(Leads!$J$5:$J$1004,MATCH($A75,Leads!$S$5:$S$1004,0))),"")</f>
        <v/>
      </c>
      <c r="J75" s="26">
        <f>IFERROR(IF(INDEX(Leads!$Q$5:$Q$1004,MATCH($A75,Leads!$S$5:$S$1004,0))="","",INDEX(Leads!$Q$5:$Q$1004,MATCH($A75,Leads!$S$5:$S$1004,0))),"")</f>
        <v/>
      </c>
    </row>
    <row r="76" spans="1:10">
      <c r="A76" s="24">
        <v>72</v>
      </c>
      <c r="B76" s="22">
        <f>IFERROR(INDEX(Leads!$R$5:$R$1004,MATCH($A76,Leads!$S$5:$S$1004,0))&amp;"","")</f>
        <v/>
      </c>
      <c r="C76" s="25">
        <f>IFERROR(INDEX(Leads!$C$5:$C$1004,MATCH($A76,Leads!$S$5:$S$1004,0))&amp;"","")</f>
        <v/>
      </c>
      <c r="D76" s="25">
        <f>IFERROR(INDEX(Leads!$D$5:$D$1004,MATCH($A76,Leads!$S$5:$S$1004,0))&amp;"","")</f>
        <v/>
      </c>
      <c r="E76" s="25">
        <f>IFERROR(INDEX(Leads!$G$5:$G$1004,MATCH($A76,Leads!$S$5:$S$1004,0))&amp;"","")</f>
        <v/>
      </c>
      <c r="F76" s="25">
        <f>IFERROR(INDEX(Leads!$F$5:$F$1004,MATCH($A76,Leads!$S$5:$S$1004,0))&amp;"","")</f>
        <v/>
      </c>
      <c r="G76" s="21">
        <f>IFERROR(IF(INDEX(Leads!$H$5:$H$1004,MATCH($A76,Leads!$S$5:$S$1004,0))="","",INDEX(Leads!$H$5:$H$1004,MATCH($A76,Leads!$S$5:$S$1004,0))),"")</f>
        <v/>
      </c>
      <c r="H76" s="14">
        <f>IFERROR(IF(INDEX(Leads!$I$5:$I$1004,MATCH($A76,Leads!$S$5:$S$1004,0))="","",INDEX(Leads!$I$5:$I$1004,MATCH($A76,Leads!$S$5:$S$1004,0))),"")</f>
        <v/>
      </c>
      <c r="I76" s="14">
        <f>IFERROR(IF(INDEX(Leads!$J$5:$J$1004,MATCH($A76,Leads!$S$5:$S$1004,0))="","",INDEX(Leads!$J$5:$J$1004,MATCH($A76,Leads!$S$5:$S$1004,0))),"")</f>
        <v/>
      </c>
      <c r="J76" s="26">
        <f>IFERROR(IF(INDEX(Leads!$Q$5:$Q$1004,MATCH($A76,Leads!$S$5:$S$1004,0))="","",INDEX(Leads!$Q$5:$Q$1004,MATCH($A76,Leads!$S$5:$S$1004,0))),"")</f>
        <v/>
      </c>
    </row>
    <row r="77" spans="1:10">
      <c r="A77" s="24">
        <v>73</v>
      </c>
      <c r="B77" s="22">
        <f>IFERROR(INDEX(Leads!$R$5:$R$1004,MATCH($A77,Leads!$S$5:$S$1004,0))&amp;"","")</f>
        <v/>
      </c>
      <c r="C77" s="25">
        <f>IFERROR(INDEX(Leads!$C$5:$C$1004,MATCH($A77,Leads!$S$5:$S$1004,0))&amp;"","")</f>
        <v/>
      </c>
      <c r="D77" s="25">
        <f>IFERROR(INDEX(Leads!$D$5:$D$1004,MATCH($A77,Leads!$S$5:$S$1004,0))&amp;"","")</f>
        <v/>
      </c>
      <c r="E77" s="25">
        <f>IFERROR(INDEX(Leads!$G$5:$G$1004,MATCH($A77,Leads!$S$5:$S$1004,0))&amp;"","")</f>
        <v/>
      </c>
      <c r="F77" s="25">
        <f>IFERROR(INDEX(Leads!$F$5:$F$1004,MATCH($A77,Leads!$S$5:$S$1004,0))&amp;"","")</f>
        <v/>
      </c>
      <c r="G77" s="21">
        <f>IFERROR(IF(INDEX(Leads!$H$5:$H$1004,MATCH($A77,Leads!$S$5:$S$1004,0))="","",INDEX(Leads!$H$5:$H$1004,MATCH($A77,Leads!$S$5:$S$1004,0))),"")</f>
        <v/>
      </c>
      <c r="H77" s="14">
        <f>IFERROR(IF(INDEX(Leads!$I$5:$I$1004,MATCH($A77,Leads!$S$5:$S$1004,0))="","",INDEX(Leads!$I$5:$I$1004,MATCH($A77,Leads!$S$5:$S$1004,0))),"")</f>
        <v/>
      </c>
      <c r="I77" s="14">
        <f>IFERROR(IF(INDEX(Leads!$J$5:$J$1004,MATCH($A77,Leads!$S$5:$S$1004,0))="","",INDEX(Leads!$J$5:$J$1004,MATCH($A77,Leads!$S$5:$S$1004,0))),"")</f>
        <v/>
      </c>
      <c r="J77" s="26">
        <f>IFERROR(IF(INDEX(Leads!$Q$5:$Q$1004,MATCH($A77,Leads!$S$5:$S$1004,0))="","",INDEX(Leads!$Q$5:$Q$1004,MATCH($A77,Leads!$S$5:$S$1004,0))),"")</f>
        <v/>
      </c>
    </row>
    <row r="78" spans="1:10">
      <c r="A78" s="24">
        <v>74</v>
      </c>
      <c r="B78" s="22">
        <f>IFERROR(INDEX(Leads!$R$5:$R$1004,MATCH($A78,Leads!$S$5:$S$1004,0))&amp;"","")</f>
        <v/>
      </c>
      <c r="C78" s="25">
        <f>IFERROR(INDEX(Leads!$C$5:$C$1004,MATCH($A78,Leads!$S$5:$S$1004,0))&amp;"","")</f>
        <v/>
      </c>
      <c r="D78" s="25">
        <f>IFERROR(INDEX(Leads!$D$5:$D$1004,MATCH($A78,Leads!$S$5:$S$1004,0))&amp;"","")</f>
        <v/>
      </c>
      <c r="E78" s="25">
        <f>IFERROR(INDEX(Leads!$G$5:$G$1004,MATCH($A78,Leads!$S$5:$S$1004,0))&amp;"","")</f>
        <v/>
      </c>
      <c r="F78" s="25">
        <f>IFERROR(INDEX(Leads!$F$5:$F$1004,MATCH($A78,Leads!$S$5:$S$1004,0))&amp;"","")</f>
        <v/>
      </c>
      <c r="G78" s="21">
        <f>IFERROR(IF(INDEX(Leads!$H$5:$H$1004,MATCH($A78,Leads!$S$5:$S$1004,0))="","",INDEX(Leads!$H$5:$H$1004,MATCH($A78,Leads!$S$5:$S$1004,0))),"")</f>
        <v/>
      </c>
      <c r="H78" s="14">
        <f>IFERROR(IF(INDEX(Leads!$I$5:$I$1004,MATCH($A78,Leads!$S$5:$S$1004,0))="","",INDEX(Leads!$I$5:$I$1004,MATCH($A78,Leads!$S$5:$S$1004,0))),"")</f>
        <v/>
      </c>
      <c r="I78" s="14">
        <f>IFERROR(IF(INDEX(Leads!$J$5:$J$1004,MATCH($A78,Leads!$S$5:$S$1004,0))="","",INDEX(Leads!$J$5:$J$1004,MATCH($A78,Leads!$S$5:$S$1004,0))),"")</f>
        <v/>
      </c>
      <c r="J78" s="26">
        <f>IFERROR(IF(INDEX(Leads!$Q$5:$Q$1004,MATCH($A78,Leads!$S$5:$S$1004,0))="","",INDEX(Leads!$Q$5:$Q$1004,MATCH($A78,Leads!$S$5:$S$1004,0))),"")</f>
        <v/>
      </c>
    </row>
    <row r="79" spans="1:10">
      <c r="A79" s="24">
        <v>75</v>
      </c>
      <c r="B79" s="22">
        <f>IFERROR(INDEX(Leads!$R$5:$R$1004,MATCH($A79,Leads!$S$5:$S$1004,0))&amp;"","")</f>
        <v/>
      </c>
      <c r="C79" s="25">
        <f>IFERROR(INDEX(Leads!$C$5:$C$1004,MATCH($A79,Leads!$S$5:$S$1004,0))&amp;"","")</f>
        <v/>
      </c>
      <c r="D79" s="25">
        <f>IFERROR(INDEX(Leads!$D$5:$D$1004,MATCH($A79,Leads!$S$5:$S$1004,0))&amp;"","")</f>
        <v/>
      </c>
      <c r="E79" s="25">
        <f>IFERROR(INDEX(Leads!$G$5:$G$1004,MATCH($A79,Leads!$S$5:$S$1004,0))&amp;"","")</f>
        <v/>
      </c>
      <c r="F79" s="25">
        <f>IFERROR(INDEX(Leads!$F$5:$F$1004,MATCH($A79,Leads!$S$5:$S$1004,0))&amp;"","")</f>
        <v/>
      </c>
      <c r="G79" s="21">
        <f>IFERROR(IF(INDEX(Leads!$H$5:$H$1004,MATCH($A79,Leads!$S$5:$S$1004,0))="","",INDEX(Leads!$H$5:$H$1004,MATCH($A79,Leads!$S$5:$S$1004,0))),"")</f>
        <v/>
      </c>
      <c r="H79" s="14">
        <f>IFERROR(IF(INDEX(Leads!$I$5:$I$1004,MATCH($A79,Leads!$S$5:$S$1004,0))="","",INDEX(Leads!$I$5:$I$1004,MATCH($A79,Leads!$S$5:$S$1004,0))),"")</f>
        <v/>
      </c>
      <c r="I79" s="14">
        <f>IFERROR(IF(INDEX(Leads!$J$5:$J$1004,MATCH($A79,Leads!$S$5:$S$1004,0))="","",INDEX(Leads!$J$5:$J$1004,MATCH($A79,Leads!$S$5:$S$1004,0))),"")</f>
        <v/>
      </c>
      <c r="J79" s="26">
        <f>IFERROR(IF(INDEX(Leads!$Q$5:$Q$1004,MATCH($A79,Leads!$S$5:$S$1004,0))="","",INDEX(Leads!$Q$5:$Q$1004,MATCH($A79,Leads!$S$5:$S$1004,0))),"")</f>
        <v/>
      </c>
    </row>
    <row r="80" spans="1:10">
      <c r="A80" s="24">
        <v>76</v>
      </c>
      <c r="B80" s="22">
        <f>IFERROR(INDEX(Leads!$R$5:$R$1004,MATCH($A80,Leads!$S$5:$S$1004,0))&amp;"","")</f>
        <v/>
      </c>
      <c r="C80" s="25">
        <f>IFERROR(INDEX(Leads!$C$5:$C$1004,MATCH($A80,Leads!$S$5:$S$1004,0))&amp;"","")</f>
        <v/>
      </c>
      <c r="D80" s="25">
        <f>IFERROR(INDEX(Leads!$D$5:$D$1004,MATCH($A80,Leads!$S$5:$S$1004,0))&amp;"","")</f>
        <v/>
      </c>
      <c r="E80" s="25">
        <f>IFERROR(INDEX(Leads!$G$5:$G$1004,MATCH($A80,Leads!$S$5:$S$1004,0))&amp;"","")</f>
        <v/>
      </c>
      <c r="F80" s="25">
        <f>IFERROR(INDEX(Leads!$F$5:$F$1004,MATCH($A80,Leads!$S$5:$S$1004,0))&amp;"","")</f>
        <v/>
      </c>
      <c r="G80" s="21">
        <f>IFERROR(IF(INDEX(Leads!$H$5:$H$1004,MATCH($A80,Leads!$S$5:$S$1004,0))="","",INDEX(Leads!$H$5:$H$1004,MATCH($A80,Leads!$S$5:$S$1004,0))),"")</f>
        <v/>
      </c>
      <c r="H80" s="14">
        <f>IFERROR(IF(INDEX(Leads!$I$5:$I$1004,MATCH($A80,Leads!$S$5:$S$1004,0))="","",INDEX(Leads!$I$5:$I$1004,MATCH($A80,Leads!$S$5:$S$1004,0))),"")</f>
        <v/>
      </c>
      <c r="I80" s="14">
        <f>IFERROR(IF(INDEX(Leads!$J$5:$J$1004,MATCH($A80,Leads!$S$5:$S$1004,0))="","",INDEX(Leads!$J$5:$J$1004,MATCH($A80,Leads!$S$5:$S$1004,0))),"")</f>
        <v/>
      </c>
      <c r="J80" s="26">
        <f>IFERROR(IF(INDEX(Leads!$Q$5:$Q$1004,MATCH($A80,Leads!$S$5:$S$1004,0))="","",INDEX(Leads!$Q$5:$Q$1004,MATCH($A80,Leads!$S$5:$S$1004,0))),"")</f>
        <v/>
      </c>
    </row>
    <row r="81" spans="1:10">
      <c r="A81" s="24">
        <v>77</v>
      </c>
      <c r="B81" s="22">
        <f>IFERROR(INDEX(Leads!$R$5:$R$1004,MATCH($A81,Leads!$S$5:$S$1004,0))&amp;"","")</f>
        <v/>
      </c>
      <c r="C81" s="25">
        <f>IFERROR(INDEX(Leads!$C$5:$C$1004,MATCH($A81,Leads!$S$5:$S$1004,0))&amp;"","")</f>
        <v/>
      </c>
      <c r="D81" s="25">
        <f>IFERROR(INDEX(Leads!$D$5:$D$1004,MATCH($A81,Leads!$S$5:$S$1004,0))&amp;"","")</f>
        <v/>
      </c>
      <c r="E81" s="25">
        <f>IFERROR(INDEX(Leads!$G$5:$G$1004,MATCH($A81,Leads!$S$5:$S$1004,0))&amp;"","")</f>
        <v/>
      </c>
      <c r="F81" s="25">
        <f>IFERROR(INDEX(Leads!$F$5:$F$1004,MATCH($A81,Leads!$S$5:$S$1004,0))&amp;"","")</f>
        <v/>
      </c>
      <c r="G81" s="21">
        <f>IFERROR(IF(INDEX(Leads!$H$5:$H$1004,MATCH($A81,Leads!$S$5:$S$1004,0))="","",INDEX(Leads!$H$5:$H$1004,MATCH($A81,Leads!$S$5:$S$1004,0))),"")</f>
        <v/>
      </c>
      <c r="H81" s="14">
        <f>IFERROR(IF(INDEX(Leads!$I$5:$I$1004,MATCH($A81,Leads!$S$5:$S$1004,0))="","",INDEX(Leads!$I$5:$I$1004,MATCH($A81,Leads!$S$5:$S$1004,0))),"")</f>
        <v/>
      </c>
      <c r="I81" s="14">
        <f>IFERROR(IF(INDEX(Leads!$J$5:$J$1004,MATCH($A81,Leads!$S$5:$S$1004,0))="","",INDEX(Leads!$J$5:$J$1004,MATCH($A81,Leads!$S$5:$S$1004,0))),"")</f>
        <v/>
      </c>
      <c r="J81" s="26">
        <f>IFERROR(IF(INDEX(Leads!$Q$5:$Q$1004,MATCH($A81,Leads!$S$5:$S$1004,0))="","",INDEX(Leads!$Q$5:$Q$1004,MATCH($A81,Leads!$S$5:$S$1004,0))),"")</f>
        <v/>
      </c>
    </row>
    <row r="82" spans="1:10">
      <c r="A82" s="24">
        <v>78</v>
      </c>
      <c r="B82" s="22">
        <f>IFERROR(INDEX(Leads!$R$5:$R$1004,MATCH($A82,Leads!$S$5:$S$1004,0))&amp;"","")</f>
        <v/>
      </c>
      <c r="C82" s="25">
        <f>IFERROR(INDEX(Leads!$C$5:$C$1004,MATCH($A82,Leads!$S$5:$S$1004,0))&amp;"","")</f>
        <v/>
      </c>
      <c r="D82" s="25">
        <f>IFERROR(INDEX(Leads!$D$5:$D$1004,MATCH($A82,Leads!$S$5:$S$1004,0))&amp;"","")</f>
        <v/>
      </c>
      <c r="E82" s="25">
        <f>IFERROR(INDEX(Leads!$G$5:$G$1004,MATCH($A82,Leads!$S$5:$S$1004,0))&amp;"","")</f>
        <v/>
      </c>
      <c r="F82" s="25">
        <f>IFERROR(INDEX(Leads!$F$5:$F$1004,MATCH($A82,Leads!$S$5:$S$1004,0))&amp;"","")</f>
        <v/>
      </c>
      <c r="G82" s="21">
        <f>IFERROR(IF(INDEX(Leads!$H$5:$H$1004,MATCH($A82,Leads!$S$5:$S$1004,0))="","",INDEX(Leads!$H$5:$H$1004,MATCH($A82,Leads!$S$5:$S$1004,0))),"")</f>
        <v/>
      </c>
      <c r="H82" s="14">
        <f>IFERROR(IF(INDEX(Leads!$I$5:$I$1004,MATCH($A82,Leads!$S$5:$S$1004,0))="","",INDEX(Leads!$I$5:$I$1004,MATCH($A82,Leads!$S$5:$S$1004,0))),"")</f>
        <v/>
      </c>
      <c r="I82" s="14">
        <f>IFERROR(IF(INDEX(Leads!$J$5:$J$1004,MATCH($A82,Leads!$S$5:$S$1004,0))="","",INDEX(Leads!$J$5:$J$1004,MATCH($A82,Leads!$S$5:$S$1004,0))),"")</f>
        <v/>
      </c>
      <c r="J82" s="26">
        <f>IFERROR(IF(INDEX(Leads!$Q$5:$Q$1004,MATCH($A82,Leads!$S$5:$S$1004,0))="","",INDEX(Leads!$Q$5:$Q$1004,MATCH($A82,Leads!$S$5:$S$1004,0))),"")</f>
        <v/>
      </c>
    </row>
    <row r="83" spans="1:10">
      <c r="A83" s="24">
        <v>79</v>
      </c>
      <c r="B83" s="22">
        <f>IFERROR(INDEX(Leads!$R$5:$R$1004,MATCH($A83,Leads!$S$5:$S$1004,0))&amp;"","")</f>
        <v/>
      </c>
      <c r="C83" s="25">
        <f>IFERROR(INDEX(Leads!$C$5:$C$1004,MATCH($A83,Leads!$S$5:$S$1004,0))&amp;"","")</f>
        <v/>
      </c>
      <c r="D83" s="25">
        <f>IFERROR(INDEX(Leads!$D$5:$D$1004,MATCH($A83,Leads!$S$5:$S$1004,0))&amp;"","")</f>
        <v/>
      </c>
      <c r="E83" s="25">
        <f>IFERROR(INDEX(Leads!$G$5:$G$1004,MATCH($A83,Leads!$S$5:$S$1004,0))&amp;"","")</f>
        <v/>
      </c>
      <c r="F83" s="25">
        <f>IFERROR(INDEX(Leads!$F$5:$F$1004,MATCH($A83,Leads!$S$5:$S$1004,0))&amp;"","")</f>
        <v/>
      </c>
      <c r="G83" s="21">
        <f>IFERROR(IF(INDEX(Leads!$H$5:$H$1004,MATCH($A83,Leads!$S$5:$S$1004,0))="","",INDEX(Leads!$H$5:$H$1004,MATCH($A83,Leads!$S$5:$S$1004,0))),"")</f>
        <v/>
      </c>
      <c r="H83" s="14">
        <f>IFERROR(IF(INDEX(Leads!$I$5:$I$1004,MATCH($A83,Leads!$S$5:$S$1004,0))="","",INDEX(Leads!$I$5:$I$1004,MATCH($A83,Leads!$S$5:$S$1004,0))),"")</f>
        <v/>
      </c>
      <c r="I83" s="14">
        <f>IFERROR(IF(INDEX(Leads!$J$5:$J$1004,MATCH($A83,Leads!$S$5:$S$1004,0))="","",INDEX(Leads!$J$5:$J$1004,MATCH($A83,Leads!$S$5:$S$1004,0))),"")</f>
        <v/>
      </c>
      <c r="J83" s="26">
        <f>IFERROR(IF(INDEX(Leads!$Q$5:$Q$1004,MATCH($A83,Leads!$S$5:$S$1004,0))="","",INDEX(Leads!$Q$5:$Q$1004,MATCH($A83,Leads!$S$5:$S$1004,0))),"")</f>
        <v/>
      </c>
    </row>
    <row r="84" spans="1:10">
      <c r="A84" s="24">
        <v>80</v>
      </c>
      <c r="B84" s="22">
        <f>IFERROR(INDEX(Leads!$R$5:$R$1004,MATCH($A84,Leads!$S$5:$S$1004,0))&amp;"","")</f>
        <v/>
      </c>
      <c r="C84" s="25">
        <f>IFERROR(INDEX(Leads!$C$5:$C$1004,MATCH($A84,Leads!$S$5:$S$1004,0))&amp;"","")</f>
        <v/>
      </c>
      <c r="D84" s="25">
        <f>IFERROR(INDEX(Leads!$D$5:$D$1004,MATCH($A84,Leads!$S$5:$S$1004,0))&amp;"","")</f>
        <v/>
      </c>
      <c r="E84" s="25">
        <f>IFERROR(INDEX(Leads!$G$5:$G$1004,MATCH($A84,Leads!$S$5:$S$1004,0))&amp;"","")</f>
        <v/>
      </c>
      <c r="F84" s="25">
        <f>IFERROR(INDEX(Leads!$F$5:$F$1004,MATCH($A84,Leads!$S$5:$S$1004,0))&amp;"","")</f>
        <v/>
      </c>
      <c r="G84" s="21">
        <f>IFERROR(IF(INDEX(Leads!$H$5:$H$1004,MATCH($A84,Leads!$S$5:$S$1004,0))="","",INDEX(Leads!$H$5:$H$1004,MATCH($A84,Leads!$S$5:$S$1004,0))),"")</f>
        <v/>
      </c>
      <c r="H84" s="14">
        <f>IFERROR(IF(INDEX(Leads!$I$5:$I$1004,MATCH($A84,Leads!$S$5:$S$1004,0))="","",INDEX(Leads!$I$5:$I$1004,MATCH($A84,Leads!$S$5:$S$1004,0))),"")</f>
        <v/>
      </c>
      <c r="I84" s="14">
        <f>IFERROR(IF(INDEX(Leads!$J$5:$J$1004,MATCH($A84,Leads!$S$5:$S$1004,0))="","",INDEX(Leads!$J$5:$J$1004,MATCH($A84,Leads!$S$5:$S$1004,0))),"")</f>
        <v/>
      </c>
      <c r="J84" s="26">
        <f>IFERROR(IF(INDEX(Leads!$Q$5:$Q$1004,MATCH($A84,Leads!$S$5:$S$1004,0))="","",INDEX(Leads!$Q$5:$Q$1004,MATCH($A84,Leads!$S$5:$S$1004,0))),"")</f>
        <v/>
      </c>
    </row>
    <row r="85" spans="1:10">
      <c r="A85" s="24">
        <v>81</v>
      </c>
      <c r="B85" s="22">
        <f>IFERROR(INDEX(Leads!$R$5:$R$1004,MATCH($A85,Leads!$S$5:$S$1004,0))&amp;"","")</f>
        <v/>
      </c>
      <c r="C85" s="25">
        <f>IFERROR(INDEX(Leads!$C$5:$C$1004,MATCH($A85,Leads!$S$5:$S$1004,0))&amp;"","")</f>
        <v/>
      </c>
      <c r="D85" s="25">
        <f>IFERROR(INDEX(Leads!$D$5:$D$1004,MATCH($A85,Leads!$S$5:$S$1004,0))&amp;"","")</f>
        <v/>
      </c>
      <c r="E85" s="25">
        <f>IFERROR(INDEX(Leads!$G$5:$G$1004,MATCH($A85,Leads!$S$5:$S$1004,0))&amp;"","")</f>
        <v/>
      </c>
      <c r="F85" s="25">
        <f>IFERROR(INDEX(Leads!$F$5:$F$1004,MATCH($A85,Leads!$S$5:$S$1004,0))&amp;"","")</f>
        <v/>
      </c>
      <c r="G85" s="21">
        <f>IFERROR(IF(INDEX(Leads!$H$5:$H$1004,MATCH($A85,Leads!$S$5:$S$1004,0))="","",INDEX(Leads!$H$5:$H$1004,MATCH($A85,Leads!$S$5:$S$1004,0))),"")</f>
        <v/>
      </c>
      <c r="H85" s="14">
        <f>IFERROR(IF(INDEX(Leads!$I$5:$I$1004,MATCH($A85,Leads!$S$5:$S$1004,0))="","",INDEX(Leads!$I$5:$I$1004,MATCH($A85,Leads!$S$5:$S$1004,0))),"")</f>
        <v/>
      </c>
      <c r="I85" s="14">
        <f>IFERROR(IF(INDEX(Leads!$J$5:$J$1004,MATCH($A85,Leads!$S$5:$S$1004,0))="","",INDEX(Leads!$J$5:$J$1004,MATCH($A85,Leads!$S$5:$S$1004,0))),"")</f>
        <v/>
      </c>
      <c r="J85" s="26">
        <f>IFERROR(IF(INDEX(Leads!$Q$5:$Q$1004,MATCH($A85,Leads!$S$5:$S$1004,0))="","",INDEX(Leads!$Q$5:$Q$1004,MATCH($A85,Leads!$S$5:$S$1004,0))),"")</f>
        <v/>
      </c>
    </row>
    <row r="86" spans="1:10">
      <c r="A86" s="24">
        <v>82</v>
      </c>
      <c r="B86" s="22">
        <f>IFERROR(INDEX(Leads!$R$5:$R$1004,MATCH($A86,Leads!$S$5:$S$1004,0))&amp;"","")</f>
        <v/>
      </c>
      <c r="C86" s="25">
        <f>IFERROR(INDEX(Leads!$C$5:$C$1004,MATCH($A86,Leads!$S$5:$S$1004,0))&amp;"","")</f>
        <v/>
      </c>
      <c r="D86" s="25">
        <f>IFERROR(INDEX(Leads!$D$5:$D$1004,MATCH($A86,Leads!$S$5:$S$1004,0))&amp;"","")</f>
        <v/>
      </c>
      <c r="E86" s="25">
        <f>IFERROR(INDEX(Leads!$G$5:$G$1004,MATCH($A86,Leads!$S$5:$S$1004,0))&amp;"","")</f>
        <v/>
      </c>
      <c r="F86" s="25">
        <f>IFERROR(INDEX(Leads!$F$5:$F$1004,MATCH($A86,Leads!$S$5:$S$1004,0))&amp;"","")</f>
        <v/>
      </c>
      <c r="G86" s="21">
        <f>IFERROR(IF(INDEX(Leads!$H$5:$H$1004,MATCH($A86,Leads!$S$5:$S$1004,0))="","",INDEX(Leads!$H$5:$H$1004,MATCH($A86,Leads!$S$5:$S$1004,0))),"")</f>
        <v/>
      </c>
      <c r="H86" s="14">
        <f>IFERROR(IF(INDEX(Leads!$I$5:$I$1004,MATCH($A86,Leads!$S$5:$S$1004,0))="","",INDEX(Leads!$I$5:$I$1004,MATCH($A86,Leads!$S$5:$S$1004,0))),"")</f>
        <v/>
      </c>
      <c r="I86" s="14">
        <f>IFERROR(IF(INDEX(Leads!$J$5:$J$1004,MATCH($A86,Leads!$S$5:$S$1004,0))="","",INDEX(Leads!$J$5:$J$1004,MATCH($A86,Leads!$S$5:$S$1004,0))),"")</f>
        <v/>
      </c>
      <c r="J86" s="26">
        <f>IFERROR(IF(INDEX(Leads!$Q$5:$Q$1004,MATCH($A86,Leads!$S$5:$S$1004,0))="","",INDEX(Leads!$Q$5:$Q$1004,MATCH($A86,Leads!$S$5:$S$1004,0))),"")</f>
        <v/>
      </c>
    </row>
    <row r="87" spans="1:10">
      <c r="A87" s="24">
        <v>83</v>
      </c>
      <c r="B87" s="22">
        <f>IFERROR(INDEX(Leads!$R$5:$R$1004,MATCH($A87,Leads!$S$5:$S$1004,0))&amp;"","")</f>
        <v/>
      </c>
      <c r="C87" s="25">
        <f>IFERROR(INDEX(Leads!$C$5:$C$1004,MATCH($A87,Leads!$S$5:$S$1004,0))&amp;"","")</f>
        <v/>
      </c>
      <c r="D87" s="25">
        <f>IFERROR(INDEX(Leads!$D$5:$D$1004,MATCH($A87,Leads!$S$5:$S$1004,0))&amp;"","")</f>
        <v/>
      </c>
      <c r="E87" s="25">
        <f>IFERROR(INDEX(Leads!$G$5:$G$1004,MATCH($A87,Leads!$S$5:$S$1004,0))&amp;"","")</f>
        <v/>
      </c>
      <c r="F87" s="25">
        <f>IFERROR(INDEX(Leads!$F$5:$F$1004,MATCH($A87,Leads!$S$5:$S$1004,0))&amp;"","")</f>
        <v/>
      </c>
      <c r="G87" s="21">
        <f>IFERROR(IF(INDEX(Leads!$H$5:$H$1004,MATCH($A87,Leads!$S$5:$S$1004,0))="","",INDEX(Leads!$H$5:$H$1004,MATCH($A87,Leads!$S$5:$S$1004,0))),"")</f>
        <v/>
      </c>
      <c r="H87" s="14">
        <f>IFERROR(IF(INDEX(Leads!$I$5:$I$1004,MATCH($A87,Leads!$S$5:$S$1004,0))="","",INDEX(Leads!$I$5:$I$1004,MATCH($A87,Leads!$S$5:$S$1004,0))),"")</f>
        <v/>
      </c>
      <c r="I87" s="14">
        <f>IFERROR(IF(INDEX(Leads!$J$5:$J$1004,MATCH($A87,Leads!$S$5:$S$1004,0))="","",INDEX(Leads!$J$5:$J$1004,MATCH($A87,Leads!$S$5:$S$1004,0))),"")</f>
        <v/>
      </c>
      <c r="J87" s="26">
        <f>IFERROR(IF(INDEX(Leads!$Q$5:$Q$1004,MATCH($A87,Leads!$S$5:$S$1004,0))="","",INDEX(Leads!$Q$5:$Q$1004,MATCH($A87,Leads!$S$5:$S$1004,0))),"")</f>
        <v/>
      </c>
    </row>
    <row r="88" spans="1:10">
      <c r="A88" s="24">
        <v>84</v>
      </c>
      <c r="B88" s="22">
        <f>IFERROR(INDEX(Leads!$R$5:$R$1004,MATCH($A88,Leads!$S$5:$S$1004,0))&amp;"","")</f>
        <v/>
      </c>
      <c r="C88" s="25">
        <f>IFERROR(INDEX(Leads!$C$5:$C$1004,MATCH($A88,Leads!$S$5:$S$1004,0))&amp;"","")</f>
        <v/>
      </c>
      <c r="D88" s="25">
        <f>IFERROR(INDEX(Leads!$D$5:$D$1004,MATCH($A88,Leads!$S$5:$S$1004,0))&amp;"","")</f>
        <v/>
      </c>
      <c r="E88" s="25">
        <f>IFERROR(INDEX(Leads!$G$5:$G$1004,MATCH($A88,Leads!$S$5:$S$1004,0))&amp;"","")</f>
        <v/>
      </c>
      <c r="F88" s="25">
        <f>IFERROR(INDEX(Leads!$F$5:$F$1004,MATCH($A88,Leads!$S$5:$S$1004,0))&amp;"","")</f>
        <v/>
      </c>
      <c r="G88" s="21">
        <f>IFERROR(IF(INDEX(Leads!$H$5:$H$1004,MATCH($A88,Leads!$S$5:$S$1004,0))="","",INDEX(Leads!$H$5:$H$1004,MATCH($A88,Leads!$S$5:$S$1004,0))),"")</f>
        <v/>
      </c>
      <c r="H88" s="14">
        <f>IFERROR(IF(INDEX(Leads!$I$5:$I$1004,MATCH($A88,Leads!$S$5:$S$1004,0))="","",INDEX(Leads!$I$5:$I$1004,MATCH($A88,Leads!$S$5:$S$1004,0))),"")</f>
        <v/>
      </c>
      <c r="I88" s="14">
        <f>IFERROR(IF(INDEX(Leads!$J$5:$J$1004,MATCH($A88,Leads!$S$5:$S$1004,0))="","",INDEX(Leads!$J$5:$J$1004,MATCH($A88,Leads!$S$5:$S$1004,0))),"")</f>
        <v/>
      </c>
      <c r="J88" s="26">
        <f>IFERROR(IF(INDEX(Leads!$Q$5:$Q$1004,MATCH($A88,Leads!$S$5:$S$1004,0))="","",INDEX(Leads!$Q$5:$Q$1004,MATCH($A88,Leads!$S$5:$S$1004,0))),"")</f>
        <v/>
      </c>
    </row>
    <row r="89" spans="1:10">
      <c r="A89" s="24">
        <v>85</v>
      </c>
      <c r="B89" s="22">
        <f>IFERROR(INDEX(Leads!$R$5:$R$1004,MATCH($A89,Leads!$S$5:$S$1004,0))&amp;"","")</f>
        <v/>
      </c>
      <c r="C89" s="25">
        <f>IFERROR(INDEX(Leads!$C$5:$C$1004,MATCH($A89,Leads!$S$5:$S$1004,0))&amp;"","")</f>
        <v/>
      </c>
      <c r="D89" s="25">
        <f>IFERROR(INDEX(Leads!$D$5:$D$1004,MATCH($A89,Leads!$S$5:$S$1004,0))&amp;"","")</f>
        <v/>
      </c>
      <c r="E89" s="25">
        <f>IFERROR(INDEX(Leads!$G$5:$G$1004,MATCH($A89,Leads!$S$5:$S$1004,0))&amp;"","")</f>
        <v/>
      </c>
      <c r="F89" s="25">
        <f>IFERROR(INDEX(Leads!$F$5:$F$1004,MATCH($A89,Leads!$S$5:$S$1004,0))&amp;"","")</f>
        <v/>
      </c>
      <c r="G89" s="21">
        <f>IFERROR(IF(INDEX(Leads!$H$5:$H$1004,MATCH($A89,Leads!$S$5:$S$1004,0))="","",INDEX(Leads!$H$5:$H$1004,MATCH($A89,Leads!$S$5:$S$1004,0))),"")</f>
        <v/>
      </c>
      <c r="H89" s="14">
        <f>IFERROR(IF(INDEX(Leads!$I$5:$I$1004,MATCH($A89,Leads!$S$5:$S$1004,0))="","",INDEX(Leads!$I$5:$I$1004,MATCH($A89,Leads!$S$5:$S$1004,0))),"")</f>
        <v/>
      </c>
      <c r="I89" s="14">
        <f>IFERROR(IF(INDEX(Leads!$J$5:$J$1004,MATCH($A89,Leads!$S$5:$S$1004,0))="","",INDEX(Leads!$J$5:$J$1004,MATCH($A89,Leads!$S$5:$S$1004,0))),"")</f>
        <v/>
      </c>
      <c r="J89" s="26">
        <f>IFERROR(IF(INDEX(Leads!$Q$5:$Q$1004,MATCH($A89,Leads!$S$5:$S$1004,0))="","",INDEX(Leads!$Q$5:$Q$1004,MATCH($A89,Leads!$S$5:$S$1004,0))),"")</f>
        <v/>
      </c>
    </row>
    <row r="90" spans="1:10">
      <c r="A90" s="24">
        <v>86</v>
      </c>
      <c r="B90" s="22">
        <f>IFERROR(INDEX(Leads!$R$5:$R$1004,MATCH($A90,Leads!$S$5:$S$1004,0))&amp;"","")</f>
        <v/>
      </c>
      <c r="C90" s="25">
        <f>IFERROR(INDEX(Leads!$C$5:$C$1004,MATCH($A90,Leads!$S$5:$S$1004,0))&amp;"","")</f>
        <v/>
      </c>
      <c r="D90" s="25">
        <f>IFERROR(INDEX(Leads!$D$5:$D$1004,MATCH($A90,Leads!$S$5:$S$1004,0))&amp;"","")</f>
        <v/>
      </c>
      <c r="E90" s="25">
        <f>IFERROR(INDEX(Leads!$G$5:$G$1004,MATCH($A90,Leads!$S$5:$S$1004,0))&amp;"","")</f>
        <v/>
      </c>
      <c r="F90" s="25">
        <f>IFERROR(INDEX(Leads!$F$5:$F$1004,MATCH($A90,Leads!$S$5:$S$1004,0))&amp;"","")</f>
        <v/>
      </c>
      <c r="G90" s="21">
        <f>IFERROR(IF(INDEX(Leads!$H$5:$H$1004,MATCH($A90,Leads!$S$5:$S$1004,0))="","",INDEX(Leads!$H$5:$H$1004,MATCH($A90,Leads!$S$5:$S$1004,0))),"")</f>
        <v/>
      </c>
      <c r="H90" s="14">
        <f>IFERROR(IF(INDEX(Leads!$I$5:$I$1004,MATCH($A90,Leads!$S$5:$S$1004,0))="","",INDEX(Leads!$I$5:$I$1004,MATCH($A90,Leads!$S$5:$S$1004,0))),"")</f>
        <v/>
      </c>
      <c r="I90" s="14">
        <f>IFERROR(IF(INDEX(Leads!$J$5:$J$1004,MATCH($A90,Leads!$S$5:$S$1004,0))="","",INDEX(Leads!$J$5:$J$1004,MATCH($A90,Leads!$S$5:$S$1004,0))),"")</f>
        <v/>
      </c>
      <c r="J90" s="26">
        <f>IFERROR(IF(INDEX(Leads!$Q$5:$Q$1004,MATCH($A90,Leads!$S$5:$S$1004,0))="","",INDEX(Leads!$Q$5:$Q$1004,MATCH($A90,Leads!$S$5:$S$1004,0))),"")</f>
        <v/>
      </c>
    </row>
    <row r="91" spans="1:10">
      <c r="A91" s="24">
        <v>87</v>
      </c>
      <c r="B91" s="22">
        <f>IFERROR(INDEX(Leads!$R$5:$R$1004,MATCH($A91,Leads!$S$5:$S$1004,0))&amp;"","")</f>
        <v/>
      </c>
      <c r="C91" s="25">
        <f>IFERROR(INDEX(Leads!$C$5:$C$1004,MATCH($A91,Leads!$S$5:$S$1004,0))&amp;"","")</f>
        <v/>
      </c>
      <c r="D91" s="25">
        <f>IFERROR(INDEX(Leads!$D$5:$D$1004,MATCH($A91,Leads!$S$5:$S$1004,0))&amp;"","")</f>
        <v/>
      </c>
      <c r="E91" s="25">
        <f>IFERROR(INDEX(Leads!$G$5:$G$1004,MATCH($A91,Leads!$S$5:$S$1004,0))&amp;"","")</f>
        <v/>
      </c>
      <c r="F91" s="25">
        <f>IFERROR(INDEX(Leads!$F$5:$F$1004,MATCH($A91,Leads!$S$5:$S$1004,0))&amp;"","")</f>
        <v/>
      </c>
      <c r="G91" s="21">
        <f>IFERROR(IF(INDEX(Leads!$H$5:$H$1004,MATCH($A91,Leads!$S$5:$S$1004,0))="","",INDEX(Leads!$H$5:$H$1004,MATCH($A91,Leads!$S$5:$S$1004,0))),"")</f>
        <v/>
      </c>
      <c r="H91" s="14">
        <f>IFERROR(IF(INDEX(Leads!$I$5:$I$1004,MATCH($A91,Leads!$S$5:$S$1004,0))="","",INDEX(Leads!$I$5:$I$1004,MATCH($A91,Leads!$S$5:$S$1004,0))),"")</f>
        <v/>
      </c>
      <c r="I91" s="14">
        <f>IFERROR(IF(INDEX(Leads!$J$5:$J$1004,MATCH($A91,Leads!$S$5:$S$1004,0))="","",INDEX(Leads!$J$5:$J$1004,MATCH($A91,Leads!$S$5:$S$1004,0))),"")</f>
        <v/>
      </c>
      <c r="J91" s="26">
        <f>IFERROR(IF(INDEX(Leads!$Q$5:$Q$1004,MATCH($A91,Leads!$S$5:$S$1004,0))="","",INDEX(Leads!$Q$5:$Q$1004,MATCH($A91,Leads!$S$5:$S$1004,0))),"")</f>
        <v/>
      </c>
    </row>
    <row r="92" spans="1:10">
      <c r="A92" s="24">
        <v>88</v>
      </c>
      <c r="B92" s="22">
        <f>IFERROR(INDEX(Leads!$R$5:$R$1004,MATCH($A92,Leads!$S$5:$S$1004,0))&amp;"","")</f>
        <v/>
      </c>
      <c r="C92" s="25">
        <f>IFERROR(INDEX(Leads!$C$5:$C$1004,MATCH($A92,Leads!$S$5:$S$1004,0))&amp;"","")</f>
        <v/>
      </c>
      <c r="D92" s="25">
        <f>IFERROR(INDEX(Leads!$D$5:$D$1004,MATCH($A92,Leads!$S$5:$S$1004,0))&amp;"","")</f>
        <v/>
      </c>
      <c r="E92" s="25">
        <f>IFERROR(INDEX(Leads!$G$5:$G$1004,MATCH($A92,Leads!$S$5:$S$1004,0))&amp;"","")</f>
        <v/>
      </c>
      <c r="F92" s="25">
        <f>IFERROR(INDEX(Leads!$F$5:$F$1004,MATCH($A92,Leads!$S$5:$S$1004,0))&amp;"","")</f>
        <v/>
      </c>
      <c r="G92" s="21">
        <f>IFERROR(IF(INDEX(Leads!$H$5:$H$1004,MATCH($A92,Leads!$S$5:$S$1004,0))="","",INDEX(Leads!$H$5:$H$1004,MATCH($A92,Leads!$S$5:$S$1004,0))),"")</f>
        <v/>
      </c>
      <c r="H92" s="14">
        <f>IFERROR(IF(INDEX(Leads!$I$5:$I$1004,MATCH($A92,Leads!$S$5:$S$1004,0))="","",INDEX(Leads!$I$5:$I$1004,MATCH($A92,Leads!$S$5:$S$1004,0))),"")</f>
        <v/>
      </c>
      <c r="I92" s="14">
        <f>IFERROR(IF(INDEX(Leads!$J$5:$J$1004,MATCH($A92,Leads!$S$5:$S$1004,0))="","",INDEX(Leads!$J$5:$J$1004,MATCH($A92,Leads!$S$5:$S$1004,0))),"")</f>
        <v/>
      </c>
      <c r="J92" s="26">
        <f>IFERROR(IF(INDEX(Leads!$Q$5:$Q$1004,MATCH($A92,Leads!$S$5:$S$1004,0))="","",INDEX(Leads!$Q$5:$Q$1004,MATCH($A92,Leads!$S$5:$S$1004,0))),"")</f>
        <v/>
      </c>
    </row>
    <row r="93" spans="1:10">
      <c r="A93" s="24">
        <v>89</v>
      </c>
      <c r="B93" s="22">
        <f>IFERROR(INDEX(Leads!$R$5:$R$1004,MATCH($A93,Leads!$S$5:$S$1004,0))&amp;"","")</f>
        <v/>
      </c>
      <c r="C93" s="25">
        <f>IFERROR(INDEX(Leads!$C$5:$C$1004,MATCH($A93,Leads!$S$5:$S$1004,0))&amp;"","")</f>
        <v/>
      </c>
      <c r="D93" s="25">
        <f>IFERROR(INDEX(Leads!$D$5:$D$1004,MATCH($A93,Leads!$S$5:$S$1004,0))&amp;"","")</f>
        <v/>
      </c>
      <c r="E93" s="25">
        <f>IFERROR(INDEX(Leads!$G$5:$G$1004,MATCH($A93,Leads!$S$5:$S$1004,0))&amp;"","")</f>
        <v/>
      </c>
      <c r="F93" s="25">
        <f>IFERROR(INDEX(Leads!$F$5:$F$1004,MATCH($A93,Leads!$S$5:$S$1004,0))&amp;"","")</f>
        <v/>
      </c>
      <c r="G93" s="21">
        <f>IFERROR(IF(INDEX(Leads!$H$5:$H$1004,MATCH($A93,Leads!$S$5:$S$1004,0))="","",INDEX(Leads!$H$5:$H$1004,MATCH($A93,Leads!$S$5:$S$1004,0))),"")</f>
        <v/>
      </c>
      <c r="H93" s="14">
        <f>IFERROR(IF(INDEX(Leads!$I$5:$I$1004,MATCH($A93,Leads!$S$5:$S$1004,0))="","",INDEX(Leads!$I$5:$I$1004,MATCH($A93,Leads!$S$5:$S$1004,0))),"")</f>
        <v/>
      </c>
      <c r="I93" s="14">
        <f>IFERROR(IF(INDEX(Leads!$J$5:$J$1004,MATCH($A93,Leads!$S$5:$S$1004,0))="","",INDEX(Leads!$J$5:$J$1004,MATCH($A93,Leads!$S$5:$S$1004,0))),"")</f>
        <v/>
      </c>
      <c r="J93" s="26">
        <f>IFERROR(IF(INDEX(Leads!$Q$5:$Q$1004,MATCH($A93,Leads!$S$5:$S$1004,0))="","",INDEX(Leads!$Q$5:$Q$1004,MATCH($A93,Leads!$S$5:$S$1004,0))),"")</f>
        <v/>
      </c>
    </row>
    <row r="94" spans="1:10">
      <c r="A94" s="24">
        <v>90</v>
      </c>
      <c r="B94" s="22">
        <f>IFERROR(INDEX(Leads!$R$5:$R$1004,MATCH($A94,Leads!$S$5:$S$1004,0))&amp;"","")</f>
        <v/>
      </c>
      <c r="C94" s="25">
        <f>IFERROR(INDEX(Leads!$C$5:$C$1004,MATCH($A94,Leads!$S$5:$S$1004,0))&amp;"","")</f>
        <v/>
      </c>
      <c r="D94" s="25">
        <f>IFERROR(INDEX(Leads!$D$5:$D$1004,MATCH($A94,Leads!$S$5:$S$1004,0))&amp;"","")</f>
        <v/>
      </c>
      <c r="E94" s="25">
        <f>IFERROR(INDEX(Leads!$G$5:$G$1004,MATCH($A94,Leads!$S$5:$S$1004,0))&amp;"","")</f>
        <v/>
      </c>
      <c r="F94" s="25">
        <f>IFERROR(INDEX(Leads!$F$5:$F$1004,MATCH($A94,Leads!$S$5:$S$1004,0))&amp;"","")</f>
        <v/>
      </c>
      <c r="G94" s="21">
        <f>IFERROR(IF(INDEX(Leads!$H$5:$H$1004,MATCH($A94,Leads!$S$5:$S$1004,0))="","",INDEX(Leads!$H$5:$H$1004,MATCH($A94,Leads!$S$5:$S$1004,0))),"")</f>
        <v/>
      </c>
      <c r="H94" s="14">
        <f>IFERROR(IF(INDEX(Leads!$I$5:$I$1004,MATCH($A94,Leads!$S$5:$S$1004,0))="","",INDEX(Leads!$I$5:$I$1004,MATCH($A94,Leads!$S$5:$S$1004,0))),"")</f>
        <v/>
      </c>
      <c r="I94" s="14">
        <f>IFERROR(IF(INDEX(Leads!$J$5:$J$1004,MATCH($A94,Leads!$S$5:$S$1004,0))="","",INDEX(Leads!$J$5:$J$1004,MATCH($A94,Leads!$S$5:$S$1004,0))),"")</f>
        <v/>
      </c>
      <c r="J94" s="26">
        <f>IFERROR(IF(INDEX(Leads!$Q$5:$Q$1004,MATCH($A94,Leads!$S$5:$S$1004,0))="","",INDEX(Leads!$Q$5:$Q$1004,MATCH($A94,Leads!$S$5:$S$1004,0))),"")</f>
        <v/>
      </c>
    </row>
    <row r="95" spans="1:10">
      <c r="A95" s="24">
        <v>91</v>
      </c>
      <c r="B95" s="22">
        <f>IFERROR(INDEX(Leads!$R$5:$R$1004,MATCH($A95,Leads!$S$5:$S$1004,0))&amp;"","")</f>
        <v/>
      </c>
      <c r="C95" s="25">
        <f>IFERROR(INDEX(Leads!$C$5:$C$1004,MATCH($A95,Leads!$S$5:$S$1004,0))&amp;"","")</f>
        <v/>
      </c>
      <c r="D95" s="25">
        <f>IFERROR(INDEX(Leads!$D$5:$D$1004,MATCH($A95,Leads!$S$5:$S$1004,0))&amp;"","")</f>
        <v/>
      </c>
      <c r="E95" s="25">
        <f>IFERROR(INDEX(Leads!$G$5:$G$1004,MATCH($A95,Leads!$S$5:$S$1004,0))&amp;"","")</f>
        <v/>
      </c>
      <c r="F95" s="25">
        <f>IFERROR(INDEX(Leads!$F$5:$F$1004,MATCH($A95,Leads!$S$5:$S$1004,0))&amp;"","")</f>
        <v/>
      </c>
      <c r="G95" s="21">
        <f>IFERROR(IF(INDEX(Leads!$H$5:$H$1004,MATCH($A95,Leads!$S$5:$S$1004,0))="","",INDEX(Leads!$H$5:$H$1004,MATCH($A95,Leads!$S$5:$S$1004,0))),"")</f>
        <v/>
      </c>
      <c r="H95" s="14">
        <f>IFERROR(IF(INDEX(Leads!$I$5:$I$1004,MATCH($A95,Leads!$S$5:$S$1004,0))="","",INDEX(Leads!$I$5:$I$1004,MATCH($A95,Leads!$S$5:$S$1004,0))),"")</f>
        <v/>
      </c>
      <c r="I95" s="14">
        <f>IFERROR(IF(INDEX(Leads!$J$5:$J$1004,MATCH($A95,Leads!$S$5:$S$1004,0))="","",INDEX(Leads!$J$5:$J$1004,MATCH($A95,Leads!$S$5:$S$1004,0))),"")</f>
        <v/>
      </c>
      <c r="J95" s="26">
        <f>IFERROR(IF(INDEX(Leads!$Q$5:$Q$1004,MATCH($A95,Leads!$S$5:$S$1004,0))="","",INDEX(Leads!$Q$5:$Q$1004,MATCH($A95,Leads!$S$5:$S$1004,0))),"")</f>
        <v/>
      </c>
    </row>
    <row r="96" spans="1:10">
      <c r="A96" s="24">
        <v>92</v>
      </c>
      <c r="B96" s="22">
        <f>IFERROR(INDEX(Leads!$R$5:$R$1004,MATCH($A96,Leads!$S$5:$S$1004,0))&amp;"","")</f>
        <v/>
      </c>
      <c r="C96" s="25">
        <f>IFERROR(INDEX(Leads!$C$5:$C$1004,MATCH($A96,Leads!$S$5:$S$1004,0))&amp;"","")</f>
        <v/>
      </c>
      <c r="D96" s="25">
        <f>IFERROR(INDEX(Leads!$D$5:$D$1004,MATCH($A96,Leads!$S$5:$S$1004,0))&amp;"","")</f>
        <v/>
      </c>
      <c r="E96" s="25">
        <f>IFERROR(INDEX(Leads!$G$5:$G$1004,MATCH($A96,Leads!$S$5:$S$1004,0))&amp;"","")</f>
        <v/>
      </c>
      <c r="F96" s="25">
        <f>IFERROR(INDEX(Leads!$F$5:$F$1004,MATCH($A96,Leads!$S$5:$S$1004,0))&amp;"","")</f>
        <v/>
      </c>
      <c r="G96" s="21">
        <f>IFERROR(IF(INDEX(Leads!$H$5:$H$1004,MATCH($A96,Leads!$S$5:$S$1004,0))="","",INDEX(Leads!$H$5:$H$1004,MATCH($A96,Leads!$S$5:$S$1004,0))),"")</f>
        <v/>
      </c>
      <c r="H96" s="14">
        <f>IFERROR(IF(INDEX(Leads!$I$5:$I$1004,MATCH($A96,Leads!$S$5:$S$1004,0))="","",INDEX(Leads!$I$5:$I$1004,MATCH($A96,Leads!$S$5:$S$1004,0))),"")</f>
        <v/>
      </c>
      <c r="I96" s="14">
        <f>IFERROR(IF(INDEX(Leads!$J$5:$J$1004,MATCH($A96,Leads!$S$5:$S$1004,0))="","",INDEX(Leads!$J$5:$J$1004,MATCH($A96,Leads!$S$5:$S$1004,0))),"")</f>
        <v/>
      </c>
      <c r="J96" s="26">
        <f>IFERROR(IF(INDEX(Leads!$Q$5:$Q$1004,MATCH($A96,Leads!$S$5:$S$1004,0))="","",INDEX(Leads!$Q$5:$Q$1004,MATCH($A96,Leads!$S$5:$S$1004,0))),"")</f>
        <v/>
      </c>
    </row>
    <row r="97" spans="1:10">
      <c r="A97" s="24">
        <v>93</v>
      </c>
      <c r="B97" s="22">
        <f>IFERROR(INDEX(Leads!$R$5:$R$1004,MATCH($A97,Leads!$S$5:$S$1004,0))&amp;"","")</f>
        <v/>
      </c>
      <c r="C97" s="25">
        <f>IFERROR(INDEX(Leads!$C$5:$C$1004,MATCH($A97,Leads!$S$5:$S$1004,0))&amp;"","")</f>
        <v/>
      </c>
      <c r="D97" s="25">
        <f>IFERROR(INDEX(Leads!$D$5:$D$1004,MATCH($A97,Leads!$S$5:$S$1004,0))&amp;"","")</f>
        <v/>
      </c>
      <c r="E97" s="25">
        <f>IFERROR(INDEX(Leads!$G$5:$G$1004,MATCH($A97,Leads!$S$5:$S$1004,0))&amp;"","")</f>
        <v/>
      </c>
      <c r="F97" s="25">
        <f>IFERROR(INDEX(Leads!$F$5:$F$1004,MATCH($A97,Leads!$S$5:$S$1004,0))&amp;"","")</f>
        <v/>
      </c>
      <c r="G97" s="21">
        <f>IFERROR(IF(INDEX(Leads!$H$5:$H$1004,MATCH($A97,Leads!$S$5:$S$1004,0))="","",INDEX(Leads!$H$5:$H$1004,MATCH($A97,Leads!$S$5:$S$1004,0))),"")</f>
        <v/>
      </c>
      <c r="H97" s="14">
        <f>IFERROR(IF(INDEX(Leads!$I$5:$I$1004,MATCH($A97,Leads!$S$5:$S$1004,0))="","",INDEX(Leads!$I$5:$I$1004,MATCH($A97,Leads!$S$5:$S$1004,0))),"")</f>
        <v/>
      </c>
      <c r="I97" s="14">
        <f>IFERROR(IF(INDEX(Leads!$J$5:$J$1004,MATCH($A97,Leads!$S$5:$S$1004,0))="","",INDEX(Leads!$J$5:$J$1004,MATCH($A97,Leads!$S$5:$S$1004,0))),"")</f>
        <v/>
      </c>
      <c r="J97" s="26">
        <f>IFERROR(IF(INDEX(Leads!$Q$5:$Q$1004,MATCH($A97,Leads!$S$5:$S$1004,0))="","",INDEX(Leads!$Q$5:$Q$1004,MATCH($A97,Leads!$S$5:$S$1004,0))),"")</f>
        <v/>
      </c>
    </row>
    <row r="98" spans="1:10">
      <c r="A98" s="24">
        <v>94</v>
      </c>
      <c r="B98" s="22">
        <f>IFERROR(INDEX(Leads!$R$5:$R$1004,MATCH($A98,Leads!$S$5:$S$1004,0))&amp;"","")</f>
        <v/>
      </c>
      <c r="C98" s="25">
        <f>IFERROR(INDEX(Leads!$C$5:$C$1004,MATCH($A98,Leads!$S$5:$S$1004,0))&amp;"","")</f>
        <v/>
      </c>
      <c r="D98" s="25">
        <f>IFERROR(INDEX(Leads!$D$5:$D$1004,MATCH($A98,Leads!$S$5:$S$1004,0))&amp;"","")</f>
        <v/>
      </c>
      <c r="E98" s="25">
        <f>IFERROR(INDEX(Leads!$G$5:$G$1004,MATCH($A98,Leads!$S$5:$S$1004,0))&amp;"","")</f>
        <v/>
      </c>
      <c r="F98" s="25">
        <f>IFERROR(INDEX(Leads!$F$5:$F$1004,MATCH($A98,Leads!$S$5:$S$1004,0))&amp;"","")</f>
        <v/>
      </c>
      <c r="G98" s="21">
        <f>IFERROR(IF(INDEX(Leads!$H$5:$H$1004,MATCH($A98,Leads!$S$5:$S$1004,0))="","",INDEX(Leads!$H$5:$H$1004,MATCH($A98,Leads!$S$5:$S$1004,0))),"")</f>
        <v/>
      </c>
      <c r="H98" s="14">
        <f>IFERROR(IF(INDEX(Leads!$I$5:$I$1004,MATCH($A98,Leads!$S$5:$S$1004,0))="","",INDEX(Leads!$I$5:$I$1004,MATCH($A98,Leads!$S$5:$S$1004,0))),"")</f>
        <v/>
      </c>
      <c r="I98" s="14">
        <f>IFERROR(IF(INDEX(Leads!$J$5:$J$1004,MATCH($A98,Leads!$S$5:$S$1004,0))="","",INDEX(Leads!$J$5:$J$1004,MATCH($A98,Leads!$S$5:$S$1004,0))),"")</f>
        <v/>
      </c>
      <c r="J98" s="26">
        <f>IFERROR(IF(INDEX(Leads!$Q$5:$Q$1004,MATCH($A98,Leads!$S$5:$S$1004,0))="","",INDEX(Leads!$Q$5:$Q$1004,MATCH($A98,Leads!$S$5:$S$1004,0))),"")</f>
        <v/>
      </c>
    </row>
    <row r="99" spans="1:10">
      <c r="A99" s="24">
        <v>95</v>
      </c>
      <c r="B99" s="22">
        <f>IFERROR(INDEX(Leads!$R$5:$R$1004,MATCH($A99,Leads!$S$5:$S$1004,0))&amp;"","")</f>
        <v/>
      </c>
      <c r="C99" s="25">
        <f>IFERROR(INDEX(Leads!$C$5:$C$1004,MATCH($A99,Leads!$S$5:$S$1004,0))&amp;"","")</f>
        <v/>
      </c>
      <c r="D99" s="25">
        <f>IFERROR(INDEX(Leads!$D$5:$D$1004,MATCH($A99,Leads!$S$5:$S$1004,0))&amp;"","")</f>
        <v/>
      </c>
      <c r="E99" s="25">
        <f>IFERROR(INDEX(Leads!$G$5:$G$1004,MATCH($A99,Leads!$S$5:$S$1004,0))&amp;"","")</f>
        <v/>
      </c>
      <c r="F99" s="25">
        <f>IFERROR(INDEX(Leads!$F$5:$F$1004,MATCH($A99,Leads!$S$5:$S$1004,0))&amp;"","")</f>
        <v/>
      </c>
      <c r="G99" s="21">
        <f>IFERROR(IF(INDEX(Leads!$H$5:$H$1004,MATCH($A99,Leads!$S$5:$S$1004,0))="","",INDEX(Leads!$H$5:$H$1004,MATCH($A99,Leads!$S$5:$S$1004,0))),"")</f>
        <v/>
      </c>
      <c r="H99" s="14">
        <f>IFERROR(IF(INDEX(Leads!$I$5:$I$1004,MATCH($A99,Leads!$S$5:$S$1004,0))="","",INDEX(Leads!$I$5:$I$1004,MATCH($A99,Leads!$S$5:$S$1004,0))),"")</f>
        <v/>
      </c>
      <c r="I99" s="14">
        <f>IFERROR(IF(INDEX(Leads!$J$5:$J$1004,MATCH($A99,Leads!$S$5:$S$1004,0))="","",INDEX(Leads!$J$5:$J$1004,MATCH($A99,Leads!$S$5:$S$1004,0))),"")</f>
        <v/>
      </c>
      <c r="J99" s="26">
        <f>IFERROR(IF(INDEX(Leads!$Q$5:$Q$1004,MATCH($A99,Leads!$S$5:$S$1004,0))="","",INDEX(Leads!$Q$5:$Q$1004,MATCH($A99,Leads!$S$5:$S$1004,0))),"")</f>
        <v/>
      </c>
    </row>
    <row r="100" spans="1:10">
      <c r="A100" s="24">
        <v>96</v>
      </c>
      <c r="B100" s="22">
        <f>IFERROR(INDEX(Leads!$R$5:$R$1004,MATCH($A100,Leads!$S$5:$S$1004,0))&amp;"","")</f>
        <v/>
      </c>
      <c r="C100" s="25">
        <f>IFERROR(INDEX(Leads!$C$5:$C$1004,MATCH($A100,Leads!$S$5:$S$1004,0))&amp;"","")</f>
        <v/>
      </c>
      <c r="D100" s="25">
        <f>IFERROR(INDEX(Leads!$D$5:$D$1004,MATCH($A100,Leads!$S$5:$S$1004,0))&amp;"","")</f>
        <v/>
      </c>
      <c r="E100" s="25">
        <f>IFERROR(INDEX(Leads!$G$5:$G$1004,MATCH($A100,Leads!$S$5:$S$1004,0))&amp;"","")</f>
        <v/>
      </c>
      <c r="F100" s="25">
        <f>IFERROR(INDEX(Leads!$F$5:$F$1004,MATCH($A100,Leads!$S$5:$S$1004,0))&amp;"","")</f>
        <v/>
      </c>
      <c r="G100" s="21">
        <f>IFERROR(IF(INDEX(Leads!$H$5:$H$1004,MATCH($A100,Leads!$S$5:$S$1004,0))="","",INDEX(Leads!$H$5:$H$1004,MATCH($A100,Leads!$S$5:$S$1004,0))),"")</f>
        <v/>
      </c>
      <c r="H100" s="14">
        <f>IFERROR(IF(INDEX(Leads!$I$5:$I$1004,MATCH($A100,Leads!$S$5:$S$1004,0))="","",INDEX(Leads!$I$5:$I$1004,MATCH($A100,Leads!$S$5:$S$1004,0))),"")</f>
        <v/>
      </c>
      <c r="I100" s="14">
        <f>IFERROR(IF(INDEX(Leads!$J$5:$J$1004,MATCH($A100,Leads!$S$5:$S$1004,0))="","",INDEX(Leads!$J$5:$J$1004,MATCH($A100,Leads!$S$5:$S$1004,0))),"")</f>
        <v/>
      </c>
      <c r="J100" s="26">
        <f>IFERROR(IF(INDEX(Leads!$Q$5:$Q$1004,MATCH($A100,Leads!$S$5:$S$1004,0))="","",INDEX(Leads!$Q$5:$Q$1004,MATCH($A100,Leads!$S$5:$S$1004,0))),"")</f>
        <v/>
      </c>
    </row>
    <row r="101" spans="1:10">
      <c r="A101" s="24">
        <v>97</v>
      </c>
      <c r="B101" s="22">
        <f>IFERROR(INDEX(Leads!$R$5:$R$1004,MATCH($A101,Leads!$S$5:$S$1004,0))&amp;"","")</f>
        <v/>
      </c>
      <c r="C101" s="25">
        <f>IFERROR(INDEX(Leads!$C$5:$C$1004,MATCH($A101,Leads!$S$5:$S$1004,0))&amp;"","")</f>
        <v/>
      </c>
      <c r="D101" s="25">
        <f>IFERROR(INDEX(Leads!$D$5:$D$1004,MATCH($A101,Leads!$S$5:$S$1004,0))&amp;"","")</f>
        <v/>
      </c>
      <c r="E101" s="25">
        <f>IFERROR(INDEX(Leads!$G$5:$G$1004,MATCH($A101,Leads!$S$5:$S$1004,0))&amp;"","")</f>
        <v/>
      </c>
      <c r="F101" s="25">
        <f>IFERROR(INDEX(Leads!$F$5:$F$1004,MATCH($A101,Leads!$S$5:$S$1004,0))&amp;"","")</f>
        <v/>
      </c>
      <c r="G101" s="21">
        <f>IFERROR(IF(INDEX(Leads!$H$5:$H$1004,MATCH($A101,Leads!$S$5:$S$1004,0))="","",INDEX(Leads!$H$5:$H$1004,MATCH($A101,Leads!$S$5:$S$1004,0))),"")</f>
        <v/>
      </c>
      <c r="H101" s="14">
        <f>IFERROR(IF(INDEX(Leads!$I$5:$I$1004,MATCH($A101,Leads!$S$5:$S$1004,0))="","",INDEX(Leads!$I$5:$I$1004,MATCH($A101,Leads!$S$5:$S$1004,0))),"")</f>
        <v/>
      </c>
      <c r="I101" s="14">
        <f>IFERROR(IF(INDEX(Leads!$J$5:$J$1004,MATCH($A101,Leads!$S$5:$S$1004,0))="","",INDEX(Leads!$J$5:$J$1004,MATCH($A101,Leads!$S$5:$S$1004,0))),"")</f>
        <v/>
      </c>
      <c r="J101" s="26">
        <f>IFERROR(IF(INDEX(Leads!$Q$5:$Q$1004,MATCH($A101,Leads!$S$5:$S$1004,0))="","",INDEX(Leads!$Q$5:$Q$1004,MATCH($A101,Leads!$S$5:$S$1004,0))),"")</f>
        <v/>
      </c>
    </row>
    <row r="102" spans="1:10">
      <c r="A102" s="24">
        <v>98</v>
      </c>
      <c r="B102" s="22">
        <f>IFERROR(INDEX(Leads!$R$5:$R$1004,MATCH($A102,Leads!$S$5:$S$1004,0))&amp;"","")</f>
        <v/>
      </c>
      <c r="C102" s="25">
        <f>IFERROR(INDEX(Leads!$C$5:$C$1004,MATCH($A102,Leads!$S$5:$S$1004,0))&amp;"","")</f>
        <v/>
      </c>
      <c r="D102" s="25">
        <f>IFERROR(INDEX(Leads!$D$5:$D$1004,MATCH($A102,Leads!$S$5:$S$1004,0))&amp;"","")</f>
        <v/>
      </c>
      <c r="E102" s="25">
        <f>IFERROR(INDEX(Leads!$G$5:$G$1004,MATCH($A102,Leads!$S$5:$S$1004,0))&amp;"","")</f>
        <v/>
      </c>
      <c r="F102" s="25">
        <f>IFERROR(INDEX(Leads!$F$5:$F$1004,MATCH($A102,Leads!$S$5:$S$1004,0))&amp;"","")</f>
        <v/>
      </c>
      <c r="G102" s="21">
        <f>IFERROR(IF(INDEX(Leads!$H$5:$H$1004,MATCH($A102,Leads!$S$5:$S$1004,0))="","",INDEX(Leads!$H$5:$H$1004,MATCH($A102,Leads!$S$5:$S$1004,0))),"")</f>
        <v/>
      </c>
      <c r="H102" s="14">
        <f>IFERROR(IF(INDEX(Leads!$I$5:$I$1004,MATCH($A102,Leads!$S$5:$S$1004,0))="","",INDEX(Leads!$I$5:$I$1004,MATCH($A102,Leads!$S$5:$S$1004,0))),"")</f>
        <v/>
      </c>
      <c r="I102" s="14">
        <f>IFERROR(IF(INDEX(Leads!$J$5:$J$1004,MATCH($A102,Leads!$S$5:$S$1004,0))="","",INDEX(Leads!$J$5:$J$1004,MATCH($A102,Leads!$S$5:$S$1004,0))),"")</f>
        <v/>
      </c>
      <c r="J102" s="26">
        <f>IFERROR(IF(INDEX(Leads!$Q$5:$Q$1004,MATCH($A102,Leads!$S$5:$S$1004,0))="","",INDEX(Leads!$Q$5:$Q$1004,MATCH($A102,Leads!$S$5:$S$1004,0))),"")</f>
        <v/>
      </c>
    </row>
    <row r="103" spans="1:10">
      <c r="A103" s="24">
        <v>99</v>
      </c>
      <c r="B103" s="22">
        <f>IFERROR(INDEX(Leads!$R$5:$R$1004,MATCH($A103,Leads!$S$5:$S$1004,0))&amp;"","")</f>
        <v/>
      </c>
      <c r="C103" s="25">
        <f>IFERROR(INDEX(Leads!$C$5:$C$1004,MATCH($A103,Leads!$S$5:$S$1004,0))&amp;"","")</f>
        <v/>
      </c>
      <c r="D103" s="25">
        <f>IFERROR(INDEX(Leads!$D$5:$D$1004,MATCH($A103,Leads!$S$5:$S$1004,0))&amp;"","")</f>
        <v/>
      </c>
      <c r="E103" s="25">
        <f>IFERROR(INDEX(Leads!$G$5:$G$1004,MATCH($A103,Leads!$S$5:$S$1004,0))&amp;"","")</f>
        <v/>
      </c>
      <c r="F103" s="25">
        <f>IFERROR(INDEX(Leads!$F$5:$F$1004,MATCH($A103,Leads!$S$5:$S$1004,0))&amp;"","")</f>
        <v/>
      </c>
      <c r="G103" s="21">
        <f>IFERROR(IF(INDEX(Leads!$H$5:$H$1004,MATCH($A103,Leads!$S$5:$S$1004,0))="","",INDEX(Leads!$H$5:$H$1004,MATCH($A103,Leads!$S$5:$S$1004,0))),"")</f>
        <v/>
      </c>
      <c r="H103" s="14">
        <f>IFERROR(IF(INDEX(Leads!$I$5:$I$1004,MATCH($A103,Leads!$S$5:$S$1004,0))="","",INDEX(Leads!$I$5:$I$1004,MATCH($A103,Leads!$S$5:$S$1004,0))),"")</f>
        <v/>
      </c>
      <c r="I103" s="14">
        <f>IFERROR(IF(INDEX(Leads!$J$5:$J$1004,MATCH($A103,Leads!$S$5:$S$1004,0))="","",INDEX(Leads!$J$5:$J$1004,MATCH($A103,Leads!$S$5:$S$1004,0))),"")</f>
        <v/>
      </c>
      <c r="J103" s="26">
        <f>IFERROR(IF(INDEX(Leads!$Q$5:$Q$1004,MATCH($A103,Leads!$S$5:$S$1004,0))="","",INDEX(Leads!$Q$5:$Q$1004,MATCH($A103,Leads!$S$5:$S$1004,0))),"")</f>
        <v/>
      </c>
    </row>
    <row r="104" spans="1:10">
      <c r="A104" s="24">
        <v>100</v>
      </c>
      <c r="B104" s="22">
        <f>IFERROR(INDEX(Leads!$R$5:$R$1004,MATCH($A104,Leads!$S$5:$S$1004,0))&amp;"","")</f>
        <v/>
      </c>
      <c r="C104" s="25">
        <f>IFERROR(INDEX(Leads!$C$5:$C$1004,MATCH($A104,Leads!$S$5:$S$1004,0))&amp;"","")</f>
        <v/>
      </c>
      <c r="D104" s="25">
        <f>IFERROR(INDEX(Leads!$D$5:$D$1004,MATCH($A104,Leads!$S$5:$S$1004,0))&amp;"","")</f>
        <v/>
      </c>
      <c r="E104" s="25">
        <f>IFERROR(INDEX(Leads!$G$5:$G$1004,MATCH($A104,Leads!$S$5:$S$1004,0))&amp;"","")</f>
        <v/>
      </c>
      <c r="F104" s="25">
        <f>IFERROR(INDEX(Leads!$F$5:$F$1004,MATCH($A104,Leads!$S$5:$S$1004,0))&amp;"","")</f>
        <v/>
      </c>
      <c r="G104" s="21">
        <f>IFERROR(IF(INDEX(Leads!$H$5:$H$1004,MATCH($A104,Leads!$S$5:$S$1004,0))="","",INDEX(Leads!$H$5:$H$1004,MATCH($A104,Leads!$S$5:$S$1004,0))),"")</f>
        <v/>
      </c>
      <c r="H104" s="14">
        <f>IFERROR(IF(INDEX(Leads!$I$5:$I$1004,MATCH($A104,Leads!$S$5:$S$1004,0))="","",INDEX(Leads!$I$5:$I$1004,MATCH($A104,Leads!$S$5:$S$1004,0))),"")</f>
        <v/>
      </c>
      <c r="I104" s="14">
        <f>IFERROR(IF(INDEX(Leads!$J$5:$J$1004,MATCH($A104,Leads!$S$5:$S$1004,0))="","",INDEX(Leads!$J$5:$J$1004,MATCH($A104,Leads!$S$5:$S$1004,0))),"")</f>
        <v/>
      </c>
      <c r="J104" s="26">
        <f>IFERROR(IF(INDEX(Leads!$Q$5:$Q$1004,MATCH($A104,Leads!$S$5:$S$1004,0))="","",INDEX(Leads!$Q$5:$Q$1004,MATCH($A104,Leads!$S$5:$S$1004,0))),"")</f>
        <v/>
      </c>
    </row>
  </sheetData>
  <mergeCells count="2">
    <mergeCell ref="A1:J1"/>
    <mergeCell ref="A2:J2"/>
  </mergeCells>
  <conditionalFormatting sqref="B5:B104">
    <cfRule type="cellIs" dxfId="0" priority="1" operator="equal">
      <formula>"ATRASADO"</formula>
    </cfRule>
    <cfRule type="cellIs" dxfId="1" priority="2" operator="equal">
      <formula>"HOJE"</formula>
    </cfRule>
    <cfRule type="cellIs" dxfId="3" priority="3" operator="equal">
      <formula>"Definir data"</formula>
    </cfRule>
  </conditionalFormatting>
  <pageMargins left="0.7" right="0.7" top="0.75" bottom="0.75" header="0.3" footer="0.3"/>
  <pageSetup paperSize="9" fitToHeight="0" orientation="landscape"/>
  <headerFooter>
    <oddFooter>&amp;L&amp;8Carvex XLS - CRM e Funil de Vendas com Follow-up&amp;R&amp;8Página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37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8" width="15.7109375" customWidth="1"/>
  </cols>
  <sheetData>
    <row r="1" spans="1:8" ht="36" customHeight="1">
      <c r="A1" s="1" t="s">
        <v>97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98</v>
      </c>
      <c r="B2" s="2"/>
      <c r="C2" s="2"/>
      <c r="D2" s="2"/>
      <c r="E2" s="2"/>
      <c r="F2" s="2"/>
      <c r="G2" s="2"/>
      <c r="H2" s="2"/>
    </row>
    <row r="4" spans="1:8" ht="24" customHeight="1">
      <c r="B4" s="10" t="s">
        <v>76</v>
      </c>
      <c r="C4" s="10" t="s">
        <v>18</v>
      </c>
      <c r="D4" s="10" t="s">
        <v>99</v>
      </c>
      <c r="E4" s="10" t="s">
        <v>84</v>
      </c>
      <c r="F4" s="10" t="s">
        <v>100</v>
      </c>
    </row>
    <row r="5" spans="1:8">
      <c r="B5" s="27" t="str">
        <f>INDEX(Etapas,1)</f>
        <v>Novo</v>
      </c>
      <c r="C5" s="26">
        <f>COUNTIF(Leads!$G$5:$G$1004,B5)</f>
        <v>0</v>
      </c>
      <c r="D5" s="21">
        <f>SUMIFS(Leads!$H$5:$H$1004,Leads!$G$5:$G$1004,B5)</f>
        <v>0</v>
      </c>
      <c r="E5" s="21">
        <f>SUMIFS(Leads!$O$5:$O$1004,Leads!$G$5:$G$1004,B5)</f>
        <v>0</v>
      </c>
      <c r="F5" s="28">
        <f>IFERROR(C5/SUM($C$5:$C$10),0)</f>
        <v>0</v>
      </c>
    </row>
    <row r="6" spans="1:8">
      <c r="B6" s="27" t="str">
        <f>INDEX(Etapas,2)</f>
        <v>Contato feito</v>
      </c>
      <c r="C6" s="26">
        <f>COUNTIF(Leads!$G$5:$G$1004,B6)</f>
        <v>0</v>
      </c>
      <c r="D6" s="21">
        <f>SUMIFS(Leads!$H$5:$H$1004,Leads!$G$5:$G$1004,B6)</f>
        <v>0</v>
      </c>
      <c r="E6" s="21">
        <f>SUMIFS(Leads!$O$5:$O$1004,Leads!$G$5:$G$1004,B6)</f>
        <v>0</v>
      </c>
      <c r="F6" s="28">
        <f>IFERROR(C6/SUM($C$5:$C$10),0)</f>
        <v>0</v>
      </c>
    </row>
    <row r="7" spans="1:8">
      <c r="B7" s="27" t="str">
        <f>INDEX(Etapas,3)</f>
        <v>Proposta enviada</v>
      </c>
      <c r="C7" s="26">
        <f>COUNTIF(Leads!$G$5:$G$1004,B7)</f>
        <v>0</v>
      </c>
      <c r="D7" s="21">
        <f>SUMIFS(Leads!$H$5:$H$1004,Leads!$G$5:$G$1004,B7)</f>
        <v>0</v>
      </c>
      <c r="E7" s="21">
        <f>SUMIFS(Leads!$O$5:$O$1004,Leads!$G$5:$G$1004,B7)</f>
        <v>0</v>
      </c>
      <c r="F7" s="28">
        <f>IFERROR(C7/SUM($C$5:$C$10),0)</f>
        <v>0</v>
      </c>
    </row>
    <row r="8" spans="1:8">
      <c r="B8" s="27" t="str">
        <f>INDEX(Etapas,4)</f>
        <v>Negociação</v>
      </c>
      <c r="C8" s="26">
        <f>COUNTIF(Leads!$G$5:$G$1004,B8)</f>
        <v>0</v>
      </c>
      <c r="D8" s="21">
        <f>SUMIFS(Leads!$H$5:$H$1004,Leads!$G$5:$G$1004,B8)</f>
        <v>0</v>
      </c>
      <c r="E8" s="21">
        <f>SUMIFS(Leads!$O$5:$O$1004,Leads!$G$5:$G$1004,B8)</f>
        <v>0</v>
      </c>
      <c r="F8" s="28">
        <f>IFERROR(C8/SUM($C$5:$C$10),0)</f>
        <v>0</v>
      </c>
    </row>
    <row r="9" spans="1:8">
      <c r="B9" s="27" t="str">
        <f>INDEX(Etapas,5)</f>
        <v>Ganho</v>
      </c>
      <c r="C9" s="26">
        <f>COUNTIF(Leads!$G$5:$G$1004,B9)</f>
        <v>0</v>
      </c>
      <c r="D9" s="21">
        <f>SUMIFS(Leads!$H$5:$H$1004,Leads!$G$5:$G$1004,B9)</f>
        <v>0</v>
      </c>
      <c r="E9" s="21">
        <f>SUMIFS(Leads!$O$5:$O$1004,Leads!$G$5:$G$1004,B9)</f>
        <v>0</v>
      </c>
      <c r="F9" s="28">
        <f>IFERROR(C9/SUM($C$5:$C$10),0)</f>
        <v>0</v>
      </c>
    </row>
    <row r="10" spans="1:8">
      <c r="B10" s="27" t="str">
        <f>INDEX(Etapas,6)</f>
        <v>Perdido</v>
      </c>
      <c r="C10" s="26">
        <f>COUNTIF(Leads!$G$5:$G$1004,B10)</f>
        <v>0</v>
      </c>
      <c r="D10" s="21">
        <f>SUMIFS(Leads!$H$5:$H$1004,Leads!$G$5:$G$1004,B10)</f>
        <v>0</v>
      </c>
      <c r="E10" s="21">
        <f>SUMIFS(Leads!$O$5:$O$1004,Leads!$G$5:$G$1004,B10)</f>
        <v>0</v>
      </c>
      <c r="F10" s="28">
        <f>IFERROR(C10/SUM($C$5:$C$10),0)</f>
        <v>0</v>
      </c>
    </row>
    <row r="11" spans="1:8">
      <c r="B11" s="29" t="s">
        <v>101</v>
      </c>
      <c r="C11" s="30">
        <f>SUM(C5:C10)</f>
        <v>0</v>
      </c>
      <c r="D11" s="31">
        <f>SUM(D5:D10)</f>
        <v>0</v>
      </c>
      <c r="E11" s="31">
        <f>SUM(E5:E10)</f>
        <v>0</v>
      </c>
      <c r="F11" s="29"/>
    </row>
    <row r="13" spans="1:8">
      <c r="B13" s="3" t="s">
        <v>102</v>
      </c>
      <c r="C13" s="3"/>
      <c r="D13" s="3"/>
      <c r="E13" s="3"/>
      <c r="F13" s="3"/>
      <c r="G13" s="3"/>
    </row>
    <row r="14" spans="1:8" ht="24" customHeight="1">
      <c r="B14" s="10" t="s">
        <v>74</v>
      </c>
      <c r="C14" s="10" t="s">
        <v>18</v>
      </c>
      <c r="D14" s="10" t="s">
        <v>103</v>
      </c>
      <c r="E14" s="10" t="s">
        <v>104</v>
      </c>
      <c r="F14" s="10" t="s">
        <v>105</v>
      </c>
      <c r="G14" s="10" t="s">
        <v>106</v>
      </c>
    </row>
    <row r="15" spans="1:8">
      <c r="B15" s="27" t="str">
        <f>IF(INDEX(Origens,1)="","",INDEX(Origens,1))</f>
        <v>Indicação</v>
      </c>
      <c r="C15" s="26">
        <f>IF(B15="","",COUNTIF(Leads!$E$5:$E$1004,B15))</f>
        <v>0</v>
      </c>
      <c r="D15" s="26">
        <f>IF(B15="","",COUNTIFS(Leads!$E$5:$E$1004,B15,Leads!$P$5:$P$1004,"Ganho"))</f>
        <v>0</v>
      </c>
      <c r="E15" s="26">
        <f>IF(B15="","",COUNTIFS(Leads!$E$5:$E$1004,B15,Leads!$P$5:$P$1004,"Perdido"))</f>
        <v>0</v>
      </c>
      <c r="F15" s="28">
        <f>IF(B15="","",IFERROR(D15/C15,0))</f>
        <v>0</v>
      </c>
      <c r="G15" s="21">
        <f>IF(B15="","",SUMIFS(Leads!$H$5:$H$1004,Leads!$E$5:$E$1004,B15,Leads!$P$5:$P$1004,"Ganho"))</f>
        <v>0</v>
      </c>
    </row>
    <row r="16" spans="1:8">
      <c r="B16" s="27" t="str">
        <f>IF(INDEX(Origens,2)="","",INDEX(Origens,2))</f>
        <v>Instagram</v>
      </c>
      <c r="C16" s="26">
        <f>IF(B16="","",COUNTIF(Leads!$E$5:$E$1004,B16))</f>
        <v>0</v>
      </c>
      <c r="D16" s="26">
        <f>IF(B16="","",COUNTIFS(Leads!$E$5:$E$1004,B16,Leads!$P$5:$P$1004,"Ganho"))</f>
        <v>0</v>
      </c>
      <c r="E16" s="26">
        <f>IF(B16="","",COUNTIFS(Leads!$E$5:$E$1004,B16,Leads!$P$5:$P$1004,"Perdido"))</f>
        <v>0</v>
      </c>
      <c r="F16" s="28">
        <f>IF(B16="","",IFERROR(D16/C16,0))</f>
        <v>0</v>
      </c>
      <c r="G16" s="21">
        <f>IF(B16="","",SUMIFS(Leads!$H$5:$H$1004,Leads!$E$5:$E$1004,B16,Leads!$P$5:$P$1004,"Ganho"))</f>
        <v>0</v>
      </c>
    </row>
    <row r="17" spans="2:7">
      <c r="B17" s="27" t="str">
        <f>IF(INDEX(Origens,3)="","",INDEX(Origens,3))</f>
        <v>Google</v>
      </c>
      <c r="C17" s="26">
        <f>IF(B17="","",COUNTIF(Leads!$E$5:$E$1004,B17))</f>
        <v>0</v>
      </c>
      <c r="D17" s="26">
        <f>IF(B17="","",COUNTIFS(Leads!$E$5:$E$1004,B17,Leads!$P$5:$P$1004,"Ganho"))</f>
        <v>0</v>
      </c>
      <c r="E17" s="26">
        <f>IF(B17="","",COUNTIFS(Leads!$E$5:$E$1004,B17,Leads!$P$5:$P$1004,"Perdido"))</f>
        <v>0</v>
      </c>
      <c r="F17" s="28">
        <f>IF(B17="","",IFERROR(D17/C17,0))</f>
        <v>0</v>
      </c>
      <c r="G17" s="21">
        <f>IF(B17="","",SUMIFS(Leads!$H$5:$H$1004,Leads!$E$5:$E$1004,B17,Leads!$P$5:$P$1004,"Ganho"))</f>
        <v>0</v>
      </c>
    </row>
    <row r="18" spans="2:7">
      <c r="B18" s="27" t="str">
        <f>IF(INDEX(Origens,4)="","",INDEX(Origens,4))</f>
        <v>WhatsApp</v>
      </c>
      <c r="C18" s="26">
        <f>IF(B18="","",COUNTIF(Leads!$E$5:$E$1004,B18))</f>
        <v>0</v>
      </c>
      <c r="D18" s="26">
        <f>IF(B18="","",COUNTIFS(Leads!$E$5:$E$1004,B18,Leads!$P$5:$P$1004,"Ganho"))</f>
        <v>0</v>
      </c>
      <c r="E18" s="26">
        <f>IF(B18="","",COUNTIFS(Leads!$E$5:$E$1004,B18,Leads!$P$5:$P$1004,"Perdido"))</f>
        <v>0</v>
      </c>
      <c r="F18" s="28">
        <f>IF(B18="","",IFERROR(D18/C18,0))</f>
        <v>0</v>
      </c>
      <c r="G18" s="21">
        <f>IF(B18="","",SUMIFS(Leads!$H$5:$H$1004,Leads!$E$5:$E$1004,B18,Leads!$P$5:$P$1004,"Ganho"))</f>
        <v>0</v>
      </c>
    </row>
    <row r="19" spans="2:7">
      <c r="B19" s="27" t="str">
        <f>IF(INDEX(Origens,5)="","",INDEX(Origens,5))</f>
        <v>Site</v>
      </c>
      <c r="C19" s="26">
        <f>IF(B19="","",COUNTIF(Leads!$E$5:$E$1004,B19))</f>
        <v>0</v>
      </c>
      <c r="D19" s="26">
        <f>IF(B19="","",COUNTIFS(Leads!$E$5:$E$1004,B19,Leads!$P$5:$P$1004,"Ganho"))</f>
        <v>0</v>
      </c>
      <c r="E19" s="26">
        <f>IF(B19="","",COUNTIFS(Leads!$E$5:$E$1004,B19,Leads!$P$5:$P$1004,"Perdido"))</f>
        <v>0</v>
      </c>
      <c r="F19" s="28">
        <f>IF(B19="","",IFERROR(D19/C19,0))</f>
        <v>0</v>
      </c>
      <c r="G19" s="21">
        <f>IF(B19="","",SUMIFS(Leads!$H$5:$H$1004,Leads!$E$5:$E$1004,B19,Leads!$P$5:$P$1004,"Ganho"))</f>
        <v>0</v>
      </c>
    </row>
    <row r="20" spans="2:7">
      <c r="B20" s="27" t="str">
        <f>IF(INDEX(Origens,6)="","",INDEX(Origens,6))</f>
        <v>Evento</v>
      </c>
      <c r="C20" s="26">
        <f>IF(B20="","",COUNTIF(Leads!$E$5:$E$1004,B20))</f>
        <v>0</v>
      </c>
      <c r="D20" s="26">
        <f>IF(B20="","",COUNTIFS(Leads!$E$5:$E$1004,B20,Leads!$P$5:$P$1004,"Ganho"))</f>
        <v>0</v>
      </c>
      <c r="E20" s="26">
        <f>IF(B20="","",COUNTIFS(Leads!$E$5:$E$1004,B20,Leads!$P$5:$P$1004,"Perdido"))</f>
        <v>0</v>
      </c>
      <c r="F20" s="28">
        <f>IF(B20="","",IFERROR(D20/C20,0))</f>
        <v>0</v>
      </c>
      <c r="G20" s="21">
        <f>IF(B20="","",SUMIFS(Leads!$H$5:$H$1004,Leads!$E$5:$E$1004,B20,Leads!$P$5:$P$1004,"Ganho"))</f>
        <v>0</v>
      </c>
    </row>
    <row r="21" spans="2:7">
      <c r="B21" s="27" t="str">
        <f>IF(INDEX(Origens,7)="","",INDEX(Origens,7))</f>
        <v>Outros</v>
      </c>
      <c r="C21" s="26">
        <f>IF(B21="","",COUNTIF(Leads!$E$5:$E$1004,B21))</f>
        <v>0</v>
      </c>
      <c r="D21" s="26">
        <f>IF(B21="","",COUNTIFS(Leads!$E$5:$E$1004,B21,Leads!$P$5:$P$1004,"Ganho"))</f>
        <v>0</v>
      </c>
      <c r="E21" s="26">
        <f>IF(B21="","",COUNTIFS(Leads!$E$5:$E$1004,B21,Leads!$P$5:$P$1004,"Perdido"))</f>
        <v>0</v>
      </c>
      <c r="F21" s="28">
        <f>IF(B21="","",IFERROR(D21/C21,0))</f>
        <v>0</v>
      </c>
      <c r="G21" s="21">
        <f>IF(B21="","",SUMIFS(Leads!$H$5:$H$1004,Leads!$E$5:$E$1004,B21,Leads!$P$5:$P$1004,"Ganho"))</f>
        <v>0</v>
      </c>
    </row>
    <row r="22" spans="2:7">
      <c r="B22" s="27">
        <f>IF(INDEX(Origens,8)="","",INDEX(Origens,8))</f>
        <v/>
      </c>
      <c r="C22" s="26">
        <f>IF(B22="","",COUNTIF(Leads!$E$5:$E$1004,B22))</f>
        <v/>
      </c>
      <c r="D22" s="26">
        <f>IF(B22="","",COUNTIFS(Leads!$E$5:$E$1004,B22,Leads!$P$5:$P$1004,"Ganho"))</f>
        <v/>
      </c>
      <c r="E22" s="26">
        <f>IF(B22="","",COUNTIFS(Leads!$E$5:$E$1004,B22,Leads!$P$5:$P$1004,"Perdido"))</f>
        <v/>
      </c>
      <c r="F22" s="28">
        <f>IF(B22="","",IFERROR(D22/C22,0))</f>
        <v/>
      </c>
      <c r="G22" s="21">
        <f>IF(B22="","",SUMIFS(Leads!$H$5:$H$1004,Leads!$E$5:$E$1004,B22,Leads!$P$5:$P$1004,"Ganho"))</f>
        <v/>
      </c>
    </row>
    <row r="23" spans="2:7">
      <c r="B23" s="27">
        <f>IF(INDEX(Origens,9)="","",INDEX(Origens,9))</f>
        <v/>
      </c>
      <c r="C23" s="26">
        <f>IF(B23="","",COUNTIF(Leads!$E$5:$E$1004,B23))</f>
        <v/>
      </c>
      <c r="D23" s="26">
        <f>IF(B23="","",COUNTIFS(Leads!$E$5:$E$1004,B23,Leads!$P$5:$P$1004,"Ganho"))</f>
        <v/>
      </c>
      <c r="E23" s="26">
        <f>IF(B23="","",COUNTIFS(Leads!$E$5:$E$1004,B23,Leads!$P$5:$P$1004,"Perdido"))</f>
        <v/>
      </c>
      <c r="F23" s="28">
        <f>IF(B23="","",IFERROR(D23/C23,0))</f>
        <v/>
      </c>
      <c r="G23" s="21">
        <f>IF(B23="","",SUMIFS(Leads!$H$5:$H$1004,Leads!$E$5:$E$1004,B23,Leads!$P$5:$P$1004,"Ganho"))</f>
        <v/>
      </c>
    </row>
    <row r="24" spans="2:7">
      <c r="B24" s="27">
        <f>IF(INDEX(Origens,10)="","",INDEX(Origens,10))</f>
        <v/>
      </c>
      <c r="C24" s="26">
        <f>IF(B24="","",COUNTIF(Leads!$E$5:$E$1004,B24))</f>
        <v/>
      </c>
      <c r="D24" s="26">
        <f>IF(B24="","",COUNTIFS(Leads!$E$5:$E$1004,B24,Leads!$P$5:$P$1004,"Ganho"))</f>
        <v/>
      </c>
      <c r="E24" s="26">
        <f>IF(B24="","",COUNTIFS(Leads!$E$5:$E$1004,B24,Leads!$P$5:$P$1004,"Perdido"))</f>
        <v/>
      </c>
      <c r="F24" s="28">
        <f>IF(B24="","",IFERROR(D24/C24,0))</f>
        <v/>
      </c>
      <c r="G24" s="21">
        <f>IF(B24="","",SUMIFS(Leads!$H$5:$H$1004,Leads!$E$5:$E$1004,B24,Leads!$P$5:$P$1004,"Ganho"))</f>
        <v/>
      </c>
    </row>
    <row r="26" spans="2:7">
      <c r="B26" s="3" t="s">
        <v>62</v>
      </c>
      <c r="C26" s="3"/>
      <c r="D26" s="3"/>
    </row>
    <row r="27" spans="2:7" ht="24" customHeight="1">
      <c r="B27" s="10" t="s">
        <v>107</v>
      </c>
      <c r="C27" s="10" t="s">
        <v>108</v>
      </c>
      <c r="D27" s="10" t="s">
        <v>109</v>
      </c>
    </row>
    <row r="28" spans="2:7">
      <c r="B28" s="27" t="str">
        <f>IF(INDEX(Motivos,1)="","",INDEX(Motivos,1))</f>
        <v>Preço</v>
      </c>
      <c r="C28" s="26">
        <f>IF(B28="","",COUNTIFS(Leads!$L$5:$L$1004,B28,Leads!$P$5:$P$1004,"Perdido"))</f>
        <v>0</v>
      </c>
      <c r="D28" s="28">
        <f>IF(B28="","",IFERROR(C28/COUNTIF(Leads!$P$5:$P$1004,"Perdido"),0))</f>
        <v>0</v>
      </c>
    </row>
    <row r="29" spans="2:7">
      <c r="B29" s="27" t="str">
        <f>IF(INDEX(Motivos,2)="","",INDEX(Motivos,2))</f>
        <v>Fechou com concorrente</v>
      </c>
      <c r="C29" s="26">
        <f>IF(B29="","",COUNTIFS(Leads!$L$5:$L$1004,B29,Leads!$P$5:$P$1004,"Perdido"))</f>
        <v>0</v>
      </c>
      <c r="D29" s="28">
        <f>IF(B29="","",IFERROR(C29/COUNTIF(Leads!$P$5:$P$1004,"Perdido"),0))</f>
        <v>0</v>
      </c>
    </row>
    <row r="30" spans="2:7">
      <c r="B30" s="27" t="str">
        <f>IF(INDEX(Motivos,3)="","",INDEX(Motivos,3))</f>
        <v>Sem resposta</v>
      </c>
      <c r="C30" s="26">
        <f>IF(B30="","",COUNTIFS(Leads!$L$5:$L$1004,B30,Leads!$P$5:$P$1004,"Perdido"))</f>
        <v>0</v>
      </c>
      <c r="D30" s="28">
        <f>IF(B30="","",IFERROR(C30/COUNTIF(Leads!$P$5:$P$1004,"Perdido"),0))</f>
        <v>0</v>
      </c>
    </row>
    <row r="31" spans="2:7">
      <c r="B31" s="27" t="str">
        <f>IF(INDEX(Motivos,4)="","",INDEX(Motivos,4))</f>
        <v>Sem orçamento</v>
      </c>
      <c r="C31" s="26">
        <f>IF(B31="","",COUNTIFS(Leads!$L$5:$L$1004,B31,Leads!$P$5:$P$1004,"Perdido"))</f>
        <v>0</v>
      </c>
      <c r="D31" s="28">
        <f>IF(B31="","",IFERROR(C31/COUNTIF(Leads!$P$5:$P$1004,"Perdido"),0))</f>
        <v>0</v>
      </c>
    </row>
    <row r="32" spans="2:7">
      <c r="B32" s="27" t="str">
        <f>IF(INDEX(Motivos,5)="","",INDEX(Motivos,5))</f>
        <v>Prazo</v>
      </c>
      <c r="C32" s="26">
        <f>IF(B32="","",COUNTIFS(Leads!$L$5:$L$1004,B32,Leads!$P$5:$P$1004,"Perdido"))</f>
        <v>0</v>
      </c>
      <c r="D32" s="28">
        <f>IF(B32="","",IFERROR(C32/COUNTIF(Leads!$P$5:$P$1004,"Perdido"),0))</f>
        <v>0</v>
      </c>
    </row>
    <row r="33" spans="2:4">
      <c r="B33" s="27" t="str">
        <f>IF(INDEX(Motivos,6)="","",INDEX(Motivos,6))</f>
        <v>Outro</v>
      </c>
      <c r="C33" s="26">
        <f>IF(B33="","",COUNTIFS(Leads!$L$5:$L$1004,B33,Leads!$P$5:$P$1004,"Perdido"))</f>
        <v>0</v>
      </c>
      <c r="D33" s="28">
        <f>IF(B33="","",IFERROR(C33/COUNTIF(Leads!$P$5:$P$1004,"Perdido"),0))</f>
        <v>0</v>
      </c>
    </row>
    <row r="34" spans="2:4">
      <c r="B34" s="27">
        <f>IF(INDEX(Motivos,7)="","",INDEX(Motivos,7))</f>
        <v/>
      </c>
      <c r="C34" s="26">
        <f>IF(B34="","",COUNTIFS(Leads!$L$5:$L$1004,B34,Leads!$P$5:$P$1004,"Perdido"))</f>
        <v/>
      </c>
      <c r="D34" s="28">
        <f>IF(B34="","",IFERROR(C34/COUNTIF(Leads!$P$5:$P$1004,"Perdido"),0))</f>
        <v/>
      </c>
    </row>
    <row r="35" spans="2:4">
      <c r="B35" s="27">
        <f>IF(INDEX(Motivos,8)="","",INDEX(Motivos,8))</f>
        <v/>
      </c>
      <c r="C35" s="26">
        <f>IF(B35="","",COUNTIFS(Leads!$L$5:$L$1004,B35,Leads!$P$5:$P$1004,"Perdido"))</f>
        <v/>
      </c>
      <c r="D35" s="28">
        <f>IF(B35="","",IFERROR(C35/COUNTIF(Leads!$P$5:$P$1004,"Perdido"),0))</f>
        <v/>
      </c>
    </row>
    <row r="36" spans="2:4">
      <c r="B36" s="27">
        <f>IF(INDEX(Motivos,9)="","",INDEX(Motivos,9))</f>
        <v/>
      </c>
      <c r="C36" s="26">
        <f>IF(B36="","",COUNTIFS(Leads!$L$5:$L$1004,B36,Leads!$P$5:$P$1004,"Perdido"))</f>
        <v/>
      </c>
      <c r="D36" s="28">
        <f>IF(B36="","",IFERROR(C36/COUNTIF(Leads!$P$5:$P$1004,"Perdido"),0))</f>
        <v/>
      </c>
    </row>
    <row r="37" spans="2:4">
      <c r="B37" s="27">
        <f>IF(INDEX(Motivos,10)="","",INDEX(Motivos,10))</f>
        <v/>
      </c>
      <c r="C37" s="26">
        <f>IF(B37="","",COUNTIFS(Leads!$L$5:$L$1004,B37,Leads!$P$5:$P$1004,"Perdido"))</f>
        <v/>
      </c>
      <c r="D37" s="28">
        <f>IF(B37="","",IFERROR(C37/COUNTIF(Leads!$P$5:$P$1004,"Perdido"),0))</f>
        <v/>
      </c>
    </row>
  </sheetData>
  <sheetProtection sheet="1" objects="1" scenarios="1"/>
  <mergeCells count="4">
    <mergeCell ref="A1:H1"/>
    <mergeCell ref="A2:H2"/>
    <mergeCell ref="B13:G13"/>
    <mergeCell ref="B26:D26"/>
  </mergeCells>
  <pageMargins left="0.7" right="0.7" top="0.75" bottom="0.75" header="0.3" footer="0.3"/>
  <pageSetup paperSize="9" orientation="landscape"/>
  <headerFooter>
    <oddFooter>&amp;L&amp;8Carvex XLS - CRM e Funil de Vendas com Follow-up&amp;R&amp;8Página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  <pageSetUpPr fitToPage="1"/>
  </sheetPr>
  <dimension ref="A1:L15"/>
  <sheetViews>
    <sheetView showGridLines="0" workbookViewId="0"/>
  </sheetViews>
  <sheetFormatPr defaultRowHeight="15" x14ac:dyDescent="0.25"/>
  <cols>
    <col min="1" max="1" width="20.7109375" customWidth="1"/>
    <col min="2" max="2" width="8.7109375" customWidth="1"/>
    <col min="3" max="3" width="10.7109375" customWidth="1"/>
    <col min="4" max="4" width="8.7109375" customWidth="1"/>
    <col min="5" max="5" width="9.7109375" customWidth="1"/>
    <col min="6" max="6" width="11.7109375" customWidth="1"/>
    <col min="7" max="8" width="16.7109375" customWidth="1"/>
    <col min="9" max="9" width="10.7109375" customWidth="1"/>
    <col min="10" max="10" width="16.7109375" customWidth="1"/>
    <col min="11" max="11" width="12.7109375" customWidth="1"/>
    <col min="12" max="12" width="9.7109375" customWidth="1"/>
  </cols>
  <sheetData>
    <row r="1" spans="1:12" ht="36" customHeight="1" x14ac:dyDescent="0.2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20" customHeight="1" x14ac:dyDescent="0.25">
      <c r="A2" s="2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2" ht="44" customHeight="1" x14ac:dyDescent="0.25">
      <c r="A4" s="10" t="s">
        <v>75</v>
      </c>
      <c r="B4" s="10" t="s">
        <v>18</v>
      </c>
      <c r="C4" s="10" t="s">
        <v>112</v>
      </c>
      <c r="D4" s="10" t="s">
        <v>103</v>
      </c>
      <c r="E4" s="10" t="s">
        <v>104</v>
      </c>
      <c r="F4" s="10" t="s">
        <v>105</v>
      </c>
      <c r="G4" s="10" t="s">
        <v>113</v>
      </c>
      <c r="H4" s="10" t="s">
        <v>114</v>
      </c>
      <c r="I4" s="10" t="s">
        <v>115</v>
      </c>
      <c r="J4" s="10" t="s">
        <v>116</v>
      </c>
      <c r="K4" s="10" t="s">
        <v>117</v>
      </c>
      <c r="L4" s="10" t="s">
        <v>118</v>
      </c>
    </row>
    <row r="5" spans="1:12" x14ac:dyDescent="0.25">
      <c r="A5" s="27">
        <f>IF(INDEX(Vendedores,1)="","",INDEX(Vendedores,1))</f>
        <v/>
      </c>
      <c r="B5" s="26">
        <f>IF($A5="","",COUNTIF(Leads!$F$5:$F$1004,$A5))</f>
        <v/>
      </c>
      <c r="C5" s="26">
        <f>IF($A5="","",COUNTIFS(Leads!$F$5:$F$1004,$A5,Leads!$P$5:$P$1004,"Aberto"))</f>
        <v/>
      </c>
      <c r="D5" s="26">
        <f>IF($A5="","",COUNTIFS(Leads!$F$5:$F$1004,$A5,Leads!$P$5:$P$1004,"Ganho"))</f>
        <v/>
      </c>
      <c r="E5" s="26">
        <f>IF($A5="","",COUNTIFS(Leads!$F$5:$F$1004,$A5,Leads!$P$5:$P$1004,"Perdido"))</f>
        <v/>
      </c>
      <c r="F5" s="28">
        <f>IF($A5="","",IFERROR(D5/(D5+E5),0))</f>
        <v/>
      </c>
      <c r="G5" s="21">
        <f>IF($A5="","",SUMIFS(Leads!$H$5:$H$1004,Leads!$F$5:$F$1004,$A5,Leads!$P$5:$P$1004,"Ganho",Leads!$K$5:$K$1004,"&gt;="&amp;DATE(YEAR(Hoje),MONTH(Hoje),1),Leads!$K$5:$K$1004,"&lt;="&amp;DATE(YEAR(Hoje),MONTH(Hoje)+1,0)))</f>
        <v/>
      </c>
      <c r="H5" s="21">
        <f>IF($A5="","",N(INDEX(Config!$H$5:$H$14,1)))</f>
        <v/>
      </c>
      <c r="I5" s="32">
        <f>IF($A5="","",IF(H5&gt;0,G5/H5,0))</f>
        <v/>
      </c>
      <c r="J5" s="21">
        <f>IF($A5="","",SUMIFS(Leads!$O$5:$O$1004,Leads!$F$5:$F$1004,$A5))</f>
        <v/>
      </c>
      <c r="K5" s="26">
        <f>IF($A5="","",COUNTIFS(Leads!$F$5:$F$1004,$A5,Leads!$R$5:$R$1004,"ATRASADO"))</f>
        <v/>
      </c>
      <c r="L5" s="22">
        <f>IF($A5="","",RANK(G5,$G$5:$G$14))</f>
        <v/>
      </c>
    </row>
    <row r="6" spans="1:12" x14ac:dyDescent="0.25">
      <c r="A6" s="27">
        <f>IF(INDEX(Vendedores,2)="","",INDEX(Vendedores,2))</f>
        <v/>
      </c>
      <c r="B6" s="26">
        <f>IF($A6="","",COUNTIF(Leads!$F$5:$F$1004,$A6))</f>
        <v/>
      </c>
      <c r="C6" s="26">
        <f>IF($A6="","",COUNTIFS(Leads!$F$5:$F$1004,$A6,Leads!$P$5:$P$1004,"Aberto"))</f>
        <v/>
      </c>
      <c r="D6" s="26">
        <f>IF($A6="","",COUNTIFS(Leads!$F$5:$F$1004,$A6,Leads!$P$5:$P$1004,"Ganho"))</f>
        <v/>
      </c>
      <c r="E6" s="26">
        <f>IF($A6="","",COUNTIFS(Leads!$F$5:$F$1004,$A6,Leads!$P$5:$P$1004,"Perdido"))</f>
        <v/>
      </c>
      <c r="F6" s="28">
        <f>IF($A6="","",IFERROR(D6/(D6+E6),0))</f>
        <v/>
      </c>
      <c r="G6" s="21">
        <f>IF($A6="","",SUMIFS(Leads!$H$5:$H$1004,Leads!$F$5:$F$1004,$A6,Leads!$P$5:$P$1004,"Ganho",Leads!$K$5:$K$1004,"&gt;="&amp;DATE(YEAR(Hoje),MONTH(Hoje),1),Leads!$K$5:$K$1004,"&lt;="&amp;DATE(YEAR(Hoje),MONTH(Hoje)+1,0)))</f>
        <v/>
      </c>
      <c r="H6" s="21">
        <f>IF($A6="","",N(INDEX(Config!$H$5:$H$14,2)))</f>
        <v/>
      </c>
      <c r="I6" s="32">
        <f>IF($A6="","",IF(H6&gt;0,G6/H6,0))</f>
        <v/>
      </c>
      <c r="J6" s="21">
        <f>IF($A6="","",SUMIFS(Leads!$O$5:$O$1004,Leads!$F$5:$F$1004,$A6))</f>
        <v/>
      </c>
      <c r="K6" s="26">
        <f>IF($A6="","",COUNTIFS(Leads!$F$5:$F$1004,$A6,Leads!$R$5:$R$1004,"ATRASADO"))</f>
        <v/>
      </c>
      <c r="L6" s="22">
        <f>IF($A6="","",RANK(G6,$G$5:$G$14))</f>
        <v/>
      </c>
    </row>
    <row r="7" spans="1:12" x14ac:dyDescent="0.25">
      <c r="A7" s="27">
        <f>IF(INDEX(Vendedores,3)="","",INDEX(Vendedores,3))</f>
        <v/>
      </c>
      <c r="B7" s="26">
        <f>IF($A7="","",COUNTIF(Leads!$F$5:$F$1004,$A7))</f>
        <v/>
      </c>
      <c r="C7" s="26">
        <f>IF($A7="","",COUNTIFS(Leads!$F$5:$F$1004,$A7,Leads!$P$5:$P$1004,"Aberto"))</f>
        <v/>
      </c>
      <c r="D7" s="26">
        <f>IF($A7="","",COUNTIFS(Leads!$F$5:$F$1004,$A7,Leads!$P$5:$P$1004,"Ganho"))</f>
        <v/>
      </c>
      <c r="E7" s="26">
        <f>IF($A7="","",COUNTIFS(Leads!$F$5:$F$1004,$A7,Leads!$P$5:$P$1004,"Perdido"))</f>
        <v/>
      </c>
      <c r="F7" s="28">
        <f>IF($A7="","",IFERROR(D7/(D7+E7),0))</f>
        <v/>
      </c>
      <c r="G7" s="21">
        <f>IF($A7="","",SUMIFS(Leads!$H$5:$H$1004,Leads!$F$5:$F$1004,$A7,Leads!$P$5:$P$1004,"Ganho",Leads!$K$5:$K$1004,"&gt;="&amp;DATE(YEAR(Hoje),MONTH(Hoje),1),Leads!$K$5:$K$1004,"&lt;="&amp;DATE(YEAR(Hoje),MONTH(Hoje)+1,0)))</f>
        <v/>
      </c>
      <c r="H7" s="21">
        <f>IF($A7="","",N(INDEX(Config!$H$5:$H$14,3)))</f>
        <v/>
      </c>
      <c r="I7" s="32">
        <f>IF($A7="","",IF(H7&gt;0,G7/H7,0))</f>
        <v/>
      </c>
      <c r="J7" s="21">
        <f>IF($A7="","",SUMIFS(Leads!$O$5:$O$1004,Leads!$F$5:$F$1004,$A7))</f>
        <v/>
      </c>
      <c r="K7" s="26">
        <f>IF($A7="","",COUNTIFS(Leads!$F$5:$F$1004,$A7,Leads!$R$5:$R$1004,"ATRASADO"))</f>
        <v/>
      </c>
      <c r="L7" s="22">
        <f>IF($A7="","",RANK(G7,$G$5:$G$14))</f>
        <v/>
      </c>
    </row>
    <row r="8" spans="1:12" x14ac:dyDescent="0.25">
      <c r="A8" s="27">
        <f>IF(INDEX(Vendedores,4)="","",INDEX(Vendedores,4))</f>
        <v/>
      </c>
      <c r="B8" s="26">
        <f>IF($A8="","",COUNTIF(Leads!$F$5:$F$1004,$A8))</f>
        <v/>
      </c>
      <c r="C8" s="26">
        <f>IF($A8="","",COUNTIFS(Leads!$F$5:$F$1004,$A8,Leads!$P$5:$P$1004,"Aberto"))</f>
        <v/>
      </c>
      <c r="D8" s="26">
        <f>IF($A8="","",COUNTIFS(Leads!$F$5:$F$1004,$A8,Leads!$P$5:$P$1004,"Ganho"))</f>
        <v/>
      </c>
      <c r="E8" s="26">
        <f>IF($A8="","",COUNTIFS(Leads!$F$5:$F$1004,$A8,Leads!$P$5:$P$1004,"Perdido"))</f>
        <v/>
      </c>
      <c r="F8" s="28">
        <f>IF($A8="","",IFERROR(D8/(D8+E8),0))</f>
        <v/>
      </c>
      <c r="G8" s="21">
        <f>IF($A8="","",SUMIFS(Leads!$H$5:$H$1004,Leads!$F$5:$F$1004,$A8,Leads!$P$5:$P$1004,"Ganho",Leads!$K$5:$K$1004,"&gt;="&amp;DATE(YEAR(Hoje),MONTH(Hoje),1),Leads!$K$5:$K$1004,"&lt;="&amp;DATE(YEAR(Hoje),MONTH(Hoje)+1,0)))</f>
        <v/>
      </c>
      <c r="H8" s="21">
        <f>IF($A8="","",N(INDEX(Config!$H$5:$H$14,4)))</f>
        <v/>
      </c>
      <c r="I8" s="32">
        <f>IF($A8="","",IF(H8&gt;0,G8/H8,0))</f>
        <v/>
      </c>
      <c r="J8" s="21">
        <f>IF($A8="","",SUMIFS(Leads!$O$5:$O$1004,Leads!$F$5:$F$1004,$A8))</f>
        <v/>
      </c>
      <c r="K8" s="26">
        <f>IF($A8="","",COUNTIFS(Leads!$F$5:$F$1004,$A8,Leads!$R$5:$R$1004,"ATRASADO"))</f>
        <v/>
      </c>
      <c r="L8" s="22">
        <f>IF($A8="","",RANK(G8,$G$5:$G$14))</f>
        <v/>
      </c>
    </row>
    <row r="9" spans="1:12" x14ac:dyDescent="0.25">
      <c r="A9" s="27">
        <f>IF(INDEX(Vendedores,5)="","",INDEX(Vendedores,5))</f>
        <v/>
      </c>
      <c r="B9" s="26">
        <f>IF($A9="","",COUNTIF(Leads!$F$5:$F$1004,$A9))</f>
        <v/>
      </c>
      <c r="C9" s="26">
        <f>IF($A9="","",COUNTIFS(Leads!$F$5:$F$1004,$A9,Leads!$P$5:$P$1004,"Aberto"))</f>
        <v/>
      </c>
      <c r="D9" s="26">
        <f>IF($A9="","",COUNTIFS(Leads!$F$5:$F$1004,$A9,Leads!$P$5:$P$1004,"Ganho"))</f>
        <v/>
      </c>
      <c r="E9" s="26">
        <f>IF($A9="","",COUNTIFS(Leads!$F$5:$F$1004,$A9,Leads!$P$5:$P$1004,"Perdido"))</f>
        <v/>
      </c>
      <c r="F9" s="28">
        <f>IF($A9="","",IFERROR(D9/(D9+E9),0))</f>
        <v/>
      </c>
      <c r="G9" s="21">
        <f>IF($A9="","",SUMIFS(Leads!$H$5:$H$1004,Leads!$F$5:$F$1004,$A9,Leads!$P$5:$P$1004,"Ganho",Leads!$K$5:$K$1004,"&gt;="&amp;DATE(YEAR(Hoje),MONTH(Hoje),1),Leads!$K$5:$K$1004,"&lt;="&amp;DATE(YEAR(Hoje),MONTH(Hoje)+1,0)))</f>
        <v/>
      </c>
      <c r="H9" s="21">
        <f>IF($A9="","",N(INDEX(Config!$H$5:$H$14,5)))</f>
        <v/>
      </c>
      <c r="I9" s="32">
        <f>IF($A9="","",IF(H9&gt;0,G9/H9,0))</f>
        <v/>
      </c>
      <c r="J9" s="21">
        <f>IF($A9="","",SUMIFS(Leads!$O$5:$O$1004,Leads!$F$5:$F$1004,$A9))</f>
        <v/>
      </c>
      <c r="K9" s="26">
        <f>IF($A9="","",COUNTIFS(Leads!$F$5:$F$1004,$A9,Leads!$R$5:$R$1004,"ATRASADO"))</f>
        <v/>
      </c>
      <c r="L9" s="22">
        <f>IF($A9="","",RANK(G9,$G$5:$G$14))</f>
        <v/>
      </c>
    </row>
    <row r="10" spans="1:12" x14ac:dyDescent="0.25">
      <c r="A10" s="27">
        <f>IF(INDEX(Vendedores,6)="","",INDEX(Vendedores,6))</f>
        <v/>
      </c>
      <c r="B10" s="26">
        <f>IF($A10="","",COUNTIF(Leads!$F$5:$F$1004,$A10))</f>
        <v/>
      </c>
      <c r="C10" s="26">
        <f>IF($A10="","",COUNTIFS(Leads!$F$5:$F$1004,$A10,Leads!$P$5:$P$1004,"Aberto"))</f>
        <v/>
      </c>
      <c r="D10" s="26">
        <f>IF($A10="","",COUNTIFS(Leads!$F$5:$F$1004,$A10,Leads!$P$5:$P$1004,"Ganho"))</f>
        <v/>
      </c>
      <c r="E10" s="26">
        <f>IF($A10="","",COUNTIFS(Leads!$F$5:$F$1004,$A10,Leads!$P$5:$P$1004,"Perdido"))</f>
        <v/>
      </c>
      <c r="F10" s="28">
        <f>IF($A10="","",IFERROR(D10/(D10+E10),0))</f>
        <v/>
      </c>
      <c r="G10" s="21">
        <f>IF($A10="","",SUMIFS(Leads!$H$5:$H$1004,Leads!$F$5:$F$1004,$A10,Leads!$P$5:$P$1004,"Ganho",Leads!$K$5:$K$1004,"&gt;="&amp;DATE(YEAR(Hoje),MONTH(Hoje),1),Leads!$K$5:$K$1004,"&lt;="&amp;DATE(YEAR(Hoje),MONTH(Hoje)+1,0)))</f>
        <v/>
      </c>
      <c r="H10" s="21">
        <f>IF($A10="","",N(INDEX(Config!$H$5:$H$14,6)))</f>
        <v/>
      </c>
      <c r="I10" s="32">
        <f>IF($A10="","",IF(H10&gt;0,G10/H10,0))</f>
        <v/>
      </c>
      <c r="J10" s="21">
        <f>IF($A10="","",SUMIFS(Leads!$O$5:$O$1004,Leads!$F$5:$F$1004,$A10))</f>
        <v/>
      </c>
      <c r="K10" s="26">
        <f>IF($A10="","",COUNTIFS(Leads!$F$5:$F$1004,$A10,Leads!$R$5:$R$1004,"ATRASADO"))</f>
        <v/>
      </c>
      <c r="L10" s="22">
        <f>IF($A10="","",RANK(G10,$G$5:$G$14))</f>
        <v/>
      </c>
    </row>
    <row r="11" spans="1:12" x14ac:dyDescent="0.25">
      <c r="A11" s="27">
        <f>IF(INDEX(Vendedores,7)="","",INDEX(Vendedores,7))</f>
        <v/>
      </c>
      <c r="B11" s="26">
        <f>IF($A11="","",COUNTIF(Leads!$F$5:$F$1004,$A11))</f>
        <v/>
      </c>
      <c r="C11" s="26">
        <f>IF($A11="","",COUNTIFS(Leads!$F$5:$F$1004,$A11,Leads!$P$5:$P$1004,"Aberto"))</f>
        <v/>
      </c>
      <c r="D11" s="26">
        <f>IF($A11="","",COUNTIFS(Leads!$F$5:$F$1004,$A11,Leads!$P$5:$P$1004,"Ganho"))</f>
        <v/>
      </c>
      <c r="E11" s="26">
        <f>IF($A11="","",COUNTIFS(Leads!$F$5:$F$1004,$A11,Leads!$P$5:$P$1004,"Perdido"))</f>
        <v/>
      </c>
      <c r="F11" s="28">
        <f>IF($A11="","",IFERROR(D11/(D11+E11),0))</f>
        <v/>
      </c>
      <c r="G11" s="21">
        <f>IF($A11="","",SUMIFS(Leads!$H$5:$H$1004,Leads!$F$5:$F$1004,$A11,Leads!$P$5:$P$1004,"Ganho",Leads!$K$5:$K$1004,"&gt;="&amp;DATE(YEAR(Hoje),MONTH(Hoje),1),Leads!$K$5:$K$1004,"&lt;="&amp;DATE(YEAR(Hoje),MONTH(Hoje)+1,0)))</f>
        <v/>
      </c>
      <c r="H11" s="21">
        <f>IF($A11="","",N(INDEX(Config!$H$5:$H$14,7)))</f>
        <v/>
      </c>
      <c r="I11" s="32">
        <f>IF($A11="","",IF(H11&gt;0,G11/H11,0))</f>
        <v/>
      </c>
      <c r="J11" s="21">
        <f>IF($A11="","",SUMIFS(Leads!$O$5:$O$1004,Leads!$F$5:$F$1004,$A11))</f>
        <v/>
      </c>
      <c r="K11" s="26">
        <f>IF($A11="","",COUNTIFS(Leads!$F$5:$F$1004,$A11,Leads!$R$5:$R$1004,"ATRASADO"))</f>
        <v/>
      </c>
      <c r="L11" s="22">
        <f>IF($A11="","",RANK(G11,$G$5:$G$14))</f>
        <v/>
      </c>
    </row>
    <row r="12" spans="1:12" x14ac:dyDescent="0.25">
      <c r="A12" s="27">
        <f>IF(INDEX(Vendedores,8)="","",INDEX(Vendedores,8))</f>
        <v/>
      </c>
      <c r="B12" s="26">
        <f>IF($A12="","",COUNTIF(Leads!$F$5:$F$1004,$A12))</f>
        <v/>
      </c>
      <c r="C12" s="26">
        <f>IF($A12="","",COUNTIFS(Leads!$F$5:$F$1004,$A12,Leads!$P$5:$P$1004,"Aberto"))</f>
        <v/>
      </c>
      <c r="D12" s="26">
        <f>IF($A12="","",COUNTIFS(Leads!$F$5:$F$1004,$A12,Leads!$P$5:$P$1004,"Ganho"))</f>
        <v/>
      </c>
      <c r="E12" s="26">
        <f>IF($A12="","",COUNTIFS(Leads!$F$5:$F$1004,$A12,Leads!$P$5:$P$1004,"Perdido"))</f>
        <v/>
      </c>
      <c r="F12" s="28">
        <f>IF($A12="","",IFERROR(D12/(D12+E12),0))</f>
        <v/>
      </c>
      <c r="G12" s="21">
        <f>IF($A12="","",SUMIFS(Leads!$H$5:$H$1004,Leads!$F$5:$F$1004,$A12,Leads!$P$5:$P$1004,"Ganho",Leads!$K$5:$K$1004,"&gt;="&amp;DATE(YEAR(Hoje),MONTH(Hoje),1),Leads!$K$5:$K$1004,"&lt;="&amp;DATE(YEAR(Hoje),MONTH(Hoje)+1,0)))</f>
        <v/>
      </c>
      <c r="H12" s="21">
        <f>IF($A12="","",N(INDEX(Config!$H$5:$H$14,8)))</f>
        <v/>
      </c>
      <c r="I12" s="32">
        <f>IF($A12="","",IF(H12&gt;0,G12/H12,0))</f>
        <v/>
      </c>
      <c r="J12" s="21">
        <f>IF($A12="","",SUMIFS(Leads!$O$5:$O$1004,Leads!$F$5:$F$1004,$A12))</f>
        <v/>
      </c>
      <c r="K12" s="26">
        <f>IF($A12="","",COUNTIFS(Leads!$F$5:$F$1004,$A12,Leads!$R$5:$R$1004,"ATRASADO"))</f>
        <v/>
      </c>
      <c r="L12" s="22">
        <f>IF($A12="","",RANK(G12,$G$5:$G$14))</f>
        <v/>
      </c>
    </row>
    <row r="13" spans="1:12" x14ac:dyDescent="0.25">
      <c r="A13" s="27">
        <f>IF(INDEX(Vendedores,9)="","",INDEX(Vendedores,9))</f>
        <v/>
      </c>
      <c r="B13" s="26">
        <f>IF($A13="","",COUNTIF(Leads!$F$5:$F$1004,$A13))</f>
        <v/>
      </c>
      <c r="C13" s="26">
        <f>IF($A13="","",COUNTIFS(Leads!$F$5:$F$1004,$A13,Leads!$P$5:$P$1004,"Aberto"))</f>
        <v/>
      </c>
      <c r="D13" s="26">
        <f>IF($A13="","",COUNTIFS(Leads!$F$5:$F$1004,$A13,Leads!$P$5:$P$1004,"Ganho"))</f>
        <v/>
      </c>
      <c r="E13" s="26">
        <f>IF($A13="","",COUNTIFS(Leads!$F$5:$F$1004,$A13,Leads!$P$5:$P$1004,"Perdido"))</f>
        <v/>
      </c>
      <c r="F13" s="28">
        <f>IF($A13="","",IFERROR(D13/(D13+E13),0))</f>
        <v/>
      </c>
      <c r="G13" s="21">
        <f>IF($A13="","",SUMIFS(Leads!$H$5:$H$1004,Leads!$F$5:$F$1004,$A13,Leads!$P$5:$P$1004,"Ganho",Leads!$K$5:$K$1004,"&gt;="&amp;DATE(YEAR(Hoje),MONTH(Hoje),1),Leads!$K$5:$K$1004,"&lt;="&amp;DATE(YEAR(Hoje),MONTH(Hoje)+1,0)))</f>
        <v/>
      </c>
      <c r="H13" s="21">
        <f>IF($A13="","",N(INDEX(Config!$H$5:$H$14,9)))</f>
        <v/>
      </c>
      <c r="I13" s="32">
        <f>IF($A13="","",IF(H13&gt;0,G13/H13,0))</f>
        <v/>
      </c>
      <c r="J13" s="21">
        <f>IF($A13="","",SUMIFS(Leads!$O$5:$O$1004,Leads!$F$5:$F$1004,$A13))</f>
        <v/>
      </c>
      <c r="K13" s="26">
        <f>IF($A13="","",COUNTIFS(Leads!$F$5:$F$1004,$A13,Leads!$R$5:$R$1004,"ATRASADO"))</f>
        <v/>
      </c>
      <c r="L13" s="22">
        <f>IF($A13="","",RANK(G13,$G$5:$G$14))</f>
        <v/>
      </c>
    </row>
    <row r="14" spans="1:12" x14ac:dyDescent="0.25">
      <c r="A14" s="27">
        <f>IF(INDEX(Vendedores,10)="","",INDEX(Vendedores,10))</f>
        <v/>
      </c>
      <c r="B14" s="26">
        <f>IF($A14="","",COUNTIF(Leads!$F$5:$F$1004,$A14))</f>
        <v/>
      </c>
      <c r="C14" s="26">
        <f>IF($A14="","",COUNTIFS(Leads!$F$5:$F$1004,$A14,Leads!$P$5:$P$1004,"Aberto"))</f>
        <v/>
      </c>
      <c r="D14" s="26">
        <f>IF($A14="","",COUNTIFS(Leads!$F$5:$F$1004,$A14,Leads!$P$5:$P$1004,"Ganho"))</f>
        <v/>
      </c>
      <c r="E14" s="26">
        <f>IF($A14="","",COUNTIFS(Leads!$F$5:$F$1004,$A14,Leads!$P$5:$P$1004,"Perdido"))</f>
        <v/>
      </c>
      <c r="F14" s="28">
        <f>IF($A14="","",IFERROR(D14/(D14+E14),0))</f>
        <v/>
      </c>
      <c r="G14" s="21">
        <f>IF($A14="","",SUMIFS(Leads!$H$5:$H$1004,Leads!$F$5:$F$1004,$A14,Leads!$P$5:$P$1004,"Ganho",Leads!$K$5:$K$1004,"&gt;="&amp;DATE(YEAR(Hoje),MONTH(Hoje),1),Leads!$K$5:$K$1004,"&lt;="&amp;DATE(YEAR(Hoje),MONTH(Hoje)+1,0)))</f>
        <v/>
      </c>
      <c r="H14" s="21">
        <f>IF($A14="","",N(INDEX(Config!$H$5:$H$14,10)))</f>
        <v/>
      </c>
      <c r="I14" s="32">
        <f>IF($A14="","",IF(H14&gt;0,G14/H14,0))</f>
        <v/>
      </c>
      <c r="J14" s="21">
        <f>IF($A14="","",SUMIFS(Leads!$O$5:$O$1004,Leads!$F$5:$F$1004,$A14))</f>
        <v/>
      </c>
      <c r="K14" s="26">
        <f>IF($A14="","",COUNTIFS(Leads!$F$5:$F$1004,$A14,Leads!$R$5:$R$1004,"ATRASADO"))</f>
        <v/>
      </c>
      <c r="L14" s="22">
        <f>IF($A14="","",RANK(G14,$G$5:$G$14))</f>
        <v/>
      </c>
    </row>
    <row r="15" spans="1:12" x14ac:dyDescent="0.25">
      <c r="A15" s="29" t="s">
        <v>101</v>
      </c>
      <c r="B15" s="30">
        <f>SUM(B5:B14)</f>
        <v>0</v>
      </c>
      <c r="C15" s="30">
        <f>SUM(C5:C14)</f>
        <v>0</v>
      </c>
      <c r="D15" s="30">
        <f>SUM(D5:D14)</f>
        <v>0</v>
      </c>
      <c r="E15" s="30">
        <f>SUM(E5:E14)</f>
        <v>0</v>
      </c>
      <c r="F15" s="33">
        <f>IFERROR(D15/(D15+E15),0)</f>
        <v>0</v>
      </c>
      <c r="G15" s="31">
        <f>SUM(G5:G14)</f>
        <v>0</v>
      </c>
      <c r="H15" s="31">
        <f>SUM(H5:H14)</f>
        <v>0</v>
      </c>
      <c r="I15" s="34">
        <f>IF(H15&gt;0,G15/H15,0)</f>
        <v>0</v>
      </c>
      <c r="J15" s="31">
        <f>SUM(J5:J14)</f>
        <v>0</v>
      </c>
      <c r="K15" s="30">
        <f>SUM(K5:K14)</f>
        <v>0</v>
      </c>
      <c r="L15" s="29"/>
    </row>
  </sheetData>
  <sheetProtection sheet="1" objects="1" scenarios="1"/>
  <mergeCells count="2">
    <mergeCell ref="A1:K1"/>
    <mergeCell ref="A2:K2"/>
  </mergeCells>
  <conditionalFormatting sqref="I5:I14">
    <cfRule type="dataBar" priority="1">
      <dataBar>
        <cfvo type="num" val="0"/>
        <cfvo type="num" val="1.2"/>
        <color rgb="FF22C55E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ageMargins left="0.7" right="0.7" top="0.75" bottom="0.75" header="0.3" footer="0.3"/>
  <pageSetup paperSize="9" orientation="landscape"/>
  <headerFooter>
    <oddFooter>&amp;L&amp;8Carvex XLS - CRM e Funil de Vendas com Follow-up&amp;R&amp;8Página &amp;P de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1.2</xm:f>
              </x14:cfvo>
              <x14:borderColor rgb="FF22C55E"/>
              <x14:negativeFillColor rgb="FFFF0000"/>
              <x14:negativeBorderColor rgb="FFFF0000"/>
              <x14:axisColor rgb="FF000000"/>
            </x14:dataBar>
          </x14:cfRule>
          <xm:sqref>I5:I14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23"/>
  <sheetViews>
    <sheetView showGridLines="0" workbookViewId="0"/>
  </sheetViews>
  <sheetFormatPr defaultRowHeight="15"/>
  <cols>
    <col min="1" max="10" width="13.7109375" customWidth="1"/>
  </cols>
  <sheetData>
    <row r="1" spans="1:10" ht="36" customHeight="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</row>
    <row r="4" spans="1:10" ht="24" customHeight="1">
      <c r="A4" s="35" t="s">
        <v>121</v>
      </c>
      <c r="B4" s="35"/>
      <c r="C4" s="35" t="s">
        <v>122</v>
      </c>
      <c r="D4" s="35"/>
      <c r="E4" s="35" t="s">
        <v>123</v>
      </c>
      <c r="F4" s="35"/>
      <c r="G4" s="35" t="s">
        <v>124</v>
      </c>
      <c r="H4" s="35"/>
      <c r="I4" s="35" t="s">
        <v>125</v>
      </c>
      <c r="J4" s="35"/>
    </row>
    <row r="5" spans="1:10" ht="32" customHeight="1">
      <c r="A5" s="36">
        <f>COUNTIF(Leads!$P$5:$P$1004,"Aberto")</f>
        <v>0</v>
      </c>
      <c r="B5" s="36"/>
      <c r="C5" s="37">
        <f>SUMIFS(Leads!$H$5:$H$1004,Leads!$P$5:$P$1004,"Aberto")</f>
        <v>0</v>
      </c>
      <c r="D5" s="37"/>
      <c r="E5" s="37">
        <f>SUM(Leads!$O$5:$O$1004)</f>
        <v>0</v>
      </c>
      <c r="F5" s="37"/>
      <c r="G5" s="37">
        <f>Vendedores!G15</f>
        <v>0</v>
      </c>
      <c r="H5" s="37"/>
      <c r="I5" s="37">
        <f>Vendedores!H15</f>
        <v>0</v>
      </c>
      <c r="J5" s="37"/>
    </row>
    <row r="7" spans="1:10" ht="24" customHeight="1">
      <c r="A7" s="35" t="s">
        <v>126</v>
      </c>
      <c r="B7" s="35"/>
      <c r="C7" s="35" t="s">
        <v>127</v>
      </c>
      <c r="D7" s="35"/>
      <c r="E7" s="35" t="s">
        <v>128</v>
      </c>
      <c r="F7" s="35"/>
      <c r="G7" s="35" t="s">
        <v>129</v>
      </c>
      <c r="H7" s="35"/>
      <c r="I7" s="35" t="s">
        <v>130</v>
      </c>
      <c r="J7" s="35"/>
    </row>
    <row r="8" spans="1:10" ht="32" customHeight="1">
      <c r="A8" s="38">
        <f>Vendedores!I15</f>
        <v>0</v>
      </c>
      <c r="B8" s="38"/>
      <c r="C8" s="39">
        <f>Vendedores!F15</f>
        <v>0</v>
      </c>
      <c r="D8" s="39"/>
      <c r="E8" s="37">
        <f>IFERROR(AVERAGEIFS(Leads!$H$5:$H$1004,Leads!$P$5:$P$1004,"Ganho"),0)</f>
        <v>0</v>
      </c>
      <c r="F8" s="37"/>
      <c r="G8" s="40">
        <f>IFERROR(SUMPRODUCT((Leads!$P$5:$P$1004="Ganho")*(Leads!$K$5:$K$1004&gt;0)*(Leads!$K$5:$K$1004-Leads!$B$5:$B$1004))/SUMPRODUCT((Leads!$P$5:$P$1004="Ganho")*(Leads!$K$5:$K$1004&gt;0)),0)</f>
        <v>0</v>
      </c>
      <c r="H8" s="40"/>
      <c r="I8" s="41">
        <f>COUNTIF(Leads!$R$5:$R$1004,"ATRASADO")</f>
        <v>0</v>
      </c>
      <c r="J8" s="41"/>
    </row>
    <row r="10" spans="1:10">
      <c r="A10" s="3" t="s">
        <v>131</v>
      </c>
      <c r="B10" s="3"/>
      <c r="C10" s="3"/>
      <c r="D10" s="3"/>
      <c r="E10" s="3"/>
    </row>
    <row r="11" spans="1:10" ht="22" customHeight="1">
      <c r="A11" s="10" t="s">
        <v>132</v>
      </c>
      <c r="B11" s="10" t="s">
        <v>133</v>
      </c>
      <c r="C11" s="10" t="s">
        <v>134</v>
      </c>
    </row>
    <row r="12" spans="1:10">
      <c r="A12" s="42">
        <f>DATE(YEAR(Hoje),1,1)</f>
        <v>46023.0</v>
      </c>
      <c r="B12" s="21">
        <f>SUMIFS(Leads!$H$5:$H$1004,Leads!$P$5:$P$1004,"Ganho",Leads!$K$5:$K$1004,"&gt;="&amp;A12,Leads!$K$5:$K$1004,"&lt;="&amp;DATE(YEAR(A12),MONTH(A12)+1,0))</f>
        <v>0</v>
      </c>
      <c r="C12" s="21">
        <f>SUM(Config!$H$5:$H$14)</f>
        <v>0</v>
      </c>
    </row>
    <row r="13" spans="1:10">
      <c r="A13" s="42">
        <f>DATE(YEAR(Hoje),2,1)</f>
        <v>46054.0</v>
      </c>
      <c r="B13" s="21">
        <f>SUMIFS(Leads!$H$5:$H$1004,Leads!$P$5:$P$1004,"Ganho",Leads!$K$5:$K$1004,"&gt;="&amp;A13,Leads!$K$5:$K$1004,"&lt;="&amp;DATE(YEAR(A13),MONTH(A13)+1,0))</f>
        <v>0</v>
      </c>
      <c r="C13" s="21">
        <f>SUM(Config!$H$5:$H$14)</f>
        <v>0</v>
      </c>
    </row>
    <row r="14" spans="1:10">
      <c r="A14" s="42">
        <f>DATE(YEAR(Hoje),3,1)</f>
        <v>46082.0</v>
      </c>
      <c r="B14" s="21">
        <f>SUMIFS(Leads!$H$5:$H$1004,Leads!$P$5:$P$1004,"Ganho",Leads!$K$5:$K$1004,"&gt;="&amp;A14,Leads!$K$5:$K$1004,"&lt;="&amp;DATE(YEAR(A14),MONTH(A14)+1,0))</f>
        <v>0</v>
      </c>
      <c r="C14" s="21">
        <f>SUM(Config!$H$5:$H$14)</f>
        <v>0</v>
      </c>
    </row>
    <row r="15" spans="1:10">
      <c r="A15" s="42">
        <f>DATE(YEAR(Hoje),4,1)</f>
        <v>46113.0</v>
      </c>
      <c r="B15" s="21">
        <f>SUMIFS(Leads!$H$5:$H$1004,Leads!$P$5:$P$1004,"Ganho",Leads!$K$5:$K$1004,"&gt;="&amp;A15,Leads!$K$5:$K$1004,"&lt;="&amp;DATE(YEAR(A15),MONTH(A15)+1,0))</f>
        <v>0</v>
      </c>
      <c r="C15" s="21">
        <f>SUM(Config!$H$5:$H$14)</f>
        <v>0</v>
      </c>
    </row>
    <row r="16" spans="1:10">
      <c r="A16" s="42">
        <f>DATE(YEAR(Hoje),5,1)</f>
        <v>46143.0</v>
      </c>
      <c r="B16" s="21">
        <f>SUMIFS(Leads!$H$5:$H$1004,Leads!$P$5:$P$1004,"Ganho",Leads!$K$5:$K$1004,"&gt;="&amp;A16,Leads!$K$5:$K$1004,"&lt;="&amp;DATE(YEAR(A16),MONTH(A16)+1,0))</f>
        <v>0</v>
      </c>
      <c r="C16" s="21">
        <f>SUM(Config!$H$5:$H$14)</f>
        <v>0</v>
      </c>
    </row>
    <row r="17" spans="1:3">
      <c r="A17" s="42">
        <f>DATE(YEAR(Hoje),6,1)</f>
        <v>46174.0</v>
      </c>
      <c r="B17" s="21">
        <f>SUMIFS(Leads!$H$5:$H$1004,Leads!$P$5:$P$1004,"Ganho",Leads!$K$5:$K$1004,"&gt;="&amp;A17,Leads!$K$5:$K$1004,"&lt;="&amp;DATE(YEAR(A17),MONTH(A17)+1,0))</f>
        <v>0</v>
      </c>
      <c r="C17" s="21">
        <f>SUM(Config!$H$5:$H$14)</f>
        <v>0</v>
      </c>
    </row>
    <row r="18" spans="1:3">
      <c r="A18" s="42">
        <f>DATE(YEAR(Hoje),7,1)</f>
        <v>46204.0</v>
      </c>
      <c r="B18" s="21">
        <f>SUMIFS(Leads!$H$5:$H$1004,Leads!$P$5:$P$1004,"Ganho",Leads!$K$5:$K$1004,"&gt;="&amp;A18,Leads!$K$5:$K$1004,"&lt;="&amp;DATE(YEAR(A18),MONTH(A18)+1,0))</f>
        <v>0</v>
      </c>
      <c r="C18" s="21">
        <f>SUM(Config!$H$5:$H$14)</f>
        <v>0</v>
      </c>
    </row>
    <row r="19" spans="1:3">
      <c r="A19" s="42">
        <f>DATE(YEAR(Hoje),8,1)</f>
        <v>46235.0</v>
      </c>
      <c r="B19" s="21">
        <f>SUMIFS(Leads!$H$5:$H$1004,Leads!$P$5:$P$1004,"Ganho",Leads!$K$5:$K$1004,"&gt;="&amp;A19,Leads!$K$5:$K$1004,"&lt;="&amp;DATE(YEAR(A19),MONTH(A19)+1,0))</f>
        <v>0</v>
      </c>
      <c r="C19" s="21">
        <f>SUM(Config!$H$5:$H$14)</f>
        <v>0</v>
      </c>
    </row>
    <row r="20" spans="1:3">
      <c r="A20" s="42">
        <f>DATE(YEAR(Hoje),9,1)</f>
        <v>46266.0</v>
      </c>
      <c r="B20" s="21">
        <f>SUMIFS(Leads!$H$5:$H$1004,Leads!$P$5:$P$1004,"Ganho",Leads!$K$5:$K$1004,"&gt;="&amp;A20,Leads!$K$5:$K$1004,"&lt;="&amp;DATE(YEAR(A20),MONTH(A20)+1,0))</f>
        <v>0</v>
      </c>
      <c r="C20" s="21">
        <f>SUM(Config!$H$5:$H$14)</f>
        <v>0</v>
      </c>
    </row>
    <row r="21" spans="1:3">
      <c r="A21" s="42">
        <f>DATE(YEAR(Hoje),10,1)</f>
        <v>46296.0</v>
      </c>
      <c r="B21" s="21">
        <f>SUMIFS(Leads!$H$5:$H$1004,Leads!$P$5:$P$1004,"Ganho",Leads!$K$5:$K$1004,"&gt;="&amp;A21,Leads!$K$5:$K$1004,"&lt;="&amp;DATE(YEAR(A21),MONTH(A21)+1,0))</f>
        <v>0</v>
      </c>
      <c r="C21" s="21">
        <f>SUM(Config!$H$5:$H$14)</f>
        <v>0</v>
      </c>
    </row>
    <row r="22" spans="1:3">
      <c r="A22" s="42">
        <f>DATE(YEAR(Hoje),11,1)</f>
        <v>46327.0</v>
      </c>
      <c r="B22" s="21">
        <f>SUMIFS(Leads!$H$5:$H$1004,Leads!$P$5:$P$1004,"Ganho",Leads!$K$5:$K$1004,"&gt;="&amp;A22,Leads!$K$5:$K$1004,"&lt;="&amp;DATE(YEAR(A22),MONTH(A22)+1,0))</f>
        <v>0</v>
      </c>
      <c r="C22" s="21">
        <f>SUM(Config!$H$5:$H$14)</f>
        <v>0</v>
      </c>
    </row>
    <row r="23" spans="1:3">
      <c r="A23" s="42">
        <f>DATE(YEAR(Hoje),12,1)</f>
        <v>46357.0</v>
      </c>
      <c r="B23" s="21">
        <f>SUMIFS(Leads!$H$5:$H$1004,Leads!$P$5:$P$1004,"Ganho",Leads!$K$5:$K$1004,"&gt;="&amp;A23,Leads!$K$5:$K$1004,"&lt;="&amp;DATE(YEAR(A23),MONTH(A23)+1,0))</f>
        <v>0</v>
      </c>
      <c r="C23" s="21">
        <f>SUM(Config!$H$5:$H$14)</f>
        <v>0</v>
      </c>
    </row>
  </sheetData>
  <sheetProtection sheet="1" objects="1" scenarios="1"/>
  <mergeCells count="23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E10"/>
  </mergeCells>
  <pageMargins left="0.7" right="0.7" top="0.75" bottom="0.75" header="0.3" footer="0.3"/>
  <pageSetup paperSize="9" orientation="landscape"/>
  <headerFooter>
    <oddFooter>&amp;L&amp;8Carvex XLS - CRM e Funil de Vendas com Follow-up&amp;R&amp;8Página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Início</vt:lpstr>
      <vt:lpstr>Config</vt:lpstr>
      <vt:lpstr>Leads</vt:lpstr>
      <vt:lpstr>Agenda</vt:lpstr>
      <vt:lpstr>Funil</vt:lpstr>
      <vt:lpstr>Vendedores</vt:lpstr>
      <vt:lpstr>Dashboard</vt:lpstr>
      <vt:lpstr>DiasSC</vt:lpstr>
      <vt:lpstr>EtapaProb</vt:lpstr>
      <vt:lpstr>Etapas</vt:lpstr>
      <vt:lpstr>Hoje</vt:lpstr>
      <vt:lpstr>Motivos</vt:lpstr>
      <vt:lpstr>Origens</vt:lpstr>
      <vt:lpstr>Vendedores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CRM e Funil de Vendas com Follow-up</dc:title>
  <dc:creator>Carvex XLS</dc:creator>
  <dc:description>Planilha empresarial Carvex XLS</dc:description>
  <cp:lastModifiedBy>Carvex XLS</cp:lastModifiedBy>
  <dcterms:created xsi:type="dcterms:W3CDTF">2026-10-08T12:55:16Z</dcterms:created>
  <dcterms:modified xsi:type="dcterms:W3CDTF">2026-10-08T12:55:16Z</dcterms:modified>
</cp:coreProperties>
</file>